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Desktop\phân chia Tân Thành - Vạn Cường\"/>
    </mc:Choice>
  </mc:AlternateContent>
  <bookViews>
    <workbookView xWindow="-108" yWindow="-108" windowWidth="20736" windowHeight="11760" tabRatio="578" activeTab="1"/>
  </bookViews>
  <sheets>
    <sheet name="phân chia trước điều chỉnh" sheetId="18" r:id="rId1"/>
    <sheet name="phân chia sau Điều chỉnh" sheetId="20"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____________________________h1" hidden="1">{"'Sheet1'!$L$16"}</definedName>
    <definedName name="____________________________hu1" hidden="1">{"'Sheet1'!$L$16"}</definedName>
    <definedName name="____________________________hu2" hidden="1">{"'Sheet1'!$L$16"}</definedName>
    <definedName name="____________________________hu5" hidden="1">{"'Sheet1'!$L$16"}</definedName>
    <definedName name="____________________________hu6" hidden="1">{"'Sheet1'!$L$16"}</definedName>
    <definedName name="__________________________h1" hidden="1">{"'Sheet1'!$L$16"}</definedName>
    <definedName name="__________________________hu1" hidden="1">{"'Sheet1'!$L$16"}</definedName>
    <definedName name="__________________________hu2" hidden="1">{"'Sheet1'!$L$16"}</definedName>
    <definedName name="__________________________hu5" hidden="1">{"'Sheet1'!$L$16"}</definedName>
    <definedName name="__________________________hu6" hidden="1">{"'Sheet1'!$L$16"}</definedName>
    <definedName name="_________________________h1" hidden="1">{"'Sheet1'!$L$16"}</definedName>
    <definedName name="_________________________hu1" hidden="1">{"'Sheet1'!$L$16"}</definedName>
    <definedName name="_________________________hu2" hidden="1">{"'Sheet1'!$L$16"}</definedName>
    <definedName name="_________________________hu5" hidden="1">{"'Sheet1'!$L$16"}</definedName>
    <definedName name="_________________________hu6" hidden="1">{"'Sheet1'!$L$16"}</definedName>
    <definedName name="_______________________h1" hidden="1">{"'Sheet1'!$L$16"}</definedName>
    <definedName name="_______________________hu1" hidden="1">{"'Sheet1'!$L$16"}</definedName>
    <definedName name="_______________________hu2" hidden="1">{"'Sheet1'!$L$16"}</definedName>
    <definedName name="_______________________hu5" hidden="1">{"'Sheet1'!$L$16"}</definedName>
    <definedName name="_______________________hu6" hidden="1">{"'Sheet1'!$L$16"}</definedName>
    <definedName name="______________________a1" hidden="1">{"'Sheet1'!$L$16"}</definedName>
    <definedName name="______________________h1" hidden="1">{"'Sheet1'!$L$16"}</definedName>
    <definedName name="______________________hu1" hidden="1">{"'Sheet1'!$L$16"}</definedName>
    <definedName name="______________________hu2" hidden="1">{"'Sheet1'!$L$16"}</definedName>
    <definedName name="______________________hu5" hidden="1">{"'Sheet1'!$L$16"}</definedName>
    <definedName name="______________________hu6" hidden="1">{"'Sheet1'!$L$16"}</definedName>
    <definedName name="______________________PA3" hidden="1">{"'Sheet1'!$L$16"}</definedName>
    <definedName name="_____________________a129" hidden="1">{"Offgrid",#N/A,FALSE,"OFFGRID";"Region",#N/A,FALSE,"REGION";"Offgrid -2",#N/A,FALSE,"OFFGRID";"WTP",#N/A,FALSE,"WTP";"WTP -2",#N/A,FALSE,"WTP";"Project",#N/A,FALSE,"PROJECT";"Summary -2",#N/A,FALSE,"SUMMARY"}</definedName>
    <definedName name="_____________________a130" hidden="1">{"Offgrid",#N/A,FALSE,"OFFGRID";"Region",#N/A,FALSE,"REGION";"Offgrid -2",#N/A,FALSE,"OFFGRID";"WTP",#N/A,FALSE,"WTP";"WTP -2",#N/A,FALSE,"WTP";"Project",#N/A,FALSE,"PROJECT";"Summary -2",#N/A,FALSE,"SUMMARY"}</definedName>
    <definedName name="_____________________Goi8" hidden="1">{"'Sheet1'!$L$16"}</definedName>
    <definedName name="_____________________h1" hidden="1">{"'Sheet1'!$L$16"}</definedName>
    <definedName name="_____________________hu1" hidden="1">{"'Sheet1'!$L$16"}</definedName>
    <definedName name="_____________________hu2" hidden="1">{"'Sheet1'!$L$16"}</definedName>
    <definedName name="_____________________hu5" hidden="1">{"'Sheet1'!$L$16"}</definedName>
    <definedName name="_____________________hu6" hidden="1">{"'Sheet1'!$L$16"}</definedName>
    <definedName name="_____________________Lan1" hidden="1">{"'Sheet1'!$L$16"}</definedName>
    <definedName name="_____________________LAN3" hidden="1">{"'Sheet1'!$L$16"}</definedName>
    <definedName name="_____________________td1" hidden="1">{"'Sheet1'!$L$16"}</definedName>
    <definedName name="_____________________tt3" hidden="1">{"'Sheet1'!$L$16"}</definedName>
    <definedName name="____________________a1" hidden="1">{"'Sheet1'!$L$16"}</definedName>
    <definedName name="____________________h1" hidden="1">{"'Sheet1'!$L$16"}</definedName>
    <definedName name="____________________hu1" hidden="1">{"'Sheet1'!$L$16"}</definedName>
    <definedName name="____________________hu2" hidden="1">{"'Sheet1'!$L$16"}</definedName>
    <definedName name="____________________hu5" hidden="1">{"'Sheet1'!$L$16"}</definedName>
    <definedName name="____________________hu6" hidden="1">{"'Sheet1'!$L$16"}</definedName>
    <definedName name="____________________PA3" hidden="1">{"'Sheet1'!$L$16"}</definedName>
    <definedName name="___________________a1" hidden="1">{"'Sheet1'!$L$16"}</definedName>
    <definedName name="___________________a129" hidden="1">{"Offgrid",#N/A,FALSE,"OFFGRID";"Region",#N/A,FALSE,"REGION";"Offgrid -2",#N/A,FALSE,"OFFGRID";"WTP",#N/A,FALSE,"WTP";"WTP -2",#N/A,FALSE,"WTP";"Project",#N/A,FALSE,"PROJECT";"Summary -2",#N/A,FALSE,"SUMMARY"}</definedName>
    <definedName name="___________________a130" hidden="1">{"Offgrid",#N/A,FALSE,"OFFGRID";"Region",#N/A,FALSE,"REGION";"Offgrid -2",#N/A,FALSE,"OFFGRID";"WTP",#N/A,FALSE,"WTP";"WTP -2",#N/A,FALSE,"WTP";"Project",#N/A,FALSE,"PROJECT";"Summary -2",#N/A,FALSE,"SUMMARY"}</definedName>
    <definedName name="___________________Goi8" hidden="1">{"'Sheet1'!$L$16"}</definedName>
    <definedName name="___________________h1" hidden="1">{"'Sheet1'!$L$16"}</definedName>
    <definedName name="___________________hu1" hidden="1">{"'Sheet1'!$L$16"}</definedName>
    <definedName name="___________________hu2" hidden="1">{"'Sheet1'!$L$16"}</definedName>
    <definedName name="___________________hu5" hidden="1">{"'Sheet1'!$L$16"}</definedName>
    <definedName name="___________________hu6" hidden="1">{"'Sheet1'!$L$16"}</definedName>
    <definedName name="___________________hu7" hidden="1">{"'Sheet1'!$L$16"}</definedName>
    <definedName name="___________________Lan1" hidden="1">{"'Sheet1'!$L$16"}</definedName>
    <definedName name="___________________LAN3" hidden="1">{"'Sheet1'!$L$16"}</definedName>
    <definedName name="___________________PA3" hidden="1">{"'Sheet1'!$L$16"}</definedName>
    <definedName name="___________________T10" hidden="1">{"'Sheet1'!$L$16"}</definedName>
    <definedName name="___________________td1" hidden="1">{"'Sheet1'!$L$16"}</definedName>
    <definedName name="___________________tt3" hidden="1">{"'Sheet1'!$L$16"}</definedName>
    <definedName name="__________________a129" hidden="1">{"Offgrid",#N/A,FALSE,"OFFGRID";"Region",#N/A,FALSE,"REGION";"Offgrid -2",#N/A,FALSE,"OFFGRID";"WTP",#N/A,FALSE,"WTP";"WTP -2",#N/A,FALSE,"WTP";"Project",#N/A,FALSE,"PROJECT";"Summary -2",#N/A,FALSE,"SUMMARY"}</definedName>
    <definedName name="__________________a130" hidden="1">{"Offgrid",#N/A,FALSE,"OFFGRID";"Region",#N/A,FALSE,"REGION";"Offgrid -2",#N/A,FALSE,"OFFGRID";"WTP",#N/A,FALSE,"WTP";"WTP -2",#N/A,FALSE,"WTP";"Project",#N/A,FALSE,"PROJECT";"Summary -2",#N/A,FALSE,"SUMMARY"}</definedName>
    <definedName name="__________________Goi8" hidden="1">{"'Sheet1'!$L$16"}</definedName>
    <definedName name="__________________h1" hidden="1">{"'Sheet1'!$L$16"}</definedName>
    <definedName name="__________________hu1" hidden="1">{"'Sheet1'!$L$16"}</definedName>
    <definedName name="__________________hu2" hidden="1">{"'Sheet1'!$L$16"}</definedName>
    <definedName name="__________________hu5" hidden="1">{"'Sheet1'!$L$16"}</definedName>
    <definedName name="__________________hu6" hidden="1">{"'Sheet1'!$L$16"}</definedName>
    <definedName name="__________________Lan1" hidden="1">{"'Sheet1'!$L$16"}</definedName>
    <definedName name="__________________LAN3" hidden="1">{"'Sheet1'!$L$16"}</definedName>
    <definedName name="__________________td1" hidden="1">{"'Sheet1'!$L$16"}</definedName>
    <definedName name="__________________tt3" hidden="1">{"'Sheet1'!$L$16"}</definedName>
    <definedName name="_________________a1" hidden="1">{"'Sheet1'!$L$16"}</definedName>
    <definedName name="_________________B19" hidden="1">{"'Sheet1'!$L$16"}</definedName>
    <definedName name="_________________h1" hidden="1">{"'Sheet1'!$L$16"}</definedName>
    <definedName name="_________________hu1" hidden="1">{"'Sheet1'!$L$16"}</definedName>
    <definedName name="_________________hu2" hidden="1">{"'Sheet1'!$L$16"}</definedName>
    <definedName name="_________________hu5" hidden="1">{"'Sheet1'!$L$16"}</definedName>
    <definedName name="_________________hu6" hidden="1">{"'Sheet1'!$L$16"}</definedName>
    <definedName name="_________________hu7" hidden="1">{"'Sheet1'!$L$16"}</definedName>
    <definedName name="_________________m4" hidden="1">{"'Sheet1'!$L$16"}</definedName>
    <definedName name="_________________PA3" hidden="1">{"'Sheet1'!$L$16"}</definedName>
    <definedName name="_________________T10" hidden="1">{"'Sheet1'!$L$16"}</definedName>
    <definedName name="________________a1" hidden="1">{"'Sheet1'!$L$16"}</definedName>
    <definedName name="________________a129" hidden="1">{"Offgrid",#N/A,FALSE,"OFFGRID";"Region",#N/A,FALSE,"REGION";"Offgrid -2",#N/A,FALSE,"OFFGRID";"WTP",#N/A,FALSE,"WTP";"WTP -2",#N/A,FALSE,"WTP";"Project",#N/A,FALSE,"PROJECT";"Summary -2",#N/A,FALSE,"SUMMARY"}</definedName>
    <definedName name="________________a130" hidden="1">{"Offgrid",#N/A,FALSE,"OFFGRID";"Region",#N/A,FALSE,"REGION";"Offgrid -2",#N/A,FALSE,"OFFGRID";"WTP",#N/A,FALSE,"WTP";"WTP -2",#N/A,FALSE,"WTP";"Project",#N/A,FALSE,"PROJECT";"Summary -2",#N/A,FALSE,"SUMMARY"}</definedName>
    <definedName name="________________Goi8" hidden="1">{"'Sheet1'!$L$16"}</definedName>
    <definedName name="________________h1" hidden="1">{"'Sheet1'!$L$16"}</definedName>
    <definedName name="________________hu1" hidden="1">{"'Sheet1'!$L$16"}</definedName>
    <definedName name="________________hu2" hidden="1">{"'Sheet1'!$L$16"}</definedName>
    <definedName name="________________hu5" hidden="1">{"'Sheet1'!$L$16"}</definedName>
    <definedName name="________________hu6" hidden="1">{"'Sheet1'!$L$16"}</definedName>
    <definedName name="________________hu7" hidden="1">{"'Sheet1'!$L$16"}</definedName>
    <definedName name="________________Lan1" hidden="1">{"'Sheet1'!$L$16"}</definedName>
    <definedName name="________________LAN3" hidden="1">{"'Sheet1'!$L$16"}</definedName>
    <definedName name="________________PA3" hidden="1">{"'Sheet1'!$L$16"}</definedName>
    <definedName name="________________T10" hidden="1">{"'Sheet1'!$L$16"}</definedName>
    <definedName name="________________td1" hidden="1">{"'Sheet1'!$L$16"}</definedName>
    <definedName name="________________tt3" hidden="1">{"'Sheet1'!$L$16"}</definedName>
    <definedName name="_______________a1" hidden="1">{"'Sheet1'!$L$16"}</definedName>
    <definedName name="_______________a129" hidden="1">{"Offgrid",#N/A,FALSE,"OFFGRID";"Region",#N/A,FALSE,"REGION";"Offgrid -2",#N/A,FALSE,"OFFGRID";"WTP",#N/A,FALSE,"WTP";"WTP -2",#N/A,FALSE,"WTP";"Project",#N/A,FALSE,"PROJECT";"Summary -2",#N/A,FALSE,"SUMMARY"}</definedName>
    <definedName name="_______________a130" hidden="1">{"Offgrid",#N/A,FALSE,"OFFGRID";"Region",#N/A,FALSE,"REGION";"Offgrid -2",#N/A,FALSE,"OFFGRID";"WTP",#N/A,FALSE,"WTP";"WTP -2",#N/A,FALSE,"WTP";"Project",#N/A,FALSE,"PROJECT";"Summary -2",#N/A,FALSE,"SUMMARY"}</definedName>
    <definedName name="_______________B19" hidden="1">{"'Sheet1'!$L$16"}</definedName>
    <definedName name="_______________Goi8" hidden="1">{"'Sheet1'!$L$16"}</definedName>
    <definedName name="_______________h1" hidden="1">{"'Sheet1'!$L$16"}</definedName>
    <definedName name="_______________hu1" hidden="1">{"'Sheet1'!$L$16"}</definedName>
    <definedName name="_______________hu2" hidden="1">{"'Sheet1'!$L$16"}</definedName>
    <definedName name="_______________hu5" hidden="1">{"'Sheet1'!$L$16"}</definedName>
    <definedName name="_______________hu6" hidden="1">{"'Sheet1'!$L$16"}</definedName>
    <definedName name="_______________Lan1" hidden="1">{"'Sheet1'!$L$16"}</definedName>
    <definedName name="_______________LAN3" hidden="1">{"'Sheet1'!$L$16"}</definedName>
    <definedName name="_______________m4" hidden="1">{"'Sheet1'!$L$16"}</definedName>
    <definedName name="_______________PA3" hidden="1">{"'Sheet1'!$L$16"}</definedName>
    <definedName name="_______________td1" hidden="1">{"'Sheet1'!$L$16"}</definedName>
    <definedName name="_______________tt3" hidden="1">{"'Sheet1'!$L$16"}</definedName>
    <definedName name="______________a1" hidden="1">{"'Sheet1'!$L$16"}</definedName>
    <definedName name="______________a129" hidden="1">{"Offgrid",#N/A,FALSE,"OFFGRID";"Region",#N/A,FALSE,"REGION";"Offgrid -2",#N/A,FALSE,"OFFGRID";"WTP",#N/A,FALSE,"WTP";"WTP -2",#N/A,FALSE,"WTP";"Project",#N/A,FALSE,"PROJECT";"Summary -2",#N/A,FALSE,"SUMMARY"}</definedName>
    <definedName name="______________a130" hidden="1">{"Offgrid",#N/A,FALSE,"OFFGRID";"Region",#N/A,FALSE,"REGION";"Offgrid -2",#N/A,FALSE,"OFFGRID";"WTP",#N/A,FALSE,"WTP";"WTP -2",#N/A,FALSE,"WTP";"Project",#N/A,FALSE,"PROJECT";"Summary -2",#N/A,FALSE,"SUMMARY"}</definedName>
    <definedName name="______________B19" hidden="1">{"'Sheet1'!$L$16"}</definedName>
    <definedName name="______________Goi8" hidden="1">{"'Sheet1'!$L$16"}</definedName>
    <definedName name="______________h1" hidden="1">{"'Sheet1'!$L$16"}</definedName>
    <definedName name="______________hu1" hidden="1">{"'Sheet1'!$L$16"}</definedName>
    <definedName name="______________hu2" hidden="1">{"'Sheet1'!$L$16"}</definedName>
    <definedName name="______________hu5" hidden="1">{"'Sheet1'!$L$16"}</definedName>
    <definedName name="______________hu6" hidden="1">{"'Sheet1'!$L$16"}</definedName>
    <definedName name="______________hu7" hidden="1">{"'Sheet1'!$L$16"}</definedName>
    <definedName name="______________Lan1" hidden="1">{"'Sheet1'!$L$16"}</definedName>
    <definedName name="______________LAN3" hidden="1">{"'Sheet1'!$L$16"}</definedName>
    <definedName name="______________m4" hidden="1">{"'Sheet1'!$L$16"}</definedName>
    <definedName name="______________PA3" hidden="1">{"'Sheet1'!$L$16"}</definedName>
    <definedName name="______________T10" hidden="1">{"'Sheet1'!$L$16"}</definedName>
    <definedName name="______________td1" hidden="1">{"'Sheet1'!$L$16"}</definedName>
    <definedName name="______________tt3" hidden="1">{"'Sheet1'!$L$16"}</definedName>
    <definedName name="_____________a1" hidden="1">{"'Sheet1'!$L$16"}</definedName>
    <definedName name="_____________a129" hidden="1">{"Offgrid",#N/A,FALSE,"OFFGRID";"Region",#N/A,FALSE,"REGION";"Offgrid -2",#N/A,FALSE,"OFFGRID";"WTP",#N/A,FALSE,"WTP";"WTP -2",#N/A,FALSE,"WTP";"Project",#N/A,FALSE,"PROJECT";"Summary -2",#N/A,FALSE,"SUMMARY"}</definedName>
    <definedName name="_____________a130" hidden="1">{"Offgrid",#N/A,FALSE,"OFFGRID";"Region",#N/A,FALSE,"REGION";"Offgrid -2",#N/A,FALSE,"OFFGRID";"WTP",#N/A,FALSE,"WTP";"WTP -2",#N/A,FALSE,"WTP";"Project",#N/A,FALSE,"PROJECT";"Summary -2",#N/A,FALSE,"SUMMARY"}</definedName>
    <definedName name="_____________Goi8" hidden="1">{"'Sheet1'!$L$16"}</definedName>
    <definedName name="_____________h1" hidden="1">{"'Sheet1'!$L$16"}</definedName>
    <definedName name="_____________hu1" hidden="1">{"'Sheet1'!$L$16"}</definedName>
    <definedName name="_____________hu2" hidden="1">{"'Sheet1'!$L$16"}</definedName>
    <definedName name="_____________hu5" hidden="1">{"'Sheet1'!$L$16"}</definedName>
    <definedName name="_____________hu6" hidden="1">{"'Sheet1'!$L$16"}</definedName>
    <definedName name="_____________hu7" hidden="1">{"'Sheet1'!$L$16"}</definedName>
    <definedName name="_____________Lan1" hidden="1">{"'Sheet1'!$L$16"}</definedName>
    <definedName name="_____________LAN3" hidden="1">{"'Sheet1'!$L$16"}</definedName>
    <definedName name="_____________PA3" hidden="1">{"'Sheet1'!$L$16"}</definedName>
    <definedName name="_____________T10" hidden="1">{"'Sheet1'!$L$16"}</definedName>
    <definedName name="_____________td1" hidden="1">{"'Sheet1'!$L$16"}</definedName>
    <definedName name="_____________tt3" hidden="1">{"'Sheet1'!$L$16"}</definedName>
    <definedName name="____________a1" hidden="1">{"'Sheet1'!$L$16"}</definedName>
    <definedName name="____________a129" hidden="1">{"Offgrid",#N/A,FALSE,"OFFGRID";"Region",#N/A,FALSE,"REGION";"Offgrid -2",#N/A,FALSE,"OFFGRID";"WTP",#N/A,FALSE,"WTP";"WTP -2",#N/A,FALSE,"WTP";"Project",#N/A,FALSE,"PROJECT";"Summary -2",#N/A,FALSE,"SUMMARY"}</definedName>
    <definedName name="____________a130" hidden="1">{"Offgrid",#N/A,FALSE,"OFFGRID";"Region",#N/A,FALSE,"REGION";"Offgrid -2",#N/A,FALSE,"OFFGRID";"WTP",#N/A,FALSE,"WTP";"WTP -2",#N/A,FALSE,"WTP";"Project",#N/A,FALSE,"PROJECT";"Summary -2",#N/A,FALSE,"SUMMARY"}</definedName>
    <definedName name="____________B19" hidden="1">{"'Sheet1'!$L$16"}</definedName>
    <definedName name="____________Goi8" hidden="1">{"'Sheet1'!$L$16"}</definedName>
    <definedName name="____________h1" hidden="1">{"'Sheet1'!$L$16"}</definedName>
    <definedName name="____________hu1" hidden="1">{"'Sheet1'!$L$16"}</definedName>
    <definedName name="____________hu2" hidden="1">{"'Sheet1'!$L$16"}</definedName>
    <definedName name="____________hu5" hidden="1">{"'Sheet1'!$L$16"}</definedName>
    <definedName name="____________hu6" hidden="1">{"'Sheet1'!$L$16"}</definedName>
    <definedName name="____________hu7" hidden="1">{"'Sheet1'!$L$16"}</definedName>
    <definedName name="____________Lan1" hidden="1">{"'Sheet1'!$L$16"}</definedName>
    <definedName name="____________LAN3" hidden="1">{"'Sheet1'!$L$16"}</definedName>
    <definedName name="____________m4" hidden="1">{"'Sheet1'!$L$16"}</definedName>
    <definedName name="____________PA3" hidden="1">{"'Sheet1'!$L$16"}</definedName>
    <definedName name="____________T10" hidden="1">{"'Sheet1'!$L$16"}</definedName>
    <definedName name="____________td1" hidden="1">{"'Sheet1'!$L$16"}</definedName>
    <definedName name="____________tt3" hidden="1">{"'Sheet1'!$L$16"}</definedName>
    <definedName name="___________a1" hidden="1">{"'Sheet1'!$L$16"}</definedName>
    <definedName name="___________a129" hidden="1">{"Offgrid",#N/A,FALSE,"OFFGRID";"Region",#N/A,FALSE,"REGION";"Offgrid -2",#N/A,FALSE,"OFFGRID";"WTP",#N/A,FALSE,"WTP";"WTP -2",#N/A,FALSE,"WTP";"Project",#N/A,FALSE,"PROJECT";"Summary -2",#N/A,FALSE,"SUMMARY"}</definedName>
    <definedName name="___________a130" hidden="1">{"Offgrid",#N/A,FALSE,"OFFGRID";"Region",#N/A,FALSE,"REGION";"Offgrid -2",#N/A,FALSE,"OFFGRID";"WTP",#N/A,FALSE,"WTP";"WTP -2",#N/A,FALSE,"WTP";"Project",#N/A,FALSE,"PROJECT";"Summary -2",#N/A,FALSE,"SUMMARY"}</definedName>
    <definedName name="___________B19" hidden="1">{"'Sheet1'!$L$16"}</definedName>
    <definedName name="___________Goi8" hidden="1">{"'Sheet1'!$L$16"}</definedName>
    <definedName name="___________h1" hidden="1">{"'Sheet1'!$L$16"}</definedName>
    <definedName name="___________hu1" hidden="1">{"'Sheet1'!$L$16"}</definedName>
    <definedName name="___________hu2" hidden="1">{"'Sheet1'!$L$16"}</definedName>
    <definedName name="___________hu5" hidden="1">{"'Sheet1'!$L$16"}</definedName>
    <definedName name="___________hu6" hidden="1">{"'Sheet1'!$L$16"}</definedName>
    <definedName name="___________hu7" hidden="1">{"'Sheet1'!$L$16"}</definedName>
    <definedName name="___________Lan1" hidden="1">{"'Sheet1'!$L$16"}</definedName>
    <definedName name="___________LAN3" hidden="1">{"'Sheet1'!$L$16"}</definedName>
    <definedName name="___________m4" hidden="1">{"'Sheet1'!$L$16"}</definedName>
    <definedName name="___________PA3" hidden="1">{"'Sheet1'!$L$16"}</definedName>
    <definedName name="___________T10" hidden="1">{"'Sheet1'!$L$16"}</definedName>
    <definedName name="___________td1" hidden="1">{"'Sheet1'!$L$16"}</definedName>
    <definedName name="___________tt3" hidden="1">{"'Sheet1'!$L$16"}</definedName>
    <definedName name="__________a1" hidden="1">{"'Sheet1'!$L$16"}</definedName>
    <definedName name="__________a129" hidden="1">{"Offgrid",#N/A,FALSE,"OFFGRID";"Region",#N/A,FALSE,"REGION";"Offgrid -2",#N/A,FALSE,"OFFGRID";"WTP",#N/A,FALSE,"WTP";"WTP -2",#N/A,FALSE,"WTP";"Project",#N/A,FALSE,"PROJECT";"Summary -2",#N/A,FALSE,"SUMMARY"}</definedName>
    <definedName name="__________a130" hidden="1">{"Offgrid",#N/A,FALSE,"OFFGRID";"Region",#N/A,FALSE,"REGION";"Offgrid -2",#N/A,FALSE,"OFFGRID";"WTP",#N/A,FALSE,"WTP";"WTP -2",#N/A,FALSE,"WTP";"Project",#N/A,FALSE,"PROJECT";"Summary -2",#N/A,FALSE,"SUMMARY"}</definedName>
    <definedName name="__________B19" hidden="1">{"'Sheet1'!$L$16"}</definedName>
    <definedName name="__________Goi8" hidden="1">{"'Sheet1'!$L$16"}</definedName>
    <definedName name="__________h1" hidden="1">{"'Sheet1'!$L$16"}</definedName>
    <definedName name="__________hu1" hidden="1">{"'Sheet1'!$L$16"}</definedName>
    <definedName name="__________hu2" hidden="1">{"'Sheet1'!$L$16"}</definedName>
    <definedName name="__________hu5" hidden="1">{"'Sheet1'!$L$16"}</definedName>
    <definedName name="__________hu6" hidden="1">{"'Sheet1'!$L$16"}</definedName>
    <definedName name="__________hu7" hidden="1">{"'Sheet1'!$L$16"}</definedName>
    <definedName name="__________Lan1" hidden="1">{"'Sheet1'!$L$16"}</definedName>
    <definedName name="__________LAN3" hidden="1">{"'Sheet1'!$L$16"}</definedName>
    <definedName name="__________m4" hidden="1">{"'Sheet1'!$L$16"}</definedName>
    <definedName name="__________NSO2" hidden="1">{"'Sheet1'!$L$16"}</definedName>
    <definedName name="__________PA3" hidden="1">{"'Sheet1'!$L$16"}</definedName>
    <definedName name="__________T10" hidden="1">{"'Sheet1'!$L$16"}</definedName>
    <definedName name="__________td1" hidden="1">{"'Sheet1'!$L$16"}</definedName>
    <definedName name="__________tt3" hidden="1">{"'Sheet1'!$L$16"}</definedName>
    <definedName name="_________a1" hidden="1">{"'Sheet1'!$L$16"}</definedName>
    <definedName name="_________a129" hidden="1">{"Offgrid",#N/A,FALSE,"OFFGRID";"Region",#N/A,FALSE,"REGION";"Offgrid -2",#N/A,FALSE,"OFFGRID";"WTP",#N/A,FALSE,"WTP";"WTP -2",#N/A,FALSE,"WTP";"Project",#N/A,FALSE,"PROJECT";"Summary -2",#N/A,FALSE,"SUMMARY"}</definedName>
    <definedName name="_________a130" hidden="1">{"Offgrid",#N/A,FALSE,"OFFGRID";"Region",#N/A,FALSE,"REGION";"Offgrid -2",#N/A,FALSE,"OFFGRID";"WTP",#N/A,FALSE,"WTP";"WTP -2",#N/A,FALSE,"WTP";"Project",#N/A,FALSE,"PROJECT";"Summary -2",#N/A,FALSE,"SUMMARY"}</definedName>
    <definedName name="_________B19" hidden="1">{"'Sheet1'!$L$16"}</definedName>
    <definedName name="_________Goi8" hidden="1">{"'Sheet1'!$L$16"}</definedName>
    <definedName name="_________h1" hidden="1">{"'Sheet1'!$L$16"}</definedName>
    <definedName name="_________hu1" hidden="1">{"'Sheet1'!$L$16"}</definedName>
    <definedName name="_________hu2" hidden="1">{"'Sheet1'!$L$16"}</definedName>
    <definedName name="_________hu5" hidden="1">{"'Sheet1'!$L$16"}</definedName>
    <definedName name="_________hu6" hidden="1">{"'Sheet1'!$L$16"}</definedName>
    <definedName name="_________hu7" hidden="1">{"'Sheet1'!$L$16"}</definedName>
    <definedName name="_________Lan1" hidden="1">{"'Sheet1'!$L$16"}</definedName>
    <definedName name="_________LAN3" hidden="1">{"'Sheet1'!$L$16"}</definedName>
    <definedName name="_________m4" hidden="1">{"'Sheet1'!$L$16"}</definedName>
    <definedName name="_________NSO2" hidden="1">{"'Sheet1'!$L$16"}</definedName>
    <definedName name="_________PA3" hidden="1">{"'Sheet1'!$L$16"}</definedName>
    <definedName name="_________T10" hidden="1">{"'Sheet1'!$L$16"}</definedName>
    <definedName name="_________td1" hidden="1">{"'Sheet1'!$L$16"}</definedName>
    <definedName name="_________tt3" hidden="1">{"'Sheet1'!$L$16"}</definedName>
    <definedName name="________a1" hidden="1">{"'Sheet1'!$L$16"}</definedName>
    <definedName name="________a129" hidden="1">{"Offgrid",#N/A,FALSE,"OFFGRID";"Region",#N/A,FALSE,"REGION";"Offgrid -2",#N/A,FALSE,"OFFGRID";"WTP",#N/A,FALSE,"WTP";"WTP -2",#N/A,FALSE,"WTP";"Project",#N/A,FALSE,"PROJECT";"Summary -2",#N/A,FALSE,"SUMMARY"}</definedName>
    <definedName name="________a129_1">{"Offgrid",#N/A,FALSE,"OFFGRID";"Region",#N/A,FALSE,"REGION";"Offgrid -2",#N/A,FALSE,"OFFGRID";"WTP",#N/A,FALSE,"WTP";"WTP -2",#N/A,FALSE,"WTP";"Project",#N/A,FALSE,"PROJECT";"Summary -2",#N/A,FALSE,"SUMMARY"}</definedName>
    <definedName name="________a129_2">{"Offgrid",#N/A,FALSE,"OFFGRID";"Region",#N/A,FALSE,"REGION";"Offgrid -2",#N/A,FALSE,"OFFGRID";"WTP",#N/A,FALSE,"WTP";"WTP -2",#N/A,FALSE,"WTP";"Project",#N/A,FALSE,"PROJECT";"Summary -2",#N/A,FALSE,"SUMMARY"}</definedName>
    <definedName name="________a129_3">{"Offgrid",#N/A,FALSE,"OFFGRID";"Region",#N/A,FALSE,"REGION";"Offgrid -2",#N/A,FALSE,"OFFGRID";"WTP",#N/A,FALSE,"WTP";"WTP -2",#N/A,FALSE,"WTP";"Project",#N/A,FALSE,"PROJECT";"Summary -2",#N/A,FALSE,"SUMMARY"}</definedName>
    <definedName name="________a129_4">{"Offgrid",#N/A,FALSE,"OFFGRID";"Region",#N/A,FALSE,"REGION";"Offgrid -2",#N/A,FALSE,"OFFGRID";"WTP",#N/A,FALSE,"WTP";"WTP -2",#N/A,FALSE,"WTP";"Project",#N/A,FALSE,"PROJECT";"Summary -2",#N/A,FALSE,"SUMMARY"}</definedName>
    <definedName name="________a130" hidden="1">{"Offgrid",#N/A,FALSE,"OFFGRID";"Region",#N/A,FALSE,"REGION";"Offgrid -2",#N/A,FALSE,"OFFGRID";"WTP",#N/A,FALSE,"WTP";"WTP -2",#N/A,FALSE,"WTP";"Project",#N/A,FALSE,"PROJECT";"Summary -2",#N/A,FALSE,"SUMMARY"}</definedName>
    <definedName name="________a130_1">{"Offgrid",#N/A,FALSE,"OFFGRID";"Region",#N/A,FALSE,"REGION";"Offgrid -2",#N/A,FALSE,"OFFGRID";"WTP",#N/A,FALSE,"WTP";"WTP -2",#N/A,FALSE,"WTP";"Project",#N/A,FALSE,"PROJECT";"Summary -2",#N/A,FALSE,"SUMMARY"}</definedName>
    <definedName name="________a130_2">{"Offgrid",#N/A,FALSE,"OFFGRID";"Region",#N/A,FALSE,"REGION";"Offgrid -2",#N/A,FALSE,"OFFGRID";"WTP",#N/A,FALSE,"WTP";"WTP -2",#N/A,FALSE,"WTP";"Project",#N/A,FALSE,"PROJECT";"Summary -2",#N/A,FALSE,"SUMMARY"}</definedName>
    <definedName name="________a130_3">{"Offgrid",#N/A,FALSE,"OFFGRID";"Region",#N/A,FALSE,"REGION";"Offgrid -2",#N/A,FALSE,"OFFGRID";"WTP",#N/A,FALSE,"WTP";"WTP -2",#N/A,FALSE,"WTP";"Project",#N/A,FALSE,"PROJECT";"Summary -2",#N/A,FALSE,"SUMMARY"}</definedName>
    <definedName name="________a130_4">{"Offgrid",#N/A,FALSE,"OFFGRID";"Region",#N/A,FALSE,"REGION";"Offgrid -2",#N/A,FALSE,"OFFGRID";"WTP",#N/A,FALSE,"WTP";"WTP -2",#N/A,FALSE,"WTP";"Project",#N/A,FALSE,"PROJECT";"Summary -2",#N/A,FALSE,"SUMMARY"}</definedName>
    <definedName name="________a2" hidden="1">{"'Sheet1'!$L$16"}</definedName>
    <definedName name="________CT2" hidden="1">{"'Sheet1'!$L$16"}</definedName>
    <definedName name="________Goi8" hidden="1">{"'Sheet1'!$L$16"}</definedName>
    <definedName name="________Goi8_1">{"'Sheet1'!$L$16"}</definedName>
    <definedName name="________Goi8_2">{"'Sheet1'!$L$16"}</definedName>
    <definedName name="________Goi8_3">{"'Sheet1'!$L$16"}</definedName>
    <definedName name="________Goi8_4">{"'Sheet1'!$L$16"}</definedName>
    <definedName name="________h1" hidden="1">{"'Sheet1'!$L$16"}</definedName>
    <definedName name="________h1_1">{"'Sheet1'!$L$16"}</definedName>
    <definedName name="________h1_2">{"'Sheet1'!$L$16"}</definedName>
    <definedName name="________h1_3">{"'Sheet1'!$L$16"}</definedName>
    <definedName name="________h1_4">{"'Sheet1'!$L$16"}</definedName>
    <definedName name="________hu1" hidden="1">{"'Sheet1'!$L$16"}</definedName>
    <definedName name="________hu2" hidden="1">{"'Sheet1'!$L$16"}</definedName>
    <definedName name="________hu5" hidden="1">{"'Sheet1'!$L$16"}</definedName>
    <definedName name="________hu6" hidden="1">{"'Sheet1'!$L$16"}</definedName>
    <definedName name="________hu7" hidden="1">{"'Sheet1'!$L$16"}</definedName>
    <definedName name="________huy1" hidden="1">{"'Sheet1'!$L$16"}</definedName>
    <definedName name="________Lan1" hidden="1">{"'Sheet1'!$L$16"}</definedName>
    <definedName name="________LAN3" hidden="1">{"'Sheet1'!$L$16"}</definedName>
    <definedName name="________m4" hidden="1">{"'Sheet1'!$L$16"}</definedName>
    <definedName name="________NSO2" hidden="1">{"'Sheet1'!$L$16"}</definedName>
    <definedName name="________PA3" hidden="1">{"'Sheet1'!$L$16"}</definedName>
    <definedName name="________T10" hidden="1">{"'Sheet1'!$L$16"}</definedName>
    <definedName name="________td1" hidden="1">{"'Sheet1'!$L$16"}</definedName>
    <definedName name="________TH02" hidden="1">{"'Sheet1'!$L$16"}</definedName>
    <definedName name="________tt3" hidden="1">{"'Sheet1'!$L$16"}</definedName>
    <definedName name="________VLP2" hidden="1">{"'Sheet1'!$L$16"}</definedName>
    <definedName name="_______a1" hidden="1">{"'Sheet1'!$L$16"}</definedName>
    <definedName name="_______a1_1">{"'Sheet1'!$L$16"}</definedName>
    <definedName name="_______a1_2">{"'Sheet1'!$L$16"}</definedName>
    <definedName name="_______a1_3">{"'Sheet1'!$L$16"}</definedName>
    <definedName name="_______a1_4">{"'Sheet1'!$L$16"}</definedName>
    <definedName name="_______a129" hidden="1">{"Offgrid",#N/A,FALSE,"OFFGRID";"Region",#N/A,FALSE,"REGION";"Offgrid -2",#N/A,FALSE,"OFFGRID";"WTP",#N/A,FALSE,"WTP";"WTP -2",#N/A,FALSE,"WTP";"Project",#N/A,FALSE,"PROJECT";"Summary -2",#N/A,FALSE,"SUMMARY"}</definedName>
    <definedName name="_______a130" hidden="1">{"Offgrid",#N/A,FALSE,"OFFGRID";"Region",#N/A,FALSE,"REGION";"Offgrid -2",#N/A,FALSE,"OFFGRID";"WTP",#N/A,FALSE,"WTP";"WTP -2",#N/A,FALSE,"WTP";"Project",#N/A,FALSE,"PROJECT";"Summary -2",#N/A,FALSE,"SUMMARY"}</definedName>
    <definedName name="_______a2" hidden="1">{"'Sheet1'!$L$16"}</definedName>
    <definedName name="_______a2_1">{"'Sheet1'!$L$16"}</definedName>
    <definedName name="_______a2_2">{"'Sheet1'!$L$16"}</definedName>
    <definedName name="_______a2_3">{"'Sheet1'!$L$16"}</definedName>
    <definedName name="_______a2_4">{"'Sheet1'!$L$16"}</definedName>
    <definedName name="_______B19" hidden="1">{"'Sheet1'!$L$16"}</definedName>
    <definedName name="_______cep1" hidden="1">{"'Sheet1'!$L$16"}</definedName>
    <definedName name="_______Goi8" hidden="1">{"'Sheet1'!$L$16"}</definedName>
    <definedName name="_______h1" hidden="1">{"'Sheet1'!$L$16"}</definedName>
    <definedName name="_______hu1" hidden="1">{"'Sheet1'!$L$16"}</definedName>
    <definedName name="_______hu2" hidden="1">{"'Sheet1'!$L$16"}</definedName>
    <definedName name="_______hu5" hidden="1">{"'Sheet1'!$L$16"}</definedName>
    <definedName name="_______hu6" hidden="1">{"'Sheet1'!$L$16"}</definedName>
    <definedName name="_______hu7" hidden="1">{"'Sheet1'!$L$16"}</definedName>
    <definedName name="_______Lan1" hidden="1">{"'Sheet1'!$L$16"}</definedName>
    <definedName name="_______Lan1_1">{"'Sheet1'!$L$16"}</definedName>
    <definedName name="_______Lan1_2">{"'Sheet1'!$L$16"}</definedName>
    <definedName name="_______Lan1_3">{"'Sheet1'!$L$16"}</definedName>
    <definedName name="_______Lan1_4">{"'Sheet1'!$L$16"}</definedName>
    <definedName name="_______LAN3" hidden="1">{"'Sheet1'!$L$16"}</definedName>
    <definedName name="_______LAN3_1">{"'Sheet1'!$L$16"}</definedName>
    <definedName name="_______LAN3_2">{"'Sheet1'!$L$16"}</definedName>
    <definedName name="_______LAN3_3">{"'Sheet1'!$L$16"}</definedName>
    <definedName name="_______LAN3_4">{"'Sheet1'!$L$16"}</definedName>
    <definedName name="_______m4" hidden="1">{"'Sheet1'!$L$16"}</definedName>
    <definedName name="_______NSO2" hidden="1">{"'Sheet1'!$L$16"}</definedName>
    <definedName name="_______PA3" hidden="1">{"'Sheet1'!$L$16"}</definedName>
    <definedName name="_______PA3_1">{"'Sheet1'!$L$16"}</definedName>
    <definedName name="_______PA3_2">{"'Sheet1'!$L$16"}</definedName>
    <definedName name="_______PA3_3">{"'Sheet1'!$L$16"}</definedName>
    <definedName name="_______PA3_4">{"'Sheet1'!$L$16"}</definedName>
    <definedName name="_______T10" hidden="1">{"'Sheet1'!$L$16"}</definedName>
    <definedName name="_______tb2" hidden="1">{"'Sheet1'!$L$16"}</definedName>
    <definedName name="_______td1" hidden="1">{"'Sheet1'!$L$16"}</definedName>
    <definedName name="_______tt3" hidden="1">{"'Sheet1'!$L$16"}</definedName>
    <definedName name="_______tt3_1">{"'Sheet1'!$L$16"}</definedName>
    <definedName name="_______tt3_2">{"'Sheet1'!$L$16"}</definedName>
    <definedName name="_______tt3_3">{"'Sheet1'!$L$16"}</definedName>
    <definedName name="_______tt3_4">{"'Sheet1'!$L$16"}</definedName>
    <definedName name="_______VLP2" hidden="1">{"'Sheet1'!$L$16"}</definedName>
    <definedName name="_______VLP2_1">{"'Sheet1'!$L$16"}</definedName>
    <definedName name="_______VLP2_2">{"'Sheet1'!$L$16"}</definedName>
    <definedName name="_______VLP2_3">{"'Sheet1'!$L$16"}</definedName>
    <definedName name="_______VLP2_4">{"'Sheet1'!$L$16"}</definedName>
    <definedName name="______a1" hidden="1">{"'Sheet1'!$L$16"}</definedName>
    <definedName name="______a129" hidden="1">{"Offgrid",#N/A,FALSE,"OFFGRID";"Region",#N/A,FALSE,"REGION";"Offgrid -2",#N/A,FALSE,"OFFGRID";"WTP",#N/A,FALSE,"WTP";"WTP -2",#N/A,FALSE,"WTP";"Project",#N/A,FALSE,"PROJECT";"Summary -2",#N/A,FALSE,"SUMMARY"}</definedName>
    <definedName name="______a129_1">{"Offgrid",#N/A,FALSE,"OFFGRID";"Region",#N/A,FALSE,"REGION";"Offgrid -2",#N/A,FALSE,"OFFGRID";"WTP",#N/A,FALSE,"WTP";"WTP -2",#N/A,FALSE,"WTP";"Project",#N/A,FALSE,"PROJECT";"Summary -2",#N/A,FALSE,"SUMMARY"}</definedName>
    <definedName name="______a129_2">{"Offgrid",#N/A,FALSE,"OFFGRID";"Region",#N/A,FALSE,"REGION";"Offgrid -2",#N/A,FALSE,"OFFGRID";"WTP",#N/A,FALSE,"WTP";"WTP -2",#N/A,FALSE,"WTP";"Project",#N/A,FALSE,"PROJECT";"Summary -2",#N/A,FALSE,"SUMMARY"}</definedName>
    <definedName name="______a129_3">{"Offgrid",#N/A,FALSE,"OFFGRID";"Region",#N/A,FALSE,"REGION";"Offgrid -2",#N/A,FALSE,"OFFGRID";"WTP",#N/A,FALSE,"WTP";"WTP -2",#N/A,FALSE,"WTP";"Project",#N/A,FALSE,"PROJECT";"Summary -2",#N/A,FALSE,"SUMMARY"}</definedName>
    <definedName name="______a129_4">{"Offgrid",#N/A,FALSE,"OFFGRID";"Region",#N/A,FALSE,"REGION";"Offgrid -2",#N/A,FALSE,"OFFGRID";"WTP",#N/A,FALSE,"WTP";"WTP -2",#N/A,FALSE,"WTP";"Project",#N/A,FALSE,"PROJECT";"Summary -2",#N/A,FALSE,"SUMMARY"}</definedName>
    <definedName name="______a130" hidden="1">{"Offgrid",#N/A,FALSE,"OFFGRID";"Region",#N/A,FALSE,"REGION";"Offgrid -2",#N/A,FALSE,"OFFGRID";"WTP",#N/A,FALSE,"WTP";"WTP -2",#N/A,FALSE,"WTP";"Project",#N/A,FALSE,"PROJECT";"Summary -2",#N/A,FALSE,"SUMMARY"}</definedName>
    <definedName name="______a130_1">{"Offgrid",#N/A,FALSE,"OFFGRID";"Region",#N/A,FALSE,"REGION";"Offgrid -2",#N/A,FALSE,"OFFGRID";"WTP",#N/A,FALSE,"WTP";"WTP -2",#N/A,FALSE,"WTP";"Project",#N/A,FALSE,"PROJECT";"Summary -2",#N/A,FALSE,"SUMMARY"}</definedName>
    <definedName name="______a130_2">{"Offgrid",#N/A,FALSE,"OFFGRID";"Region",#N/A,FALSE,"REGION";"Offgrid -2",#N/A,FALSE,"OFFGRID";"WTP",#N/A,FALSE,"WTP";"WTP -2",#N/A,FALSE,"WTP";"Project",#N/A,FALSE,"PROJECT";"Summary -2",#N/A,FALSE,"SUMMARY"}</definedName>
    <definedName name="______a130_3">{"Offgrid",#N/A,FALSE,"OFFGRID";"Region",#N/A,FALSE,"REGION";"Offgrid -2",#N/A,FALSE,"OFFGRID";"WTP",#N/A,FALSE,"WTP";"WTP -2",#N/A,FALSE,"WTP";"Project",#N/A,FALSE,"PROJECT";"Summary -2",#N/A,FALSE,"SUMMARY"}</definedName>
    <definedName name="______a130_4">{"Offgrid",#N/A,FALSE,"OFFGRID";"Region",#N/A,FALSE,"REGION";"Offgrid -2",#N/A,FALSE,"OFFGRID";"WTP",#N/A,FALSE,"WTP";"WTP -2",#N/A,FALSE,"WTP";"Project",#N/A,FALSE,"PROJECT";"Summary -2",#N/A,FALSE,"SUMMARY"}</definedName>
    <definedName name="______B19" hidden="1">{"'Sheet1'!$L$16"}</definedName>
    <definedName name="______CT2" hidden="1">{"'Sheet1'!$L$16"}</definedName>
    <definedName name="______CT2_1">{"'Sheet1'!$L$16"}</definedName>
    <definedName name="______CT2_2">{"'Sheet1'!$L$16"}</definedName>
    <definedName name="______CT2_3">{"'Sheet1'!$L$16"}</definedName>
    <definedName name="______CT2_4">{"'Sheet1'!$L$16"}</definedName>
    <definedName name="______Goi8" hidden="1">{"'Sheet1'!$L$16"}</definedName>
    <definedName name="______Goi8_1">{"'Sheet1'!$L$16"}</definedName>
    <definedName name="______Goi8_2">{"'Sheet1'!$L$16"}</definedName>
    <definedName name="______Goi8_3">{"'Sheet1'!$L$16"}</definedName>
    <definedName name="______Goi8_4">{"'Sheet1'!$L$16"}</definedName>
    <definedName name="______h1" hidden="1">{"'Sheet1'!$L$16"}</definedName>
    <definedName name="______h1_1">{"'Sheet1'!$L$16"}</definedName>
    <definedName name="______h1_2">{"'Sheet1'!$L$16"}</definedName>
    <definedName name="______h1_3">{"'Sheet1'!$L$16"}</definedName>
    <definedName name="______h1_4">{"'Sheet1'!$L$16"}</definedName>
    <definedName name="______hu1" hidden="1">{"'Sheet1'!$L$16"}</definedName>
    <definedName name="______hu1_1">{"'Sheet1'!$L$16"}</definedName>
    <definedName name="______hu1_2">{"'Sheet1'!$L$16"}</definedName>
    <definedName name="______hu1_3">{"'Sheet1'!$L$16"}</definedName>
    <definedName name="______hu1_4">{"'Sheet1'!$L$16"}</definedName>
    <definedName name="______hu2" hidden="1">{"'Sheet1'!$L$16"}</definedName>
    <definedName name="______hu2_1">{"'Sheet1'!$L$16"}</definedName>
    <definedName name="______hu2_2">{"'Sheet1'!$L$16"}</definedName>
    <definedName name="______hu2_3">{"'Sheet1'!$L$16"}</definedName>
    <definedName name="______hu2_4">{"'Sheet1'!$L$16"}</definedName>
    <definedName name="______hu5" hidden="1">{"'Sheet1'!$L$16"}</definedName>
    <definedName name="______hu5_1">{"'Sheet1'!$L$16"}</definedName>
    <definedName name="______hu5_2">{"'Sheet1'!$L$16"}</definedName>
    <definedName name="______hu5_3">{"'Sheet1'!$L$16"}</definedName>
    <definedName name="______hu5_4">{"'Sheet1'!$L$16"}</definedName>
    <definedName name="______hu6" hidden="1">{"'Sheet1'!$L$16"}</definedName>
    <definedName name="______hu6_1">{"'Sheet1'!$L$16"}</definedName>
    <definedName name="______hu6_2">{"'Sheet1'!$L$16"}</definedName>
    <definedName name="______hu6_3">{"'Sheet1'!$L$16"}</definedName>
    <definedName name="______hu6_4">{"'Sheet1'!$L$16"}</definedName>
    <definedName name="______hu7" hidden="1">{"'Sheet1'!$L$16"}</definedName>
    <definedName name="______huy1" hidden="1">{"'Sheet1'!$L$16"}</definedName>
    <definedName name="______huy1_1">{"'Sheet1'!$L$16"}</definedName>
    <definedName name="______huy1_2">{"'Sheet1'!$L$16"}</definedName>
    <definedName name="______huy1_3">{"'Sheet1'!$L$16"}</definedName>
    <definedName name="______huy1_4">{"'Sheet1'!$L$16"}</definedName>
    <definedName name="______Lan1" hidden="1">{"'Sheet1'!$L$16"}</definedName>
    <definedName name="______LAN3" hidden="1">{"'Sheet1'!$L$16"}</definedName>
    <definedName name="______m1233" hidden="1">{"'Sheet1'!$L$16"}</definedName>
    <definedName name="______m4" hidden="1">{"'Sheet1'!$L$16"}</definedName>
    <definedName name="______NSO2" hidden="1">{"'Sheet1'!$L$16"}</definedName>
    <definedName name="______PA3" hidden="1">{"'Sheet1'!$L$16"}</definedName>
    <definedName name="______T10" hidden="1">{"'Sheet1'!$L$16"}</definedName>
    <definedName name="______td1" hidden="1">{"'Sheet1'!$L$16"}</definedName>
    <definedName name="______TH02" hidden="1">{"'Sheet1'!$L$16"}</definedName>
    <definedName name="______TH02_1">{"'Sheet1'!$L$16"}</definedName>
    <definedName name="______TH02_2">{"'Sheet1'!$L$16"}</definedName>
    <definedName name="______TH02_3">{"'Sheet1'!$L$16"}</definedName>
    <definedName name="______TH02_4">{"'Sheet1'!$L$16"}</definedName>
    <definedName name="______tt3" hidden="1">{"'Sheet1'!$L$16"}</definedName>
    <definedName name="______z511" hidden="1">{"'Sheet1'!$L$16"}</definedName>
    <definedName name="_____a1" hidden="1">{"'Sheet1'!$L$16"}</definedName>
    <definedName name="_____a1_1">{"'Sheet1'!$L$16"}</definedName>
    <definedName name="_____a1_2">{"'Sheet1'!$L$16"}</definedName>
    <definedName name="_____a1_3">{"'Sheet1'!$L$16"}</definedName>
    <definedName name="_____a1_4">{"'Sheet1'!$L$16"}</definedName>
    <definedName name="_____a129" hidden="1">{"Offgrid",#N/A,FALSE,"OFFGRID";"Region",#N/A,FALSE,"REGION";"Offgrid -2",#N/A,FALSE,"OFFGRID";"WTP",#N/A,FALSE,"WTP";"WTP -2",#N/A,FALSE,"WTP";"Project",#N/A,FALSE,"PROJECT";"Summary -2",#N/A,FALSE,"SUMMARY"}</definedName>
    <definedName name="_____a129_1">{"Offgrid",#N/A,FALSE,"OFFGRID";"Region",#N/A,FALSE,"REGION";"Offgrid -2",#N/A,FALSE,"OFFGRID";"WTP",#N/A,FALSE,"WTP";"WTP -2",#N/A,FALSE,"WTP";"Project",#N/A,FALSE,"PROJECT";"Summary -2",#N/A,FALSE,"SUMMARY"}</definedName>
    <definedName name="_____a129_2">{"Offgrid",#N/A,FALSE,"OFFGRID";"Region",#N/A,FALSE,"REGION";"Offgrid -2",#N/A,FALSE,"OFFGRID";"WTP",#N/A,FALSE,"WTP";"WTP -2",#N/A,FALSE,"WTP";"Project",#N/A,FALSE,"PROJECT";"Summary -2",#N/A,FALSE,"SUMMARY"}</definedName>
    <definedName name="_____a129_3">{"Offgrid",#N/A,FALSE,"OFFGRID";"Region",#N/A,FALSE,"REGION";"Offgrid -2",#N/A,FALSE,"OFFGRID";"WTP",#N/A,FALSE,"WTP";"WTP -2",#N/A,FALSE,"WTP";"Project",#N/A,FALSE,"PROJECT";"Summary -2",#N/A,FALSE,"SUMMARY"}</definedName>
    <definedName name="_____a129_4">{"Offgrid",#N/A,FALSE,"OFFGRID";"Region",#N/A,FALSE,"REGION";"Offgrid -2",#N/A,FALSE,"OFFGRID";"WTP",#N/A,FALSE,"WTP";"WTP -2",#N/A,FALSE,"WTP";"Project",#N/A,FALSE,"PROJECT";"Summary -2",#N/A,FALSE,"SUMMARY"}</definedName>
    <definedName name="_____a130" hidden="1">{"Offgrid",#N/A,FALSE,"OFFGRID";"Region",#N/A,FALSE,"REGION";"Offgrid -2",#N/A,FALSE,"OFFGRID";"WTP",#N/A,FALSE,"WTP";"WTP -2",#N/A,FALSE,"WTP";"Project",#N/A,FALSE,"PROJECT";"Summary -2",#N/A,FALSE,"SUMMARY"}</definedName>
    <definedName name="_____a130_1">{"Offgrid",#N/A,FALSE,"OFFGRID";"Region",#N/A,FALSE,"REGION";"Offgrid -2",#N/A,FALSE,"OFFGRID";"WTP",#N/A,FALSE,"WTP";"WTP -2",#N/A,FALSE,"WTP";"Project",#N/A,FALSE,"PROJECT";"Summary -2",#N/A,FALSE,"SUMMARY"}</definedName>
    <definedName name="_____a130_2">{"Offgrid",#N/A,FALSE,"OFFGRID";"Region",#N/A,FALSE,"REGION";"Offgrid -2",#N/A,FALSE,"OFFGRID";"WTP",#N/A,FALSE,"WTP";"WTP -2",#N/A,FALSE,"WTP";"Project",#N/A,FALSE,"PROJECT";"Summary -2",#N/A,FALSE,"SUMMARY"}</definedName>
    <definedName name="_____a130_3">{"Offgrid",#N/A,FALSE,"OFFGRID";"Region",#N/A,FALSE,"REGION";"Offgrid -2",#N/A,FALSE,"OFFGRID";"WTP",#N/A,FALSE,"WTP";"WTP -2",#N/A,FALSE,"WTP";"Project",#N/A,FALSE,"PROJECT";"Summary -2",#N/A,FALSE,"SUMMARY"}</definedName>
    <definedName name="_____a130_4">{"Offgrid",#N/A,FALSE,"OFFGRID";"Region",#N/A,FALSE,"REGION";"Offgrid -2",#N/A,FALSE,"OFFGRID";"WTP",#N/A,FALSE,"WTP";"WTP -2",#N/A,FALSE,"WTP";"Project",#N/A,FALSE,"PROJECT";"Summary -2",#N/A,FALSE,"SUMMARY"}</definedName>
    <definedName name="_____a15" hidden="1">{"'Sheet1'!$L$16"}</definedName>
    <definedName name="_____a2" hidden="1">{"'Sheet1'!$L$16"}</definedName>
    <definedName name="_____a2_1">{"'Sheet1'!$L$16"}</definedName>
    <definedName name="_____a2_2">{"'Sheet1'!$L$16"}</definedName>
    <definedName name="_____a2_3">{"'Sheet1'!$L$16"}</definedName>
    <definedName name="_____a2_4">{"'Sheet1'!$L$16"}</definedName>
    <definedName name="_____B19" hidden="1">{"'Sheet1'!$L$16"}</definedName>
    <definedName name="_____cep1" hidden="1">{"'Sheet1'!$L$16"}</definedName>
    <definedName name="_____CT2" hidden="1">{"'Sheet1'!$L$16"}</definedName>
    <definedName name="_____d1500" hidden="1">{"'Sheet1'!$L$16"}</definedName>
    <definedName name="_____E1200" hidden="1">{"'Sheet1'!$L$16"}</definedName>
    <definedName name="_____Goi8" hidden="1">{"'Sheet1'!$L$16"}</definedName>
    <definedName name="_____Goi8_1">{"'Sheet1'!$L$16"}</definedName>
    <definedName name="_____Goi8_2">{"'Sheet1'!$L$16"}</definedName>
    <definedName name="_____Goi8_3">{"'Sheet1'!$L$16"}</definedName>
    <definedName name="_____Goi8_4">{"'Sheet1'!$L$16"}</definedName>
    <definedName name="_____h1" hidden="1">{"'Sheet1'!$L$16"}</definedName>
    <definedName name="_____h1_1">{"'Sheet1'!$L$16"}</definedName>
    <definedName name="_____h1_2">{"'Sheet1'!$L$16"}</definedName>
    <definedName name="_____h1_3">{"'Sheet1'!$L$16"}</definedName>
    <definedName name="_____h1_4">{"'Sheet1'!$L$16"}</definedName>
    <definedName name="_____hu1" hidden="1">{"'Sheet1'!$L$16"}</definedName>
    <definedName name="_____hu2" hidden="1">{"'Sheet1'!$L$16"}</definedName>
    <definedName name="_____hu5" hidden="1">{"'Sheet1'!$L$16"}</definedName>
    <definedName name="_____hu6" hidden="1">{"'Sheet1'!$L$16"}</definedName>
    <definedName name="_____hu7" hidden="1">{"'Sheet1'!$L$16"}</definedName>
    <definedName name="_____huy1" hidden="1">{"'Sheet1'!$L$16"}</definedName>
    <definedName name="_____km15" hidden="1">{"'Sheet1'!$L$16"}</definedName>
    <definedName name="_____Lan1" hidden="1">{"'Sheet1'!$L$16"}</definedName>
    <definedName name="_____Lan1_1">{"'Sheet1'!$L$16"}</definedName>
    <definedName name="_____Lan1_2">{"'Sheet1'!$L$16"}</definedName>
    <definedName name="_____Lan1_3">{"'Sheet1'!$L$16"}</definedName>
    <definedName name="_____Lan1_4">{"'Sheet1'!$L$16"}</definedName>
    <definedName name="_____LAN3" hidden="1">{"'Sheet1'!$L$16"}</definedName>
    <definedName name="_____LAN3_1">{"'Sheet1'!$L$16"}</definedName>
    <definedName name="_____LAN3_2">{"'Sheet1'!$L$16"}</definedName>
    <definedName name="_____LAN3_3">{"'Sheet1'!$L$16"}</definedName>
    <definedName name="_____LAN3_4">{"'Sheet1'!$L$16"}</definedName>
    <definedName name="_____m1233" hidden="1">{"'Sheet1'!$L$16"}</definedName>
    <definedName name="_____M2" hidden="1">{"'Sheet1'!$L$16"}</definedName>
    <definedName name="_____m4" hidden="1">{"'Sheet1'!$L$16"}</definedName>
    <definedName name="_____NSO2" hidden="1">{"'Sheet1'!$L$16"}</definedName>
    <definedName name="_____PA3" hidden="1">{"'Sheet1'!$L$16"}</definedName>
    <definedName name="_____PA3_1">{"'Sheet1'!$L$16"}</definedName>
    <definedName name="_____PA3_2">{"'Sheet1'!$L$16"}</definedName>
    <definedName name="_____PA3_3">{"'Sheet1'!$L$16"}</definedName>
    <definedName name="_____PA3_4">{"'Sheet1'!$L$16"}</definedName>
    <definedName name="_____T10" hidden="1">{"'Sheet1'!$L$16"}</definedName>
    <definedName name="_____tb2" hidden="1">{"'Sheet1'!$L$16"}</definedName>
    <definedName name="_____td1" hidden="1">{"'Sheet1'!$L$16"}</definedName>
    <definedName name="_____TH02" hidden="1">{"'Sheet1'!$L$16"}</definedName>
    <definedName name="_____tt3" hidden="1">{"'Sheet1'!$L$16"}</definedName>
    <definedName name="_____tt3_1">{"'Sheet1'!$L$16"}</definedName>
    <definedName name="_____tt3_2">{"'Sheet1'!$L$16"}</definedName>
    <definedName name="_____tt3_3">{"'Sheet1'!$L$16"}</definedName>
    <definedName name="_____tt3_4">{"'Sheet1'!$L$16"}</definedName>
    <definedName name="_____VLP2" hidden="1">{"'Sheet1'!$L$16"}</definedName>
    <definedName name="_____VLP2_1">{"'Sheet1'!$L$16"}</definedName>
    <definedName name="_____VLP2_2">{"'Sheet1'!$L$16"}</definedName>
    <definedName name="_____VLP2_3">{"'Sheet1'!$L$16"}</definedName>
    <definedName name="_____VLP2_4">{"'Sheet1'!$L$16"}</definedName>
    <definedName name="_____z511" hidden="1">{"'Sheet1'!$L$16"}</definedName>
    <definedName name="____a1" hidden="1">{"'Sheet1'!$L$16"}</definedName>
    <definedName name="____a1_1">{"'Sheet1'!$L$16"}</definedName>
    <definedName name="____a1_2">{"'Sheet1'!$L$16"}</definedName>
    <definedName name="____a1_3">{"'Sheet1'!$L$16"}</definedName>
    <definedName name="____a1_4">{"'Sheet1'!$L$16"}</definedName>
    <definedName name="____a129" hidden="1">{"Offgrid",#N/A,FALSE,"OFFGRID";"Region",#N/A,FALSE,"REGION";"Offgrid -2",#N/A,FALSE,"OFFGRID";"WTP",#N/A,FALSE,"WTP";"WTP -2",#N/A,FALSE,"WTP";"Project",#N/A,FALSE,"PROJECT";"Summary -2",#N/A,FALSE,"SUMMARY"}</definedName>
    <definedName name="____a130" hidden="1">{"Offgrid",#N/A,FALSE,"OFFGRID";"Region",#N/A,FALSE,"REGION";"Offgrid -2",#N/A,FALSE,"OFFGRID";"WTP",#N/A,FALSE,"WTP";"WTP -2",#N/A,FALSE,"WTP";"Project",#N/A,FALSE,"PROJECT";"Summary -2",#N/A,FALSE,"SUMMARY"}</definedName>
    <definedName name="____a15" hidden="1">{"'Sheet1'!$L$16"}</definedName>
    <definedName name="____a2" hidden="1">{"'Sheet1'!$L$16"}</definedName>
    <definedName name="____a2_1">{"'Sheet1'!$L$16"}</definedName>
    <definedName name="____a2_2">{"'Sheet1'!$L$16"}</definedName>
    <definedName name="____a2_3">{"'Sheet1'!$L$16"}</definedName>
    <definedName name="____a2_4">{"'Sheet1'!$L$16"}</definedName>
    <definedName name="____a3" hidden="1">{"'Sheet1'!$L$16"}</definedName>
    <definedName name="____B19" hidden="1">{"'Sheet1'!$L$16"}</definedName>
    <definedName name="____cep1" hidden="1">{"'Sheet1'!$L$16"}</definedName>
    <definedName name="____Coc39" hidden="1">{"'Sheet1'!$L$16"}</definedName>
    <definedName name="____CT2" hidden="1">{"'Sheet1'!$L$16"}</definedName>
    <definedName name="____CT2_1">{"'Sheet1'!$L$16"}</definedName>
    <definedName name="____CT2_2">{"'Sheet1'!$L$16"}</definedName>
    <definedName name="____CT2_3">{"'Sheet1'!$L$16"}</definedName>
    <definedName name="____CT2_4">{"'Sheet1'!$L$16"}</definedName>
    <definedName name="____d1500" hidden="1">{"'Sheet1'!$L$16"}</definedName>
    <definedName name="____E1200" hidden="1">{"'Sheet1'!$L$16"}</definedName>
    <definedName name="____Goi8" hidden="1">{"'Sheet1'!$L$16"}</definedName>
    <definedName name="____h1" hidden="1">{"'Sheet1'!$L$16"}</definedName>
    <definedName name="____htm1" hidden="1">{"'Sheet1'!$L$16"}</definedName>
    <definedName name="____hu1" hidden="1">{"'Sheet1'!$L$16"}</definedName>
    <definedName name="____hu1_1">{"'Sheet1'!$L$16"}</definedName>
    <definedName name="____hu1_2">{"'Sheet1'!$L$16"}</definedName>
    <definedName name="____hu1_3">{"'Sheet1'!$L$16"}</definedName>
    <definedName name="____hu1_4">{"'Sheet1'!$L$16"}</definedName>
    <definedName name="____hu2" hidden="1">{"'Sheet1'!$L$16"}</definedName>
    <definedName name="____hu2_1">{"'Sheet1'!$L$16"}</definedName>
    <definedName name="____hu2_2">{"'Sheet1'!$L$16"}</definedName>
    <definedName name="____hu2_3">{"'Sheet1'!$L$16"}</definedName>
    <definedName name="____hu2_4">{"'Sheet1'!$L$16"}</definedName>
    <definedName name="____hu5" hidden="1">{"'Sheet1'!$L$16"}</definedName>
    <definedName name="____hu5_1">{"'Sheet1'!$L$16"}</definedName>
    <definedName name="____hu5_2">{"'Sheet1'!$L$16"}</definedName>
    <definedName name="____hu5_3">{"'Sheet1'!$L$16"}</definedName>
    <definedName name="____hu5_4">{"'Sheet1'!$L$16"}</definedName>
    <definedName name="____hu6" hidden="1">{"'Sheet1'!$L$16"}</definedName>
    <definedName name="____hu6_1">{"'Sheet1'!$L$16"}</definedName>
    <definedName name="____hu6_2">{"'Sheet1'!$L$16"}</definedName>
    <definedName name="____hu6_3">{"'Sheet1'!$L$16"}</definedName>
    <definedName name="____hu6_4">{"'Sheet1'!$L$16"}</definedName>
    <definedName name="____hu7" hidden="1">{"'Sheet1'!$L$16"}</definedName>
    <definedName name="____huy1" hidden="1">{"'Sheet1'!$L$16"}</definedName>
    <definedName name="____huy1_1">{"'Sheet1'!$L$16"}</definedName>
    <definedName name="____huy1_2">{"'Sheet1'!$L$16"}</definedName>
    <definedName name="____huy1_3">{"'Sheet1'!$L$16"}</definedName>
    <definedName name="____huy1_4">{"'Sheet1'!$L$16"}</definedName>
    <definedName name="____KL3" hidden="1">{"'Sheet1'!$L$16"}</definedName>
    <definedName name="____km15" hidden="1">{"'Sheet1'!$L$16"}</definedName>
    <definedName name="____km212" hidden="1">{"'Sheet1'!$L$16"}</definedName>
    <definedName name="____Lan1" hidden="1">{"'Sheet1'!$L$16"}</definedName>
    <definedName name="____Lan1_1">{"'Sheet1'!$L$16"}</definedName>
    <definedName name="____Lan1_2">{"'Sheet1'!$L$16"}</definedName>
    <definedName name="____Lan1_3">{"'Sheet1'!$L$16"}</definedName>
    <definedName name="____Lan1_4">{"'Sheet1'!$L$16"}</definedName>
    <definedName name="____LAN3" hidden="1">{"'Sheet1'!$L$16"}</definedName>
    <definedName name="____LAN3_1">{"'Sheet1'!$L$16"}</definedName>
    <definedName name="____LAN3_2">{"'Sheet1'!$L$16"}</definedName>
    <definedName name="____LAN3_3">{"'Sheet1'!$L$16"}</definedName>
    <definedName name="____LAN3_4">{"'Sheet1'!$L$16"}</definedName>
    <definedName name="____lk2" hidden="1">{"'Sheet1'!$L$16"}</definedName>
    <definedName name="____m1233" hidden="1">{"'Sheet1'!$L$16"}</definedName>
    <definedName name="____M2" hidden="1">{"'Sheet1'!$L$16"}</definedName>
    <definedName name="____m4" hidden="1">{"'Sheet1'!$L$16"}</definedName>
    <definedName name="____NSO2" hidden="1">{"'Sheet1'!$L$16"}</definedName>
    <definedName name="____PA3" hidden="1">{"'Sheet1'!$L$16"}</definedName>
    <definedName name="____PA3_1">{"'Sheet1'!$L$16"}</definedName>
    <definedName name="____PA3_2">{"'Sheet1'!$L$16"}</definedName>
    <definedName name="____PA3_3">{"'Sheet1'!$L$16"}</definedName>
    <definedName name="____PA3_4">{"'Sheet1'!$L$16"}</definedName>
    <definedName name="____pa4" hidden="1">{"'Sheet1'!$L$16"}</definedName>
    <definedName name="____S1" hidden="1">{"'Sheet1'!$L$16"}</definedName>
    <definedName name="____T10" hidden="1">{"'Sheet1'!$L$16"}</definedName>
    <definedName name="____tb2" hidden="1">{"'Sheet1'!$L$16"}</definedName>
    <definedName name="____td1" hidden="1">{"'Sheet1'!$L$16"}</definedName>
    <definedName name="____TH02" hidden="1">{"'Sheet1'!$L$16"}</definedName>
    <definedName name="____TH02_1">{"'Sheet1'!$L$16"}</definedName>
    <definedName name="____TH02_2">{"'Sheet1'!$L$16"}</definedName>
    <definedName name="____TH02_3">{"'Sheet1'!$L$16"}</definedName>
    <definedName name="____TH02_4">{"'Sheet1'!$L$16"}</definedName>
    <definedName name="____tt3" hidden="1">{"'Sheet1'!$L$16"}</definedName>
    <definedName name="____tt3_1">{"'Sheet1'!$L$16"}</definedName>
    <definedName name="____tt3_2">{"'Sheet1'!$L$16"}</definedName>
    <definedName name="____tt3_3">{"'Sheet1'!$L$16"}</definedName>
    <definedName name="____tt3_4">{"'Sheet1'!$L$16"}</definedName>
    <definedName name="____TT31" hidden="1">{"'Sheet1'!$L$16"}</definedName>
    <definedName name="____v1" hidden="1">{"'Sheet1'!$L$16"}</definedName>
    <definedName name="____VLP2" hidden="1">{"'Sheet1'!$L$16"}</definedName>
    <definedName name="____VLP2_1">{"'Sheet1'!$L$16"}</definedName>
    <definedName name="____VLP2_2">{"'Sheet1'!$L$16"}</definedName>
    <definedName name="____VLP2_3">{"'Sheet1'!$L$16"}</definedName>
    <definedName name="____VLP2_4">{"'Sheet1'!$L$16"}</definedName>
    <definedName name="____z511" hidden="1">{"'Sheet1'!$L$16"}</definedName>
    <definedName name="___a1" hidden="1">{"'Sheet1'!$L$16"}</definedName>
    <definedName name="___a129" hidden="1">{"Offgrid",#N/A,FALSE,"OFFGRID";"Region",#N/A,FALSE,"REGION";"Offgrid -2",#N/A,FALSE,"OFFGRID";"WTP",#N/A,FALSE,"WTP";"WTP -2",#N/A,FALSE,"WTP";"Project",#N/A,FALSE,"PROJECT";"Summary -2",#N/A,FALSE,"SUMMARY"}</definedName>
    <definedName name="___a129_1">{"Offgrid",#N/A,FALSE,"OFFGRID";"Region",#N/A,FALSE,"REGION";"Offgrid -2",#N/A,FALSE,"OFFGRID";"WTP",#N/A,FALSE,"WTP";"WTP -2",#N/A,FALSE,"WTP";"Project",#N/A,FALSE,"PROJECT";"Summary -2",#N/A,FALSE,"SUMMARY"}</definedName>
    <definedName name="___a129_2">{"Offgrid",#N/A,FALSE,"OFFGRID";"Region",#N/A,FALSE,"REGION";"Offgrid -2",#N/A,FALSE,"OFFGRID";"WTP",#N/A,FALSE,"WTP";"WTP -2",#N/A,FALSE,"WTP";"Project",#N/A,FALSE,"PROJECT";"Summary -2",#N/A,FALSE,"SUMMARY"}</definedName>
    <definedName name="___a129_3">{"Offgrid",#N/A,FALSE,"OFFGRID";"Region",#N/A,FALSE,"REGION";"Offgrid -2",#N/A,FALSE,"OFFGRID";"WTP",#N/A,FALSE,"WTP";"WTP -2",#N/A,FALSE,"WTP";"Project",#N/A,FALSE,"PROJECT";"Summary -2",#N/A,FALSE,"SUMMARY"}</definedName>
    <definedName name="___a129_4">{"Offgrid",#N/A,FALSE,"OFFGRID";"Region",#N/A,FALSE,"REGION";"Offgrid -2",#N/A,FALSE,"OFFGRID";"WTP",#N/A,FALSE,"WTP";"WTP -2",#N/A,FALSE,"WTP";"Project",#N/A,FALSE,"PROJECT";"Summary -2",#N/A,FALSE,"SUMMARY"}</definedName>
    <definedName name="___a130" hidden="1">{"Offgrid",#N/A,FALSE,"OFFGRID";"Region",#N/A,FALSE,"REGION";"Offgrid -2",#N/A,FALSE,"OFFGRID";"WTP",#N/A,FALSE,"WTP";"WTP -2",#N/A,FALSE,"WTP";"Project",#N/A,FALSE,"PROJECT";"Summary -2",#N/A,FALSE,"SUMMARY"}</definedName>
    <definedName name="___a130_1">{"Offgrid",#N/A,FALSE,"OFFGRID";"Region",#N/A,FALSE,"REGION";"Offgrid -2",#N/A,FALSE,"OFFGRID";"WTP",#N/A,FALSE,"WTP";"WTP -2",#N/A,FALSE,"WTP";"Project",#N/A,FALSE,"PROJECT";"Summary -2",#N/A,FALSE,"SUMMARY"}</definedName>
    <definedName name="___a130_2">{"Offgrid",#N/A,FALSE,"OFFGRID";"Region",#N/A,FALSE,"REGION";"Offgrid -2",#N/A,FALSE,"OFFGRID";"WTP",#N/A,FALSE,"WTP";"WTP -2",#N/A,FALSE,"WTP";"Project",#N/A,FALSE,"PROJECT";"Summary -2",#N/A,FALSE,"SUMMARY"}</definedName>
    <definedName name="___a130_3">{"Offgrid",#N/A,FALSE,"OFFGRID";"Region",#N/A,FALSE,"REGION";"Offgrid -2",#N/A,FALSE,"OFFGRID";"WTP",#N/A,FALSE,"WTP";"WTP -2",#N/A,FALSE,"WTP";"Project",#N/A,FALSE,"PROJECT";"Summary -2",#N/A,FALSE,"SUMMARY"}</definedName>
    <definedName name="___a130_4">{"Offgrid",#N/A,FALSE,"OFFGRID";"Region",#N/A,FALSE,"REGION";"Offgrid -2",#N/A,FALSE,"OFFGRID";"WTP",#N/A,FALSE,"WTP";"WTP -2",#N/A,FALSE,"WTP";"Project",#N/A,FALSE,"PROJECT";"Summary -2",#N/A,FALSE,"SUMMARY"}</definedName>
    <definedName name="___a15" hidden="1">{"'Sheet1'!$L$16"}</definedName>
    <definedName name="___a2" hidden="1">{"'Sheet1'!$L$16"}</definedName>
    <definedName name="___a3" hidden="1">{"'Sheet1'!$L$16"}</definedName>
    <definedName name="___B19" hidden="1">{"'Sheet1'!$L$16"}</definedName>
    <definedName name="___cep1" hidden="1">{"'Sheet1'!$L$16"}</definedName>
    <definedName name="___CT2" hidden="1">{"'Sheet1'!$L$16"}</definedName>
    <definedName name="___CT2_1">{"'Sheet1'!$L$16"}</definedName>
    <definedName name="___CT2_2">{"'Sheet1'!$L$16"}</definedName>
    <definedName name="___CT2_3">{"'Sheet1'!$L$16"}</definedName>
    <definedName name="___CT2_4">{"'Sheet1'!$L$16"}</definedName>
    <definedName name="___d1500" hidden="1">{"'Sheet1'!$L$16"}</definedName>
    <definedName name="___E1200" hidden="1">{"'Sheet1'!$L$16"}</definedName>
    <definedName name="___Goi8" hidden="1">{"'Sheet1'!$L$16"}</definedName>
    <definedName name="___Goi8_1">{"'Sheet1'!$L$16"}</definedName>
    <definedName name="___Goi8_2">{"'Sheet1'!$L$16"}</definedName>
    <definedName name="___Goi8_3">{"'Sheet1'!$L$16"}</definedName>
    <definedName name="___Goi8_4">{"'Sheet1'!$L$16"}</definedName>
    <definedName name="___h1" hidden="1">{"'Sheet1'!$L$16"}</definedName>
    <definedName name="___h1_1">{"'Sheet1'!$L$16"}</definedName>
    <definedName name="___h1_2">{"'Sheet1'!$L$16"}</definedName>
    <definedName name="___h1_3">{"'Sheet1'!$L$16"}</definedName>
    <definedName name="___h1_4">{"'Sheet1'!$L$16"}</definedName>
    <definedName name="___hsm2">1.1289</definedName>
    <definedName name="___hu1" hidden="1">{"'Sheet1'!$L$16"}</definedName>
    <definedName name="___hu1_1">{"'Sheet1'!$L$16"}</definedName>
    <definedName name="___hu1_2">{"'Sheet1'!$L$16"}</definedName>
    <definedName name="___hu1_3">{"'Sheet1'!$L$16"}</definedName>
    <definedName name="___hu1_4">{"'Sheet1'!$L$16"}</definedName>
    <definedName name="___hu2" hidden="1">{"'Sheet1'!$L$16"}</definedName>
    <definedName name="___hu2_1">{"'Sheet1'!$L$16"}</definedName>
    <definedName name="___hu2_2">{"'Sheet1'!$L$16"}</definedName>
    <definedName name="___hu2_3">{"'Sheet1'!$L$16"}</definedName>
    <definedName name="___hu2_4">{"'Sheet1'!$L$16"}</definedName>
    <definedName name="___hu5" hidden="1">{"'Sheet1'!$L$16"}</definedName>
    <definedName name="___hu5_1">{"'Sheet1'!$L$16"}</definedName>
    <definedName name="___hu5_2">{"'Sheet1'!$L$16"}</definedName>
    <definedName name="___hu5_3">{"'Sheet1'!$L$16"}</definedName>
    <definedName name="___hu5_4">{"'Sheet1'!$L$16"}</definedName>
    <definedName name="___hu6" hidden="1">{"'Sheet1'!$L$16"}</definedName>
    <definedName name="___hu6_1">{"'Sheet1'!$L$16"}</definedName>
    <definedName name="___hu6_2">{"'Sheet1'!$L$16"}</definedName>
    <definedName name="___hu6_3">{"'Sheet1'!$L$16"}</definedName>
    <definedName name="___hu6_4">{"'Sheet1'!$L$16"}</definedName>
    <definedName name="___hu7" hidden="1">{"'Sheet1'!$L$16"}</definedName>
    <definedName name="___huy1" hidden="1">{"'Sheet1'!$L$16"}</definedName>
    <definedName name="___huy1_1">{"'Sheet1'!$L$16"}</definedName>
    <definedName name="___huy1_2">{"'Sheet1'!$L$16"}</definedName>
    <definedName name="___huy1_3">{"'Sheet1'!$L$16"}</definedName>
    <definedName name="___huy1_4">{"'Sheet1'!$L$16"}</definedName>
    <definedName name="___KL3" hidden="1">{"'Sheet1'!$L$16"}</definedName>
    <definedName name="___km15" hidden="1">{"'Sheet1'!$L$16"}</definedName>
    <definedName name="___km212" hidden="1">{"'Sheet1'!$L$16"}</definedName>
    <definedName name="___Lan1" hidden="1">{"'Sheet1'!$L$16"}</definedName>
    <definedName name="___LAN3" hidden="1">{"'Sheet1'!$L$16"}</definedName>
    <definedName name="___m1233" hidden="1">{"'Sheet1'!$L$16"}</definedName>
    <definedName name="___M2" hidden="1">{"'Sheet1'!$L$16"}</definedName>
    <definedName name="___m4" hidden="1">{"'Sheet1'!$L$16"}</definedName>
    <definedName name="___Nii3">[1]B1.CN!$M$13</definedName>
    <definedName name="___Nii5">[1]B1.CN!$M$22</definedName>
    <definedName name="___NSO2" hidden="1">{"'Sheet1'!$L$16"}</definedName>
    <definedName name="___PA3" hidden="1">{"'Sheet1'!$L$16"}</definedName>
    <definedName name="___T10" hidden="1">{"'Sheet1'!$L$16"}</definedName>
    <definedName name="___tb2" hidden="1">{"'Sheet1'!$L$16"}</definedName>
    <definedName name="___td1" hidden="1">{"'Sheet1'!$L$16"}</definedName>
    <definedName name="___TH02" hidden="1">{"'Sheet1'!$L$16"}</definedName>
    <definedName name="___TH02_1">{"'Sheet1'!$L$16"}</definedName>
    <definedName name="___TH02_2">{"'Sheet1'!$L$16"}</definedName>
    <definedName name="___TH02_3">{"'Sheet1'!$L$16"}</definedName>
    <definedName name="___TH02_4">{"'Sheet1'!$L$16"}</definedName>
    <definedName name="___tt3" hidden="1">{"'Sheet1'!$L$16"}</definedName>
    <definedName name="___VLP2" hidden="1">{"'Sheet1'!$L$16"}</definedName>
    <definedName name="___z511" hidden="1">{"'Sheet1'!$L$16"}</definedName>
    <definedName name="__a1" hidden="1">{"'Sheet1'!$L$16"}</definedName>
    <definedName name="__a1_1">{"'Sheet1'!$L$16"}</definedName>
    <definedName name="__a1_2">{"'Sheet1'!$L$16"}</definedName>
    <definedName name="__a1_3">{"'Sheet1'!$L$16"}</definedName>
    <definedName name="__a1_4">{"'Sheet1'!$L$16"}</definedName>
    <definedName name="__a129"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a15" hidden="1">{"'Sheet1'!$L$16"}</definedName>
    <definedName name="__a2" hidden="1">{"'Sheet1'!$L$16"}</definedName>
    <definedName name="__a2_1">{"'Sheet1'!$L$16"}</definedName>
    <definedName name="__a2_2">{"'Sheet1'!$L$16"}</definedName>
    <definedName name="__a2_3">{"'Sheet1'!$L$16"}</definedName>
    <definedName name="__a2_4">{"'Sheet1'!$L$16"}</definedName>
    <definedName name="__B19" hidden="1">{"'Sheet1'!$L$16"}</definedName>
    <definedName name="__bt2">{"Thuxm2.xls","Sheet1"}</definedName>
    <definedName name="__cep1" hidden="1">{"'Sheet1'!$L$16"}</definedName>
    <definedName name="__CT2" hidden="1">{"'Sheet1'!$L$16"}</definedName>
    <definedName name="__CT2_1">{"'Sheet1'!$L$16"}</definedName>
    <definedName name="__CT2_2">{"'Sheet1'!$L$16"}</definedName>
    <definedName name="__CT2_3">{"'Sheet1'!$L$16"}</definedName>
    <definedName name="__CT2_4">{"'Sheet1'!$L$16"}</definedName>
    <definedName name="__d1500" hidden="1">{"'Sheet1'!$L$16"}</definedName>
    <definedName name="__E1200" hidden="1">{"'Sheet1'!$L$16"}</definedName>
    <definedName name="__Goi8" hidden="1">{"'Sheet1'!$L$16"}</definedName>
    <definedName name="__h1" hidden="1">{"'Sheet1'!$L$16"}</definedName>
    <definedName name="__hsm2">1.1289</definedName>
    <definedName name="__hu1" hidden="1">{"'Sheet1'!$L$16"}</definedName>
    <definedName name="__hu1_1">{"'Sheet1'!$L$16"}</definedName>
    <definedName name="__hu1_2">{"'Sheet1'!$L$16"}</definedName>
    <definedName name="__hu1_3">{"'Sheet1'!$L$16"}</definedName>
    <definedName name="__hu1_4">{"'Sheet1'!$L$16"}</definedName>
    <definedName name="__hu2" hidden="1">{"'Sheet1'!$L$16"}</definedName>
    <definedName name="__hu2_1">{"'Sheet1'!$L$16"}</definedName>
    <definedName name="__hu2_2">{"'Sheet1'!$L$16"}</definedName>
    <definedName name="__hu2_3">{"'Sheet1'!$L$16"}</definedName>
    <definedName name="__hu2_4">{"'Sheet1'!$L$16"}</definedName>
    <definedName name="__hu5" hidden="1">{"'Sheet1'!$L$16"}</definedName>
    <definedName name="__hu5_1">{"'Sheet1'!$L$16"}</definedName>
    <definedName name="__hu5_2">{"'Sheet1'!$L$16"}</definedName>
    <definedName name="__hu5_3">{"'Sheet1'!$L$16"}</definedName>
    <definedName name="__hu5_4">{"'Sheet1'!$L$16"}</definedName>
    <definedName name="__hu6" hidden="1">{"'Sheet1'!$L$16"}</definedName>
    <definedName name="__hu6_1">{"'Sheet1'!$L$16"}</definedName>
    <definedName name="__hu6_2">{"'Sheet1'!$L$16"}</definedName>
    <definedName name="__hu6_3">{"'Sheet1'!$L$16"}</definedName>
    <definedName name="__hu6_4">{"'Sheet1'!$L$16"}</definedName>
    <definedName name="__hu7" hidden="1">{"'Sheet1'!$L$16"}</definedName>
    <definedName name="__huy1" hidden="1">{"'Sheet1'!$L$16"}</definedName>
    <definedName name="__huy1_1">{"'Sheet1'!$L$16"}</definedName>
    <definedName name="__huy1_2">{"'Sheet1'!$L$16"}</definedName>
    <definedName name="__huy1_3">{"'Sheet1'!$L$16"}</definedName>
    <definedName name="__huy1_4">{"'Sheet1'!$L$16"}</definedName>
    <definedName name="__IntlFixup" hidden="1">TRUE</definedName>
    <definedName name="__KL3" hidden="1">{"'Sheet1'!$L$16"}</definedName>
    <definedName name="__km15" hidden="1">{"'Sheet1'!$L$16"}</definedName>
    <definedName name="__km212" hidden="1">{"'Sheet1'!$L$16"}</definedName>
    <definedName name="__Lan1" hidden="1">{"'Sheet1'!$L$16"}</definedName>
    <definedName name="__Lan1_1">{"'Sheet1'!$L$16"}</definedName>
    <definedName name="__Lan1_2">{"'Sheet1'!$L$16"}</definedName>
    <definedName name="__Lan1_3">{"'Sheet1'!$L$16"}</definedName>
    <definedName name="__Lan1_4">{"'Sheet1'!$L$16"}</definedName>
    <definedName name="__LAN3" hidden="1">{"'Sheet1'!$L$16"}</definedName>
    <definedName name="__LAN3_1">{"'Sheet1'!$L$16"}</definedName>
    <definedName name="__LAN3_2">{"'Sheet1'!$L$16"}</definedName>
    <definedName name="__LAN3_3">{"'Sheet1'!$L$16"}</definedName>
    <definedName name="__LAN3_4">{"'Sheet1'!$L$16"}</definedName>
    <definedName name="__m1233" hidden="1">{"'Sheet1'!$L$16"}</definedName>
    <definedName name="__M2" hidden="1">{"'Sheet1'!$L$16"}</definedName>
    <definedName name="__m4" hidden="1">{"'Sheet1'!$L$16"}</definedName>
    <definedName name="__ne2">{"ÿÿÿÿÿ","DT cau tam Ha trinh 7.xls","DT cau tam Ha trinh 3.xls"}</definedName>
    <definedName name="__Nii2">[2]B1.CN!$M$10</definedName>
    <definedName name="__Nii3">'[3]Nhân công '!$M$13</definedName>
    <definedName name="__Nii4">'[4]NC Tuyen'!$E$16</definedName>
    <definedName name="__Nii5">[2]B1.CN!$M$21</definedName>
    <definedName name="__Nii6">[2]B1.CN!$M$24</definedName>
    <definedName name="__Nii7">[2]B1.CN!$M$25</definedName>
    <definedName name="__NSO2" hidden="1">{"'Sheet1'!$L$16"}</definedName>
    <definedName name="__PA3" hidden="1">{"'Sheet1'!$L$16"}</definedName>
    <definedName name="__PA3_1">{"'Sheet1'!$L$16"}</definedName>
    <definedName name="__PA3_2">{"'Sheet1'!$L$16"}</definedName>
    <definedName name="__PA3_3">{"'Sheet1'!$L$16"}</definedName>
    <definedName name="__PA3_4">{"'Sheet1'!$L$16"}</definedName>
    <definedName name="__PLT5">{"Thuxm2.xls","Sheet1"}</definedName>
    <definedName name="__T10" hidden="1">{"'Sheet1'!$L$16"}</definedName>
    <definedName name="__T7">{"Thuxm2.xls","Sheet1"}</definedName>
    <definedName name="__tb2" hidden="1">{"'Sheet1'!$L$16"}</definedName>
    <definedName name="__td1" hidden="1">{"'Sheet1'!$L$16"}</definedName>
    <definedName name="__TH02" hidden="1">{"'Sheet1'!$L$16"}</definedName>
    <definedName name="__TH02_1">{"'Sheet1'!$L$16"}</definedName>
    <definedName name="__TH02_2">{"'Sheet1'!$L$16"}</definedName>
    <definedName name="__TH02_3">{"'Sheet1'!$L$16"}</definedName>
    <definedName name="__TH02_4">{"'Sheet1'!$L$16"}</definedName>
    <definedName name="__thu2">{"Thuxm2.xls","Sheet1"}</definedName>
    <definedName name="__tt3" hidden="1">{"'Sheet1'!$L$16"}</definedName>
    <definedName name="__tt3_1">{"'Sheet1'!$L$16"}</definedName>
    <definedName name="__tt3_2">{"'Sheet1'!$L$16"}</definedName>
    <definedName name="__tt3_3">{"'Sheet1'!$L$16"}</definedName>
    <definedName name="__tt3_4">{"'Sheet1'!$L$16"}</definedName>
    <definedName name="__VLP2" hidden="1">{"'Sheet1'!$L$16"}</definedName>
    <definedName name="__VLP2_1">{"'Sheet1'!$L$16"}</definedName>
    <definedName name="__VLP2_2">{"'Sheet1'!$L$16"}</definedName>
    <definedName name="__VLP2_3">{"'Sheet1'!$L$16"}</definedName>
    <definedName name="__VLP2_4">{"'Sheet1'!$L$16"}</definedName>
    <definedName name="__z511" hidden="1">{"'Sheet1'!$L$16"}</definedName>
    <definedName name="_01_11_2001">NA()</definedName>
    <definedName name="_1_64">NA()</definedName>
    <definedName name="_1_75">NA()</definedName>
    <definedName name="_1_83">NA()</definedName>
    <definedName name="_1_97">NA()</definedName>
    <definedName name="_10____0ten_" localSheetId="0" hidden="1">#REF!</definedName>
    <definedName name="_10____0ten_" hidden="1">#REF!</definedName>
    <definedName name="_10_0xoa_" localSheetId="0" hidden="1">#REF!</definedName>
    <definedName name="_10_0xoa_" hidden="1">#REF!</definedName>
    <definedName name="_1000A01">NA()</definedName>
    <definedName name="_1000A01_64">NA()</definedName>
    <definedName name="_1000A01_75">NA()</definedName>
    <definedName name="_1000A01_83">NA()</definedName>
    <definedName name="_1000A01_97">NA()</definedName>
    <definedName name="_12____0xoa_" localSheetId="0" hidden="1">#REF!</definedName>
    <definedName name="_12____0xoa_" hidden="1">#REF!</definedName>
    <definedName name="_14___0ten_" localSheetId="0" hidden="1">#REF!</definedName>
    <definedName name="_14___0ten_" hidden="1">#REF!</definedName>
    <definedName name="_16___0xoa_" localSheetId="0" hidden="1">#REF!</definedName>
    <definedName name="_16___0xoa_" hidden="1">#REF!</definedName>
    <definedName name="_2_______0ten_" localSheetId="0" hidden="1">#REF!</definedName>
    <definedName name="_2_______0ten_" hidden="1">#REF!</definedName>
    <definedName name="_2_64">NA()</definedName>
    <definedName name="_2_75">NA()</definedName>
    <definedName name="_2_83">NA()</definedName>
    <definedName name="_2_97">NA()</definedName>
    <definedName name="_21_0ten_" localSheetId="0" hidden="1">#REF!</definedName>
    <definedName name="_21_0ten_" hidden="1">#REF!</definedName>
    <definedName name="_26_0xoa_" localSheetId="0" hidden="1">#REF!</definedName>
    <definedName name="_26_0xoa_" hidden="1">#REF!</definedName>
    <definedName name="_4_______0xoa_" localSheetId="0" hidden="1">#REF!</definedName>
    <definedName name="_4_______0xoa_" hidden="1">#REF!</definedName>
    <definedName name="_40x4">5100</definedName>
    <definedName name="_413565">"hdong+Sheet1!$A$2:$J$24263!$A$13374"</definedName>
    <definedName name="_5_0ten_" localSheetId="0" hidden="1">#REF!</definedName>
    <definedName name="_5_0ten_" hidden="1">#REF!</definedName>
    <definedName name="_6_____0ten_" localSheetId="0" hidden="1">#REF!</definedName>
    <definedName name="_6_____0ten_" hidden="1">#REF!</definedName>
    <definedName name="_8_____0xoa_" localSheetId="0" hidden="1">#REF!</definedName>
    <definedName name="_8_____0xoa_" hidden="1">#REF!</definedName>
    <definedName name="_a1" hidden="1">{"'Sheet1'!$L$16"}</definedName>
    <definedName name="_a1_1">{"'Sheet1'!$L$16"}</definedName>
    <definedName name="_a1_2">{"'Sheet1'!$L$16"}</definedName>
    <definedName name="_a1_3">{"'Sheet1'!$L$16"}</definedName>
    <definedName name="_a1_4">{"'Sheet1'!$L$16"}</definedName>
    <definedName name="_a1_5">{"'Sheet1'!$L$16"}</definedName>
    <definedName name="_a1_6">{"'Sheet1'!$L$16"}</definedName>
    <definedName name="_a1_7">{"'Sheet1'!$L$16"}</definedName>
    <definedName name="_a129_1">{"Offgrid",#N/A,FALSE,"OFFGRID";"Region",#N/A,FALSE,"REGION";"Offgrid -2",#N/A,FALSE,"OFFGRID";"WTP",#N/A,FALSE,"WTP";"WTP -2",#N/A,FALSE,"WTP";"Project",#N/A,FALSE,"PROJECT";"Summary -2",#N/A,FALSE,"SUMMARY"}</definedName>
    <definedName name="_a129_2">{"Offgrid",#N/A,FALSE,"OFFGRID";"Region",#N/A,FALSE,"REGION";"Offgrid -2",#N/A,FALSE,"OFFGRID";"WTP",#N/A,FALSE,"WTP";"WTP -2",#N/A,FALSE,"WTP";"Project",#N/A,FALSE,"PROJECT";"Summary -2",#N/A,FALSE,"SUMMARY"}</definedName>
    <definedName name="_a129_3">{"Offgrid",#N/A,FALSE,"OFFGRID";"Region",#N/A,FALSE,"REGION";"Offgrid -2",#N/A,FALSE,"OFFGRID";"WTP",#N/A,FALSE,"WTP";"WTP -2",#N/A,FALSE,"WTP";"Project",#N/A,FALSE,"PROJECT";"Summary -2",#N/A,FALSE,"SUMMARY"}</definedName>
    <definedName name="_a129_4">{"Offgrid",#N/A,FALSE,"OFFGRID";"Region",#N/A,FALSE,"REGION";"Offgrid -2",#N/A,FALSE,"OFFGRID";"WTP",#N/A,FALSE,"WTP";"WTP -2",#N/A,FALSE,"WTP";"Project",#N/A,FALSE,"PROJECT";"Summary -2",#N/A,FALSE,"SUMMARY"}</definedName>
    <definedName name="_a129_5">{"Offgrid",#N/A,FALSE,"OFFGRID";"Region",#N/A,FALSE,"REGION";"Offgrid -2",#N/A,FALSE,"OFFGRID";"WTP",#N/A,FALSE,"WTP";"WTP -2",#N/A,FALSE,"WTP";"Project",#N/A,FALSE,"PROJECT";"Summary -2",#N/A,FALSE,"SUMMARY"}</definedName>
    <definedName name="_a129_6">{"Offgrid",#N/A,FALSE,"OFFGRID";"Region",#N/A,FALSE,"REGION";"Offgrid -2",#N/A,FALSE,"OFFGRID";"WTP",#N/A,FALSE,"WTP";"WTP -2",#N/A,FALSE,"WTP";"Project",#N/A,FALSE,"PROJECT";"Summary -2",#N/A,FALSE,"SUMMARY"}</definedName>
    <definedName name="_a129_7">{"Offgrid",#N/A,FALSE,"OFFGRID";"Region",#N/A,FALSE,"REGION";"Offgrid -2",#N/A,FALSE,"OFFGRID";"WTP",#N/A,FALSE,"WTP";"WTP -2",#N/A,FALSE,"WTP";"Project",#N/A,FALSE,"PROJECT";"Summary -2",#N/A,FALSE,"SUMMARY"}</definedName>
    <definedName name="_a130_1">{"Offgrid",#N/A,FALSE,"OFFGRID";"Region",#N/A,FALSE,"REGION";"Offgrid -2",#N/A,FALSE,"OFFGRID";"WTP",#N/A,FALSE,"WTP";"WTP -2",#N/A,FALSE,"WTP";"Project",#N/A,FALSE,"PROJECT";"Summary -2",#N/A,FALSE,"SUMMARY"}</definedName>
    <definedName name="_a130_2">{"Offgrid",#N/A,FALSE,"OFFGRID";"Region",#N/A,FALSE,"REGION";"Offgrid -2",#N/A,FALSE,"OFFGRID";"WTP",#N/A,FALSE,"WTP";"WTP -2",#N/A,FALSE,"WTP";"Project",#N/A,FALSE,"PROJECT";"Summary -2",#N/A,FALSE,"SUMMARY"}</definedName>
    <definedName name="_a130_3">{"Offgrid",#N/A,FALSE,"OFFGRID";"Region",#N/A,FALSE,"REGION";"Offgrid -2",#N/A,FALSE,"OFFGRID";"WTP",#N/A,FALSE,"WTP";"WTP -2",#N/A,FALSE,"WTP";"Project",#N/A,FALSE,"PROJECT";"Summary -2",#N/A,FALSE,"SUMMARY"}</definedName>
    <definedName name="_a130_4">{"Offgrid",#N/A,FALSE,"OFFGRID";"Region",#N/A,FALSE,"REGION";"Offgrid -2",#N/A,FALSE,"OFFGRID";"WTP",#N/A,FALSE,"WTP";"WTP -2",#N/A,FALSE,"WTP";"Project",#N/A,FALSE,"PROJECT";"Summary -2",#N/A,FALSE,"SUMMARY"}</definedName>
    <definedName name="_a130_5">{"Offgrid",#N/A,FALSE,"OFFGRID";"Region",#N/A,FALSE,"REGION";"Offgrid -2",#N/A,FALSE,"OFFGRID";"WTP",#N/A,FALSE,"WTP";"WTP -2",#N/A,FALSE,"WTP";"Project",#N/A,FALSE,"PROJECT";"Summary -2",#N/A,FALSE,"SUMMARY"}</definedName>
    <definedName name="_a130_6">{"Offgrid",#N/A,FALSE,"OFFGRID";"Region",#N/A,FALSE,"REGION";"Offgrid -2",#N/A,FALSE,"OFFGRID";"WTP",#N/A,FALSE,"WTP";"WTP -2",#N/A,FALSE,"WTP";"Project",#N/A,FALSE,"PROJECT";"Summary -2",#N/A,FALSE,"SUMMARY"}</definedName>
    <definedName name="_a130_7">{"Offgrid",#N/A,FALSE,"OFFGRID";"Region",#N/A,FALSE,"REGION";"Offgrid -2",#N/A,FALSE,"OFFGRID";"WTP",#N/A,FALSE,"WTP";"WTP -2",#N/A,FALSE,"WTP";"Project",#N/A,FALSE,"PROJECT";"Summary -2",#N/A,FALSE,"SUMMARY"}</definedName>
    <definedName name="_a15" hidden="1">{"'Sheet1'!$L$16"}</definedName>
    <definedName name="_a2" hidden="1">{"'Sheet1'!$L$16"}</definedName>
    <definedName name="_a2_1">{"'Sheet1'!$L$16"}</definedName>
    <definedName name="_a2_2">{"'Sheet1'!$L$16"}</definedName>
    <definedName name="_a2_3">{"'Sheet1'!$L$16"}</definedName>
    <definedName name="_a2_4">{"'Sheet1'!$L$16"}</definedName>
    <definedName name="_a2_5">{"'Sheet1'!$L$16"}</definedName>
    <definedName name="_a3" hidden="1">{"'Sheet1'!$L$16"}</definedName>
    <definedName name="_B19" hidden="1">{"'Sheet1'!$L$16"}</definedName>
    <definedName name="_cep1" hidden="1">{"'Sheet1'!$L$16"}</definedName>
    <definedName name="_ChonSoDo" localSheetId="0">#N/A</definedName>
    <definedName name="_ChonSoDo">[0]!_ChonSoDo</definedName>
    <definedName name="_ChonSoDo_75" localSheetId="0">'phân chia trước điều chỉnh'!_ChonSoDo</definedName>
    <definedName name="_ChonSoDo_75">_ChonSoDo</definedName>
    <definedName name="_Coc39" hidden="1">{"'Sheet1'!$L$16"}</definedName>
    <definedName name="_Coc39_1">{"'Sheet1'!$L$16"}</definedName>
    <definedName name="_Coc39_2">{"'Sheet1'!$L$16"}</definedName>
    <definedName name="_Cot" localSheetId="0">#N/A</definedName>
    <definedName name="_Cot">[0]!_Cot</definedName>
    <definedName name="_CT2" hidden="1">{"'Sheet1'!$L$16"}</definedName>
    <definedName name="_CT2_1">{"'Sheet1'!$L$16"}</definedName>
    <definedName name="_CT2_2">{"'Sheet1'!$L$16"}</definedName>
    <definedName name="_CT2_3">{"'Sheet1'!$L$16"}</definedName>
    <definedName name="_CT2_4">{"'Sheet1'!$L$16"}</definedName>
    <definedName name="_CT2_5">{"'Sheet1'!$L$16"}</definedName>
    <definedName name="_d1500" hidden="1">{"'Sheet1'!$L$16"}</definedName>
    <definedName name="_DayNeo" localSheetId="0">#N/A</definedName>
    <definedName name="_DayNeo">[0]!_DayNeo</definedName>
    <definedName name="_E1200" hidden="1">{"'Sheet1'!$L$16"}</definedName>
    <definedName name="_Fill" localSheetId="0" hidden="1">#REF!</definedName>
    <definedName name="_Fill" hidden="1">#REF!</definedName>
    <definedName name="_xlnm._FilterDatabase" localSheetId="0" hidden="1">#REF!</definedName>
    <definedName name="_xlnm._FilterDatabase" hidden="1">#REF!</definedName>
    <definedName name="_Goi8" hidden="1">{"'Sheet1'!$L$16"}</definedName>
    <definedName name="_Goi8_1">{"'Sheet1'!$L$16"}</definedName>
    <definedName name="_Goi8_2">{"'Sheet1'!$L$16"}</definedName>
    <definedName name="_Goi8_3">{"'Sheet1'!$L$16"}</definedName>
    <definedName name="_Goi8_4">{"'Sheet1'!$L$16"}</definedName>
    <definedName name="_Goi8_5">{"'Sheet1'!$L$16"}</definedName>
    <definedName name="_Goi8_6">{"'Sheet1'!$L$16"}</definedName>
    <definedName name="_Goi8_7">{"'Sheet1'!$L$16"}</definedName>
    <definedName name="_h1" hidden="1">{"'Sheet1'!$L$16"}</definedName>
    <definedName name="_h1_1">{"'Sheet1'!$L$16"}</definedName>
    <definedName name="_h1_2">{"'Sheet1'!$L$16"}</definedName>
    <definedName name="_h1_3">{"'Sheet1'!$L$16"}</definedName>
    <definedName name="_h1_4">{"'Sheet1'!$L$16"}</definedName>
    <definedName name="_h1_5">{"'Sheet1'!$L$16"}</definedName>
    <definedName name="_hsm2">1.1289</definedName>
    <definedName name="_ht10" hidden="1">{"'Sheet1'!$L$16"}</definedName>
    <definedName name="_htm1" hidden="1">{"'Sheet1'!$L$16"}</definedName>
    <definedName name="_htm1_1">{"'Sheet1'!$L$16"}</definedName>
    <definedName name="_htm1_2">{"'Sheet1'!$L$16"}</definedName>
    <definedName name="_hu1_1">{"'Sheet1'!$L$16"}</definedName>
    <definedName name="_hu1_2">{"'Sheet1'!$L$16"}</definedName>
    <definedName name="_hu1_3">{"'Sheet1'!$L$16"}</definedName>
    <definedName name="_hu1_4">{"'Sheet1'!$L$16"}</definedName>
    <definedName name="_hu1_5">{"'Sheet1'!$L$16"}</definedName>
    <definedName name="_hu1_6">{"'Sheet1'!$L$16"}</definedName>
    <definedName name="_hu1_7">{"'Sheet1'!$L$16"}</definedName>
    <definedName name="_hu2_1">{"'Sheet1'!$L$16"}</definedName>
    <definedName name="_hu2_2">{"'Sheet1'!$L$16"}</definedName>
    <definedName name="_hu2_3">{"'Sheet1'!$L$16"}</definedName>
    <definedName name="_hu2_4">{"'Sheet1'!$L$16"}</definedName>
    <definedName name="_hu2_5">{"'Sheet1'!$L$16"}</definedName>
    <definedName name="_hu2_6">{"'Sheet1'!$L$16"}</definedName>
    <definedName name="_hu2_7">{"'Sheet1'!$L$16"}</definedName>
    <definedName name="_hu5_1">{"'Sheet1'!$L$16"}</definedName>
    <definedName name="_hu5_2">{"'Sheet1'!$L$16"}</definedName>
    <definedName name="_hu5_3">{"'Sheet1'!$L$16"}</definedName>
    <definedName name="_hu5_4">{"'Sheet1'!$L$16"}</definedName>
    <definedName name="_hu5_5">{"'Sheet1'!$L$16"}</definedName>
    <definedName name="_hu5_6">{"'Sheet1'!$L$16"}</definedName>
    <definedName name="_hu5_7">{"'Sheet1'!$L$16"}</definedName>
    <definedName name="_hu6" hidden="1">{"'Sheet1'!$L$16"}</definedName>
    <definedName name="_hu6_1">{"'Sheet1'!$L$16"}</definedName>
    <definedName name="_hu6_2">{"'Sheet1'!$L$16"}</definedName>
    <definedName name="_hu6_3">{"'Sheet1'!$L$16"}</definedName>
    <definedName name="_hu6_4">{"'Sheet1'!$L$16"}</definedName>
    <definedName name="_hu6_5">{"'Sheet1'!$L$16"}</definedName>
    <definedName name="_hu6_6">{"'Sheet1'!$L$16"}</definedName>
    <definedName name="_hu6_7">{"'Sheet1'!$L$16"}</definedName>
    <definedName name="_huy1" hidden="1">{"'Sheet1'!$L$16"}</definedName>
    <definedName name="_huy1_1">{"'Sheet1'!$L$16"}</definedName>
    <definedName name="_huy1_2">{"'Sheet1'!$L$16"}</definedName>
    <definedName name="_huy1_3">{"'Sheet1'!$L$16"}</definedName>
    <definedName name="_huy1_4">{"'Sheet1'!$L$16"}</definedName>
    <definedName name="_huy1_5">{"'Sheet1'!$L$16"}</definedName>
    <definedName name="_k1" hidden="1">{"'Sheet1'!$L$16"}</definedName>
    <definedName name="_k27" hidden="1">{"'Sheet1'!$L$16"}</definedName>
    <definedName name="_Kcdon" localSheetId="0">#N/A</definedName>
    <definedName name="_Kcdon">[0]!_Kcdon</definedName>
    <definedName name="_Key1" localSheetId="0" hidden="1">#REF!</definedName>
    <definedName name="_Key1" hidden="1">#REF!</definedName>
    <definedName name="_KEY11" localSheetId="0" hidden="1">#REF!</definedName>
    <definedName name="_KEY11" hidden="1">#REF!</definedName>
    <definedName name="_Key2" localSheetId="0" hidden="1">#REF!</definedName>
    <definedName name="_Key2" hidden="1">#REF!</definedName>
    <definedName name="_KL3" hidden="1">{"'Sheet1'!$L$16"}</definedName>
    <definedName name="_km15" hidden="1">{"'Sheet1'!$L$16"}</definedName>
    <definedName name="_km212" hidden="1">{"'Sheet1'!$L$16"}</definedName>
    <definedName name="_KyHieu" localSheetId="0">#N/A</definedName>
    <definedName name="_KyHieu">[0]!_KyHieu</definedName>
    <definedName name="_Lan1" hidden="1">{"'Sheet1'!$L$16"}</definedName>
    <definedName name="_Lan1_1">{"'Sheet1'!$L$16"}</definedName>
    <definedName name="_Lan1_2">{"'Sheet1'!$L$16"}</definedName>
    <definedName name="_Lan1_3">{"'Sheet1'!$L$16"}</definedName>
    <definedName name="_Lan1_4">{"'Sheet1'!$L$16"}</definedName>
    <definedName name="_Lan1_5">{"'Sheet1'!$L$16"}</definedName>
    <definedName name="_Lan1_6">{"'Sheet1'!$L$16"}</definedName>
    <definedName name="_Lan1_7">{"'Sheet1'!$L$16"}</definedName>
    <definedName name="_LAN3" hidden="1">{"'Sheet1'!$L$16"}</definedName>
    <definedName name="_LAN3_1">{"'Sheet1'!$L$16"}</definedName>
    <definedName name="_LAN3_2">{"'Sheet1'!$L$16"}</definedName>
    <definedName name="_LAN3_3">{"'Sheet1'!$L$16"}</definedName>
    <definedName name="_LAN3_4">{"'Sheet1'!$L$16"}</definedName>
    <definedName name="_LAN3_5">{"'Sheet1'!$L$16"}</definedName>
    <definedName name="_LAN3_6">{"'Sheet1'!$L$16"}</definedName>
    <definedName name="_LAN3_7">{"'Sheet1'!$L$16"}</definedName>
    <definedName name="_lk2_1">{"'Sheet1'!$L$16"}</definedName>
    <definedName name="_lk2_2">{"'Sheet1'!$L$16"}</definedName>
    <definedName name="_lo106" hidden="1">{"'Sheet1'!$L$16"}</definedName>
    <definedName name="_m1233" hidden="1">{"'Sheet1'!$L$16"}</definedName>
    <definedName name="_M2" hidden="1">{"'Sheet1'!$L$16"}</definedName>
    <definedName name="_MongCotNeo" localSheetId="0">#N/A</definedName>
    <definedName name="_MongCotNeo">[0]!_MongCotNeo</definedName>
    <definedName name="_MongCotNeo_75" localSheetId="0">'phân chia trước điều chỉnh'!_MongCotNeo</definedName>
    <definedName name="_MongCotNeo_75">_MongCotNeo</definedName>
    <definedName name="_MongDo" localSheetId="0">#N/A</definedName>
    <definedName name="_MongDo">[0]!_MongDo</definedName>
    <definedName name="_MongDo_75" localSheetId="0">'phân chia trước điều chỉnh'!_MongDo</definedName>
    <definedName name="_MongDo_75">_MongDo</definedName>
    <definedName name="_MongNeo" localSheetId="0">#N/A</definedName>
    <definedName name="_MongNeo">[0]!_MongNeo</definedName>
    <definedName name="_Nii2">'[4]NC Tuyen'!$E$8</definedName>
    <definedName name="_Nii3">'[4]NC Tuyen'!$E$11</definedName>
    <definedName name="_Nii4">'[5]NC '!$M$17</definedName>
    <definedName name="_Nii5">'[4]NC Tuyen'!$E$21</definedName>
    <definedName name="_Nii6">'[4]NC Tuyen'!$E$24</definedName>
    <definedName name="_Nii7">'[4]NC Tuyen'!$E$25</definedName>
    <definedName name="_NSO2" hidden="1">{"'Sheet1'!$L$16"}</definedName>
    <definedName name="_Order1" hidden="1">255</definedName>
    <definedName name="_Order2" hidden="1">255</definedName>
    <definedName name="_PA3" hidden="1">{"'Sheet1'!$L$16"}</definedName>
    <definedName name="_PA3_1">{"'Sheet1'!$L$16"}</definedName>
    <definedName name="_PA3_2">{"'Sheet1'!$L$16"}</definedName>
    <definedName name="_PA3_3">{"'Sheet1'!$L$16"}</definedName>
    <definedName name="_PA3_4">{"'Sheet1'!$L$16"}</definedName>
    <definedName name="_PA3_5">{"'Sheet1'!$L$16"}</definedName>
    <definedName name="_PA3_6">{"'Sheet1'!$L$16"}</definedName>
    <definedName name="_PA3_7">{"'Sheet1'!$L$16"}</definedName>
    <definedName name="_Parse_Out" localSheetId="0" hidden="1">[6]Quantity!#REF!</definedName>
    <definedName name="_Parse_Out" hidden="1">[6]Quantity!#REF!</definedName>
    <definedName name="_S1" hidden="1">{"'Sheet1'!$L$16"}</definedName>
    <definedName name="_S1_1">{"'Sheet1'!$L$16"}</definedName>
    <definedName name="_S1_2">{"'Sheet1'!$L$16"}</definedName>
    <definedName name="_SoDo" localSheetId="0">#N/A</definedName>
    <definedName name="_SoDo">[0]!_SoDo</definedName>
    <definedName name="_SoDo_75" localSheetId="0">'phân chia trước điều chỉnh'!_SoDo</definedName>
    <definedName name="_SoDo_75">_SoDo</definedName>
    <definedName name="_Sort" localSheetId="0" hidden="1">#REF!</definedName>
    <definedName name="_Sort" hidden="1">#REF!</definedName>
    <definedName name="_Su" localSheetId="0">#N/A</definedName>
    <definedName name="_Su">[0]!_Su</definedName>
    <definedName name="_tb2" hidden="1">{"'Sheet1'!$L$16"}</definedName>
    <definedName name="_td1_1">{"'Sheet1'!$L$16"}</definedName>
    <definedName name="_td1_2">{"'Sheet1'!$L$16"}</definedName>
    <definedName name="_td1_3">{"'Sheet1'!$L$16"}</definedName>
    <definedName name="_TH02" hidden="1">{"'Sheet1'!$L$16"}</definedName>
    <definedName name="_TH02_1">{"'Sheet1'!$L$16"}</definedName>
    <definedName name="_TH02_2">{"'Sheet1'!$L$16"}</definedName>
    <definedName name="_TH02_3">{"'Sheet1'!$L$16"}</definedName>
    <definedName name="_TH02_4">{"'Sheet1'!$L$16"}</definedName>
    <definedName name="_TH02_5">{"'Sheet1'!$L$16"}</definedName>
    <definedName name="_THt7">{"Book1","Bang chia luong.xls"}</definedName>
    <definedName name="_thu2">{"Thuxm2.xls","Sheet1"}</definedName>
    <definedName name="_TM2" hidden="1">{"'Sheet1'!$L$16"}</definedName>
    <definedName name="_TM2_1">{"'Sheet1'!$L$16"}</definedName>
    <definedName name="_TM2_2">{"'Sheet1'!$L$16"}</definedName>
    <definedName name="_TM2_3">{"'Sheet1'!$L$16"}</definedName>
    <definedName name="_tt3" hidden="1">{"'Sheet1'!$L$16"}</definedName>
    <definedName name="_tt3_1">{"'Sheet1'!$L$16"}</definedName>
    <definedName name="_tt3_2">{"'Sheet1'!$L$16"}</definedName>
    <definedName name="_tt3_3">{"'Sheet1'!$L$16"}</definedName>
    <definedName name="_tt3_4">{"'Sheet1'!$L$16"}</definedName>
    <definedName name="_tt3_5">{"'Sheet1'!$L$16"}</definedName>
    <definedName name="_tt3_6">{"'Sheet1'!$L$16"}</definedName>
    <definedName name="_tt3_7">{"'Sheet1'!$L$16"}</definedName>
    <definedName name="_VLP2" hidden="1">{"'Sheet1'!$L$16"}</definedName>
    <definedName name="_VLP2_1">{"'Sheet1'!$L$16"}</definedName>
    <definedName name="_VLP2_2">{"'Sheet1'!$L$16"}</definedName>
    <definedName name="_VLP2_3">{"'Sheet1'!$L$16"}</definedName>
    <definedName name="_VLP2_4">{"'Sheet1'!$L$16"}</definedName>
    <definedName name="_VLP2_5">{"'Sheet1'!$L$16"}</definedName>
    <definedName name="_Xa" localSheetId="0">#N/A</definedName>
    <definedName name="_Xa">[0]!_Xa</definedName>
    <definedName name="_z511" hidden="1">{"'Sheet1'!$L$16"}</definedName>
    <definedName name="â" hidden="1">{"'Sheet1'!$L$16"}</definedName>
    <definedName name="ằ" hidden="1">{"'Sheet1'!$L$16"}</definedName>
    <definedName name="A01_">NA()</definedName>
    <definedName name="A01__64">NA()</definedName>
    <definedName name="A01__75">NA()</definedName>
    <definedName name="A01__83">NA()</definedName>
    <definedName name="A01__97">NA()</definedName>
    <definedName name="A01AC">NA()</definedName>
    <definedName name="A01AC_64">NA()</definedName>
    <definedName name="A01AC_75">NA()</definedName>
    <definedName name="A01AC_83">NA()</definedName>
    <definedName name="A01AC_97">NA()</definedName>
    <definedName name="A01CAT">NA()</definedName>
    <definedName name="A01CAT_64">NA()</definedName>
    <definedName name="A01CAT_75">NA()</definedName>
    <definedName name="A01CAT_83">NA()</definedName>
    <definedName name="A01CAT_97">NA()</definedName>
    <definedName name="A01CODE">NA()</definedName>
    <definedName name="A01CODE_64">NA()</definedName>
    <definedName name="A01CODE_75">NA()</definedName>
    <definedName name="A01CODE_83">NA()</definedName>
    <definedName name="A01CODE_97">NA()</definedName>
    <definedName name="A01DATA">NA()</definedName>
    <definedName name="A01DATA_64">NA()</definedName>
    <definedName name="A01DATA_75">NA()</definedName>
    <definedName name="A01DATA_83">NA()</definedName>
    <definedName name="A01DATA_97">NA()</definedName>
    <definedName name="A01MI">NA()</definedName>
    <definedName name="A01MI_64">NA()</definedName>
    <definedName name="A01MI_75">NA()</definedName>
    <definedName name="A01MI_83">NA()</definedName>
    <definedName name="A01MI_97">NA()</definedName>
    <definedName name="A01TO">NA()</definedName>
    <definedName name="A01TO_64">NA()</definedName>
    <definedName name="A01TO_75">NA()</definedName>
    <definedName name="A01TO_83">NA()</definedName>
    <definedName name="A01TO_97">NA()</definedName>
    <definedName name="a1_1">{"'Sheet1'!$L$16"}</definedName>
    <definedName name="a1_2">{"'Sheet1'!$L$16"}</definedName>
    <definedName name="a1_3">{"'Sheet1'!$L$16"}</definedName>
    <definedName name="a1_4">{"'Sheet1'!$L$16"}</definedName>
    <definedName name="a1_5">{"'Sheet1'!$L$16"}</definedName>
    <definedName name="a129_1">{"Offgrid",#N/A,FALSE,"OFFGRID";"Region",#N/A,FALSE,"REGION";"Offgrid -2",#N/A,FALSE,"OFFGRID";"WTP",#N/A,FALSE,"WTP";"WTP -2",#N/A,FALSE,"WTP";"Project",#N/A,FALSE,"PROJECT";"Summary -2",#N/A,FALSE,"SUMMARY"}</definedName>
    <definedName name="a129_2">{"Offgrid",#N/A,FALSE,"OFFGRID";"Region",#N/A,FALSE,"REGION";"Offgrid -2",#N/A,FALSE,"OFFGRID";"WTP",#N/A,FALSE,"WTP";"WTP -2",#N/A,FALSE,"WTP";"Project",#N/A,FALSE,"PROJECT";"Summary -2",#N/A,FALSE,"SUMMARY"}</definedName>
    <definedName name="a129_3">{"Offgrid",#N/A,FALSE,"OFFGRID";"Region",#N/A,FALSE,"REGION";"Offgrid -2",#N/A,FALSE,"OFFGRID";"WTP",#N/A,FALSE,"WTP";"WTP -2",#N/A,FALSE,"WTP";"Project",#N/A,FALSE,"PROJECT";"Summary -2",#N/A,FALSE,"SUMMARY"}</definedName>
    <definedName name="a129_4">{"Offgrid",#N/A,FALSE,"OFFGRID";"Region",#N/A,FALSE,"REGION";"Offgrid -2",#N/A,FALSE,"OFFGRID";"WTP",#N/A,FALSE,"WTP";"WTP -2",#N/A,FALSE,"WTP";"Project",#N/A,FALSE,"PROJECT";"Summary -2",#N/A,FALSE,"SUMMARY"}</definedName>
    <definedName name="a129_5">{"Offgrid",#N/A,FALSE,"OFFGRID";"Region",#N/A,FALSE,"REGION";"Offgrid -2",#N/A,FALSE,"OFFGRID";"WTP",#N/A,FALSE,"WTP";"WTP -2",#N/A,FALSE,"WTP";"Project",#N/A,FALSE,"PROJECT";"Summary -2",#N/A,FALSE,"SUMMARY"}</definedName>
    <definedName name="a130_1">{"Offgrid",#N/A,FALSE,"OFFGRID";"Region",#N/A,FALSE,"REGION";"Offgrid -2",#N/A,FALSE,"OFFGRID";"WTP",#N/A,FALSE,"WTP";"WTP -2",#N/A,FALSE,"WTP";"Project",#N/A,FALSE,"PROJECT";"Summary -2",#N/A,FALSE,"SUMMARY"}</definedName>
    <definedName name="a130_2">{"Offgrid",#N/A,FALSE,"OFFGRID";"Region",#N/A,FALSE,"REGION";"Offgrid -2",#N/A,FALSE,"OFFGRID";"WTP",#N/A,FALSE,"WTP";"WTP -2",#N/A,FALSE,"WTP";"Project",#N/A,FALSE,"PROJECT";"Summary -2",#N/A,FALSE,"SUMMARY"}</definedName>
    <definedName name="a130_3">{"Offgrid",#N/A,FALSE,"OFFGRID";"Region",#N/A,FALSE,"REGION";"Offgrid -2",#N/A,FALSE,"OFFGRID";"WTP",#N/A,FALSE,"WTP";"WTP -2",#N/A,FALSE,"WTP";"Project",#N/A,FALSE,"PROJECT";"Summary -2",#N/A,FALSE,"SUMMARY"}</definedName>
    <definedName name="a130_4">{"Offgrid",#N/A,FALSE,"OFFGRID";"Region",#N/A,FALSE,"REGION";"Offgrid -2",#N/A,FALSE,"OFFGRID";"WTP",#N/A,FALSE,"WTP";"WTP -2",#N/A,FALSE,"WTP";"Project",#N/A,FALSE,"PROJECT";"Summary -2",#N/A,FALSE,"SUMMARY"}</definedName>
    <definedName name="a130_5">{"Offgrid",#N/A,FALSE,"OFFGRID";"Region",#N/A,FALSE,"REGION";"Offgrid -2",#N/A,FALSE,"OFFGRID";"WTP",#N/A,FALSE,"WTP";"WTP -2",#N/A,FALSE,"WTP";"Project",#N/A,FALSE,"PROJECT";"Summary -2",#N/A,FALSE,"SUMMARY"}</definedName>
    <definedName name="a2_1">{"'Sheet1'!$L$16"}</definedName>
    <definedName name="a2_2">{"'Sheet1'!$L$16"}</definedName>
    <definedName name="a2_3">{"'Sheet1'!$L$16"}</definedName>
    <definedName name="a2_4">{"'Sheet1'!$L$16"}</definedName>
    <definedName name="a2_5">{"'Sheet1'!$L$16"}</definedName>
    <definedName name="aaas" hidden="1">{#N/A,#N/A,FALSE,"Chi tiÆt"}</definedName>
    <definedName name="aavavavav" hidden="1">{#N/A,#N/A,FALSE,"Chi tiÆt"}</definedName>
    <definedName name="AccessDatabase" hidden="1">"C:\My Documents\LeBinh\Xls\VP Cong ty\FORM.mdb"</definedName>
    <definedName name="adada" hidden="1">{"'Sheet1'!$L$16"}</definedName>
    <definedName name="adada_1">{"'Sheet1'!$L$16"}</definedName>
    <definedName name="adada_2">{"'Sheet1'!$L$16"}</definedName>
    <definedName name="adada_3">{"'Sheet1'!$L$16"}</definedName>
    <definedName name="adada_4">{"'Sheet1'!$L$16"}</definedName>
    <definedName name="adada_5">{"'Sheet1'!$L$16"}</definedName>
    <definedName name="adsfsad" hidden="1">{"'Sheet1'!$L$16"}</definedName>
    <definedName name="adsfsad_1">{"'Sheet1'!$L$16"}</definedName>
    <definedName name="adsfsad_2">{"'Sheet1'!$L$16"}</definedName>
    <definedName name="ăegaw" hidden="1">{0}</definedName>
    <definedName name="aegwhg.gk" hidden="1">{"Offgrid",#N/A,FALSE,"OFFGRID";"Region",#N/A,FALSE,"REGION";"Offgrid -2",#N/A,FALSE,"OFFGRID";"WTP",#N/A,FALSE,"WTP";"WTP -2",#N/A,FALSE,"WTP";"Project",#N/A,FALSE,"PROJECT";"Summary -2",#N/A,FALSE,"SUMMARY"}</definedName>
    <definedName name="aetg.hgrs" hidden="1">{"Offgrid",#N/A,FALSE,"OFFGRID";"Region",#N/A,FALSE,"REGION";"Offgrid -2",#N/A,FALSE,"OFFGRID";"WTP",#N/A,FALSE,"WTP";"WTP -2",#N/A,FALSE,"WTP";"Project",#N/A,FALSE,"PROJECT";"Summary -2",#N/A,FALSE,"SUMMARY"}</definedName>
    <definedName name="âétggâgqgêágghe" hidden="1">{#N/A,#N/A,FALSE,"Chi tiÆt"}</definedName>
    <definedName name="ầêvqq" localSheetId="0">#N/A</definedName>
    <definedName name="ầêvqq">[0]!ầêvqq</definedName>
    <definedName name="âfA" hidden="1">{"'Sheet1'!$L$16"}</definedName>
    <definedName name="afdf" hidden="1">{"'Sheet1'!$L$16"}</definedName>
    <definedName name="ăg" hidden="1">{"'Sheet1'!$L$16"}</definedName>
    <definedName name="ẩgg" hidden="1">{"'Sheet1'!$L$16"}</definedName>
    <definedName name="ầgga" hidden="1">{"'Sheet1'!$L$16"}</definedName>
    <definedName name="agweg" hidden="1">{0}</definedName>
    <definedName name="áhg" localSheetId="0">#N/A</definedName>
    <definedName name="áhg">[0]!áhg</definedName>
    <definedName name="ahgawe" hidden="1">{0}</definedName>
    <definedName name="ALPIN">NA()</definedName>
    <definedName name="ALPIN_64">NA()</definedName>
    <definedName name="ALPIN_75">NA()</definedName>
    <definedName name="ALPIN_83">NA()</definedName>
    <definedName name="ALPIN_97">NA()</definedName>
    <definedName name="ALPJYOU">NA()</definedName>
    <definedName name="ALPJYOU_64">NA()</definedName>
    <definedName name="ALPJYOU_75">NA()</definedName>
    <definedName name="ALPJYOU_83">NA()</definedName>
    <definedName name="ALPJYOU_97">NA()</definedName>
    <definedName name="ALPTOI">NA()</definedName>
    <definedName name="ALPTOI_64">NA()</definedName>
    <definedName name="ALPTOI_75">NA()</definedName>
    <definedName name="ALPTOI_83">NA()</definedName>
    <definedName name="ALPTOI_97">NA()</definedName>
    <definedName name="anscount" hidden="1">8</definedName>
    <definedName name="anscount_1">1</definedName>
    <definedName name="anscount_2">1</definedName>
    <definedName name="anscount_3">13</definedName>
    <definedName name="Antoan_1">{"'Sheet1'!$L$16"}</definedName>
    <definedName name="Antoan_2">{"'Sheet1'!$L$16"}</definedName>
    <definedName name="Antoan_3">{"'Sheet1'!$L$16"}</definedName>
    <definedName name="Antoan_4">{"'Sheet1'!$L$16"}</definedName>
    <definedName name="AS2DocOpenMode" hidden="1">"AS2DocumentEdit"</definedName>
    <definedName name="asdfsa" hidden="1">{"'Sheet1'!$L$16"}</definedName>
    <definedName name="asdfsa_1">{"'Sheet1'!$L$16"}</definedName>
    <definedName name="asdfsa_2">{"'Sheet1'!$L$16"}</definedName>
    <definedName name="asfsf" hidden="1">{"'Sheet1'!$L$16"}</definedName>
    <definedName name="avavgveqvaq" hidden="1">{"Offgrid",#N/A,FALSE,"OFFGRID";"Region",#N/A,FALSE,"REGION";"Offgrid -2",#N/A,FALSE,"OFFGRID";"WTP",#N/A,FALSE,"WTP";"WTP -2",#N/A,FALSE,"WTP";"Project",#N/A,FALSE,"PROJECT";"Summary -2",#N/A,FALSE,"SUMMARY"}</definedName>
    <definedName name="b" hidden="1">{"'Sheet1'!$L$16"}</definedName>
    <definedName name="b.302">[7]Luong!$U$26</definedName>
    <definedName name="b.35">'[8]A6,MAY'!$E$8</definedName>
    <definedName name="b.40">'[8]A6,MAY'!$E$10</definedName>
    <definedName name="b_1">{"'Sheet1'!$L$16"}</definedName>
    <definedName name="b_2">{"'Sheet1'!$L$16"}</definedName>
    <definedName name="b_3">{"'Sheet1'!$L$16"}</definedName>
    <definedName name="b_4">{"'Sheet1'!$L$16"}</definedName>
    <definedName name="bac4nhom1">[9]DGNC!$H$10</definedName>
    <definedName name="bb" hidden="1">{"'Sheet1'!$L$16"}</definedName>
    <definedName name="bb_1">{"'Sheet1'!$L$16"}</definedName>
    <definedName name="bb_2">{"'Sheet1'!$L$16"}</definedName>
    <definedName name="bbb" hidden="1">{"'Sheet1'!$L$16"}</definedName>
    <definedName name="bbb_1">{"'Sheet1'!$L$16"}</definedName>
    <definedName name="bbb_2">{"'Sheet1'!$L$16"}</definedName>
    <definedName name="bbbb" hidden="1">{"'Sheet1'!$L$16"}</definedName>
    <definedName name="bbbb_1">{"'Sheet1'!$L$16"}</definedName>
    <definedName name="bbbb_2">{"'Sheet1'!$L$16"}</definedName>
    <definedName name="bbbbbbbbbbbbbbbbb" hidden="1">{FALSE}</definedName>
    <definedName name="BC" hidden="1">{"'Sheet1'!$L$16"}</definedName>
    <definedName name="Bgiang" hidden="1">{"'Sheet1'!$L$16"}</definedName>
    <definedName name="bhfh" hidden="1">{"'Sheet1'!$L$16"}</definedName>
    <definedName name="bhfh_1">{"'Sheet1'!$L$16"}</definedName>
    <definedName name="bhfh_2">{"'Sheet1'!$L$16"}</definedName>
    <definedName name="bhfh_3">{"'Sheet1'!$L$16"}</definedName>
    <definedName name="bhfh_4">{"'Sheet1'!$L$16"}</definedName>
    <definedName name="bhfh_5">{"'Sheet1'!$L$16"}</definedName>
    <definedName name="bhfh_6">{"'Sheet1'!$L$16"}</definedName>
    <definedName name="Bien" localSheetId="0" hidden="1">#REF!</definedName>
    <definedName name="Bien" hidden="1">#REF!</definedName>
    <definedName name="Bien1" localSheetId="0" hidden="1">#REF!</definedName>
    <definedName name="Bien1" hidden="1">#REF!</definedName>
    <definedName name="bosung" hidden="1">{"'Sheet1'!$L$16"}</definedName>
    <definedName name="bosung_1">{"'Sheet1'!$L$16"}</definedName>
    <definedName name="bosung_2">{"'Sheet1'!$L$16"}</definedName>
    <definedName name="bosung_3">{"'Sheet1'!$L$16"}</definedName>
    <definedName name="bosung_4">{"'Sheet1'!$L$16"}</definedName>
    <definedName name="bosung_5">{"'Sheet1'!$L$16"}</definedName>
    <definedName name="bsja" hidden="1">{"Offgrid",#N/A,FALSE,"OFFGRID";"Region",#N/A,FALSE,"REGION";"Offgrid -2",#N/A,FALSE,"OFFGRID";"WTP",#N/A,FALSE,"WTP";"WTP -2",#N/A,FALSE,"WTP";"Project",#N/A,FALSE,"PROJECT";"Summary -2",#N/A,FALSE,"SUMMARY"}</definedName>
    <definedName name="btl" hidden="1">{"'Sheet1'!$L$16"}</definedName>
    <definedName name="btl_1">{"'Sheet1'!$L$16"}</definedName>
    <definedName name="btl_2">{"'Sheet1'!$L$16"}</definedName>
    <definedName name="btl_3">{"'Sheet1'!$L$16"}</definedName>
    <definedName name="btl_4">{"'Sheet1'!$L$16"}</definedName>
    <definedName name="btl_5">{"'Sheet1'!$L$16"}</definedName>
    <definedName name="btl_6">{"'Sheet1'!$L$16"}</definedName>
    <definedName name="BTM100da2x4">'[10]CTBT(11)'!$I$5</definedName>
    <definedName name="BTM150da2x4">'[10]CTBT(11)'!$I$10</definedName>
    <definedName name="BTM200da1x2">'[10]CTBT(11)'!$I$25</definedName>
    <definedName name="bùc">{"Book1","Dt tonghop.xls"}</definedName>
    <definedName name="bùc_21">{"Book1","Dt tonghop.xls"}</definedName>
    <definedName name="bùc_33">{"Book1","Dt tonghop.xls"}</definedName>
    <definedName name="bùc_63">{"Book1","Dt tonghop.xls"}</definedName>
    <definedName name="bùc_64">{"Book1","Dt tonghop.xls"}</definedName>
    <definedName name="bùc_75">{"Book1","Dt tonghop.xls"}</definedName>
    <definedName name="bùc_80">{"Book1","Dt tonghop.xls"}</definedName>
    <definedName name="bùc_81">{"Book1","Dt tonghop.xls"}</definedName>
    <definedName name="bùc_82">{"Book1","Dt tonghop.xls"}</definedName>
    <definedName name="Bulongma">'[10]THONG SO'!$B$6</definedName>
    <definedName name="Bust_64">NA()</definedName>
    <definedName name="Bust_75">NA()</definedName>
    <definedName name="Bust_83">NA()</definedName>
    <definedName name="CACAU">298161</definedName>
    <definedName name="camay">'[11]Gia ca may'!$B$5:$K$57</definedName>
    <definedName name="CATIN">NA()</definedName>
    <definedName name="CATIN_64">NA()</definedName>
    <definedName name="CATIN_75">NA()</definedName>
    <definedName name="CATIN_83">NA()</definedName>
    <definedName name="CATIN_97">NA()</definedName>
    <definedName name="CATJYOU">NA()</definedName>
    <definedName name="CATJYOU_64">NA()</definedName>
    <definedName name="CATJYOU_75">NA()</definedName>
    <definedName name="CATJYOU_83">NA()</definedName>
    <definedName name="CATJYOU_97">NA()</definedName>
    <definedName name="CatK95" hidden="1">{"'Sheet1'!$L$16"}</definedName>
    <definedName name="CatK95_1">{"'Sheet1'!$L$16"}</definedName>
    <definedName name="CatK95_2">{"'Sheet1'!$L$16"}</definedName>
    <definedName name="CATREC">NA()</definedName>
    <definedName name="CATREC_64">NA()</definedName>
    <definedName name="CATREC_75">NA()</definedName>
    <definedName name="CATREC_83">NA()</definedName>
    <definedName name="CATREC_97">NA()</definedName>
    <definedName name="CATSYU">NA()</definedName>
    <definedName name="CATSYU_64">NA()</definedName>
    <definedName name="CATSYU_75">NA()</definedName>
    <definedName name="CATSYU_83">NA()</definedName>
    <definedName name="CATSYU_97">NA()</definedName>
    <definedName name="ccc" hidden="1">{"'Sheet1'!$L$16"}</definedName>
    <definedName name="ccc_1">{"'Sheet1'!$L$16"}</definedName>
    <definedName name="ccc_2">{"'Sheet1'!$L$16"}</definedName>
    <definedName name="ccc_3">{"'Sheet1'!$L$16"}</definedName>
    <definedName name="ccc_4">{"'Sheet1'!$L$16"}</definedName>
    <definedName name="ccc_5">{"'Sheet1'!$L$16"}</definedName>
    <definedName name="ccc_6">{"'Sheet1'!$L$16"}</definedName>
    <definedName name="cdBT" hidden="1">{"Offgrid",#N/A,FALSE,"OFFGRID";"Region",#N/A,FALSE,"REGION";"Offgrid -2",#N/A,FALSE,"OFFGRID";"WTP",#N/A,FALSE,"WTP";"WTP -2",#N/A,FALSE,"WTP";"Project",#N/A,FALSE,"PROJECT";"Summary -2",#N/A,FALSE,"SUMMARY"}</definedName>
    <definedName name="cdBT_1">{"Offgrid",#N/A,FALSE,"OFFGRID";"Region",#N/A,FALSE,"REGION";"Offgrid -2",#N/A,FALSE,"OFFGRID";"WTP",#N/A,FALSE,"WTP";"WTP -2",#N/A,FALSE,"WTP";"Project",#N/A,FALSE,"PROJECT";"Summary -2",#N/A,FALSE,"SUMMARY"}</definedName>
    <definedName name="cdBT_2">{"Offgrid",#N/A,FALSE,"OFFGRID";"Region",#N/A,FALSE,"REGION";"Offgrid -2",#N/A,FALSE,"OFFGRID";"WTP",#N/A,FALSE,"WTP";"WTP -2",#N/A,FALSE,"WTP";"Project",#N/A,FALSE,"PROJECT";"Summary -2",#N/A,FALSE,"SUMMARY"}</definedName>
    <definedName name="cdBT_3">{"Offgrid",#N/A,FALSE,"OFFGRID";"Region",#N/A,FALSE,"REGION";"Offgrid -2",#N/A,FALSE,"OFFGRID";"WTP",#N/A,FALSE,"WTP";"WTP -2",#N/A,FALSE,"WTP";"Project",#N/A,FALSE,"PROJECT";"Summary -2",#N/A,FALSE,"SUMMARY"}</definedName>
    <definedName name="cdBT_4">{"Offgrid",#N/A,FALSE,"OFFGRID";"Region",#N/A,FALSE,"REGION";"Offgrid -2",#N/A,FALSE,"OFFGRID";"WTP",#N/A,FALSE,"WTP";"WTP -2",#N/A,FALSE,"WTP";"Project",#N/A,FALSE,"PROJECT";"Summary -2",#N/A,FALSE,"SUMMARY"}</definedName>
    <definedName name="cdBT_6">{"Offgrid",#N/A,FALSE,"OFFGRID";"Region",#N/A,FALSE,"REGION";"Offgrid -2",#N/A,FALSE,"OFFGRID";"WTP",#N/A,FALSE,"WTP";"WTP -2",#N/A,FALSE,"WTP";"Project",#N/A,FALSE,"PROJECT";"Summary -2",#N/A,FALSE,"SUMMARY"}</definedName>
    <definedName name="Chdate" localSheetId="0" hidden="1">#REF!</definedName>
    <definedName name="Chdate" hidden="1">#REF!</definedName>
    <definedName name="chieudaiDZ">'[10]THONG SO'!$B$9</definedName>
    <definedName name="chitiet3" hidden="1">{"'Sheet1'!$L$16"}</definedName>
    <definedName name="chitiet3_1">{"'Sheet1'!$L$16"}</definedName>
    <definedName name="chitiet3_2">{"'Sheet1'!$L$16"}</definedName>
    <definedName name="chitiet3_3">{"'Sheet1'!$L$16"}</definedName>
    <definedName name="chitiet3_4">{"'Sheet1'!$L$16"}</definedName>
    <definedName name="chitiet3_5">{"'Sheet1'!$L$16"}</definedName>
    <definedName name="chitietbgiang2_1">{"'Sheet1'!$L$16"}</definedName>
    <definedName name="chitietbgiang2_2">{"'Sheet1'!$L$16"}</definedName>
    <definedName name="chitietbgiang2_3">{"'Sheet1'!$L$16"}</definedName>
    <definedName name="chl" hidden="1">{"'Sheet1'!$L$16"}</definedName>
    <definedName name="chl_1">{"'Sheet1'!$L$16"}</definedName>
    <definedName name="chl_2">{"'Sheet1'!$L$16"}</definedName>
    <definedName name="chl_3">{"'Sheet1'!$L$16"}</definedName>
    <definedName name="chl_4">{"'Sheet1'!$L$16"}</definedName>
    <definedName name="chl_5">{"'Sheet1'!$L$16"}</definedName>
    <definedName name="chl_6">{"'Sheet1'!$L$16"}</definedName>
    <definedName name="chung">66</definedName>
    <definedName name="chuyen" hidden="1">{"'Sheet1'!$L$16"}</definedName>
    <definedName name="chuyen_1">{"'Sheet1'!$L$16"}</definedName>
    <definedName name="chuyen_2">{"'Sheet1'!$L$16"}</definedName>
    <definedName name="chuyen_3">{"'Sheet1'!$L$16"}</definedName>
    <definedName name="chuyen_4">{"'Sheet1'!$L$16"}</definedName>
    <definedName name="chuyen_5">{"'Sheet1'!$L$16"}</definedName>
    <definedName name="chuyen_6">{"'Sheet1'!$L$16"}</definedName>
    <definedName name="CLVC3">0.1</definedName>
    <definedName name="CNDpolimer24kV">'[10]CT sứ'!$H$16</definedName>
    <definedName name="CNDpolimer35kV">'[10]CT sứ'!$H$4</definedName>
    <definedName name="Coc_60" hidden="1">{"'Sheet1'!$L$16"}</definedName>
    <definedName name="Coc_60_1">{"'Sheet1'!$L$16"}</definedName>
    <definedName name="Coc_60_2">{"'Sheet1'!$L$16"}</definedName>
    <definedName name="coccat" hidden="1">{"'Sheet1'!$L$16"}</definedName>
    <definedName name="cocly" hidden="1">{"'Sheet1'!$L$16"}</definedName>
    <definedName name="congca" hidden="1">{"'Sheet1'!$L$16"}</definedName>
    <definedName name="CONGPA1_1">{"'Sheet1'!$L$16"}</definedName>
    <definedName name="CONGPA1_2">{"'Sheet1'!$L$16"}</definedName>
    <definedName name="CONGPA1_3">{"'Sheet1'!$L$16"}</definedName>
    <definedName name="Continue_64">NA()</definedName>
    <definedName name="Continue_75">NA()</definedName>
    <definedName name="Continue_83">NA()</definedName>
    <definedName name="control" hidden="1">{"'Sheet1'!$L$16"}</definedName>
    <definedName name="Cotsatma">9726</definedName>
    <definedName name="Cotthepma">9726</definedName>
    <definedName name="CP" localSheetId="0" hidden="1">#REF!</definedName>
    <definedName name="CP" hidden="1">#REF!</definedName>
    <definedName name="cpkhTT">'[4]Dữ liệu đầu vào'!$D$15</definedName>
    <definedName name="CPMTCgld" localSheetId="0">IF(#REF!=0,"C+CLM",IF(#REF!&lt;&gt;0,IF(#REF!&lt;&gt;0,"C*"&amp;#REF!&amp;"*"&amp;#REF!&amp;"+CLM","C*"&amp;#REF!&amp;"+CLM"),IF(#REF!&lt;&gt;0,"C*"&amp;#REF!&amp;"*"&amp;#REF!,"C*"&amp;#REF!)))</definedName>
    <definedName name="CPMTCgld">IF(#REF!=0,"C+CLM",IF(#REF!&lt;&gt;0,IF(#REF!&lt;&gt;0,"C*"&amp;#REF!&amp;"*"&amp;#REF!&amp;"+CLM","C*"&amp;#REF!&amp;"+CLM"),IF(#REF!&lt;&gt;0,"C*"&amp;#REF!&amp;"*"&amp;#REF!,"C*"&amp;#REF!)))</definedName>
    <definedName name="CPMTCgxd" localSheetId="0">IF(#REF!=0,"C+CLM",IF(#REF!&lt;&gt;0,IF(#REF!&lt;&gt;0,"C*"&amp;#REF!&amp;"*"&amp;#REF!&amp;"+CLM","C*"&amp;#REF!&amp;"+CLM"),IF(#REF!&lt;&gt;0,"C*"&amp;#REF!&amp;"*"&amp;#REF!,"C*"&amp;#REF!)))</definedName>
    <definedName name="CPMTCgxd">IF(#REF!=0,"C+CLM",IF(#REF!&lt;&gt;0,IF(#REF!&lt;&gt;0,"C*"&amp;#REF!&amp;"*"&amp;#REF!&amp;"+CLM","C*"&amp;#REF!&amp;"+CLM"),IF(#REF!&lt;&gt;0,"C*"&amp;#REF!&amp;"*"&amp;#REF!,"C*"&amp;#REF!)))</definedName>
    <definedName name="CPNCgld" localSheetId="0">IF(#REF!=0,"B+CLNC",IF(#REF!&lt;&gt;0,IF(#REF!&lt;&gt;0,"B*"&amp;#REF!&amp;"*"&amp;#REF!&amp;"+CLNC","B*"&amp;#REF!&amp;"+CLNC"),IF(#REF!&lt;&gt;0,"B*"&amp;#REF!&amp;"*"&amp;#REF!,"B*"&amp;#REF!)))</definedName>
    <definedName name="CPNCgld">IF(#REF!=0,"B+CLNC",IF(#REF!&lt;&gt;0,IF(#REF!&lt;&gt;0,"B*"&amp;#REF!&amp;"*"&amp;#REF!&amp;"+CLNC","B*"&amp;#REF!&amp;"+CLNC"),IF(#REF!&lt;&gt;0,"B*"&amp;#REF!&amp;"*"&amp;#REF!,"B*"&amp;#REF!)))</definedName>
    <definedName name="CPNCgxd" localSheetId="0">IF(#REF!=0,"B+CLNC",IF(#REF!&lt;&gt;0,IF(#REF!&lt;&gt;0,"B*"&amp;#REF!&amp;"*"&amp;#REF!&amp;"+CLNC","B*"&amp;#REF!&amp;"+CLNC"),IF(#REF!&lt;&gt;0,"B*"&amp;#REF!&amp;"*"&amp;#REF!,"B*"&amp;#REF!)))</definedName>
    <definedName name="CPNCgxd">IF(#REF!=0,"B+CLNC",IF(#REF!&lt;&gt;0,IF(#REF!&lt;&gt;0,"B*"&amp;#REF!&amp;"*"&amp;#REF!&amp;"+CLNC","B*"&amp;#REF!&amp;"+CLNC"),IF(#REF!&lt;&gt;0,"B*"&amp;#REF!&amp;"*"&amp;#REF!,"B*"&amp;#REF!)))</definedName>
    <definedName name="CPVLgld" localSheetId="0">IF(#REF!=0,"A+CLVL",IF(#REF!=0,"A*"&amp;#REF!,"(A + CLVL) * "&amp;#REF!))</definedName>
    <definedName name="CPVLgld">IF(#REF!=0,"A+CLVL",IF(#REF!=0,"A*"&amp;#REF!,"(A + CLVL) * "&amp;#REF!))</definedName>
    <definedName name="CPVLgxd" localSheetId="0">IF(#REF!=0,"A+CLVL",IF(#REF!=0,"A*"&amp;#REF!,"(A + CLVL) * "&amp;#REF!))</definedName>
    <definedName name="CPVLgxd">IF(#REF!=0,"A+CLVL",IF(#REF!=0,"A*"&amp;#REF!,"(A + CLVL) * "&amp;#REF!))</definedName>
    <definedName name="ct" hidden="1">{"'Sheet1'!$L$16"}</definedName>
    <definedName name="ct_1">{"'Sheet1'!$L$16"}</definedName>
    <definedName name="ct_2">{"'Sheet1'!$L$16"}</definedName>
    <definedName name="CT2_1">{"'Sheet1'!$L$16"}</definedName>
    <definedName name="CT2_2">{"'Sheet1'!$L$16"}</definedName>
    <definedName name="CT2_3">{"'Sheet1'!$L$16"}</definedName>
    <definedName name="CT2_4">{"'Sheet1'!$L$16"}</definedName>
    <definedName name="ctbbt" hidden="1">{"'Sheet1'!$L$16"}</definedName>
    <definedName name="ctbbt_1">{"'Sheet1'!$L$16"}</definedName>
    <definedName name="ctbbt_2">{"'Sheet1'!$L$16"}</definedName>
    <definedName name="ctbbt_3">{"'Sheet1'!$L$16"}</definedName>
    <definedName name="CTCT1" hidden="1">{"'Sheet1'!$L$16"}</definedName>
    <definedName name="CTCT1_1">{"'Sheet1'!$L$16"}</definedName>
    <definedName name="CTCT1_2">{"'Sheet1'!$L$16"}</definedName>
    <definedName name="CTCT1_3">{"'Sheet1'!$L$16"}</definedName>
    <definedName name="CTCT1_4">{"'Sheet1'!$L$16"}</definedName>
    <definedName name="CTCT1_5">{"'Sheet1'!$L$16"}</definedName>
    <definedName name="CTCT1_6">{"'Sheet1'!$L$16"}</definedName>
    <definedName name="CTCT1_7">{"'Sheet1'!$L$16"}</definedName>
    <definedName name="CTCT1_8">{"'Sheet1'!$L$16"}</definedName>
    <definedName name="ctieu" hidden="1">{"'Sheet1'!$L$16"}</definedName>
    <definedName name="ctieu_1">{"'Sheet1'!$L$16"}</definedName>
    <definedName name="ctieu_2">{"'Sheet1'!$L$16"}</definedName>
    <definedName name="ctieu_3">{"'Sheet1'!$L$16"}</definedName>
    <definedName name="ctieu_4">{"'Sheet1'!$L$16"}</definedName>
    <definedName name="ctieu_5">{"'Sheet1'!$L$16"}</definedName>
    <definedName name="ctieu_6">{"'Sheet1'!$L$16"}</definedName>
    <definedName name="CTTC10nam" hidden="1">{"'Sheet1'!$L$16"}</definedName>
    <definedName name="CTTC10nam_1">{"'Sheet1'!$L$16"}</definedName>
    <definedName name="CTTC10nam_2">{"'Sheet1'!$L$16"}</definedName>
    <definedName name="CTTC10nam_3">{"'Sheet1'!$L$16"}</definedName>
    <definedName name="CTTC10nam_4">{"'Sheet1'!$L$16"}</definedName>
    <definedName name="CTTC10nam_5">{"'Sheet1'!$L$16"}</definedName>
    <definedName name="culi">'[10]THONG SO'!$B$1</definedName>
    <definedName name="culicot">'[10]THONG SO'!$B$15</definedName>
    <definedName name="cuong">{"Thuxm2.xls","Sheet1"}</definedName>
    <definedName name="CurDate" localSheetId="0" hidden="1">#REF!</definedName>
    <definedName name="CurDate" hidden="1">#REF!</definedName>
    <definedName name="cv">[12]gvl!$N$17</definedName>
    <definedName name="cvf" hidden="1">{"'Sheet1'!$L$16"}</definedName>
    <definedName name="cvfr" hidden="1">{"'Sheet1'!$L$16"}</definedName>
    <definedName name="cvfr_1">{"'Sheet1'!$L$16"}</definedName>
    <definedName name="cvfr_2">{"'Sheet1'!$L$16"}</definedName>
    <definedName name="cvfr_3">{"'Sheet1'!$L$16"}</definedName>
    <definedName name="cvfr_4">{"'Sheet1'!$L$16"}</definedName>
    <definedName name="cvfr_5">{"'Sheet1'!$L$16"}</definedName>
    <definedName name="cxhns" hidden="1">{TRUE}</definedName>
    <definedName name="d" hidden="1">{"'Sheet1'!$L$16"}</definedName>
    <definedName name="d_1">{"'Sheet1'!$L$16"}</definedName>
    <definedName name="d_2">{"'Sheet1'!$L$16"}</definedName>
    <definedName name="dam">78000</definedName>
    <definedName name="daomuong" hidden="1">{"'Sheet1'!$L$16"}</definedName>
    <definedName name="daøy" localSheetId="0" hidden="1">#REF!</definedName>
    <definedName name="daøy" hidden="1">#REF!</definedName>
    <definedName name="data1" localSheetId="0" hidden="1">#REF!</definedName>
    <definedName name="data1" hidden="1">#REF!</definedName>
    <definedName name="data2" localSheetId="0" hidden="1">#REF!</definedName>
    <definedName name="data2" hidden="1">#REF!</definedName>
    <definedName name="DataFilter_1" localSheetId="0">#N/A</definedName>
    <definedName name="DataFilter_1">[0]!DataFilter_1</definedName>
    <definedName name="DataSort_1" localSheetId="0">#N/A</definedName>
    <definedName name="DataSort_1">[0]!DataSort_1</definedName>
    <definedName name="DCL_22">12117600</definedName>
    <definedName name="DCL_35">25490000</definedName>
    <definedName name="dd1x2">[12]gvl!$N$9</definedName>
    <definedName name="ddd" hidden="1">{"'Sheet1'!$L$16"}</definedName>
    <definedName name="ddd_1">{"'Sheet1'!$L$16"}</definedName>
    <definedName name="ddd_2">{"'Sheet1'!$L$16"}</definedName>
    <definedName name="ddd_3">{"'Sheet1'!$L$16"}</definedName>
    <definedName name="ddd_4">{"'Sheet1'!$L$16"}</definedName>
    <definedName name="ddd_5">{"'Sheet1'!$L$16"}</definedName>
    <definedName name="ddd_6">{"'Sheet1'!$L$16"}</definedName>
    <definedName name="ddddd" hidden="1">{"'Sheet1'!$L$16"}</definedName>
    <definedName name="dds" hidden="1">{"'Sheet1'!$L$16"}</definedName>
    <definedName name="dds_1">{"'Sheet1'!$L$16"}</definedName>
    <definedName name="dds_2">{"'Sheet1'!$L$16"}</definedName>
    <definedName name="deí" hidden="1">{"'Sheet1'!$L$16"}</definedName>
    <definedName name="del_tab" localSheetId="0" hidden="1">[13]Control!#REF!</definedName>
    <definedName name="del_tab" hidden="1">[13]Control!#REF!</definedName>
    <definedName name="delcode" localSheetId="0" hidden="1">[13]Control!#REF!</definedName>
    <definedName name="delcode" hidden="1">[13]Control!#REF!</definedName>
    <definedName name="DenDK" hidden="1">{"'Sheet1'!$L$16"}</definedName>
    <definedName name="đfbgdgă" hidden="1">{"Offgrid",#N/A,FALSE,"OFFGRID";"Region",#N/A,FALSE,"REGION";"Offgrid -2",#N/A,FALSE,"OFFGRID";"WTP",#N/A,FALSE,"WTP";"WTP -2",#N/A,FALSE,"WTP";"Project",#N/A,FALSE,"PROJECT";"Summary -2",#N/A,FALSE,"SUMMARY"}</definedName>
    <definedName name="DFD" hidden="1">{"'Sheet1'!$L$16"}</definedName>
    <definedName name="dfdf_gshd" localSheetId="0">#N/A</definedName>
    <definedName name="dfdf_gshd">[0]!dfdf_gshd</definedName>
    <definedName name="dfgd" hidden="1">{"'Sheet1'!$L$16"}</definedName>
    <definedName name="dfjsdhldfgkfd_1">{"'Sheet1'!$L$16"}</definedName>
    <definedName name="dfjsdhldfgkfd_2">{"'Sheet1'!$L$16"}</definedName>
    <definedName name="đfnfndfn" hidden="1">{#N/A,#N/A,FALSE,"Chi tiÆt"}</definedName>
    <definedName name="dfsgsag" hidden="1">{"'Sheet1'!$L$16"}</definedName>
    <definedName name="DG_TN">[14]DM_1781!$A$5:$I$2506</definedName>
    <definedName name="DGbienbao">'[10]GIA VAT LIEU'!$D$150</definedName>
    <definedName name="DGCCTD35KV">'[10]GIA VAT LIEU'!$D$161</definedName>
    <definedName name="DGCLT14D">'[10]GIA VAT LIEU'!$D$35</definedName>
    <definedName name="DGCSV24KV">'[10]GIA VAT LIEU'!$D$157</definedName>
    <definedName name="DGCSV35KV">'[10]GIA VAT LIEU'!$D$156</definedName>
    <definedName name="DGCT">'[15]PTDG-CL'!$B$4:$K$1600</definedName>
    <definedName name="DGCV">'[10]GIA VAT LIEU'!$D$6</definedName>
    <definedName name="DGD1x2">'[10]GIA VAT LIEU'!$D$10</definedName>
    <definedName name="DGD2x4">'[10]GIA VAT LIEU'!$D$9</definedName>
    <definedName name="DGDAYAC150">'[10]GIA VAT LIEU'!$D$65</definedName>
    <definedName name="DGDAYAC50">'[10]GIA VAT LIEU'!$D$61</definedName>
    <definedName name="DGDAYAC95">'[10]GIA VAT LIEU'!$D$63</definedName>
    <definedName name="DGDCAM50">'[10]GIA VAT LIEU'!$D$126</definedName>
    <definedName name="DGDTB">'[10]GIA VAT LIEU'!$D$18</definedName>
    <definedName name="dgfg" hidden="1">{"'Sheet1'!$L$16"}</definedName>
    <definedName name="dgfs_bgs" localSheetId="0">#N/A</definedName>
    <definedName name="dgfs_bgs">[0]!dgfs_bgs</definedName>
    <definedName name="DGGD">'[10]GIA VAT LIEU'!$D$4</definedName>
    <definedName name="DGGHIPA120">'[10]GIA VAT LIEU'!$D$111</definedName>
    <definedName name="DGGHIPA150">'[10]GIA VAT LIEU'!$D$112</definedName>
    <definedName name="DGGHIPA35">'[10]GIA VAT LIEU'!$D$107</definedName>
    <definedName name="DGGHIPA50">'[10]GIA VAT LIEU'!$D$108</definedName>
    <definedName name="DGGHIPA70">'[10]GIA VAT LIEU'!$D$109</definedName>
    <definedName name="DGGHIPA95">'[10]GIA VAT LIEU'!$D$110</definedName>
    <definedName name="dghmgdh" hidden="1">{"'Sheet1'!$L$16"}</definedName>
    <definedName name="dgks0.4KV.DHC1">'[10]DGTH KS'!$L$16</definedName>
    <definedName name="dgks0.4KV.DHC2">'[10]DGTH KS'!$L$17</definedName>
    <definedName name="dgks0.4KV.DHC3">'[10]DGTH KS'!$L$18</definedName>
    <definedName name="dgks0.4KV.DHC4">'[10]DGTH KS'!$L$19</definedName>
    <definedName name="dgks0.4KV.DHC5">'[10]DGTH KS'!$L$20</definedName>
    <definedName name="dgks0.4KV.DHC6">'[10]DGTH KS'!$L$21</definedName>
    <definedName name="dgks35KV.DHC1">'[10]DGTH KS'!$L$9</definedName>
    <definedName name="dgks35KV.DHC2">'[10]DGTH KS'!$L$10</definedName>
    <definedName name="dgks35KV.DHC3">'[10]DGTH KS'!$L$11</definedName>
    <definedName name="dgks35KV.DHC4">'[10]DGTH KS'!$L$12</definedName>
    <definedName name="dgks35KV.DHC5">'[10]DGTH KS'!$L$13</definedName>
    <definedName name="dgks35KV.DHC6">'[10]DGTH KS'!$L$14</definedName>
    <definedName name="dgksTBA.DHC1">'[10]DGTH KS'!$L$23</definedName>
    <definedName name="dgksTBA.DHC2">'[10]DGTH KS'!$L$24</definedName>
    <definedName name="dgksTBA.DHC3">'[10]DGTH KS'!$L$25</definedName>
    <definedName name="dgksTBA.DHC4">'[10]DGTH KS'!$L$26</definedName>
    <definedName name="dgksTBA.DHC5">'[10]DGTH KS'!$L$27</definedName>
    <definedName name="dgon21">'[10]GIA VAT LIEU'!$D$16</definedName>
    <definedName name="dgrw_jyr">{"Book1","HS bao cao QT.xls","Ngocreogd1.xls"}</definedName>
    <definedName name="DGSF6V8">'[10]GIA VAT LIEU'!$D$19</definedName>
    <definedName name="dgsgsg" hidden="1">{"'Sheet1'!$L$16"}</definedName>
    <definedName name="DGXMPC300">'[10]GIA VAT LIEU'!$D$5</definedName>
    <definedName name="đhf" hidden="1">{"'Sheet1'!$L$16"}</definedName>
    <definedName name="dhtdh" hidden="1">{"Offgrid",#N/A,FALSE,"OFFGRID";"Region",#N/A,FALSE,"REGION";"Offgrid -2",#N/A,FALSE,"OFFGRID";"WTP",#N/A,FALSE,"WTP";"WTP -2",#N/A,FALSE,"WTP";"Project",#N/A,FALSE,"PROJECT";"Summary -2",#N/A,FALSE,"SUMMARY"}</definedName>
    <definedName name="dien_1">{"'Sheet1'!$L$16"}</definedName>
    <definedName name="dien_2">{"'Sheet1'!$L$16"}</definedName>
    <definedName name="dien_3">{"'Sheet1'!$L$16"}</definedName>
    <definedName name="dien_4">{"'Sheet1'!$L$16"}</definedName>
    <definedName name="dien_5">{"'Sheet1'!$L$16"}</definedName>
    <definedName name="dien_6">{"'Sheet1'!$L$16"}</definedName>
    <definedName name="diengiai" hidden="1">{"'Sheet1'!$L$16"}</definedName>
    <definedName name="Dinhmuc1776">'[10]Dinh muc XD theo TT10'!$A$3:$J$219</definedName>
    <definedName name="Dinhmuc228">'[10]Đơn giá thu hồi 228'!$B$4:$F$106</definedName>
    <definedName name="dinhmuc4970DZ">'[10]Dinh muc 4970-DZ'!$A$3:$Q$8117</definedName>
    <definedName name="dinhmuc4970TBA">'[10]Dinh muc 4970-TBA'!$A$3:$J$4385</definedName>
    <definedName name="DinhmucTN1781">'[10]Đơn giá chi tiết TN 1781'!$A$3:$J$437</definedName>
    <definedName name="djkgklsdfgj_1">{"'Sheet1'!$L$16"}</definedName>
    <definedName name="djkgklsdfgj_2">{"'Sheet1'!$L$16"}</definedName>
    <definedName name="Document_array">{"Thuxm2.xls","Sheet1"}</definedName>
    <definedName name="Document_array_19">{"Thuxm2.xls","Sheet1"}</definedName>
    <definedName name="Document_array_21">{"Thuxm2.xls","Sheet1"}</definedName>
    <definedName name="Document_array_28">{"Thuxm2.xls","Sheet1"}</definedName>
    <definedName name="Document_array_3">NA()</definedName>
    <definedName name="Document_array_33">{"Thuxm2.xls","Sheet1"}</definedName>
    <definedName name="Document_array_56">{"Thuxm2.xls","Sheet1"}</definedName>
    <definedName name="Document_array_63">{"Thuxm2.xls","Sheet1"}</definedName>
    <definedName name="Document_array_64">{"Ha ap - CoBa.xls","TBA35 - CoBa.xls"}</definedName>
    <definedName name="Document_array_75">{"Ha ap - CoBa.xls","TBA35 - CoBa.xls"}</definedName>
    <definedName name="Document_array_80">{"Thuxm2.xls","Sheet1"}</definedName>
    <definedName name="Document_array_81">{"Thuxm2.xls","Sheet1"}</definedName>
    <definedName name="Document_array_82">{"Thuxm2.xls","Sheet1"}</definedName>
    <definedName name="Document_array_83">{"Ha ap - CoBa.xls","TBA35 - CoBa.xls"}</definedName>
    <definedName name="Document_array_9">NA()</definedName>
    <definedName name="Document_array_97">{"RD Goi thau 2 ( Phan XD moi ).xls"}</definedName>
    <definedName name="dongdongia" localSheetId="0">#N/A</definedName>
    <definedName name="dongdongia">[0]!dongdongia</definedName>
    <definedName name="dongdongia_1" localSheetId="0">#N/A</definedName>
    <definedName name="dongdongia_1">[0]!dongdongia_1</definedName>
    <definedName name="dongdongia_19" localSheetId="0">'phân chia trước điều chỉnh'!dongdongia</definedName>
    <definedName name="dongdongia_19">dongdongia</definedName>
    <definedName name="dongdongia_64" localSheetId="0">'phân chia trước điều chỉnh'!dongdongia</definedName>
    <definedName name="dongdongia_64">dongdongia</definedName>
    <definedName name="dongdongia_75" localSheetId="0">'phân chia trước điều chỉnh'!dongdongia</definedName>
    <definedName name="dongdongia_75">dongdongia</definedName>
    <definedName name="dongdongia_80" localSheetId="0">'phân chia trước điều chỉnh'!dongdongia</definedName>
    <definedName name="dongdongia_80">dongdongia</definedName>
    <definedName name="dongdongia_81" localSheetId="0">'phân chia trước điều chỉnh'!dongdongia</definedName>
    <definedName name="dongdongia_81">dongdongia</definedName>
    <definedName name="dongdongia_82" localSheetId="0">'phân chia trước điều chỉnh'!dongdongia</definedName>
    <definedName name="dongdongia_82">dongdongia</definedName>
    <definedName name="dongdongia_83" localSheetId="0">'phân chia trước điều chỉnh'!dongdongia</definedName>
    <definedName name="dongdongia_83">dongdongia</definedName>
    <definedName name="Drop1">"Drop Down 3"</definedName>
    <definedName name="DSD" hidden="1">{"'Sheet1'!$L$16"}</definedName>
    <definedName name="DSD_1">{"'Sheet1'!$L$16"}</definedName>
    <definedName name="DSD_2">{"'Sheet1'!$L$16"}</definedName>
    <definedName name="DSD_3">{"'Sheet1'!$L$16"}</definedName>
    <definedName name="DSD_4">{"'Sheet1'!$L$16"}</definedName>
    <definedName name="DSD_5">{"'Sheet1'!$L$16"}</definedName>
    <definedName name="dsds" hidden="1">{"'Sheet1'!$L$16"}</definedName>
    <definedName name="dsds_1">{"'Sheet1'!$L$16"}</definedName>
    <definedName name="dsds_2">{"'Sheet1'!$L$16"}</definedName>
    <definedName name="dsds_3">{"'Sheet1'!$L$16"}</definedName>
    <definedName name="dsds_4">{"'Sheet1'!$L$16"}</definedName>
    <definedName name="dsds_5">{"'Sheet1'!$L$16"}</definedName>
    <definedName name="dsfsdf" hidden="1">{"'Sheet1'!$L$16"}</definedName>
    <definedName name="dsgsdfgdfshfgh_1">{"'Sheet1'!$L$16"}</definedName>
    <definedName name="dsgsdfgdfshfgh_2">{"'Sheet1'!$L$16"}</definedName>
    <definedName name="dsgsdg_1">{"'Sheet1'!$L$16"}</definedName>
    <definedName name="dsgsdg_2">{"'Sheet1'!$L$16"}</definedName>
    <definedName name="dsgsdg_3">{"'Sheet1'!$L$16"}</definedName>
    <definedName name="dsgsdg_4">{"'Sheet1'!$L$16"}</definedName>
    <definedName name="dsgsw.sgrs.grsg_.sg" hidden="1">{#N/A,#N/A,FALSE,"Chi tiÆt"}</definedName>
    <definedName name="dsjk" hidden="1">{"'Sheet1'!$L$16"}</definedName>
    <definedName name="dsjk_1">{"'Sheet1'!$L$16"}</definedName>
    <definedName name="dsjk_2">{"'Sheet1'!$L$16"}</definedName>
    <definedName name="dsjk_3">{"'Sheet1'!$L$16"}</definedName>
    <definedName name="DSTD_Clear" localSheetId="0">#N/A</definedName>
    <definedName name="DSTD_Clear">[0]!DSTD_Clear</definedName>
    <definedName name="dtcnnxi">{"Thuxm2.xls","Sheet1"}</definedName>
    <definedName name="DTCTtuynen">NA()</definedName>
    <definedName name="dth" hidden="1">{"'Sheet1'!$L$16"}</definedName>
    <definedName name="dth_1">{"'Sheet1'!$L$16"}</definedName>
    <definedName name="dth_2">{"'Sheet1'!$L$16"}</definedName>
    <definedName name="dth_3">{"'Sheet1'!$L$16"}</definedName>
    <definedName name="dth_4">{"'Sheet1'!$L$16"}</definedName>
    <definedName name="dth_5">{"'Sheet1'!$L$16"}</definedName>
    <definedName name="DTKT3" hidden="1">{"'Sheet1'!$L$16"}</definedName>
    <definedName name="DTKT3_1">{"'Sheet1'!$L$16"}</definedName>
    <definedName name="DTKT3_2">{"'Sheet1'!$L$16"}</definedName>
    <definedName name="DTKT3_3">{"'Sheet1'!$L$16"}</definedName>
    <definedName name="DTKT3_4">{"'Sheet1'!$L$16"}</definedName>
    <definedName name="DTKT3_5">{"'Sheet1'!$L$16"}</definedName>
    <definedName name="Du" hidden="1">{"'Sheet1'!$L$16"}</definedName>
    <definedName name="Du_1">{"'Sheet1'!$L$16"}</definedName>
    <definedName name="Du_2">{"'Sheet1'!$L$16"}</definedName>
    <definedName name="Du_3">{"'Sheet1'!$L$16"}</definedName>
    <definedName name="Du_4">{"'Sheet1'!$L$16"}</definedName>
    <definedName name="Du_5">{"'Sheet1'!$L$16"}</definedName>
    <definedName name="duc" hidden="1">{"'Sheet1'!$L$16"}</definedName>
    <definedName name="Duongnaco" hidden="1">{"'Sheet1'!$L$16"}</definedName>
    <definedName name="Duongnaco_1">{"'Sheet1'!$L$16"}</definedName>
    <definedName name="Duongnaco_2">{"'Sheet1'!$L$16"}</definedName>
    <definedName name="Duongnaco_3">{"'Sheet1'!$L$16"}</definedName>
    <definedName name="Duongnaco_4">{"'Sheet1'!$L$16"}</definedName>
    <definedName name="Duongnaco_5">{"'Sheet1'!$L$16"}</definedName>
    <definedName name="duyet" hidden="1">{#N/A,#N/A,FALSE,"Chi tiÆt"}</definedName>
    <definedName name="DWPRICE" localSheetId="0" hidden="1">[16]Quantity!#REF!</definedName>
    <definedName name="DWPRICE" hidden="1">[16]Quantity!#REF!</definedName>
    <definedName name="DWPRICE_1" localSheetId="0">sdfdsff:[17]KP_List!#REF!</definedName>
    <definedName name="DWPRICE_1">sdfdsff:[17]KP_List!#REF!</definedName>
    <definedName name="DZ" hidden="1">{"'Sheet1'!$L$16"}</definedName>
    <definedName name="DZ_1">{"'Sheet1'!$L$16"}</definedName>
    <definedName name="DZ_2">{"'Sheet1'!$L$16"}</definedName>
    <definedName name="DZ_3">{"'Sheet1'!$L$16"}</definedName>
    <definedName name="DZ_4">{"'Sheet1'!$L$16"}</definedName>
    <definedName name="DZ_5">{"'Sheet1'!$L$16"}</definedName>
    <definedName name="e" hidden="1">{"'Sheet1'!$L$16"}</definedName>
    <definedName name="eaggv" localSheetId="0">#N/A</definedName>
    <definedName name="eaggv">[0]!eaggv</definedName>
    <definedName name="eeee" hidden="1">{"'Sheet1'!$L$16"}</definedName>
    <definedName name="ẻgh" hidden="1">{0}</definedName>
    <definedName name="egw" hidden="1">{"Offgrid",#N/A,FALSE,"OFFGRID";"Region",#N/A,FALSE,"REGION";"Offgrid -2",#N/A,FALSE,"OFFGRID";"WTP",#N/A,FALSE,"WTP";"WTP -2",#N/A,FALSE,"WTP";"Project",#N/A,FALSE,"PROJECT";"Summary -2",#N/A,FALSE,"SUMMARY"}</definedName>
    <definedName name="eheh" hidden="1">{"Offgrid",#N/A,FALSE,"OFFGRID";"Region",#N/A,FALSE,"REGION";"Offgrid -2",#N/A,FALSE,"OFFGRID";"WTP",#N/A,FALSE,"WTP";"WTP -2",#N/A,FALSE,"WTP";"Project",#N/A,FALSE,"PROJECT";"Summary -2",#N/A,FALSE,"SUMMARY"}</definedName>
    <definedName name="êhêht" localSheetId="0">#N/A</definedName>
    <definedName name="êhêht">[0]!êhêht</definedName>
    <definedName name="ehgư">{"Book1","HS bao cao QT.xls","Ngocreogd1.xls"}</definedName>
    <definedName name="ẹhtủ" localSheetId="0">#N/A</definedName>
    <definedName name="ẹhtủ">[0]!ẹhtủ</definedName>
    <definedName name="eïhd" hidden="1">{"'Sheet1'!$L$16"}</definedName>
    <definedName name="eqtrwy" hidden="1">{"'Sheet1'!$L$16"}</definedName>
    <definedName name="errr" hidden="1">{"'Sheet1'!$L$16"}</definedName>
    <definedName name="errr_1">{"'Sheet1'!$L$16"}</definedName>
    <definedName name="errr_2">{"'Sheet1'!$L$16"}</definedName>
    <definedName name="errr_3">{"'Sheet1'!$L$16"}</definedName>
    <definedName name="errr_4">{"'Sheet1'!$L$16"}</definedName>
    <definedName name="errr_5">{"'Sheet1'!$L$16"}</definedName>
    <definedName name="esgtew" hidden="1">{#N/A,#N/A,FALSE,"Chi tiÆt"}</definedName>
    <definedName name="etethtehbdex" hidden="1">{#N/A,#N/A,FALSE,"Chi tiÆt"}</definedName>
    <definedName name="ethehe" localSheetId="0">#N/A</definedName>
    <definedName name="ethehe">[0]!ethehe</definedName>
    <definedName name="êthtêt" hidden="1">{"Offgrid",#N/A,FALSE,"OFFGRID";"Region",#N/A,FALSE,"REGION";"Offgrid -2",#N/A,FALSE,"OFFGRID";"WTP",#N/A,FALSE,"WTP";"WTP -2",#N/A,FALSE,"WTP";"Project",#N/A,FALSE,"PROJECT";"Summary -2",#N/A,FALSE,"SUMMARY"}</definedName>
    <definedName name="etqgsg_đhs" hidden="1">{"'Sheet1'!$L$16"}</definedName>
    <definedName name="etrw45.đ" hidden="1">{"Offgrid",#N/A,FALSE,"OFFGRID";"Region",#N/A,FALSE,"REGION";"Offgrid -2",#N/A,FALSE,"OFFGRID";"WTP",#N/A,FALSE,"WTP";"WTP -2",#N/A,FALSE,"WTP";"Project",#N/A,FALSE,"PROJECT";"Summary -2",#N/A,FALSE,"SUMMARY"}</definedName>
    <definedName name="eûtheí" hidden="1">{"'Sheet1'!$L$16"}</definedName>
    <definedName name="ewewew" hidden="1">{"'Sheet1'!$L$16"}</definedName>
    <definedName name="Excel_BuiltIn_Print_Titles_95">NA()</definedName>
    <definedName name="Excel_BuiltIn_Print_Titles_97">NA()</definedName>
    <definedName name="eygswgq" hidden="1">{#N/A,#N/A,FALSE,"Chi tiÆt"}</definedName>
    <definedName name="êyh" hidden="1">{"Offgrid",#N/A,FALSE,"OFFGRID";"Region",#N/A,FALSE,"REGION";"Offgrid -2",#N/A,FALSE,"OFFGRID";"WTP",#N/A,FALSE,"WTP";"WTP -2",#N/A,FALSE,"WTP";"Project",#N/A,FALSE,"PROJECT";"Summary -2",#N/A,FALSE,"SUMMARY"}</definedName>
    <definedName name="eyheheshe" localSheetId="0">#N/A</definedName>
    <definedName name="eyheheshe">[0]!eyheheshe</definedName>
    <definedName name="f¸" hidden="1">{"'Sheet1'!$L$16"}</definedName>
    <definedName name="fadfawety" hidden="1">{0}</definedName>
    <definedName name="fadsfdfa" hidden="1">{0,0,0,0;0,0,0,0;0,0,0,0;0,0,0,0;0,0,0,0;0,0,0,0;0,0,0,0}</definedName>
    <definedName name="fadsfdsfasd" hidden="1">{FALSE}</definedName>
    <definedName name="fahaffh" hidden="1">{0}</definedName>
    <definedName name="fasdf" hidden="1">{0}</definedName>
    <definedName name="fasdfdsfa" hidden="1">{0,0,0,0;0,0,0,0;0,0,0,0;0,0,0,0;0,0,0,0;0,0,0,0;0,0,0,0}</definedName>
    <definedName name="fasdfsdf" hidden="1">{0}</definedName>
    <definedName name="fasfsdfasd" hidden="1">{0}</definedName>
    <definedName name="fawgeag" hidden="1">{0}</definedName>
    <definedName name="fbsdggdsf">{"DZ-TDTB2.XLS","Dcksat.xls"}</definedName>
    <definedName name="fbsdggdsf_21">{"DZ-TDTB2.XLS","Dcksat.xls"}</definedName>
    <definedName name="fbsdggdsf_33">{"DZ-TDTB2.XLS","Dcksat.xls"}</definedName>
    <definedName name="fbsdggdsf_80">{"DZ-TDTB2.XLS","Dcksat.xls"}</definedName>
    <definedName name="fbsdggdsf_81">{"DZ-TDTB2.XLS","Dcksat.xls"}</definedName>
    <definedName name="fbsdggdsf_82">{"DZ-TDTB2.XLS","Dcksat.xls"}</definedName>
    <definedName name="fd" hidden="1">{"'Sheet1'!$L$16"}</definedName>
    <definedName name="fd_1">{"'Sheet1'!$L$16"}</definedName>
    <definedName name="fd_2">{"'Sheet1'!$L$16"}</definedName>
    <definedName name="fdf" hidden="1">{"'Sheet1'!$L$16"}</definedName>
    <definedName name="fdfd" hidden="1">{"'Sheet1'!$L$16"}</definedName>
    <definedName name="fdfsf" hidden="1">{#N/A,#N/A,FALSE,"Chi tiÆt"}</definedName>
    <definedName name="fdfsf_1">{#N/A,#N/A,FALSE,"Chi tiÆt"}</definedName>
    <definedName name="fdfsf_2">{#N/A,#N/A,FALSE,"Chi tiÆt"}</definedName>
    <definedName name="fđhbfbd" hidden="1">{#N/A,#N/A,FALSE,"Chi tiÆt"}</definedName>
    <definedName name="fđhbfshbd" localSheetId="0">#N/A</definedName>
    <definedName name="fđhbfshbd">[0]!fđhbfshbd</definedName>
    <definedName name="fđhh" hidden="1">{"'Sheet1'!$L$16"}</definedName>
    <definedName name="fdsa" hidden="1">{"'Sheet1'!$L$16"}</definedName>
    <definedName name="fdsa_1">{"'Sheet1'!$L$16"}</definedName>
    <definedName name="fdsa_2">{"'Sheet1'!$L$16"}</definedName>
    <definedName name="ff" hidden="1">{"'Sheet1'!$L$16"}</definedName>
    <definedName name="fff" hidden="1">{"'Sheet1'!$L$16"}</definedName>
    <definedName name="fff_1">{"'Sheet1'!$L$16"}</definedName>
    <definedName name="fff_2">{"'Sheet1'!$L$16"}</definedName>
    <definedName name="fff_3">{"'Sheet1'!$L$16"}</definedName>
    <definedName name="fff_4">{"'Sheet1'!$L$16"}</definedName>
    <definedName name="fff_5">{"'Sheet1'!$L$16"}</definedName>
    <definedName name="fff_6">{"'Sheet1'!$L$16"}</definedName>
    <definedName name="fff_7">{"'Sheet1'!$L$16"}</definedName>
    <definedName name="fff_8">{"'Sheet1'!$L$16"}</definedName>
    <definedName name="fffff_1">{"'Sheet1'!$L$16"}</definedName>
    <definedName name="fffff_2">{"'Sheet1'!$L$16"}</definedName>
    <definedName name="fffff_3">{"'Sheet1'!$L$16"}</definedName>
    <definedName name="fffff_4">{"'Sheet1'!$L$16"}</definedName>
    <definedName name="fg" hidden="1">{"'Sheet1'!$L$16"}</definedName>
    <definedName name="FGF" hidden="1">{"'Sheet1'!$L$16"}</definedName>
    <definedName name="FGF_1">{"'Sheet1'!$L$16"}</definedName>
    <definedName name="FGF_2">{"'Sheet1'!$L$16"}</definedName>
    <definedName name="FGF_3">{"'Sheet1'!$L$16"}</definedName>
    <definedName name="FGF_4">{"'Sheet1'!$L$16"}</definedName>
    <definedName name="FGF_5">{"'Sheet1'!$L$16"}</definedName>
    <definedName name="fgg" hidden="1">{"'Sheet1'!$L$16"}</definedName>
    <definedName name="fgg_1">{"'Sheet1'!$L$16"}</definedName>
    <definedName name="fgg_2">{"'Sheet1'!$L$16"}</definedName>
    <definedName name="fgg_3">{"'Sheet1'!$L$16"}</definedName>
    <definedName name="fgg_4">{"'Sheet1'!$L$16"}</definedName>
    <definedName name="fgg_5">{"'Sheet1'!$L$16"}</definedName>
    <definedName name="fgkjmgky.yulyu." hidden="1">{"Offgrid",#N/A,FALSE,"OFFGRID";"Region",#N/A,FALSE,"REGION";"Offgrid -2",#N/A,FALSE,"OFFGRID";"WTP",#N/A,FALSE,"WTP";"WTP -2",#N/A,FALSE,"WTP";"Project",#N/A,FALSE,"PROJECT";"Summary -2",#N/A,FALSE,"SUMMARY"}</definedName>
    <definedName name="fgn" hidden="1">{"'Sheet1'!$L$16"}</definedName>
    <definedName name="fhhh" hidden="1">{"'Sheet1'!$L$16"}</definedName>
    <definedName name="fhjjh_1">{"'Sheet1'!$L$16"}</definedName>
    <definedName name="fhjjh_2">{"'Sheet1'!$L$16"}</definedName>
    <definedName name="fhng" hidden="1">{"'Sheet1'!$L$16"}</definedName>
    <definedName name="fhtđhêhd" hidden="1">{"Offgrid",#N/A,FALSE,"OFFGRID";"Region",#N/A,FALSE,"REGION";"Offgrid -2",#N/A,FALSE,"OFFGRID";"WTP",#N/A,FALSE,"WTP";"WTP -2",#N/A,FALSE,"WTP";"Project",#N/A,FALSE,"PROJECT";"Summary -2",#N/A,FALSE,"SUMMARY"}</definedName>
    <definedName name="FI_12">4820</definedName>
    <definedName name="fkgjk" hidden="1">{"'Sheet1'!$L$16"}</definedName>
    <definedName name="fmghd" hidden="1">{"'Sheet1'!$L$16"}</definedName>
    <definedName name="fsdfdsf" hidden="1">{"'Sheet1'!$L$16"}</definedName>
    <definedName name="fsdfdsf_1">{"'Sheet1'!$L$16"}</definedName>
    <definedName name="fsdfdsf_2">{"'Sheet1'!$L$16"}</definedName>
    <definedName name="fsdfdsf_3">{"'Sheet1'!$L$16"}</definedName>
    <definedName name="fsdfdsf_4">{"'Sheet1'!$L$16"}</definedName>
    <definedName name="fsdfdsf_5">{"'Sheet1'!$L$16"}</definedName>
    <definedName name="fsdfdsf_6">{"'Sheet1'!$L$16"}</definedName>
    <definedName name="fsdfdsf_7">{"'Sheet1'!$L$16"}</definedName>
    <definedName name="fsdfdsf_8">{"'Sheet1'!$L$16"}</definedName>
    <definedName name="fsgn" hidden="1">{0}</definedName>
    <definedName name="ftgjfrj" localSheetId="0">#N/A</definedName>
    <definedName name="ftgjfrj">[0]!ftgjfrj</definedName>
    <definedName name="fừqầq" localSheetId="0">#N/A</definedName>
    <definedName name="fừqầq">[0]!fừqầq</definedName>
    <definedName name="g" hidden="1">{"'Sheet1'!$L$16"}</definedName>
    <definedName name="g_1">{"'Sheet1'!$L$16"}</definedName>
    <definedName name="g_2">{"'Sheet1'!$L$16"}</definedName>
    <definedName name="g_3">{"'Sheet1'!$L$16"}</definedName>
    <definedName name="g_5">{"'Sheet1'!$L$16"}</definedName>
    <definedName name="gatutu" localSheetId="0">#N/A</definedName>
    <definedName name="gatutu">[0]!gatutu</definedName>
    <definedName name="gcm" hidden="1">{"'Sheet1'!$L$16"}</definedName>
    <definedName name="gdhgh" hidden="1">{"'Sheet1'!$L$16"}</definedName>
    <definedName name="gdret" hidden="1">{"'Sheet1'!$L$16"}</definedName>
    <definedName name="gffdg" localSheetId="0" hidden="1">#REF!</definedName>
    <definedName name="gffdg" hidden="1">#REF!</definedName>
    <definedName name="gfg" hidden="1">{"'Sheet1'!$L$16"}</definedName>
    <definedName name="GFJHJ" hidden="1">{"'Sheet1'!$L$16"}</definedName>
    <definedName name="gg_1">{"'Sheet1'!$L$16"}</definedName>
    <definedName name="gg_2">{"'Sheet1'!$L$16"}</definedName>
    <definedName name="gg_3">{"'Sheet1'!$L$16"}</definedName>
    <definedName name="gg_4">{"'Sheet1'!$L$16"}</definedName>
    <definedName name="ggaq" hidden="1">{"Offgrid",#N/A,FALSE,"OFFGRID";"Region",#N/A,FALSE,"REGION";"Offgrid -2",#N/A,FALSE,"OFFGRID";"WTP",#N/A,FALSE,"WTP";"WTP -2",#N/A,FALSE,"WTP";"Project",#N/A,FALSE,"PROJECT";"Summary -2",#N/A,FALSE,"SUMMARY"}</definedName>
    <definedName name="ggg" hidden="1">{"'Sheet1'!$L$16"}</definedName>
    <definedName name="ggg_1">{"'Sheet1'!$L$16"}</definedName>
    <definedName name="ggg_2">{"'Sheet1'!$L$16"}</definedName>
    <definedName name="ggg_3">{"'Sheet1'!$L$16"}</definedName>
    <definedName name="ggg_4">{"'Sheet1'!$L$16"}</definedName>
    <definedName name="ggg_5">{"'Sheet1'!$L$16"}</definedName>
    <definedName name="ggg_6">{"'Sheet1'!$L$16"}</definedName>
    <definedName name="gggg" hidden="1">{"'Sheet1'!$L$16"}</definedName>
    <definedName name="gghh" hidden="1">{"'Sheet1'!$L$16"}</definedName>
    <definedName name="ggss" hidden="1">{"'Sheet1'!$L$16"}</definedName>
    <definedName name="ggss_1">{"'Sheet1'!$L$16"}</definedName>
    <definedName name="ggss_2">{"'Sheet1'!$L$16"}</definedName>
    <definedName name="ggss_3">{"'Sheet1'!$L$16"}</definedName>
    <definedName name="gh" hidden="1">{"'Sheet1'!$L$16"}</definedName>
    <definedName name="ghd" hidden="1">{0}</definedName>
    <definedName name="GHDF" hidden="1">{"'Sheet1'!$L$16"}</definedName>
    <definedName name="ghdzsf" hidden="1">{"'Sheet1'!$L$16"}</definedName>
    <definedName name="ghg" hidden="1">{"'Sheet1'!$L$16"}</definedName>
    <definedName name="ghg_1">{"'Sheet1'!$L$16"}</definedName>
    <definedName name="ghg_2">{"'Sheet1'!$L$16"}</definedName>
    <definedName name="ghg_3">{"'Sheet1'!$L$16"}</definedName>
    <definedName name="ghgh" hidden="1">{"'Sheet1'!$L$16"}</definedName>
    <definedName name="giatrixaylap" hidden="1">{"'Sheet1'!$L$16"}</definedName>
    <definedName name="giatrixaylap_1">{"'Sheet1'!$L$16"}</definedName>
    <definedName name="giatrixaylap_2">{"'Sheet1'!$L$16"}</definedName>
    <definedName name="GiavatlieuPL">'[18]GVL-PL'!$B$5:$G$47</definedName>
    <definedName name="gjgh" hidden="1">{"'Sheet1'!$L$16"}</definedName>
    <definedName name="gjh" hidden="1">{"'Sheet1'!$L$16"}</definedName>
    <definedName name="gjrđjsjs" hidden="1">{"'Sheet1'!$L$16"}</definedName>
    <definedName name="GoBack" localSheetId="0">#N/A</definedName>
    <definedName name="GoBack">[0]!GoBack</definedName>
    <definedName name="GoBack_1" localSheetId="0">#N/A</definedName>
    <definedName name="GoBack_1">[0]!GoBack_1</definedName>
    <definedName name="GoBack_36" localSheetId="0">'phân chia trước điều chỉnh'!GoBack</definedName>
    <definedName name="GoBack_36">[0]!GoBack</definedName>
    <definedName name="GoBack_37" localSheetId="0">'phân chia trước điều chỉnh'!GoBack</definedName>
    <definedName name="GoBack_37">[0]!GoBack</definedName>
    <definedName name="GoBack_48" localSheetId="0">'phân chia trước điều chỉnh'!GoBack</definedName>
    <definedName name="GoBack_48">[0]!GoBack</definedName>
    <definedName name="GoBack_50" localSheetId="0">'phân chia trước điều chỉnh'!GoBack</definedName>
    <definedName name="GoBack_50">[0]!GoBack</definedName>
    <definedName name="GoBack_64" localSheetId="0">'phân chia trước điều chỉnh'!GoBack</definedName>
    <definedName name="GoBack_64">[0]!GoBack</definedName>
    <definedName name="GoBack_75" localSheetId="0">'phân chia trước điều chỉnh'!GoBack</definedName>
    <definedName name="GoBack_75">[0]!GoBack</definedName>
    <definedName name="GoBack_83" localSheetId="0">'phân chia trước điều chỉnh'!GoBack</definedName>
    <definedName name="GoBack_83">[0]!GoBack</definedName>
    <definedName name="GoBack_97" localSheetId="0">'phân chia trước điều chỉnh'!GoBack</definedName>
    <definedName name="GoBack_97">[0]!GoBack</definedName>
    <definedName name="GocTieuChuan" localSheetId="0">#N/A</definedName>
    <definedName name="GocTieuChuan">[0]!GocTieuChuan</definedName>
    <definedName name="GocTieuChuan_75" localSheetId="0">'phân chia trước điều chỉnh'!GocTieuChuan</definedName>
    <definedName name="GocTieuChuan_75">GocTieuChuan</definedName>
    <definedName name="goi" hidden="1">{"'Sheet1'!$L$16"}</definedName>
    <definedName name="goi_1">{"'Sheet1'!$L$16"}</definedName>
    <definedName name="goi_2">{"'Sheet1'!$L$16"}</definedName>
    <definedName name="Goi8_1">{"'Sheet1'!$L$16"}</definedName>
    <definedName name="Goi8_2">{"'Sheet1'!$L$16"}</definedName>
    <definedName name="Goi8_3">{"'Sheet1'!$L$16"}</definedName>
    <definedName name="Goi8_4">{"'Sheet1'!$L$16"}</definedName>
    <definedName name="Goi8_5">{"'Sheet1'!$L$16"}</definedName>
    <definedName name="gt">'[10]THONG SO'!$B$8</definedName>
    <definedName name="gteyhưez" hidden="1">{"'Sheet1'!$L$16"}</definedName>
    <definedName name="GTOTAL" hidden="1">{"'Sheet1'!$L$16"}</definedName>
    <definedName name="gư_rsg" localSheetId="0">#N/A</definedName>
    <definedName name="gư_rsg">[0]!gư_rsg</definedName>
    <definedName name="gữehbưyh">{"Book1","HS bao cao QT.xls","Ngocreogd1.xls"}</definedName>
    <definedName name="GVL" comment="GVL1">'[15]GVL-tuyến'!$B$4:$G$47</definedName>
    <definedName name="GVLBTN">'[15]GVL-BTN'!$B$2:$G$26</definedName>
    <definedName name="GVT">'[10]GIA VAT LIEU'!$B$214:$E$534</definedName>
    <definedName name="gwf" hidden="1">{#N/A,#N/A,FALSE,"Chi tiÆt"}</definedName>
    <definedName name="h" hidden="1">{"'Sheet1'!$L$16"}</definedName>
    <definedName name="h_1">{"'Sheet1'!$L$16"}</definedName>
    <definedName name="h_2">{"'Sheet1'!$L$16"}</definedName>
    <definedName name="h_3">{"'Sheet1'!$L$16"}</definedName>
    <definedName name="h_4">{"'Sheet1'!$L$16"}</definedName>
    <definedName name="h_5">{"'Sheet1'!$L$16"}</definedName>
    <definedName name="h_6">{"'Sheet1'!$L$16"}</definedName>
    <definedName name="h_7">{"'Sheet1'!$L$16"}</definedName>
    <definedName name="h_8">{"'Sheet1'!$L$16"}</definedName>
    <definedName name="h_9">{"'Sheet1'!$L$16"}</definedName>
    <definedName name="h1_1">{"'Sheet1'!$L$16"}</definedName>
    <definedName name="h1_2">{"'Sheet1'!$L$16"}</definedName>
    <definedName name="h1_3">{"'Sheet1'!$L$16"}</definedName>
    <definedName name="h1_4">{"'Sheet1'!$L$16"}</definedName>
    <definedName name="h1_5">{"'Sheet1'!$L$16"}</definedName>
    <definedName name="hai" hidden="1">{"'Sheet1'!$L$16"}</definedName>
    <definedName name="hai_1">{"'Sheet1'!$L$16"}</definedName>
    <definedName name="hai_2">{"'Sheet1'!$L$16"}</definedName>
    <definedName name="hai_3">{"'Sheet1'!$L$16"}</definedName>
    <definedName name="hai_4">{"'Sheet1'!$L$16"}</definedName>
    <definedName name="hai_5">{"'Sheet1'!$L$16"}</definedName>
    <definedName name="hailq" hidden="1">{"'Sheet1'!$L$16"}</definedName>
    <definedName name="Hanh" hidden="1">{"'Sheet1'!$L$16"}</definedName>
    <definedName name="hbfđn" localSheetId="0">#N/A</definedName>
    <definedName name="hbfđn">[0]!hbfđn</definedName>
    <definedName name="HCNA" hidden="1">{"'Sheet1'!$L$16"}</definedName>
    <definedName name="HCNA_1">{"'Sheet1'!$L$16"}</definedName>
    <definedName name="HCNA_2">{"'Sheet1'!$L$16"}</definedName>
    <definedName name="HCNA_3">{"'Sheet1'!$L$16"}</definedName>
    <definedName name="HCNA_4">{"'Sheet1'!$L$16"}</definedName>
    <definedName name="HCNA_5">{"'Sheet1'!$L$16"}</definedName>
    <definedName name="HCNA_6">{"'Sheet1'!$L$16"}</definedName>
    <definedName name="hdfhf" hidden="1">{"'Sheet1'!$L$16"}</definedName>
    <definedName name="Heä_soá_laép_xaø_H">1.7</definedName>
    <definedName name="heđbe" hidden="1">{"Offgrid",#N/A,FALSE,"OFFGRID";"Region",#N/A,FALSE,"REGION";"Offgrid -2",#N/A,FALSE,"OFFGRID";"WTP",#N/A,FALSE,"WTP";"WTP -2",#N/A,FALSE,"WTP";"Project",#N/A,FALSE,"PROJECT";"Summary -2",#N/A,FALSE,"SUMMARY"}</definedName>
    <definedName name="hee_opjg" hidden="1">{"'Sheet1'!$L$16"}</definedName>
    <definedName name="hehe" localSheetId="0">#N/A</definedName>
    <definedName name="hehe">[0]!hehe</definedName>
    <definedName name="Hello_64">NA()</definedName>
    <definedName name="Hello_75">NA()</definedName>
    <definedName name="Hello_83">NA()</definedName>
    <definedName name="Hesotang">1.05</definedName>
    <definedName name="Hesoton">1</definedName>
    <definedName name="hẻy" hidden="1">{"'Sheet1'!$L$16"}</definedName>
    <definedName name="hfdes" hidden="1">{0}</definedName>
    <definedName name="hfgh" localSheetId="0">#N/A</definedName>
    <definedName name="hfgh">[0]!hfgh</definedName>
    <definedName name="hgadgag" hidden="1">{"Offgrid",#N/A,FALSE,"OFFGRID";"Region",#N/A,FALSE,"REGION";"Offgrid -2",#N/A,FALSE,"OFFGRID";"WTP",#N/A,FALSE,"WTP";"WTP -2",#N/A,FALSE,"WTP";"Project",#N/A,FALSE,"PROJECT";"Summary -2",#N/A,FALSE,"SUMMARY"}</definedName>
    <definedName name="hgfhhstý" localSheetId="0">#N/A</definedName>
    <definedName name="hgfhhstý">[0]!hgfhhstý</definedName>
    <definedName name="hgh" hidden="1">{"'Sheet1'!$L$16"}</definedName>
    <definedName name="hgre_zdfhgfd" hidden="1">{"'Sheet1'!$L$16"}</definedName>
    <definedName name="hh" hidden="1">{"'Sheet1'!$L$16"}</definedName>
    <definedName name="hhh" hidden="1">{"'Sheet1'!$L$16"}</definedName>
    <definedName name="hhh_1">{"'Sheet1'!$L$16"}</definedName>
    <definedName name="hhh_2">{"'Sheet1'!$L$16"}</definedName>
    <definedName name="hhh_3">{"'Sheet1'!$L$16"}</definedName>
    <definedName name="hhh_4">{"'Sheet1'!$L$16"}</definedName>
    <definedName name="hhh_5">{"'Sheet1'!$L$16"}</definedName>
    <definedName name="hhh_6">{"'Sheet1'!$L$16"}</definedName>
    <definedName name="hhh_7">{"'Sheet1'!$L$16"}</definedName>
    <definedName name="hhhthrh" hidden="1">{#N/A,#N/A,FALSE,"Chi tiÆt"}</definedName>
    <definedName name="hhrw" localSheetId="0">#N/A</definedName>
    <definedName name="hhrw">[0]!hhrw</definedName>
    <definedName name="hiep" hidden="1">{#N/A,#N/A,FALSE,"Chi tiÆt"}</definedName>
    <definedName name="hiep_1">{#N/A,#N/A,FALSE,"Chi tiÆt"}</definedName>
    <definedName name="hiep_2">{#N/A,#N/A,FALSE,"Chi tiÆt"}</definedName>
    <definedName name="hiep_3">{#N/A,#N/A,FALSE,"Chi tiÆt"}</definedName>
    <definedName name="hiep_4">{#N/A,#N/A,FALSE,"Chi tiÆt"}</definedName>
    <definedName name="hiep_5">{#N/A,#N/A,FALSE,"Chi tiÆt"}</definedName>
    <definedName name="hiept2" hidden="1">{"'Sheet1'!$L$16"}</definedName>
    <definedName name="hiept2_1">{"'Sheet1'!$L$16"}</definedName>
    <definedName name="hiept2_2">{"'Sheet1'!$L$16"}</definedName>
    <definedName name="hiept2_3">{"'Sheet1'!$L$16"}</definedName>
    <definedName name="hiept2_4">{"'Sheet1'!$L$16"}</definedName>
    <definedName name="hiept2_5">{"'Sheet1'!$L$16"}</definedName>
    <definedName name="HJ" hidden="1">{"'Sheet1'!$L$16"}</definedName>
    <definedName name="hjk" hidden="1">{"'Sheet1'!$L$16"}</definedName>
    <definedName name="hjkk" hidden="1">{"'Sheet1'!$L$16"}</definedName>
    <definedName name="hoa" hidden="1">{"'Sheet1'!$L$16"}</definedName>
    <definedName name="hoan" hidden="1">{"'Sheet1'!$L$16"}</definedName>
    <definedName name="hoc">55000</definedName>
    <definedName name="hong" hidden="1">{"'Sheet1'!$L$16"}</definedName>
    <definedName name="hp" hidden="1">{"'Sheet1'!$L$16"}</definedName>
    <definedName name="hp_1">{"'Sheet1'!$L$16"}</definedName>
    <definedName name="hp_2">{"'Sheet1'!$L$16"}</definedName>
    <definedName name="hp_3">{"'Sheet1'!$L$16"}</definedName>
    <definedName name="hp_4">{"'Sheet1'!$L$16"}</definedName>
    <definedName name="hp_5">{"'Sheet1'!$L$16"}</definedName>
    <definedName name="hrhe" hidden="1">{"Offgrid",#N/A,FALSE,"OFFGRID";"Region",#N/A,FALSE,"REGION";"Offgrid -2",#N/A,FALSE,"OFFGRID";"WTP",#N/A,FALSE,"WTP";"WTP -2",#N/A,FALSE,"WTP";"Project",#N/A,FALSE,"PROJECT";"Summary -2",#N/A,FALSE,"SUMMARY"}</definedName>
    <definedName name="HSCT3">0.1</definedName>
    <definedName name="HSDN">2.5</definedName>
    <definedName name="HSG">1.1</definedName>
    <definedName name="hsgbhtgrư" hidden="1">{#N/A,#N/A,FALSE,"Chi tiÆt"}</definedName>
    <definedName name="HSLXH">1.7</definedName>
    <definedName name="hsn">0.5</definedName>
    <definedName name="hsnc_cau">2.5039</definedName>
    <definedName name="hsnc_cau2">1.626</definedName>
    <definedName name="hsnc_d">1.6356</definedName>
    <definedName name="hsnc_d2">1.6356</definedName>
    <definedName name="hss">{"QL 32 -TBGTI.xls","Sheet1"}</definedName>
    <definedName name="hsvl2">1</definedName>
    <definedName name="hsvt">1</definedName>
    <definedName name="hsvtbms">1</definedName>
    <definedName name="hsvtmt">1</definedName>
    <definedName name="htjhtjftj" hidden="1">{#N/A,#N/A,FALSE,"Chi tiÆt"}</definedName>
    <definedName name="htlm" hidden="1">{"'Sheet1'!$L$16"}</definedName>
    <definedName name="htlm_1">{"'Sheet1'!$L$16"}</definedName>
    <definedName name="htlm_2">{"'Sheet1'!$L$16"}</definedName>
    <definedName name="htlm_3">{"'Sheet1'!$L$16"}</definedName>
    <definedName name="htlm_4">{"'Sheet1'!$L$16"}</definedName>
    <definedName name="htlm_5">{"'Sheet1'!$L$16"}</definedName>
    <definedName name="htlm_6">{"'Sheet1'!$L$16"}</definedName>
    <definedName name="htlm_7">{"'Sheet1'!$L$16"}</definedName>
    <definedName name="htlm_8">{"'Sheet1'!$L$16"}</definedName>
    <definedName name="htlm1" hidden="1">{"'Sheet1'!$L$16"}</definedName>
    <definedName name="htlm1_1">{"'Sheet1'!$L$16"}</definedName>
    <definedName name="htlm1_2">{"'Sheet1'!$L$16"}</definedName>
    <definedName name="htlm1_3">{"'Sheet1'!$L$16"}</definedName>
    <definedName name="htlm1_4">{"'Sheet1'!$L$16"}</definedName>
    <definedName name="htlm1_5">{"'Sheet1'!$L$16"}</definedName>
    <definedName name="htm" hidden="1">{"'Sheet1'!$L$16"}</definedName>
    <definedName name="htm_1">{"'Sheet1'!$L$16"}</definedName>
    <definedName name="htm_2">{"'Sheet1'!$L$16"}</definedName>
    <definedName name="html" hidden="1">{"'Sheet1'!$L$16"}</definedName>
    <definedName name="HTML_CodePage" hidden="1">950</definedName>
    <definedName name="HTML_Control" hidden="1">{"'Sheet1'!$L$16"}</definedName>
    <definedName name="HTML_Control_6">{"'Sheet1'!$L$16"}</definedName>
    <definedName name="HTML_Control_7">{"'Sheet1'!$L$16"}</definedName>
    <definedName name="HTML_Control_8">{"'Sheet1'!$L$16"}</definedName>
    <definedName name="HTML_Control_9">{"'Sheet1'!$L$16"}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tml2" hidden="1">{"'Sheet1'!$L$16"}</definedName>
    <definedName name="htriu4" hidden="1">{#N/A,#N/A,FALSE,"Chi tiÆt"}</definedName>
    <definedName name="hu_1">{"'Sheet1'!$L$16"}</definedName>
    <definedName name="hu_2">{"'Sheet1'!$L$16"}</definedName>
    <definedName name="hu_3">{"'Sheet1'!$L$16"}</definedName>
    <definedName name="hu_4">{"'Sheet1'!$L$16"}</definedName>
    <definedName name="hu_5">{"'Sheet1'!$L$16"}</definedName>
    <definedName name="hu_6">{"'Sheet1'!$L$16"}</definedName>
    <definedName name="hu_7">{"'Sheet1'!$L$16"}</definedName>
    <definedName name="hu_8">{"'Sheet1'!$L$16"}</definedName>
    <definedName name="hu1_1">{"'Sheet1'!$L$16"}</definedName>
    <definedName name="hu1_2">{"'Sheet1'!$L$16"}</definedName>
    <definedName name="hu1_3">{"'Sheet1'!$L$16"}</definedName>
    <definedName name="hu1_4">{"'Sheet1'!$L$16"}</definedName>
    <definedName name="hu1_5">{"'Sheet1'!$L$16"}</definedName>
    <definedName name="hu2_1">{"'Sheet1'!$L$16"}</definedName>
    <definedName name="hu2_2">{"'Sheet1'!$L$16"}</definedName>
    <definedName name="hu2_3">{"'Sheet1'!$L$16"}</definedName>
    <definedName name="hu2_4">{"'Sheet1'!$L$16"}</definedName>
    <definedName name="hu2_5">{"'Sheet1'!$L$16"}</definedName>
    <definedName name="hu5_1">{"'Sheet1'!$L$16"}</definedName>
    <definedName name="hu5_2">{"'Sheet1'!$L$16"}</definedName>
    <definedName name="hu5_3">{"'Sheet1'!$L$16"}</definedName>
    <definedName name="hu5_4">{"'Sheet1'!$L$16"}</definedName>
    <definedName name="hu5_5">{"'Sheet1'!$L$16"}</definedName>
    <definedName name="hu6_1">{"'Sheet1'!$L$16"}</definedName>
    <definedName name="hu6_2">{"'Sheet1'!$L$16"}</definedName>
    <definedName name="hu6_3">{"'Sheet1'!$L$16"}</definedName>
    <definedName name="hu6_4">{"'Sheet1'!$L$16"}</definedName>
    <definedName name="hu6_5">{"'Sheet1'!$L$16"}</definedName>
    <definedName name="hui_1">{"'Sheet1'!$L$16"}</definedName>
    <definedName name="hui_2">{"'Sheet1'!$L$16"}</definedName>
    <definedName name="hui_3">{"'Sheet1'!$L$16"}</definedName>
    <definedName name="hui_4">{"'Sheet1'!$L$16"}</definedName>
    <definedName name="hung" hidden="1">{"'Sheet1'!$L$16"}</definedName>
    <definedName name="Hung_1">{"'Sheet1'!$L$16"}</definedName>
    <definedName name="Hung_2">{"'Sheet1'!$L$16"}</definedName>
    <definedName name="huu" hidden="1">{"'Sheet1'!$L$16"}</definedName>
    <definedName name="huu_1">{"'Sheet1'!$L$16"}</definedName>
    <definedName name="huu_2">{"'Sheet1'!$L$16"}</definedName>
    <definedName name="huy" hidden="1">{"'Sheet1'!$L$16"}</definedName>
    <definedName name="huy_6">{"'Sheet1'!$L$16"}</definedName>
    <definedName name="huy_7">{"'Sheet1'!$L$16"}</definedName>
    <definedName name="huy_8">{"'Sheet1'!$L$16"}</definedName>
    <definedName name="huy_9">{"'Sheet1'!$L$16"}</definedName>
    <definedName name="huy1_1">{"'Sheet1'!$L$16"}</definedName>
    <definedName name="huy1_2">{"'Sheet1'!$L$16"}</definedName>
    <definedName name="huy1_3">{"'Sheet1'!$L$16"}</definedName>
    <definedName name="huy1_4">{"'Sheet1'!$L$16"}</definedName>
    <definedName name="huyen" hidden="1">{"'Sheet1'!$L$16"}</definedName>
    <definedName name="huyy" hidden="1">{"'Sheet1'!$L$16"}</definedName>
    <definedName name="huyy_1">{"'Sheet1'!$L$16"}</definedName>
    <definedName name="huyy_2">{"'Sheet1'!$L$16"}</definedName>
    <definedName name="hy." hidden="1">{"'Sheet1'!$L$16"}</definedName>
    <definedName name="hy._1">{"'Sheet1'!$L$16"}</definedName>
    <definedName name="hy._2">{"'Sheet1'!$L$16"}</definedName>
    <definedName name="hy._3">{"'Sheet1'!$L$16"}</definedName>
    <definedName name="hy._4">{"'Sheet1'!$L$16"}</definedName>
    <definedName name="hy._5">{"'Sheet1'!$L$16"}</definedName>
    <definedName name="it" hidden="1">{"'Sheet1'!$L$16"}</definedName>
    <definedName name="ịth" hidden="1">{"'Sheet1'!$L$16"}</definedName>
    <definedName name="j" hidden="1">{"'Sheet1'!$L$16"}</definedName>
    <definedName name="j_1">{"'Sheet1'!$L$16"}</definedName>
    <definedName name="j_2">{"'Sheet1'!$L$16"}</definedName>
    <definedName name="jæít" hidden="1">{"'Sheet1'!$L$16"}</definedName>
    <definedName name="JH" hidden="1">{"'Sheet1'!$L$16"}</definedName>
    <definedName name="JHJ" hidden="1">{"'Sheet1'!$L$16"}</definedName>
    <definedName name="jhk" hidden="1">{"'Sheet1'!$L$16"}</definedName>
    <definedName name="jjjjjjj" hidden="1">{"'Sheet1'!$L$16"}</definedName>
    <definedName name="jkjhk" hidden="1">{"'Sheet1'!$L$16"}</definedName>
    <definedName name="JKJK" hidden="1">{"'Sheet1'!$L$16"}</definedName>
    <definedName name="jkjk_1">{"'Sheet1'!$L$16"}</definedName>
    <definedName name="jkjk_2">{"'Sheet1'!$L$16"}</definedName>
    <definedName name="jkjk_3">{"'Sheet1'!$L$16"}</definedName>
    <definedName name="JLJKL" hidden="1">{"'Sheet1'!$L$16"}</definedName>
    <definedName name="jtdjsjrfjnm" localSheetId="0">#N/A</definedName>
    <definedName name="jtdjsjrfjnm">[0]!jtdjsjrfjnm</definedName>
    <definedName name="jýỵy" hidden="1">{"'Sheet1'!$L$16"}</definedName>
    <definedName name="k_1">{"Offgrid",#N/A,FALSE,"OFFGRID";"Region",#N/A,FALSE,"REGION";"Offgrid -2",#N/A,FALSE,"OFFGRID";"WTP",#N/A,FALSE,"WTP";"WTP -2",#N/A,FALSE,"WTP";"Project",#N/A,FALSE,"PROJECT";"Summary -2",#N/A,FALSE,"SUMMARY"}</definedName>
    <definedName name="K_1_1" localSheetId="0">#N/A</definedName>
    <definedName name="K_1_1">[0]!K_1_1</definedName>
    <definedName name="K_1_64">#N/A</definedName>
    <definedName name="K_1_75">#N/A</definedName>
    <definedName name="K_1_83">#N/A</definedName>
    <definedName name="k_2">{"Offgrid",#N/A,FALSE,"OFFGRID";"Region",#N/A,FALSE,"REGION";"Offgrid -2",#N/A,FALSE,"OFFGRID";"WTP",#N/A,FALSE,"WTP";"WTP -2",#N/A,FALSE,"WTP";"Project",#N/A,FALSE,"PROJECT";"Summary -2",#N/A,FALSE,"SUMMARY"}</definedName>
    <definedName name="K_2_1" localSheetId="0">#N/A</definedName>
    <definedName name="K_2_1">[0]!K_2_1</definedName>
    <definedName name="K_2_64">#N/A</definedName>
    <definedName name="K_2_75">#N/A</definedName>
    <definedName name="K_2_83">#N/A</definedName>
    <definedName name="k_3">{"Offgrid",#N/A,FALSE,"OFFGRID";"Region",#N/A,FALSE,"REGION";"Offgrid -2",#N/A,FALSE,"OFFGRID";"WTP",#N/A,FALSE,"WTP";"WTP -2",#N/A,FALSE,"WTP";"Project",#N/A,FALSE,"PROJECT";"Summary -2",#N/A,FALSE,"SUMMARY"}</definedName>
    <definedName name="k_4">{"Offgrid",#N/A,FALSE,"OFFGRID";"Region",#N/A,FALSE,"REGION";"Offgrid -2",#N/A,FALSE,"OFFGRID";"WTP",#N/A,FALSE,"WTP";"WTP -2",#N/A,FALSE,"WTP";"Project",#N/A,FALSE,"PROJECT";"Summary -2",#N/A,FALSE,"SUMMARY"}</definedName>
    <definedName name="k_5">{"Offgrid",#N/A,FALSE,"OFFGRID";"Region",#N/A,FALSE,"REGION";"Offgrid -2",#N/A,FALSE,"OFFGRID";"WTP",#N/A,FALSE,"WTP";"WTP -2",#N/A,FALSE,"WTP";"Project",#N/A,FALSE,"PROJECT";"Summary -2",#N/A,FALSE,"SUMMARY"}</definedName>
    <definedName name="k_6">{"Offgrid",#N/A,FALSE,"OFFGRID";"Region",#N/A,FALSE,"REGION";"Offgrid -2",#N/A,FALSE,"OFFGRID";"WTP",#N/A,FALSE,"WTP";"WTP -2",#N/A,FALSE,"WTP";"Project",#N/A,FALSE,"PROJECT";"Summary -2",#N/A,FALSE,"SUMMARY"}</definedName>
    <definedName name="k_7">{"'Sheet1'!$L$16"}</definedName>
    <definedName name="k_8">{"Offgrid",#N/A,FALSE,"OFFGRID";"Region",#N/A,FALSE,"REGION";"Offgrid -2",#N/A,FALSE,"OFFGRID";"WTP",#N/A,FALSE,"WTP";"WTP -2",#N/A,FALSE,"WTP";"Project",#N/A,FALSE,"PROJECT";"Summary -2",#N/A,FALSE,"SUMMARY"}</definedName>
    <definedName name="k7tdkd6tkd" localSheetId="0">#N/A</definedName>
    <definedName name="k7tdkd6tkd">[0]!k7tdkd6tkd</definedName>
    <definedName name="KCThep" hidden="1">{"'Sheet1'!$L$16"}</definedName>
    <definedName name="kdkk" hidden="1">{"'Sheet1'!$L$16"}</definedName>
    <definedName name="kg_m2" localSheetId="0" hidden="1">#REF!</definedName>
    <definedName name="kg_m2" hidden="1">#REF!</definedName>
    <definedName name="KH" hidden="1">{#N/A,#N/A,FALSE,"Chi tiÆt"}</definedName>
    <definedName name="KH_1">{#N/A,#N/A,FALSE,"Chi tiÆt"}</definedName>
    <definedName name="KH_2">{#N/A,#N/A,FALSE,"Chi tiÆt"}</definedName>
    <definedName name="KH_3">{#N/A,#N/A,FALSE,"Chi tiÆt"}</definedName>
    <definedName name="KH_4">{#N/A,#N/A,FALSE,"Chi tiÆt"}</definedName>
    <definedName name="KH_5">{#N/A,#N/A,FALSE,"Chi tiÆt"}</definedName>
    <definedName name="khac">2</definedName>
    <definedName name="Khanh" hidden="1">{"'Sheet1'!$L$16"}</definedName>
    <definedName name="KHANHKHUNG" hidden="1">{"'Sheet1'!$L$16"}</definedName>
    <definedName name="KHANHKHUNG_1">{"'Sheet1'!$L$16"}</definedName>
    <definedName name="KHANHKHUNG_2">{"'Sheet1'!$L$16"}</definedName>
    <definedName name="khin" hidden="1">{"'Sheet1'!$L$16"}</definedName>
    <definedName name="khin_1">{"'Sheet1'!$L$16"}</definedName>
    <definedName name="khin_2">{"'Sheet1'!$L$16"}</definedName>
    <definedName name="khin_3">{"'Sheet1'!$L$16"}</definedName>
    <definedName name="khin_4">{"'Sheet1'!$L$16"}</definedName>
    <definedName name="khin_5">{"'Sheet1'!$L$16"}</definedName>
    <definedName name="khongtruotgia_1">{"'Sheet1'!$L$16"}</definedName>
    <definedName name="khongtruotgia_2">{"'Sheet1'!$L$16"}</definedName>
    <definedName name="khongtruotgia_3">{"'Sheet1'!$L$16"}</definedName>
    <definedName name="kjk" hidden="1">{"'Sheet1'!$L$16"}</definedName>
    <definedName name="KL" hidden="1">{"'Sheet1'!$L$16"}</definedName>
    <definedName name="KL_1">{"'Sheet1'!$L$16"}</definedName>
    <definedName name="KL_2">{"'Sheet1'!$L$16"}</definedName>
    <definedName name="KLCLT14">'[10]GIA VAT LIEU'!$G$33</definedName>
    <definedName name="KLduonggiaods" hidden="1">{"'Sheet1'!$L$16"}</definedName>
    <definedName name="KLduonggiaods_1">{"'Sheet1'!$L$16"}</definedName>
    <definedName name="KLduonggiaods_2">{"'Sheet1'!$L$16"}</definedName>
    <definedName name="KLTHNH">{"ÿÿÿÿÿ","DT cau tam Ha trinh 7.xls","DT cau tam Ha trinh 3.xls"}</definedName>
    <definedName name="kodsx">'[4]Dữ liệu đầu vào'!$D$16</definedName>
    <definedName name="ksbn_1">{"'Sheet1'!$L$16"}</definedName>
    <definedName name="ksbn_2">{"'Sheet1'!$L$16"}</definedName>
    <definedName name="ksbn_3">{"'Sheet1'!$L$16"}</definedName>
    <definedName name="KSDA" hidden="1">{"'Sheet1'!$L$16"}</definedName>
    <definedName name="KSDA_1">{"'Sheet1'!$L$16"}</definedName>
    <definedName name="KSDA_2">{"'Sheet1'!$L$16"}</definedName>
    <definedName name="KSDA_3">{"'Sheet1'!$L$16"}</definedName>
    <definedName name="KSDA_4">{"'Sheet1'!$L$16"}</definedName>
    <definedName name="KSDA_5">{"'Sheet1'!$L$16"}</definedName>
    <definedName name="KSDA_6">{"'Sheet1'!$L$16"}</definedName>
    <definedName name="kshn_1">{"'Sheet1'!$L$16"}</definedName>
    <definedName name="kshn_2">{"'Sheet1'!$L$16"}</definedName>
    <definedName name="kshn_3">{"'Sheet1'!$L$16"}</definedName>
    <definedName name="ksls_1">{"'Sheet1'!$L$16"}</definedName>
    <definedName name="ksls_2">{"'Sheet1'!$L$16"}</definedName>
    <definedName name="ksls_3">{"'Sheet1'!$L$16"}</definedName>
    <definedName name="ktdk0" hidden="1">{#N/A,#N/A,FALSE,"Chi tiÆt"}</definedName>
    <definedName name="l" hidden="1">{"'Sheet1'!$L$16"}</definedName>
    <definedName name="l_1">{"'Sheet1'!$L$16"}</definedName>
    <definedName name="l_2">{"'Sheet1'!$L$16"}</definedName>
    <definedName name="l_3">{"'Sheet1'!$L$16"}</definedName>
    <definedName name="l_4">{"'Sheet1'!$L$16"}</definedName>
    <definedName name="l_5">{"'Sheet1'!$L$16"}</definedName>
    <definedName name="l_6">{"'Sheet1'!$L$16"}</definedName>
    <definedName name="l_7">{"'Sheet1'!$L$16"}</definedName>
    <definedName name="l_8">{"'Sheet1'!$L$16"}</definedName>
    <definedName name="L63x6">5800</definedName>
    <definedName name="Lan">{"Thuxm2.xls","Sheet1"}</definedName>
    <definedName name="lan_1">{"'Sheet1'!$L$16"}</definedName>
    <definedName name="lan_2">{"'Sheet1'!$L$16"}</definedName>
    <definedName name="lan_3">{"'Sheet1'!$L$16"}</definedName>
    <definedName name="lan_4">{"'Sheet1'!$L$16"}</definedName>
    <definedName name="Lan_5">{"Thuxm2.xls","Sheet1"}</definedName>
    <definedName name="lan_6">{"'Sheet1'!$L$16"}</definedName>
    <definedName name="Lan1_1">{"'Sheet1'!$L$16"}</definedName>
    <definedName name="Lan1_2">{"'Sheet1'!$L$16"}</definedName>
    <definedName name="Lan1_3">{"'Sheet1'!$L$16"}</definedName>
    <definedName name="Lan1_4">{"'Sheet1'!$L$16"}</definedName>
    <definedName name="Lan1_5">{"'Sheet1'!$L$16"}</definedName>
    <definedName name="LAN3_1">{"'Sheet1'!$L$16"}</definedName>
    <definedName name="LAN3_2">{"'Sheet1'!$L$16"}</definedName>
    <definedName name="LAN3_3">{"'Sheet1'!$L$16"}</definedName>
    <definedName name="LAN3_4">{"'Sheet1'!$L$16"}</definedName>
    <definedName name="LAN3_5">{"'Sheet1'!$L$16"}</definedName>
    <definedName name="langson_1">{"'Sheet1'!$L$16"}</definedName>
    <definedName name="langson_2">{"'Sheet1'!$L$16"}</definedName>
    <definedName name="langson_3">{"'Sheet1'!$L$16"}</definedName>
    <definedName name="lbit">5%</definedName>
    <definedName name="LBS_22">107800000</definedName>
    <definedName name="lg3.5_2">'[8]Nhan cong'!$J$20</definedName>
    <definedName name="lg3.7_2">'[19]Nhan cong'!$J$22</definedName>
    <definedName name="limcount" hidden="1">13</definedName>
    <definedName name="ljkl" hidden="1">{"'Sheet1'!$L$16"}</definedName>
    <definedName name="LK" hidden="1">{"'Sheet1'!$L$16"}</definedName>
    <definedName name="lphu">'[4]Dữ liệu đầu vào'!$D$14</definedName>
    <definedName name="luc" hidden="1">{"'Sheet1'!$L$16"}</definedName>
    <definedName name="luong" hidden="1">{"'Sheet1'!$L$16"}</definedName>
    <definedName name="m" hidden="1">{"'Sheet1'!$L$16"}</definedName>
    <definedName name="m_1">{"'Sheet1'!$L$16"}</definedName>
    <definedName name="m_3">{"'Sheet1'!$L$16"}</definedName>
    <definedName name="m4_1">{"'Sheet1'!$L$16"}</definedName>
    <definedName name="m4_2">{"'Sheet1'!$L$16"}</definedName>
    <definedName name="mai" hidden="1">{"'Sheet1'!$L$16"}</definedName>
    <definedName name="MakeIt_64">NA()</definedName>
    <definedName name="MakeIt_75">NA()</definedName>
    <definedName name="MakeIt_83">NA()</definedName>
    <definedName name="marut">'[4]Dữ liệu đầu vào'!$D$25</definedName>
    <definedName name="matbang" hidden="1">{"'Sheet1'!$L$16"}</definedName>
    <definedName name="mau" hidden="1">{"'Sheet1'!$L$16"}</definedName>
    <definedName name="mau_1">{"'Sheet1'!$L$16"}</definedName>
    <definedName name="mau_2">{"'Sheet1'!$L$16"}</definedName>
    <definedName name="mau_3">{"'Sheet1'!$L$16"}</definedName>
    <definedName name="mau_4">{"'Sheet1'!$L$16"}</definedName>
    <definedName name="mau_5">{"'Sheet1'!$L$16"}</definedName>
    <definedName name="may">'[20]Máy ĐN'!$C$13:$J$289</definedName>
    <definedName name="MBDCOT">'[10]Dinh muc 4970-DZ'!$A$36</definedName>
    <definedName name="MBDDAY">'[10]Dinh muc 4970-DZ'!$A$30</definedName>
    <definedName name="MBDSU">'[10]Dinh muc 4970-DZ'!$A$27</definedName>
    <definedName name="MBDXA">'[10]Dinh muc 4970-DZ'!$A$18</definedName>
    <definedName name="mbtlotM100MTC">'[10]Dinh muc XD theo TT10'!$A$77</definedName>
    <definedName name="mbtmongM250MTC">'[10]Dinh muc XD theo TT10'!$A$83</definedName>
    <definedName name="mcotthepnhohon10">'[10]Dinh muc XD theo TT10'!$A$101</definedName>
    <definedName name="mdaodatc1rong1sau1">'[10]Dinh muc XD theo TT10'!$A$39</definedName>
    <definedName name="mdaodatc2ronghon1sauhom1">'[10]Dinh muc XD theo TT10'!$A$48</definedName>
    <definedName name="mdapdatk85">'[10]Dinh muc XD theo TT10'!$A$66</definedName>
    <definedName name="mdaucot50">'[10]Dinh muc 4970-DZ'!$A$8071</definedName>
    <definedName name="mdungcot14m">'[10]Dinh muc 4970-DZ'!$A$639</definedName>
    <definedName name="miyu" hidden="1">{"'Sheet1'!$L$16"}</definedName>
    <definedName name="mkeodaytdtba">'[10]Dinh muc 4970-TBA'!$A$3945</definedName>
    <definedName name="ml">{"Thuxm2.xls","Sheet1"}</definedName>
    <definedName name="mlapbiencam">'[10]Dinh muc 4970-DZ'!$A$3868</definedName>
    <definedName name="mlapCCTR35kV">'[10]Dinh muc 4970-TBA'!$A$2536</definedName>
    <definedName name="mlapcdld35kv3pha">'[10]Dinh muc 4970-TBA'!$A$2373</definedName>
    <definedName name="mlapchuoineopolimer35kV">'[10]Dinh muc 4970-DZ'!$A$3082</definedName>
    <definedName name="mlapcsv35kv">'[10]Dinh muc 4970-TBA'!$A$2769</definedName>
    <definedName name="mlapdatdayAC95TBA">'[10]Dinh muc 4970-TBA'!$A$3652</definedName>
    <definedName name="mlapghecachdienTBA">'[10]Dinh muc 4970-TBA'!$A$3953</definedName>
    <definedName name="mlapgiadoTBA">'[10]Dinh muc 4970-TBA'!$A$3956</definedName>
    <definedName name="mlapsu35kVcotTBA">'[10]Dinh muc 4970-TBA'!$A$3525</definedName>
    <definedName name="mlapTI35kV">'[10]Dinh muc 4970-TBA'!$A$2029</definedName>
    <definedName name="mlaptubu35kV">'[10]Dinh muc 4970-TBA'!$A$3242</definedName>
    <definedName name="mlaptuht">'[10]Dinh muc 4970-TBA'!$A$4043</definedName>
    <definedName name="mlapxathepTBA">'[10]Dinh muc 4970-TBA'!$A$3978</definedName>
    <definedName name="mm" hidden="1">{"'Sheet1'!$L$16"}</definedName>
    <definedName name="mm_1">{"'Sheet1'!$L$16"}</definedName>
    <definedName name="mm_2">{"'Sheet1'!$L$16"}</definedName>
    <definedName name="mnoicot">'[10]Dinh muc 4970-DZ'!$A$601</definedName>
    <definedName name="mo" hidden="1">{"'Sheet1'!$L$16"}</definedName>
    <definedName name="mo_1">{"'Sheet1'!$L$16"}</definedName>
    <definedName name="mo_2">{"'Sheet1'!$L$16"}</definedName>
    <definedName name="mo_3">{"'Sheet1'!$L$16"}</definedName>
    <definedName name="mo_4">{"'Sheet1'!$L$16"}</definedName>
    <definedName name="mo_5">{"'Sheet1'!$L$16"}</definedName>
    <definedName name="mo_6">{"'Sheet1'!$L$16"}</definedName>
    <definedName name="mo_7">{"'Sheet1'!$L$16"}</definedName>
    <definedName name="mo_8">{"'Sheet1'!$L$16"}</definedName>
    <definedName name="Module1.giagoc" localSheetId="0">#N/A</definedName>
    <definedName name="Module1.giagoc">[0]!Module1.giagoc</definedName>
    <definedName name="Module1.giagoc_1" localSheetId="0">#N/A</definedName>
    <definedName name="Module1.giagoc_1">[0]!Module1.giagoc_1</definedName>
    <definedName name="Module1.giagoc_19" localSheetId="0">'phân chia trước điều chỉnh'!Module1.giagoc</definedName>
    <definedName name="Module1.giagoc_19">Module1.giagoc</definedName>
    <definedName name="Module1.giagoc_64" localSheetId="0">'phân chia trước điều chỉnh'!Module1.giagoc</definedName>
    <definedName name="Module1.giagoc_64">Module1.giagoc</definedName>
    <definedName name="Module1.giagoc_75" localSheetId="0">'phân chia trước điều chỉnh'!Module1.giagoc</definedName>
    <definedName name="Module1.giagoc_75">Module1.giagoc</definedName>
    <definedName name="Module1.giagoc_80" localSheetId="0">'phân chia trước điều chỉnh'!Module1.giagoc</definedName>
    <definedName name="Module1.giagoc_80">Module1.giagoc</definedName>
    <definedName name="Module1.giagoc_81" localSheetId="0">'phân chia trước điều chỉnh'!Module1.giagoc</definedName>
    <definedName name="Module1.giagoc_81">Module1.giagoc</definedName>
    <definedName name="Module1.giagoc_82" localSheetId="0">'phân chia trước điều chỉnh'!Module1.giagoc</definedName>
    <definedName name="Module1.giagoc_82">Module1.giagoc</definedName>
    <definedName name="Module1.giagoc_83" localSheetId="0">'phân chia trước điều chỉnh'!Module1.giagoc</definedName>
    <definedName name="Module1.giagoc_83">Module1.giagoc</definedName>
    <definedName name="Module1.giatamtinh" localSheetId="0">#N/A</definedName>
    <definedName name="Module1.giatamtinh">[0]!Module1.giatamtinh</definedName>
    <definedName name="Module1.giatamtinh_1" localSheetId="0">#N/A</definedName>
    <definedName name="Module1.giatamtinh_1">[0]!Module1.giatamtinh_1</definedName>
    <definedName name="Module1.giatamtinh_19" localSheetId="0">'phân chia trước điều chỉnh'!Module1.giatamtinh</definedName>
    <definedName name="Module1.giatamtinh_19">Module1.giatamtinh</definedName>
    <definedName name="Module1.giatamtinh_64" localSheetId="0">'phân chia trước điều chỉnh'!Module1.giatamtinh</definedName>
    <definedName name="Module1.giatamtinh_64">Module1.giatamtinh</definedName>
    <definedName name="Module1.giatamtinh_75" localSheetId="0">'phân chia trước điều chỉnh'!Module1.giatamtinh</definedName>
    <definedName name="Module1.giatamtinh_75">Module1.giatamtinh</definedName>
    <definedName name="Module1.giatamtinh_80" localSheetId="0">'phân chia trước điều chỉnh'!Module1.giatamtinh</definedName>
    <definedName name="Module1.giatamtinh_80">Module1.giatamtinh</definedName>
    <definedName name="Module1.giatamtinh_81" localSheetId="0">'phân chia trước điều chỉnh'!Module1.giatamtinh</definedName>
    <definedName name="Module1.giatamtinh_81">Module1.giatamtinh</definedName>
    <definedName name="Module1.giatamtinh_82" localSheetId="0">'phân chia trước điều chỉnh'!Module1.giatamtinh</definedName>
    <definedName name="Module1.giatamtinh_82">Module1.giatamtinh</definedName>
    <definedName name="Module1.giatamtinh_83" localSheetId="0">'phân chia trước điều chỉnh'!Module1.giatamtinh</definedName>
    <definedName name="Module1.giatamtinh_83">Module1.giatamtinh</definedName>
    <definedName name="moi_1">{"'Sheet1'!$L$16"}</definedName>
    <definedName name="moi_2">{"'Sheet1'!$L$16"}</definedName>
    <definedName name="moi_3">{"'Sheet1'!$L$16"}</definedName>
    <definedName name="moi_4">{"'Sheet1'!$L$16"}</definedName>
    <definedName name="moi_5">{"'Sheet1'!$L$16"}</definedName>
    <definedName name="moi_6">{"'Sheet1'!$L$16"}</definedName>
    <definedName name="moo" hidden="1">{"'Sheet1'!$L$16"}</definedName>
    <definedName name="moo_1">{"'Sheet1'!$L$16"}</definedName>
    <definedName name="moo_2">{"'Sheet1'!$L$16"}</definedName>
    <definedName name="Morning_64">NA()</definedName>
    <definedName name="Morning_75">NA()</definedName>
    <definedName name="Morning_83">NA()</definedName>
    <definedName name="mthuhoidayAC50">'[10]Đơn giá thu hồi 228'!$B$45</definedName>
    <definedName name="mthuhoisudung35kV">'[10]Đơn giá thu hồi 228'!$B$28</definedName>
    <definedName name="mthuxado10kg">'[10]Đơn giá thu hồi 228'!$B$4</definedName>
    <definedName name="mthuxado50kg">'[10]Đơn giá thu hồi 228'!$B$6</definedName>
    <definedName name="mthuxaneo10kg">'[10]Đơn giá thu hồi 228'!$B$9</definedName>
    <definedName name="mtnbienap35kV">'[10]Đơn giá chi tiết TN 1781'!$A$96</definedName>
    <definedName name="mtnbiendong35kV">'[10]Đơn giá chi tiết TN 1781'!$A$79</definedName>
    <definedName name="mtncdld35kV">'[10]Đơn giá chi tiết TN 1781'!$A$130</definedName>
    <definedName name="mtncsv35kV">'[10]Đơn giá chi tiết TN 1781'!$A$248</definedName>
    <definedName name="mtnsudung35kV">'[10]Đơn giá chi tiết TN 1781'!$A$337</definedName>
    <definedName name="mtntdtba">'[10]Đơn giá chi tiết TN 1781'!$A$410</definedName>
    <definedName name="mtntu35kV">'[10]Đơn giá chi tiết TN 1781'!$A$373</definedName>
    <definedName name="mvankhuonthep">'[10]Dinh muc XD theo TT10'!$A$135</definedName>
    <definedName name="MVCCOT100">'[10]Dinh muc 4970-DZ'!$A$151</definedName>
    <definedName name="MVCDAY100">'[10]Dinh muc 4970-DZ'!$A$127</definedName>
    <definedName name="MVCSU100">'[10]Dinh muc 4970-DZ'!$A$115</definedName>
    <definedName name="MVCXA100">'[10]Dinh muc 4970-DZ'!$A$79</definedName>
    <definedName name="n" localSheetId="0" hidden="1">#REF!</definedName>
    <definedName name="n" hidden="1">#REF!</definedName>
    <definedName name="nam" hidden="1">{"'Sheet1'!$L$16"}</definedName>
    <definedName name="nam_1">{"'Sheet1'!$L$16"}</definedName>
    <definedName name="nam_2">{"'Sheet1'!$L$16"}</definedName>
    <definedName name="nam_3">{"'Sheet1'!$L$16"}</definedName>
    <definedName name="nam_4">{"'Sheet1'!$L$16"}</definedName>
    <definedName name="nam_5">{"'Sheet1'!$L$16"}</definedName>
    <definedName name="nam_6">{"'Sheet1'!$L$16"}</definedName>
    <definedName name="name_gia" localSheetId="0" hidden="1">[13]Control!#REF!</definedName>
    <definedName name="name_gia" hidden="1">[13]Control!#REF!</definedName>
    <definedName name="NC">{"Thuxm2.xls","Sheet1"}</definedName>
    <definedName name="NC3.5">'[21]Nhan cong Hoa Binh'!$J$20</definedName>
    <definedName name="NC3.5_1">[22]NC!$J$20</definedName>
    <definedName name="NC3.5_2">'[23]NC-2'!$J$20</definedName>
    <definedName name="NC4.0">'[21]Nhan cong Hoa Binh'!$I$71</definedName>
    <definedName name="NC4.0_1">[22]NC!$I$72</definedName>
    <definedName name="NC4.0_2">'[24]NC-2'!$I$72</definedName>
    <definedName name="NC4.5">'[21]Nhan cong Hoa Binh'!$J$30</definedName>
    <definedName name="NC4.5_1">[25]NC!$J$30</definedName>
    <definedName name="NC5.0">'[21]Nhan cong Hoa Binh'!$I$72</definedName>
    <definedName name="Ne" hidden="1">{"'Sheet1'!$L$16"}</definedName>
    <definedName name="Ne_1">{"'Sheet1'!$L$16"}</definedName>
    <definedName name="Ne_2">{"'Sheet1'!$L$16"}</definedName>
    <definedName name="Ne_3">{"'Sheet1'!$L$16"}</definedName>
    <definedName name="Ne_4">{"'Sheet1'!$L$16"}</definedName>
    <definedName name="Ne_5">{"'Sheet1'!$L$16"}</definedName>
    <definedName name="Ne_6">{"'Sheet1'!$L$16"}</definedName>
    <definedName name="ngu" hidden="1">{"'Sheet1'!$L$16"}</definedName>
    <definedName name="ngu_1">{"'Sheet1'!$L$16"}</definedName>
    <definedName name="ngu_2">{"'Sheet1'!$L$16"}</definedName>
    <definedName name="ngu_3">{"'Sheet1'!$L$16"}</definedName>
    <definedName name="ngu_4">{"'Sheet1'!$L$16"}</definedName>
    <definedName name="ngu_5">{"'Sheet1'!$L$16"}</definedName>
    <definedName name="ngu_6">{"'Sheet1'!$L$16"}</definedName>
    <definedName name="Nhan_xet_cua_dai">"Picture 1"</definedName>
    <definedName name="nhfffd">{"DZ-TDTB2.XLS","Dcksat.xls"}</definedName>
    <definedName name="nhfffd_21">{"DZ-TDTB2.XLS","Dcksat.xls"}</definedName>
    <definedName name="nhfffd_33">{"DZ-TDTB2.XLS","Dcksat.xls"}</definedName>
    <definedName name="nhfffd_63">{"DZ-TDTB2.XLS","Dcksat.xls"}</definedName>
    <definedName name="nhfffd_64">{"DZ-TDTB2.XLS","Dcksat.xls"}</definedName>
    <definedName name="nhfffd_75">{"DZ-TDTB2.XLS","Dcksat.xls"}</definedName>
    <definedName name="nhfffd_80">{"DZ-TDTB2.XLS","Dcksat.xls"}</definedName>
    <definedName name="nhfffd_81">{"DZ-TDTB2.XLS","Dcksat.xls"}</definedName>
    <definedName name="nhfffd_82">{"DZ-TDTB2.XLS","Dcksat.xls"}</definedName>
    <definedName name="nnn" hidden="1">{"'Sheet1'!$L$16"}</definedName>
    <definedName name="nnn_1">{"'Sheet1'!$L$16"}</definedName>
    <definedName name="nnn_2">{"'Sheet1'!$L$16"}</definedName>
    <definedName name="nnn_3">{"'Sheet1'!$L$16"}</definedName>
    <definedName name="nnn_4">{"'Sheet1'!$L$16"}</definedName>
    <definedName name="nnn_5">{"'Sheet1'!$L$16"}</definedName>
    <definedName name="nnn_6">{"'Sheet1'!$L$16"}</definedName>
    <definedName name="nnnnnnnnnnnnn" hidden="1">{FALSE}</definedName>
    <definedName name="NToS_1" localSheetId="0">#N/A</definedName>
    <definedName name="NToS_1">[0]!NToS_1</definedName>
    <definedName name="Number_of_Payments" localSheetId="0">MATCH(0.01,End_Bal,-1)+1</definedName>
    <definedName name="Number_of_Payments">MATCH(0.01,End_Bal,-1)+1</definedName>
    <definedName name="nuoc">[12]gvl!$N$38</definedName>
    <definedName name="NUOCHKHOAN" hidden="1">{"'Sheet1'!$L$16"}</definedName>
    <definedName name="o" hidden="1">{"'Sheet1'!$L$16"}</definedName>
    <definedName name="ø" hidden="1">{"'Sheet1'!$L$16"}</definedName>
    <definedName name="o_1">{"'Sheet1'!$L$16"}</definedName>
    <definedName name="o_2">{"'Sheet1'!$L$16"}</definedName>
    <definedName name="o_3">{"'Sheet1'!$L$16"}</definedName>
    <definedName name="o_4">{"'Sheet1'!$L$16"}</definedName>
    <definedName name="o_5">{"'Sheet1'!$L$16"}</definedName>
    <definedName name="PA3_1">{"'Sheet1'!$L$16"}</definedName>
    <definedName name="PA3_2">{"'Sheet1'!$L$16"}</definedName>
    <definedName name="PA3_3">{"'Sheet1'!$L$16"}</definedName>
    <definedName name="PA3_4">{"'Sheet1'!$L$16"}</definedName>
    <definedName name="PA3_5">{"'Sheet1'!$L$16"}</definedName>
    <definedName name="Payment_Date" localSheetId="0">DATE(YEAR(Loan_Start),MONTH(Loan_Start)+Payment_Number,DAY(Loan_Start))</definedName>
    <definedName name="Payment_Date">DATE(YEAR(Loan_Start),MONTH(Loan_Start)+Payment_Number,DAY(Loan_Start))</definedName>
    <definedName name="pcdh">'[4]Dữ liệu đầu vào'!$D$13</definedName>
    <definedName name="pckv">'[4]Dữ liệu đầu vào'!$D$11</definedName>
    <definedName name="pcld">'[4]Dữ liệu đầu vào'!$D$10</definedName>
    <definedName name="pcth">'[4]Dữ liệu đầu vào'!$D$12</definedName>
    <definedName name="pctrn">'[4]Dữ liệu đầu vào'!$D$17</definedName>
    <definedName name="ph" hidden="1">{"'Sheet1'!$L$16"}</definedName>
    <definedName name="ph_1">{"'Sheet1'!$L$16"}</definedName>
    <definedName name="ph_2">{"'Sheet1'!$L$16"}</definedName>
    <definedName name="ph_3">{"'Sheet1'!$L$16"}</definedName>
    <definedName name="ph_4">{"'Sheet1'!$L$16"}</definedName>
    <definedName name="ph_5">{"'Sheet1'!$L$16"}</definedName>
    <definedName name="phanbtct" localSheetId="0">#N/A</definedName>
    <definedName name="phanbtct">[0]!phanbtct</definedName>
    <definedName name="phanbtct_1" localSheetId="0">#N/A</definedName>
    <definedName name="phanbtct_1">[0]!phanbtct_1</definedName>
    <definedName name="phanbtct_19" localSheetId="0">'phân chia trước điều chỉnh'!phanbtct</definedName>
    <definedName name="phanbtct_19">phanbtct</definedName>
    <definedName name="phanbtct_64" localSheetId="0">'phân chia trước điều chỉnh'!phanbtct</definedName>
    <definedName name="phanbtct_64">phanbtct</definedName>
    <definedName name="phanbtct_75" localSheetId="0">'phân chia trước điều chỉnh'!phanbtct</definedName>
    <definedName name="phanbtct_75">phanbtct</definedName>
    <definedName name="phanbtct_80" localSheetId="0">'phân chia trước điều chỉnh'!phanbtct</definedName>
    <definedName name="phanbtct_80">phanbtct</definedName>
    <definedName name="phanbtct_81" localSheetId="0">'phân chia trước điều chỉnh'!phanbtct</definedName>
    <definedName name="phanbtct_81">phanbtct</definedName>
    <definedName name="phanbtct_82" localSheetId="0">'phân chia trước điều chỉnh'!phanbtct</definedName>
    <definedName name="phanbtct_82">phanbtct</definedName>
    <definedName name="phanbtct_83" localSheetId="0">'phân chia trước điều chỉnh'!phanbtct</definedName>
    <definedName name="phanbtct_83">phanbtct</definedName>
    <definedName name="phandien" localSheetId="0">#N/A</definedName>
    <definedName name="phandien">[0]!phandien</definedName>
    <definedName name="phandien_1" localSheetId="0">#N/A</definedName>
    <definedName name="phandien_1">[0]!phandien_1</definedName>
    <definedName name="phandien_19" localSheetId="0">'phân chia trước điều chỉnh'!phandien</definedName>
    <definedName name="phandien_19">phandien</definedName>
    <definedName name="phandien_64" localSheetId="0">'phân chia trước điều chỉnh'!phandien</definedName>
    <definedName name="phandien_64">phandien</definedName>
    <definedName name="phandien_75" localSheetId="0">'phân chia trước điều chỉnh'!phandien</definedName>
    <definedName name="phandien_75">phandien</definedName>
    <definedName name="phandien_80" localSheetId="0">'phân chia trước điều chỉnh'!phandien</definedName>
    <definedName name="phandien_80">phandien</definedName>
    <definedName name="phandien_81" localSheetId="0">'phân chia trước điều chỉnh'!phandien</definedName>
    <definedName name="phandien_81">phandien</definedName>
    <definedName name="phandien_82" localSheetId="0">'phân chia trước điều chỉnh'!phandien</definedName>
    <definedName name="phandien_82">phandien</definedName>
    <definedName name="phandien_83" localSheetId="0">'phân chia trước điều chỉnh'!phandien</definedName>
    <definedName name="phandien_83">phandien</definedName>
    <definedName name="phanhoanthien" localSheetId="0">#N/A</definedName>
    <definedName name="phanhoanthien">[0]!phanhoanthien</definedName>
    <definedName name="phanhoanthien_1" localSheetId="0">#N/A</definedName>
    <definedName name="phanhoanthien_1">[0]!phanhoanthien_1</definedName>
    <definedName name="phanhoanthien_19" localSheetId="0">'phân chia trước điều chỉnh'!phanhoanthien</definedName>
    <definedName name="phanhoanthien_19">phanhoanthien</definedName>
    <definedName name="phanhoanthien_64" localSheetId="0">'phân chia trước điều chỉnh'!phanhoanthien</definedName>
    <definedName name="phanhoanthien_64">phanhoanthien</definedName>
    <definedName name="phanhoanthien_75" localSheetId="0">'phân chia trước điều chỉnh'!phanhoanthien</definedName>
    <definedName name="phanhoanthien_75">phanhoanthien</definedName>
    <definedName name="phanhoanthien_80" localSheetId="0">'phân chia trước điều chỉnh'!phanhoanthien</definedName>
    <definedName name="phanhoanthien_80">phanhoanthien</definedName>
    <definedName name="phanhoanthien_81" localSheetId="0">'phân chia trước điều chỉnh'!phanhoanthien</definedName>
    <definedName name="phanhoanthien_81">phanhoanthien</definedName>
    <definedName name="phanhoanthien_82" localSheetId="0">'phân chia trước điều chỉnh'!phanhoanthien</definedName>
    <definedName name="phanhoanthien_82">phanhoanthien</definedName>
    <definedName name="phanhoanthien_83" localSheetId="0">'phân chia trước điều chỉnh'!phanhoanthien</definedName>
    <definedName name="phanhoanthien_83">phanhoanthien</definedName>
    <definedName name="phannuoc" localSheetId="0">#N/A</definedName>
    <definedName name="phannuoc">[0]!phannuoc</definedName>
    <definedName name="phannuoc_1" localSheetId="0">#N/A</definedName>
    <definedName name="phannuoc_1">[0]!phannuoc_1</definedName>
    <definedName name="phannuoc_19" localSheetId="0">'phân chia trước điều chỉnh'!phannuoc</definedName>
    <definedName name="phannuoc_19">phannuoc</definedName>
    <definedName name="phannuoc_64" localSheetId="0">'phân chia trước điều chỉnh'!phannuoc</definedName>
    <definedName name="phannuoc_64">phannuoc</definedName>
    <definedName name="phannuoc_75" localSheetId="0">'phân chia trước điều chỉnh'!phannuoc</definedName>
    <definedName name="phannuoc_75">phannuoc</definedName>
    <definedName name="phannuoc_80" localSheetId="0">'phân chia trước điều chỉnh'!phannuoc</definedName>
    <definedName name="phannuoc_80">phannuoc</definedName>
    <definedName name="phannuoc_81" localSheetId="0">'phân chia trước điều chỉnh'!phannuoc</definedName>
    <definedName name="phannuoc_81">phannuoc</definedName>
    <definedName name="phannuoc_82" localSheetId="0">'phân chia trước điều chỉnh'!phannuoc</definedName>
    <definedName name="phannuoc_82">phannuoc</definedName>
    <definedName name="phannuoc_83" localSheetId="0">'phân chia trước điều chỉnh'!phannuoc</definedName>
    <definedName name="phannuoc_83">phannuoc</definedName>
    <definedName name="phantich3" hidden="1">{"'Sheet1'!$L$16"}</definedName>
    <definedName name="phanxay" localSheetId="0">#N/A</definedName>
    <definedName name="phanxay">[0]!phanxay</definedName>
    <definedName name="phanxay_1" localSheetId="0">#N/A</definedName>
    <definedName name="phanxay_1">[0]!phanxay_1</definedName>
    <definedName name="phanxay_19" localSheetId="0">'phân chia trước điều chỉnh'!phanxay</definedName>
    <definedName name="phanxay_19">phanxay</definedName>
    <definedName name="phanxay_64" localSheetId="0">'phân chia trước điều chỉnh'!phanxay</definedName>
    <definedName name="phanxay_64">phanxay</definedName>
    <definedName name="phanxay_75" localSheetId="0">'phân chia trước điều chỉnh'!phanxay</definedName>
    <definedName name="phanxay_75">phanxay</definedName>
    <definedName name="phanxay_80" localSheetId="0">'phân chia trước điều chỉnh'!phanxay</definedName>
    <definedName name="phanxay_80">phanxay</definedName>
    <definedName name="phanxay_81" localSheetId="0">'phân chia trước điều chỉnh'!phanxay</definedName>
    <definedName name="phanxay_81">phanxay</definedName>
    <definedName name="phanxay_82" localSheetId="0">'phân chia trước điều chỉnh'!phanxay</definedName>
    <definedName name="phanxay_82">phanxay</definedName>
    <definedName name="phanxay_83" localSheetId="0">'phân chia trước điều chỉnh'!phanxay</definedName>
    <definedName name="phanxay_83">phanxay</definedName>
    <definedName name="Phukien2" hidden="1">{"'Sheet1'!$L$16"}</definedName>
    <definedName name="phuluc" hidden="1">{"'Sheet1'!$L$16"}</definedName>
    <definedName name="phuluc2" hidden="1">{"'Sheet1'!$L$16"}</definedName>
    <definedName name="PL" hidden="1">{"'Sheet1'!$L$16"}</definedName>
    <definedName name="PL_1">{"'Sheet1'!$L$16"}</definedName>
    <definedName name="PL_2">{"'Sheet1'!$L$16"}</definedName>
    <definedName name="PL_3">{"'Sheet1'!$L$16"}</definedName>
    <definedName name="PL_4">{"'Sheet1'!$L$16"}</definedName>
    <definedName name="PL_5">{"'Sheet1'!$L$16"}</definedName>
    <definedName name="PL_6">{"'Sheet1'!$L$16"}</definedName>
    <definedName name="PlucBcaoTD" hidden="1">{"'Sheet1'!$L$16"}</definedName>
    <definedName name="PlucBcaoTD_1">{"'Sheet1'!$L$16"}</definedName>
    <definedName name="PlucBcaoTD_2">{"'Sheet1'!$L$16"}</definedName>
    <definedName name="PlucBcaoTD_3">{"'Sheet1'!$L$16"}</definedName>
    <definedName name="PlucBcaoTD_4">{"'Sheet1'!$L$16"}</definedName>
    <definedName name="PlucBcaoTD_5">{"'Sheet1'!$L$16"}</definedName>
    <definedName name="PlucBcaoTD_6">{"'Sheet1'!$L$16"}</definedName>
    <definedName name="po" hidden="1">{"'Sheet1'!$L$16"}</definedName>
    <definedName name="po_1">{"'Sheet1'!$L$16"}</definedName>
    <definedName name="po_2">{"'Sheet1'!$L$16"}</definedName>
    <definedName name="po_3">{"'Sheet1'!$L$16"}</definedName>
    <definedName name="po_4">{"'Sheet1'!$L$16"}</definedName>
    <definedName name="po_5">{"'Sheet1'!$L$16"}</definedName>
    <definedName name="pope" hidden="1">{"'Sheet1'!$L$16"}</definedName>
    <definedName name="_xlnm.Print_Area" localSheetId="0">'phân chia trước điều chỉnh'!$A$1:$K$783</definedName>
    <definedName name="_xlnm.Print_Titles" localSheetId="0">'phân chia trước điều chỉnh'!$13:$16</definedName>
    <definedName name="PTDBGT">'[26]PT ĐBGT'!$A$5:$J$178</definedName>
    <definedName name="PTDG_QNam">[27]PTDG!$B$4:$H$879</definedName>
    <definedName name="ptich3" hidden="1">{"'Sheet1'!$L$16"}</definedName>
    <definedName name="q_1">{"'Sheet1'!$L$16"}</definedName>
    <definedName name="q_2">{"'Sheet1'!$L$16"}</definedName>
    <definedName name="qềqg" hidden="1">{"'Sheet1'!$L$16"}</definedName>
    <definedName name="QQ" hidden="1">{"'Sheet1'!$L$16"}</definedName>
    <definedName name="QQ_1">{"'Sheet1'!$L$16"}</definedName>
    <definedName name="QQ_2">{"'Sheet1'!$L$16"}</definedName>
    <definedName name="QT" hidden="1">[28]AASHTO92!$H$42</definedName>
    <definedName name="qtrwey" hidden="1">{"'Sheet1'!$L$16"}</definedName>
    <definedName name="quan.P12" hidden="1">{"'Sheet1'!$L$16"}</definedName>
    <definedName name="qừq" hidden="1">{#N/A,#N/A,FALSE,"Chi tiÆt"}</definedName>
    <definedName name="ranh" hidden="1">{"'Sheet1'!$L$16"}</definedName>
    <definedName name="ranh_1">{"'Sheet1'!$L$16"}</definedName>
    <definedName name="ranh_2">{"'Sheet1'!$L$16"}</definedName>
    <definedName name="ranh_3">{"'Sheet1'!$L$16"}</definedName>
    <definedName name="Ranhxay_1">{"'Sheet1'!$L$16"}</definedName>
    <definedName name="Ranhxay_2">{"'Sheet1'!$L$16"}</definedName>
    <definedName name="Ranhxay_3">{"'Sheet1'!$L$16"}</definedName>
    <definedName name="Ranhxay_4">{"'Sheet1'!$L$16"}</definedName>
    <definedName name="rate">14000</definedName>
    <definedName name="rdrdd" hidden="1">{#N/A,#N/A,FALSE,"Chi tiÆt"}</definedName>
    <definedName name="RECOUT">NA()</definedName>
    <definedName name="RECOUT_64">NA()</definedName>
    <definedName name="RECOUT_75">NA()</definedName>
    <definedName name="RECOUT_83">NA()</definedName>
    <definedName name="RECOUT_97">NA()</definedName>
    <definedName name="Result21" hidden="1">{"'Sheet1'!$L$16"}</definedName>
    <definedName name="Result21_1">{"'Sheet1'!$L$16"}</definedName>
    <definedName name="Result21_2">{"'Sheet1'!$L$16"}</definedName>
    <definedName name="Result21_3">{"'Sheet1'!$L$16"}</definedName>
    <definedName name="rfvc">'[19]VL-CL'!$B$6:$E$75</definedName>
    <definedName name="rgerg">'[29]PTDG-CL'!$B$5:$K$823</definedName>
    <definedName name="rggsg" hidden="1">{"'Sheet1'!$L$16"}</definedName>
    <definedName name="rgrsg" localSheetId="0">#N/A</definedName>
    <definedName name="rgrsg">[0]!rgrsg</definedName>
    <definedName name="rhgrs" hidden="1">{"'Sheet1'!$L$16"}</definedName>
    <definedName name="rhrewhehe" hidden="1">{#N/A,#N/A,FALSE,"Chi tiÆt"}</definedName>
    <definedName name="rjf" hidden="1">{"Offgrid",#N/A,FALSE,"OFFGRID";"Region",#N/A,FALSE,"REGION";"Offgrid -2",#N/A,FALSE,"OFFGRID";"WTP",#N/A,FALSE,"WTP";"WTP -2",#N/A,FALSE,"WTP";"Project",#N/A,FALSE,"PROJECT";"Summary -2",#N/A,FALSE,"SUMMARY"}</definedName>
    <definedName name="Road_1">{"'Sheet1'!$L$16"}</definedName>
    <definedName name="Road_2">{"'Sheet1'!$L$16"}</definedName>
    <definedName name="Road_3">{"'Sheet1'!$L$16"}</definedName>
    <definedName name="Road_4">{"'Sheet1'!$L$16"}</definedName>
    <definedName name="RPLA" hidden="1">{"'Sheet1'!$L$16"}</definedName>
    <definedName name="rsýhd" localSheetId="0">#N/A</definedName>
    <definedName name="rsýhd">[0]!rsýhd</definedName>
    <definedName name="rtr" hidden="1">{"'Sheet1'!$L$16"}</definedName>
    <definedName name="ryhtrd" hidden="1">{#N/A,#N/A,FALSE,"Chi tiÆt"}</definedName>
    <definedName name="s" hidden="1">{"'Sheet1'!$L$16"}</definedName>
    <definedName name="s_1">{"'Sheet1'!$L$16"}</definedName>
    <definedName name="s_2">{"'Sheet1'!$L$16"}</definedName>
    <definedName name="s_3">{"'Sheet1'!$L$16"}</definedName>
    <definedName name="s_4">{"'Sheet1'!$L$16"}</definedName>
    <definedName name="s_5">{"'Sheet1'!$L$16"}</definedName>
    <definedName name="s_6">{"'Sheet1'!$L$16"}</definedName>
    <definedName name="s_asas">{"'Sheet1'!$L$16"}</definedName>
    <definedName name="s_asas_1">{"'Sheet1'!$L$16"}</definedName>
    <definedName name="s_asas_2">{"'Sheet1'!$L$16"}</definedName>
    <definedName name="s¸asas" hidden="1">{"'Sheet1'!$L$16"}</definedName>
    <definedName name="saaa" hidden="1">{"'Sheet1'!$L$16"}</definedName>
    <definedName name="sadf" hidden="1">{"'Sheet1'!$L$16"}</definedName>
    <definedName name="sadf_1">{"'Sheet1'!$L$16"}</definedName>
    <definedName name="sadf_2">{"'Sheet1'!$L$16"}</definedName>
    <definedName name="sahdfjdgjds_1">{"'Sheet1'!$L$16"}</definedName>
    <definedName name="sahdfjdgjds_2">{"'Sheet1'!$L$16"}</definedName>
    <definedName name="sd" hidden="1">{"'Sheet1'!$L$16"}</definedName>
    <definedName name="sd_1">{"'Sheet1'!$L$16"}</definedName>
    <definedName name="sd_2">{"'Sheet1'!$L$16"}</definedName>
    <definedName name="sd_3">{"'Sheet1'!$L$16"}</definedName>
    <definedName name="sd_4">{"'Sheet1'!$L$16"}</definedName>
    <definedName name="sd_5">{"'Sheet1'!$L$16"}</definedName>
    <definedName name="sdadf" hidden="1">{"'Sheet1'!$L$16"}</definedName>
    <definedName name="sdadf_1">{"'Sheet1'!$L$16"}</definedName>
    <definedName name="sdadf_2">{"'Sheet1'!$L$16"}</definedName>
    <definedName name="sdf" hidden="1">{"'Sheet1'!$L$16"}</definedName>
    <definedName name="sdf_1">{"'Sheet1'!$L$16"}</definedName>
    <definedName name="sdf_2">{"'Sheet1'!$L$16"}</definedName>
    <definedName name="sdfd" hidden="1">{"'Sheet1'!$L$16"}</definedName>
    <definedName name="sdfgdbdfb" hidden="1">{"'Sheet1'!$L$16"}</definedName>
    <definedName name="sdfsd" localSheetId="0" hidden="1">#REF!</definedName>
    <definedName name="sdfsd" hidden="1">#REF!</definedName>
    <definedName name="sdfsdf" hidden="1">{"'Sheet1'!$L$16"}</definedName>
    <definedName name="SDG" hidden="1">{"'Sheet1'!$L$16"}</definedName>
    <definedName name="sdgdsg_1">{"'Sheet1'!$L$16"}</definedName>
    <definedName name="sdgdsg_2">{"'Sheet1'!$L$16"}</definedName>
    <definedName name="sdgfjhfj" hidden="1">{"'Sheet1'!$L$16"}</definedName>
    <definedName name="sds" localSheetId="0">#N/A</definedName>
    <definedName name="sds">[0]!sds</definedName>
    <definedName name="sdz" hidden="1">{"'Sheet1'!$L$16"}</definedName>
    <definedName name="sencount" hidden="1">1</definedName>
    <definedName name="sf" hidden="1">{"'Sheet1'!$L$16"}</definedName>
    <definedName name="sfsd" hidden="1">{"'Sheet1'!$L$16"}</definedName>
    <definedName name="sfsd_1">{"'Sheet1'!$L$16"}</definedName>
    <definedName name="sfsd_2">{"'Sheet1'!$L$16"}</definedName>
    <definedName name="sfsd_3">{"'Sheet1'!$L$16"}</definedName>
    <definedName name="sfsd_4">{"'Sheet1'!$L$16"}</definedName>
    <definedName name="sfsd_5">{"'Sheet1'!$L$16"}</definedName>
    <definedName name="sfsd_6">{"'Sheet1'!$L$16"}</definedName>
    <definedName name="sfsdg" hidden="1">{"'Sheet1'!$L$16"}</definedName>
    <definedName name="sgfhsdhe" hidden="1">{"'Sheet1'!$L$16"}</definedName>
    <definedName name="sgsdg" hidden="1">{"'Sheet1'!$L$16"}</definedName>
    <definedName name="sgsr" hidden="1">{"'Sheet1'!$L$16"}</definedName>
    <definedName name="sheet2" hidden="1">{"'Sheet1'!$L$16"}</definedName>
    <definedName name="sheet2_1">{"'Sheet1'!$L$16"}</definedName>
    <definedName name="sheet2_2">{"'Sheet1'!$L$16"}</definedName>
    <definedName name="sheet2_3">{"'Sheet1'!$L$16"}</definedName>
    <definedName name="sheet3" hidden="1">{"'Sheet1'!$L$16"}</definedName>
    <definedName name="sheet4" hidden="1">{"'Sheet1'!$L$16"}</definedName>
    <definedName name="shet2" hidden="1">{"'Sheet1'!$L$16"}</definedName>
    <definedName name="shet2_1">{"'Sheet1'!$L$16"}</definedName>
    <definedName name="shet2_2">{"'Sheet1'!$L$16"}</definedName>
    <definedName name="shfgskfj_1">{"'Sheet1'!$L$16"}</definedName>
    <definedName name="shfgskfj_2">{"'Sheet1'!$L$16"}</definedName>
    <definedName name="shsrhtr" hidden="1">{"'Sheet1'!$L$16"}</definedName>
    <definedName name="son" hidden="1">{"'Sheet1'!$L$16"}</definedName>
    <definedName name="son_1">{"'Sheet1'!$L$16"}</definedName>
    <definedName name="son_2">{"'Sheet1'!$L$16"}</definedName>
    <definedName name="Sosanh2" hidden="1">{"'Sheet1'!$L$16"}</definedName>
    <definedName name="Sosanh2_1">{"'Sheet1'!$L$16"}</definedName>
    <definedName name="Sosanh2_2">{"'Sheet1'!$L$16"}</definedName>
    <definedName name="Spanner_Auto_File">"C:\My Documents\tinh cdo.x2a"</definedName>
    <definedName name="srbn">{"Thuxm2.xls","Sheet1"}</definedName>
    <definedName name="ss_1">{"'Sheet1'!$L$16"}</definedName>
    <definedName name="ss_2">{"'Sheet1'!$L$16"}</definedName>
    <definedName name="ss_3">{"'Sheet1'!$L$16"}</definedName>
    <definedName name="ss_4">{"'Sheet1'!$L$16"}</definedName>
    <definedName name="ss_5">{"'Sheet1'!$L$16"}</definedName>
    <definedName name="SS_6">{"'Sheet1'!$L$16"}</definedName>
    <definedName name="ss_7">{"'Sheet1'!$L$16"}</definedName>
    <definedName name="sss" hidden="1">{"'Sheet1'!$L$16"}</definedName>
    <definedName name="sss_1">{"'Sheet1'!$L$16"}</definedName>
    <definedName name="sss_2">{"'Sheet1'!$L$16"}</definedName>
    <definedName name="sss_3">{"'Sheet1'!$L$16"}</definedName>
    <definedName name="ssssssss" hidden="1">{"'Sheet1'!$L$16"}</definedName>
    <definedName name="sua" hidden="1">{"'Sheet1'!$L$16"}</definedName>
    <definedName name="SUM" localSheetId="0">#REF!,#REF!</definedName>
    <definedName name="SUM">#REF!,#REF!</definedName>
    <definedName name="T.3" hidden="1">{"'Sheet1'!$L$16"}</definedName>
    <definedName name="T.3_1">{"'Sheet1'!$L$16"}</definedName>
    <definedName name="T.3_2">{"'Sheet1'!$L$16"}</definedName>
    <definedName name="T.3_3">{"'Sheet1'!$L$16"}</definedName>
    <definedName name="T.3_4">{"'Sheet1'!$L$16"}</definedName>
    <definedName name="T.3_5">{"'Sheet1'!$L$16"}</definedName>
    <definedName name="T.3_6">{"'Sheet1'!$L$16"}</definedName>
    <definedName name="Tæng_c_ng_suÊt_hiÖn_t_i">"THOP"</definedName>
    <definedName name="TAM" localSheetId="0">#N/A</definedName>
    <definedName name="TAM">[0]!TAM</definedName>
    <definedName name="tao" hidden="1">{"'Sheet1'!$L$16"}</definedName>
    <definedName name="TaxTB">0.05</definedName>
    <definedName name="TaxTV">10%</definedName>
    <definedName name="TaxXL">5%</definedName>
    <definedName name="tbao" hidden="1">{"'Sheet1'!$L$16"}</definedName>
    <definedName name="td1_1">{"'Sheet1'!$L$16"}</definedName>
    <definedName name="td1_2">{"'Sheet1'!$L$16"}</definedName>
    <definedName name="TEN">'[10]THONG SO'!$A$2</definedName>
    <definedName name="ten_tab" localSheetId="0" hidden="1">[13]Control!#REF!</definedName>
    <definedName name="ten_tab" hidden="1">[13]Control!#REF!</definedName>
    <definedName name="Test5_64">NA()</definedName>
    <definedName name="Test5_75">NA()</definedName>
    <definedName name="Test5_83">NA()</definedName>
    <definedName name="tfg" hidden="1">{"'Sheet1'!$L$16"}</definedName>
    <definedName name="tgưgz" hidden="1">{"'Sheet1'!$L$16"}</definedName>
    <definedName name="TH" hidden="1">{"'Sheet1'!$L$16"}</definedName>
    <definedName name="TH_1">{"'Sheet1'!$L$16"}</definedName>
    <definedName name="TH_2">{"'Sheet1'!$L$16"}</definedName>
    <definedName name="TH_3">{"'Sheet1'!$L$16"}</definedName>
    <definedName name="TH_4">{"'Sheet1'!$L$16"}</definedName>
    <definedName name="TH_5">{"'Sheet1'!$L$16"}</definedName>
    <definedName name="TH_6">{"'Sheet1'!$L$16"}</definedName>
    <definedName name="TH02_1">{"'Sheet1'!$L$16"}</definedName>
    <definedName name="TH02_2">{"'Sheet1'!$L$16"}</definedName>
    <definedName name="TH02_3">{"'Sheet1'!$L$16"}</definedName>
    <definedName name="TH02_4">{"'Sheet1'!$L$16"}</definedName>
    <definedName name="tha" hidden="1">{"'Sheet1'!$L$16"}</definedName>
    <definedName name="tha_1">{"'Sheet1'!$L$16"}</definedName>
    <definedName name="tha_2">{"'Sheet1'!$L$16"}</definedName>
    <definedName name="tha_3">{"'Sheet1'!$L$16"}</definedName>
    <definedName name="tha_4">{"'Sheet1'!$L$16"}</definedName>
    <definedName name="tha_5">{"'Sheet1'!$L$16"}</definedName>
    <definedName name="tha_6">{"'Sheet1'!$L$16"}</definedName>
    <definedName name="Thang" hidden="1">{"'Sheet1'!$L$16"}</definedName>
    <definedName name="Thang_1">{"'Sheet1'!$L$16"}</definedName>
    <definedName name="Thang_2">{"'Sheet1'!$L$16"}</definedName>
    <definedName name="Thang1" hidden="1">{"'Sheet1'!$L$16"}</definedName>
    <definedName name="Thang1_1">{"'Sheet1'!$L$16"}</definedName>
    <definedName name="Thang1_2">{"'Sheet1'!$L$16"}</definedName>
    <definedName name="Thang1_3">{"'Sheet1'!$L$16"}</definedName>
    <definedName name="Thang1_4">{"'Sheet1'!$L$16"}</definedName>
    <definedName name="Thang1_5">{"'Sheet1'!$L$16"}</definedName>
    <definedName name="Thang1_6">{"'Sheet1'!$L$16"}</definedName>
    <definedName name="Thang11.03" hidden="1">{"'Sheet1'!$L$16"}</definedName>
    <definedName name="thanh" hidden="1">{"'Sheet1'!$L$16"}</definedName>
    <definedName name="thanh_1">{"'Sheet1'!$L$16"}</definedName>
    <definedName name="thanh_2">{"'Sheet1'!$L$16"}</definedName>
    <definedName name="thanh_3">{"'Sheet1'!$L$16"}</definedName>
    <definedName name="thanh_4">{"'Sheet1'!$L$16"}</definedName>
    <definedName name="THDT" hidden="1">{"'Sheet1'!$L$16"}</definedName>
    <definedName name="THDT_1">{"'Sheet1'!$L$16"}</definedName>
    <definedName name="THDT_2">{"'Sheet1'!$L$16"}</definedName>
    <definedName name="THDT_3">{"'Sheet1'!$L$16"}</definedName>
    <definedName name="THDT_4">{"'Sheet1'!$L$16"}</definedName>
    <definedName name="THDT_5">{"'Sheet1'!$L$16"}</definedName>
    <definedName name="thepma">10500</definedName>
    <definedName name="thet" localSheetId="0">#N/A</definedName>
    <definedName name="thet">[0]!thet</definedName>
    <definedName name="thkl2" hidden="1">{"'Sheet1'!$L$16"}</definedName>
    <definedName name="thkl3" hidden="1">{"'Sheet1'!$L$16"}</definedName>
    <definedName name="THKLPSM" hidden="1">{"'Sheet1'!$L$16"}</definedName>
    <definedName name="THKP7YT" hidden="1">{"'Sheet1'!$L$16"}</definedName>
    <definedName name="THKP7YT_1">{"'Sheet1'!$L$16"}</definedName>
    <definedName name="THKP7YT_2">{"'Sheet1'!$L$16"}</definedName>
    <definedName name="THKP7YT_3">{"'Sheet1'!$L$16"}</definedName>
    <definedName name="THKS" hidden="1">{"'Sheet1'!$L$16"}</definedName>
    <definedName name="tho5_7">33356</definedName>
    <definedName name="THOP">"THOP"</definedName>
    <definedName name="thtêhth">{"Book1","HS bao cao QT.xls","Ngocreogd1.xls"}</definedName>
    <definedName name="thu" hidden="1">{"'Sheet1'!$L$16"}</definedName>
    <definedName name="thu_1">{"'Sheet1'!$L$16"}</definedName>
    <definedName name="thu_2">{"'Sheet1'!$L$16"}</definedName>
    <definedName name="thue">6</definedName>
    <definedName name="thuy" hidden="1">{"'Sheet1'!$L$16"}</definedName>
    <definedName name="thuy_1">{"'Sheet1'!$L$16"}</definedName>
    <definedName name="thuy_2">{"'Sheet1'!$L$16"}</definedName>
    <definedName name="thuy_3">{"'Sheet1'!$L$16"}</definedName>
    <definedName name="thuy_4">{"'Sheet1'!$L$16"}</definedName>
    <definedName name="thuy_5">{"'Sheet1'!$L$16"}</definedName>
    <definedName name="thuy_6">{"'Sheet1'!$L$16"}</definedName>
    <definedName name="ThuyVu2" hidden="1">{"'Sheet1'!$L$16"}</definedName>
    <definedName name="THVLK1">{"Thuxm2.xls","Sheet1"}</definedName>
    <definedName name="THXD2" hidden="1">{"'Sheet1'!$L$16"}</definedName>
    <definedName name="Tiepdiama">9500</definedName>
    <definedName name="tim_so_lan_xuat_hien">[30]PTDG!$D$7:$D$201</definedName>
    <definedName name="tinh" hidden="1">{"'Sheet1'!$L$16"}</definedName>
    <definedName name="tinh_1">{"'Sheet1'!$L$16"}</definedName>
    <definedName name="tinh_2">{"'Sheet1'!$L$16"}</definedName>
    <definedName name="tinhlun" hidden="1">{"'Sheet1'!$L$16"}</definedName>
    <definedName name="tinhlun_1">{"'Sheet1'!$L$16"}</definedName>
    <definedName name="tinhlun_2">{"'Sheet1'!$L$16"}</definedName>
    <definedName name="tinhlun_3">{"'Sheet1'!$L$16"}</definedName>
    <definedName name="tjhtrjntrsjnsr" hidden="1">{"'Sheet1'!$L$16"}</definedName>
    <definedName name="tjhủn" hidden="1">{"Offgrid",#N/A,FALSE,"OFFGRID";"Region",#N/A,FALSE,"REGION";"Offgrid -2",#N/A,FALSE,"OFFGRID";"WTP",#N/A,FALSE,"WTP";"WTP -2",#N/A,FALSE,"WTP";"Project",#N/A,FALSE,"PROJECT";"Summary -2",#N/A,FALSE,"SUMMARY"}</definedName>
    <definedName name="tjjrj" hidden="1">{#N/A,#N/A,FALSE,"Chi tiÆt"}</definedName>
    <definedName name="TKYB">"TKYB"</definedName>
    <definedName name="tls" hidden="1">{"'Sheet1'!$L$16"}</definedName>
    <definedName name="TLTH" localSheetId="0">#N/A</definedName>
    <definedName name="TLTH">[0]!TLTH</definedName>
    <definedName name="TLTH1" localSheetId="0">#N/A</definedName>
    <definedName name="TLTH1">[0]!TLTH1</definedName>
    <definedName name="TMDT">[30]TH!$I$29</definedName>
    <definedName name="tn" hidden="1">{"'Sheet1'!$L$16"}</definedName>
    <definedName name="tn_1">{"'Sheet1'!$L$16"}</definedName>
    <definedName name="tn_2">{"'Sheet1'!$L$16"}</definedName>
    <definedName name="trertt">{"Thuxm2.xls","Sheet1"}</definedName>
    <definedName name="trgy" hidden="1">{"'Sheet1'!$L$16"}</definedName>
    <definedName name="trrh" hidden="1">{"'Sheet1'!$L$16"}</definedName>
    <definedName name="trung">{"Thuxm2.xls","Sheet1"}</definedName>
    <definedName name="tt3_1">{"'Sheet1'!$L$16"}</definedName>
    <definedName name="tt3_2">{"'Sheet1'!$L$16"}</definedName>
    <definedName name="tt3_3">{"'Sheet1'!$L$16"}</definedName>
    <definedName name="tt3_4">{"'Sheet1'!$L$16"}</definedName>
    <definedName name="tt3_5">{"'Sheet1'!$L$16"}</definedName>
    <definedName name="ttd">1600</definedName>
    <definedName name="ttdb">1.2</definedName>
    <definedName name="ttr" hidden="1">{"'Sheet1'!$L$16"}</definedName>
    <definedName name="tu" hidden="1">{"'Sheet1'!$L$16"}</definedName>
    <definedName name="tuan" hidden="1">{"'Sheet1'!$L$16"}</definedName>
    <definedName name="tuan_1">{"'Sheet1'!$L$16"}</definedName>
    <definedName name="tuan_2">{"'Sheet1'!$L$16"}</definedName>
    <definedName name="tuan_3">{"'Sheet1'!$L$16"}</definedName>
    <definedName name="tuan_4">{"'Sheet1'!$L$16"}</definedName>
    <definedName name="tuan_5">{"'Sheet1'!$L$16"}</definedName>
    <definedName name="TUANKHANHTUYET12">{0}</definedName>
    <definedName name="TUANKHANHTUYET13">{0}</definedName>
    <definedName name="TUANKHANHTUYET14">{0}</definedName>
    <definedName name="TUANKHANHTUYET30">{0}</definedName>
    <definedName name="TUANKHANHTUYET31">{0}</definedName>
    <definedName name="TUANKHANHTUYET32">{0}</definedName>
    <definedName name="TUANKHANHTUYET52">{0}</definedName>
    <definedName name="TUANKHANHTUYET53">{0}</definedName>
    <definedName name="TUANKHANHTUYET54">{0}</definedName>
    <definedName name="tuyen" hidden="1">{"'Sheet1'!$L$16"}</definedName>
    <definedName name="tuyennhanh" hidden="1">{"'Sheet1'!$L$16"}</definedName>
    <definedName name="tuyennhanh_1">{"'Sheet1'!$L$16"}</definedName>
    <definedName name="tuyennhanh_2">{"'Sheet1'!$L$16"}</definedName>
    <definedName name="tuyennhanh_3">{"'Sheet1'!$L$16"}</definedName>
    <definedName name="tuyennhanh_4">{"'Sheet1'!$L$16"}</definedName>
    <definedName name="tuyennhanh_5">{"'Sheet1'!$L$16"}</definedName>
    <definedName name="tuyennhanh_6">{"'Sheet1'!$L$16"}</definedName>
    <definedName name="tuyennhanh_7">{"'Sheet1'!$L$16"}</definedName>
    <definedName name="tuyennhanh_8">{"'Sheet1'!$L$16"}</definedName>
    <definedName name="tuynen_1">{"'Sheet1'!$L$16"}</definedName>
    <definedName name="tuynen_2">{"'Sheet1'!$L$16"}</definedName>
    <definedName name="ty" hidden="1">{"'Sheet1'!$L$16"}</definedName>
    <definedName name="tyu" hidden="1">{"'Sheet1'!$L$16"}</definedName>
    <definedName name="uassw_sh" hidden="1">{"'Sheet1'!$L$16"}</definedName>
    <definedName name="UBDT" hidden="1">{"'Sheet1'!$L$16"}</definedName>
    <definedName name="UBDT_1">{"'Sheet1'!$L$16"}</definedName>
    <definedName name="UBDT_2">{"'Sheet1'!$L$16"}</definedName>
    <definedName name="UBDT_3">{"'Sheet1'!$L$16"}</definedName>
    <definedName name="UBDT_4">{"'Sheet1'!$L$16"}</definedName>
    <definedName name="UBDT_5">{"'Sheet1'!$L$16"}</definedName>
    <definedName name="ủnt" hidden="1">{"'Sheet1'!$L$16"}</definedName>
    <definedName name="UP" localSheetId="0">#REF!,#REF!,#REF!,#REF!,#REF!,#REF!,#REF!,#REF!,#REF!,#REF!,#REF!</definedName>
    <definedName name="UP">#REF!,#REF!,#REF!,#REF!,#REF!,#REF!,#REF!,#REF!,#REF!,#REF!,#REF!</definedName>
    <definedName name="USD">15820</definedName>
    <definedName name="uyi" hidden="1">{"'Sheet1'!$L$16"}</definedName>
    <definedName name="ủytỉt" hidden="1">{"'Sheet1'!$L$16"}</definedName>
    <definedName name="uytjhtdjtj" hidden="1">{"'Sheet1'!$L$16"}</definedName>
    <definedName name="v" hidden="1">{"'Sheet1'!$L$16"}</definedName>
    <definedName name="v_1">{"'Sheet1'!$L$16"}</definedName>
    <definedName name="v_2">{"'Sheet1'!$L$16"}</definedName>
    <definedName name="V_a_b__t_ng_M200____1x2" localSheetId="0">[0]!ptdg</definedName>
    <definedName name="V_a_b__t_ng_M200____1x2">[0]!ptdg</definedName>
    <definedName name="VAÄT_LIEÄU">"nhandongia"</definedName>
    <definedName name="VaDate" localSheetId="0" hidden="1">#REF!</definedName>
    <definedName name="VaDate" hidden="1">#REF!</definedName>
    <definedName name="Values_Entered" localSheetId="0">IF(Loan_Amount*Interest_Rate*Loan_Years*Loan_Start&gt;0,1,0)</definedName>
    <definedName name="Values_Entered">IF(Loan_Amount*Interest_Rate*Loan_Years*Loan_Start&gt;0,1,0)</definedName>
    <definedName name="Vanphong" hidden="1">{"'Sheet1'!$L$16"}</definedName>
    <definedName name="Vanphong_1">{"'Sheet1'!$L$16"}</definedName>
    <definedName name="Vanphong_2">{"'Sheet1'!$L$16"}</definedName>
    <definedName name="VarDate" localSheetId="0" hidden="1">#REF!</definedName>
    <definedName name="VarDate" hidden="1">#REF!</definedName>
    <definedName name="vat">5</definedName>
    <definedName name="vatlieu2">[8]VL!$B$57:$F$96</definedName>
    <definedName name="VATM_1">{"'Sheet1'!$L$16"}</definedName>
    <definedName name="VATM_2">{"'Sheet1'!$L$16"}</definedName>
    <definedName name="VATM_3">{"'Sheet1'!$L$16"}</definedName>
    <definedName name="VATM_4">{"'Sheet1'!$L$16"}</definedName>
    <definedName name="vb" hidden="1">{"'Sheet1'!$L$16"}</definedName>
    <definedName name="vb_1">{"'Sheet1'!$L$16"}</definedName>
    <definedName name="vb_2">{"'Sheet1'!$L$16"}</definedName>
    <definedName name="vb_3">{"'Sheet1'!$L$16"}</definedName>
    <definedName name="vb_4">{"'Sheet1'!$L$16"}</definedName>
    <definedName name="vb_5">{"'Sheet1'!$L$16"}</definedName>
    <definedName name="vcbo1" hidden="1">{"'Sheet1'!$L$16"}</definedName>
    <definedName name="vcbo1_1">{"'Sheet1'!$L$16"}</definedName>
    <definedName name="vcbo1_2">{"'Sheet1'!$L$16"}</definedName>
    <definedName name="vcbo1_3">{"'Sheet1'!$L$16"}</definedName>
    <definedName name="vclcat" localSheetId="0">#N/A</definedName>
    <definedName name="vclcat">[0]!vclcat</definedName>
    <definedName name="vcoto_1">{"'Sheet1'!$L$16"}</definedName>
    <definedName name="vcoto_2">{"'Sheet1'!$L$16"}</definedName>
    <definedName name="vcoto_3">{"'Sheet1'!$L$16"}</definedName>
    <definedName name="vcxhtr" hidden="1">{0,0,0,0;0,0,0,0;0,0,0,0;0,0,0,0;0,0,0,0;0,0,0,0;0,TRUE,0,0}</definedName>
    <definedName name="vetbun" hidden="1">{"'Sheet1'!$L$16"}</definedName>
    <definedName name="Viet" hidden="1">{"'Sheet1'!$L$16"}</definedName>
    <definedName name="Viet_1">{"'Sheet1'!$L$16"}</definedName>
    <definedName name="Viet_2">{"'Sheet1'!$L$16"}</definedName>
    <definedName name="Viet_3">{"'Sheet1'!$L$16"}</definedName>
    <definedName name="Viet_4">{"'Sheet1'!$L$16"}</definedName>
    <definedName name="Viet_5">{"'Sheet1'!$L$16"}</definedName>
    <definedName name="vl">'[31]VAT LIEU'!$B$7:$Q$295</definedName>
    <definedName name="VL.67">[32]VL!$G$66</definedName>
    <definedName name="vlct" hidden="1">{"'Sheet1'!$L$16"}</definedName>
    <definedName name="vlct_1">{"'Sheet1'!$L$16"}</definedName>
    <definedName name="vlct_2">{"'Sheet1'!$L$16"}</definedName>
    <definedName name="vlct_3">{"'Sheet1'!$L$16"}</definedName>
    <definedName name="vlct_4">{"'Sheet1'!$L$16"}</definedName>
    <definedName name="vlct_5">{"'Sheet1'!$L$16"}</definedName>
    <definedName name="vlct_6">{"'Sheet1'!$L$16"}</definedName>
    <definedName name="VLP" hidden="1">{"'Sheet1'!$L$16"}</definedName>
    <definedName name="VLP_1">{"'Sheet1'!$L$16"}</definedName>
    <definedName name="VLP_2">{"'Sheet1'!$L$16"}</definedName>
    <definedName name="VLP2_1">{"'Sheet1'!$L$16"}</definedName>
    <definedName name="VLP2_2">{"'Sheet1'!$L$16"}</definedName>
    <definedName name="VLP2_3">{"'Sheet1'!$L$16"}</definedName>
    <definedName name="VLP2_4">{"'Sheet1'!$L$16"}</definedName>
    <definedName name="VLP2_5">{"'Sheet1'!$L$16"}</definedName>
    <definedName name="vn" hidden="1">{"'Sheet1'!$L$16"}</definedName>
    <definedName name="VTPS_T" localSheetId="0" hidden="1">[13]THVATTU!#REF!</definedName>
    <definedName name="VTPS_T" hidden="1">[13]THVATTU!#REF!</definedName>
    <definedName name="vvvvvvvvvv" hidden="1">{0}</definedName>
    <definedName name="w" hidden="1">{"'Sheet1'!$L$16"}</definedName>
    <definedName name="w_1">{"'Sheet1'!$L$16"}</definedName>
    <definedName name="w_2">{"'Sheet1'!$L$16"}</definedName>
    <definedName name="wafef" hidden="1">{"'Sheet1'!$L$16"}</definedName>
    <definedName name="wgwyw4tg1qfr" localSheetId="0">#N/A</definedName>
    <definedName name="wgwyw4tg1qfr">[0]!wgwyw4tg1qfr</definedName>
    <definedName name="wgyw" hidden="1">{"'Sheet1'!$L$16"}</definedName>
    <definedName name="WIRE1">5</definedName>
    <definedName name="wn" hidden="1">{#N/A,#N/A,FALSE,"Chi tiÆt"}</definedName>
    <definedName name="wn_1">{#N/A,#N/A,FALSE,"Chi tiÆt"}</definedName>
    <definedName name="wn_2">{#N/A,#N/A,FALSE,"Chi tiÆt"}</definedName>
    <definedName name="wrn.aaa" hidden="1">{#N/A,#N/A,FALSE,"Sheet1";#N/A,#N/A,FALSE,"Sheet1";#N/A,#N/A,FALSE,"Sheet1"}</definedName>
    <definedName name="wrn.aaa._1">{#N/A,#N/A,FALSE,"Sheet1";#N/A,#N/A,FALSE,"Sheet1";#N/A,#N/A,FALSE,"Sheet1"}</definedName>
    <definedName name="wrn.aaa._2">{#N/A,#N/A,FALSE,"Sheet1";#N/A,#N/A,FALSE,"Sheet1";#N/A,#N/A,FALSE,"Sheet1"}</definedName>
    <definedName name="wrn.aaa._3">{#N/A,#N/A,FALSE,"Sheet1";#N/A,#N/A,FALSE,"Sheet1";#N/A,#N/A,FALSE,"Sheet1"}</definedName>
    <definedName name="wrn.aaa._4">{#N/A,#N/A,FALSE,"Sheet1";#N/A,#N/A,FALSE,"Sheet1";#N/A,#N/A,FALSE,"Sheet1"}</definedName>
    <definedName name="wrn.aaa._5">{#N/A,#N/A,FALSE,"Sheet1";#N/A,#N/A,FALSE,"Sheet1";#N/A,#N/A,FALSE,"Sheet1"}</definedName>
    <definedName name="wrn.aaa._6">{#N/A,#N/A,FALSE,"Sheet1";#N/A,#N/A,FALSE,"Sheet1";#N/A,#N/A,FALSE,"Sheet1"}</definedName>
    <definedName name="wrn.aaa._7">{#N/A,#N/A,FALSE,"Sheet1";#N/A,#N/A,FALSE,"Sheet1";#N/A,#N/A,FALSE,"Sheet1"}</definedName>
    <definedName name="wrn.aaa._8">{#N/A,#N/A,FALSE,"Sheet1";#N/A,#N/A,FALSE,"Sheet1";#N/A,#N/A,FALSE,"Sheet1"}</definedName>
    <definedName name="wrn.aaa_1">{#N/A,#N/A,FALSE,"Sheet1";#N/A,#N/A,FALSE,"Sheet1";#N/A,#N/A,FALSE,"Sheet1"}</definedName>
    <definedName name="wrn.aaa_2">{#N/A,#N/A,FALSE,"Sheet1";#N/A,#N/A,FALSE,"Sheet1";#N/A,#N/A,FALSE,"Sheet1"}</definedName>
    <definedName name="wrn.aaa_3">{#N/A,#N/A,FALSE,"Sheet1";#N/A,#N/A,FALSE,"Sheet1";#N/A,#N/A,FALSE,"Sheet1"}</definedName>
    <definedName name="wrn.aaa_4">{#N/A,#N/A,FALSE,"Sheet1";#N/A,#N/A,FALSE,"Sheet1";#N/A,#N/A,FALSE,"Sheet1"}</definedName>
    <definedName name="wrn.aaa_5">{#N/A,#N/A,FALSE,"Sheet1";#N/A,#N/A,FALSE,"Sheet1";#N/A,#N/A,FALSE,"Sheet1"}</definedName>
    <definedName name="wrn.aaa_6">{#N/A,#N/A,FALSE,"Sheet1";#N/A,#N/A,FALSE,"Sheet1";#N/A,#N/A,FALSE,"Sheet1"}</definedName>
    <definedName name="wrn.chi._.tiÆt." hidden="1">{#N/A,#N/A,FALSE,"Chi tiÆt"}</definedName>
    <definedName name="wrn.chi._.tiÆt._1">{#N/A,#N/A,FALSE,"Chi tiÆt"}</definedName>
    <definedName name="wrn.chi._.tiÆt._2">{#N/A,#N/A,FALSE,"Chi tiÆt"}</definedName>
    <definedName name="wrn.chi._.tiÆt._3">{#N/A,#N/A,FALSE,"Chi tiÆt"}</definedName>
    <definedName name="wrn.chi._.tiÆt._4">{#N/A,#N/A,FALSE,"Chi tiÆt"}</definedName>
    <definedName name="wrn.chi._.tiÆt._5">{#N/A,#N/A,FALSE,"Chi tiÆt"}</definedName>
    <definedName name="wrn.chi._.tiÆt._6">{#N/A,#N/A,FALSE,"Chi tiÆt"}</definedName>
    <definedName name="wrn.chi._.tiÆt._7">{#N/A,#N/A,FALSE,"Chi tiÆt"}</definedName>
    <definedName name="wrn.chi._.tiÆt._8">{#N/A,#N/A,FALSE,"Chi tiÆt"}</definedName>
    <definedName name="wrn.cong." hidden="1">{#N/A,#N/A,FALSE,"Sheet1"}</definedName>
    <definedName name="wrn.cong._1">{#N/A,#N/A,FALSE,"Sheet1"}</definedName>
    <definedName name="wrn.cong._2">{#N/A,#N/A,FALSE,"Sheet1"}</definedName>
    <definedName name="wrn.cong._3">{#N/A,#N/A,FALSE,"Sheet1"}</definedName>
    <definedName name="wrn.cong._4">{#N/A,#N/A,FALSE,"Sheet1"}</definedName>
    <definedName name="wrn.cong._5">{#N/A,#N/A,FALSE,"Sheet1"}</definedName>
    <definedName name="wrn.cong._6">{#N/A,#N/A,FALSE,"Sheet1"}</definedName>
    <definedName name="wrn.cong._7">{#N/A,#N/A,FALSE,"Sheet1"}</definedName>
    <definedName name="wrn.cong._8">{#N/A,#N/A,FALSE,"Sheet1"}</definedName>
    <definedName name="wrn.Monthly._.Statement." hidden="1">{#N/A,#N/A,FALSE,"Tabelle2";#N/A,#N/A,FALSE,"Tabelle1"}</definedName>
    <definedName name="wrn.report"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eport._1">{"Offgrid",#N/A,FALSE,"OFFGRID";"Region",#N/A,FALSE,"REGION";"Offgrid -2",#N/A,FALSE,"OFFGRID";"WTP",#N/A,FALSE,"WTP";"WTP -2",#N/A,FALSE,"WTP";"Project",#N/A,FALSE,"PROJECT";"Summary -2",#N/A,FALSE,"SUMMARY"}</definedName>
    <definedName name="wrn.Report._2">{"Offgrid",#N/A,FALSE,"OFFGRID";"Region",#N/A,FALSE,"REGION";"Offgrid -2",#N/A,FALSE,"OFFGRID";"WTP",#N/A,FALSE,"WTP";"WTP -2",#N/A,FALSE,"WTP";"Project",#N/A,FALSE,"PROJECT";"Summary -2",#N/A,FALSE,"SUMMARY"}</definedName>
    <definedName name="wrn.Report._3">{"Offgrid",#N/A,FALSE,"OFFGRID";"Region",#N/A,FALSE,"REGION";"Offgrid -2",#N/A,FALSE,"OFFGRID";"WTP",#N/A,FALSE,"WTP";"WTP -2",#N/A,FALSE,"WTP";"Project",#N/A,FALSE,"PROJECT";"Summary -2",#N/A,FALSE,"SUMMARY"}</definedName>
    <definedName name="wrn.Report._4">{"Offgrid",#N/A,FALSE,"OFFGRID";"Region",#N/A,FALSE,"REGION";"Offgrid -2",#N/A,FALSE,"OFFGRID";"WTP",#N/A,FALSE,"WTP";"WTP -2",#N/A,FALSE,"WTP";"Project",#N/A,FALSE,"PROJECT";"Summary -2",#N/A,FALSE,"SUMMARY"}</definedName>
    <definedName name="wrn.Report._5">{"Offgrid",#N/A,FALSE,"OFFGRID";"Region",#N/A,FALSE,"REGION";"Offgrid -2",#N/A,FALSE,"OFFGRID";"WTP",#N/A,FALSE,"WTP";"WTP -2",#N/A,FALSE,"WTP";"Project",#N/A,FALSE,"PROJECT";"Summary -2",#N/A,FALSE,"SUMMARY"}</definedName>
    <definedName name="wrn.Report._6">{"Offgrid",#N/A,FALSE,"OFFGRID";"Region",#N/A,FALSE,"REGION";"Offgrid -2",#N/A,FALSE,"OFFGRID";"WTP",#N/A,FALSE,"WTP";"WTP -2",#N/A,FALSE,"WTP";"Project",#N/A,FALSE,"PROJECT";"Summary -2",#N/A,FALSE,"SUMMARY"}</definedName>
    <definedName name="wrn.Report._7">{"Offgrid",#N/A,FALSE,"OFFGRID";"Region",#N/A,FALSE,"REGION";"Offgrid -2",#N/A,FALSE,"OFFGRID";"WTP",#N/A,FALSE,"WTP";"WTP -2",#N/A,FALSE,"WTP";"Project",#N/A,FALSE,"PROJECT";"Summary -2",#N/A,FALSE,"SUMMARY"}</definedName>
    <definedName name="wrn.Report._8">{"Offgrid",#N/A,FALSE,"OFFGRID";"Region",#N/A,FALSE,"REGION";"Offgrid -2",#N/A,FALSE,"OFFGRID";"WTP",#N/A,FALSE,"WTP";"WTP -2",#N/A,FALSE,"WTP";"Project",#N/A,FALSE,"PROJECT";"Summary -2",#N/A,FALSE,"SUMMARY"}</definedName>
    <definedName name="wrn.report_1">{"Offgrid",#N/A,FALSE,"OFFGRID";"Region",#N/A,FALSE,"REGION";"Offgrid -2",#N/A,FALSE,"OFFGRID";"WTP",#N/A,FALSE,"WTP";"WTP -2",#N/A,FALSE,"WTP";"Project",#N/A,FALSE,"PROJECT";"Summary -2",#N/A,FALSE,"SUMMARY"}</definedName>
    <definedName name="wrn.report_2">{"Offgrid",#N/A,FALSE,"OFFGRID";"Region",#N/A,FALSE,"REGION";"Offgrid -2",#N/A,FALSE,"OFFGRID";"WTP",#N/A,FALSE,"WTP";"WTP -2",#N/A,FALSE,"WTP";"Project",#N/A,FALSE,"PROJECT";"Summary -2",#N/A,FALSE,"SUMMARY"}</definedName>
    <definedName name="wrn.report_3">{"Offgrid",#N/A,FALSE,"OFFGRID";"Region",#N/A,FALSE,"REGION";"Offgrid -2",#N/A,FALSE,"OFFGRID";"WTP",#N/A,FALSE,"WTP";"WTP -2",#N/A,FALSE,"WTP";"Project",#N/A,FALSE,"PROJECT";"Summary -2",#N/A,FALSE,"SUMMARY"}</definedName>
    <definedName name="wrn.report_4">{"Offgrid",#N/A,FALSE,"OFFGRID";"Region",#N/A,FALSE,"REGION";"Offgrid -2",#N/A,FALSE,"OFFGRID";"WTP",#N/A,FALSE,"WTP";"WTP -2",#N/A,FALSE,"WTP";"Project",#N/A,FALSE,"PROJECT";"Summary -2",#N/A,FALSE,"SUMMARY"}</definedName>
    <definedName name="wrn.report_5">{"Offgrid",#N/A,FALSE,"OFFGRID";"Region",#N/A,FALSE,"REGION";"Offgrid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rnf.report_1">{"Offgrid",#N/A,FALSE,"OFFGRID";"Region",#N/A,FALSE,"REGION";"Offgrid -2",#N/A,FALSE,"OFFGRID";"WTP",#N/A,FALSE,"WTP";"WTP -2",#N/A,FALSE,"WTP";"Project",#N/A,FALSE,"PROJECT";"Summary -2",#N/A,FALSE,"SUMMARY"}</definedName>
    <definedName name="wrnf.report_2">{"Offgrid",#N/A,FALSE,"OFFGRID";"Region",#N/A,FALSE,"REGION";"Offgrid -2",#N/A,FALSE,"OFFGRID";"WTP",#N/A,FALSE,"WTP";"WTP -2",#N/A,FALSE,"WTP";"Project",#N/A,FALSE,"PROJECT";"Summary -2",#N/A,FALSE,"SUMMARY"}</definedName>
    <definedName name="wrnf.report_3">{"Offgrid",#N/A,FALSE,"OFFGRID";"Region",#N/A,FALSE,"REGION";"Offgrid -2",#N/A,FALSE,"OFFGRID";"WTP",#N/A,FALSE,"WTP";"WTP -2",#N/A,FALSE,"WTP";"Project",#N/A,FALSE,"PROJECT";"Summary -2",#N/A,FALSE,"SUMMARY"}</definedName>
    <definedName name="wrnf.report_4">{"Offgrid",#N/A,FALSE,"OFFGRID";"Region",#N/A,FALSE,"REGION";"Offgrid -2",#N/A,FALSE,"OFFGRID";"WTP",#N/A,FALSE,"WTP";"WTP -2",#N/A,FALSE,"WTP";"Project",#N/A,FALSE,"PROJECT";"Summary -2",#N/A,FALSE,"SUMMARY"}</definedName>
    <definedName name="wrnf.report_5">{"Offgrid",#N/A,FALSE,"OFFGRID";"Region",#N/A,FALSE,"REGION";"Offgrid -2",#N/A,FALSE,"OFFGRID";"WTP",#N/A,FALSE,"WTP";"WTP -2",#N/A,FALSE,"WTP";"Project",#N/A,FALSE,"PROJECT";"Summary -2",#N/A,FALSE,"SUMMARY"}</definedName>
    <definedName name="wrnf.report_6">{"Offgrid",#N/A,FALSE,"OFFGRID";"Region",#N/A,FALSE,"REGION";"Offgrid -2",#N/A,FALSE,"OFFGRID";"WTP",#N/A,FALSE,"WTP";"WTP -2",#N/A,FALSE,"WTP";"Project",#N/A,FALSE,"PROJECT";"Summary -2",#N/A,FALSE,"SUMMARY"}</definedName>
    <definedName name="wrnf.report_7">{"Offgrid",#N/A,FALSE,"OFFGRID";"Region",#N/A,FALSE,"REGION";"Offgrid -2",#N/A,FALSE,"OFFGRID";"WTP",#N/A,FALSE,"WTP";"WTP -2",#N/A,FALSE,"WTP";"Project",#N/A,FALSE,"PROJECT";"Summary -2",#N/A,FALSE,"SUMMARY"}</definedName>
    <definedName name="wrnf.report_8">{"Offgrid",#N/A,FALSE,"OFFGRID";"Region",#N/A,FALSE,"REGION";"Offgrid -2",#N/A,FALSE,"OFFGRID";"WTP",#N/A,FALSE,"WTP";"WTP -2",#N/A,FALSE,"WTP";"Project",#N/A,FALSE,"PROJECT";"Summary -2",#N/A,FALSE,"SUMMARY"}</definedName>
    <definedName name="wrnf.repỏt" hidden="1">{"Offgrid",#N/A,FALSE,"OFFGRID";"Region",#N/A,FALSE,"REGION";"Offgrid -2",#N/A,FALSE,"OFFGRID";"WTP",#N/A,FALSE,"WTP";"WTP -2",#N/A,FALSE,"WTP";"Project",#N/A,FALSE,"PROJECT";"Summary -2",#N/A,FALSE,"SUMMARY"}</definedName>
    <definedName name="wrnf.repỏt_1">{"Offgrid",#N/A,FALSE,"OFFGRID";"Region",#N/A,FALSE,"REGION";"Offgrid -2",#N/A,FALSE,"OFFGRID";"WTP",#N/A,FALSE,"WTP";"WTP -2",#N/A,FALSE,"WTP";"Project",#N/A,FALSE,"PROJECT";"Summary -2",#N/A,FALSE,"SUMMARY"}</definedName>
    <definedName name="wrnf.repỏt_2">{"Offgrid",#N/A,FALSE,"OFFGRID";"Region",#N/A,FALSE,"REGION";"Offgrid -2",#N/A,FALSE,"OFFGRID";"WTP",#N/A,FALSE,"WTP";"WTP -2",#N/A,FALSE,"WTP";"Project",#N/A,FALSE,"PROJECT";"Summary -2",#N/A,FALSE,"SUMMARY"}</definedName>
    <definedName name="wrnf.repỏt_3">{"Offgrid",#N/A,FALSE,"OFFGRID";"Region",#N/A,FALSE,"REGION";"Offgrid -2",#N/A,FALSE,"OFFGRID";"WTP",#N/A,FALSE,"WTP";"WTP -2",#N/A,FALSE,"WTP";"Project",#N/A,FALSE,"PROJECT";"Summary -2",#N/A,FALSE,"SUMMARY"}</definedName>
    <definedName name="wrnf.repỏt_4">{"Offgrid",#N/A,FALSE,"OFFGRID";"Region",#N/A,FALSE,"REGION";"Offgrid -2",#N/A,FALSE,"OFFGRID";"WTP",#N/A,FALSE,"WTP";"WTP -2",#N/A,FALSE,"WTP";"Project",#N/A,FALSE,"PROJECT";"Summary -2",#N/A,FALSE,"SUMMARY"}</definedName>
    <definedName name="wrnf.repỏt_5">{"Offgrid",#N/A,FALSE,"OFFGRID";"Region",#N/A,FALSE,"REGION";"Offgrid -2",#N/A,FALSE,"OFFGRID";"WTP",#N/A,FALSE,"WTP";"WTP -2",#N/A,FALSE,"WTP";"Project",#N/A,FALSE,"PROJECT";"Summary -2",#N/A,FALSE,"SUMMARY"}</definedName>
    <definedName name="wrww" hidden="1">{"Offgrid",#N/A,FALSE,"OFFGRID";"Region",#N/A,FALSE,"REGION";"Offgrid -2",#N/A,FALSE,"OFFGRID";"WTP",#N/A,FALSE,"WTP";"WTP -2",#N/A,FALSE,"WTP";"Project",#N/A,FALSE,"PROJECT";"Summary -2",#N/A,FALSE,"SUMMARY"}</definedName>
    <definedName name="ww">{"Thuxm2.xls","Sheet1"}</definedName>
    <definedName name="ww_1">{#N/A,#N/A,FALSE,"Sheet1";#N/A,#N/A,FALSE,"Sheet1";#N/A,#N/A,FALSE,"Sheet1"}</definedName>
    <definedName name="ww_2">{#N/A,#N/A,FALSE,"Sheet1";#N/A,#N/A,FALSE,"Sheet1";#N/A,#N/A,FALSE,"Sheet1"}</definedName>
    <definedName name="wwa">{"Thuxm2.xls","Sheet1"}</definedName>
    <definedName name="wwhh" hidden="1">{#N/A,#N/A,FALSE,"Chi tiÆt"}</definedName>
    <definedName name="wwhwhwrh" hidden="1">{"'Sheet1'!$L$16"}</definedName>
    <definedName name="xama">'[10]THONG SO'!$B$3</definedName>
    <definedName name="XCCT">0.5</definedName>
    <definedName name="XDCBT10">{"Book1","Bang chia luong.xls"}</definedName>
    <definedName name="xddddd" hidden="1">{"'Sheet1'!$L$16"}</definedName>
    <definedName name="xlttbninh_1">{"'Sheet1'!$L$16"}</definedName>
    <definedName name="xlttbninh_2">{"'Sheet1'!$L$16"}</definedName>
    <definedName name="xlttbninh_3">{"'Sheet1'!$L$16"}</definedName>
    <definedName name="xm">[12]gvl!$N$16</definedName>
    <definedName name="XN908nam2003" hidden="1">{"'Sheet1'!$L$16"}</definedName>
    <definedName name="XN908nam2003_1">{"'Sheet1'!$L$16"}</definedName>
    <definedName name="XN908nam2003_2">{"'Sheet1'!$L$16"}</definedName>
    <definedName name="XN908nam2003_3">{"'Sheet1'!$L$16"}</definedName>
    <definedName name="XN908nam2003_4">{"'Sheet1'!$L$16"}</definedName>
    <definedName name="XN908nam2003_5">{"'Sheet1'!$L$16"}</definedName>
    <definedName name="xoa_tab" localSheetId="0" hidden="1">[13]Control!#REF!</definedName>
    <definedName name="xoa_tab" hidden="1">[13]Control!#REF!</definedName>
    <definedName name="xvxcvxc" hidden="1">{"'Sheet1'!$L$16"}</definedName>
    <definedName name="xvxcvxc_1">{"'Sheet1'!$L$16"}</definedName>
    <definedName name="xvxcvxc_2">{"'Sheet1'!$L$16"}</definedName>
    <definedName name="xvxcvxc_3">{"'Sheet1'!$L$16"}</definedName>
    <definedName name="xvxcvxc_4">{"'Sheet1'!$L$16"}</definedName>
    <definedName name="xvxcvxc_5">{"'Sheet1'!$L$16"}</definedName>
    <definedName name="xvxcvxc_6">{"'Sheet1'!$L$16"}</definedName>
    <definedName name="y" hidden="1">{"'Sheet1'!$L$16"}</definedName>
    <definedName name="y_1">{"'Sheet1'!$L$16"}</definedName>
    <definedName name="y_2">{"'Sheet1'!$L$16"}</definedName>
    <definedName name="ỳdhgg" hidden="1">{"'Sheet1'!$L$16"}</definedName>
    <definedName name="ýenda" hidden="1">{"'Sheet1'!$L$16"}</definedName>
    <definedName name="ýenda_1">{"'Sheet1'!$L$16"}</definedName>
    <definedName name="ýenda_2">{"'Sheet1'!$L$16"}</definedName>
    <definedName name="ýenda_3">{"'Sheet1'!$L$16"}</definedName>
    <definedName name="ýenda_4">{"'Sheet1'!$L$16"}</definedName>
    <definedName name="ýenda_5">{"'Sheet1'!$L$16"}</definedName>
    <definedName name="yeu" hidden="1">{"'Sheet1'!$L$16"}</definedName>
    <definedName name="yiuti" hidden="1">{"'Sheet1'!$L$16"}</definedName>
    <definedName name="ytri" hidden="1">{"'Sheet1'!$L$16"}</definedName>
    <definedName name="ytru" hidden="1">{"'Sheet1'!$L$16"}</definedName>
    <definedName name="ỵu" hidden="1">{"'Sheet1'!$L$16"}</definedName>
    <definedName name="yutjhtrj" localSheetId="0">#N/A</definedName>
    <definedName name="yutjhtrj">[0]!yutjhtrj</definedName>
    <definedName name="yw4y" localSheetId="0">#N/A</definedName>
    <definedName name="yw4y">[0]!yw4y</definedName>
    <definedName name="yyjy_ukyu" hidden="1">{"'Sheet1'!$L$16"}</definedName>
    <definedName name="Z" hidden="1">{"'Sheet1'!$L$16"}</definedName>
    <definedName name="Z_B6D82DE0_6701_11DA_9820_00304F1E4471_.wvu.Cols" localSheetId="0" hidden="1">#REF!</definedName>
    <definedName name="Z_B6D82DE0_6701_11DA_9820_00304F1E4471_.wvu.Cols" hidden="1">#REF!</definedName>
    <definedName name="zcg" hidden="1">{"'Sheet1'!$L$16"}</definedName>
    <definedName name="zcgxf" hidden="1">{"'Sheet1'!$L$16"}</definedName>
    <definedName name="zdgdfgd" hidden="1">{"'Sheet1'!$L$16"}</definedName>
    <definedName name="ZXzX_1">{"'Sheet1'!$L$16"}</definedName>
    <definedName name="ZXzX_2">{"'Sheet1'!$L$16"}</definedName>
    <definedName name="ZXzX_3">{"'Sheet1'!$L$16"}</definedName>
    <definedName name="ZXzX_4">{"'Sheet1'!$L$16"}</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1" i="20" l="1"/>
  <c r="F26" i="20" l="1"/>
  <c r="G74" i="20"/>
  <c r="G75" i="20"/>
  <c r="G76" i="20"/>
  <c r="F68" i="20"/>
  <c r="G68" i="20" s="1"/>
  <c r="F69" i="20"/>
  <c r="G69" i="20" s="1"/>
  <c r="F70" i="20"/>
  <c r="G70" i="20" s="1"/>
  <c r="F71" i="20"/>
  <c r="G71" i="20" s="1"/>
  <c r="F73" i="20"/>
  <c r="G73" i="20" s="1"/>
  <c r="F74" i="20"/>
  <c r="F75" i="20"/>
  <c r="F76" i="20"/>
  <c r="F77" i="20"/>
  <c r="G77" i="20" s="1"/>
  <c r="F67" i="20"/>
  <c r="G67" i="20" s="1"/>
  <c r="F29" i="20"/>
  <c r="G12" i="20"/>
  <c r="G13" i="20"/>
  <c r="G14" i="20"/>
  <c r="G17" i="20"/>
  <c r="G18" i="20"/>
  <c r="G19" i="20"/>
  <c r="G20" i="20"/>
  <c r="G21" i="20"/>
  <c r="G22" i="20"/>
  <c r="G24" i="20"/>
  <c r="G25" i="20"/>
  <c r="G27" i="20"/>
  <c r="G29" i="20"/>
  <c r="G11" i="20"/>
  <c r="F28" i="20"/>
  <c r="G28" i="20" s="1"/>
  <c r="F15" i="20"/>
  <c r="G15" i="20" s="1"/>
  <c r="F14" i="20"/>
  <c r="F13" i="20"/>
  <c r="F18" i="20"/>
  <c r="F16" i="20"/>
  <c r="G16" i="20" s="1"/>
  <c r="G626" i="20" l="1"/>
  <c r="G632" i="20" s="1"/>
  <c r="G621" i="20"/>
  <c r="F621" i="20" s="1"/>
  <c r="F620" i="20"/>
  <c r="G617" i="20"/>
  <c r="L617" i="20" s="1"/>
  <c r="G593" i="20"/>
  <c r="G604" i="20" s="1"/>
  <c r="L604" i="20" s="1"/>
  <c r="G608" i="20"/>
  <c r="F608" i="20" s="1"/>
  <c r="K608" i="20" s="1"/>
  <c r="G607" i="20"/>
  <c r="F607" i="20" s="1"/>
  <c r="K607" i="20" s="1"/>
  <c r="G600" i="20"/>
  <c r="F600" i="20" s="1"/>
  <c r="K600" i="20" s="1"/>
  <c r="G598" i="20"/>
  <c r="G597" i="20"/>
  <c r="F597" i="20" s="1"/>
  <c r="K597" i="20" s="1"/>
  <c r="F614" i="20"/>
  <c r="F613" i="20"/>
  <c r="F594" i="20"/>
  <c r="K594" i="20" s="1"/>
  <c r="F589" i="20"/>
  <c r="K589" i="20" s="1"/>
  <c r="F590" i="20"/>
  <c r="G595" i="20"/>
  <c r="F595" i="20" s="1"/>
  <c r="K595" i="20" s="1"/>
  <c r="G594" i="20"/>
  <c r="G592" i="20"/>
  <c r="F592" i="20" s="1"/>
  <c r="K592" i="20" s="1"/>
  <c r="G591" i="20"/>
  <c r="L591" i="20" s="1"/>
  <c r="G588" i="20"/>
  <c r="L588" i="20" s="1"/>
  <c r="G587" i="20"/>
  <c r="F587" i="20" s="1"/>
  <c r="K587" i="20" s="1"/>
  <c r="G586" i="20"/>
  <c r="F586" i="20" s="1"/>
  <c r="K586" i="20" s="1"/>
  <c r="F688" i="20"/>
  <c r="F684" i="20"/>
  <c r="G687" i="20"/>
  <c r="F687" i="20" s="1"/>
  <c r="K687" i="20" s="1"/>
  <c r="G686" i="20"/>
  <c r="F686" i="20" s="1"/>
  <c r="K686" i="20" s="1"/>
  <c r="G685" i="20"/>
  <c r="F685" i="20" s="1"/>
  <c r="K685" i="20" s="1"/>
  <c r="G688" i="20"/>
  <c r="F679" i="20"/>
  <c r="F680" i="20"/>
  <c r="F681" i="20"/>
  <c r="F678" i="20"/>
  <c r="K678" i="20" s="1"/>
  <c r="G682" i="20"/>
  <c r="L682" i="20" s="1"/>
  <c r="G681" i="20"/>
  <c r="G680" i="20"/>
  <c r="G676" i="20"/>
  <c r="F676" i="20" s="1"/>
  <c r="K676" i="20" s="1"/>
  <c r="F673" i="20"/>
  <c r="F674" i="20"/>
  <c r="F672" i="20"/>
  <c r="G675" i="20"/>
  <c r="F675" i="20" s="1"/>
  <c r="K675" i="20" s="1"/>
  <c r="G674" i="20"/>
  <c r="G673" i="20"/>
  <c r="G672" i="20"/>
  <c r="F666" i="20"/>
  <c r="F667" i="20"/>
  <c r="F668" i="20"/>
  <c r="F669" i="20"/>
  <c r="K669" i="20" s="1"/>
  <c r="F670" i="20"/>
  <c r="K670" i="20" s="1"/>
  <c r="F665" i="20"/>
  <c r="G670" i="20"/>
  <c r="G669" i="20"/>
  <c r="G668" i="20"/>
  <c r="F662" i="20"/>
  <c r="F663" i="20"/>
  <c r="F661" i="20"/>
  <c r="K661" i="20" s="1"/>
  <c r="G656" i="20"/>
  <c r="L656" i="20" s="1"/>
  <c r="G657" i="20"/>
  <c r="G658" i="20"/>
  <c r="G659" i="20"/>
  <c r="G655" i="20"/>
  <c r="G653" i="20"/>
  <c r="F653" i="20" s="1"/>
  <c r="K653" i="20" s="1"/>
  <c r="G652" i="20"/>
  <c r="F652" i="20"/>
  <c r="K652" i="20" s="1"/>
  <c r="F647" i="20"/>
  <c r="F648" i="20"/>
  <c r="F649" i="20"/>
  <c r="F650" i="20"/>
  <c r="F651" i="20"/>
  <c r="F646" i="20"/>
  <c r="G646" i="20"/>
  <c r="F803" i="20"/>
  <c r="K803" i="20" s="1"/>
  <c r="F804" i="20"/>
  <c r="K804" i="20" s="1"/>
  <c r="F805" i="20"/>
  <c r="F806" i="20"/>
  <c r="F807" i="20"/>
  <c r="F808" i="20"/>
  <c r="F809" i="20"/>
  <c r="F810" i="20"/>
  <c r="F811" i="20"/>
  <c r="K811" i="20" s="1"/>
  <c r="F812" i="20"/>
  <c r="K812" i="20" s="1"/>
  <c r="F813" i="20"/>
  <c r="F814" i="20"/>
  <c r="F802" i="20"/>
  <c r="F730" i="20"/>
  <c r="F729" i="20"/>
  <c r="F725" i="20"/>
  <c r="F726" i="20"/>
  <c r="F727" i="20"/>
  <c r="F724" i="20"/>
  <c r="F718" i="20"/>
  <c r="F719" i="20"/>
  <c r="F720" i="20"/>
  <c r="F721" i="20"/>
  <c r="F722" i="20"/>
  <c r="G713" i="20"/>
  <c r="F713" i="20" s="1"/>
  <c r="K713" i="20" s="1"/>
  <c r="G714" i="20"/>
  <c r="F714" i="20" s="1"/>
  <c r="K714" i="20" s="1"/>
  <c r="G715" i="20"/>
  <c r="F715" i="20" s="1"/>
  <c r="K715" i="20" s="1"/>
  <c r="G716" i="20"/>
  <c r="F716" i="20" s="1"/>
  <c r="K716" i="20" s="1"/>
  <c r="G717" i="20"/>
  <c r="F717" i="20" s="1"/>
  <c r="K717" i="20" s="1"/>
  <c r="G712" i="20"/>
  <c r="F712" i="20" s="1"/>
  <c r="K712" i="20" s="1"/>
  <c r="M623" i="18"/>
  <c r="M624" i="18"/>
  <c r="M625" i="18"/>
  <c r="M626" i="18"/>
  <c r="M627" i="18"/>
  <c r="M628" i="18"/>
  <c r="M629" i="18"/>
  <c r="M630" i="18"/>
  <c r="M631" i="18"/>
  <c r="M632" i="18"/>
  <c r="M622" i="18"/>
  <c r="F710" i="20"/>
  <c r="K710" i="20" s="1"/>
  <c r="G709" i="20"/>
  <c r="F709" i="20" s="1"/>
  <c r="K709" i="20" s="1"/>
  <c r="G708" i="20"/>
  <c r="F708" i="20" s="1"/>
  <c r="K708" i="20" s="1"/>
  <c r="F703" i="20"/>
  <c r="G702" i="20"/>
  <c r="F705" i="20"/>
  <c r="F704" i="20" s="1"/>
  <c r="G698" i="20"/>
  <c r="F698" i="20" s="1"/>
  <c r="K698" i="20" s="1"/>
  <c r="F697" i="20"/>
  <c r="F696" i="20"/>
  <c r="K696" i="20" s="1"/>
  <c r="G691" i="20"/>
  <c r="G692" i="20"/>
  <c r="L692" i="20" s="1"/>
  <c r="G690" i="20"/>
  <c r="G644" i="20"/>
  <c r="F644" i="20" s="1"/>
  <c r="K644" i="20" s="1"/>
  <c r="G638" i="20"/>
  <c r="F638" i="20" s="1"/>
  <c r="F818" i="20"/>
  <c r="K818" i="20" s="1"/>
  <c r="F819" i="20"/>
  <c r="K819" i="20" s="1"/>
  <c r="F820" i="20"/>
  <c r="K820" i="20" s="1"/>
  <c r="F821" i="20"/>
  <c r="K821" i="20" s="1"/>
  <c r="F822" i="20"/>
  <c r="F823" i="20"/>
  <c r="F824" i="20"/>
  <c r="F825" i="20"/>
  <c r="F826" i="20"/>
  <c r="K826" i="20" s="1"/>
  <c r="F828" i="20"/>
  <c r="K828" i="20" s="1"/>
  <c r="F829" i="20"/>
  <c r="F830" i="20"/>
  <c r="F831" i="20"/>
  <c r="F832" i="20"/>
  <c r="K832" i="20" s="1"/>
  <c r="F833" i="20"/>
  <c r="F834" i="20"/>
  <c r="F835" i="20"/>
  <c r="F817" i="20"/>
  <c r="K817" i="20" s="1"/>
  <c r="L830" i="20"/>
  <c r="F776" i="20"/>
  <c r="F777" i="20"/>
  <c r="K777" i="20" s="1"/>
  <c r="F778" i="20"/>
  <c r="F779" i="20"/>
  <c r="F780" i="20"/>
  <c r="F781" i="20"/>
  <c r="K781" i="20" s="1"/>
  <c r="F782" i="20"/>
  <c r="K782" i="20" s="1"/>
  <c r="F783" i="20"/>
  <c r="F784" i="20"/>
  <c r="K784" i="20" s="1"/>
  <c r="F785" i="20"/>
  <c r="F786" i="20"/>
  <c r="F787" i="20"/>
  <c r="F788" i="20"/>
  <c r="F789" i="20"/>
  <c r="K789" i="20" s="1"/>
  <c r="F790" i="20"/>
  <c r="K790" i="20" s="1"/>
  <c r="F791" i="20"/>
  <c r="K791" i="20" s="1"/>
  <c r="F792" i="20"/>
  <c r="F793" i="20"/>
  <c r="K793" i="20" s="1"/>
  <c r="F794" i="20"/>
  <c r="F795" i="20"/>
  <c r="F796" i="20"/>
  <c r="F797" i="20"/>
  <c r="F798" i="20"/>
  <c r="F799" i="20"/>
  <c r="F800" i="20"/>
  <c r="K800" i="20" s="1"/>
  <c r="F775" i="20"/>
  <c r="F766" i="20"/>
  <c r="G766" i="20" s="1"/>
  <c r="L766" i="20" s="1"/>
  <c r="F767" i="20"/>
  <c r="G767" i="20" s="1"/>
  <c r="L767" i="20" s="1"/>
  <c r="F768" i="20"/>
  <c r="G768" i="20" s="1"/>
  <c r="L768" i="20" s="1"/>
  <c r="F769" i="20"/>
  <c r="G769" i="20" s="1"/>
  <c r="L769" i="20" s="1"/>
  <c r="F770" i="20"/>
  <c r="G770" i="20" s="1"/>
  <c r="L770" i="20" s="1"/>
  <c r="F771" i="20"/>
  <c r="G771" i="20" s="1"/>
  <c r="L771" i="20" s="1"/>
  <c r="F772" i="20"/>
  <c r="G772" i="20" s="1"/>
  <c r="L772" i="20" s="1"/>
  <c r="F765" i="20"/>
  <c r="G765" i="20" s="1"/>
  <c r="L765" i="20" s="1"/>
  <c r="G762" i="20"/>
  <c r="G761" i="20"/>
  <c r="L761" i="20" s="1"/>
  <c r="G754" i="20"/>
  <c r="L754" i="20" s="1"/>
  <c r="G755" i="20"/>
  <c r="L755" i="20" s="1"/>
  <c r="G756" i="20"/>
  <c r="L756" i="20" s="1"/>
  <c r="G757" i="20"/>
  <c r="L757" i="20" s="1"/>
  <c r="G758" i="20"/>
  <c r="L758" i="20" s="1"/>
  <c r="G759" i="20"/>
  <c r="L759" i="20" s="1"/>
  <c r="G753" i="20"/>
  <c r="L753" i="20" s="1"/>
  <c r="G743" i="20"/>
  <c r="L743" i="20" s="1"/>
  <c r="G744" i="20"/>
  <c r="L744" i="20" s="1"/>
  <c r="G745" i="20"/>
  <c r="L745" i="20" s="1"/>
  <c r="G746" i="20"/>
  <c r="L746" i="20" s="1"/>
  <c r="G747" i="20"/>
  <c r="G748" i="20"/>
  <c r="L748" i="20" s="1"/>
  <c r="G749" i="20"/>
  <c r="L749" i="20" s="1"/>
  <c r="G750" i="20"/>
  <c r="G751" i="20"/>
  <c r="G742" i="20"/>
  <c r="G740" i="20"/>
  <c r="L740" i="20" s="1"/>
  <c r="G734" i="20"/>
  <c r="L734" i="20" s="1"/>
  <c r="G735" i="20"/>
  <c r="L735" i="20" s="1"/>
  <c r="G736" i="20"/>
  <c r="L736" i="20" s="1"/>
  <c r="G737" i="20"/>
  <c r="L737" i="20" s="1"/>
  <c r="G738" i="20"/>
  <c r="L738" i="20" s="1"/>
  <c r="G739" i="20"/>
  <c r="L739" i="20" s="1"/>
  <c r="G733" i="20"/>
  <c r="L733" i="20" s="1"/>
  <c r="L586" i="20"/>
  <c r="M377" i="20"/>
  <c r="J377" i="20" s="1"/>
  <c r="G347" i="20"/>
  <c r="L347" i="20" s="1"/>
  <c r="G348" i="20"/>
  <c r="G349" i="20"/>
  <c r="G350" i="20"/>
  <c r="L350" i="20" s="1"/>
  <c r="G351" i="20"/>
  <c r="L351" i="20" s="1"/>
  <c r="G352" i="20"/>
  <c r="L352" i="20" s="1"/>
  <c r="G353" i="20"/>
  <c r="L353" i="20" s="1"/>
  <c r="G354" i="20"/>
  <c r="L354" i="20" s="1"/>
  <c r="G355" i="20"/>
  <c r="L355" i="20" s="1"/>
  <c r="G346" i="20"/>
  <c r="L346" i="20" s="1"/>
  <c r="F305" i="20"/>
  <c r="K305" i="20" s="1"/>
  <c r="F306" i="20"/>
  <c r="K306" i="20" s="1"/>
  <c r="F307" i="20"/>
  <c r="K307" i="20" s="1"/>
  <c r="F308" i="20"/>
  <c r="K308" i="20" s="1"/>
  <c r="F309" i="20"/>
  <c r="K309" i="20" s="1"/>
  <c r="F310" i="20"/>
  <c r="K310" i="20" s="1"/>
  <c r="F311" i="20"/>
  <c r="K311" i="20" s="1"/>
  <c r="F304" i="20"/>
  <c r="G301" i="20"/>
  <c r="G300" i="20"/>
  <c r="L300" i="20" s="1"/>
  <c r="M271" i="20"/>
  <c r="M270" i="20"/>
  <c r="M272" i="20" s="1"/>
  <c r="F263" i="20"/>
  <c r="K263" i="20" s="1"/>
  <c r="F264" i="20"/>
  <c r="K264" i="20" s="1"/>
  <c r="F266" i="20"/>
  <c r="G266" i="20" s="1"/>
  <c r="L266" i="20" s="1"/>
  <c r="G258" i="20"/>
  <c r="L258" i="20" s="1"/>
  <c r="G259" i="20"/>
  <c r="L259" i="20" s="1"/>
  <c r="G260" i="20"/>
  <c r="L260" i="20" s="1"/>
  <c r="G261" i="20"/>
  <c r="L261" i="20" s="1"/>
  <c r="G257" i="20"/>
  <c r="L257" i="20" s="1"/>
  <c r="F233" i="20"/>
  <c r="G233" i="20" s="1"/>
  <c r="L233" i="20" s="1"/>
  <c r="F232" i="20"/>
  <c r="G232" i="20" s="1"/>
  <c r="L232" i="20" s="1"/>
  <c r="F231" i="20"/>
  <c r="G231" i="20" s="1"/>
  <c r="L231" i="20" s="1"/>
  <c r="G230" i="20"/>
  <c r="F228" i="20"/>
  <c r="G228" i="20" s="1"/>
  <c r="L228" i="20" s="1"/>
  <c r="G239" i="20"/>
  <c r="L239" i="20" s="1"/>
  <c r="G236" i="20"/>
  <c r="L236" i="20" s="1"/>
  <c r="G237" i="20"/>
  <c r="L237" i="20" s="1"/>
  <c r="G238" i="20"/>
  <c r="L238" i="20" s="1"/>
  <c r="G235" i="20"/>
  <c r="L235" i="20" s="1"/>
  <c r="F229" i="20"/>
  <c r="K229" i="20" s="1"/>
  <c r="G220" i="20"/>
  <c r="L220" i="20" s="1"/>
  <c r="F216" i="20"/>
  <c r="G216" i="20" s="1"/>
  <c r="L216" i="20" s="1"/>
  <c r="F215" i="20"/>
  <c r="G215" i="20" s="1"/>
  <c r="L215" i="20" s="1"/>
  <c r="F210" i="20"/>
  <c r="F211" i="20" s="1"/>
  <c r="F214" i="20"/>
  <c r="K214" i="20" s="1"/>
  <c r="G209" i="20"/>
  <c r="G210" i="20" s="1"/>
  <c r="F128" i="20"/>
  <c r="F129" i="20"/>
  <c r="F130" i="20"/>
  <c r="K130" i="20" s="1"/>
  <c r="F131" i="20"/>
  <c r="K131" i="20" s="1"/>
  <c r="F132" i="20"/>
  <c r="K132" i="20" s="1"/>
  <c r="F133" i="20"/>
  <c r="K133" i="20" s="1"/>
  <c r="F134" i="20"/>
  <c r="K134" i="20" s="1"/>
  <c r="F135" i="20"/>
  <c r="K135" i="20" s="1"/>
  <c r="F136" i="20"/>
  <c r="K136" i="20" s="1"/>
  <c r="F137" i="20"/>
  <c r="K137" i="20" s="1"/>
  <c r="F138" i="20"/>
  <c r="K138" i="20" s="1"/>
  <c r="F139" i="20"/>
  <c r="K139" i="20" s="1"/>
  <c r="F127" i="20"/>
  <c r="K127" i="20" s="1"/>
  <c r="F204" i="20"/>
  <c r="G204" i="20" s="1"/>
  <c r="F164" i="20"/>
  <c r="K164" i="20" s="1"/>
  <c r="F165" i="20"/>
  <c r="K165" i="20" s="1"/>
  <c r="F166" i="20"/>
  <c r="K166" i="20" s="1"/>
  <c r="F167" i="20"/>
  <c r="F168" i="20"/>
  <c r="F169" i="20"/>
  <c r="K169" i="20" s="1"/>
  <c r="F170" i="20"/>
  <c r="K170" i="20" s="1"/>
  <c r="F171" i="20"/>
  <c r="K171" i="20" s="1"/>
  <c r="F172" i="20"/>
  <c r="K172" i="20" s="1"/>
  <c r="F163" i="20"/>
  <c r="K163" i="20" s="1"/>
  <c r="G162" i="20"/>
  <c r="L162" i="20" s="1"/>
  <c r="G161" i="20"/>
  <c r="L161" i="20" s="1"/>
  <c r="F62" i="20"/>
  <c r="K62" i="20" s="1"/>
  <c r="F63" i="20"/>
  <c r="K63" i="20" s="1"/>
  <c r="F64" i="20"/>
  <c r="K64" i="20" s="1"/>
  <c r="F65" i="20"/>
  <c r="K65" i="20" s="1"/>
  <c r="F61" i="20"/>
  <c r="K61" i="20" s="1"/>
  <c r="F55" i="20"/>
  <c r="K55" i="20" s="1"/>
  <c r="F56" i="20"/>
  <c r="K56" i="20" s="1"/>
  <c r="F57" i="20"/>
  <c r="K57" i="20" s="1"/>
  <c r="F58" i="20"/>
  <c r="K58" i="20" s="1"/>
  <c r="F59" i="20"/>
  <c r="K59" i="20" s="1"/>
  <c r="F54" i="20"/>
  <c r="K54" i="20" s="1"/>
  <c r="G374" i="20"/>
  <c r="L374" i="20" s="1"/>
  <c r="G375" i="20"/>
  <c r="L375" i="20" s="1"/>
  <c r="G376" i="20"/>
  <c r="L376" i="20" s="1"/>
  <c r="G377" i="20"/>
  <c r="G378" i="20"/>
  <c r="L378" i="20" s="1"/>
  <c r="G379" i="20"/>
  <c r="L379" i="20" s="1"/>
  <c r="G380" i="20"/>
  <c r="L380" i="20" s="1"/>
  <c r="G381" i="20"/>
  <c r="L381" i="20" s="1"/>
  <c r="G382" i="20"/>
  <c r="L382" i="20" s="1"/>
  <c r="G383" i="20"/>
  <c r="L383" i="20" s="1"/>
  <c r="G384" i="20"/>
  <c r="L384" i="20" s="1"/>
  <c r="G385" i="20"/>
  <c r="L385" i="20" s="1"/>
  <c r="G386" i="20"/>
  <c r="L386" i="20" s="1"/>
  <c r="G387" i="20"/>
  <c r="L387" i="20" s="1"/>
  <c r="G388" i="20"/>
  <c r="L388" i="20" s="1"/>
  <c r="G389" i="20"/>
  <c r="L389" i="20" s="1"/>
  <c r="G390" i="20"/>
  <c r="L390" i="20" s="1"/>
  <c r="G391" i="20"/>
  <c r="L391" i="20" s="1"/>
  <c r="G392" i="20"/>
  <c r="L392" i="20" s="1"/>
  <c r="G393" i="20"/>
  <c r="L393" i="20" s="1"/>
  <c r="G394" i="20"/>
  <c r="L394" i="20" s="1"/>
  <c r="G395" i="20"/>
  <c r="L395" i="20" s="1"/>
  <c r="G396" i="20"/>
  <c r="L396" i="20" s="1"/>
  <c r="G397" i="20"/>
  <c r="L397" i="20" s="1"/>
  <c r="G398" i="20"/>
  <c r="L398" i="20" s="1"/>
  <c r="G399" i="20"/>
  <c r="L399" i="20" s="1"/>
  <c r="G400" i="20"/>
  <c r="L400" i="20" s="1"/>
  <c r="G401" i="20"/>
  <c r="L401" i="20" s="1"/>
  <c r="G402" i="20"/>
  <c r="L402" i="20" s="1"/>
  <c r="G403" i="20"/>
  <c r="G404" i="20"/>
  <c r="L404" i="20" s="1"/>
  <c r="G405" i="20"/>
  <c r="L405" i="20" s="1"/>
  <c r="G406" i="20"/>
  <c r="L406" i="20" s="1"/>
  <c r="G407" i="20"/>
  <c r="L407" i="20" s="1"/>
  <c r="G408" i="20"/>
  <c r="L408" i="20" s="1"/>
  <c r="G409" i="20"/>
  <c r="L409" i="20" s="1"/>
  <c r="G410" i="20"/>
  <c r="L410" i="20" s="1"/>
  <c r="G411" i="20"/>
  <c r="L411" i="20" s="1"/>
  <c r="G412" i="20"/>
  <c r="L412" i="20" s="1"/>
  <c r="G413" i="20"/>
  <c r="L413" i="20" s="1"/>
  <c r="G414" i="20"/>
  <c r="L414" i="20" s="1"/>
  <c r="G415" i="20"/>
  <c r="L415" i="20" s="1"/>
  <c r="G416" i="20"/>
  <c r="L416" i="20" s="1"/>
  <c r="G417" i="20"/>
  <c r="L417" i="20" s="1"/>
  <c r="G418" i="20"/>
  <c r="L418" i="20" s="1"/>
  <c r="G419" i="20"/>
  <c r="L419" i="20" s="1"/>
  <c r="G420" i="20"/>
  <c r="L420" i="20" s="1"/>
  <c r="G421" i="20"/>
  <c r="L421" i="20" s="1"/>
  <c r="G422" i="20"/>
  <c r="G423" i="20"/>
  <c r="L423" i="20" s="1"/>
  <c r="G424" i="20"/>
  <c r="L424" i="20" s="1"/>
  <c r="G425" i="20"/>
  <c r="L425" i="20" s="1"/>
  <c r="G426" i="20"/>
  <c r="L426" i="20" s="1"/>
  <c r="G427" i="20"/>
  <c r="L427" i="20" s="1"/>
  <c r="G428" i="20"/>
  <c r="L428" i="20" s="1"/>
  <c r="G429" i="20"/>
  <c r="L429" i="20" s="1"/>
  <c r="G430" i="20"/>
  <c r="L430" i="20" s="1"/>
  <c r="G431" i="20"/>
  <c r="L431" i="20" s="1"/>
  <c r="G432" i="20"/>
  <c r="L432" i="20" s="1"/>
  <c r="G433" i="20"/>
  <c r="L433" i="20" s="1"/>
  <c r="G434" i="20"/>
  <c r="L434" i="20" s="1"/>
  <c r="G435" i="20"/>
  <c r="L435" i="20" s="1"/>
  <c r="G436" i="20"/>
  <c r="L436" i="20" s="1"/>
  <c r="G437" i="20"/>
  <c r="L437" i="20" s="1"/>
  <c r="G438" i="20"/>
  <c r="L438" i="20" s="1"/>
  <c r="G439" i="20"/>
  <c r="L439" i="20" s="1"/>
  <c r="G440" i="20"/>
  <c r="L440" i="20" s="1"/>
  <c r="G441" i="20"/>
  <c r="L441" i="20" s="1"/>
  <c r="G442" i="20"/>
  <c r="L442" i="20" s="1"/>
  <c r="G443" i="20"/>
  <c r="L443" i="20" s="1"/>
  <c r="G444" i="20"/>
  <c r="L444" i="20" s="1"/>
  <c r="G445" i="20"/>
  <c r="L445" i="20" s="1"/>
  <c r="G446" i="20"/>
  <c r="L446" i="20" s="1"/>
  <c r="G447" i="20"/>
  <c r="L447" i="20" s="1"/>
  <c r="G448" i="20"/>
  <c r="L448" i="20" s="1"/>
  <c r="G449" i="20"/>
  <c r="L449" i="20" s="1"/>
  <c r="G450" i="20"/>
  <c r="L450" i="20" s="1"/>
  <c r="G451" i="20"/>
  <c r="G452" i="20"/>
  <c r="L452" i="20" s="1"/>
  <c r="G453" i="20"/>
  <c r="L453" i="20" s="1"/>
  <c r="G454" i="20"/>
  <c r="L454" i="20" s="1"/>
  <c r="G455" i="20"/>
  <c r="L455" i="20" s="1"/>
  <c r="G456" i="20"/>
  <c r="L456" i="20" s="1"/>
  <c r="G457" i="20"/>
  <c r="L457" i="20" s="1"/>
  <c r="G458" i="20"/>
  <c r="L458" i="20" s="1"/>
  <c r="G459" i="20"/>
  <c r="L459" i="20" s="1"/>
  <c r="G460" i="20"/>
  <c r="L460" i="20" s="1"/>
  <c r="G461" i="20"/>
  <c r="L461" i="20" s="1"/>
  <c r="G462" i="20"/>
  <c r="L462" i="20" s="1"/>
  <c r="G463" i="20"/>
  <c r="L463" i="20" s="1"/>
  <c r="G464" i="20"/>
  <c r="L464" i="20" s="1"/>
  <c r="G465" i="20"/>
  <c r="L465" i="20" s="1"/>
  <c r="G466" i="20"/>
  <c r="L466" i="20" s="1"/>
  <c r="G467" i="20"/>
  <c r="L467" i="20" s="1"/>
  <c r="G468" i="20"/>
  <c r="L468" i="20" s="1"/>
  <c r="G469" i="20"/>
  <c r="L469" i="20" s="1"/>
  <c r="G470" i="20"/>
  <c r="L470" i="20" s="1"/>
  <c r="G471" i="20"/>
  <c r="L471" i="20" s="1"/>
  <c r="G472" i="20"/>
  <c r="L472" i="20" s="1"/>
  <c r="G473" i="20"/>
  <c r="L473" i="20" s="1"/>
  <c r="G474" i="20"/>
  <c r="L474" i="20" s="1"/>
  <c r="G475" i="20"/>
  <c r="L475" i="20" s="1"/>
  <c r="G476" i="20"/>
  <c r="L476" i="20" s="1"/>
  <c r="G477" i="20"/>
  <c r="L477" i="20" s="1"/>
  <c r="G478" i="20"/>
  <c r="L478" i="20" s="1"/>
  <c r="G479" i="20"/>
  <c r="L479" i="20" s="1"/>
  <c r="G480" i="20"/>
  <c r="L480" i="20" s="1"/>
  <c r="G481" i="20"/>
  <c r="L481" i="20" s="1"/>
  <c r="G482" i="20"/>
  <c r="L482" i="20" s="1"/>
  <c r="G483" i="20"/>
  <c r="L483" i="20" s="1"/>
  <c r="G484" i="20"/>
  <c r="L484" i="20" s="1"/>
  <c r="G485" i="20"/>
  <c r="L485" i="20" s="1"/>
  <c r="G486" i="20"/>
  <c r="L486" i="20" s="1"/>
  <c r="G487" i="20"/>
  <c r="L487" i="20" s="1"/>
  <c r="G488" i="20"/>
  <c r="L488" i="20" s="1"/>
  <c r="G489" i="20"/>
  <c r="L489" i="20" s="1"/>
  <c r="G490" i="20"/>
  <c r="L490" i="20" s="1"/>
  <c r="G491" i="20"/>
  <c r="L491" i="20" s="1"/>
  <c r="G492" i="20"/>
  <c r="L492" i="20" s="1"/>
  <c r="G493" i="20"/>
  <c r="L493" i="20" s="1"/>
  <c r="G494" i="20"/>
  <c r="L494" i="20" s="1"/>
  <c r="G495" i="20"/>
  <c r="L495" i="20" s="1"/>
  <c r="G496" i="20"/>
  <c r="L496" i="20" s="1"/>
  <c r="G497" i="20"/>
  <c r="L497" i="20" s="1"/>
  <c r="G498" i="20"/>
  <c r="L498" i="20" s="1"/>
  <c r="G499" i="20"/>
  <c r="L499" i="20" s="1"/>
  <c r="G500" i="20"/>
  <c r="L500" i="20" s="1"/>
  <c r="G501" i="20"/>
  <c r="L501" i="20" s="1"/>
  <c r="G502" i="20"/>
  <c r="L502" i="20" s="1"/>
  <c r="G503" i="20"/>
  <c r="L503" i="20" s="1"/>
  <c r="G504" i="20"/>
  <c r="L504" i="20" s="1"/>
  <c r="G505" i="20"/>
  <c r="L505" i="20" s="1"/>
  <c r="G506" i="20"/>
  <c r="L506" i="20" s="1"/>
  <c r="G507" i="20"/>
  <c r="L507" i="20" s="1"/>
  <c r="G508" i="20"/>
  <c r="L508" i="20" s="1"/>
  <c r="G509" i="20"/>
  <c r="L509" i="20" s="1"/>
  <c r="G510" i="20"/>
  <c r="L510" i="20" s="1"/>
  <c r="G511" i="20"/>
  <c r="L511" i="20" s="1"/>
  <c r="G512" i="20"/>
  <c r="L512" i="20" s="1"/>
  <c r="G513" i="20"/>
  <c r="L513" i="20" s="1"/>
  <c r="G514" i="20"/>
  <c r="L514" i="20" s="1"/>
  <c r="G515" i="20"/>
  <c r="G516" i="20"/>
  <c r="G517" i="20"/>
  <c r="L517" i="20" s="1"/>
  <c r="G518" i="20"/>
  <c r="L518" i="20" s="1"/>
  <c r="G519" i="20"/>
  <c r="L519" i="20" s="1"/>
  <c r="G520" i="20"/>
  <c r="L520" i="20" s="1"/>
  <c r="G521" i="20"/>
  <c r="L521" i="20" s="1"/>
  <c r="G522" i="20"/>
  <c r="L522" i="20" s="1"/>
  <c r="G523" i="20"/>
  <c r="L523" i="20" s="1"/>
  <c r="G524" i="20"/>
  <c r="L524" i="20" s="1"/>
  <c r="G525" i="20"/>
  <c r="L525" i="20" s="1"/>
  <c r="G526" i="20"/>
  <c r="L526" i="20" s="1"/>
  <c r="G527" i="20"/>
  <c r="L527" i="20" s="1"/>
  <c r="G528" i="20"/>
  <c r="L528" i="20" s="1"/>
  <c r="G529" i="20"/>
  <c r="L529" i="20" s="1"/>
  <c r="G530" i="20"/>
  <c r="L530" i="20" s="1"/>
  <c r="G531" i="20"/>
  <c r="L531" i="20" s="1"/>
  <c r="G532" i="20"/>
  <c r="L532" i="20" s="1"/>
  <c r="G533" i="20"/>
  <c r="L533" i="20" s="1"/>
  <c r="G534" i="20"/>
  <c r="L534" i="20" s="1"/>
  <c r="G535" i="20"/>
  <c r="L535" i="20" s="1"/>
  <c r="G536" i="20"/>
  <c r="L536" i="20" s="1"/>
  <c r="G537" i="20"/>
  <c r="L537" i="20" s="1"/>
  <c r="G538" i="20"/>
  <c r="L538" i="20" s="1"/>
  <c r="G539" i="20"/>
  <c r="L539" i="20" s="1"/>
  <c r="G540" i="20"/>
  <c r="L540" i="20" s="1"/>
  <c r="G541" i="20"/>
  <c r="L541" i="20" s="1"/>
  <c r="G542" i="20"/>
  <c r="L542" i="20" s="1"/>
  <c r="G543" i="20"/>
  <c r="L543" i="20" s="1"/>
  <c r="G544" i="20"/>
  <c r="L544" i="20" s="1"/>
  <c r="G545" i="20"/>
  <c r="L545" i="20" s="1"/>
  <c r="G546" i="20"/>
  <c r="L546" i="20" s="1"/>
  <c r="G547" i="20"/>
  <c r="L547" i="20" s="1"/>
  <c r="G548" i="20"/>
  <c r="L548" i="20" s="1"/>
  <c r="G549" i="20"/>
  <c r="L549" i="20" s="1"/>
  <c r="G550" i="20"/>
  <c r="L550" i="20" s="1"/>
  <c r="G551" i="20"/>
  <c r="L551" i="20" s="1"/>
  <c r="G552" i="20"/>
  <c r="L552" i="20" s="1"/>
  <c r="G553" i="20"/>
  <c r="L553" i="20" s="1"/>
  <c r="G554" i="20"/>
  <c r="L554" i="20" s="1"/>
  <c r="G555" i="20"/>
  <c r="L555" i="20" s="1"/>
  <c r="G556" i="20"/>
  <c r="L556" i="20" s="1"/>
  <c r="G557" i="20"/>
  <c r="L557" i="20" s="1"/>
  <c r="G558" i="20"/>
  <c r="L558" i="20" s="1"/>
  <c r="G559" i="20"/>
  <c r="L559" i="20" s="1"/>
  <c r="G560" i="20"/>
  <c r="L560" i="20" s="1"/>
  <c r="G561" i="20"/>
  <c r="L561" i="20" s="1"/>
  <c r="G562" i="20"/>
  <c r="L562" i="20" s="1"/>
  <c r="G563" i="20"/>
  <c r="G564" i="20"/>
  <c r="G565" i="20"/>
  <c r="L565" i="20" s="1"/>
  <c r="G566" i="20"/>
  <c r="L566" i="20" s="1"/>
  <c r="G567" i="20"/>
  <c r="L567" i="20" s="1"/>
  <c r="G568" i="20"/>
  <c r="L568" i="20" s="1"/>
  <c r="G569" i="20"/>
  <c r="L569" i="20" s="1"/>
  <c r="G570" i="20"/>
  <c r="L570" i="20" s="1"/>
  <c r="G571" i="20"/>
  <c r="L571" i="20" s="1"/>
  <c r="G572" i="20"/>
  <c r="L572" i="20" s="1"/>
  <c r="G573" i="20"/>
  <c r="L573" i="20" s="1"/>
  <c r="G574" i="20"/>
  <c r="L574" i="20" s="1"/>
  <c r="G575" i="20"/>
  <c r="L575" i="20" s="1"/>
  <c r="G576" i="20"/>
  <c r="L576" i="20" s="1"/>
  <c r="G577" i="20"/>
  <c r="L577" i="20" s="1"/>
  <c r="G578" i="20"/>
  <c r="L578" i="20" s="1"/>
  <c r="G579" i="20"/>
  <c r="L579" i="20" s="1"/>
  <c r="G580" i="20"/>
  <c r="L580" i="20" s="1"/>
  <c r="G581" i="20"/>
  <c r="L581" i="20" s="1"/>
  <c r="G582" i="20"/>
  <c r="L582" i="20" s="1"/>
  <c r="G373" i="20"/>
  <c r="L373" i="20" s="1"/>
  <c r="G357" i="20"/>
  <c r="L357" i="20" s="1"/>
  <c r="G358" i="20"/>
  <c r="L358" i="20" s="1"/>
  <c r="G359" i="20"/>
  <c r="L359" i="20" s="1"/>
  <c r="G356" i="20"/>
  <c r="L356" i="20" s="1"/>
  <c r="G367" i="20"/>
  <c r="L367" i="20" s="1"/>
  <c r="G368" i="20"/>
  <c r="L368" i="20" s="1"/>
  <c r="G369" i="20"/>
  <c r="L369" i="20" s="1"/>
  <c r="G366" i="20"/>
  <c r="L366" i="20" s="1"/>
  <c r="G362" i="20"/>
  <c r="L362" i="20" s="1"/>
  <c r="G363" i="20"/>
  <c r="G364" i="20"/>
  <c r="L364" i="20" s="1"/>
  <c r="G361" i="20"/>
  <c r="L361" i="20" s="1"/>
  <c r="G341" i="20"/>
  <c r="L341" i="20" s="1"/>
  <c r="G342" i="20"/>
  <c r="L342" i="20" s="1"/>
  <c r="G343" i="20"/>
  <c r="L343" i="20" s="1"/>
  <c r="G344" i="20"/>
  <c r="L344" i="20" s="1"/>
  <c r="G340" i="20"/>
  <c r="L340" i="20" s="1"/>
  <c r="G334" i="20"/>
  <c r="L334" i="20" s="1"/>
  <c r="G335" i="20"/>
  <c r="L335" i="20" s="1"/>
  <c r="G336" i="20"/>
  <c r="L336" i="20" s="1"/>
  <c r="G337" i="20"/>
  <c r="L337" i="20" s="1"/>
  <c r="G338" i="20"/>
  <c r="L338" i="20" s="1"/>
  <c r="G333" i="20"/>
  <c r="L333" i="20" s="1"/>
  <c r="G327" i="20"/>
  <c r="L327" i="20" s="1"/>
  <c r="G328" i="20"/>
  <c r="L328" i="20" s="1"/>
  <c r="G329" i="20"/>
  <c r="L329" i="20" s="1"/>
  <c r="G330" i="20"/>
  <c r="L330" i="20" s="1"/>
  <c r="G331" i="20"/>
  <c r="L331" i="20" s="1"/>
  <c r="G326" i="20"/>
  <c r="L326" i="20" s="1"/>
  <c r="G322" i="20"/>
  <c r="L322" i="20" s="1"/>
  <c r="G323" i="20"/>
  <c r="L323" i="20" s="1"/>
  <c r="G324" i="20"/>
  <c r="L324" i="20" s="1"/>
  <c r="G321" i="20"/>
  <c r="L321" i="20" s="1"/>
  <c r="G314" i="20"/>
  <c r="L314" i="20" s="1"/>
  <c r="G315" i="20"/>
  <c r="L315" i="20" s="1"/>
  <c r="G316" i="20"/>
  <c r="L316" i="20" s="1"/>
  <c r="G317" i="20"/>
  <c r="L317" i="20" s="1"/>
  <c r="G318" i="20"/>
  <c r="L318" i="20" s="1"/>
  <c r="G319" i="20"/>
  <c r="L319" i="20" s="1"/>
  <c r="G313" i="20"/>
  <c r="L313" i="20" s="1"/>
  <c r="G293" i="20"/>
  <c r="L293" i="20" s="1"/>
  <c r="G294" i="20"/>
  <c r="L294" i="20" s="1"/>
  <c r="G295" i="20"/>
  <c r="L295" i="20" s="1"/>
  <c r="G296" i="20"/>
  <c r="L296" i="20" s="1"/>
  <c r="G297" i="20"/>
  <c r="L297" i="20" s="1"/>
  <c r="G298" i="20"/>
  <c r="L298" i="20" s="1"/>
  <c r="G292" i="20"/>
  <c r="L292" i="20" s="1"/>
  <c r="G282" i="20"/>
  <c r="L282" i="20" s="1"/>
  <c r="G283" i="20"/>
  <c r="L283" i="20" s="1"/>
  <c r="G284" i="20"/>
  <c r="L284" i="20" s="1"/>
  <c r="G285" i="20"/>
  <c r="G286" i="20"/>
  <c r="L286" i="20" s="1"/>
  <c r="G287" i="20"/>
  <c r="L287" i="20" s="1"/>
  <c r="G288" i="20"/>
  <c r="L288" i="20" s="1"/>
  <c r="G289" i="20"/>
  <c r="L289" i="20" s="1"/>
  <c r="G290" i="20"/>
  <c r="L290" i="20" s="1"/>
  <c r="G281" i="20"/>
  <c r="L281" i="20" s="1"/>
  <c r="G273" i="20"/>
  <c r="G274" i="20"/>
  <c r="G275" i="20"/>
  <c r="L275" i="20" s="1"/>
  <c r="G276" i="20"/>
  <c r="G277" i="20"/>
  <c r="L277" i="20" s="1"/>
  <c r="G278" i="20"/>
  <c r="L278" i="20" s="1"/>
  <c r="G279" i="20"/>
  <c r="L279" i="20" s="1"/>
  <c r="G272" i="20"/>
  <c r="L272" i="20" s="1"/>
  <c r="G254" i="20"/>
  <c r="L254" i="20" s="1"/>
  <c r="G255" i="20"/>
  <c r="L255" i="20" s="1"/>
  <c r="G253" i="20"/>
  <c r="L253" i="20" s="1"/>
  <c r="G248" i="20"/>
  <c r="L248" i="20" s="1"/>
  <c r="G249" i="20"/>
  <c r="L249" i="20" s="1"/>
  <c r="G250" i="20"/>
  <c r="L250" i="20" s="1"/>
  <c r="G251" i="20"/>
  <c r="L251" i="20" s="1"/>
  <c r="G247" i="20"/>
  <c r="L247" i="20" s="1"/>
  <c r="G242" i="20"/>
  <c r="L242" i="20" s="1"/>
  <c r="G243" i="20"/>
  <c r="L243" i="20" s="1"/>
  <c r="G244" i="20"/>
  <c r="L244" i="20" s="1"/>
  <c r="G245" i="20"/>
  <c r="L245" i="20" s="1"/>
  <c r="G241" i="20"/>
  <c r="L241" i="20" s="1"/>
  <c r="G195" i="20"/>
  <c r="L195" i="20" s="1"/>
  <c r="G196" i="20"/>
  <c r="L196" i="20" s="1"/>
  <c r="G198" i="20"/>
  <c r="L198" i="20" s="1"/>
  <c r="G199" i="20"/>
  <c r="L199" i="20" s="1"/>
  <c r="G200" i="20"/>
  <c r="G201" i="20"/>
  <c r="L201" i="20" s="1"/>
  <c r="G202" i="20"/>
  <c r="L202" i="20" s="1"/>
  <c r="G203" i="20"/>
  <c r="L203" i="20" s="1"/>
  <c r="G194" i="20"/>
  <c r="L194" i="20" s="1"/>
  <c r="G191" i="20"/>
  <c r="L191" i="20" s="1"/>
  <c r="G192" i="20"/>
  <c r="L192" i="20" s="1"/>
  <c r="L184" i="20"/>
  <c r="L187" i="20"/>
  <c r="L188" i="20"/>
  <c r="L189" i="20"/>
  <c r="G177" i="20"/>
  <c r="L177" i="20" s="1"/>
  <c r="G178" i="20"/>
  <c r="L178" i="20" s="1"/>
  <c r="G179" i="20"/>
  <c r="L179" i="20" s="1"/>
  <c r="G180" i="20"/>
  <c r="L180" i="20" s="1"/>
  <c r="G181" i="20"/>
  <c r="L181" i="20" s="1"/>
  <c r="G176" i="20"/>
  <c r="L176" i="20" s="1"/>
  <c r="L163" i="20"/>
  <c r="L170" i="20"/>
  <c r="G151" i="20"/>
  <c r="L151" i="20" s="1"/>
  <c r="G152" i="20"/>
  <c r="L152" i="20" s="1"/>
  <c r="G153" i="20"/>
  <c r="L153" i="20" s="1"/>
  <c r="G154" i="20"/>
  <c r="L154" i="20" s="1"/>
  <c r="G155" i="20"/>
  <c r="L155" i="20" s="1"/>
  <c r="G156" i="20"/>
  <c r="L156" i="20" s="1"/>
  <c r="G157" i="20"/>
  <c r="L157" i="20" s="1"/>
  <c r="G158" i="20"/>
  <c r="G159" i="20"/>
  <c r="L159" i="20" s="1"/>
  <c r="G150" i="20"/>
  <c r="L150" i="20" s="1"/>
  <c r="G143" i="20"/>
  <c r="L143" i="20" s="1"/>
  <c r="G144" i="20"/>
  <c r="L144" i="20" s="1"/>
  <c r="G145" i="20"/>
  <c r="L145" i="20" s="1"/>
  <c r="G146" i="20"/>
  <c r="L146" i="20" s="1"/>
  <c r="G147" i="20"/>
  <c r="L147" i="20" s="1"/>
  <c r="G148" i="20"/>
  <c r="L148" i="20" s="1"/>
  <c r="G142" i="20"/>
  <c r="L142" i="20" s="1"/>
  <c r="F115" i="20"/>
  <c r="K115" i="20" s="1"/>
  <c r="F116" i="20"/>
  <c r="K116" i="20" s="1"/>
  <c r="F117" i="20"/>
  <c r="K117" i="20" s="1"/>
  <c r="F118" i="20"/>
  <c r="K118" i="20" s="1"/>
  <c r="F119" i="20"/>
  <c r="K119" i="20" s="1"/>
  <c r="F120" i="20"/>
  <c r="K120" i="20" s="1"/>
  <c r="F121" i="20"/>
  <c r="K121" i="20" s="1"/>
  <c r="F122" i="20"/>
  <c r="K122" i="20" s="1"/>
  <c r="F123" i="20"/>
  <c r="K123" i="20" s="1"/>
  <c r="F124" i="20"/>
  <c r="K124" i="20" s="1"/>
  <c r="F125" i="20"/>
  <c r="K125" i="20" s="1"/>
  <c r="F114" i="20"/>
  <c r="K114" i="20" s="1"/>
  <c r="F110" i="20"/>
  <c r="K110" i="20" s="1"/>
  <c r="F111" i="20"/>
  <c r="K111" i="20" s="1"/>
  <c r="F112" i="20"/>
  <c r="K112" i="20" s="1"/>
  <c r="F109" i="20"/>
  <c r="K109" i="20" s="1"/>
  <c r="F98" i="20"/>
  <c r="K98" i="20" s="1"/>
  <c r="F99" i="20"/>
  <c r="K99" i="20" s="1"/>
  <c r="F100" i="20"/>
  <c r="K100" i="20" s="1"/>
  <c r="F101" i="20"/>
  <c r="K101" i="20" s="1"/>
  <c r="F102" i="20"/>
  <c r="K102" i="20" s="1"/>
  <c r="F103" i="20"/>
  <c r="K103" i="20" s="1"/>
  <c r="F104" i="20"/>
  <c r="F105" i="20"/>
  <c r="K105" i="20" s="1"/>
  <c r="F106" i="20"/>
  <c r="K106" i="20" s="1"/>
  <c r="F107" i="20"/>
  <c r="K107" i="20" s="1"/>
  <c r="F97" i="20"/>
  <c r="K97" i="20" s="1"/>
  <c r="F94" i="20"/>
  <c r="K94" i="20" s="1"/>
  <c r="F95" i="20"/>
  <c r="K95" i="20" s="1"/>
  <c r="F93" i="20"/>
  <c r="K93" i="20" s="1"/>
  <c r="F86" i="20"/>
  <c r="K86" i="20" s="1"/>
  <c r="F87" i="20"/>
  <c r="K87" i="20" s="1"/>
  <c r="F88" i="20"/>
  <c r="K88" i="20" s="1"/>
  <c r="F89" i="20"/>
  <c r="K89" i="20" s="1"/>
  <c r="F90" i="20"/>
  <c r="K90" i="20" s="1"/>
  <c r="F91" i="20"/>
  <c r="K91" i="20" s="1"/>
  <c r="F85" i="20"/>
  <c r="K85" i="20" s="1"/>
  <c r="F80" i="20"/>
  <c r="K80" i="20" s="1"/>
  <c r="F81" i="20"/>
  <c r="K81" i="20" s="1"/>
  <c r="F82" i="20"/>
  <c r="K82" i="20" s="1"/>
  <c r="F83" i="20"/>
  <c r="K83" i="20" s="1"/>
  <c r="F79" i="20"/>
  <c r="K79" i="20" s="1"/>
  <c r="L68" i="20"/>
  <c r="L69" i="20"/>
  <c r="L70" i="20"/>
  <c r="L71" i="20"/>
  <c r="L73" i="20"/>
  <c r="L74" i="20"/>
  <c r="L75" i="20"/>
  <c r="L76" i="20"/>
  <c r="L77" i="20"/>
  <c r="F44" i="20"/>
  <c r="K44" i="20" s="1"/>
  <c r="F45" i="20"/>
  <c r="K45" i="20" s="1"/>
  <c r="F46" i="20"/>
  <c r="K46" i="20" s="1"/>
  <c r="F47" i="20"/>
  <c r="K47" i="20" s="1"/>
  <c r="F48" i="20"/>
  <c r="K48" i="20" s="1"/>
  <c r="F49" i="20"/>
  <c r="K49" i="20" s="1"/>
  <c r="F50" i="20"/>
  <c r="K50" i="20" s="1"/>
  <c r="F51" i="20"/>
  <c r="K51" i="20" s="1"/>
  <c r="F52" i="20"/>
  <c r="K52" i="20" s="1"/>
  <c r="F43" i="20"/>
  <c r="K43" i="20" s="1"/>
  <c r="F32" i="20"/>
  <c r="F33" i="20"/>
  <c r="K33" i="20" s="1"/>
  <c r="F34" i="20"/>
  <c r="K34" i="20" s="1"/>
  <c r="F35" i="20"/>
  <c r="K35" i="20" s="1"/>
  <c r="F36" i="20"/>
  <c r="K36" i="20" s="1"/>
  <c r="F37" i="20"/>
  <c r="K37" i="20" s="1"/>
  <c r="F38" i="20"/>
  <c r="K38" i="20" s="1"/>
  <c r="F39" i="20"/>
  <c r="K39" i="20" s="1"/>
  <c r="F40" i="20"/>
  <c r="F41" i="20"/>
  <c r="K41" i="20" s="1"/>
  <c r="F31" i="20"/>
  <c r="K31" i="20" s="1"/>
  <c r="K29" i="20"/>
  <c r="K28" i="20"/>
  <c r="L12" i="20"/>
  <c r="L14" i="20"/>
  <c r="L15" i="20"/>
  <c r="L16" i="20"/>
  <c r="L17" i="20"/>
  <c r="L18" i="20"/>
  <c r="L19" i="20"/>
  <c r="L20" i="20"/>
  <c r="L21" i="20"/>
  <c r="L22" i="20"/>
  <c r="L23" i="20"/>
  <c r="L24" i="20"/>
  <c r="L25" i="20"/>
  <c r="L26" i="20"/>
  <c r="L27" i="20"/>
  <c r="L13" i="20"/>
  <c r="L28" i="20"/>
  <c r="L29" i="20"/>
  <c r="L30" i="20"/>
  <c r="L31" i="20"/>
  <c r="L32" i="20"/>
  <c r="L33" i="20"/>
  <c r="L34" i="20"/>
  <c r="L35" i="20"/>
  <c r="L36" i="20"/>
  <c r="L37" i="20"/>
  <c r="L38" i="20"/>
  <c r="L39" i="20"/>
  <c r="L40" i="20"/>
  <c r="L41" i="20"/>
  <c r="L42" i="20"/>
  <c r="L43" i="20"/>
  <c r="L44" i="20"/>
  <c r="L45" i="20"/>
  <c r="L46" i="20"/>
  <c r="L47" i="20"/>
  <c r="L48" i="20"/>
  <c r="L49" i="20"/>
  <c r="L50" i="20"/>
  <c r="L51" i="20"/>
  <c r="L52" i="20"/>
  <c r="L54" i="20"/>
  <c r="L55" i="20"/>
  <c r="L56" i="20"/>
  <c r="L57" i="20"/>
  <c r="L58" i="20"/>
  <c r="L59" i="20"/>
  <c r="L61" i="20"/>
  <c r="L62" i="20"/>
  <c r="L63" i="20"/>
  <c r="L64" i="20"/>
  <c r="L65" i="20"/>
  <c r="L66" i="20"/>
  <c r="L67" i="20"/>
  <c r="L79" i="20"/>
  <c r="L80" i="20"/>
  <c r="L81" i="20"/>
  <c r="L82" i="20"/>
  <c r="L83" i="20"/>
  <c r="L85" i="20"/>
  <c r="L86" i="20"/>
  <c r="L87" i="20"/>
  <c r="L88" i="20"/>
  <c r="L89" i="20"/>
  <c r="L90" i="20"/>
  <c r="L91" i="20"/>
  <c r="L92" i="20"/>
  <c r="L93" i="20"/>
  <c r="L94" i="20"/>
  <c r="L95" i="20"/>
  <c r="L96" i="20"/>
  <c r="L97" i="20"/>
  <c r="L98" i="20"/>
  <c r="L99" i="20"/>
  <c r="L100" i="20"/>
  <c r="L101" i="20"/>
  <c r="L102" i="20"/>
  <c r="L103" i="20"/>
  <c r="L104" i="20"/>
  <c r="L105" i="20"/>
  <c r="L106" i="20"/>
  <c r="L107" i="20"/>
  <c r="L108" i="20"/>
  <c r="L109" i="20"/>
  <c r="L110" i="20"/>
  <c r="L111" i="20"/>
  <c r="L112" i="20"/>
  <c r="L113" i="20"/>
  <c r="L114" i="20"/>
  <c r="L115" i="20"/>
  <c r="L116" i="20"/>
  <c r="L117" i="20"/>
  <c r="L118" i="20"/>
  <c r="L119" i="20"/>
  <c r="L120" i="20"/>
  <c r="L121" i="20"/>
  <c r="L122" i="20"/>
  <c r="L123" i="20"/>
  <c r="L124" i="20"/>
  <c r="L125" i="20"/>
  <c r="L126" i="20"/>
  <c r="L127" i="20"/>
  <c r="L128" i="20"/>
  <c r="L129" i="20"/>
  <c r="L130" i="20"/>
  <c r="L131" i="20"/>
  <c r="L132" i="20"/>
  <c r="L133" i="20"/>
  <c r="L134" i="20"/>
  <c r="L135" i="20"/>
  <c r="L136" i="20"/>
  <c r="L137" i="20"/>
  <c r="L138" i="20"/>
  <c r="L139" i="20"/>
  <c r="L140" i="20"/>
  <c r="L141" i="20"/>
  <c r="L149" i="20"/>
  <c r="L158" i="20"/>
  <c r="L160" i="20"/>
  <c r="L164" i="20"/>
  <c r="L165" i="20"/>
  <c r="L166" i="20"/>
  <c r="L167" i="20"/>
  <c r="L168" i="20"/>
  <c r="L169" i="20"/>
  <c r="L171" i="20"/>
  <c r="L172" i="20"/>
  <c r="L182" i="20"/>
  <c r="L183" i="20"/>
  <c r="L185" i="20"/>
  <c r="L186" i="20"/>
  <c r="L206" i="20"/>
  <c r="L207" i="20"/>
  <c r="L208" i="20"/>
  <c r="L212" i="20"/>
  <c r="L217" i="20"/>
  <c r="L218" i="20"/>
  <c r="L219" i="20"/>
  <c r="L223" i="20"/>
  <c r="L227" i="20"/>
  <c r="L230" i="20"/>
  <c r="L234" i="20"/>
  <c r="L240" i="20"/>
  <c r="L246" i="20"/>
  <c r="L252" i="20"/>
  <c r="L256" i="20"/>
  <c r="L262" i="20"/>
  <c r="L265" i="20"/>
  <c r="L267" i="20"/>
  <c r="L268" i="20"/>
  <c r="L271" i="20"/>
  <c r="L273" i="20"/>
  <c r="L274" i="20"/>
  <c r="L276" i="20"/>
  <c r="L280" i="20"/>
  <c r="L285" i="20"/>
  <c r="L291" i="20"/>
  <c r="L299" i="20"/>
  <c r="L301" i="20"/>
  <c r="L302" i="20"/>
  <c r="L303" i="20"/>
  <c r="L304" i="20"/>
  <c r="L305" i="20"/>
  <c r="L306" i="20"/>
  <c r="L307" i="20"/>
  <c r="L308" i="20"/>
  <c r="L309" i="20"/>
  <c r="L310" i="20"/>
  <c r="L311" i="20"/>
  <c r="L312" i="20"/>
  <c r="L320" i="20"/>
  <c r="L325" i="20"/>
  <c r="L332" i="20"/>
  <c r="L339" i="20"/>
  <c r="L345" i="20"/>
  <c r="L348" i="20"/>
  <c r="L349" i="20"/>
  <c r="L360" i="20"/>
  <c r="L363" i="20"/>
  <c r="L365" i="20"/>
  <c r="L403" i="20"/>
  <c r="L422" i="20"/>
  <c r="L451" i="20"/>
  <c r="L515" i="20"/>
  <c r="L516" i="20"/>
  <c r="L563" i="20"/>
  <c r="L564" i="20"/>
  <c r="L589" i="20"/>
  <c r="L590" i="20"/>
  <c r="L594" i="20"/>
  <c r="L596" i="20"/>
  <c r="L597" i="20"/>
  <c r="L598" i="20"/>
  <c r="L599" i="20"/>
  <c r="L603" i="20"/>
  <c r="L606" i="20"/>
  <c r="L607" i="20"/>
  <c r="L608" i="20"/>
  <c r="L609" i="20"/>
  <c r="L612" i="20"/>
  <c r="L613" i="20"/>
  <c r="L614" i="20"/>
  <c r="L618" i="20"/>
  <c r="L620" i="20"/>
  <c r="L623" i="20"/>
  <c r="L624" i="20"/>
  <c r="L625" i="20"/>
  <c r="L629" i="20"/>
  <c r="L635" i="20"/>
  <c r="L636" i="20"/>
  <c r="L637" i="20"/>
  <c r="L638" i="20"/>
  <c r="L641" i="20"/>
  <c r="L644" i="20"/>
  <c r="L645" i="20"/>
  <c r="L646" i="20"/>
  <c r="L647" i="20"/>
  <c r="L648" i="20"/>
  <c r="L649" i="20"/>
  <c r="L650" i="20"/>
  <c r="L651" i="20"/>
  <c r="L652" i="20"/>
  <c r="L653" i="20"/>
  <c r="L654" i="20"/>
  <c r="L655" i="20"/>
  <c r="L657" i="20"/>
  <c r="L658" i="20"/>
  <c r="L659" i="20"/>
  <c r="L660" i="20"/>
  <c r="L661" i="20"/>
  <c r="L662" i="20"/>
  <c r="L663" i="20"/>
  <c r="L664" i="20"/>
  <c r="L665" i="20"/>
  <c r="L666" i="20"/>
  <c r="L667" i="20"/>
  <c r="L668" i="20"/>
  <c r="L669" i="20"/>
  <c r="L670" i="20"/>
  <c r="L671" i="20"/>
  <c r="L672" i="20"/>
  <c r="L673" i="20"/>
  <c r="L674" i="20"/>
  <c r="L675" i="20"/>
  <c r="L676" i="20"/>
  <c r="L677" i="20"/>
  <c r="L678" i="20"/>
  <c r="L679" i="20"/>
  <c r="L680" i="20"/>
  <c r="L681" i="20"/>
  <c r="L683" i="20"/>
  <c r="L684" i="20"/>
  <c r="L685" i="20"/>
  <c r="L688" i="20"/>
  <c r="L689" i="20"/>
  <c r="L690" i="20"/>
  <c r="L691" i="20"/>
  <c r="L693" i="20"/>
  <c r="L694" i="20"/>
  <c r="L695" i="20"/>
  <c r="L696" i="20"/>
  <c r="L697" i="20"/>
  <c r="L698" i="20"/>
  <c r="L699" i="20"/>
  <c r="L702" i="20"/>
  <c r="L703" i="20"/>
  <c r="L705" i="20"/>
  <c r="L706" i="20"/>
  <c r="L707" i="20"/>
  <c r="L709" i="20"/>
  <c r="L710" i="20"/>
  <c r="L711" i="20"/>
  <c r="L712" i="20"/>
  <c r="L715" i="20"/>
  <c r="L717" i="20"/>
  <c r="L718" i="20"/>
  <c r="L719" i="20"/>
  <c r="L720" i="20"/>
  <c r="L721" i="20"/>
  <c r="L722" i="20"/>
  <c r="L723" i="20"/>
  <c r="L724" i="20"/>
  <c r="L725" i="20"/>
  <c r="L726" i="20"/>
  <c r="L727" i="20"/>
  <c r="L728" i="20"/>
  <c r="L729" i="20"/>
  <c r="L730" i="20"/>
  <c r="L731" i="20"/>
  <c r="L732" i="20"/>
  <c r="L741" i="20"/>
  <c r="L742" i="20"/>
  <c r="L747" i="20"/>
  <c r="L750" i="20"/>
  <c r="L751" i="20"/>
  <c r="L752" i="20"/>
  <c r="L760" i="20"/>
  <c r="L762" i="20"/>
  <c r="L763" i="20"/>
  <c r="L764" i="20"/>
  <c r="L773" i="20"/>
  <c r="L774" i="20"/>
  <c r="L775" i="20"/>
  <c r="L776" i="20"/>
  <c r="L777" i="20"/>
  <c r="L778" i="20"/>
  <c r="L779" i="20"/>
  <c r="L780" i="20"/>
  <c r="L781" i="20"/>
  <c r="L782" i="20"/>
  <c r="L783" i="20"/>
  <c r="L784" i="20"/>
  <c r="L785" i="20"/>
  <c r="L786" i="20"/>
  <c r="L787" i="20"/>
  <c r="L788" i="20"/>
  <c r="L789" i="20"/>
  <c r="L790" i="20"/>
  <c r="L791" i="20"/>
  <c r="L792" i="20"/>
  <c r="L793" i="20"/>
  <c r="L794" i="20"/>
  <c r="L795" i="20"/>
  <c r="L796" i="20"/>
  <c r="L797" i="20"/>
  <c r="L798" i="20"/>
  <c r="L799" i="20"/>
  <c r="L800" i="20"/>
  <c r="L801" i="20"/>
  <c r="L802" i="20"/>
  <c r="L803" i="20"/>
  <c r="L804" i="20"/>
  <c r="L805" i="20"/>
  <c r="L806" i="20"/>
  <c r="L807" i="20"/>
  <c r="L808" i="20"/>
  <c r="L809" i="20"/>
  <c r="L810" i="20"/>
  <c r="L811" i="20"/>
  <c r="L812" i="20"/>
  <c r="L813" i="20"/>
  <c r="L814" i="20"/>
  <c r="L815" i="20"/>
  <c r="L816" i="20"/>
  <c r="L817" i="20"/>
  <c r="L818" i="20"/>
  <c r="L819" i="20"/>
  <c r="L820" i="20"/>
  <c r="L821" i="20"/>
  <c r="L822" i="20"/>
  <c r="L823" i="20"/>
  <c r="L824" i="20"/>
  <c r="L825" i="20"/>
  <c r="L826" i="20"/>
  <c r="L827" i="20"/>
  <c r="L828" i="20"/>
  <c r="L829" i="20"/>
  <c r="L832" i="20"/>
  <c r="L833" i="20"/>
  <c r="L834" i="20"/>
  <c r="L835" i="20"/>
  <c r="K12" i="20"/>
  <c r="K13" i="20"/>
  <c r="K14" i="20"/>
  <c r="K15" i="20"/>
  <c r="K16" i="20"/>
  <c r="K17" i="20"/>
  <c r="K18" i="20"/>
  <c r="K19" i="20"/>
  <c r="K20" i="20"/>
  <c r="K21" i="20"/>
  <c r="K22" i="20"/>
  <c r="K23" i="20"/>
  <c r="K24" i="20"/>
  <c r="K25" i="20"/>
  <c r="K26" i="20"/>
  <c r="K27" i="20"/>
  <c r="K30" i="20"/>
  <c r="K32" i="20"/>
  <c r="K40" i="20"/>
  <c r="K42" i="20"/>
  <c r="K66" i="20"/>
  <c r="K67" i="20"/>
  <c r="K68" i="20"/>
  <c r="K69" i="20"/>
  <c r="K70" i="20"/>
  <c r="K71" i="20"/>
  <c r="K73" i="20"/>
  <c r="K74" i="20"/>
  <c r="K75" i="20"/>
  <c r="K76" i="20"/>
  <c r="K77" i="20"/>
  <c r="K92" i="20"/>
  <c r="K96" i="20"/>
  <c r="K104" i="20"/>
  <c r="K108" i="20"/>
  <c r="K113" i="20"/>
  <c r="K126" i="20"/>
  <c r="K128" i="20"/>
  <c r="K129" i="20"/>
  <c r="K140" i="20"/>
  <c r="K141" i="20"/>
  <c r="K142" i="20"/>
  <c r="K143" i="20"/>
  <c r="K144" i="20"/>
  <c r="K145" i="20"/>
  <c r="K146" i="20"/>
  <c r="K147" i="20"/>
  <c r="K148" i="20"/>
  <c r="K149" i="20"/>
  <c r="K150" i="20"/>
  <c r="K151" i="20"/>
  <c r="K152" i="20"/>
  <c r="K153" i="20"/>
  <c r="K154" i="20"/>
  <c r="K155" i="20"/>
  <c r="K156" i="20"/>
  <c r="K157" i="20"/>
  <c r="K158" i="20"/>
  <c r="K159" i="20"/>
  <c r="K160" i="20"/>
  <c r="K161" i="20"/>
  <c r="K162" i="20"/>
  <c r="K167" i="20"/>
  <c r="K168" i="20"/>
  <c r="K176" i="20"/>
  <c r="K177" i="20"/>
  <c r="K178" i="20"/>
  <c r="K179" i="20"/>
  <c r="K180" i="20"/>
  <c r="K181" i="20"/>
  <c r="K182" i="20"/>
  <c r="K183" i="20"/>
  <c r="K184" i="20"/>
  <c r="K185" i="20"/>
  <c r="K186" i="20"/>
  <c r="K187" i="20"/>
  <c r="K188" i="20"/>
  <c r="K189" i="20"/>
  <c r="K191" i="20"/>
  <c r="K192" i="20"/>
  <c r="K194" i="20"/>
  <c r="K195" i="20"/>
  <c r="K196" i="20"/>
  <c r="K198" i="20"/>
  <c r="K199" i="20"/>
  <c r="K201" i="20"/>
  <c r="K202" i="20"/>
  <c r="K203" i="20"/>
  <c r="K206" i="20"/>
  <c r="K207" i="20"/>
  <c r="K208" i="20"/>
  <c r="K209" i="20"/>
  <c r="K212" i="20"/>
  <c r="K217" i="20"/>
  <c r="K218" i="20"/>
  <c r="K219" i="20"/>
  <c r="K223" i="20"/>
  <c r="K227" i="20"/>
  <c r="K230" i="20"/>
  <c r="K231" i="20"/>
  <c r="K232" i="20"/>
  <c r="K234" i="20"/>
  <c r="K235" i="20"/>
  <c r="K236" i="20"/>
  <c r="K237" i="20"/>
  <c r="K238" i="20"/>
  <c r="K239" i="20"/>
  <c r="K240" i="20"/>
  <c r="K241" i="20"/>
  <c r="K242" i="20"/>
  <c r="K243" i="20"/>
  <c r="K244" i="20"/>
  <c r="K245" i="20"/>
  <c r="K246" i="20"/>
  <c r="K247" i="20"/>
  <c r="K248" i="20"/>
  <c r="K249" i="20"/>
  <c r="K250" i="20"/>
  <c r="K251" i="20"/>
  <c r="K252" i="20"/>
  <c r="K253" i="20"/>
  <c r="K254" i="20"/>
  <c r="K255" i="20"/>
  <c r="K256" i="20"/>
  <c r="K257" i="20"/>
  <c r="K258" i="20"/>
  <c r="K259" i="20"/>
  <c r="K260" i="20"/>
  <c r="K261" i="20"/>
  <c r="K262" i="20"/>
  <c r="K265" i="20"/>
  <c r="K267" i="20"/>
  <c r="K268" i="20"/>
  <c r="K271" i="20"/>
  <c r="K272" i="20"/>
  <c r="K273" i="20"/>
  <c r="K274" i="20"/>
  <c r="K275" i="20"/>
  <c r="K276" i="20"/>
  <c r="K277" i="20"/>
  <c r="K278" i="20"/>
  <c r="K279" i="20"/>
  <c r="K280" i="20"/>
  <c r="K281" i="20"/>
  <c r="K282" i="20"/>
  <c r="K283" i="20"/>
  <c r="K284" i="20"/>
  <c r="K285" i="20"/>
  <c r="K286" i="20"/>
  <c r="K287" i="20"/>
  <c r="K288" i="20"/>
  <c r="K289" i="20"/>
  <c r="K290" i="20"/>
  <c r="K291" i="20"/>
  <c r="K292" i="20"/>
  <c r="K293" i="20"/>
  <c r="K294" i="20"/>
  <c r="K295" i="20"/>
  <c r="K296" i="20"/>
  <c r="K297" i="20"/>
  <c r="K298" i="20"/>
  <c r="K299" i="20"/>
  <c r="K300" i="20"/>
  <c r="K301" i="20"/>
  <c r="K302" i="20"/>
  <c r="K303" i="20"/>
  <c r="K304" i="20"/>
  <c r="K312" i="20"/>
  <c r="K313" i="20"/>
  <c r="K314" i="20"/>
  <c r="K315" i="20"/>
  <c r="K316" i="20"/>
  <c r="K317" i="20"/>
  <c r="K318" i="20"/>
  <c r="K319" i="20"/>
  <c r="K320" i="20"/>
  <c r="K321" i="20"/>
  <c r="K322" i="20"/>
  <c r="K323" i="20"/>
  <c r="K324" i="20"/>
  <c r="K325" i="20"/>
  <c r="K326" i="20"/>
  <c r="K327" i="20"/>
  <c r="K328" i="20"/>
  <c r="K329" i="20"/>
  <c r="K330" i="20"/>
  <c r="K331" i="20"/>
  <c r="K332" i="20"/>
  <c r="K333" i="20"/>
  <c r="K334" i="20"/>
  <c r="K335" i="20"/>
  <c r="K336" i="20"/>
  <c r="K337" i="20"/>
  <c r="K338" i="20"/>
  <c r="K339" i="20"/>
  <c r="K340" i="20"/>
  <c r="K341" i="20"/>
  <c r="K342" i="20"/>
  <c r="K343" i="20"/>
  <c r="K344" i="20"/>
  <c r="K345" i="20"/>
  <c r="K346" i="20"/>
  <c r="K347" i="20"/>
  <c r="K348" i="20"/>
  <c r="K349" i="20"/>
  <c r="K350" i="20"/>
  <c r="K351" i="20"/>
  <c r="K352" i="20"/>
  <c r="K353" i="20"/>
  <c r="K354" i="20"/>
  <c r="K355" i="20"/>
  <c r="K356" i="20"/>
  <c r="K357" i="20"/>
  <c r="K358" i="20"/>
  <c r="K359" i="20"/>
  <c r="K360" i="20"/>
  <c r="K361" i="20"/>
  <c r="K362" i="20"/>
  <c r="K363" i="20"/>
  <c r="K364" i="20"/>
  <c r="K365" i="20"/>
  <c r="K366" i="20"/>
  <c r="K367" i="20"/>
  <c r="K368" i="20"/>
  <c r="K369" i="20"/>
  <c r="K373" i="20"/>
  <c r="K374" i="20"/>
  <c r="K375" i="20"/>
  <c r="K376" i="20"/>
  <c r="K377" i="20"/>
  <c r="K378" i="20"/>
  <c r="K379" i="20"/>
  <c r="K380" i="20"/>
  <c r="K381" i="20"/>
  <c r="K382" i="20"/>
  <c r="K383" i="20"/>
  <c r="K384" i="20"/>
  <c r="K385" i="20"/>
  <c r="K386" i="20"/>
  <c r="K387" i="20"/>
  <c r="K388" i="20"/>
  <c r="K389" i="20"/>
  <c r="K390" i="20"/>
  <c r="K391" i="20"/>
  <c r="K392" i="20"/>
  <c r="K393" i="20"/>
  <c r="K394" i="20"/>
  <c r="K395" i="20"/>
  <c r="K396" i="20"/>
  <c r="K397" i="20"/>
  <c r="K398" i="20"/>
  <c r="K399" i="20"/>
  <c r="K400" i="20"/>
  <c r="K401" i="20"/>
  <c r="K402" i="20"/>
  <c r="K403" i="20"/>
  <c r="K404" i="20"/>
  <c r="K405" i="20"/>
  <c r="K406" i="20"/>
  <c r="K407" i="20"/>
  <c r="K408" i="20"/>
  <c r="K409" i="20"/>
  <c r="K410" i="20"/>
  <c r="K411" i="20"/>
  <c r="K412" i="20"/>
  <c r="K413" i="20"/>
  <c r="K414" i="20"/>
  <c r="K415" i="20"/>
  <c r="K416" i="20"/>
  <c r="K417" i="20"/>
  <c r="K418" i="20"/>
  <c r="K419" i="20"/>
  <c r="K420" i="20"/>
  <c r="K421" i="20"/>
  <c r="K422" i="20"/>
  <c r="K423" i="20"/>
  <c r="K424" i="20"/>
  <c r="K425" i="20"/>
  <c r="K426" i="20"/>
  <c r="K427" i="20"/>
  <c r="K428" i="20"/>
  <c r="K429" i="20"/>
  <c r="K430" i="20"/>
  <c r="K431" i="20"/>
  <c r="K432" i="20"/>
  <c r="K433" i="20"/>
  <c r="K434" i="20"/>
  <c r="K435" i="20"/>
  <c r="K436" i="20"/>
  <c r="K437" i="20"/>
  <c r="K438" i="20"/>
  <c r="K439" i="20"/>
  <c r="K440" i="20"/>
  <c r="K441" i="20"/>
  <c r="K442" i="20"/>
  <c r="K443" i="20"/>
  <c r="K444" i="20"/>
  <c r="K445" i="20"/>
  <c r="K446" i="20"/>
  <c r="K447" i="20"/>
  <c r="K448" i="20"/>
  <c r="K449" i="20"/>
  <c r="K450" i="20"/>
  <c r="K451" i="20"/>
  <c r="K452" i="20"/>
  <c r="K453" i="20"/>
  <c r="K454" i="20"/>
  <c r="K455" i="20"/>
  <c r="K456" i="20"/>
  <c r="K457" i="20"/>
  <c r="K458" i="20"/>
  <c r="K459" i="20"/>
  <c r="K460" i="20"/>
  <c r="K461" i="20"/>
  <c r="K462" i="20"/>
  <c r="K463" i="20"/>
  <c r="K464" i="20"/>
  <c r="K465" i="20"/>
  <c r="K466" i="20"/>
  <c r="K467" i="20"/>
  <c r="K468" i="20"/>
  <c r="K469" i="20"/>
  <c r="K470" i="20"/>
  <c r="K471" i="20"/>
  <c r="K472" i="20"/>
  <c r="K473" i="20"/>
  <c r="K474" i="20"/>
  <c r="K475" i="20"/>
  <c r="K476" i="20"/>
  <c r="K477" i="20"/>
  <c r="K478" i="20"/>
  <c r="K479" i="20"/>
  <c r="K480" i="20"/>
  <c r="K481" i="20"/>
  <c r="K482" i="20"/>
  <c r="K483" i="20"/>
  <c r="K484" i="20"/>
  <c r="K485" i="20"/>
  <c r="K486" i="20"/>
  <c r="K487" i="20"/>
  <c r="K488" i="20"/>
  <c r="K489" i="20"/>
  <c r="K490" i="20"/>
  <c r="K491" i="20"/>
  <c r="K492" i="20"/>
  <c r="K493" i="20"/>
  <c r="K494" i="20"/>
  <c r="K495" i="20"/>
  <c r="K496" i="20"/>
  <c r="K497" i="20"/>
  <c r="K498" i="20"/>
  <c r="K499" i="20"/>
  <c r="K500" i="20"/>
  <c r="K501" i="20"/>
  <c r="K502" i="20"/>
  <c r="K503" i="20"/>
  <c r="K504" i="20"/>
  <c r="K505" i="20"/>
  <c r="K506" i="20"/>
  <c r="K507" i="20"/>
  <c r="K508" i="20"/>
  <c r="K509" i="20"/>
  <c r="K510" i="20"/>
  <c r="K511" i="20"/>
  <c r="K512" i="20"/>
  <c r="K513" i="20"/>
  <c r="K514" i="20"/>
  <c r="K515" i="20"/>
  <c r="K516" i="20"/>
  <c r="K517" i="20"/>
  <c r="K518" i="20"/>
  <c r="K519" i="20"/>
  <c r="K520" i="20"/>
  <c r="K521" i="20"/>
  <c r="K522" i="20"/>
  <c r="K523" i="20"/>
  <c r="K524" i="20"/>
  <c r="K525" i="20"/>
  <c r="K526" i="20"/>
  <c r="K527" i="20"/>
  <c r="K528" i="20"/>
  <c r="K529" i="20"/>
  <c r="K530" i="20"/>
  <c r="K531" i="20"/>
  <c r="K532" i="20"/>
  <c r="K533" i="20"/>
  <c r="K534" i="20"/>
  <c r="K535" i="20"/>
  <c r="K536" i="20"/>
  <c r="K537" i="20"/>
  <c r="K538" i="20"/>
  <c r="K539" i="20"/>
  <c r="K540" i="20"/>
  <c r="K541" i="20"/>
  <c r="K542" i="20"/>
  <c r="K543" i="20"/>
  <c r="K544" i="20"/>
  <c r="K545" i="20"/>
  <c r="K546" i="20"/>
  <c r="K547" i="20"/>
  <c r="K548" i="20"/>
  <c r="K549" i="20"/>
  <c r="K550" i="20"/>
  <c r="K551" i="20"/>
  <c r="K552" i="20"/>
  <c r="K553" i="20"/>
  <c r="K554" i="20"/>
  <c r="K555" i="20"/>
  <c r="K556" i="20"/>
  <c r="K557" i="20"/>
  <c r="K558" i="20"/>
  <c r="K559" i="20"/>
  <c r="K560" i="20"/>
  <c r="K561" i="20"/>
  <c r="K562" i="20"/>
  <c r="K563" i="20"/>
  <c r="K564" i="20"/>
  <c r="K565" i="20"/>
  <c r="K566" i="20"/>
  <c r="K567" i="20"/>
  <c r="K568" i="20"/>
  <c r="K569" i="20"/>
  <c r="K570" i="20"/>
  <c r="K571" i="20"/>
  <c r="K572" i="20"/>
  <c r="K573" i="20"/>
  <c r="K574" i="20"/>
  <c r="K575" i="20"/>
  <c r="K576" i="20"/>
  <c r="K577" i="20"/>
  <c r="K578" i="20"/>
  <c r="K579" i="20"/>
  <c r="K580" i="20"/>
  <c r="K581" i="20"/>
  <c r="K582" i="20"/>
  <c r="K590" i="20"/>
  <c r="K596" i="20"/>
  <c r="K598" i="20"/>
  <c r="K599" i="20"/>
  <c r="K603" i="20"/>
  <c r="K606" i="20"/>
  <c r="K609" i="20"/>
  <c r="K612" i="20"/>
  <c r="K613" i="20"/>
  <c r="K614" i="20"/>
  <c r="K618" i="20"/>
  <c r="K620" i="20"/>
  <c r="K623" i="20"/>
  <c r="K624" i="20"/>
  <c r="K625" i="20"/>
  <c r="K629" i="20"/>
  <c r="K635" i="20"/>
  <c r="K636" i="20"/>
  <c r="K637" i="20"/>
  <c r="K641" i="20"/>
  <c r="K645" i="20"/>
  <c r="K646" i="20"/>
  <c r="K647" i="20"/>
  <c r="K648" i="20"/>
  <c r="K649" i="20"/>
  <c r="K650" i="20"/>
  <c r="K651" i="20"/>
  <c r="K654" i="20"/>
  <c r="K655" i="20"/>
  <c r="K656" i="20"/>
  <c r="K657" i="20"/>
  <c r="K658" i="20"/>
  <c r="K659" i="20"/>
  <c r="K660" i="20"/>
  <c r="K662" i="20"/>
  <c r="K663" i="20"/>
  <c r="K664" i="20"/>
  <c r="K665" i="20"/>
  <c r="K666" i="20"/>
  <c r="K667" i="20"/>
  <c r="K668" i="20"/>
  <c r="K671" i="20"/>
  <c r="K672" i="20"/>
  <c r="K673" i="20"/>
  <c r="K674" i="20"/>
  <c r="K677" i="20"/>
  <c r="K679" i="20"/>
  <c r="K680" i="20"/>
  <c r="K681" i="20"/>
  <c r="K683" i="20"/>
  <c r="K684" i="20"/>
  <c r="K688" i="20"/>
  <c r="K689" i="20"/>
  <c r="K690" i="20"/>
  <c r="K691" i="20"/>
  <c r="K692" i="20"/>
  <c r="K693" i="20"/>
  <c r="K694" i="20"/>
  <c r="K695" i="20"/>
  <c r="K697" i="20"/>
  <c r="K699" i="20"/>
  <c r="K703" i="20"/>
  <c r="K705" i="20"/>
  <c r="K706" i="20"/>
  <c r="K707" i="20"/>
  <c r="K711" i="20"/>
  <c r="K718" i="20"/>
  <c r="K719" i="20"/>
  <c r="K720" i="20"/>
  <c r="K721" i="20"/>
  <c r="K722" i="20"/>
  <c r="K723" i="20"/>
  <c r="K724" i="20"/>
  <c r="K725" i="20"/>
  <c r="K726" i="20"/>
  <c r="K727" i="20"/>
  <c r="K728" i="20"/>
  <c r="K729" i="20"/>
  <c r="K730" i="20"/>
  <c r="K731" i="20"/>
  <c r="K732" i="20"/>
  <c r="K733" i="20"/>
  <c r="K734" i="20"/>
  <c r="K735" i="20"/>
  <c r="K736" i="20"/>
  <c r="K737" i="20"/>
  <c r="K738" i="20"/>
  <c r="K739" i="20"/>
  <c r="K740" i="20"/>
  <c r="K741" i="20"/>
  <c r="K742" i="20"/>
  <c r="K743" i="20"/>
  <c r="K744" i="20"/>
  <c r="K745" i="20"/>
  <c r="K746" i="20"/>
  <c r="K747" i="20"/>
  <c r="K748" i="20"/>
  <c r="K749" i="20"/>
  <c r="K750" i="20"/>
  <c r="K751" i="20"/>
  <c r="K752" i="20"/>
  <c r="K753" i="20"/>
  <c r="K754" i="20"/>
  <c r="K755" i="20"/>
  <c r="K756" i="20"/>
  <c r="K757" i="20"/>
  <c r="K758" i="20"/>
  <c r="K759" i="20"/>
  <c r="K760" i="20"/>
  <c r="K761" i="20"/>
  <c r="K762" i="20"/>
  <c r="K763" i="20"/>
  <c r="K764" i="20"/>
  <c r="K765" i="20"/>
  <c r="K766" i="20"/>
  <c r="K768" i="20"/>
  <c r="K771" i="20"/>
  <c r="K772" i="20"/>
  <c r="K773" i="20"/>
  <c r="K774" i="20"/>
  <c r="K775" i="20"/>
  <c r="K776" i="20"/>
  <c r="K778" i="20"/>
  <c r="K779" i="20"/>
  <c r="K780" i="20"/>
  <c r="K783" i="20"/>
  <c r="K785" i="20"/>
  <c r="K786" i="20"/>
  <c r="K787" i="20"/>
  <c r="K788" i="20"/>
  <c r="K792" i="20"/>
  <c r="K794" i="20"/>
  <c r="K795" i="20"/>
  <c r="K796" i="20"/>
  <c r="K797" i="20"/>
  <c r="K798" i="20"/>
  <c r="K799" i="20"/>
  <c r="K801" i="20"/>
  <c r="K802" i="20"/>
  <c r="K805" i="20"/>
  <c r="K806" i="20"/>
  <c r="K807" i="20"/>
  <c r="K808" i="20"/>
  <c r="K809" i="20"/>
  <c r="K810" i="20"/>
  <c r="K813" i="20"/>
  <c r="K814" i="20"/>
  <c r="K815" i="20"/>
  <c r="K816" i="20"/>
  <c r="K822" i="20"/>
  <c r="K823" i="20"/>
  <c r="K824" i="20"/>
  <c r="K825" i="20"/>
  <c r="K829" i="20"/>
  <c r="K830" i="20"/>
  <c r="K831" i="20"/>
  <c r="K833" i="20"/>
  <c r="K834" i="20"/>
  <c r="K835" i="20"/>
  <c r="K11" i="20"/>
  <c r="L11" i="20"/>
  <c r="J12" i="20"/>
  <c r="J13" i="20"/>
  <c r="J14" i="20"/>
  <c r="J15" i="20"/>
  <c r="J16" i="20"/>
  <c r="J17" i="20"/>
  <c r="J18" i="20"/>
  <c r="J19" i="20"/>
  <c r="J20" i="20"/>
  <c r="J21" i="20"/>
  <c r="J22" i="20"/>
  <c r="J23" i="20"/>
  <c r="J24" i="20"/>
  <c r="J25" i="20"/>
  <c r="J26" i="20"/>
  <c r="J27" i="20"/>
  <c r="J28" i="20"/>
  <c r="J29" i="20"/>
  <c r="J30" i="20"/>
  <c r="J31" i="20"/>
  <c r="J32" i="20"/>
  <c r="J33" i="20"/>
  <c r="J34" i="20"/>
  <c r="J35" i="20"/>
  <c r="J36" i="20"/>
  <c r="J37" i="20"/>
  <c r="J38" i="20"/>
  <c r="J39" i="20"/>
  <c r="J40" i="20"/>
  <c r="J41" i="20"/>
  <c r="J42" i="20"/>
  <c r="J43" i="20"/>
  <c r="J44" i="20"/>
  <c r="J45" i="20"/>
  <c r="J46" i="20"/>
  <c r="J47" i="20"/>
  <c r="J48" i="20"/>
  <c r="J49" i="20"/>
  <c r="J50" i="20"/>
  <c r="J51" i="20"/>
  <c r="J52" i="20"/>
  <c r="J54" i="20"/>
  <c r="J55" i="20"/>
  <c r="J56" i="20"/>
  <c r="J57" i="20"/>
  <c r="J58" i="20"/>
  <c r="J59" i="20"/>
  <c r="J61" i="20"/>
  <c r="J62" i="20"/>
  <c r="J63" i="20"/>
  <c r="J64" i="20"/>
  <c r="J65" i="20"/>
  <c r="J66" i="20"/>
  <c r="J67" i="20"/>
  <c r="J68" i="20"/>
  <c r="J69" i="20"/>
  <c r="J70" i="20"/>
  <c r="J71" i="20"/>
  <c r="J73" i="20"/>
  <c r="J74" i="20"/>
  <c r="J75" i="20"/>
  <c r="J76" i="20"/>
  <c r="J77" i="20"/>
  <c r="J79" i="20"/>
  <c r="J80" i="20"/>
  <c r="J81" i="20"/>
  <c r="J82" i="20"/>
  <c r="J83" i="20"/>
  <c r="J85" i="20"/>
  <c r="J86" i="20"/>
  <c r="J87" i="20"/>
  <c r="J88" i="20"/>
  <c r="J89" i="20"/>
  <c r="J90" i="20"/>
  <c r="J91" i="20"/>
  <c r="J92" i="20"/>
  <c r="J93" i="20"/>
  <c r="J94" i="20"/>
  <c r="J95" i="20"/>
  <c r="J96" i="20"/>
  <c r="J97" i="20"/>
  <c r="J98" i="20"/>
  <c r="J99" i="20"/>
  <c r="J100" i="20"/>
  <c r="J101" i="20"/>
  <c r="J102" i="20"/>
  <c r="J103" i="20"/>
  <c r="J104" i="20"/>
  <c r="J105" i="20"/>
  <c r="J106" i="20"/>
  <c r="J107" i="20"/>
  <c r="J108" i="20"/>
  <c r="J109" i="20"/>
  <c r="J110" i="20"/>
  <c r="J111" i="20"/>
  <c r="J112" i="20"/>
  <c r="J113" i="20"/>
  <c r="J114" i="20"/>
  <c r="J115" i="20"/>
  <c r="J116" i="20"/>
  <c r="J117" i="20"/>
  <c r="J118" i="20"/>
  <c r="J119" i="20"/>
  <c r="J120" i="20"/>
  <c r="J121" i="20"/>
  <c r="J122" i="20"/>
  <c r="J123" i="20"/>
  <c r="J124" i="20"/>
  <c r="J125" i="20"/>
  <c r="J126" i="20"/>
  <c r="J127" i="20"/>
  <c r="J128" i="20"/>
  <c r="J129" i="20"/>
  <c r="J130" i="20"/>
  <c r="J131" i="20"/>
  <c r="J132" i="20"/>
  <c r="J133" i="20"/>
  <c r="J134" i="20"/>
  <c r="J135" i="20"/>
  <c r="J136" i="20"/>
  <c r="J137" i="20"/>
  <c r="J138" i="20"/>
  <c r="J139" i="20"/>
  <c r="J140" i="20"/>
  <c r="J141" i="20"/>
  <c r="J142" i="20"/>
  <c r="J143" i="20"/>
  <c r="J144" i="20"/>
  <c r="J145" i="20"/>
  <c r="J146" i="20"/>
  <c r="J147" i="20"/>
  <c r="J148" i="20"/>
  <c r="J149" i="20"/>
  <c r="J150" i="20"/>
  <c r="J151" i="20"/>
  <c r="J152" i="20"/>
  <c r="J153" i="20"/>
  <c r="J154" i="20"/>
  <c r="J155" i="20"/>
  <c r="J156" i="20"/>
  <c r="J157" i="20"/>
  <c r="J158" i="20"/>
  <c r="J159" i="20"/>
  <c r="J160" i="20"/>
  <c r="J161" i="20"/>
  <c r="J162" i="20"/>
  <c r="J163" i="20"/>
  <c r="J164" i="20"/>
  <c r="J165" i="20"/>
  <c r="J166" i="20"/>
  <c r="J167" i="20"/>
  <c r="J168" i="20"/>
  <c r="J169" i="20"/>
  <c r="J170" i="20"/>
  <c r="J171" i="20"/>
  <c r="J172" i="20"/>
  <c r="J176" i="20"/>
  <c r="J177" i="20"/>
  <c r="J178" i="20"/>
  <c r="J179" i="20"/>
  <c r="J180" i="20"/>
  <c r="J181" i="20"/>
  <c r="J182" i="20"/>
  <c r="J183" i="20"/>
  <c r="J184" i="20"/>
  <c r="J185" i="20"/>
  <c r="J186" i="20"/>
  <c r="J187" i="20"/>
  <c r="J188" i="20"/>
  <c r="J189" i="20"/>
  <c r="J191" i="20"/>
  <c r="J192" i="20"/>
  <c r="J194" i="20"/>
  <c r="J195" i="20"/>
  <c r="J196" i="20"/>
  <c r="J198" i="20"/>
  <c r="J199" i="20"/>
  <c r="J201" i="20"/>
  <c r="J202" i="20"/>
  <c r="J203" i="20"/>
  <c r="J204" i="20"/>
  <c r="J205" i="20"/>
  <c r="J206" i="20"/>
  <c r="J207" i="20"/>
  <c r="J208" i="20"/>
  <c r="J209" i="20"/>
  <c r="J210" i="20"/>
  <c r="J211" i="20"/>
  <c r="J212" i="20"/>
  <c r="J213" i="20"/>
  <c r="J214" i="20"/>
  <c r="J215" i="20"/>
  <c r="J216" i="20"/>
  <c r="J217" i="20"/>
  <c r="J218" i="20"/>
  <c r="J219" i="20"/>
  <c r="J220" i="20"/>
  <c r="J221" i="20"/>
  <c r="J222" i="20"/>
  <c r="J223" i="20"/>
  <c r="J224" i="20"/>
  <c r="J225" i="20"/>
  <c r="J226" i="20"/>
  <c r="J227" i="20"/>
  <c r="J228" i="20"/>
  <c r="J229" i="20"/>
  <c r="J230" i="20"/>
  <c r="J231" i="20"/>
  <c r="J232" i="20"/>
  <c r="J233" i="20"/>
  <c r="J234" i="20"/>
  <c r="J235" i="20"/>
  <c r="J236" i="20"/>
  <c r="J237" i="20"/>
  <c r="J238" i="20"/>
  <c r="J239" i="20"/>
  <c r="J240" i="20"/>
  <c r="J241" i="20"/>
  <c r="J242" i="20"/>
  <c r="J243" i="20"/>
  <c r="J244" i="20"/>
  <c r="J245" i="20"/>
  <c r="J246" i="20"/>
  <c r="J247" i="20"/>
  <c r="J248" i="20"/>
  <c r="J249" i="20"/>
  <c r="J250" i="20"/>
  <c r="J251" i="20"/>
  <c r="J252" i="20"/>
  <c r="J253" i="20"/>
  <c r="J254" i="20"/>
  <c r="J255" i="20"/>
  <c r="J256" i="20"/>
  <c r="J257" i="20"/>
  <c r="J258" i="20"/>
  <c r="J259" i="20"/>
  <c r="J260" i="20"/>
  <c r="J261" i="20"/>
  <c r="J262" i="20"/>
  <c r="J263" i="20"/>
  <c r="J264" i="20"/>
  <c r="J265" i="20"/>
  <c r="J266" i="20"/>
  <c r="J267" i="20"/>
  <c r="J268" i="20"/>
  <c r="J269" i="20"/>
  <c r="J270" i="20"/>
  <c r="J271" i="20"/>
  <c r="J272" i="20"/>
  <c r="J273" i="20"/>
  <c r="J274" i="20"/>
  <c r="J275" i="20"/>
  <c r="J276" i="20"/>
  <c r="J277" i="20"/>
  <c r="J278" i="20"/>
  <c r="J279" i="20"/>
  <c r="J280" i="20"/>
  <c r="J281" i="20"/>
  <c r="J282" i="20"/>
  <c r="J283" i="20"/>
  <c r="J284" i="20"/>
  <c r="J285" i="20"/>
  <c r="J286" i="20"/>
  <c r="J287" i="20"/>
  <c r="J288" i="20"/>
  <c r="J289" i="20"/>
  <c r="J290" i="20"/>
  <c r="J291" i="20"/>
  <c r="J292" i="20"/>
  <c r="J293" i="20"/>
  <c r="J294" i="20"/>
  <c r="J295" i="20"/>
  <c r="J296" i="20"/>
  <c r="J297" i="20"/>
  <c r="J298" i="20"/>
  <c r="J299" i="20"/>
  <c r="J300" i="20"/>
  <c r="J301" i="20"/>
  <c r="J302" i="20"/>
  <c r="J303" i="20"/>
  <c r="J304" i="20"/>
  <c r="J305" i="20"/>
  <c r="J306" i="20"/>
  <c r="J307" i="20"/>
  <c r="J308" i="20"/>
  <c r="J309" i="20"/>
  <c r="J310" i="20"/>
  <c r="J311" i="20"/>
  <c r="J312" i="20"/>
  <c r="J313" i="20"/>
  <c r="J314" i="20"/>
  <c r="J315" i="20"/>
  <c r="J316" i="20"/>
  <c r="J317" i="20"/>
  <c r="J318" i="20"/>
  <c r="J319" i="20"/>
  <c r="J320" i="20"/>
  <c r="J321" i="20"/>
  <c r="J322" i="20"/>
  <c r="J323" i="20"/>
  <c r="J324" i="20"/>
  <c r="J325" i="20"/>
  <c r="J326" i="20"/>
  <c r="J327" i="20"/>
  <c r="J328" i="20"/>
  <c r="J329" i="20"/>
  <c r="J330" i="20"/>
  <c r="J331" i="20"/>
  <c r="J332" i="20"/>
  <c r="J333" i="20"/>
  <c r="J334" i="20"/>
  <c r="J335" i="20"/>
  <c r="J336" i="20"/>
  <c r="J337" i="20"/>
  <c r="J338" i="20"/>
  <c r="J339" i="20"/>
  <c r="J340" i="20"/>
  <c r="J341" i="20"/>
  <c r="J342" i="20"/>
  <c r="J343" i="20"/>
  <c r="J344" i="20"/>
  <c r="J345" i="20"/>
  <c r="J346" i="20"/>
  <c r="J347" i="20"/>
  <c r="J348" i="20"/>
  <c r="J349" i="20"/>
  <c r="J350" i="20"/>
  <c r="J351" i="20"/>
  <c r="J352" i="20"/>
  <c r="J353" i="20"/>
  <c r="J354" i="20"/>
  <c r="J355" i="20"/>
  <c r="J356" i="20"/>
  <c r="J357" i="20"/>
  <c r="J358" i="20"/>
  <c r="J359" i="20"/>
  <c r="J360" i="20"/>
  <c r="J361" i="20"/>
  <c r="J362" i="20"/>
  <c r="J363" i="20"/>
  <c r="J364" i="20"/>
  <c r="J365" i="20"/>
  <c r="J366" i="20"/>
  <c r="J367" i="20"/>
  <c r="J368" i="20"/>
  <c r="J369" i="20"/>
  <c r="J373" i="20"/>
  <c r="J374" i="20"/>
  <c r="J375" i="20"/>
  <c r="J376" i="20"/>
  <c r="J378" i="20"/>
  <c r="J379" i="20"/>
  <c r="J380" i="20"/>
  <c r="J381" i="20"/>
  <c r="J382" i="20"/>
  <c r="J383" i="20"/>
  <c r="J384" i="20"/>
  <c r="J385" i="20"/>
  <c r="J386" i="20"/>
  <c r="J387" i="20"/>
  <c r="J388" i="20"/>
  <c r="J389" i="20"/>
  <c r="J390" i="20"/>
  <c r="J391" i="20"/>
  <c r="J392" i="20"/>
  <c r="J393" i="20"/>
  <c r="J394" i="20"/>
  <c r="J395" i="20"/>
  <c r="J396" i="20"/>
  <c r="J397" i="20"/>
  <c r="J398" i="20"/>
  <c r="J399" i="20"/>
  <c r="J400" i="20"/>
  <c r="J401" i="20"/>
  <c r="J402" i="20"/>
  <c r="J403" i="20"/>
  <c r="J404" i="20"/>
  <c r="J405" i="20"/>
  <c r="J406" i="20"/>
  <c r="J407" i="20"/>
  <c r="J408" i="20"/>
  <c r="J409" i="20"/>
  <c r="J410" i="20"/>
  <c r="J411" i="20"/>
  <c r="J412" i="20"/>
  <c r="J413" i="20"/>
  <c r="J414" i="20"/>
  <c r="J415" i="20"/>
  <c r="J416" i="20"/>
  <c r="J417" i="20"/>
  <c r="J418" i="20"/>
  <c r="J419" i="20"/>
  <c r="J420" i="20"/>
  <c r="J421" i="20"/>
  <c r="J422" i="20"/>
  <c r="J423" i="20"/>
  <c r="J424" i="20"/>
  <c r="J425" i="20"/>
  <c r="J426" i="20"/>
  <c r="J427" i="20"/>
  <c r="J428" i="20"/>
  <c r="J429" i="20"/>
  <c r="J430" i="20"/>
  <c r="J431" i="20"/>
  <c r="J432" i="20"/>
  <c r="J433" i="20"/>
  <c r="J434" i="20"/>
  <c r="J435" i="20"/>
  <c r="J436" i="20"/>
  <c r="J437" i="20"/>
  <c r="J438" i="20"/>
  <c r="J439" i="20"/>
  <c r="J440" i="20"/>
  <c r="J441" i="20"/>
  <c r="J442" i="20"/>
  <c r="J443" i="20"/>
  <c r="J444" i="20"/>
  <c r="J445" i="20"/>
  <c r="J446" i="20"/>
  <c r="J447" i="20"/>
  <c r="J448" i="20"/>
  <c r="J449" i="20"/>
  <c r="J450" i="20"/>
  <c r="J451" i="20"/>
  <c r="J452" i="20"/>
  <c r="J453" i="20"/>
  <c r="J454" i="20"/>
  <c r="J455" i="20"/>
  <c r="J456" i="20"/>
  <c r="J457" i="20"/>
  <c r="J458" i="20"/>
  <c r="J459" i="20"/>
  <c r="J460" i="20"/>
  <c r="J461" i="20"/>
  <c r="J462" i="20"/>
  <c r="J463" i="20"/>
  <c r="J464" i="20"/>
  <c r="J465" i="20"/>
  <c r="J466" i="20"/>
  <c r="J467" i="20"/>
  <c r="J468" i="20"/>
  <c r="J469" i="20"/>
  <c r="J470" i="20"/>
  <c r="J471" i="20"/>
  <c r="J472" i="20"/>
  <c r="J473" i="20"/>
  <c r="J474" i="20"/>
  <c r="J475" i="20"/>
  <c r="J476" i="20"/>
  <c r="J477" i="20"/>
  <c r="J478" i="20"/>
  <c r="J479" i="20"/>
  <c r="J480" i="20"/>
  <c r="J481" i="20"/>
  <c r="J482" i="20"/>
  <c r="J483" i="20"/>
  <c r="J484" i="20"/>
  <c r="J485" i="20"/>
  <c r="J486" i="20"/>
  <c r="J487" i="20"/>
  <c r="J488" i="20"/>
  <c r="J489" i="20"/>
  <c r="J490" i="20"/>
  <c r="J491" i="20"/>
  <c r="J492" i="20"/>
  <c r="J493" i="20"/>
  <c r="J494" i="20"/>
  <c r="J495" i="20"/>
  <c r="J496" i="20"/>
  <c r="J497" i="20"/>
  <c r="J498" i="20"/>
  <c r="J499" i="20"/>
  <c r="J500" i="20"/>
  <c r="J501" i="20"/>
  <c r="J502" i="20"/>
  <c r="J503" i="20"/>
  <c r="J504" i="20"/>
  <c r="J505" i="20"/>
  <c r="J506" i="20"/>
  <c r="J507" i="20"/>
  <c r="J508" i="20"/>
  <c r="J509" i="20"/>
  <c r="J510" i="20"/>
  <c r="J511" i="20"/>
  <c r="J512" i="20"/>
  <c r="J513" i="20"/>
  <c r="J514" i="20"/>
  <c r="J515" i="20"/>
  <c r="J516" i="20"/>
  <c r="J517" i="20"/>
  <c r="J518" i="20"/>
  <c r="J519" i="20"/>
  <c r="J520" i="20"/>
  <c r="J521" i="20"/>
  <c r="J522" i="20"/>
  <c r="J523" i="20"/>
  <c r="J524" i="20"/>
  <c r="J525" i="20"/>
  <c r="J526" i="20"/>
  <c r="J527" i="20"/>
  <c r="J528" i="20"/>
  <c r="J529" i="20"/>
  <c r="J530" i="20"/>
  <c r="J531" i="20"/>
  <c r="J532" i="20"/>
  <c r="J533" i="20"/>
  <c r="J534" i="20"/>
  <c r="J535" i="20"/>
  <c r="J536" i="20"/>
  <c r="J537" i="20"/>
  <c r="J538" i="20"/>
  <c r="J539" i="20"/>
  <c r="J540" i="20"/>
  <c r="J541" i="20"/>
  <c r="J542" i="20"/>
  <c r="J543" i="20"/>
  <c r="J544" i="20"/>
  <c r="J545" i="20"/>
  <c r="J546" i="20"/>
  <c r="J547" i="20"/>
  <c r="J548" i="20"/>
  <c r="J549" i="20"/>
  <c r="J550" i="20"/>
  <c r="J551" i="20"/>
  <c r="J552" i="20"/>
  <c r="J553" i="20"/>
  <c r="J554" i="20"/>
  <c r="J555" i="20"/>
  <c r="J556" i="20"/>
  <c r="J557" i="20"/>
  <c r="J558" i="20"/>
  <c r="J559" i="20"/>
  <c r="J560" i="20"/>
  <c r="J561" i="20"/>
  <c r="J562" i="20"/>
  <c r="J563" i="20"/>
  <c r="J564" i="20"/>
  <c r="J565" i="20"/>
  <c r="J566" i="20"/>
  <c r="J567" i="20"/>
  <c r="J568" i="20"/>
  <c r="J569" i="20"/>
  <c r="J570" i="20"/>
  <c r="J571" i="20"/>
  <c r="J572" i="20"/>
  <c r="J573" i="20"/>
  <c r="J574" i="20"/>
  <c r="J575" i="20"/>
  <c r="J576" i="20"/>
  <c r="J577" i="20"/>
  <c r="J578" i="20"/>
  <c r="J579" i="20"/>
  <c r="J580" i="20"/>
  <c r="J581" i="20"/>
  <c r="J582" i="20"/>
  <c r="J586" i="20"/>
  <c r="J587" i="20"/>
  <c r="J588" i="20"/>
  <c r="J589" i="20"/>
  <c r="J590" i="20"/>
  <c r="J591" i="20"/>
  <c r="J592" i="20"/>
  <c r="J593" i="20"/>
  <c r="J594" i="20"/>
  <c r="J595" i="20"/>
  <c r="J596" i="20"/>
  <c r="J597" i="20"/>
  <c r="J598" i="20"/>
  <c r="J599" i="20"/>
  <c r="J600" i="20"/>
  <c r="J601" i="20"/>
  <c r="J602" i="20"/>
  <c r="J603" i="20"/>
  <c r="J604" i="20"/>
  <c r="J605" i="20"/>
  <c r="J606" i="20"/>
  <c r="J607" i="20"/>
  <c r="J608" i="20"/>
  <c r="J609" i="20"/>
  <c r="J610" i="20"/>
  <c r="J611" i="20"/>
  <c r="J612" i="20"/>
  <c r="J613" i="20"/>
  <c r="J614" i="20"/>
  <c r="J617" i="20"/>
  <c r="J618" i="20"/>
  <c r="J619" i="20"/>
  <c r="J620" i="20"/>
  <c r="J621" i="20"/>
  <c r="J622" i="20"/>
  <c r="J623" i="20"/>
  <c r="J624" i="20"/>
  <c r="J625" i="20"/>
  <c r="J626" i="20"/>
  <c r="J627" i="20"/>
  <c r="J628" i="20"/>
  <c r="J629" i="20"/>
  <c r="J630" i="20"/>
  <c r="J631" i="20"/>
  <c r="J632" i="20"/>
  <c r="J633" i="20"/>
  <c r="J634" i="20"/>
  <c r="J635" i="20"/>
  <c r="J636" i="20"/>
  <c r="J637" i="20"/>
  <c r="J638" i="20"/>
  <c r="J639" i="20"/>
  <c r="J640" i="20"/>
  <c r="J641" i="20"/>
  <c r="J642" i="20"/>
  <c r="J643" i="20"/>
  <c r="J644" i="20"/>
  <c r="J645" i="20"/>
  <c r="J646" i="20"/>
  <c r="J647" i="20"/>
  <c r="J648" i="20"/>
  <c r="J649" i="20"/>
  <c r="J650" i="20"/>
  <c r="J651" i="20"/>
  <c r="J652" i="20"/>
  <c r="J653" i="20"/>
  <c r="J654" i="20"/>
  <c r="J655" i="20"/>
  <c r="J656" i="20"/>
  <c r="J657" i="20"/>
  <c r="J658" i="20"/>
  <c r="J659" i="20"/>
  <c r="J660" i="20"/>
  <c r="J661" i="20"/>
  <c r="J662" i="20"/>
  <c r="J663" i="20"/>
  <c r="J664" i="20"/>
  <c r="J665" i="20"/>
  <c r="J666" i="20"/>
  <c r="J667" i="20"/>
  <c r="J668" i="20"/>
  <c r="J669" i="20"/>
  <c r="J670" i="20"/>
  <c r="J671" i="20"/>
  <c r="J672" i="20"/>
  <c r="J673" i="20"/>
  <c r="J674" i="20"/>
  <c r="J675" i="20"/>
  <c r="J676" i="20"/>
  <c r="J677" i="20"/>
  <c r="J678" i="20"/>
  <c r="J679" i="20"/>
  <c r="J680" i="20"/>
  <c r="J681" i="20"/>
  <c r="J682" i="20"/>
  <c r="J683" i="20"/>
  <c r="J684" i="20"/>
  <c r="J685" i="20"/>
  <c r="J686" i="20"/>
  <c r="J687" i="20"/>
  <c r="J688" i="20"/>
  <c r="J689" i="20"/>
  <c r="J690" i="20"/>
  <c r="J691" i="20"/>
  <c r="J692" i="20"/>
  <c r="J693" i="20"/>
  <c r="J694" i="20"/>
  <c r="J695" i="20"/>
  <c r="J696" i="20"/>
  <c r="J697" i="20"/>
  <c r="J698" i="20"/>
  <c r="J699" i="20"/>
  <c r="J700" i="20"/>
  <c r="J701" i="20"/>
  <c r="J702" i="20"/>
  <c r="J703" i="20"/>
  <c r="J704" i="20"/>
  <c r="J705" i="20"/>
  <c r="J706" i="20"/>
  <c r="J707" i="20"/>
  <c r="J708" i="20"/>
  <c r="J709" i="20"/>
  <c r="J710" i="20"/>
  <c r="J711" i="20"/>
  <c r="J712" i="20"/>
  <c r="J713" i="20"/>
  <c r="J714" i="20"/>
  <c r="J715" i="20"/>
  <c r="J716" i="20"/>
  <c r="J717" i="20"/>
  <c r="J718" i="20"/>
  <c r="J719" i="20"/>
  <c r="J720" i="20"/>
  <c r="J721" i="20"/>
  <c r="J722" i="20"/>
  <c r="J723" i="20"/>
  <c r="J724" i="20"/>
  <c r="J725" i="20"/>
  <c r="J726" i="20"/>
  <c r="J727" i="20"/>
  <c r="J728" i="20"/>
  <c r="J729" i="20"/>
  <c r="J730" i="20"/>
  <c r="J731" i="20"/>
  <c r="J732" i="20"/>
  <c r="J733" i="20"/>
  <c r="J734" i="20"/>
  <c r="J735" i="20"/>
  <c r="J736" i="20"/>
  <c r="J737" i="20"/>
  <c r="J738" i="20"/>
  <c r="J739" i="20"/>
  <c r="J740" i="20"/>
  <c r="J741" i="20"/>
  <c r="J742" i="20"/>
  <c r="J743" i="20"/>
  <c r="J744" i="20"/>
  <c r="J745" i="20"/>
  <c r="J746" i="20"/>
  <c r="J747" i="20"/>
  <c r="J748" i="20"/>
  <c r="J749" i="20"/>
  <c r="J750" i="20"/>
  <c r="J751" i="20"/>
  <c r="J752" i="20"/>
  <c r="J753" i="20"/>
  <c r="J754" i="20"/>
  <c r="J755" i="20"/>
  <c r="J756" i="20"/>
  <c r="J757" i="20"/>
  <c r="J758" i="20"/>
  <c r="J759" i="20"/>
  <c r="J760" i="20"/>
  <c r="J761" i="20"/>
  <c r="J762" i="20"/>
  <c r="J763" i="20"/>
  <c r="J764" i="20"/>
  <c r="J765" i="20"/>
  <c r="J766" i="20"/>
  <c r="J767" i="20"/>
  <c r="J768" i="20"/>
  <c r="J769" i="20"/>
  <c r="J770" i="20"/>
  <c r="J771" i="20"/>
  <c r="J772" i="20"/>
  <c r="J773" i="20"/>
  <c r="J774" i="20"/>
  <c r="J775" i="20"/>
  <c r="J776" i="20"/>
  <c r="J777" i="20"/>
  <c r="J778" i="20"/>
  <c r="J779" i="20"/>
  <c r="J780" i="20"/>
  <c r="J781" i="20"/>
  <c r="J782" i="20"/>
  <c r="J783" i="20"/>
  <c r="J784" i="20"/>
  <c r="J785" i="20"/>
  <c r="J786" i="20"/>
  <c r="J787" i="20"/>
  <c r="J788" i="20"/>
  <c r="J789" i="20"/>
  <c r="J790" i="20"/>
  <c r="J791" i="20"/>
  <c r="J792" i="20"/>
  <c r="J793" i="20"/>
  <c r="J794" i="20"/>
  <c r="J795" i="20"/>
  <c r="J796" i="20"/>
  <c r="J797" i="20"/>
  <c r="J798" i="20"/>
  <c r="J799" i="20"/>
  <c r="J800" i="20"/>
  <c r="J801" i="20"/>
  <c r="J802" i="20"/>
  <c r="J803" i="20"/>
  <c r="J804" i="20"/>
  <c r="J805" i="20"/>
  <c r="J806" i="20"/>
  <c r="J807" i="20"/>
  <c r="J808" i="20"/>
  <c r="J809" i="20"/>
  <c r="J810" i="20"/>
  <c r="J811" i="20"/>
  <c r="J812" i="20"/>
  <c r="J813" i="20"/>
  <c r="J814" i="20"/>
  <c r="J815" i="20"/>
  <c r="J816" i="20"/>
  <c r="J817" i="20"/>
  <c r="J818" i="20"/>
  <c r="J819" i="20"/>
  <c r="J820" i="20"/>
  <c r="J821" i="20"/>
  <c r="J822" i="20"/>
  <c r="J823" i="20"/>
  <c r="J824" i="20"/>
  <c r="J825" i="20"/>
  <c r="J826" i="20"/>
  <c r="J828" i="20"/>
  <c r="J829" i="20"/>
  <c r="J830" i="20"/>
  <c r="J831" i="20"/>
  <c r="J832" i="20"/>
  <c r="J833" i="20"/>
  <c r="J834" i="20"/>
  <c r="J835" i="20"/>
  <c r="F682" i="20" l="1"/>
  <c r="K682" i="20" s="1"/>
  <c r="F617" i="20"/>
  <c r="K617" i="20" s="1"/>
  <c r="L587" i="20"/>
  <c r="G643" i="20"/>
  <c r="L643" i="20" s="1"/>
  <c r="L687" i="20"/>
  <c r="L714" i="20"/>
  <c r="L686" i="20"/>
  <c r="K770" i="20"/>
  <c r="L713" i="20"/>
  <c r="G631" i="20"/>
  <c r="F631" i="20" s="1"/>
  <c r="K631" i="20" s="1"/>
  <c r="K769" i="20"/>
  <c r="G610" i="20"/>
  <c r="G611" i="20"/>
  <c r="L611" i="20" s="1"/>
  <c r="L610" i="20"/>
  <c r="K621" i="20"/>
  <c r="F622" i="20"/>
  <c r="K622" i="20" s="1"/>
  <c r="L626" i="20"/>
  <c r="L621" i="20"/>
  <c r="L593" i="20"/>
  <c r="L592" i="20"/>
  <c r="G605" i="20"/>
  <c r="L605" i="20" s="1"/>
  <c r="G622" i="20"/>
  <c r="L622" i="20" s="1"/>
  <c r="G627" i="20"/>
  <c r="L627" i="20" s="1"/>
  <c r="G634" i="20"/>
  <c r="F591" i="20"/>
  <c r="K591" i="20" s="1"/>
  <c r="F593" i="20"/>
  <c r="G619" i="20"/>
  <c r="F626" i="20"/>
  <c r="K626" i="20" s="1"/>
  <c r="G633" i="20"/>
  <c r="L619" i="20"/>
  <c r="F619" i="20"/>
  <c r="K619" i="20" s="1"/>
  <c r="F632" i="20"/>
  <c r="K632" i="20" s="1"/>
  <c r="L632" i="20"/>
  <c r="L595" i="20"/>
  <c r="F610" i="20"/>
  <c r="F588" i="20"/>
  <c r="K588" i="20" s="1"/>
  <c r="G601" i="20"/>
  <c r="L600" i="20"/>
  <c r="L601" i="20"/>
  <c r="G639" i="20"/>
  <c r="L716" i="20"/>
  <c r="L708" i="20"/>
  <c r="F700" i="20"/>
  <c r="K767" i="20"/>
  <c r="F701" i="20"/>
  <c r="F639" i="20"/>
  <c r="J583" i="20"/>
  <c r="G704" i="20"/>
  <c r="L704" i="20" s="1"/>
  <c r="K704" i="20"/>
  <c r="F643" i="20"/>
  <c r="K643" i="20" s="1"/>
  <c r="K638" i="20"/>
  <c r="F702" i="20"/>
  <c r="K702" i="20" s="1"/>
  <c r="L831" i="20"/>
  <c r="K216" i="20"/>
  <c r="K215" i="20"/>
  <c r="F269" i="20"/>
  <c r="G269" i="20" s="1"/>
  <c r="L269" i="20" s="1"/>
  <c r="K233" i="20"/>
  <c r="F270" i="20"/>
  <c r="G270" i="20" s="1"/>
  <c r="L270" i="20" s="1"/>
  <c r="K204" i="20"/>
  <c r="L209" i="20"/>
  <c r="K210" i="20"/>
  <c r="K228" i="20"/>
  <c r="K266" i="20"/>
  <c r="F205" i="20"/>
  <c r="K205" i="20" s="1"/>
  <c r="G214" i="20"/>
  <c r="L214" i="20" s="1"/>
  <c r="L377" i="20"/>
  <c r="L370" i="20" s="1"/>
  <c r="F213" i="20"/>
  <c r="K213" i="20" s="1"/>
  <c r="K211" i="20"/>
  <c r="J173" i="20"/>
  <c r="J370" i="20"/>
  <c r="G263" i="20"/>
  <c r="L263" i="20" s="1"/>
  <c r="G229" i="20"/>
  <c r="L229" i="20" s="1"/>
  <c r="K370" i="20"/>
  <c r="G205" i="20"/>
  <c r="L205" i="20" s="1"/>
  <c r="L204" i="20"/>
  <c r="L210" i="20"/>
  <c r="G211" i="20"/>
  <c r="J7" i="20"/>
  <c r="G225" i="20"/>
  <c r="G264" i="20"/>
  <c r="L264" i="20" s="1"/>
  <c r="F220" i="20"/>
  <c r="L7" i="20"/>
  <c r="K7" i="20"/>
  <c r="K701" i="20" l="1"/>
  <c r="G701" i="20"/>
  <c r="L701" i="20" s="1"/>
  <c r="G602" i="20"/>
  <c r="F601" i="20"/>
  <c r="K601" i="20" s="1"/>
  <c r="K270" i="20"/>
  <c r="L631" i="20"/>
  <c r="F605" i="20"/>
  <c r="K605" i="20" s="1"/>
  <c r="F604" i="20"/>
  <c r="K604" i="20" s="1"/>
  <c r="K593" i="20"/>
  <c r="F633" i="20"/>
  <c r="K633" i="20" s="1"/>
  <c r="L633" i="20"/>
  <c r="G628" i="20"/>
  <c r="L628" i="20" s="1"/>
  <c r="F627" i="20"/>
  <c r="F628" i="20" s="1"/>
  <c r="F634" i="20"/>
  <c r="K634" i="20" s="1"/>
  <c r="L634" i="20"/>
  <c r="K610" i="20"/>
  <c r="F611" i="20"/>
  <c r="K611" i="20" s="1"/>
  <c r="G640" i="20"/>
  <c r="L639" i="20"/>
  <c r="F640" i="20"/>
  <c r="K639" i="20"/>
  <c r="K269" i="20"/>
  <c r="G700" i="20"/>
  <c r="L700" i="20" s="1"/>
  <c r="K700" i="20"/>
  <c r="M7" i="20"/>
  <c r="M370" i="20"/>
  <c r="J6" i="20"/>
  <c r="K220" i="20"/>
  <c r="F221" i="20"/>
  <c r="F226" i="20"/>
  <c r="F225" i="20"/>
  <c r="K225" i="20" s="1"/>
  <c r="L225" i="20"/>
  <c r="L211" i="20"/>
  <c r="G213" i="20"/>
  <c r="L213" i="20" s="1"/>
  <c r="L602" i="20" l="1"/>
  <c r="F602" i="20"/>
  <c r="K602" i="20" s="1"/>
  <c r="K627" i="20"/>
  <c r="G630" i="20"/>
  <c r="L630" i="20" s="1"/>
  <c r="K628" i="20"/>
  <c r="F630" i="20"/>
  <c r="K630" i="20" s="1"/>
  <c r="L583" i="20"/>
  <c r="L640" i="20"/>
  <c r="G642" i="20"/>
  <c r="L642" i="20" s="1"/>
  <c r="F642" i="20"/>
  <c r="K642" i="20" s="1"/>
  <c r="K640" i="20"/>
  <c r="K583" i="20" s="1"/>
  <c r="K226" i="20"/>
  <c r="G226" i="20"/>
  <c r="L226" i="20" s="1"/>
  <c r="K221" i="20"/>
  <c r="F224" i="20"/>
  <c r="K224" i="20" s="1"/>
  <c r="F222" i="20"/>
  <c r="K222" i="20" s="1"/>
  <c r="G221" i="20"/>
  <c r="M584" i="20" l="1"/>
  <c r="M585" i="20" s="1"/>
  <c r="K173" i="20"/>
  <c r="K6" i="20" s="1"/>
  <c r="L221" i="20"/>
  <c r="G224" i="20"/>
  <c r="L224" i="20" s="1"/>
  <c r="G222" i="20"/>
  <c r="L222" i="20" s="1"/>
  <c r="L173" i="20" l="1"/>
  <c r="M173" i="20" s="1"/>
  <c r="L6" i="20" l="1"/>
  <c r="M6" i="20" s="1"/>
</calcChain>
</file>

<file path=xl/comments1.xml><?xml version="1.0" encoding="utf-8"?>
<comments xmlns="http://schemas.openxmlformats.org/spreadsheetml/2006/main">
  <authors>
    <author>Author</author>
  </authors>
  <commentList>
    <comment ref="A214" authorId="0" shapeId="0">
      <text>
        <r>
          <rPr>
            <b/>
            <sz val="9"/>
            <color indexed="81"/>
            <rFont val="Tahoma"/>
            <family val="2"/>
          </rPr>
          <t>Author:</t>
        </r>
        <r>
          <rPr>
            <sz val="9"/>
            <color indexed="81"/>
            <rFont val="Tahoma"/>
            <family val="2"/>
          </rPr>
          <t xml:space="preserve">
tưới dính bám sai
</t>
        </r>
      </text>
    </comment>
  </commentList>
</comments>
</file>

<file path=xl/sharedStrings.xml><?xml version="1.0" encoding="utf-8"?>
<sst xmlns="http://schemas.openxmlformats.org/spreadsheetml/2006/main" count="4346" uniqueCount="901">
  <si>
    <t>STT</t>
  </si>
  <si>
    <t>GIAO THÔNG</t>
  </si>
  <si>
    <t>II</t>
  </si>
  <si>
    <t>III</t>
  </si>
  <si>
    <t>IV</t>
  </si>
  <si>
    <t>m</t>
  </si>
  <si>
    <t>Thuế tài nguyên, phí bảo vệ môi trường/Natural resources tax, environmental protection fee</t>
  </si>
  <si>
    <t>Bảo hiểm công trình/Construction insurance</t>
  </si>
  <si>
    <t>(1)</t>
  </si>
  <si>
    <t>(2)</t>
  </si>
  <si>
    <t>(3)</t>
  </si>
  <si>
    <t xml:space="preserve">  TRAFFIC</t>
  </si>
  <si>
    <t>Drainage pipe KD&lt;1.5m</t>
  </si>
  <si>
    <t>Mã số</t>
  </si>
  <si>
    <t>II.1</t>
  </si>
  <si>
    <t>Route 2</t>
  </si>
  <si>
    <t>Route 2 Ngoc Lac Town (Km0+00 - Km1+403.7)</t>
  </si>
  <si>
    <t xml:space="preserve">  Route 2 Ngoc Lien commune (Km1+403.7 - Km2+667.4)</t>
  </si>
  <si>
    <t>II.2</t>
  </si>
  <si>
    <t>Sewer KD&gt;1.5 (KD = 5.4m)</t>
  </si>
  <si>
    <t>Route 2 Ngoc Lac Town (Km2+667.4-Km3+891)</t>
  </si>
  <si>
    <t>Drainage area KD &gt; 1.5 (KD = 2.4m)</t>
  </si>
  <si>
    <t>Route 3 Ngoc Lac Town (Km0+00 - Km2+678.92)</t>
  </si>
  <si>
    <t>III.1</t>
  </si>
  <si>
    <t>bộ</t>
  </si>
  <si>
    <t>cái</t>
  </si>
  <si>
    <t>Description</t>
  </si>
  <si>
    <t>Amount (VAT excluded)</t>
  </si>
  <si>
    <t>100m3/1km</t>
  </si>
  <si>
    <t>Roadbed</t>
  </si>
  <si>
    <t>Digging and dredging mud by machine, level I soil</t>
  </si>
  <si>
    <t>Digging the roadbed + leveling with a 1.25m3 excavator - level III soil</t>
  </si>
  <si>
    <t>Digging trenches and C4 stone molds with a hammer (5% volume)</t>
  </si>
  <si>
    <t>Shovel rocks onto transport vehicles</t>
  </si>
  <si>
    <t>Digging the mold with a 1.25m3 excavator - level III soil</t>
  </si>
  <si>
    <t>Digging a trench with a 1.25m3 excavator - level III soil</t>
  </si>
  <si>
    <t>Build the road base by machine, density Y/C K = 0.95</t>
  </si>
  <si>
    <t>Cover the roadbed with a Y/C compactness machine K = 0.98</t>
  </si>
  <si>
    <t>Buy K95 soil to build</t>
  </si>
  <si>
    <t>Buy K98 soil to build</t>
  </si>
  <si>
    <t>Transporting soil by 10 ton dump truck - first 1km</t>
  </si>
  <si>
    <t>Transporting soil by 10 ton dump truck - next 9km</t>
  </si>
  <si>
    <t>Transporting C1 soil to the first 1km distance</t>
  </si>
  <si>
    <t>Transporting dumped rock to the first 1km distance</t>
  </si>
  <si>
    <t>Rotate C3 excavated soil to backfill within 300m</t>
  </si>
  <si>
    <t>Leveling soil and waste rock (30% of the volume of soil dumped)</t>
  </si>
  <si>
    <t>Leveling landfill land</t>
  </si>
  <si>
    <t>Leveling waste rock</t>
  </si>
  <si>
    <t>Grass</t>
  </si>
  <si>
    <t>Transport further 10m</t>
  </si>
  <si>
    <t>Road surface</t>
  </si>
  <si>
    <t>Carpeting asphalt concrete pavement (Type C19, R19) - compacted pavement thickness 7cm</t>
  </si>
  <si>
    <t>Production of asphalt concrete using a 120T/h mixing plant (mixing plant in Cam Giang commune, Cam Thuy district)</t>
  </si>
  <si>
    <t>Transporting black crushed stone and asphalt concrete from the mixing station to the dumping location at a distance of 4km, 12T dump truck</t>
  </si>
  <si>
    <t>Transporting asphalt concrete for a further distance of 22.68km</t>
  </si>
  <si>
    <t>Class I gravel foundation</t>
  </si>
  <si>
    <t>Type II gravel aggregate foundation</t>
  </si>
  <si>
    <t>Swipe to connect the horizontal line</t>
  </si>
  <si>
    <t>Reinforcing negative slopes</t>
  </si>
  <si>
    <t>Dig the base of the tray with a level II earth machine</t>
  </si>
  <si>
    <t>Roof reinforced concrete, M200, 1x2 stone</t>
  </si>
  <si>
    <t>Concrete tray base, M150, 1x2 stone</t>
  </si>
  <si>
    <t>Gravel for foundation padding</t>
  </si>
  <si>
    <t>PVC pipe D30mm</t>
  </si>
  <si>
    <t>Roof formwork</t>
  </si>
  <si>
    <t>Reinforcement groove</t>
  </si>
  <si>
    <t>Groove concrete M200, stone 1x2</t>
  </si>
  <si>
    <t>Groove formwork</t>
  </si>
  <si>
    <t>Joint filler concrete M100</t>
  </si>
  <si>
    <t>Reinforcement of groove body D&lt;=10mm</t>
  </si>
  <si>
    <t>Reinforcement of groove body D&gt;10mm</t>
  </si>
  <si>
    <t>Trench body formwork</t>
  </si>
  <si>
    <t>Knitting panels</t>
  </si>
  <si>
    <t>Concrete woven panels, M300, stone 1x2</t>
  </si>
  <si>
    <t>Steel plate reinforcement D&lt;=10mm</t>
  </si>
  <si>
    <t>Reinforcement of woven panels D&gt;10mm</t>
  </si>
  <si>
    <t>Knitted plate formwork</t>
  </si>
  <si>
    <t>Install woven panels</t>
  </si>
  <si>
    <t>Autumn pit</t>
  </si>
  <si>
    <t>Concrete sump body M250</t>
  </si>
  <si>
    <t>Reinforcement of sump body D&lt;=10mm</t>
  </si>
  <si>
    <t>Reinforcement of sump body D&gt;10mm</t>
  </si>
  <si>
    <t>Formwork for sump body</t>
  </si>
  <si>
    <t>Component casting yard</t>
  </si>
  <si>
    <t>Surface level with casting yard, 3cm thick, XM M100 mortar</t>
  </si>
  <si>
    <t>Leveling and compacting the casting yard soil, density Y/C K = 0.85</t>
  </si>
  <si>
    <t>Target piles, H piles, Km piles</t>
  </si>
  <si>
    <t>Reinforced concrete target pile 0.15x0.15x1.25</t>
  </si>
  <si>
    <t>Concrete km column</t>
  </si>
  <si>
    <t>Pile H 0.2x0.2x1</t>
  </si>
  <si>
    <t>Waterproof nylon</t>
  </si>
  <si>
    <t>Reflective sheet 8x8cm</t>
  </si>
  <si>
    <t>Notice board</t>
  </si>
  <si>
    <t>Digging soil to construct signs</t>
  </si>
  <si>
    <t>Foundation concrete M150</t>
  </si>
  <si>
    <t>Install columns and triangle signs with sides of 87.5cm</t>
  </si>
  <si>
    <t>Installation of columns and rectangular signs: 1x1.6m</t>
  </si>
  <si>
    <t>The column supporting sign D90 is painted white and red</t>
  </si>
  <si>
    <t>Triangular sign A=875mm</t>
  </si>
  <si>
    <t>Rectangular sign 1.6x1m</t>
  </si>
  <si>
    <t>Road paint</t>
  </si>
  <si>
    <t>Paint the road markings with reflective thermoplastic paint, 2mm thick</t>
  </si>
  <si>
    <t>Paint the road markings with reflective thermoplastic paint, 4mm thick</t>
  </si>
  <si>
    <t>Warning signal light</t>
  </si>
  <si>
    <t>M100 foundation lining concrete</t>
  </si>
  <si>
    <t>Foundation concrete M200</t>
  </si>
  <si>
    <t>Reinforcement d&lt;= 10mm</t>
  </si>
  <si>
    <t>Formwork foundation</t>
  </si>
  <si>
    <t>Foundation column frame 4xM24x600</t>
  </si>
  <si>
    <t>Support columns are made of galvanized elliptical cast aluminum</t>
  </si>
  <si>
    <t>Yellow traffic warning light D300 (includes 20W solar battery, power conversion controller and flash control, 2m thick aluminum sign KT=70x70cm)</t>
  </si>
  <si>
    <t>Dry Accu 12DVC-24A</t>
  </si>
  <si>
    <t>Installing lights (NC 4.0/7)</t>
  </si>
  <si>
    <t>Corrugated iron railing</t>
  </si>
  <si>
    <t>Corrugated iron railing with round column D113.5x4m; H=2m, column step 3m</t>
  </si>
  <si>
    <t>Construction of corrugated iron using piling machine</t>
  </si>
  <si>
    <t>Foundation pit part</t>
  </si>
  <si>
    <t>Demolition of brick and stone structures with a 3m3/min pneumatic hammer</t>
  </si>
  <si>
    <t>Digging the foundation by hand, &gt;3m wide, ≤2m deep - level III soil</t>
  </si>
  <si>
    <t>Digging the foundation with a 1.25m3 excavator, ≤6m wide - level III soil</t>
  </si>
  <si>
    <t>Concrete reinforced sewer bed, M200 sewer yard, 1x2 stone</t>
  </si>
  <si>
    <t>Culvert body foundation concrete, M200, 1x2 stone, B&lt;2.5m</t>
  </si>
  <si>
    <t>Concrete tray base, wing wall foundation, sump, M200, 1x2 stone, B&gt;2.5m</t>
  </si>
  <si>
    <t>Sewer body</t>
  </si>
  <si>
    <t>Concrete body, wing wall, M200 culvert body, 1x2 stone</t>
  </si>
  <si>
    <t>M250 abutment cap concrete, 1x2 stone</t>
  </si>
  <si>
    <t>Steel reinforcement plate d&lt;=10 mm</t>
  </si>
  <si>
    <t>Steel reinforcement plate d&gt;10 mm</t>
  </si>
  <si>
    <t>Abutment cap reinforcement d&lt;=10mm</t>
  </si>
  <si>
    <t>Abutment cap reinforcement d&gt;10mm</t>
  </si>
  <si>
    <t>Abutment cap formwork</t>
  </si>
  <si>
    <t>Slab formwork</t>
  </si>
  <si>
    <t>Sewer pipes</t>
  </si>
  <si>
    <t>Concrete sewer pipe M250, stone 1x2</t>
  </si>
  <si>
    <t>Reinforcing sewer pipe diameter ≤10mm</t>
  </si>
  <si>
    <t>Sewer pipe metal formwork</t>
  </si>
  <si>
    <t>XM mortar for filling joints M100</t>
  </si>
  <si>
    <t>Apply waterproof plastic</t>
  </si>
  <si>
    <t>Resin-impregnated oil paper covers the joints</t>
  </si>
  <si>
    <t>Install sewer pipes</t>
  </si>
  <si>
    <t>Finishing works</t>
  </si>
  <si>
    <t>Cover the soil with a 70kg hand-held soil compactor, density Y/C K = 0.95</t>
  </si>
  <si>
    <t>Transporting asphalt concrete for the first 4km distance</t>
  </si>
  <si>
    <t>Irrigation to adhere to road surface, emulsion resin CRS1, TCN 1kg/m2</t>
  </si>
  <si>
    <t>m3</t>
  </si>
  <si>
    <t>100m3</t>
  </si>
  <si>
    <t>tấn</t>
  </si>
  <si>
    <t>100m</t>
  </si>
  <si>
    <t>m2</t>
  </si>
  <si>
    <t>100m2</t>
  </si>
  <si>
    <t>kg</t>
  </si>
  <si>
    <t>Construction land clearance</t>
  </si>
  <si>
    <t>1m3</t>
  </si>
  <si>
    <t>Digging foundation holes manually</t>
  </si>
  <si>
    <t>Organic dredging by machine, level I soil</t>
  </si>
  <si>
    <t>Transporting C1 soil, distance 1.81 km</t>
  </si>
  <si>
    <t>Transporting C1 soil to a further distance of 0.81Km</t>
  </si>
  <si>
    <t>Transporting asphalt concrete the next 22km distance</t>
  </si>
  <si>
    <t>XM M100 mortar mortar reinforcement trench</t>
  </si>
  <si>
    <t>Bearing groove</t>
  </si>
  <si>
    <t>Trench body concrete M250</t>
  </si>
  <si>
    <t>Fill the foundation hole manually</t>
  </si>
  <si>
    <t>Concrete body, wing wall, M200 culvert body, 1x2 stone (H&lt;6.0m, β&lt;0.45m)</t>
  </si>
  <si>
    <t>Concrete beam for culvert surface M300, stone 1x2</t>
  </si>
  <si>
    <t>Straight wall wooden formwork - thickness ≤45</t>
  </si>
  <si>
    <t>Install woven panels and sewer pipes</t>
  </si>
  <si>
    <t>Dredging organic soil by machine, level I soil</t>
  </si>
  <si>
    <t>Buy land at Quang Phu land mine, Tho Lap commune, Tho Xuan district</t>
  </si>
  <si>
    <t>Transporting backfill soil from Quang Phu land mine, Tho Lap commune, Tho Xuan district, distance 14.41km</t>
  </si>
  <si>
    <t>Transporting soil by 10 ton dump truck - next 4.41km</t>
  </si>
  <si>
    <t>Transporting C1 soil 1.81km away</t>
  </si>
  <si>
    <t>Production of asphalt concrete using a 120T/h mixing plant (mixing plant in Cam Giang commune, Cam Th district</t>
  </si>
  <si>
    <t>Transporting asphalt concrete for a distance of 22km</t>
  </si>
  <si>
    <t>H pile</t>
  </si>
  <si>
    <t>Demolition of unreinforced concrete structures with a 3m3/min pneumatic hammer</t>
  </si>
  <si>
    <t>Digging a strip foundation by hand, &gt;3m wide, ≤2m deep - level III soil</t>
  </si>
  <si>
    <t>Foundation formwork, yard</t>
  </si>
  <si>
    <t>Plastic-impregnated oil paper glued in 2 layers</t>
  </si>
  <si>
    <t>Concrete struts M200 (LxBxH=1.8x0.5x0.5m)</t>
  </si>
  <si>
    <t>Abutment foundation formwork</t>
  </si>
  <si>
    <t>Formwork for abutment body and struts</t>
  </si>
  <si>
    <t>Bridge abutment caps</t>
  </si>
  <si>
    <t>Wing wall</t>
  </si>
  <si>
    <t>Concrete reinforced sewer yard M200, stone 1x2</t>
  </si>
  <si>
    <t>Body formwork, wing walls, struts</t>
  </si>
  <si>
    <t>The offloading</t>
  </si>
  <si>
    <t>Concrete load reduction slab, M250, 1x2 stone</t>
  </si>
  <si>
    <t>Reinforcement plate reduces load d&lt;=10 mm</t>
  </si>
  <si>
    <t>Reinforcing steel plate reduces load d&gt;10 mm</t>
  </si>
  <si>
    <t>Reinforcing plate reduces load d&gt;18 mm</t>
  </si>
  <si>
    <t>Formwork reduces load</t>
  </si>
  <si>
    <t>Plate beams</t>
  </si>
  <si>
    <t>Plate beam formwork</t>
  </si>
  <si>
    <t>Steel plate beam d&lt;=10 mm</t>
  </si>
  <si>
    <t>Reinforcing steel beam d&gt;18 mm</t>
  </si>
  <si>
    <t>Install plate beams weighing &lt;3T</t>
  </si>
  <si>
    <t>Bridge deck, wheel guard</t>
  </si>
  <si>
    <t>Concrete wheel guard, M300, 1x2 stone</t>
  </si>
  <si>
    <t>Reinforced wheel flange, diameter ≤10mm</t>
  </si>
  <si>
    <t>Reinforced wheel flange, diameter ≤18mm</t>
  </si>
  <si>
    <t>Formwork to block the cake</t>
  </si>
  <si>
    <t>Reinforce sewer yard</t>
  </si>
  <si>
    <t>Concrete foundation, tray base, M200, 1x2 stone, B&lt;2.5m</t>
  </si>
  <si>
    <t>Concrete reinforced sewer bed M200, stone 1x2</t>
  </si>
  <si>
    <t>Auxiliary items</t>
  </si>
  <si>
    <t>Excavating C4 rock with an excavator equipped with a hydraulic hammer head (95% of trench and mold capacity; 100% of foundation excavation capacity)</t>
  </si>
  <si>
    <t>Transporting C2 dumped soil 1.81km</t>
  </si>
  <si>
    <t>Transporting C2 soil to the first 1km distance</t>
  </si>
  <si>
    <t>Transporting C2 soil to a further distance of 0.81Km</t>
  </si>
  <si>
    <t>Transporting C1 dumped soil 1.81km</t>
  </si>
  <si>
    <t>Transporting dumped rock and soil 1.81km</t>
  </si>
  <si>
    <t>Transporting dumped rock, first 1km distance</t>
  </si>
  <si>
    <t>Transporting dumped rock for the next 0.81km distance</t>
  </si>
  <si>
    <t>Soil rotation</t>
  </si>
  <si>
    <t>Embankment construction across ponds and lakes</t>
  </si>
  <si>
    <t>Embankment construction</t>
  </si>
  <si>
    <t>Driving bamboo piles with a 0.5m3 excavator, pile length &gt; 2.5m - grade I soil</t>
  </si>
  <si>
    <t>Bamboo lining</t>
  </si>
  <si>
    <t>Steel wire braces bamboo piles D4</t>
  </si>
  <si>
    <t>Wall formwork</t>
  </si>
  <si>
    <t>Bridge abutment</t>
  </si>
  <si>
    <t>Concrete body, wing wall, M200 culvert body, 1x2 stone (H&lt;6.0m, β&gt;0.45m)</t>
  </si>
  <si>
    <t>Concrete load reduction slab, M300, 1x2 stone</t>
  </si>
  <si>
    <t>Steel beam reinforcement d&gt;10 mm</t>
  </si>
  <si>
    <t>Install plate beams weighing &lt;1T</t>
  </si>
  <si>
    <t>Spread asphalt concrete road surface carpet (Type C19, R19) 7cm thick</t>
  </si>
  <si>
    <t>Organic dredging by machine - level I soil</t>
  </si>
  <si>
    <t>Excavation of C4 rock foundation with hydraulic hammer mounted excavator (100% volume)</t>
  </si>
  <si>
    <t>Digging up the old asphalt road surface</t>
  </si>
  <si>
    <t>Transporting backfill soil from Quang Phu land mine, Tho Lap commune, Tho Xuan district, distance 13.33km</t>
  </si>
  <si>
    <t>Transporting soil by 10 ton dump truck - next 3.33km</t>
  </si>
  <si>
    <t>Transporting discarded waste, distance 1.22km</t>
  </si>
  <si>
    <t>Transporting waste, the first 1km distance</t>
  </si>
  <si>
    <t>Transporting waste to a further distance of 0.22km</t>
  </si>
  <si>
    <t>Transporting C2 soil, distance 1.22km</t>
  </si>
  <si>
    <t>Transporting C2 soil to a further distance of 0.22Km</t>
  </si>
  <si>
    <t>Transporting C1 soil, distance 1.22km</t>
  </si>
  <si>
    <t>Transporting C1 soil to a further distance of 0.22Km</t>
  </si>
  <si>
    <t>Transporting dumped rock, distance 1.22km</t>
  </si>
  <si>
    <t>Transporting dumped rock for the next 0.22km distance</t>
  </si>
  <si>
    <t>Rotate soil for backfilling</t>
  </si>
  <si>
    <t>Rotate C3 excavated soil to fill within &lt;=300m</t>
  </si>
  <si>
    <t>Transporting asphalt concrete the next distance of 23.31km</t>
  </si>
  <si>
    <t>Digging to clear the embankment</t>
  </si>
  <si>
    <t>Trench body concrete M250, stone 1x2</t>
  </si>
  <si>
    <t>Reinforcing steel groove d&lt;=10mm</t>
  </si>
  <si>
    <t>Groove reinforcement d&gt;10mm</t>
  </si>
  <si>
    <t>Concrete sump body M250, stone 1x2</t>
  </si>
  <si>
    <t>Reinforcement of sump body d&lt;=10mm</t>
  </si>
  <si>
    <t>Reinforcement of sump body d&gt;10mm</t>
  </si>
  <si>
    <t>Foundation concrete M150, stone 1x2</t>
  </si>
  <si>
    <t>Concrete sewer pipe M300, stone 1x2</t>
  </si>
  <si>
    <t>10m³/1km</t>
  </si>
  <si>
    <t>Concrete foundation lining Made by mixer, poured by hand, width ≤250cm, M100, 4x6 stone, PCB30</t>
  </si>
  <si>
    <t>Installing foundation reinforcement, diameter ≤18mm</t>
  </si>
  <si>
    <t>Install wall reinforcement, diameter ≤18mm, height ≤6m</t>
  </si>
  <si>
    <t>Straight wall wooden formwork - Thickness ≤45cm</t>
  </si>
  <si>
    <t>Reinforcing weak soil and spreading geotextile for road foundations, dyke roofs, and dams</t>
  </si>
  <si>
    <t>Formwork for strip foundation, raft foundation, machine base</t>
  </si>
  <si>
    <t>Installing foundation reinforcement, diameter ≤10mm</t>
  </si>
  <si>
    <t>Spread the insulation layer with oil paper</t>
  </si>
  <si>
    <t>Construction of gravel aggregate foundation layer above</t>
  </si>
  <si>
    <t>Concrete foundation lining produced by mixer, poured by hand, width &gt; 250cm, M100, 4x6 stone, PCB30</t>
  </si>
  <si>
    <t>Wall concrete produced by mixer, poured by hand - Thickness ≤45cm, height ≤6m, M250, 1x2 stone, PCB40</t>
  </si>
  <si>
    <t>Install wall reinforcement, diameter ≤10mm, height ≤6m</t>
  </si>
  <si>
    <t>Installing reinforced beams, beams, braces, diameter ≤10mm, height ≤6m</t>
  </si>
  <si>
    <t>Digging canals, canal width ≤6m using 1.25m3 excavator - Land level II</t>
  </si>
  <si>
    <t>Roof floor concrete produced by mixer, poured by hand, M250 concrete, 1x2 stone, PCB40</t>
  </si>
  <si>
    <t>Plaster the inner wall 1.5cm thick, XM mortar M75, PCB40</t>
  </si>
  <si>
    <t>Floor screed, uncolored floor, 2cm thick, XM M100 mortar, PCB40</t>
  </si>
  <si>
    <t>Build foundation with unburnt bricks 6.5x10.5x22cm - Thickness ≤33cm, cement mortar M50, PCB40</t>
  </si>
  <si>
    <t>Concrete panels, louvers, lintels, M200 concrete, 1x2 stone, PCB40 - Pouring precast concrete by hand (concrete mortar produced by mixer)</t>
  </si>
  <si>
    <t>Wooden formwork, beams and braces</t>
  </si>
  <si>
    <t>Wall concrete produced by mixer, poured by hand - Thickness ≤45cm, height ≤6m, M200, 1x2 stone, PCB40</t>
  </si>
  <si>
    <t>Construction of foundation stone layer, stone condition Dmax ≤6</t>
  </si>
  <si>
    <t>Dismantling the steel structure of the truss frame system and land deck (cantilever + steel plate)</t>
  </si>
  <si>
    <t>Return asphalt road surface</t>
  </si>
  <si>
    <t>Carpeting of drainage hollow asphalt concrete pavement (Type BNRTNTN 12.5) - Compacted pavement thickness 3cm</t>
  </si>
  <si>
    <t>Watering the road surface adhesion layer, Acid-based emulsion, emulsion amount of 1kg/m2</t>
  </si>
  <si>
    <t>Carpeting asphalt concrete pavement (Type C19, R19) - Compacted pavement thickness 7cm</t>
  </si>
  <si>
    <t>Construction of sub-layer crushed stone foundation</t>
  </si>
  <si>
    <t>Return the ditch</t>
  </si>
  <si>
    <t>Driving steel sheet piles (Larsen piles) on land using a 1.8T pile driver; Pile length ≤12m - Land level II (supplemented Circular 12/2021)</t>
  </si>
  <si>
    <t>Return cement concrete road surface</t>
  </si>
  <si>
    <t>Base concrete produced by mixer, poured by hand, M250, 1x2 stone, PCB40</t>
  </si>
  <si>
    <t>Transporting soil by 10T dump truck, range ≤1000m - Land level II</t>
  </si>
  <si>
    <t>Sanding the project with a 9T steel wheel roller, 110CV bulldozer, Y/C density K = 0.95</t>
  </si>
  <si>
    <t>Covering the roadbed with a 9T steel wheel roller, 110CV bulldozer, Y/C density K = 0.95</t>
  </si>
  <si>
    <t>Excavation of roadbed within ≤50m with 110CV bulldozer - Soil level III</t>
  </si>
  <si>
    <t>Transporting soil to 4km (yard number 1)</t>
  </si>
  <si>
    <t>Transporting soil the next 3km by 10T dump truck, within a range of ≤5km - Land level II</t>
  </si>
  <si>
    <t>Extract shaped steel piles and steel pipe piles on land with a 25T crane</t>
  </si>
  <si>
    <t>100m cọc</t>
  </si>
  <si>
    <t>Installing the working floor (cantilever + steel plate)</t>
  </si>
  <si>
    <t>Depreciation of anti splash + center steel</t>
  </si>
  <si>
    <t>Steel formwork for concrete pavement</t>
  </si>
  <si>
    <t>Production and installation of reinforced lintels, louver lintels, water troughs, woven panels, parasols - Reinforcement diameter ≤10mm</t>
  </si>
  <si>
    <t>100kg</t>
  </si>
  <si>
    <t>Return the divider</t>
  </si>
  <si>
    <t>Wall concrete - Thickness ≤45cm, height ≤6m, self-propelled BT pump, M250, 1x2 stone, PCB40</t>
  </si>
  <si>
    <t>Base concrete, self-propelled BT pump, M250, 1x2 stone, PCB40</t>
  </si>
  <si>
    <t>Termite prevention for concrete joints using Termimesh technology</t>
  </si>
  <si>
    <t>D22 steel for the bolt</t>
  </si>
  <si>
    <t>Hemp jute insertion slot</t>
  </si>
  <si>
    <t>Install PVC pipes, connected by welding, 6m long pipe - 25mm diameter</t>
  </si>
  <si>
    <t>PITS</t>
  </si>
  <si>
    <t>Digging the foundation with a 0.4m3 excavator, foundation width ≤6m - Land level II</t>
  </si>
  <si>
    <t>Type C manhole covers</t>
  </si>
  <si>
    <t>OUTLET</t>
  </si>
  <si>
    <t>Manually drive bamboo piles, ≤2.5m long - Land level II</t>
  </si>
  <si>
    <t>Build foundation with crushed stone - Thickness ≤60cm, cement mortar M100, PCB40</t>
  </si>
  <si>
    <t>Construction of foundation stone layer, stone condition Dmax ≤4</t>
  </si>
  <si>
    <t>Concrete foundation lining Made by mixer, poured by hand, width ≤250cm, M250, 4x6 stone, PCB40</t>
  </si>
  <si>
    <t>Installing foundation reinforcement, diameter &gt;18mm</t>
  </si>
  <si>
    <t>Depreciation</t>
  </si>
  <si>
    <t>Concrete beams, braces, roof deck, self-propelled BT pump, M250, 1x2 stone, PCB40</t>
  </si>
  <si>
    <t>Drainage box culvert D×H=2000×1500 -Route d</t>
  </si>
  <si>
    <t>Installation, dismantling, and depreciation of protective fences (671.7/15=45 times)</t>
  </si>
  <si>
    <t>công</t>
  </si>
  <si>
    <t>Tên công tác</t>
  </si>
  <si>
    <t>Đơn vị</t>
  </si>
  <si>
    <t>Vận chuyển đất bằng ô tô tự đổ 10T, phạm vi ≤1000m - Cấp đất II</t>
  </si>
  <si>
    <t>Rải giấy dầu lớp cách ly</t>
  </si>
  <si>
    <t>Ván khuôn thép mặt đường bê tông</t>
  </si>
  <si>
    <t>Trát tường trong dày 1,5cm, vữa XM M75, PCB40</t>
  </si>
  <si>
    <t>Đắp đất bằng đầm đất cầm tay 70kg, độ chặt Y/C K = 0,95</t>
  </si>
  <si>
    <t>Bê tông lót móng SX bằng máy trộn, đổ bằng thủ công, chiều rộng ≤250cm, M100, đá 4x6, PCB30</t>
  </si>
  <si>
    <t>Bê tông tường SX bằng máy trộn, đổ bằng thủ công - Chiều dày ≤45cm, chiều cao ≤6m, M250, đá 1x2, PCB40</t>
  </si>
  <si>
    <t>Gia cố nền đất yếu rải vải địa kỹ thuật làm nền đường, mái đê, đập</t>
  </si>
  <si>
    <t>Ván khuôn gỗ xà dầm, giằng</t>
  </si>
  <si>
    <t>Lắp dựng cốt thép xà dầm, giằng, ĐK ≤10mm, chiều cao ≤6m</t>
  </si>
  <si>
    <t>Lắp dựng cốt thép móng, ĐK ≤10mm</t>
  </si>
  <si>
    <t>Lắp dựng cốt thép móng, ĐK ≤18mm</t>
  </si>
  <si>
    <t>Bê tông lót móng SX bằng máy trộn, đổ bằng thủ công, chiều rộng &gt;250cm, M100, đá 4x6, PCB30</t>
  </si>
  <si>
    <t>Thi công móng cấp phối đá dăm lớp trên</t>
  </si>
  <si>
    <t>Phá dỡ kết cấu bê tông không cốt thép bằng búa căn khí nén 3m3/ph</t>
  </si>
  <si>
    <t>Phá dỡ kết cấu gạch đá bằng búa căn khí nén 3m3/ph</t>
  </si>
  <si>
    <t>Ván khuôn tấm đan</t>
  </si>
  <si>
    <t>Đào móng bằng máy đào 0,4m3, chiều rộng móng ≤6m - Cấp đất II</t>
  </si>
  <si>
    <t>Bê tông tường - Chiều dày ≤45cm, chiều cao ≤6m, máy bơm BT tự hành, M250, đá 1x2, PCB40</t>
  </si>
  <si>
    <t>Bê tông nền, máy bơm BT tự hành, M250, đá 1x2, PCB40</t>
  </si>
  <si>
    <t>Ván khuôn gỗ tường thẳng - Chiều dày ≤45cm</t>
  </si>
  <si>
    <t>Lắp dựng cốt thép tường, ĐK ≤10mm, chiều cao ≤6m</t>
  </si>
  <si>
    <t>Lắp dựng cốt thép tường, ĐK ≤18mm, chiều cao ≤6m</t>
  </si>
  <si>
    <t>Bê tông sàn mái SX bằng máy trộn, đổ bằng thủ công, bê tông M250, đá 1x2, PCB40</t>
  </si>
  <si>
    <t>Ván khuôn móng băng, móng bè, bệ máy</t>
  </si>
  <si>
    <t>Xây móng bằng gạch không nung 6,5x10,5x22cm - Chiều dày ≤33cm, vữa XM M50, PCB40</t>
  </si>
  <si>
    <t>Lắp dựng cốt thép móng, ĐK &gt;18mm</t>
  </si>
  <si>
    <t>Đào kênh mương, chiều rộng kênh mương ≤6m bằng máy đào 1,25m3 - Cấp đất II</t>
  </si>
  <si>
    <t>Nền đường</t>
  </si>
  <si>
    <t>Mặt đường</t>
  </si>
  <si>
    <t>Láng nền, sàn không đánh màu, dày 2cm, vữa XM M100, PCB40</t>
  </si>
  <si>
    <t>Sơn kẻ đường bằng sơn dẻo nhiệt phản quang, dày sơn 2mm</t>
  </si>
  <si>
    <t>Bê tông tấm đan, mái hắt, lanh tô, bê tông M200, đá 1x2, PCB40 - Đổ bê tông đúc sẵn bằng thủ công (vữa bê tông sản xuất bằng máy trộn)</t>
  </si>
  <si>
    <t>Bê tông tường SX bằng máy trộn, đổ bằng thủ công - Chiều dày ≤45cm, chiều cao ≤6m, M200, đá 1x2, PCB40</t>
  </si>
  <si>
    <t>Thi công lớp đá đệm móng, ĐK đá Dmax ≤6</t>
  </si>
  <si>
    <t>lần</t>
  </si>
  <si>
    <t>Hoàn trả mặt đường nhựa</t>
  </si>
  <si>
    <t>Rải thảm mặt đường bê tông nhựa rỗng thoát nước (Loại BTNRTN 12,5) - Chiều dày mặt đường đã lèn ép 3cm</t>
  </si>
  <si>
    <t>Tưới lớp dính bám mặt đường, nhũ tương gốc Axít, lượng nhũ tương 1kg/m2</t>
  </si>
  <si>
    <t>Rải thảm mặt đường bê tông nhựa (Loại C19, R19) - Chiều dày mặt đường đã lèn ép 7cm</t>
  </si>
  <si>
    <t xml:space="preserve">Thi công móng cấp phối đá dăm lớp dưới </t>
  </si>
  <si>
    <t xml:space="preserve">Hoàn trả mương </t>
  </si>
  <si>
    <t>Đóng cọc ván thép (cừ Larsen) trên cạn bằng máy đóng cọc 1,8T; Chiều dài cọc ≤12m - Cấp đất II (bổ sung Thông tư 12/2021)</t>
  </si>
  <si>
    <t>Hoàn trả mặt đường bê tông xi măng</t>
  </si>
  <si>
    <t>Bê tông nền SX bằng máy trộn, đổ bằng thủ công, M250, đá 1x2, PCB40</t>
  </si>
  <si>
    <t>Đắp cát công trình bằng máy lu bánh thép 9T, máy ủi 110CV, độ chặt Y/C K = 0,95</t>
  </si>
  <si>
    <t>Đắp nền đường bằng máy lu bánh thép 9T, máy ủi 110CV, độ chặt Y/C K = 0,95</t>
  </si>
  <si>
    <t>Đào nền đường trong phạm vi ≤50m bằng máy ủi 110CV - Cấp đất III</t>
  </si>
  <si>
    <t>Vận chuyển đất đổ đi 4km (bãi số 1)</t>
  </si>
  <si>
    <t>Vận chuyển đất 3km tiếp theo bằng ô tô tự đổ 10T, trong phạm vi ≤5km - Cấp đất II</t>
  </si>
  <si>
    <t>Nhổ cọc thép hình, cọc ống thép ở trên cạn bằng cần cẩu 25T</t>
  </si>
  <si>
    <t>khấu hao văng chống + thép tâm</t>
  </si>
  <si>
    <t>Sản xuất lắp đặt cốt thép lanh tô, lanh tô liền mái hắt, máng nước, tấm đan, ô văng - Đường kính cốt thép ≤10mm</t>
  </si>
  <si>
    <t>Hoàn trả dải phân cách</t>
  </si>
  <si>
    <t>Phòng chống mối cho các mạch ngừng bê tông bằng công nghệ Termimesh</t>
  </si>
  <si>
    <t>thép D22 làm chốt phi</t>
  </si>
  <si>
    <t>Khe chèn đay gai</t>
  </si>
  <si>
    <t>Lắp đặt ống nhựa PVC, nối bằng p/p hàn, đoạn ống dài 6m - Đường kính 25mm</t>
  </si>
  <si>
    <t>HỐ GA</t>
  </si>
  <si>
    <t>Nắp hố ga loại C</t>
  </si>
  <si>
    <t>CỬA XẢ</t>
  </si>
  <si>
    <t>Đóng cọc tre, dài ≤2,5m bằng thủ công - Cấp đất II</t>
  </si>
  <si>
    <t>Xây móng bằng đá hộc - Chiều dày ≤60cm, vữa XM M100, PCB40</t>
  </si>
  <si>
    <t>Thi công lớp đá đệm móng, ĐK đá Dmax ≤4</t>
  </si>
  <si>
    <t>Bê tông lót móng SX bằng máy trộn, đổ bằng thủ công, rộng ≤250cm, M250, đá 4x6, PCB40</t>
  </si>
  <si>
    <t xml:space="preserve">Khấu hao </t>
  </si>
  <si>
    <t>Bê tông xà dầm, giằng, sàn mái, máy bơm BT tự hành, M250, đá 1x2, PCB40</t>
  </si>
  <si>
    <t>Cống hộp thoát nước D×H=2000×1500 -Tuyến d</t>
  </si>
  <si>
    <t>Lắp sàn thao tác (văng chống+ thép tấm)</t>
  </si>
  <si>
    <t>Tháo dỡ kết cấu thép hệ khung dàn, sàn đạo trên cạn (văng chống+ thép tấm)</t>
  </si>
  <si>
    <t>Lắp dựng, tháo dỡ, khấu hao rào bảo vệ (671,7/15=45 lần)</t>
  </si>
  <si>
    <t>1cấu kiện</t>
  </si>
  <si>
    <t>Đào vét bùn bằng máy, đất cấp I</t>
  </si>
  <si>
    <t>Đào nền đường + đánh cấp bằng máy đào 1,25m3-đất cấp III</t>
  </si>
  <si>
    <t>Đào rãnh, khuôn đá C4 bằng búa căn (5% KL)</t>
  </si>
  <si>
    <t>Xúc đá lên phương tiện vận chuyển</t>
  </si>
  <si>
    <t>Đào khuôn bằng máy đào 1,25m3-đất cấp III</t>
  </si>
  <si>
    <t>Đào rãnh bằng máy đào 1,25m3-đất cấp III</t>
  </si>
  <si>
    <t>Đắp nền đường bằng máy, độ chặt Y/C K = 0,95</t>
  </si>
  <si>
    <t>Đắp nền đường bằng máy độ chặt Y/C K = 0,98</t>
  </si>
  <si>
    <t>Mua đất K95 để đắp</t>
  </si>
  <si>
    <t>Mua đất K98 để đắp</t>
  </si>
  <si>
    <t>Vận chuyển đất bằng ô tô tự đổ 10 tấn - 1km đầu</t>
  </si>
  <si>
    <t>Vận chuyển đất bằng ô tô tự đổ 10 tấn - 9km tiếp theo</t>
  </si>
  <si>
    <t>Vận chuyển đất C1 đổ đi cự ly 1km đầu</t>
  </si>
  <si>
    <t>Vận chuyển đá đổ đi cự ly 1km đầu</t>
  </si>
  <si>
    <t>Luân chuyển đất đào C3 sang đắp phạm vi 300m</t>
  </si>
  <si>
    <t>San ủi đất, đá bãi thải (30% KL đất đổ đi)</t>
  </si>
  <si>
    <t>San ủi đất bãi thải</t>
  </si>
  <si>
    <t>San ủi đá bãi thải</t>
  </si>
  <si>
    <t>Trồng cỏ</t>
  </si>
  <si>
    <t>Vận chuyển tiếp 10m</t>
  </si>
  <si>
    <t>Rải thảm mặt đường bê tông nhựa (Loại C19, R19)-chiều dày mặt đường đã lèn ép 7cm</t>
  </si>
  <si>
    <t>Sản xuất bê tông nhựa bằng trạm trộn 120T/h (trạm trộn tại xã Cẩm Giang, huyện Cẩm Thủy)</t>
  </si>
  <si>
    <t>100tấn</t>
  </si>
  <si>
    <t>Vận chuyển đá dăm đen, bê tông nhựa từ trạm trộn đến vị trí đổ cự ly 4km, ô tô tự đổ 12T</t>
  </si>
  <si>
    <t>Vận chuyển bê tông nhựa cự ly 22,68km tiếp</t>
  </si>
  <si>
    <t>Móng cấp phối đá dăm loại I</t>
  </si>
  <si>
    <t xml:space="preserve">Móng cấp phối đá dăm loại II </t>
  </si>
  <si>
    <t>Vuốt nối đường ngang</t>
  </si>
  <si>
    <t>Gia cố mái taluy âm</t>
  </si>
  <si>
    <t>Đào chân khay bằng máy đất cấp II</t>
  </si>
  <si>
    <t>Bê tông gia cố mái, M200, đá 1x2</t>
  </si>
  <si>
    <t>Bê tông chân khay, M150, đá 1x2</t>
  </si>
  <si>
    <t>Đá dăm đệm móng</t>
  </si>
  <si>
    <t xml:space="preserve">Ống nhựa PVC D30mm </t>
  </si>
  <si>
    <t>Ván khuôn mái</t>
  </si>
  <si>
    <t>Rãnh gia cố</t>
  </si>
  <si>
    <t>Bê tông rãnh M200, đá 1x2</t>
  </si>
  <si>
    <t>Ván khuôn rãnh</t>
  </si>
  <si>
    <t>Bê tông chèn khe M100</t>
  </si>
  <si>
    <t>Cốt thép thân rãnh D&lt;=10mm</t>
  </si>
  <si>
    <t>Cốt thép thân rãnh D&gt;10mm</t>
  </si>
  <si>
    <t>Ván khuôn thân rãnh</t>
  </si>
  <si>
    <t>Tấm đan</t>
  </si>
  <si>
    <t>Bê tông tấm đan, M300, đá 1x2</t>
  </si>
  <si>
    <t>Cốt thép tấm đan D&lt;=10mm</t>
  </si>
  <si>
    <t>Cốt thé tấm đan D&gt;10mm</t>
  </si>
  <si>
    <t>Lắp đặt tấm đan</t>
  </si>
  <si>
    <t>Hố thu</t>
  </si>
  <si>
    <t>Bê tông thân hố thu M250</t>
  </si>
  <si>
    <t>Cốt thép thân hố thu D&lt;=10mm</t>
  </si>
  <si>
    <t>Cốt thép thân hố thu D&gt;10mm</t>
  </si>
  <si>
    <t>Ván khuôn thân hố thu</t>
  </si>
  <si>
    <t>Bãi đúc cấu kiện</t>
  </si>
  <si>
    <t>Láng mặt bằng bãi đúc, dày 3cm, vữa XM M100</t>
  </si>
  <si>
    <t>San đầm đất bãi đúc, độ chặt Y/C K = 0,85</t>
  </si>
  <si>
    <t>Cọc tiêu, cọc H, cọc Km</t>
  </si>
  <si>
    <t>Cọc tiêu BTCT 0,15x0,15x1,25</t>
  </si>
  <si>
    <t>Cột km BTCT</t>
  </si>
  <si>
    <t>Cọc H 0,2x0,2x1</t>
  </si>
  <si>
    <t>Ni lông chống thấm</t>
  </si>
  <si>
    <t>Tấm phản quang 8x8cm</t>
  </si>
  <si>
    <t>Biển báo</t>
  </si>
  <si>
    <t>Đào đất thi công biển báo</t>
  </si>
  <si>
    <t>Bê tông móng M150</t>
  </si>
  <si>
    <t>Lắp đặt cột và biển báo tam giác cạnh 87,5cm</t>
  </si>
  <si>
    <t>Lắp đặt cột và biển báo chữ nhật KT: 1x1,6m</t>
  </si>
  <si>
    <t>Cột đỡ biển báo D90 sơn trắng, đỏ</t>
  </si>
  <si>
    <t>Biển báo tam giác A=875mm</t>
  </si>
  <si>
    <t>Biển báo hình chữ nhật 1,6x1m</t>
  </si>
  <si>
    <t>Sơn kẻ đường</t>
  </si>
  <si>
    <t>Sơn kẻ đường bằng sơn dẻo nhiệt phản quang, dày sơn 4mm</t>
  </si>
  <si>
    <t>Đèn tín hiệu cảnh bảo</t>
  </si>
  <si>
    <t>Bê tông lót móng M100</t>
  </si>
  <si>
    <t>Bê tông móng M200</t>
  </si>
  <si>
    <t>Cốt thép d&lt;= 10mm</t>
  </si>
  <si>
    <t>Ván khuôn móng</t>
  </si>
  <si>
    <t>Khung cột móng 4xM24x600</t>
  </si>
  <si>
    <t>Cột đỡ bằng nhôm đúc elip mạ kẽm</t>
  </si>
  <si>
    <t>Đèn cảnh báo giao thông màu vàng D300 (bao gồm pin năng lượng mặt trời 20W, bộ điều khiển chuyển đổi năng lượng và điều khiển chớp, biên báo nhôm tấm dày 2m KT=70x70cm)</t>
  </si>
  <si>
    <t>Accu khô 12DVC-24A</t>
  </si>
  <si>
    <t>Lắp dựng đèn ( NC 4,0/7 )</t>
  </si>
  <si>
    <t>Lan can tôn sóng</t>
  </si>
  <si>
    <t>Lan can tôn sóng cột tròn D113,5x4m; H=2m, bước cột 3m</t>
  </si>
  <si>
    <t>Thi công tôn sóng bằng máy đóng cọc</t>
  </si>
  <si>
    <t>Cống thoát nước KĐ&lt;1,5m</t>
  </si>
  <si>
    <t>Phần hố móng</t>
  </si>
  <si>
    <t>Đào móng bằng thủ công, rộng &gt;3m, sâu ≤2m-đất cấp III</t>
  </si>
  <si>
    <t>Đào móng bằng máy đào 1,25m3, rộng ≤6m-đất cấp III</t>
  </si>
  <si>
    <t>Bê tông gia cố lòng cống, sân cống M200, đá 1x2</t>
  </si>
  <si>
    <t>Bê tông móng thân cống, M200, đá 1x2, B&lt;2,5m</t>
  </si>
  <si>
    <t>Bê tông chân khay, móng tường cánh, hố thu, M200, đá 1x2, B&gt;2,5m</t>
  </si>
  <si>
    <t>Phần thân cống</t>
  </si>
  <si>
    <t>Bê tông thân, tường cánh, thân cống M200, đá 1x2</t>
  </si>
  <si>
    <t>Bê tông mũ mố M250, đá 1x2</t>
  </si>
  <si>
    <t>Cốt thép bản d&lt;=10 mm</t>
  </si>
  <si>
    <t>Cốt thép bản d&gt;10 mm</t>
  </si>
  <si>
    <t>Cốt thép mũ mố d&lt;=10mm</t>
  </si>
  <si>
    <t>Cốt thép mũ mố d&gt;10mm</t>
  </si>
  <si>
    <t>Ván khuôn mũ mố</t>
  </si>
  <si>
    <t>Ván khuôn bản</t>
  </si>
  <si>
    <t>Ống cống</t>
  </si>
  <si>
    <t xml:space="preserve">Bê tông ống cống M250, đá 1x2 </t>
  </si>
  <si>
    <t xml:space="preserve">Cốt thép ống cống ĐK ≤10mm </t>
  </si>
  <si>
    <t>Ván khuôn kim loại ống cống</t>
  </si>
  <si>
    <t>Vữa XM nhét mối nối M100</t>
  </si>
  <si>
    <t>Quét nhựa chống thấm</t>
  </si>
  <si>
    <t>Giấy dầu tẩm nhựa phủ khe nối</t>
  </si>
  <si>
    <t>Lắp đặt ống cống</t>
  </si>
  <si>
    <t>Công tác hoàn thiện</t>
  </si>
  <si>
    <t>Vận chuyển bê tông nhựa cự ly 4km đầu</t>
  </si>
  <si>
    <t>Tưới dính bám mặt đường, nhựa nhũ tương CRS1, TCN 1kg/m2</t>
  </si>
  <si>
    <t>Thanh thải đất thi công</t>
  </si>
  <si>
    <t xml:space="preserve">Tuyến 2 </t>
  </si>
  <si>
    <t>Tuyến 2 TT Ngọc Lặc  (Km0+00 - Km1+403,7)</t>
  </si>
  <si>
    <t>Nền mặt đường</t>
  </si>
  <si>
    <t>Đào vét hữu cơ bằng máy, đất cấp I</t>
  </si>
  <si>
    <t>Vận chuyển đất C1 đổ đi, cự ly 1,81 km</t>
  </si>
  <si>
    <t>Vận chuyển đất C1 đổ đi cự ly 0,81Km tiếp</t>
  </si>
  <si>
    <t>Vận chuyển bê tông nhựa cự ly 22km tiếp</t>
  </si>
  <si>
    <t>Rãnh gia cố đá hộc xây vữa XM M100</t>
  </si>
  <si>
    <t>Rãnh chịu lực</t>
  </si>
  <si>
    <t>Bê tông thân rãnh M250</t>
  </si>
  <si>
    <t>Đào đất hố móng thủ công</t>
  </si>
  <si>
    <t>Đắp đất hố móng thủ công</t>
  </si>
  <si>
    <t>Bê tông thân, tường cánh, thân cống M200, đá 1x2  (H&lt;6.0m, β&lt;0.45m)</t>
  </si>
  <si>
    <t xml:space="preserve">Bê tông dầm bản mặt cống M300, đá 1x2 </t>
  </si>
  <si>
    <t>Ván khuôn gỗ tường thẳng - chiều dày ≤45</t>
  </si>
  <si>
    <t>Lắp đặt tấm đan, ống cống</t>
  </si>
  <si>
    <t xml:space="preserve"> Tuyến 2 xã Ngọc Liên  (Km1+403,7 - Km2+667,4)</t>
  </si>
  <si>
    <t>Đào vét đất hữu cơ bằng máy, đất cấp I</t>
  </si>
  <si>
    <t>Mua đất tại mỏ đất Quảng Phú, xã Thọ Lập, huyện Thọ Xuân</t>
  </si>
  <si>
    <t>Vận chuyển đất đắp từ mỏ đất Quảng Phú, xã Thọ Lập, huyện Thọ Xuân, cự ly 14,41km</t>
  </si>
  <si>
    <t>Vận chuyển đất bằng ô tô tự đổ 10 tấn - 4,41km tiếp theo</t>
  </si>
  <si>
    <t>Vận chuyển đất C1 đổ đi 1,81km</t>
  </si>
  <si>
    <t>Vận chuyển bê tông nhựa cự ly 22km</t>
  </si>
  <si>
    <t>Cọc H</t>
  </si>
  <si>
    <t>Đào móng băng bằng thủ công, rộng &gt;3m, sâu ≤2m-đất cấp III</t>
  </si>
  <si>
    <t>Ván khuôn móng, sân</t>
  </si>
  <si>
    <t>Giấy dầu tẩm nhựa dán 2 lớp</t>
  </si>
  <si>
    <t>Cống thoát nước KĐ&gt;1,5 (KĐ = 5,4m)</t>
  </si>
  <si>
    <t xml:space="preserve">Bê tông thanh chống M200 (LxBxH=1,8x0,5x0,5m) </t>
  </si>
  <si>
    <t>Ván khuôn móng mố</t>
  </si>
  <si>
    <t>Ván khuôn thân mố, thanh chống</t>
  </si>
  <si>
    <t>Mũ mố cầu</t>
  </si>
  <si>
    <t>Tường cánh</t>
  </si>
  <si>
    <t>Bê tông gia cố sân cống M200, đá 1x2</t>
  </si>
  <si>
    <t>Ván khuôn thân, tường cánh, thanh chống</t>
  </si>
  <si>
    <t>Bản giảm tải</t>
  </si>
  <si>
    <t>Bê tông bản giảm tải, M250, đá 1x2</t>
  </si>
  <si>
    <t>Cốt thép bản giảm tải d&lt;=10 mm</t>
  </si>
  <si>
    <t>Cốt thép bản giảm tải d&gt;10 mm</t>
  </si>
  <si>
    <t>Cốt thép bản giảm tải d&gt;18 mm</t>
  </si>
  <si>
    <t>Ván khuôn bản giảm tải</t>
  </si>
  <si>
    <t>Dầm bản</t>
  </si>
  <si>
    <t>Ván khuôn dầm bản</t>
  </si>
  <si>
    <t>Cốt thép dầm bản d&lt;=10 mm</t>
  </si>
  <si>
    <t>Cốt thép dầm bản d&gt;18 mm</t>
  </si>
  <si>
    <t>Lắp đặt dầm bản trọng lượng &lt;3T</t>
  </si>
  <si>
    <t>Mặt cầu, gờ chắn bánh</t>
  </si>
  <si>
    <t>Bê tông gờ chắn bánh, M300, đá 1x2</t>
  </si>
  <si>
    <t>Cốt thép gờ chắn bánh, ĐK ≤10mm</t>
  </si>
  <si>
    <t>Cốt thép gờ chắn bánh, ĐK ≤18mm</t>
  </si>
  <si>
    <t>Ván khuôn gờ chắn bánh</t>
  </si>
  <si>
    <t>Gia cố sân cống</t>
  </si>
  <si>
    <t>Bê tông móng, chân khay, M200, đá 1x2, B&lt;2,5m</t>
  </si>
  <si>
    <t>Bê tông gia cố lòng cống M200, đá 1x2</t>
  </si>
  <si>
    <t>Hạng mục phụ trợ</t>
  </si>
  <si>
    <t>Tuyến 2 TT Ngọc Lặc  (Km2+667,4-Km3+891)</t>
  </si>
  <si>
    <t>Đào đá C4 bằng máy đào gắn đầu búa thủy lực (95% KL rãnh, khuôn; 100%KL đào nền)</t>
  </si>
  <si>
    <t>Vận chuyển C2 đất đổ đi 1,81km</t>
  </si>
  <si>
    <t>Vận chuyển đất C2 đổ đi cự ly 1km đầu</t>
  </si>
  <si>
    <t>Vận chuyển đất C2 đổ đi cự ly 0,81Km tiếp</t>
  </si>
  <si>
    <t>Vận chuyển C1 đất đổ đi 1,81km</t>
  </si>
  <si>
    <t>Vận chuyển đá đất đổ đi 1,81km</t>
  </si>
  <si>
    <t>Vận chuyển đá đổ đi, cự ly 1km đầu</t>
  </si>
  <si>
    <t>Vận chuyển đá đổ đi cự ly 0,81km tiếp</t>
  </si>
  <si>
    <t>Luân chuyển đất</t>
  </si>
  <si>
    <t>Móng cấp phối đá dăm loại II</t>
  </si>
  <si>
    <t>Đắp bờ vây thi công qua ao hồ</t>
  </si>
  <si>
    <t>Đắp bờ vây thi công</t>
  </si>
  <si>
    <t>Đóng cọc tre bằng máy đào 0,5m3, chiều dài cọc &gt;2,5m -đất cấp I</t>
  </si>
  <si>
    <t>Phên nứa lót</t>
  </si>
  <si>
    <t>Dây thép giằng cọc tre D4</t>
  </si>
  <si>
    <t>Ván khuôn tường</t>
  </si>
  <si>
    <t>Cống thoát nước KĐ &gt;1,5 (KĐ =2,4m)</t>
  </si>
  <si>
    <t>Mố cầu</t>
  </si>
  <si>
    <t>Bê tông thân, tường cánh, thân cống M200, đá 1x2  (H&lt;6.0m, β&gt;0.45m)</t>
  </si>
  <si>
    <t>Bê tông bản giảm tải, M300, đá 1x2</t>
  </si>
  <si>
    <t>Cốt thép dầm bản d&gt;10 mm</t>
  </si>
  <si>
    <t>Lắp đặt dầm bản trọng lượng &lt;1T</t>
  </si>
  <si>
    <t>Rải thảm mặt đường bê tông nhựa (Loại C19, R19) dày  7cm</t>
  </si>
  <si>
    <t>Đào vét hữu cơ bằng máy -đất cấp I</t>
  </si>
  <si>
    <t>Đào nền đá C4 bằng máy đào gắn đầu búa thủy lực (100% KL)</t>
  </si>
  <si>
    <t>Đào mặt đường láng nhựa cũ</t>
  </si>
  <si>
    <t>Vận chuyển đất đắp từ mỏ đất Quảng Phú, xã Thọ Lập, huyện Thọ Xuân, cự ly 13,33km</t>
  </si>
  <si>
    <t>Vận chuyển đất bằng ô tô tự đổ 10 tấn - 3,33km tiếp theo</t>
  </si>
  <si>
    <t>Vận chuyển phế thải đổ đi, cự ly 1,22km</t>
  </si>
  <si>
    <t>Vận chuyển phế thải đổ đi, cự ly 1km đầu</t>
  </si>
  <si>
    <t>Vận chuyển phế thải đổ đi cự ly 0,22km tiếp</t>
  </si>
  <si>
    <t>Vận chuyển đất C2 đổ đi, cự ly 1,22km</t>
  </si>
  <si>
    <t>Vận chuyển đất C2 đổ đi cự ly 0,22Km tiếp</t>
  </si>
  <si>
    <t>Vận chuyển đất C1 đổ đi, cự ly 1,22km</t>
  </si>
  <si>
    <t>Vận chuyển đất C1 đổ đi cự ly 0,22Km tiếp</t>
  </si>
  <si>
    <t>Vận chuyển đá đổ đi, cự ly 1,22km</t>
  </si>
  <si>
    <t>Vận chuyển đá đổ đi cự ly 0,22km tiếp</t>
  </si>
  <si>
    <t>Luân chuyển đất để đắp</t>
  </si>
  <si>
    <t>Luân chuyển đất đào C3 sang đắp phạm vi &lt;=300m</t>
  </si>
  <si>
    <t>Vận chuyển bê tông nhựa cự ly 23,31km tiếp theo</t>
  </si>
  <si>
    <t>Đào thanh thải bờ vây</t>
  </si>
  <si>
    <t>Bê tông thân rãnh M250, đá 1x2</t>
  </si>
  <si>
    <t>Cốt thép rãnh d&lt;=10mm</t>
  </si>
  <si>
    <t>Cốt thép rãnh d&gt;10mm</t>
  </si>
  <si>
    <t>Bê tông thân hố thu M250, đá 1x2</t>
  </si>
  <si>
    <t>Cốt thép thân hố thu d&lt;=10mm</t>
  </si>
  <si>
    <t>Cốt thép thân hố thu d&gt;10mm</t>
  </si>
  <si>
    <t>Bê tông móng M150, đá 1x2</t>
  </si>
  <si>
    <t xml:space="preserve">Bê tông thân, tường cánh, thân cống M200, đá 1x2 </t>
  </si>
  <si>
    <t xml:space="preserve">Bê tông ống cống M300, đá 1x2 </t>
  </si>
  <si>
    <t>ESHS</t>
  </si>
  <si>
    <t>E</t>
  </si>
  <si>
    <t xml:space="preserve">Chi phí dự phòng </t>
  </si>
  <si>
    <t>TỔNG GIÁ TRỊ XÂY LẮP</t>
  </si>
  <si>
    <t>Giao thông (0,29%)</t>
  </si>
  <si>
    <t>Hạ tầng kỹ thuật (0,25%)</t>
  </si>
  <si>
    <t>Nông nghiệp (1,04%)</t>
  </si>
  <si>
    <t>(6)</t>
  </si>
  <si>
    <t>(7)</t>
  </si>
  <si>
    <t>PHỤ LỤC GIÁ TRỊ CHI TIẾT</t>
  </si>
  <si>
    <t>Gói thầu số 11: Thi công xây dựng công trình; mua sắm, lắp đặt thiết bị công trình và bảo hiểm công trình trong thời gian xây dựng (Bao gồm cả chi phí nén tĩnh cọc, xây dựng, tháo dỡ trạm biến áp, thuế tài nguyên, phí bảo vệ môi trường</t>
  </si>
  <si>
    <t xml:space="preserve">         </t>
  </si>
  <si>
    <t>Dự án:  Cải thiện cơ sở hạ tầng đô thị nhằm giảm thiểu tác động của biến đổi khí hậu cho 04 tỉnh ven biển Bắc Trung Bộ - Tiểu dự án cải thiện cơ sở hạ tầng đô thị Ngọc Lặc, huyện Ngọc Lặc, tỉnh Thanh Hóa</t>
  </si>
  <si>
    <t>Đại diện Chủ đầu tư: Ban Quản lý dự án đầu tư xây dựng các công trình Nông nghiệp và PTNT Thanh Hóa</t>
  </si>
  <si>
    <t>Nhà thầu: Liên danh Công ty cổ phần Tân Thành và Công ty cổ phần Đầu tư và Xây dựng TNG và Công ty cổ phần Bảo Chung.</t>
  </si>
  <si>
    <t>Đơn giá (trước thuế)</t>
  </si>
  <si>
    <t>VAT (10%)</t>
  </si>
  <si>
    <t xml:space="preserve">TỔNG GIÁ TRỊ TRƯỚC THUẾ </t>
  </si>
  <si>
    <t>TỔNG GIÁ TRỊ SAU THUẾ</t>
  </si>
  <si>
    <t>CÔNG TY CP TÂN THÀNH</t>
  </si>
  <si>
    <t>Phần giá trị công ty cổ phần Tân Thành đảm nhiệm thi công</t>
  </si>
  <si>
    <t>(9)</t>
  </si>
  <si>
    <t>(13)=(7)x(9)</t>
  </si>
  <si>
    <t>(15)</t>
  </si>
  <si>
    <t>AB.21131</t>
  </si>
  <si>
    <t>AB.27121</t>
  </si>
  <si>
    <t>AB.31133</t>
  </si>
  <si>
    <t>AB.51812</t>
  </si>
  <si>
    <t>AB.51614</t>
  </si>
  <si>
    <t>AB.52121</t>
  </si>
  <si>
    <t>AB.25123</t>
  </si>
  <si>
    <t>AB.27123</t>
  </si>
  <si>
    <t>AB.64133</t>
  </si>
  <si>
    <t>AB.64134</t>
  </si>
  <si>
    <t>TT</t>
  </si>
  <si>
    <t>AM.23221</t>
  </si>
  <si>
    <t>AM.23222</t>
  </si>
  <si>
    <t>AM.23223</t>
  </si>
  <si>
    <t>AB.41431</t>
  </si>
  <si>
    <t>AB.42131</t>
  </si>
  <si>
    <t>AB.53431</t>
  </si>
  <si>
    <t>AB.54131</t>
  </si>
  <si>
    <t>AB.41133</t>
  </si>
  <si>
    <t>AB.34110</t>
  </si>
  <si>
    <t>AB.34120</t>
  </si>
  <si>
    <t>AL.17111</t>
  </si>
  <si>
    <t>AL.17211</t>
  </si>
  <si>
    <t>AD.23225</t>
  </si>
  <si>
    <t>AD.26140-VD</t>
  </si>
  <si>
    <t>AD.27243</t>
  </si>
  <si>
    <t>AD.27253</t>
  </si>
  <si>
    <t>AD.24223</t>
  </si>
  <si>
    <t>AD.11222</t>
  </si>
  <si>
    <t>AD.11212</t>
  </si>
  <si>
    <t>AB.25122</t>
  </si>
  <si>
    <t>AF.15312</t>
  </si>
  <si>
    <t>AF.11211</t>
  </si>
  <si>
    <t>AK.98120</t>
  </si>
  <si>
    <t>AK.41114</t>
  </si>
  <si>
    <t>AF.82511</t>
  </si>
  <si>
    <t>AF.13212</t>
  </si>
  <si>
    <t>AF.13213</t>
  </si>
  <si>
    <t>AF.11110</t>
  </si>
  <si>
    <t>AF.61110</t>
  </si>
  <si>
    <t>AF.61120</t>
  </si>
  <si>
    <t>AG.11414</t>
  </si>
  <si>
    <t>AG.13211</t>
  </si>
  <si>
    <t>AG.13221</t>
  </si>
  <si>
    <t>AG.32511</t>
  </si>
  <si>
    <t>AG.41610</t>
  </si>
  <si>
    <t>AF.11213</t>
  </si>
  <si>
    <t>AK.41124</t>
  </si>
  <si>
    <t>AB.62121</t>
  </si>
  <si>
    <t>AD.31111</t>
  </si>
  <si>
    <t>AD.31121</t>
  </si>
  <si>
    <t>AL.16201</t>
  </si>
  <si>
    <t>AD.32531</t>
  </si>
  <si>
    <t>AD.32541</t>
  </si>
  <si>
    <t>AK.91131</t>
  </si>
  <si>
    <t>AB.25103</t>
  </si>
  <si>
    <t>AB.65130</t>
  </si>
  <si>
    <t>AF.11212</t>
  </si>
  <si>
    <t>AB.25102</t>
  </si>
  <si>
    <t>AB.41434</t>
  </si>
  <si>
    <t>AB.42134</t>
  </si>
  <si>
    <t>AA.22121</t>
  </si>
  <si>
    <t>AB.11363</t>
  </si>
  <si>
    <t>AF.11312</t>
  </si>
  <si>
    <t>AF.11222</t>
  </si>
  <si>
    <t>AF.12112</t>
  </si>
  <si>
    <t>AG.11324</t>
  </si>
  <si>
    <t>AF.14213</t>
  </si>
  <si>
    <t>AF.65110</t>
  </si>
  <si>
    <t>AF.65120</t>
  </si>
  <si>
    <t>AF.81311</t>
  </si>
  <si>
    <t>AG.32311</t>
  </si>
  <si>
    <t>AG.11513</t>
  </si>
  <si>
    <t>AG.13311</t>
  </si>
  <si>
    <t>AG.32211</t>
  </si>
  <si>
    <t>AK.94111</t>
  </si>
  <si>
    <t>AK.94211</t>
  </si>
  <si>
    <t>AD.27241</t>
  </si>
  <si>
    <t>AG.13421</t>
  </si>
  <si>
    <t>AG.13431</t>
  </si>
  <si>
    <t>AG.32111</t>
  </si>
  <si>
    <t>AF.61321</t>
  </si>
  <si>
    <t>AF.61210</t>
  </si>
  <si>
    <t>AI.63411</t>
  </si>
  <si>
    <t>AB.27122</t>
  </si>
  <si>
    <t>AB.41432</t>
  </si>
  <si>
    <t>AB.42132</t>
  </si>
  <si>
    <t>AB.25121</t>
  </si>
  <si>
    <t>AD.27251</t>
  </si>
  <si>
    <t>AE.11114</t>
  </si>
  <si>
    <t>AF.82521</t>
  </si>
  <si>
    <t>AG.11323</t>
  </si>
  <si>
    <t>AA.22112</t>
  </si>
  <si>
    <t>AK.41114-VD</t>
  </si>
  <si>
    <t>AF.12132</t>
  </si>
  <si>
    <t>AF.12312</t>
  </si>
  <si>
    <t>AF.12513</t>
  </si>
  <si>
    <t>AF.61611</t>
  </si>
  <si>
    <t>AF.61621</t>
  </si>
  <si>
    <t>AF.81152</t>
  </si>
  <si>
    <t>AG.41311</t>
  </si>
  <si>
    <t>AF.11414</t>
  </si>
  <si>
    <t>AD.26140</t>
  </si>
  <si>
    <t>AB.24131</t>
  </si>
  <si>
    <t>AC.12121</t>
  </si>
  <si>
    <t>AF.12514</t>
  </si>
  <si>
    <t>AG.41211</t>
  </si>
  <si>
    <t>AF.61220</t>
  </si>
  <si>
    <t>AB.55311</t>
  </si>
  <si>
    <t>AB.24134</t>
  </si>
  <si>
    <t>AG.11514</t>
  </si>
  <si>
    <t>AG.41221</t>
  </si>
  <si>
    <t>AF.12113</t>
  </si>
  <si>
    <t>AF.61311</t>
  </si>
  <si>
    <t>AF.11313</t>
  </si>
  <si>
    <t>AF.81111</t>
  </si>
  <si>
    <t>AF.31213</t>
  </si>
  <si>
    <t>AF.11120</t>
  </si>
  <si>
    <t>AF.12413</t>
  </si>
  <si>
    <t>AK.21223</t>
  </si>
  <si>
    <t>AE.21112</t>
  </si>
  <si>
    <t>AG.11412</t>
  </si>
  <si>
    <t>AI.61131</t>
  </si>
  <si>
    <t>AF.81141</t>
  </si>
  <si>
    <t>AD.23251</t>
  </si>
  <si>
    <t>AF.32113</t>
  </si>
  <si>
    <t>AC.22112</t>
  </si>
  <si>
    <t>AB.66113</t>
  </si>
  <si>
    <t>AB.64113</t>
  </si>
  <si>
    <t>AC.23110</t>
  </si>
  <si>
    <t>SB.42161</t>
  </si>
  <si>
    <t>AF.31213-VD</t>
  </si>
  <si>
    <t>AL.91111</t>
  </si>
  <si>
    <t>BB.41302</t>
  </si>
  <si>
    <t>AC.11112</t>
  </si>
  <si>
    <t>AK.98110</t>
  </si>
  <si>
    <t>AF.11113</t>
  </si>
  <si>
    <t>AF.32313</t>
  </si>
  <si>
    <t>Tuyến 3 TT Ngọc Lặc (Km0+00 - Km2+00)</t>
  </si>
  <si>
    <t>CÔNG TY TNHH ĐẦU TƯ TM VÀ PTHT VẠN CƯỜNG</t>
  </si>
  <si>
    <r>
      <t xml:space="preserve">(Kèm theo Hợp đồng thi công xây dựng số 04/2024/HĐTP-NL ngày 27 tháng 5 năm 2024 giữa Công ty cổ phần Tân Thành và </t>
    </r>
    <r>
      <rPr>
        <i/>
        <sz val="12"/>
        <color rgb="FFFF0000"/>
        <rFont val="Times New Roman"/>
        <family val="1"/>
      </rPr>
      <t>Công ty TNHH đầu tư TM và PT Hạ tầng Vạn Cường)</t>
    </r>
  </si>
  <si>
    <t xml:space="preserve">Khối lượng </t>
  </si>
  <si>
    <t>Thành tiền</t>
  </si>
  <si>
    <t xml:space="preserve">ĐẠI DIỆN NHÀ THẦU CHÍNH  </t>
  </si>
  <si>
    <t>ĐẠI DIỆN NHÀ THẦU PHỤ</t>
  </si>
  <si>
    <t>Trần Xuân Vinh</t>
  </si>
  <si>
    <t>Lê Ngọc Văn</t>
  </si>
  <si>
    <r>
      <t xml:space="preserve"> Bằng chữ: </t>
    </r>
    <r>
      <rPr>
        <i/>
        <sz val="14"/>
        <color theme="1"/>
        <rFont val="Times New Roman"/>
        <family val="1"/>
        <charset val="163"/>
      </rPr>
      <t>Tám mươi mốt tỷ, bảy trăm chín mươi triệu, không trăm chín mươi tám nghìn đồng.</t>
    </r>
  </si>
  <si>
    <t>Nhà thầu chính; Công ty cổ phần Tân Thành</t>
  </si>
  <si>
    <t>Nhà thầu phụ; Công ty TNHH đầu tư TM và PT Hạ tầng Vạn Cường.</t>
  </si>
  <si>
    <t>Vạn cường</t>
  </si>
  <si>
    <t>Tân Thành</t>
  </si>
  <si>
    <t>Tỉ lệ giảm giá đối phần tuyến giao thông</t>
  </si>
  <si>
    <t>6a</t>
  </si>
  <si>
    <t>Đắp trả rãnh bằng đầm cóc</t>
  </si>
  <si>
    <t>Tính lại đất đào còn thừa chuyển đi đắp cho các đoạn khác của tuyến 2 và tuyến 3</t>
  </si>
  <si>
    <t>Đất đào cấp 3 để đắp tận dụng</t>
  </si>
  <si>
    <t>Đất đắp K95</t>
  </si>
  <si>
    <t>Đất đắp K98</t>
  </si>
  <si>
    <t>15a</t>
  </si>
  <si>
    <t>Rải thảm mặt đường bê tông nhựa (Loại C16)-chiều dày mặt đường đã lèn ép 7cm</t>
  </si>
  <si>
    <t>15b</t>
  </si>
  <si>
    <t xml:space="preserve">Sản xuất bê tông nhựa bằng trạm trộn 120T/h </t>
  </si>
  <si>
    <t>17a</t>
  </si>
  <si>
    <t>Vận chuyển bê tông nhựa cự ly 18,17km tiếp</t>
  </si>
  <si>
    <t>18a</t>
  </si>
  <si>
    <t>Tưới dính bám mặt đường, nhựa nhũ tương CRS1, TCN 0,5kg/m2</t>
  </si>
  <si>
    <t>22a</t>
  </si>
  <si>
    <t>23a</t>
  </si>
  <si>
    <t>Sản xuất bê tông nhựa bằng trạm trộn 120T/h</t>
  </si>
  <si>
    <t>24a</t>
  </si>
  <si>
    <t>62a</t>
  </si>
  <si>
    <t>Đinh phản quang</t>
  </si>
  <si>
    <t>Hệ thống cột cần vươn</t>
  </si>
  <si>
    <t>Cột cần vươn</t>
  </si>
  <si>
    <t>1 cột</t>
  </si>
  <si>
    <t>Biển báo tam giác A126cm</t>
  </si>
  <si>
    <t>Biển báo chữ nhật KT 3,2x2m</t>
  </si>
  <si>
    <t>Dải phân cách dẫn hướng</t>
  </si>
  <si>
    <t>Bê tông dải phân cách đúc sẵn M250</t>
  </si>
  <si>
    <t>Cốt thép dải phân cách d&lt;=10mm</t>
  </si>
  <si>
    <t>Cốt thép dải phân cách d&gt;10mm</t>
  </si>
  <si>
    <t>Ván khuôn dải phân cách</t>
  </si>
  <si>
    <t xml:space="preserve">Cẩu lắp dải phân cách </t>
  </si>
  <si>
    <t>Sơn trắng đỏ dải phân cách</t>
  </si>
  <si>
    <t>1m2</t>
  </si>
  <si>
    <t>Tôn mạ kẽm nhúng nóng dày 3mm</t>
  </si>
  <si>
    <t>Tôn mạ kẽm nhúng nóng dày 5mm</t>
  </si>
  <si>
    <t>Ống thép D60 dày 3,2mm</t>
  </si>
  <si>
    <t>Bulong chân nở M12</t>
  </si>
  <si>
    <t xml:space="preserve">cái </t>
  </si>
  <si>
    <t>Bulong mạ M12x70</t>
  </si>
  <si>
    <t>Decal mũi tên trắng PQ</t>
  </si>
  <si>
    <t>Hệ thống đảm bảo ATGT</t>
  </si>
  <si>
    <t>Bê tông bệ cọc</t>
  </si>
  <si>
    <t>Sơn cọc trắng đỏ 2 lần</t>
  </si>
  <si>
    <t>Ống nhựa PVC D90 làm cọc tiêu</t>
  </si>
  <si>
    <t>Dây trơn băng rào công trình</t>
  </si>
  <si>
    <t>Nhân công điều tiết ĐBGT</t>
  </si>
  <si>
    <t>Biển báo tam giác (bao gồm cả cột)</t>
  </si>
  <si>
    <t>Biển báo chữ nhật KT = 1,2 x 0,25m (S.507 - hướng rẽ)</t>
  </si>
  <si>
    <t>Biển báo chữ nhật KT = 1,54 x 0,48m (I.440 - đường đang thi công)</t>
  </si>
  <si>
    <t>Biển báo chữ nhật KT = 1,08 x 1,56m (I.441 - phía trước có CTTC)</t>
  </si>
  <si>
    <t>Cột biển báo</t>
  </si>
  <si>
    <t>Biển báo hình chữ nhật KT:RxH = 0,8 x 1,4m</t>
  </si>
  <si>
    <t>Cờ lệnh</t>
  </si>
  <si>
    <t>Còi</t>
  </si>
  <si>
    <t>21a</t>
  </si>
  <si>
    <t>21b</t>
  </si>
  <si>
    <t>Tính lại đất mua</t>
  </si>
  <si>
    <t>Bổ sung đơn giá luân chuyển đất để đắp 1km</t>
  </si>
  <si>
    <t>Luận chuyển đoạn đầu tuyến 2 về để đắp</t>
  </si>
  <si>
    <t>Luân chuyển đất đào C3  đoạn 3 về đắp</t>
  </si>
  <si>
    <t>Đào để đắp</t>
  </si>
  <si>
    <t>Đắp K95</t>
  </si>
  <si>
    <t>Đắp K98</t>
  </si>
  <si>
    <t>Tính ra đất mua</t>
  </si>
  <si>
    <t>14a</t>
  </si>
  <si>
    <t>Vận chuyển đất cấp 3 về bãi tập kết tại bãi đúc cấu kiện Km1+300 tuyến số 3 phạm vi trung bình 1km</t>
  </si>
  <si>
    <t>100m3/km</t>
  </si>
  <si>
    <t>19a</t>
  </si>
  <si>
    <t>19b</t>
  </si>
  <si>
    <t>26a</t>
  </si>
  <si>
    <t>26b</t>
  </si>
  <si>
    <t>29a</t>
  </si>
  <si>
    <t>29b</t>
  </si>
  <si>
    <t>31a</t>
  </si>
  <si>
    <t>30a</t>
  </si>
  <si>
    <t>30b</t>
  </si>
  <si>
    <t>32a</t>
  </si>
  <si>
    <t>5a</t>
  </si>
  <si>
    <t>Đào nền, rãnh, khuôn đá C3 bằng máy đào gắn đầu búa thủy lực</t>
  </si>
  <si>
    <t>5b</t>
  </si>
  <si>
    <t>Đào nền, rãnh, khuôn đá C2 bằng búa căn</t>
  </si>
  <si>
    <t>10a</t>
  </si>
  <si>
    <t>Đất vận chuyển để đắp cho đoạn giữa</t>
  </si>
  <si>
    <t>23b</t>
  </si>
  <si>
    <t>25a</t>
  </si>
  <si>
    <t>Rải thảm mặt đường bê tông nhựa (Loại C16) dày  7cm</t>
  </si>
  <si>
    <t>Tận dụng luân chuyển đắp</t>
  </si>
  <si>
    <t>Đất đào</t>
  </si>
  <si>
    <t>Đắp tận dụng K95</t>
  </si>
  <si>
    <t>Tuyến 3 TT Ngọc Lặc (Km0+00 - Km2+678,92)</t>
  </si>
  <si>
    <t>Vận chuyển bê tông nhựa cự ly 19,81km tiếp theo</t>
  </si>
  <si>
    <t>33a</t>
  </si>
  <si>
    <t>37a</t>
  </si>
  <si>
    <t>37b</t>
  </si>
  <si>
    <t>39a</t>
  </si>
  <si>
    <t>95a</t>
  </si>
  <si>
    <t>Bổ sung hoàn trả mương cũ</t>
  </si>
  <si>
    <t>100 m2</t>
  </si>
  <si>
    <t>Cắt BTCT dày 25cm thân công hộp để đấu nối</t>
  </si>
  <si>
    <t>100 m3</t>
  </si>
  <si>
    <t>Lắp đặt ống nhựa HDPE D200</t>
  </si>
  <si>
    <t>Vuốt nối điểm cuối tuyến số 3 vào đường ngang hiện hữu</t>
  </si>
  <si>
    <t>Khối lượng sau điều chỉnh</t>
  </si>
  <si>
    <t>Tổng</t>
  </si>
  <si>
    <t>Điều chỉnh theo Quyết định 207/QĐ-BQLDANN</t>
  </si>
  <si>
    <t>Đơn mới bổ sung (đã nhân HSGT 99.98%)</t>
  </si>
  <si>
    <t>Đơn giá</t>
  </si>
  <si>
    <t>Sau điều chỉnh bổ sung</t>
  </si>
  <si>
    <t>Vạn Cường</t>
  </si>
  <si>
    <t>Sau điều chỉnh</t>
  </si>
  <si>
    <t>Hợp đồng</t>
  </si>
  <si>
    <t>2 đèn</t>
  </si>
  <si>
    <t xml:space="preserve">A Hải tính toán lại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</si>
</sst>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164" formatCode="_(* #,##0.00_);_(* \(#,##0.00\);_(* &quot;-&quot;??_);_(@_)"/>
    <numFmt numFmtId="165" formatCode="_-* #,##0.00\ _₫_-;\-* #,##0.00\ _₫_-;_-* &quot;-&quot;??\ _₫_-;_-@_-"/>
    <numFmt numFmtId="166" formatCode="_-* #,##0\ _₫_-;\-* #,##0\ _₫_-;_-* &quot;-&quot;??\ _₫_-;_-@_-"/>
    <numFmt numFmtId="167" formatCode="0.000"/>
    <numFmt numFmtId="168" formatCode="_-* #,##0.0\ _₫_-;\-* #,##0.0\ _₫_-;_-* &quot;-&quot;??\ _₫_-;_-@_-"/>
    <numFmt numFmtId="169" formatCode="_-* #,##0.000\ _₫_-;\-* #,##0.000\ _₫_-;_-* &quot;-&quot;??\ _₫_-;_-@_-"/>
    <numFmt numFmtId="170" formatCode="#,##0;[Red]#,##0"/>
    <numFmt numFmtId="171" formatCode="0.000000"/>
    <numFmt numFmtId="172" formatCode="#,##0.000"/>
  </numFmts>
  <fonts count="37">
    <font>
      <sz val="11"/>
      <color theme="1"/>
      <name val="Calibri"/>
      <family val="2"/>
      <charset val="163"/>
      <scheme val="minor"/>
    </font>
    <font>
      <sz val="11"/>
      <color theme="1"/>
      <name val="Calibri"/>
      <family val="2"/>
      <scheme val="minor"/>
    </font>
    <font>
      <sz val="11"/>
      <color theme="1"/>
      <name val="Calibri"/>
      <family val="2"/>
      <scheme val="minor"/>
    </font>
    <font>
      <sz val="11"/>
      <color theme="1"/>
      <name val="Calibri"/>
      <family val="2"/>
      <charset val="163"/>
      <scheme val="minor"/>
    </font>
    <font>
      <b/>
      <sz val="12"/>
      <color rgb="FFFF0000"/>
      <name val="Times New Roman"/>
      <family val="1"/>
    </font>
    <font>
      <sz val="12"/>
      <color rgb="FFFF0000"/>
      <name val="Times New Roman"/>
      <family val="1"/>
    </font>
    <font>
      <sz val="12"/>
      <color theme="1"/>
      <name val="Times New Roman"/>
      <family val="1"/>
    </font>
    <font>
      <sz val="11"/>
      <color theme="1"/>
      <name val="Times New Roman"/>
      <family val="1"/>
    </font>
    <font>
      <sz val="11"/>
      <color rgb="FFFF0000"/>
      <name val="Times New Roman"/>
      <family val="1"/>
    </font>
    <font>
      <b/>
      <sz val="11"/>
      <color theme="1"/>
      <name val="Times New Roman"/>
      <family val="1"/>
    </font>
    <font>
      <b/>
      <sz val="12"/>
      <color theme="1"/>
      <name val="Times New Roman"/>
      <family val="1"/>
    </font>
    <font>
      <b/>
      <sz val="11"/>
      <name val="Times New Roman"/>
      <family val="1"/>
    </font>
    <font>
      <i/>
      <sz val="12"/>
      <color theme="1"/>
      <name val="Times New Roman"/>
      <family val="1"/>
    </font>
    <font>
      <sz val="10"/>
      <name val=".VnArial"/>
      <family val="2"/>
    </font>
    <font>
      <b/>
      <sz val="12"/>
      <name val="Times New Roman"/>
      <family val="1"/>
    </font>
    <font>
      <sz val="12"/>
      <name val="Times New Roman"/>
      <family val="1"/>
    </font>
    <font>
      <b/>
      <sz val="11"/>
      <color rgb="FFFF0000"/>
      <name val="Times New Roman"/>
      <family val="1"/>
    </font>
    <font>
      <sz val="12"/>
      <name val=".VnTime"/>
      <family val="2"/>
    </font>
    <font>
      <i/>
      <sz val="12"/>
      <color rgb="FFFF0000"/>
      <name val="Times New Roman"/>
      <family val="1"/>
    </font>
    <font>
      <sz val="8.25"/>
      <name val="Microsoft Sans Serif"/>
      <family val="2"/>
    </font>
    <font>
      <b/>
      <sz val="14"/>
      <color theme="1"/>
      <name val="Times New Roman"/>
      <family val="1"/>
    </font>
    <font>
      <b/>
      <sz val="12"/>
      <color theme="1"/>
      <name val="Calibri"/>
      <family val="2"/>
      <charset val="163"/>
      <scheme val="minor"/>
    </font>
    <font>
      <sz val="11"/>
      <color theme="0"/>
      <name val="Times New Roman"/>
      <family val="1"/>
    </font>
    <font>
      <b/>
      <sz val="10"/>
      <color theme="1"/>
      <name val="Times New Roman"/>
      <family val="1"/>
      <charset val="163"/>
    </font>
    <font>
      <b/>
      <sz val="13"/>
      <color theme="1"/>
      <name val="Times New Roman"/>
      <family val="1"/>
      <charset val="163"/>
    </font>
    <font>
      <sz val="14"/>
      <color theme="1"/>
      <name val="Times New Roman"/>
      <family val="1"/>
      <charset val="163"/>
    </font>
    <font>
      <i/>
      <sz val="14"/>
      <color theme="1"/>
      <name val="Times New Roman"/>
      <family val="1"/>
      <charset val="163"/>
    </font>
    <font>
      <sz val="11"/>
      <name val="Times New Roman"/>
      <family val="1"/>
    </font>
    <font>
      <b/>
      <sz val="9"/>
      <color indexed="81"/>
      <name val="Tahoma"/>
      <family val="2"/>
    </font>
    <font>
      <sz val="9"/>
      <color indexed="81"/>
      <name val="Tahoma"/>
      <family val="2"/>
    </font>
    <font>
      <b/>
      <sz val="12"/>
      <name val="Calibri Light"/>
      <family val="1"/>
      <scheme val="major"/>
    </font>
    <font>
      <sz val="12"/>
      <color theme="1"/>
      <name val="Calibri Light"/>
      <family val="1"/>
      <scheme val="major"/>
    </font>
    <font>
      <sz val="12"/>
      <name val="Calibri Light"/>
      <family val="1"/>
      <scheme val="major"/>
    </font>
    <font>
      <sz val="12"/>
      <color rgb="FFFF0000"/>
      <name val="Calibri Light"/>
      <family val="1"/>
      <scheme val="major"/>
    </font>
    <font>
      <b/>
      <sz val="12"/>
      <color rgb="FFFF0000"/>
      <name val="Calibri Light"/>
      <family val="1"/>
      <scheme val="major"/>
    </font>
    <font>
      <b/>
      <sz val="12"/>
      <color theme="1"/>
      <name val="Calibri Light"/>
      <family val="1"/>
      <scheme val="major"/>
    </font>
    <font>
      <sz val="16"/>
      <color theme="1"/>
      <name val="Calibri Light"/>
      <family val="1"/>
      <scheme val="major"/>
    </font>
  </fonts>
  <fills count="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rgb="FF00B05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style="hair">
        <color indexed="64"/>
      </bottom>
      <diagonal/>
    </border>
  </borders>
  <cellStyleXfs count="9">
    <xf numFmtId="0" fontId="0" fillId="0" borderId="0"/>
    <xf numFmtId="165" fontId="3" fillId="0" borderId="0" applyFont="0" applyFill="0" applyBorder="0" applyAlignment="0" applyProtection="0"/>
    <xf numFmtId="164" fontId="13" fillId="0" borderId="0" applyFont="0" applyFill="0" applyBorder="0" applyAlignment="0" applyProtection="0"/>
    <xf numFmtId="0" fontId="2" fillId="0" borderId="0"/>
    <xf numFmtId="0" fontId="19" fillId="0" borderId="0">
      <protection locked="0"/>
    </xf>
    <xf numFmtId="0" fontId="13" fillId="0" borderId="0"/>
    <xf numFmtId="0" fontId="1" fillId="0" borderId="0"/>
    <xf numFmtId="0" fontId="17" fillId="0" borderId="0"/>
    <xf numFmtId="164" fontId="1" fillId="0" borderId="0" applyFont="0" applyFill="0" applyBorder="0" applyAlignment="0" applyProtection="0"/>
  </cellStyleXfs>
  <cellXfs count="221">
    <xf numFmtId="0" fontId="0" fillId="0" borderId="0" xfId="0"/>
    <xf numFmtId="0" fontId="14" fillId="2" borderId="3" xfId="2" applyNumberFormat="1" applyFont="1" applyFill="1" applyBorder="1" applyAlignment="1">
      <alignment horizontal="center" vertical="center" wrapText="1"/>
    </xf>
    <xf numFmtId="0" fontId="15" fillId="2" borderId="3" xfId="2" applyNumberFormat="1" applyFont="1" applyFill="1" applyBorder="1" applyAlignment="1">
      <alignment horizontal="center" vertical="center" wrapText="1"/>
    </xf>
    <xf numFmtId="0" fontId="5" fillId="2" borderId="3" xfId="2" applyNumberFormat="1" applyFont="1" applyFill="1" applyBorder="1" applyAlignment="1">
      <alignment horizontal="center" vertical="center" wrapText="1"/>
    </xf>
    <xf numFmtId="166" fontId="9" fillId="2" borderId="3" xfId="1" applyNumberFormat="1" applyFont="1" applyFill="1" applyBorder="1" applyAlignment="1">
      <alignment horizontal="right" vertical="center" wrapText="1"/>
    </xf>
    <xf numFmtId="0" fontId="9" fillId="2" borderId="0" xfId="0" applyFont="1" applyFill="1"/>
    <xf numFmtId="167" fontId="9" fillId="2" borderId="3" xfId="0" applyNumberFormat="1" applyFont="1" applyFill="1" applyBorder="1" applyAlignment="1">
      <alignment horizontal="right" vertical="center" wrapText="1"/>
    </xf>
    <xf numFmtId="0" fontId="6" fillId="2" borderId="0" xfId="0" applyFont="1" applyFill="1"/>
    <xf numFmtId="0" fontId="7" fillId="2" borderId="0" xfId="0" applyFont="1" applyFill="1"/>
    <xf numFmtId="49" fontId="9" fillId="2" borderId="1" xfId="0" applyNumberFormat="1" applyFont="1" applyFill="1" applyBorder="1" applyAlignment="1">
      <alignment horizontal="center" vertical="center" wrapText="1"/>
    </xf>
    <xf numFmtId="0" fontId="9" fillId="2" borderId="3" xfId="0" applyFont="1" applyFill="1" applyBorder="1" applyAlignment="1">
      <alignment horizontal="left" vertical="center" wrapText="1"/>
    </xf>
    <xf numFmtId="0" fontId="9" fillId="2" borderId="3" xfId="0" applyFont="1" applyFill="1" applyBorder="1" applyAlignment="1">
      <alignment horizontal="right" vertical="center" wrapText="1"/>
    </xf>
    <xf numFmtId="0" fontId="7" fillId="2" borderId="3" xfId="0" applyFont="1" applyFill="1" applyBorder="1" applyAlignment="1">
      <alignment horizontal="left" vertical="center" wrapText="1"/>
    </xf>
    <xf numFmtId="0" fontId="7" fillId="2" borderId="3" xfId="0" applyFont="1" applyFill="1" applyBorder="1" applyAlignment="1">
      <alignment horizontal="right" vertical="center" wrapText="1"/>
    </xf>
    <xf numFmtId="166" fontId="7" fillId="2" borderId="3" xfId="1" applyNumberFormat="1" applyFont="1" applyFill="1" applyBorder="1" applyAlignment="1">
      <alignment horizontal="right" vertical="center" wrapText="1"/>
    </xf>
    <xf numFmtId="0" fontId="8" fillId="2" borderId="3" xfId="0" applyFont="1" applyFill="1" applyBorder="1" applyAlignment="1">
      <alignment horizontal="left" vertical="center" wrapText="1"/>
    </xf>
    <xf numFmtId="0" fontId="8" fillId="2" borderId="3" xfId="0" applyFont="1" applyFill="1" applyBorder="1" applyAlignment="1">
      <alignment horizontal="right" vertical="center" wrapText="1"/>
    </xf>
    <xf numFmtId="166" fontId="8" fillId="2" borderId="3" xfId="1" applyNumberFormat="1" applyFont="1" applyFill="1" applyBorder="1" applyAlignment="1">
      <alignment horizontal="right" vertical="center" wrapText="1"/>
    </xf>
    <xf numFmtId="0" fontId="8" fillId="2" borderId="0" xfId="0" applyFont="1" applyFill="1"/>
    <xf numFmtId="0" fontId="4" fillId="2" borderId="3" xfId="2" applyNumberFormat="1" applyFont="1" applyFill="1" applyBorder="1" applyAlignment="1">
      <alignment horizontal="center" vertical="center" wrapText="1"/>
    </xf>
    <xf numFmtId="0" fontId="16" fillId="2" borderId="3" xfId="0" applyFont="1" applyFill="1" applyBorder="1" applyAlignment="1">
      <alignment horizontal="left" vertical="center" wrapText="1"/>
    </xf>
    <xf numFmtId="0" fontId="16" fillId="2" borderId="3" xfId="0" applyFont="1" applyFill="1" applyBorder="1" applyAlignment="1">
      <alignment horizontal="right" vertical="center" wrapText="1"/>
    </xf>
    <xf numFmtId="166" fontId="16" fillId="2" borderId="3" xfId="1" applyNumberFormat="1" applyFont="1" applyFill="1" applyBorder="1" applyAlignment="1">
      <alignment horizontal="right" vertical="center" wrapText="1"/>
    </xf>
    <xf numFmtId="0" fontId="16" fillId="2" borderId="0" xfId="0" applyFont="1" applyFill="1"/>
    <xf numFmtId="0" fontId="9" fillId="2" borderId="1" xfId="0" applyFont="1" applyFill="1" applyBorder="1"/>
    <xf numFmtId="0" fontId="9" fillId="2" borderId="1" xfId="0" applyFont="1" applyFill="1" applyBorder="1" applyAlignment="1">
      <alignment horizontal="right" vertical="center" wrapText="1"/>
    </xf>
    <xf numFmtId="0" fontId="7" fillId="2" borderId="1" xfId="0" applyFont="1" applyFill="1" applyBorder="1"/>
    <xf numFmtId="0" fontId="7" fillId="2" borderId="1" xfId="0" applyFont="1" applyFill="1" applyBorder="1" applyAlignment="1">
      <alignment horizontal="right" vertical="center" wrapText="1"/>
    </xf>
    <xf numFmtId="166" fontId="7" fillId="2" borderId="1" xfId="1" applyNumberFormat="1" applyFont="1" applyFill="1" applyBorder="1" applyAlignment="1">
      <alignment horizontal="right" vertical="center" wrapText="1"/>
    </xf>
    <xf numFmtId="166" fontId="9" fillId="2" borderId="1" xfId="1" applyNumberFormat="1" applyFont="1" applyFill="1" applyBorder="1" applyAlignment="1">
      <alignment horizontal="right" vertical="center" wrapText="1"/>
    </xf>
    <xf numFmtId="167" fontId="7" fillId="2" borderId="3" xfId="0" applyNumberFormat="1" applyFont="1" applyFill="1" applyBorder="1" applyAlignment="1">
      <alignment horizontal="right" vertical="center" wrapText="1"/>
    </xf>
    <xf numFmtId="166" fontId="7" fillId="2" borderId="0" xfId="0" applyNumberFormat="1" applyFont="1" applyFill="1"/>
    <xf numFmtId="167" fontId="8" fillId="2" borderId="3" xfId="0" applyNumberFormat="1" applyFont="1" applyFill="1" applyBorder="1" applyAlignment="1">
      <alignment horizontal="right" vertical="center" wrapText="1"/>
    </xf>
    <xf numFmtId="0" fontId="10" fillId="2" borderId="0" xfId="0" applyFont="1" applyFill="1" applyAlignment="1">
      <alignment vertical="center" wrapText="1"/>
    </xf>
    <xf numFmtId="0" fontId="4" fillId="2" borderId="3" xfId="0" applyFont="1" applyFill="1" applyBorder="1" applyAlignment="1">
      <alignment horizontal="center" vertical="center" wrapText="1"/>
    </xf>
    <xf numFmtId="0" fontId="16" fillId="2" borderId="3" xfId="3" applyFont="1" applyFill="1" applyBorder="1" applyAlignment="1">
      <alignment horizontal="justify" vertical="center" wrapText="1"/>
    </xf>
    <xf numFmtId="167" fontId="16" fillId="2" borderId="3" xfId="0" applyNumberFormat="1" applyFont="1" applyFill="1" applyBorder="1" applyAlignment="1">
      <alignment horizontal="right" vertical="center" wrapText="1"/>
    </xf>
    <xf numFmtId="166" fontId="9" fillId="2" borderId="0" xfId="1" applyNumberFormat="1" applyFont="1" applyFill="1" applyBorder="1" applyAlignment="1">
      <alignment horizontal="right" vertical="center" wrapText="1"/>
    </xf>
    <xf numFmtId="0" fontId="9" fillId="2" borderId="5" xfId="0" applyFont="1" applyFill="1" applyBorder="1"/>
    <xf numFmtId="168" fontId="7" fillId="2" borderId="3" xfId="1" applyNumberFormat="1" applyFont="1" applyFill="1" applyBorder="1" applyAlignment="1">
      <alignment horizontal="right" vertical="center" wrapText="1"/>
    </xf>
    <xf numFmtId="165" fontId="7" fillId="2" borderId="1" xfId="1" applyFont="1" applyFill="1" applyBorder="1" applyAlignment="1">
      <alignment horizontal="right" vertical="center" wrapText="1"/>
    </xf>
    <xf numFmtId="0" fontId="9" fillId="2" borderId="1" xfId="0" applyFont="1" applyFill="1" applyBorder="1" applyAlignment="1">
      <alignment horizontal="center"/>
    </xf>
    <xf numFmtId="169" fontId="7" fillId="2" borderId="3" xfId="1" applyNumberFormat="1" applyFont="1" applyFill="1" applyBorder="1" applyAlignment="1">
      <alignment horizontal="right" vertical="center" wrapText="1"/>
    </xf>
    <xf numFmtId="0" fontId="14" fillId="2" borderId="0" xfId="2" applyNumberFormat="1"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0" xfId="0" applyFont="1" applyFill="1" applyAlignment="1">
      <alignment horizontal="right" vertical="center" wrapText="1"/>
    </xf>
    <xf numFmtId="167" fontId="9" fillId="2" borderId="0" xfId="0" applyNumberFormat="1" applyFont="1" applyFill="1" applyAlignment="1">
      <alignment horizontal="right" vertical="center" wrapText="1"/>
    </xf>
    <xf numFmtId="0" fontId="15" fillId="2" borderId="1" xfId="2" applyNumberFormat="1" applyFont="1" applyFill="1" applyBorder="1" applyAlignment="1">
      <alignment horizontal="center" vertical="center" wrapText="1"/>
    </xf>
    <xf numFmtId="167" fontId="7" fillId="2" borderId="1" xfId="0" applyNumberFormat="1" applyFont="1" applyFill="1" applyBorder="1" applyAlignment="1">
      <alignment horizontal="right" vertical="center" wrapText="1"/>
    </xf>
    <xf numFmtId="0" fontId="14" fillId="2" borderId="1" xfId="2" applyNumberFormat="1" applyFont="1" applyFill="1" applyBorder="1" applyAlignment="1">
      <alignment horizontal="center" vertical="center" wrapText="1"/>
    </xf>
    <xf numFmtId="167" fontId="9" fillId="2" borderId="1" xfId="0" applyNumberFormat="1" applyFont="1" applyFill="1" applyBorder="1" applyAlignment="1">
      <alignment horizontal="right" vertical="center" wrapText="1"/>
    </xf>
    <xf numFmtId="0" fontId="9" fillId="2" borderId="2" xfId="0" applyFont="1" applyFill="1" applyBorder="1" applyAlignment="1">
      <alignment horizontal="center" vertical="center" wrapText="1"/>
    </xf>
    <xf numFmtId="49" fontId="9" fillId="2" borderId="2" xfId="0" applyNumberFormat="1" applyFont="1" applyFill="1" applyBorder="1" applyAlignment="1">
      <alignment horizontal="center" vertical="center" wrapText="1"/>
    </xf>
    <xf numFmtId="0" fontId="10" fillId="2" borderId="0" xfId="0" applyFont="1" applyFill="1" applyAlignment="1">
      <alignment horizontal="center" vertical="center" wrapText="1"/>
    </xf>
    <xf numFmtId="0" fontId="21" fillId="2" borderId="0" xfId="0" applyFont="1" applyFill="1" applyAlignment="1">
      <alignment horizontal="center" vertical="center" wrapText="1"/>
    </xf>
    <xf numFmtId="0" fontId="9" fillId="2" borderId="1" xfId="0" applyFont="1" applyFill="1" applyBorder="1" applyAlignment="1">
      <alignment horizontal="center" vertical="center" wrapText="1"/>
    </xf>
    <xf numFmtId="167" fontId="22" fillId="2" borderId="1" xfId="0" applyNumberFormat="1" applyFont="1" applyFill="1" applyBorder="1"/>
    <xf numFmtId="0" fontId="10" fillId="2" borderId="0" xfId="0" applyFont="1" applyFill="1" applyAlignment="1">
      <alignment horizontal="left" vertical="center" wrapText="1"/>
    </xf>
    <xf numFmtId="0" fontId="24" fillId="0" borderId="0" xfId="0" applyFont="1" applyAlignment="1">
      <alignment horizontal="center"/>
    </xf>
    <xf numFmtId="0" fontId="23" fillId="2" borderId="0" xfId="0" applyFont="1" applyFill="1" applyAlignment="1">
      <alignment vertical="center" wrapText="1"/>
    </xf>
    <xf numFmtId="0" fontId="9" fillId="2" borderId="0" xfId="0" applyFont="1" applyFill="1" applyAlignment="1">
      <alignment vertical="center" wrapText="1"/>
    </xf>
    <xf numFmtId="0" fontId="7" fillId="0" borderId="0" xfId="0" applyFont="1" applyAlignment="1">
      <alignment vertical="center" wrapText="1"/>
    </xf>
    <xf numFmtId="0" fontId="25" fillId="0" borderId="0" xfId="0" applyFont="1" applyAlignment="1">
      <alignment horizontal="center" vertical="center"/>
    </xf>
    <xf numFmtId="0" fontId="15" fillId="3" borderId="3" xfId="2" applyNumberFormat="1" applyFont="1" applyFill="1" applyBorder="1" applyAlignment="1">
      <alignment horizontal="center" vertical="center" wrapText="1"/>
    </xf>
    <xf numFmtId="0" fontId="7" fillId="3" borderId="3" xfId="0" applyFont="1" applyFill="1" applyBorder="1" applyAlignment="1">
      <alignment horizontal="left" vertical="center" wrapText="1"/>
    </xf>
    <xf numFmtId="0" fontId="7" fillId="3" borderId="3" xfId="0" applyFont="1" applyFill="1" applyBorder="1" applyAlignment="1">
      <alignment horizontal="right" vertical="center" wrapText="1"/>
    </xf>
    <xf numFmtId="167" fontId="7" fillId="3" borderId="3" xfId="0" applyNumberFormat="1" applyFont="1" applyFill="1" applyBorder="1" applyAlignment="1">
      <alignment horizontal="right" vertical="center" wrapText="1"/>
    </xf>
    <xf numFmtId="166" fontId="7" fillId="3" borderId="3" xfId="1" applyNumberFormat="1" applyFont="1" applyFill="1" applyBorder="1" applyAlignment="1">
      <alignment horizontal="right" vertical="center" wrapText="1"/>
    </xf>
    <xf numFmtId="0" fontId="7" fillId="3" borderId="0" xfId="0" applyFont="1" applyFill="1"/>
    <xf numFmtId="0" fontId="5" fillId="3" borderId="3" xfId="2" applyNumberFormat="1" applyFont="1" applyFill="1" applyBorder="1" applyAlignment="1">
      <alignment horizontal="center" vertical="center" wrapText="1"/>
    </xf>
    <xf numFmtId="0" fontId="8" fillId="3" borderId="3" xfId="0" applyFont="1" applyFill="1" applyBorder="1" applyAlignment="1">
      <alignment horizontal="left" vertical="center" wrapText="1"/>
    </xf>
    <xf numFmtId="0" fontId="8" fillId="3" borderId="3" xfId="0" applyFont="1" applyFill="1" applyBorder="1" applyAlignment="1">
      <alignment horizontal="right" vertical="center" wrapText="1"/>
    </xf>
    <xf numFmtId="167" fontId="8" fillId="3" borderId="3" xfId="0" applyNumberFormat="1" applyFont="1" applyFill="1" applyBorder="1" applyAlignment="1">
      <alignment horizontal="right" vertical="center" wrapText="1"/>
    </xf>
    <xf numFmtId="166" fontId="8" fillId="3" borderId="3" xfId="1" applyNumberFormat="1" applyFont="1" applyFill="1" applyBorder="1" applyAlignment="1">
      <alignment horizontal="right" vertical="center" wrapText="1"/>
    </xf>
    <xf numFmtId="0" fontId="8" fillId="3" borderId="0" xfId="0" applyFont="1" applyFill="1"/>
    <xf numFmtId="0" fontId="15" fillId="4" borderId="3" xfId="2" applyNumberFormat="1" applyFont="1" applyFill="1" applyBorder="1" applyAlignment="1">
      <alignment horizontal="center" vertical="center" wrapText="1"/>
    </xf>
    <xf numFmtId="0" fontId="7" fillId="4" borderId="3" xfId="0" applyFont="1" applyFill="1" applyBorder="1" applyAlignment="1">
      <alignment horizontal="left" vertical="center" wrapText="1"/>
    </xf>
    <xf numFmtId="0" fontId="7" fillId="4" borderId="3" xfId="0" applyFont="1" applyFill="1" applyBorder="1" applyAlignment="1">
      <alignment horizontal="right" vertical="center" wrapText="1"/>
    </xf>
    <xf numFmtId="167" fontId="7" fillId="4" borderId="3" xfId="0" applyNumberFormat="1" applyFont="1" applyFill="1" applyBorder="1" applyAlignment="1">
      <alignment horizontal="right" vertical="center" wrapText="1"/>
    </xf>
    <xf numFmtId="166" fontId="7" fillId="4" borderId="3" xfId="1" applyNumberFormat="1" applyFont="1" applyFill="1" applyBorder="1" applyAlignment="1">
      <alignment horizontal="right" vertical="center" wrapText="1"/>
    </xf>
    <xf numFmtId="0" fontId="7" fillId="4" borderId="0" xfId="0" applyFont="1" applyFill="1"/>
    <xf numFmtId="0" fontId="5" fillId="4" borderId="3" xfId="2" applyNumberFormat="1" applyFont="1" applyFill="1" applyBorder="1" applyAlignment="1">
      <alignment horizontal="center" vertical="center" wrapText="1"/>
    </xf>
    <xf numFmtId="0" fontId="8" fillId="4" borderId="3" xfId="0" applyFont="1" applyFill="1" applyBorder="1" applyAlignment="1">
      <alignment horizontal="left" vertical="center" wrapText="1"/>
    </xf>
    <xf numFmtId="0" fontId="8" fillId="4" borderId="3" xfId="0" applyFont="1" applyFill="1" applyBorder="1" applyAlignment="1">
      <alignment horizontal="right" vertical="center" wrapText="1"/>
    </xf>
    <xf numFmtId="167" fontId="8" fillId="4" borderId="3" xfId="0" applyNumberFormat="1" applyFont="1" applyFill="1" applyBorder="1" applyAlignment="1">
      <alignment horizontal="right" vertical="center" wrapText="1"/>
    </xf>
    <xf numFmtId="166" fontId="8" fillId="4" borderId="3" xfId="1" applyNumberFormat="1" applyFont="1" applyFill="1" applyBorder="1" applyAlignment="1">
      <alignment horizontal="right" vertical="center" wrapText="1"/>
    </xf>
    <xf numFmtId="0" fontId="8" fillId="4" borderId="0" xfId="0" applyFont="1" applyFill="1"/>
    <xf numFmtId="0" fontId="14" fillId="3" borderId="3" xfId="2" applyNumberFormat="1" applyFont="1" applyFill="1" applyBorder="1" applyAlignment="1">
      <alignment horizontal="center" vertical="center" wrapText="1"/>
    </xf>
    <xf numFmtId="0" fontId="9" fillId="3" borderId="3" xfId="0" applyFont="1" applyFill="1" applyBorder="1" applyAlignment="1">
      <alignment horizontal="left" vertical="center" wrapText="1"/>
    </xf>
    <xf numFmtId="0" fontId="9" fillId="3" borderId="3" xfId="0" applyFont="1" applyFill="1" applyBorder="1" applyAlignment="1">
      <alignment horizontal="right" vertical="center" wrapText="1"/>
    </xf>
    <xf numFmtId="167" fontId="9" fillId="3" borderId="3" xfId="0" applyNumberFormat="1" applyFont="1" applyFill="1" applyBorder="1" applyAlignment="1">
      <alignment horizontal="right" vertical="center" wrapText="1"/>
    </xf>
    <xf numFmtId="166" fontId="9" fillId="3" borderId="3" xfId="1" applyNumberFormat="1" applyFont="1" applyFill="1" applyBorder="1" applyAlignment="1">
      <alignment horizontal="right" vertical="center" wrapText="1"/>
    </xf>
    <xf numFmtId="0" fontId="9" fillId="3" borderId="0" xfId="0" applyFont="1" applyFill="1"/>
    <xf numFmtId="0" fontId="7" fillId="2" borderId="3" xfId="0" applyFont="1" applyFill="1" applyBorder="1"/>
    <xf numFmtId="0" fontId="9" fillId="2" borderId="3" xfId="0" applyFont="1" applyFill="1" applyBorder="1"/>
    <xf numFmtId="49" fontId="9" fillId="2" borderId="3" xfId="0" applyNumberFormat="1" applyFont="1" applyFill="1" applyBorder="1" applyAlignment="1">
      <alignment horizontal="center" vertical="center" wrapText="1"/>
    </xf>
    <xf numFmtId="166" fontId="9" fillId="2" borderId="3" xfId="0" applyNumberFormat="1" applyFont="1" applyFill="1" applyBorder="1"/>
    <xf numFmtId="0" fontId="16" fillId="2" borderId="3" xfId="0" applyFont="1" applyFill="1" applyBorder="1"/>
    <xf numFmtId="0" fontId="7" fillId="3" borderId="3" xfId="0" applyFont="1" applyFill="1" applyBorder="1"/>
    <xf numFmtId="0" fontId="8" fillId="3" borderId="3" xfId="0" applyFont="1" applyFill="1" applyBorder="1"/>
    <xf numFmtId="0" fontId="8" fillId="2" borderId="3" xfId="0" applyFont="1" applyFill="1" applyBorder="1"/>
    <xf numFmtId="0" fontId="7" fillId="4" borderId="3" xfId="0" applyFont="1" applyFill="1" applyBorder="1"/>
    <xf numFmtId="0" fontId="8" fillId="4" borderId="3" xfId="0" applyFont="1" applyFill="1" applyBorder="1"/>
    <xf numFmtId="0" fontId="9" fillId="3" borderId="3" xfId="0" applyFont="1" applyFill="1" applyBorder="1"/>
    <xf numFmtId="165" fontId="7" fillId="2" borderId="3" xfId="1" applyFont="1" applyFill="1" applyBorder="1" applyAlignment="1">
      <alignment horizontal="right" vertical="center" wrapText="1"/>
    </xf>
    <xf numFmtId="166" fontId="7" fillId="2" borderId="3" xfId="0" applyNumberFormat="1" applyFont="1" applyFill="1" applyBorder="1"/>
    <xf numFmtId="166" fontId="9" fillId="2" borderId="15" xfId="1" applyNumberFormat="1" applyFont="1" applyFill="1" applyBorder="1" applyAlignment="1">
      <alignment horizontal="right" vertical="center" wrapText="1"/>
    </xf>
    <xf numFmtId="0" fontId="9" fillId="2" borderId="15" xfId="0" applyFont="1" applyFill="1" applyBorder="1"/>
    <xf numFmtId="167" fontId="27" fillId="0" borderId="3" xfId="0" applyNumberFormat="1" applyFont="1" applyBorder="1" applyAlignment="1">
      <alignment horizontal="right" vertical="center" wrapText="1"/>
    </xf>
    <xf numFmtId="0" fontId="31" fillId="0" borderId="0" xfId="0" applyFont="1"/>
    <xf numFmtId="49" fontId="30" fillId="0" borderId="1" xfId="0" applyNumberFormat="1" applyFont="1" applyBorder="1" applyAlignment="1">
      <alignment horizontal="center" vertical="center" wrapText="1"/>
    </xf>
    <xf numFmtId="0" fontId="30" fillId="0" borderId="3" xfId="0" applyFont="1" applyBorder="1" applyAlignment="1">
      <alignment horizontal="center" vertical="center" wrapText="1"/>
    </xf>
    <xf numFmtId="0" fontId="30" fillId="0" borderId="3" xfId="0" applyFont="1" applyBorder="1" applyAlignment="1">
      <alignment horizontal="left" vertical="center" wrapText="1"/>
    </xf>
    <xf numFmtId="0" fontId="30" fillId="0" borderId="3" xfId="2" applyNumberFormat="1" applyFont="1" applyFill="1" applyBorder="1" applyAlignment="1">
      <alignment horizontal="center" vertical="center" wrapText="1"/>
    </xf>
    <xf numFmtId="0" fontId="32" fillId="0" borderId="3" xfId="2" applyNumberFormat="1" applyFont="1" applyFill="1" applyBorder="1" applyAlignment="1">
      <alignment horizontal="center" vertical="center" wrapText="1"/>
    </xf>
    <xf numFmtId="0" fontId="33" fillId="0" borderId="3" xfId="0" applyFont="1" applyBorder="1" applyAlignment="1">
      <alignment horizontal="left" vertical="center" wrapText="1"/>
    </xf>
    <xf numFmtId="0" fontId="32" fillId="0" borderId="3" xfId="0" applyFont="1" applyBorder="1" applyAlignment="1">
      <alignment horizontal="center" vertical="center" wrapText="1"/>
    </xf>
    <xf numFmtId="0" fontId="32" fillId="0" borderId="3" xfId="0" applyFont="1" applyBorder="1" applyAlignment="1">
      <alignment horizontal="left" vertical="center" wrapText="1"/>
    </xf>
    <xf numFmtId="0" fontId="34" fillId="0" borderId="3" xfId="0" applyFont="1" applyBorder="1" applyAlignment="1">
      <alignment horizontal="left" vertical="center" wrapText="1"/>
    </xf>
    <xf numFmtId="170" fontId="32" fillId="0" borderId="3" xfId="1" applyNumberFormat="1" applyFont="1" applyFill="1" applyBorder="1" applyAlignment="1">
      <alignment horizontal="center" vertical="center"/>
    </xf>
    <xf numFmtId="0" fontId="31" fillId="0" borderId="1" xfId="0" applyFont="1" applyBorder="1" applyAlignment="1">
      <alignment horizontal="center" vertical="center"/>
    </xf>
    <xf numFmtId="3" fontId="31" fillId="0" borderId="0" xfId="0" applyNumberFormat="1" applyFont="1"/>
    <xf numFmtId="3" fontId="31" fillId="0" borderId="3" xfId="0" applyNumberFormat="1" applyFont="1" applyBorder="1"/>
    <xf numFmtId="3" fontId="31" fillId="0" borderId="15" xfId="0" applyNumberFormat="1" applyFont="1" applyBorder="1"/>
    <xf numFmtId="3" fontId="31" fillId="0" borderId="1" xfId="0" applyNumberFormat="1" applyFont="1" applyBorder="1" applyAlignment="1">
      <alignment horizontal="center" vertical="center"/>
    </xf>
    <xf numFmtId="0" fontId="32" fillId="4" borderId="3" xfId="2" applyNumberFormat="1" applyFont="1" applyFill="1" applyBorder="1" applyAlignment="1">
      <alignment horizontal="center" vertical="center" wrapText="1"/>
    </xf>
    <xf numFmtId="0" fontId="32" fillId="4" borderId="3" xfId="0" applyFont="1" applyFill="1" applyBorder="1" applyAlignment="1">
      <alignment horizontal="center" vertical="center" wrapText="1"/>
    </xf>
    <xf numFmtId="167" fontId="27" fillId="4" borderId="3" xfId="0" applyNumberFormat="1" applyFont="1" applyFill="1" applyBorder="1" applyAlignment="1">
      <alignment horizontal="right" vertical="center" wrapText="1"/>
    </xf>
    <xf numFmtId="3" fontId="31" fillId="4" borderId="3" xfId="0" applyNumberFormat="1" applyFont="1" applyFill="1" applyBorder="1"/>
    <xf numFmtId="0" fontId="31" fillId="4" borderId="0" xfId="0" applyFont="1" applyFill="1"/>
    <xf numFmtId="0" fontId="32" fillId="4" borderId="3" xfId="0" applyFont="1" applyFill="1" applyBorder="1" applyAlignment="1">
      <alignment horizontal="left" vertical="center" wrapText="1"/>
    </xf>
    <xf numFmtId="0" fontId="33" fillId="4" borderId="3" xfId="0" applyFont="1" applyFill="1" applyBorder="1" applyAlignment="1">
      <alignment horizontal="left" vertical="center" wrapText="1"/>
    </xf>
    <xf numFmtId="0" fontId="31" fillId="4" borderId="3" xfId="2" applyNumberFormat="1" applyFont="1" applyFill="1" applyBorder="1" applyAlignment="1">
      <alignment horizontal="center" vertical="center" wrapText="1"/>
    </xf>
    <xf numFmtId="0" fontId="31" fillId="4" borderId="3" xfId="0" applyFont="1" applyFill="1" applyBorder="1" applyAlignment="1">
      <alignment horizontal="left" vertical="center" wrapText="1"/>
    </xf>
    <xf numFmtId="0" fontId="31" fillId="4" borderId="3" xfId="0" applyFont="1" applyFill="1" applyBorder="1" applyAlignment="1">
      <alignment horizontal="center" vertical="center" wrapText="1"/>
    </xf>
    <xf numFmtId="3" fontId="35" fillId="0" borderId="3" xfId="0" applyNumberFormat="1" applyFont="1" applyBorder="1"/>
    <xf numFmtId="167" fontId="11" fillId="0" borderId="3" xfId="0" applyNumberFormat="1" applyFont="1" applyBorder="1" applyAlignment="1">
      <alignment horizontal="right" vertical="center" wrapText="1"/>
    </xf>
    <xf numFmtId="3" fontId="35" fillId="0" borderId="0" xfId="0" applyNumberFormat="1" applyFont="1"/>
    <xf numFmtId="0" fontId="35" fillId="0" borderId="0" xfId="0" applyFont="1"/>
    <xf numFmtId="3" fontId="35" fillId="0" borderId="18" xfId="0" applyNumberFormat="1" applyFont="1" applyBorder="1"/>
    <xf numFmtId="167" fontId="11" fillId="0" borderId="17" xfId="0" applyNumberFormat="1" applyFont="1" applyBorder="1" applyAlignment="1">
      <alignment horizontal="right" vertical="center" wrapText="1"/>
    </xf>
    <xf numFmtId="167" fontId="27" fillId="0" borderId="3" xfId="0" applyNumberFormat="1" applyFont="1" applyBorder="1" applyAlignment="1">
      <alignment horizontal="center" vertical="center" wrapText="1"/>
    </xf>
    <xf numFmtId="3" fontId="31" fillId="0" borderId="3" xfId="0" applyNumberFormat="1" applyFont="1" applyBorder="1" applyAlignment="1">
      <alignment horizontal="right" vertical="center"/>
    </xf>
    <xf numFmtId="167" fontId="27" fillId="3" borderId="3" xfId="0" applyNumberFormat="1" applyFont="1" applyFill="1" applyBorder="1" applyAlignment="1">
      <alignment horizontal="right" vertical="center" wrapText="1"/>
    </xf>
    <xf numFmtId="171" fontId="31" fillId="3" borderId="0" xfId="0" applyNumberFormat="1" applyFont="1" applyFill="1"/>
    <xf numFmtId="0" fontId="32" fillId="0" borderId="3" xfId="2" applyNumberFormat="1" applyFont="1" applyFill="1" applyBorder="1" applyAlignment="1">
      <alignment horizontal="right" vertical="center" wrapText="1"/>
    </xf>
    <xf numFmtId="0" fontId="32" fillId="0" borderId="3" xfId="0" applyFont="1" applyBorder="1" applyAlignment="1">
      <alignment horizontal="right" vertical="center" wrapText="1"/>
    </xf>
    <xf numFmtId="0" fontId="31" fillId="0" borderId="0" xfId="0" applyFont="1" applyAlignment="1">
      <alignment horizontal="right" vertical="center"/>
    </xf>
    <xf numFmtId="0" fontId="30" fillId="0" borderId="17" xfId="0" applyFont="1" applyBorder="1" applyAlignment="1">
      <alignment horizontal="center" vertical="center" wrapText="1"/>
    </xf>
    <xf numFmtId="0" fontId="30" fillId="5" borderId="3" xfId="2" applyNumberFormat="1" applyFont="1" applyFill="1" applyBorder="1" applyAlignment="1">
      <alignment horizontal="center" vertical="center" wrapText="1"/>
    </xf>
    <xf numFmtId="0" fontId="30" fillId="5" borderId="3" xfId="0" applyFont="1" applyFill="1" applyBorder="1" applyAlignment="1">
      <alignment horizontal="left" vertical="center" wrapText="1"/>
    </xf>
    <xf numFmtId="0" fontId="30" fillId="5" borderId="3" xfId="0" applyFont="1" applyFill="1" applyBorder="1" applyAlignment="1">
      <alignment horizontal="center" vertical="center" wrapText="1"/>
    </xf>
    <xf numFmtId="167" fontId="27" fillId="5" borderId="3" xfId="0" applyNumberFormat="1" applyFont="1" applyFill="1" applyBorder="1" applyAlignment="1">
      <alignment horizontal="right" vertical="center" wrapText="1"/>
    </xf>
    <xf numFmtId="3" fontId="31" fillId="5" borderId="3" xfId="0" applyNumberFormat="1" applyFont="1" applyFill="1" applyBorder="1"/>
    <xf numFmtId="0" fontId="31" fillId="5" borderId="0" xfId="0" applyFont="1" applyFill="1"/>
    <xf numFmtId="172" fontId="35" fillId="0" borderId="18" xfId="0" applyNumberFormat="1" applyFont="1" applyBorder="1"/>
    <xf numFmtId="172" fontId="31" fillId="0" borderId="3" xfId="0" applyNumberFormat="1" applyFont="1" applyBorder="1"/>
    <xf numFmtId="172" fontId="31" fillId="4" borderId="3" xfId="0" applyNumberFormat="1" applyFont="1" applyFill="1" applyBorder="1"/>
    <xf numFmtId="172" fontId="35" fillId="0" borderId="3" xfId="0" applyNumberFormat="1" applyFont="1" applyBorder="1"/>
    <xf numFmtId="172" fontId="31" fillId="0" borderId="3" xfId="0" applyNumberFormat="1" applyFont="1" applyBorder="1" applyAlignment="1">
      <alignment horizontal="right" vertical="center"/>
    </xf>
    <xf numFmtId="172" fontId="31" fillId="4" borderId="3" xfId="0" applyNumberFormat="1" applyFont="1" applyFill="1" applyBorder="1" applyAlignment="1">
      <alignment vertical="center"/>
    </xf>
    <xf numFmtId="172" fontId="31" fillId="3" borderId="3" xfId="0" applyNumberFormat="1" applyFont="1" applyFill="1" applyBorder="1" applyAlignment="1">
      <alignment vertical="center"/>
    </xf>
    <xf numFmtId="172" fontId="31" fillId="4" borderId="3" xfId="0" applyNumberFormat="1" applyFont="1" applyFill="1" applyBorder="1" applyAlignment="1">
      <alignment horizontal="center" vertical="center"/>
    </xf>
    <xf numFmtId="172" fontId="31" fillId="5" borderId="3" xfId="0" applyNumberFormat="1" applyFont="1" applyFill="1" applyBorder="1"/>
    <xf numFmtId="172" fontId="31" fillId="0" borderId="0" xfId="0" applyNumberFormat="1" applyFont="1"/>
    <xf numFmtId="0" fontId="32" fillId="3" borderId="3" xfId="2" applyNumberFormat="1" applyFont="1" applyFill="1" applyBorder="1" applyAlignment="1">
      <alignment horizontal="center" vertical="center" wrapText="1"/>
    </xf>
    <xf numFmtId="0" fontId="32" fillId="3" borderId="3" xfId="0" applyFont="1" applyFill="1" applyBorder="1" applyAlignment="1">
      <alignment horizontal="left" vertical="center" wrapText="1"/>
    </xf>
    <xf numFmtId="0" fontId="32" fillId="3" borderId="3" xfId="0" applyFont="1" applyFill="1" applyBorder="1" applyAlignment="1">
      <alignment horizontal="center" vertical="center" wrapText="1"/>
    </xf>
    <xf numFmtId="172" fontId="31" fillId="3" borderId="3" xfId="0" applyNumberFormat="1" applyFont="1" applyFill="1" applyBorder="1"/>
    <xf numFmtId="3" fontId="31" fillId="3" borderId="3" xfId="0" applyNumberFormat="1" applyFont="1" applyFill="1" applyBorder="1"/>
    <xf numFmtId="0" fontId="31" fillId="3" borderId="0" xfId="0" applyFont="1" applyFill="1"/>
    <xf numFmtId="172" fontId="31" fillId="0" borderId="3" xfId="0" applyNumberFormat="1" applyFont="1" applyBorder="1" applyAlignment="1">
      <alignment horizontal="center" vertical="center"/>
    </xf>
    <xf numFmtId="3" fontId="31" fillId="0" borderId="3" xfId="0" applyNumberFormat="1" applyFont="1" applyBorder="1" applyAlignment="1">
      <alignment horizontal="center" vertical="center"/>
    </xf>
    <xf numFmtId="172" fontId="31" fillId="0" borderId="15" xfId="0" applyNumberFormat="1" applyFont="1" applyBorder="1" applyAlignment="1">
      <alignment horizontal="center" vertical="center"/>
    </xf>
    <xf numFmtId="3" fontId="35" fillId="5" borderId="3" xfId="0" applyNumberFormat="1" applyFont="1" applyFill="1" applyBorder="1"/>
    <xf numFmtId="3" fontId="31" fillId="5" borderId="0" xfId="0" applyNumberFormat="1" applyFont="1" applyFill="1"/>
    <xf numFmtId="172" fontId="32" fillId="0" borderId="3" xfId="0" applyNumberFormat="1" applyFont="1" applyBorder="1"/>
    <xf numFmtId="3" fontId="32" fillId="0" borderId="3" xfId="0" applyNumberFormat="1" applyFont="1" applyBorder="1"/>
    <xf numFmtId="0" fontId="32" fillId="0" borderId="0" xfId="0" applyFont="1"/>
    <xf numFmtId="0" fontId="24" fillId="0" borderId="0" xfId="0" applyFont="1" applyAlignment="1">
      <alignment horizontal="center"/>
    </xf>
    <xf numFmtId="0" fontId="9" fillId="2" borderId="0" xfId="0" applyFont="1" applyFill="1" applyAlignment="1">
      <alignment horizontal="center" vertical="center" wrapText="1"/>
    </xf>
    <xf numFmtId="0" fontId="23" fillId="2" borderId="0" xfId="0" applyFont="1" applyFill="1" applyAlignment="1">
      <alignment horizontal="center" vertical="center" wrapText="1"/>
    </xf>
    <xf numFmtId="0" fontId="10" fillId="2" borderId="0" xfId="0" applyFont="1" applyFill="1" applyAlignment="1">
      <alignment horizontal="left" vertical="center" wrapText="1"/>
    </xf>
    <xf numFmtId="0" fontId="25" fillId="0" borderId="0" xfId="0" applyFont="1" applyAlignment="1">
      <alignment horizontal="center" vertical="center"/>
    </xf>
    <xf numFmtId="0" fontId="9" fillId="2" borderId="1" xfId="0" applyFont="1" applyFill="1" applyBorder="1" applyAlignment="1">
      <alignment horizontal="center" vertical="center" wrapText="1"/>
    </xf>
    <xf numFmtId="0" fontId="9" fillId="2" borderId="1" xfId="0" applyFont="1" applyFill="1" applyBorder="1" applyAlignment="1">
      <alignment horizontal="left" vertical="center" wrapText="1"/>
    </xf>
    <xf numFmtId="0" fontId="0" fillId="2" borderId="1" xfId="0" applyFill="1" applyBorder="1" applyAlignment="1">
      <alignment horizontal="left" vertical="center" wrapText="1"/>
    </xf>
    <xf numFmtId="0" fontId="11" fillId="2"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6" xfId="0" applyFont="1" applyFill="1" applyBorder="1"/>
    <xf numFmtId="0" fontId="7" fillId="2" borderId="5" xfId="0" applyFont="1" applyFill="1" applyBorder="1"/>
    <xf numFmtId="0" fontId="7" fillId="2" borderId="17" xfId="0" applyFont="1" applyFill="1" applyBorder="1"/>
    <xf numFmtId="0" fontId="20" fillId="2" borderId="0" xfId="0" applyFont="1" applyFill="1" applyAlignment="1">
      <alignment horizontal="center" vertical="center" wrapText="1"/>
    </xf>
    <xf numFmtId="0" fontId="10" fillId="2" borderId="0" xfId="0" applyFont="1" applyFill="1" applyAlignment="1">
      <alignment horizontal="center" vertical="center" wrapText="1"/>
    </xf>
    <xf numFmtId="0" fontId="12" fillId="2" borderId="0" xfId="0" applyFont="1" applyFill="1" applyAlignment="1">
      <alignment horizontal="center" vertical="center" wrapText="1"/>
    </xf>
    <xf numFmtId="0" fontId="10" fillId="3" borderId="0" xfId="0" applyFont="1" applyFill="1" applyAlignment="1">
      <alignment horizontal="center" vertical="center" wrapText="1"/>
    </xf>
    <xf numFmtId="0" fontId="9" fillId="2" borderId="4"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3" xfId="0" applyFont="1" applyFill="1" applyBorder="1" applyAlignment="1">
      <alignment vertical="center" wrapText="1"/>
    </xf>
    <xf numFmtId="0" fontId="9" fillId="2" borderId="7" xfId="0" applyFont="1" applyFill="1" applyBorder="1" applyAlignment="1">
      <alignment horizontal="center" vertical="center" wrapText="1"/>
    </xf>
    <xf numFmtId="0" fontId="9" fillId="2" borderId="8" xfId="0" applyFont="1" applyFill="1" applyBorder="1" applyAlignment="1">
      <alignment horizontal="center" vertical="center" wrapText="1"/>
    </xf>
    <xf numFmtId="0" fontId="9" fillId="2" borderId="9" xfId="0" applyFont="1" applyFill="1" applyBorder="1" applyAlignment="1">
      <alignment horizontal="center" vertical="center" wrapText="1"/>
    </xf>
    <xf numFmtId="0" fontId="9" fillId="2" borderId="10"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9" fillId="2" borderId="12" xfId="0" applyFont="1" applyFill="1" applyBorder="1" applyAlignment="1">
      <alignment horizontal="center" vertical="center" wrapText="1"/>
    </xf>
    <xf numFmtId="0" fontId="9" fillId="2" borderId="13" xfId="0" applyFont="1" applyFill="1" applyBorder="1" applyAlignment="1">
      <alignment horizontal="center" vertical="center" wrapText="1"/>
    </xf>
    <xf numFmtId="0" fontId="9" fillId="2" borderId="14" xfId="0" applyFont="1" applyFill="1" applyBorder="1" applyAlignment="1">
      <alignment horizontal="center" vertical="center" wrapText="1"/>
    </xf>
    <xf numFmtId="3" fontId="31" fillId="0" borderId="1" xfId="0" applyNumberFormat="1" applyFont="1" applyBorder="1" applyAlignment="1">
      <alignment horizontal="center" vertical="center"/>
    </xf>
    <xf numFmtId="0" fontId="36" fillId="3" borderId="10" xfId="0" applyFont="1" applyFill="1" applyBorder="1" applyAlignment="1">
      <alignment horizontal="center" vertical="center"/>
    </xf>
    <xf numFmtId="0" fontId="30" fillId="0" borderId="4" xfId="0" applyFont="1" applyBorder="1" applyAlignment="1">
      <alignment horizontal="center" vertical="center" wrapText="1"/>
    </xf>
    <xf numFmtId="0" fontId="30" fillId="0" borderId="5" xfId="0" applyFont="1" applyBorder="1" applyAlignment="1">
      <alignment horizontal="center" vertical="center" wrapText="1"/>
    </xf>
    <xf numFmtId="0" fontId="30" fillId="0" borderId="6" xfId="0" applyFont="1" applyBorder="1" applyAlignment="1">
      <alignment horizontal="center" vertical="center" wrapText="1"/>
    </xf>
    <xf numFmtId="0" fontId="31" fillId="0" borderId="1" xfId="0" applyFont="1" applyBorder="1" applyAlignment="1">
      <alignment horizontal="center" vertical="center" wrapText="1"/>
    </xf>
    <xf numFmtId="172" fontId="31" fillId="0" borderId="1" xfId="0" applyNumberFormat="1" applyFont="1" applyBorder="1" applyAlignment="1">
      <alignment horizontal="center" vertical="center"/>
    </xf>
    <xf numFmtId="0" fontId="31" fillId="0" borderId="7" xfId="0" applyFont="1" applyBorder="1" applyAlignment="1">
      <alignment horizontal="center" vertical="center"/>
    </xf>
    <xf numFmtId="0" fontId="31" fillId="0" borderId="8" xfId="0" applyFont="1" applyBorder="1" applyAlignment="1">
      <alignment horizontal="center" vertical="center"/>
    </xf>
    <xf numFmtId="0" fontId="31" fillId="0" borderId="9" xfId="0" applyFont="1" applyBorder="1" applyAlignment="1">
      <alignment horizontal="center" vertical="center"/>
    </xf>
    <xf numFmtId="0" fontId="30" fillId="0" borderId="1" xfId="0" applyFont="1" applyBorder="1" applyAlignment="1">
      <alignment horizontal="center" vertical="center" wrapText="1"/>
    </xf>
    <xf numFmtId="0" fontId="31" fillId="0" borderId="1" xfId="0" applyFont="1" applyBorder="1" applyAlignment="1">
      <alignment horizontal="center"/>
    </xf>
    <xf numFmtId="3" fontId="31" fillId="0" borderId="1" xfId="0" applyNumberFormat="1" applyFont="1" applyBorder="1" applyAlignment="1">
      <alignment horizontal="center"/>
    </xf>
  </cellXfs>
  <cellStyles count="9">
    <cellStyle name="Bình thường 5" xfId="7"/>
    <cellStyle name="Comma" xfId="1" builtinId="3"/>
    <cellStyle name="Comma 35" xfId="8"/>
    <cellStyle name="Comma 89" xfId="2"/>
    <cellStyle name="Normal" xfId="0" builtinId="0"/>
    <cellStyle name="Normal 2" xfId="4"/>
    <cellStyle name="Normal 2 3" xfId="3"/>
    <cellStyle name="Normal 23 2" xfId="6"/>
    <cellStyle name="Normal 99" xfId="5"/>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calcChain" Target="calcChain.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styles" Target="style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theme" Target="theme/theme1.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 Id="rId8" Type="http://schemas.openxmlformats.org/officeDocument/2006/relationships/externalLink" Target="externalLinks/externalLink6.xml"/><Relationship Id="rId3"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Documents%20and%20Settings\Giang%20Sang\My%20Documents\Google%20Drive\T&#224;i%20li&#7879;u\Mico%20Sufing\TKBVTC\DT%20duy&#7879;t%20TKBVTC\NC.May.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Users\Windows%2010%20TIMT\Downloads\Duyet%20DT%20Km109%20QL26%20DLak%20(dieu%20chinh).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Documents%20and%20Settings\Giang%20Sang\My%20Documents\Google%20Drive\T&#224;i%20li&#7879;u\B&#227;o%20l&#361;%20L&#224;o%20Cai\12.11.2018\QL279.%20Lao%20Cai.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Google%20Drive\T&#224;i%20li&#7879;u\QL4%20Lao%20Cai\TKBVTC\27.8.2019%20in%20trinh%20L1\28.8.2019%20%20ban%20in\D&#7921;%20to&#225;n%20QL.4_TKBVTC%2026.8.2019.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N&#259;m%202017\1.%20C&#212;NG%20TR&#204;NH%20&#272;&#195;%20DUY&#7878;T%202017\S&#7903;%20GTVT%20Ninh%20B&#236;nh\BTXM%2012B\Duy&#7879;t%20in%20gi&#225;%20g&#243;i%20(S&#7903;%20GTVT)\DT%20GI&#193;%20G&#211;I%20XL%20Km3-KM7%20QL12B%20(S&#7903;%20duy&#7879;t).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My%20Documents\NTCUONG\NHA%20MAY%20CON%20XUAN%20LOC\@Kehoach-duan\PHUMY_2-1\chieu_24-11\DAUTHAU\DANG_TRIEN_KHAI\diendamcamau\ammonia%20storage\6823%20PS%20170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Xu%20ly%20diem%20den%20Km1394+600%20Ql1%20Quang%20Nam\Copy%20of%20Diem%20den%20Km1394+600%20HCM%20QNam%20(phong%20ATGT%20tham%20dinh%2027.10)-1.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Cong%20viec\Sua%20chua%20duong\ha%20nam\Ha%20Nam%20buoc%202\3.%20Du%20toan%20SCMD%20QL1%20(BVTC)%2019.9.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0.%20TK%20Chieu%20sang\Cong%20trinh\Tuy&#234;n%20Quang-PT\DIEN%20CHIEU%20SANG%20s&#7917;a%20vl\4.DT%20chi&#233;u%20sang%20Ph&#250;%20Th&#7885;.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D:\2019\1.%20Tecco2\Cao%20toc%20Ha%20T&#297;nh\DT%20chieu%20s&#225;ng%20n&#250;t%20giao%20di&#7877;n%20c&#225;t\Chi&#7871;u%20s&#225;ng%20n&#250;t%20Di&#7877;n%20c&#225;t\01.%20D&#7921;%20to&#225;n%20T&#249;%20B&#249;%202020.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Ta%20Ha%20-%20Phong%20kiem%20dinh\Sua%20chua%20cau\2%20cau%20Khanh%20Hoa\14.03.2012\15.03.2012\Dutoan%20ND%2015.03\Nuoc%20Duc%20-%20XL.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May16\c\Pthang\DUTOAN\phong%20nen\DT-THL7.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Thap%20KTDT%2039B\Cang%20sai%20gon\Thanh%20toan\QTCT%20Sua%20chua%20bai%20RT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1.%20Manh%20Quang\Tu%20van\0.%20TK%20Chieu%20sang\Kim%20Son%20-%20Ph&#225;t%20di&#7879;m\Du%20toan%2035kV.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2020\1.%20Tecco%202\Cao%20t&#7889;c%20tuy&#234;n%20quang%20ph&#250;%20th&#7885;\MVL\DT%20QL70_Dieu%20chinh.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STA022-N2\Construction\WORKS\6787\civil\final\option\6787CWFASE2CASE2_00.xls"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KP_List"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Documents%20and%20Settings\Giang%20Sang\My%20Documents\Google%20Drive\T&#224;i%20li&#7879;u\QL3%20Thai%20Nguyen\tkbvtc\Duyet%20B2\Duy&#7879;t%20QL3\10.1.2017%20s_a%20gi&#225;%20XD\10.1.2017%20s&#7917;a%20gi&#225;%20XD\T&#7893;ng%20c&#7909;c%20Duy&#7879;t%20XL%20QL%203.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Ta%20Ha%20-%20Phong%20kiem%20dinh\Sua%20chua%20duong\QL1B\QL1B%2004.04.2012\06.04.2012%20PA1\XL%20QL1B.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D:\Documents%20and%20Settings\Giang%20Sang\My%20Documents\Google%20Drive\T&#224;i%20li&#7879;u\Gi&#225;%20goi%20XL%20&#273;i&#7875;m%20&#273;en%20HCM%2026-6%202-7%20Tb%20gia%20nhua%20theo%2010600%20DM%20AA22112%20file%20du&#7925;et%20DC%20bao%20tai%20tam%20nh&#432;a%20&#273;&#432;&#7907;ng%20105.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T&#7893;ng%20h&#7907;p%20D&#7921;%20To&#225;n%20Huy&#7873;n%202014\DT%20Huy&#7873;n\DT%20Diem%20dem%20&#272;ak%20Lak\DT%20&#272;&#259;c%20L&#259;k%20Km%20109+00-%20Km%20110+700\&#272;&#259;k%20L&#259;k%20%20Km%20109+00%20-%20Km%20110+700\XL%20&#272;&#259;k%20l&#259;cKm%20109+00%20-%20KM%20110+700.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D:\D&#7921;%20to&#225;n%20duy&#7879;t%20l&#432;u\2015\QL5%20H&#7843;i%20D&#432;&#417;ng\DT%20trinh%20TC\DIEM%20DEN%2020.4%20ha\Du%20toan%20QL5-QL37%2015.4.2015\Dien%20chieu%20sang%20QL37.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D:\T&#7893;ng%20h&#7907;p%20D&#7921;%20To&#225;n%20Huy&#7873;n%202014\DT%20Huy&#7873;n\T&#224;i%20li&#7879;u%20DT%20tham%20kh&#7843;o\D-%20toan%20QL29%20(%20Tham%20dinh%20chua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D:\D&#7921;%20to&#225;n%20duy&#7879;t%20l&#432;u\2015\QL2C%20Tuy&#234;n%20Quang%202014\2C%20&#273;o&#7841;n%20sau\DT%20duyet%20TC%20buoc%201\DT%20duyet%20cuoi%20B1\1.%20Du%20toan%20DUY&#7878;T%20174-189%20chieu%20ngay%209-4-15\XL%20QL2C%20PA1%20-%20S&#7917;a%20c&#225;cbon%20chuan.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D:\Users\HP\AppData\Local\Temp\Rar$DI01.081\DuToan%20QL5-ok%20cat%20theo%20von%2030.1.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D:\N&#259;m%202017\&#272;i&#7875;m%20&#273;en\&#272;i&#7879;n%20Bi&#234;n\DT%2015-7\XL%20QL.279%20&#272;B%202017.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D:\Users\Admin\AppData\Local\Temp\Rar$DI16.683\Chi%20phi%20KSTK%2022.4.15\1.L&#7841;ng%20S&#417;n\L&#7841;ng%20s&#417;n.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Ducthang\@%20Phong%20cau\TamKi-DacTo\TamKy\Thang_nd\trung\XLS\MONGCOC\AASHTO\Aashto~2.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Users\XUANHA~1\AppData\Local\Temp\Rar$DIa0.223\9.11.2015\DT%20XL%20QL%20279%20Km76-97%201.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D:\PH&#210;NG%20ATGT\TH&#7848;M%20&#272;&#7882;NH%20C&#193;C%20C&#212;NG%20TR&#204;NH%20KH2016\T&#7848;Y%20R&#7880;%20S&#416;N%20HLM%201342+800%20-%201350%20&#272;HCM\THAM%20DINH%20T&#7849;y%20r&#7881;%20HLM%20&#273;o&#7841;n%20Km1342+800%20-%20Km1350+020%20HCM%20QNam%20(18-9).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D:\N&#259;m%202018\3.C&#7909;c%20III\M&#7851;u%20&#273;&#7883;a%20ph&#7853;n%20Qu&#7843;ng%20Nam.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D:\Ta%20Ha%20-%20Phong%20KT\Sua%20chua%20cau\Cau%20Gian%20Khau\Du%20toan%20dieu%20chinh-finish%20-%20in.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1.%20Tong%20hop%20chung%20BVTC%20tuyen%2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HDT KSTK"/>
      <sheetName val="PTĐG"/>
      <sheetName val="VL-NC-M"/>
      <sheetName val="foxz"/>
      <sheetName val="TINH TOAN"/>
      <sheetName val="VMC"/>
      <sheetName val="MTC"/>
      <sheetName val="B1.CN"/>
      <sheetName val="DLdauvao"/>
      <sheetName val="B4.laixe"/>
      <sheetName val="B5.1. Th.Tr, Th.ph"/>
      <sheetName val="B5.2. Thuy thu, tho may, dien"/>
      <sheetName val="B5.3.Tauhut-song"/>
      <sheetName val="B5.4.Tauhut-bien"/>
      <sheetName val="B6.Thol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3">
          <cell r="M13">
            <v>166153.84615384616</v>
          </cell>
        </row>
        <row r="22">
          <cell r="M22">
            <v>231538.46153846153</v>
          </cell>
        </row>
      </sheetData>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HDT KSTK"/>
      <sheetName val="PTĐG"/>
      <sheetName val="VL-NC-M"/>
      <sheetName val="DLdauvao"/>
      <sheetName val="IN BANG TINH"/>
      <sheetName val="TINH TOAN"/>
      <sheetName val="VMC"/>
      <sheetName val="B1.CN"/>
      <sheetName val="TM"/>
      <sheetName val="TMDT"/>
      <sheetName val="TXL"/>
      <sheetName val="DTCT-XL"/>
      <sheetName val="PTDG"/>
      <sheetName val="TT BTN"/>
      <sheetName val="Vật liệu"/>
      <sheetName val="PLV"/>
      <sheetName val="Cước VC"/>
      <sheetName val="Đam bao giao thong"/>
      <sheetName val="B4.laixe"/>
      <sheetName val="B5.1. Th.Tr, Th.ph"/>
      <sheetName val="B5.2. Thuy thu, tho may, dien"/>
      <sheetName val="B5.3.Tauhut-song"/>
      <sheetName val="B5.4.Tauhut-bien"/>
      <sheetName val="B6.Tholan"/>
      <sheetName val="PTCT-DBGI"/>
      <sheetName val="hệ số"/>
      <sheetName val="Phân tich -ĐBG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0">
          <cell r="M10">
            <v>133730.76923076922</v>
          </cell>
        </row>
        <row r="21">
          <cell r="M21">
            <v>219961.53846153847</v>
          </cell>
        </row>
        <row r="24">
          <cell r="M24">
            <v>260153.84615384616</v>
          </cell>
        </row>
        <row r="25">
          <cell r="M25">
            <v>306923.07692307694</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xz_2"/>
      <sheetName val="foxz"/>
      <sheetName val="foxz_3"/>
      <sheetName val="foxz_4"/>
      <sheetName val="foxz_5"/>
      <sheetName val="foxz_6"/>
      <sheetName val="foxz_7"/>
      <sheetName val="foxz_8"/>
      <sheetName val="foxz_9"/>
      <sheetName val="foxz_10"/>
      <sheetName val="foxz_11"/>
      <sheetName val="foxz_12"/>
      <sheetName val="foxz_13"/>
      <sheetName val="foxz_14"/>
      <sheetName val="foxz_15"/>
      <sheetName val="foxz_16"/>
      <sheetName val="foxz_17"/>
      <sheetName val="foxz_18"/>
      <sheetName val="foxz_19"/>
      <sheetName val="foxz_20"/>
      <sheetName val="foxz_21"/>
      <sheetName val="foxz_22"/>
      <sheetName val="foxz_23"/>
      <sheetName val="foxz_24"/>
      <sheetName val="foxz_25"/>
      <sheetName val="foxz_26"/>
      <sheetName val="foxz_27"/>
      <sheetName val="foxz_28"/>
      <sheetName val="foxz_29"/>
      <sheetName val="foxz_30"/>
      <sheetName val="foxz_31"/>
      <sheetName val="foxz_32"/>
      <sheetName val="Bảng tra HS"/>
      <sheetName val="Thuyết minh"/>
      <sheetName val="Tong muc dau tu"/>
      <sheetName val="THXL"/>
      <sheetName val="DG CT"/>
      <sheetName val="PTDG XL"/>
      <sheetName val="PLV"/>
      <sheetName val="GVL-tuyến"/>
      <sheetName val="Cuoc VC"/>
      <sheetName val="chi tiết vc VL"/>
      <sheetName val="tính bình quân GQ"/>
      <sheetName val="Giá ca máy in"/>
      <sheetName val="Gói XL"/>
      <sheetName val="Gói TV"/>
      <sheetName val="TH ĐBGT"/>
      <sheetName val="CT ĐBGT"/>
      <sheetName val="PT ĐBGT"/>
      <sheetName val="Nhân công "/>
      <sheetName val="Dữ liệu đầu vào "/>
      <sheetName val="Sheet2"/>
      <sheetName val="Sheet3"/>
      <sheetName val="NC lái xe"/>
      <sheetName val="Lương thuyền TT, TP"/>
      <sheetName val="Lương thủy thủ "/>
      <sheetName val="Lương điều khiển tàu hút"/>
      <sheetName val="Lg tàu cuốc, đào"/>
      <sheetName val="Lg thợ nặn"/>
      <sheetName val="foxz_3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ow r="13">
          <cell r="M13">
            <v>157846.15384615387</v>
          </cell>
        </row>
      </sheetData>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xz_2"/>
      <sheetName val="foxz_3"/>
      <sheetName val="foxz_7"/>
      <sheetName val="foxz_8"/>
      <sheetName val="foxz_9"/>
      <sheetName val="foxz_10"/>
      <sheetName val="foxz_11"/>
      <sheetName val="foxz_12"/>
      <sheetName val="foxz_13"/>
      <sheetName val="foxz_14"/>
      <sheetName val="foxz_15"/>
      <sheetName val="foxz_16"/>
      <sheetName val="foxz"/>
      <sheetName val="foxz_17"/>
      <sheetName val="foxz_18"/>
      <sheetName val="foxz_19"/>
      <sheetName val="foxz_20"/>
      <sheetName val="foxz_21"/>
      <sheetName val="foxz_22"/>
      <sheetName val="foxz_23"/>
      <sheetName val="foxz_24"/>
      <sheetName val="foxz_25"/>
      <sheetName val="foxz_26"/>
      <sheetName val="foxz_27"/>
      <sheetName val="foxz_28"/>
      <sheetName val="foxz_29"/>
      <sheetName val="foxz_30"/>
      <sheetName val="foxz_31"/>
      <sheetName val="foxz_32"/>
      <sheetName val="foxz_33"/>
      <sheetName val="foxz_34"/>
      <sheetName val="foxz_35"/>
      <sheetName val="foxz_36"/>
      <sheetName val="foxz_37"/>
      <sheetName val="foxz_38"/>
      <sheetName val="foxz_39"/>
      <sheetName val="foxz_40"/>
      <sheetName val="foxz_41"/>
      <sheetName val="foxz_43"/>
      <sheetName val="foxz_44"/>
      <sheetName val="foxz_45"/>
      <sheetName val="foxz_46"/>
      <sheetName val="foxz_47"/>
      <sheetName val="foxz_48"/>
      <sheetName val="foxz_49"/>
      <sheetName val="foxz_50"/>
      <sheetName val="foxz_51"/>
      <sheetName val="foxz_52"/>
      <sheetName val="foxz_53"/>
      <sheetName val="foxz_54"/>
      <sheetName val="foxz_55"/>
      <sheetName val="foxz_56"/>
      <sheetName val="foxz_57"/>
      <sheetName val="TM"/>
      <sheetName val="foxz_4"/>
      <sheetName val="foxz_5"/>
      <sheetName val="foxz_6"/>
      <sheetName val="Tong muc dau tu"/>
      <sheetName val="foxz_42"/>
      <sheetName val="THXL Km238"/>
      <sheetName val="THXL Km243"/>
      <sheetName val="DTCT Km243"/>
      <sheetName val="DTCT Km238"/>
      <sheetName val="PTDG"/>
      <sheetName val="PLV"/>
      <sheetName val="GVL-tuyến"/>
      <sheetName val="Cuoc VC"/>
      <sheetName val="QĐ vc VL"/>
      <sheetName val="TH chi phi XD trạm"/>
      <sheetName val="PT XD trạm"/>
      <sheetName val="BTN"/>
      <sheetName val="GVL-BTN"/>
      <sheetName val="Cuoc VC-BTN"/>
      <sheetName val="NC Tram tron BTN"/>
      <sheetName val="THKP DBGT"/>
      <sheetName val="DTCT DBGT"/>
      <sheetName val="PTDG DBGT"/>
      <sheetName val="NC Tuyen"/>
      <sheetName val="Máy in"/>
      <sheetName val="Dữ liệu đầu vào"/>
      <sheetName val="Sheet1"/>
      <sheetName val="Lương lái xe"/>
      <sheetName val="Sheet3"/>
      <sheetName val="Sheet5"/>
      <sheetName val="Sheet7"/>
      <sheetName val="Sheet8"/>
      <sheetName val="Sheet9"/>
      <sheetName val="Sheet10"/>
      <sheetName val="Sheet11"/>
      <sheetName val="Sheet2"/>
      <sheetName val="Sheet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row r="8">
          <cell r="E8">
            <v>144288.46153846153</v>
          </cell>
        </row>
        <row r="11">
          <cell r="E11">
            <v>170307.69230769231</v>
          </cell>
        </row>
        <row r="16">
          <cell r="E16">
            <v>201057.69230769231</v>
          </cell>
        </row>
        <row r="21">
          <cell r="E21">
            <v>237326.92307692306</v>
          </cell>
        </row>
        <row r="24">
          <cell r="E24">
            <v>280692.30769230769</v>
          </cell>
        </row>
        <row r="25">
          <cell r="E25">
            <v>331153.84615384613</v>
          </cell>
        </row>
      </sheetData>
      <sheetData sheetId="78" refreshError="1"/>
      <sheetData sheetId="79" refreshError="1">
        <row r="10">
          <cell r="D10">
            <v>0</v>
          </cell>
        </row>
        <row r="11">
          <cell r="D11">
            <v>0</v>
          </cell>
        </row>
        <row r="12">
          <cell r="D12">
            <v>0</v>
          </cell>
        </row>
        <row r="13">
          <cell r="D13">
            <v>0</v>
          </cell>
        </row>
        <row r="14">
          <cell r="D14">
            <v>0</v>
          </cell>
        </row>
        <row r="15">
          <cell r="D15">
            <v>0</v>
          </cell>
        </row>
        <row r="16">
          <cell r="D16">
            <v>0</v>
          </cell>
        </row>
        <row r="17">
          <cell r="D17">
            <v>0</v>
          </cell>
        </row>
        <row r="25">
          <cell r="D25">
            <v>11349.545454545454</v>
          </cell>
        </row>
      </sheetData>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rtUp"/>
      <sheetName val="TMĐT(tc)"/>
      <sheetName val="goi thau tv"/>
      <sheetName val="BTN"/>
      <sheetName val="VL BTN"/>
      <sheetName val="VC BTN"/>
      <sheetName val="Bảng tra "/>
      <sheetName val="THuyết minh"/>
      <sheetName val="TH"/>
      <sheetName val="TV"/>
      <sheetName val="Gói XL "/>
      <sheetName val="Tổng mức"/>
      <sheetName val="THKPXL"/>
      <sheetName val="DGCT"/>
      <sheetName val="Chênh lệch VT"/>
      <sheetName val="Cước VC"/>
      <sheetName val="PTĐG"/>
      <sheetName val="CP VUA"/>
      <sheetName val="GVL "/>
      <sheetName val="Chênh lệch máy"/>
      <sheetName val="CVC Km16+700"/>
      <sheetName val="CVC Km44+700"/>
      <sheetName val="Máy "/>
      <sheetName val="NC máy NB"/>
      <sheetName val="Cuoc VC"/>
      <sheetName val="PT ĐBGT"/>
      <sheetName val="CT ĐBGT"/>
      <sheetName val="THKP-DBGT"/>
      <sheetName val="DDGTH -ĐBGT"/>
      <sheetName val="DGCT-DBGT"/>
      <sheetName val="Sheet1"/>
      <sheetName val="NC "/>
      <sheetName val="VC VL"/>
      <sheetName val="DL đầu vào"/>
      <sheetName val="Máy  (2)"/>
      <sheetName val="Sheet5"/>
      <sheetName val="Sheet6"/>
      <sheetName val="Sheet7"/>
      <sheetName val="Sheet8"/>
      <sheetName val="Sheet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row r="17">
          <cell r="M17">
            <v>209394.23076923078</v>
          </cell>
        </row>
      </sheetData>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
      <sheetName val="Sheet2"/>
      <sheetName val="Quantity"/>
      <sheetName val="6823 PS 1700"/>
      <sheetName val="PU_ITALY "/>
      <sheetName val="Module1"/>
      <sheetName val="Module2"/>
      <sheetName val="KP_LIST"/>
      <sheetName val="XD nhanh 3"/>
      <sheetName val="Sheet3"/>
      <sheetName val="BG"/>
      <sheetName val="NOTE"/>
      <sheetName val="Canopy,SS5"/>
      <sheetName val="Vat tu"/>
      <sheetName val="Canopy,SS5 (2)"/>
      <sheetName val="Sheet1"/>
      <sheetName val="VL"/>
      <sheetName val="TN"/>
      <sheetName val="ND"/>
      <sheetName val="XL4Poppy"/>
      <sheetName val="kecot"/>
      <sheetName val="6823_PS_1700"/>
      <sheetName val="PU_ITALY_"/>
      <sheetName val="Rate"/>
      <sheetName val="NhanCong"/>
      <sheetName val="QD957"/>
      <sheetName val="THCP Lap dat"/>
      <sheetName val="THCP xay dung"/>
      <sheetName val="Ts"/>
      <sheetName val="escon"/>
      <sheetName val="RAB AR&amp;STR"/>
      <sheetName val="D&amp;W def."/>
      <sheetName val="Gioi thieu"/>
      <sheetName val="6823_PS_17001"/>
      <sheetName val="PU_ITALY_1"/>
      <sheetName val="Du Toan"/>
      <sheetName val="갑지"/>
      <sheetName val="6823_PS_17002"/>
      <sheetName val="PU_ITALY_2"/>
      <sheetName val="LKVL-CK-HT-GD1"/>
      <sheetName val="TONGKE-HT"/>
      <sheetName val="V-M(Bdinh)"/>
      <sheetName val="he so"/>
      <sheetName val="TT35"/>
      <sheetName val="heso"/>
      <sheetName val="dongia (2)"/>
      <sheetName val="MTO REV.2(ARMOR)"/>
      <sheetName val="names"/>
      <sheetName val="LaborPY"/>
      <sheetName val="LaborKH"/>
      <sheetName val="Equip "/>
      <sheetName val="Material"/>
      <sheetName val="A1.CN"/>
      <sheetName val="DLdauvao"/>
      <sheetName val="CaMay"/>
      <sheetName val="DG-TNHC-85"/>
      <sheetName val="MTP"/>
      <sheetName val="MTP1"/>
      <sheetName val="실행"/>
      <sheetName val="SL"/>
      <sheetName val="STRUCTURE.Q'TY"/>
      <sheetName val="REMAIN Q'TY - SUB"/>
      <sheetName val="KH tai chinh khoa san"/>
      <sheetName val="D+W"/>
      <sheetName val="P"/>
      <sheetName val="Data"/>
      <sheetName val="T K"/>
      <sheetName val="조명시설"/>
      <sheetName val="Nhan cong"/>
      <sheetName val="Thiet bi"/>
      <sheetName val="DM.ChiPhi"/>
      <sheetName val="May TC"/>
      <sheetName val="Phan tich"/>
      <sheetName val="Bang KL"/>
      <sheetName val="TH Kinh phi"/>
      <sheetName val="노임단가"/>
      <sheetName val="FitOutConfCentre"/>
      <sheetName val="125x125"/>
      <sheetName val="F4-F7"/>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MAIN GATE HOUSE"/>
      <sheetName val="Main"/>
      <sheetName val="tifico"/>
      <sheetName val="B3A - TOWER A"/>
      <sheetName val="UNIT PRICE"/>
      <sheetName val="SEX"/>
      <sheetName val="Ratios"/>
      <sheetName val="마감사양"/>
      <sheetName val="6MONTHS"/>
      <sheetName val="NVL"/>
      <sheetName val="chitimc"/>
      <sheetName val="giathanh1"/>
      <sheetName val="THPDMoi  (2)"/>
      <sheetName val="gtrinh"/>
      <sheetName val="phuluc1"/>
      <sheetName val="lam-moi"/>
      <sheetName val="thao-go"/>
      <sheetName val="#REF"/>
      <sheetName val="dtxl"/>
      <sheetName val="t-h HA THE"/>
      <sheetName val="CHITIET VL-NC-TT -1p"/>
      <sheetName val="TONG HOP VL-NC TT"/>
      <sheetName val="TH XL"/>
      <sheetName val="VC"/>
      <sheetName val="CHITIET VL-NC-TT-3p"/>
      <sheetName val="TDTKP1"/>
      <sheetName val="KPVC-BD "/>
      <sheetName val="Office Tower"/>
      <sheetName val="Giá Bê tông 2 bên"/>
      <sheetName val="6PILE  (돌출)"/>
      <sheetName val="Analisa"/>
      <sheetName val="Gld"/>
      <sheetName val="Gxd"/>
      <sheetName val="Tho lai may"/>
      <sheetName val="Don gia LD"/>
      <sheetName val="Du toan XD"/>
      <sheetName val="Don gia XD"/>
      <sheetName val="ThongTinBanDau"/>
      <sheetName val="Cash Flow"/>
      <sheetName val="Yield"/>
      <sheetName val="Gia. vat tu"/>
      <sheetName val="B-B"/>
      <sheetName val="DG duoi"/>
      <sheetName val="Chenh lech vat tu"/>
      <sheetName val="Chiet tinh dz35"/>
      <sheetName val="Du_lieu"/>
      <sheetName val="Chi tiết Goc -AB"/>
      <sheetName val="SILICATE"/>
      <sheetName val="Vat_tu"/>
      <sheetName val="Canopy,SS5_(2)"/>
      <sheetName val="RAB_AR&amp;STR"/>
      <sheetName val="THCP_Lap_dat"/>
      <sheetName val="THCP_xay_dung"/>
      <sheetName val="주식"/>
      <sheetName val="Takeoff"/>
      <sheetName val="SAP"/>
      <sheetName val="LEGEND"/>
      <sheetName val="Đơn Giá "/>
      <sheetName val="1.R18 BF"/>
      <sheetName val="A"/>
      <sheetName val="G"/>
      <sheetName val="F-B"/>
      <sheetName val="H-J"/>
      <sheetName val="6.External works-R18"/>
      <sheetName val="PRI-LS"/>
      <sheetName val="NKC6"/>
      <sheetName val="Key"/>
      <sheetName val="Tien do TV"/>
      <sheetName val="Config"/>
      <sheetName val="CP Du phong"/>
      <sheetName val="Tong hop kinh phi"/>
      <sheetName val="THDT goi thau TB"/>
      <sheetName val="QD79"/>
      <sheetName val="TT"/>
      <sheetName val="Phan tich tong hop"/>
      <sheetName val="KQKD-01"/>
      <sheetName val="KQKD-03"/>
      <sheetName val="BTT (CAT COC)"/>
      <sheetName val="proj"/>
      <sheetName val="PNT-QUOT-#3"/>
      <sheetName val="COAT&amp;WRAP-QIOT-#3"/>
      <sheetName val="Sheet4"/>
      <sheetName val="실행철강하도"/>
      <sheetName val="KESSAN"/>
      <sheetName val="DM"/>
      <sheetName val="XD4Poppy"/>
      <sheetName val="cot_xa"/>
      <sheetName val="??-BLDG"/>
      <sheetName val="Electrical Breakdown"/>
      <sheetName val="Div26 - Elect"/>
      <sheetName val="Sàn T1"/>
      <sheetName val="Lỗ thông gió"/>
      <sheetName val="6823_PS_17003"/>
      <sheetName val="PU_ITALY_3"/>
      <sheetName val="Vat_tu1"/>
      <sheetName val="Canopy,SS5_(2)1"/>
      <sheetName val="RAB_AR&amp;STR1"/>
      <sheetName val="THCP_Lap_dat1"/>
      <sheetName val="THCP_xay_dung1"/>
      <sheetName val="D&amp;W_def_"/>
      <sheetName val="Gioi_thieu"/>
      <sheetName val="Du_Toan"/>
      <sheetName val="he_so"/>
      <sheetName val="STRUCTURE_Q'TY"/>
      <sheetName val="REMAIN_Q'TY_-_SUB"/>
      <sheetName val="KH_tai_chinh_khoa_san"/>
      <sheetName val="Nhan_cong"/>
      <sheetName val="Thiet_bi"/>
      <sheetName val="DM_ChiPhi"/>
      <sheetName val="May_TC"/>
      <sheetName val="Phan_tich"/>
      <sheetName val="Bang_KL"/>
      <sheetName val="TH_Kinh_phi"/>
      <sheetName val="T_K"/>
      <sheetName val="B3A_-_TOWER_A"/>
      <sheetName val="MAIN_GATE_HOUSE"/>
      <sheetName val="6PILE__(돌출)"/>
      <sheetName val="Giá_Bê_tông_2_bên"/>
      <sheetName val="Phan_tich_tong_hop"/>
      <sheetName val="Chiet_tinh_dz35"/>
      <sheetName val="Office_Tower"/>
      <sheetName val="DG_duoi"/>
      <sheetName val="TONG_HOP_VL-NC"/>
      <sheetName val="TONGKE3p_"/>
      <sheetName val="TH_VL,_NC,_DDHT_Thanhphuoc"/>
      <sheetName val="DON_GIA"/>
      <sheetName val="CHITIET_VL-NC"/>
      <sheetName val="Chenh_lech_vat_tu"/>
      <sheetName val="dongia_(2)"/>
      <sheetName val="THPDMoi__(2)"/>
      <sheetName val="t-h_HA_THE"/>
      <sheetName val="CHITIET_VL-NC-TT_-1p"/>
      <sheetName val="TONG_HOP_VL-NC_TT"/>
      <sheetName val="TH_XL"/>
      <sheetName val="CHITIET_VL-NC-TT-3p"/>
      <sheetName val="KPVC-BD_"/>
      <sheetName val="Chi_tiết_Goc_-AB"/>
      <sheetName val="UNIT_PRICE"/>
      <sheetName val="DTCT"/>
      <sheetName val="GIAVLIEU"/>
      <sheetName val="見積書"/>
      <sheetName val="Gia"/>
      <sheetName val="TinhGiaNC"/>
      <sheetName val="VCBo"/>
      <sheetName val="DMCP"/>
      <sheetName val="TH Vat tu"/>
      <sheetName val="BocXep"/>
      <sheetName val="TinhGiaMTC"/>
      <sheetName val="TH MTC"/>
      <sheetName val="TH N.Cong"/>
      <sheetName val="VCThuy"/>
      <sheetName val="__-BLDG"/>
      <sheetName val="Tra_bang"/>
      <sheetName val="PTDG"/>
      <sheetName val="Earthwork"/>
      <sheetName val="BID"/>
      <sheetName val="Tennancy"/>
      <sheetName val="TOSHIBA-Structure"/>
      <sheetName val="Tong hop"/>
      <sheetName val="유림골조"/>
      <sheetName val="총괄"/>
      <sheetName val="갑,을"/>
      <sheetName val="표지"/>
      <sheetName val="개요"/>
      <sheetName val="사통"/>
      <sheetName val="단가검토"/>
      <sheetName val="설치중량 "/>
      <sheetName val="철거중량"/>
      <sheetName val="수문일위 "/>
      <sheetName val="자재단가"/>
      <sheetName val="Summary"/>
      <sheetName val="DG3285"/>
      <sheetName val="PTVT (MAU)"/>
      <sheetName val="FAB별"/>
      <sheetName val="4-Lane bridge"/>
      <sheetName val="Tongke"/>
      <sheetName val="아파트 "/>
      <sheetName val="원가계산서"/>
      <sheetName val="취합분(터널)"/>
      <sheetName val="취합분(도로)"/>
      <sheetName val="k치단가"/>
      <sheetName val="일위집계"/>
      <sheetName val="노무집계(할증제외)"/>
      <sheetName val="노무집계(할증15%)"/>
      <sheetName val="노무집계(할증40%)"/>
      <sheetName val="노무단가(할증제외)"/>
      <sheetName val="노무단가(할증15%)"/>
      <sheetName val="노무단가(할증40%)"/>
      <sheetName val="일위대가"/>
      <sheetName val="일위산출(1)"/>
      <sheetName val="일위산출(2)"/>
      <sheetName val="일위산출(3)"/>
      <sheetName val="침하계"/>
      <sheetName val="공통부대비"/>
      <sheetName val="집계표"/>
      <sheetName val="토공"/>
      <sheetName val="Eng"/>
      <sheetName val="M 67"/>
      <sheetName val="264"/>
      <sheetName val="Column"/>
      <sheetName val="Schedule S-Curve Revision#3"/>
      <sheetName val="HD-XUAT"/>
      <sheetName val="내역"/>
      <sheetName val="KET CAU CT5"/>
      <sheetName val="ERECIN"/>
      <sheetName val="기안"/>
      <sheetName val="Doors(C)"/>
      <sheetName val="Notes"/>
      <sheetName val="사리부설"/>
      <sheetName val="참조"/>
      <sheetName val="단가"/>
      <sheetName val="도로구조공사비"/>
      <sheetName val="도로토공공사비"/>
      <sheetName val="여수토공사비"/>
      <sheetName val="설치중량_"/>
      <sheetName val="수문일위_"/>
      <sheetName val="PTVT_(MAU)"/>
      <sheetName val="BTT_(CAT_COC)"/>
      <sheetName val="아파트_"/>
      <sheetName val="4-Lane_bridge"/>
      <sheetName val="unitmass"/>
      <sheetName val="SITE-E"/>
      <sheetName val="Input"/>
      <sheetName val="Bia"/>
      <sheetName val="BXLDL"/>
      <sheetName val="Tien_do_TV"/>
      <sheetName val="CP_Du_phong"/>
      <sheetName val="Tong_hop_kinh_phi"/>
      <sheetName val="THDT_goi_thau_TB"/>
      <sheetName val="TLg CN&amp;Laixe"/>
      <sheetName val="TLg CN&amp;Laixe (2)"/>
      <sheetName val="TLg Laitau"/>
      <sheetName val="TLg Laitau (2)"/>
      <sheetName val="TH1"/>
      <sheetName val="데이타"/>
      <sheetName val="식재인부"/>
      <sheetName val="Z"/>
      <sheetName val="入力作成表"/>
      <sheetName val="Chi ti?t Goc -AB"/>
      <sheetName val="149-2"/>
      <sheetName val="khung ten TD"/>
      <sheetName val="Don gia (khong in)"/>
      <sheetName val="List"/>
      <sheetName val="PT ksat"/>
      <sheetName val="LUONG KS"/>
      <sheetName val="May"/>
      <sheetName val="THDT"/>
      <sheetName val="VAT LIEU"/>
      <sheetName val="ranh hong"/>
      <sheetName val="Chiettinh dz0,4"/>
      <sheetName val="luong"/>
      <sheetName val="Đơn_Giá_"/>
      <sheetName val="1_R18_BF"/>
      <sheetName val="6_External_works-R18"/>
      <sheetName val="Div26_-_Elect"/>
      <sheetName val="MTO_REV_2(ARMOR)"/>
      <sheetName val="Tho_lai_may"/>
      <sheetName val="Don_gia_LD"/>
      <sheetName val="Du_toan_XD"/>
      <sheetName val="Don_gia_XD"/>
      <sheetName val="Cash_Flow"/>
      <sheetName val="Gia__vat_tu"/>
      <sheetName val="Sàn_T1"/>
      <sheetName val="Lỗ_thông_gió"/>
      <sheetName val="GVT"/>
      <sheetName val="GiaVL"/>
      <sheetName val="Elec LG"/>
      <sheetName val="Master"/>
      <sheetName val="Bill 2.1_BOQ ĐIỆN"/>
      <sheetName val="BOQ_CAU CAN"/>
      <sheetName val="DGPS"/>
      <sheetName val="CPC"/>
      <sheetName val="Tính toàn đào đất"/>
      <sheetName val="Khối lượng cốt thép"/>
      <sheetName val="Chi tiết chi phí chung"/>
      <sheetName val="CP. SD Điện"/>
      <sheetName val="Chi ti_t Goc -AB"/>
      <sheetName val="GAEYO"/>
      <sheetName val="PCCC"/>
      <sheetName val="THEP TAM"/>
      <sheetName val="THEP HÌNH"/>
      <sheetName val="THEP HINH"/>
      <sheetName val="XA GO"/>
      <sheetName val="BANG TRA"/>
      <sheetName val="SUM-AIR-Submit"/>
      <sheetName val="NVN Hotel"/>
      <sheetName val="수정시산표"/>
      <sheetName val="Ceiling Height- Schedule"/>
      <sheetName val="04-BETONG"/>
      <sheetName val="COC-LAP DAT"/>
      <sheetName val="05-COPPHA"/>
      <sheetName val="02-Lap dat"/>
      <sheetName val="Ngân sách"/>
      <sheetName val="09-Hoan thien nen"/>
      <sheetName val="INFO"/>
      <sheetName val="list VL"/>
      <sheetName val="Trình mẫu VL"/>
      <sheetName val="Nhap VL"/>
      <sheetName val="LIST VLĐV"/>
      <sheetName val="BB.VLDV"/>
      <sheetName val="BB.VLDV (multi)"/>
      <sheetName val="nghiệm thu hoàn thành"/>
      <sheetName val="Báo cáo hiện trường"/>
      <sheetName val="Kế hoạch nghiệm thu"/>
      <sheetName val="Quy trình"/>
      <sheetName val="List vữa"/>
      <sheetName val="Report"/>
      <sheetName val="List NT"/>
      <sheetName val="BBNT"/>
      <sheetName val="BBNT thô"/>
      <sheetName val="Phân tích"/>
      <sheetName val="gVL"/>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sheetData sheetId="38"/>
      <sheetData sheetId="39" refreshError="1"/>
      <sheetData sheetId="40"/>
      <sheetData sheetId="41" refreshError="1"/>
      <sheetData sheetId="42" refreshError="1"/>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sheetData sheetId="230"/>
      <sheetData sheetId="231"/>
      <sheetData sheetId="232"/>
      <sheetData sheetId="233" refreshError="1"/>
      <sheetData sheetId="234"/>
      <sheetData sheetId="235"/>
      <sheetData sheetId="236" refreshError="1"/>
      <sheetData sheetId="237" refreshError="1"/>
      <sheetData sheetId="238" refreshError="1"/>
      <sheetData sheetId="239"/>
      <sheetData sheetId="240" refreshError="1"/>
      <sheetData sheetId="241" refreshError="1"/>
      <sheetData sheetId="242" refreshError="1"/>
      <sheetData sheetId="243" refreshError="1"/>
      <sheetData sheetId="244" refreshError="1"/>
      <sheetData sheetId="245" refreshError="1"/>
      <sheetData sheetId="246" refreshError="1"/>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sheetData sheetId="302"/>
      <sheetData sheetId="303"/>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sheetData sheetId="340"/>
      <sheetData sheetId="341"/>
      <sheetData sheetId="342"/>
      <sheetData sheetId="343"/>
      <sheetData sheetId="344"/>
      <sheetData sheetId="345" refreshError="1"/>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refreshError="1"/>
      <sheetData sheetId="360" refreshError="1"/>
      <sheetData sheetId="361" refreshError="1"/>
      <sheetData sheetId="362"/>
      <sheetData sheetId="363"/>
      <sheetData sheetId="364"/>
      <sheetData sheetId="365"/>
      <sheetData sheetId="366"/>
      <sheetData sheetId="367" refreshError="1"/>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y Kon Tum"/>
      <sheetName val="DEN BU"/>
      <sheetName val="CUOC"/>
      <sheetName val="Luong"/>
      <sheetName val="May QNam"/>
      <sheetName val="VAT LIEU"/>
      <sheetName val="PTDG"/>
      <sheetName val="DTCT"/>
      <sheetName val="CPXD"/>
      <sheetName val="TH"/>
      <sheetName val="Du phong"/>
      <sheetName val="DTKS"/>
      <sheetName val="KS"/>
      <sheetName val="Luong KS"/>
      <sheetName val="hoantra"/>
      <sheetName val="He so"/>
    </sheetNames>
    <sheetDataSet>
      <sheetData sheetId="0" refreshError="1"/>
      <sheetData sheetId="1" refreshError="1"/>
      <sheetData sheetId="2" refreshError="1"/>
      <sheetData sheetId="3" refreshError="1">
        <row r="26">
          <cell r="U26" t="str">
            <v>B. Nhân công 3,0/7 (nhóm 2)</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TDT"/>
      <sheetName val="THKP"/>
      <sheetName val="DTCT"/>
      <sheetName val="PTDG"/>
      <sheetName val="VL"/>
      <sheetName val="Nhan cong"/>
      <sheetName val="Nhan cong-BTN"/>
      <sheetName val="Gia ca may"/>
      <sheetName val="Dam bao giao thong"/>
      <sheetName val="DTCT_DBGT"/>
      <sheetName val="PhanTich_DBGT"/>
      <sheetName val="Chi phi KS-Buoc 1"/>
      <sheetName val="Phân tích đơn giá"/>
      <sheetName val="DGTN"/>
      <sheetName val="Lương CNKS"/>
      <sheetName val="A6,MAY"/>
    </sheetNames>
    <sheetDataSet>
      <sheetData sheetId="0"/>
      <sheetData sheetId="1"/>
      <sheetData sheetId="2"/>
      <sheetData sheetId="3"/>
      <sheetData sheetId="4"/>
      <sheetData sheetId="5">
        <row r="57">
          <cell r="B57" t="str">
            <v>V-L01</v>
          </cell>
          <cell r="C57" t="str">
            <v>- §¸ 4 x 6</v>
          </cell>
          <cell r="D57" t="str">
            <v>m3</v>
          </cell>
          <cell r="E57">
            <v>176000</v>
          </cell>
        </row>
        <row r="58">
          <cell r="B58" t="str">
            <v>V-L02</v>
          </cell>
          <cell r="C58" t="str">
            <v>- §¸ 2 x 4</v>
          </cell>
          <cell r="D58" t="str">
            <v>m3</v>
          </cell>
          <cell r="E58">
            <v>193000</v>
          </cell>
        </row>
        <row r="59">
          <cell r="B59" t="str">
            <v>V-L03</v>
          </cell>
          <cell r="C59" t="str">
            <v>- §¸ 1 x 2</v>
          </cell>
          <cell r="D59" t="str">
            <v>m3</v>
          </cell>
          <cell r="E59">
            <v>211000</v>
          </cell>
        </row>
        <row r="60">
          <cell r="B60" t="str">
            <v>V-L04</v>
          </cell>
          <cell r="C60" t="str">
            <v xml:space="preserve">- §¸ 0.5 x 1 </v>
          </cell>
          <cell r="D60" t="str">
            <v>m3</v>
          </cell>
          <cell r="E60">
            <v>211000</v>
          </cell>
        </row>
        <row r="61">
          <cell r="B61" t="str">
            <v>V-L05</v>
          </cell>
          <cell r="C61" t="str">
            <v>- §¸ m¹t 0 x 0.5</v>
          </cell>
          <cell r="D61" t="str">
            <v>m3</v>
          </cell>
          <cell r="E61">
            <v>66000</v>
          </cell>
        </row>
        <row r="62">
          <cell r="B62" t="str">
            <v>V-L06</v>
          </cell>
          <cell r="C62" t="str">
            <v>- §¸ 1 x 1,6</v>
          </cell>
          <cell r="D62" t="str">
            <v>m3</v>
          </cell>
          <cell r="E62">
            <v>211000</v>
          </cell>
        </row>
        <row r="63">
          <cell r="B63" t="str">
            <v>V-L07</v>
          </cell>
          <cell r="C63" t="str">
            <v>- §Êt ®¾p</v>
          </cell>
          <cell r="D63" t="str">
            <v>m3</v>
          </cell>
          <cell r="E63">
            <v>100000</v>
          </cell>
        </row>
        <row r="64">
          <cell r="B64" t="str">
            <v>V-L08</v>
          </cell>
          <cell r="C64" t="str">
            <v>- C¸t vµng</v>
          </cell>
          <cell r="D64" t="str">
            <v>m3</v>
          </cell>
          <cell r="E64">
            <v>280000</v>
          </cell>
        </row>
        <row r="65">
          <cell r="B65" t="str">
            <v>V-L09</v>
          </cell>
          <cell r="C65" t="str">
            <v>- Bét ®¸</v>
          </cell>
          <cell r="D65" t="str">
            <v>kg</v>
          </cell>
          <cell r="E65">
            <v>423</v>
          </cell>
        </row>
        <row r="66">
          <cell r="B66" t="str">
            <v>V-L10</v>
          </cell>
          <cell r="C66" t="str">
            <v>- Nhùa ®­êng ®Æc nãng 60/70</v>
          </cell>
          <cell r="D66" t="str">
            <v>kg</v>
          </cell>
          <cell r="E66">
            <v>15884</v>
          </cell>
        </row>
        <row r="67">
          <cell r="B67" t="str">
            <v>V-L11</v>
          </cell>
          <cell r="C67" t="str">
            <v>- Nhùa ®­êng phuy 60/70</v>
          </cell>
          <cell r="D67" t="str">
            <v>kg</v>
          </cell>
          <cell r="E67">
            <v>17084</v>
          </cell>
        </row>
        <row r="68">
          <cell r="B68" t="str">
            <v>V-L12</v>
          </cell>
          <cell r="C68" t="str">
            <v>- DÇu diezen</v>
          </cell>
          <cell r="D68" t="str">
            <v>kg</v>
          </cell>
          <cell r="E68">
            <v>24013.316866240664</v>
          </cell>
        </row>
        <row r="69">
          <cell r="B69" t="str">
            <v>V-L13</v>
          </cell>
          <cell r="C69" t="str">
            <v>- DÇu mazut</v>
          </cell>
          <cell r="D69" t="str">
            <v>kg</v>
          </cell>
          <cell r="E69">
            <v>17127.272727272724</v>
          </cell>
        </row>
        <row r="70">
          <cell r="B70" t="str">
            <v>V-L14</v>
          </cell>
          <cell r="C70" t="str">
            <v>- DÇu b¶o «n</v>
          </cell>
          <cell r="D70" t="str">
            <v>kg</v>
          </cell>
          <cell r="E70">
            <v>18000</v>
          </cell>
          <cell r="F70" t="str">
            <v>VD ®¬n gi¸ XDCD Hµ Nam</v>
          </cell>
        </row>
        <row r="71">
          <cell r="B71" t="str">
            <v>V-L15</v>
          </cell>
          <cell r="C71" t="str">
            <v>- DÇu háa</v>
          </cell>
          <cell r="D71" t="str">
            <v>kg</v>
          </cell>
          <cell r="E71">
            <v>23040.752351097177</v>
          </cell>
        </row>
        <row r="72">
          <cell r="B72" t="str">
            <v>V-L16</v>
          </cell>
          <cell r="C72" t="str">
            <v>- S¬n dÎo nhiÖt</v>
          </cell>
          <cell r="D72" t="str">
            <v>kg</v>
          </cell>
          <cell r="E72">
            <v>28000</v>
          </cell>
          <cell r="F72" t="str">
            <v>Chøng th­ thÈm ®Þnh gi¸</v>
          </cell>
        </row>
        <row r="73">
          <cell r="B73" t="str">
            <v>V-L17</v>
          </cell>
          <cell r="C73" t="str">
            <v>- Gas ®èt</v>
          </cell>
          <cell r="D73" t="str">
            <v>kg</v>
          </cell>
          <cell r="E73">
            <v>31000</v>
          </cell>
          <cell r="F73" t="str">
            <v>VD ®¬n gi¸ XDCD Hµ Nam</v>
          </cell>
        </row>
        <row r="74">
          <cell r="B74" t="str">
            <v>V-L18</v>
          </cell>
          <cell r="C74" t="str">
            <v>- S¬n lãt</v>
          </cell>
          <cell r="D74" t="str">
            <v>kg</v>
          </cell>
          <cell r="E74">
            <v>80000</v>
          </cell>
          <cell r="F74" t="str">
            <v>Chøng th­ thÈm ®Þnh gi¸</v>
          </cell>
        </row>
        <row r="75">
          <cell r="B75" t="str">
            <v>V-L19</v>
          </cell>
          <cell r="C75" t="str">
            <v>- èng thÐp ®en D88.3mm dµy 1.8mm</v>
          </cell>
          <cell r="D75" t="str">
            <v>md</v>
          </cell>
          <cell r="E75">
            <v>65280</v>
          </cell>
        </row>
        <row r="76">
          <cell r="B76" t="str">
            <v>V-L20</v>
          </cell>
          <cell r="C76" t="str">
            <v>- S¬n chèng gØ</v>
          </cell>
          <cell r="D76" t="str">
            <v>kg</v>
          </cell>
          <cell r="E76">
            <v>40360</v>
          </cell>
        </row>
        <row r="77">
          <cell r="B77" t="str">
            <v>V-L21</v>
          </cell>
          <cell r="C77" t="str">
            <v>- S¬n dÇu</v>
          </cell>
          <cell r="D77" t="str">
            <v>kg</v>
          </cell>
          <cell r="E77">
            <v>46100</v>
          </cell>
        </row>
        <row r="78">
          <cell r="B78" t="str">
            <v>V-L22</v>
          </cell>
          <cell r="C78" t="str">
            <v>- Xi m¨ng PC30</v>
          </cell>
          <cell r="D78" t="str">
            <v>kg</v>
          </cell>
          <cell r="E78">
            <v>1179</v>
          </cell>
        </row>
        <row r="79">
          <cell r="B79" t="str">
            <v>V-L23</v>
          </cell>
          <cell r="C79" t="str">
            <v>- L­ìi c¾t bª t«ng lo¹i 356 mm</v>
          </cell>
          <cell r="D79" t="str">
            <v>c¸i</v>
          </cell>
          <cell r="E79">
            <v>1714286</v>
          </cell>
          <cell r="F79" t="str">
            <v>VD ®¬n gi¸ XDCD Hµ Nam</v>
          </cell>
        </row>
        <row r="80">
          <cell r="B80" t="str">
            <v>V-L24</v>
          </cell>
          <cell r="C80" t="str">
            <v>- CÊp phèi ®¸ d¨m lo¹i 1,2</v>
          </cell>
          <cell r="D80" t="str">
            <v>m3</v>
          </cell>
          <cell r="E80">
            <v>179000</v>
          </cell>
        </row>
        <row r="81">
          <cell r="B81" t="str">
            <v>V-L25</v>
          </cell>
          <cell r="C81" t="str">
            <v>- R¨ng cµo</v>
          </cell>
          <cell r="D81" t="str">
            <v>bé</v>
          </cell>
          <cell r="E81">
            <v>850000</v>
          </cell>
          <cell r="F81" t="str">
            <v>VD ®¬n gi¸ XDCD Hµ Nam</v>
          </cell>
        </row>
        <row r="82">
          <cell r="B82" t="str">
            <v>V-L26</v>
          </cell>
          <cell r="C82" t="str">
            <v>- N­íc</v>
          </cell>
          <cell r="D82" t="str">
            <v>lÝt</v>
          </cell>
          <cell r="E82">
            <v>10</v>
          </cell>
        </row>
        <row r="83">
          <cell r="B83" t="str">
            <v>V-L27</v>
          </cell>
          <cell r="C83" t="str">
            <v>- §¸ th¶i</v>
          </cell>
          <cell r="D83" t="str">
            <v>m3</v>
          </cell>
          <cell r="E83">
            <v>127000</v>
          </cell>
        </row>
        <row r="84">
          <cell r="B84" t="str">
            <v>V-L28</v>
          </cell>
          <cell r="C84" t="str">
            <v>- §¸ héc</v>
          </cell>
          <cell r="D84" t="str">
            <v>m3</v>
          </cell>
          <cell r="E84">
            <v>170000</v>
          </cell>
        </row>
        <row r="85">
          <cell r="B85" t="str">
            <v>V-L29</v>
          </cell>
          <cell r="C85" t="str">
            <v>- ThÐp tÊm</v>
          </cell>
          <cell r="D85" t="str">
            <v>kg</v>
          </cell>
          <cell r="E85">
            <v>15636</v>
          </cell>
        </row>
        <row r="86">
          <cell r="B86" t="str">
            <v>V-L30</v>
          </cell>
          <cell r="C86" t="str">
            <v>- ThÐp h×nh</v>
          </cell>
          <cell r="D86" t="str">
            <v>kg</v>
          </cell>
          <cell r="E86">
            <v>14313</v>
          </cell>
        </row>
        <row r="87">
          <cell r="B87" t="str">
            <v>V-L31</v>
          </cell>
          <cell r="C87" t="str">
            <v>- ThÐp trßn</v>
          </cell>
          <cell r="D87" t="str">
            <v>kg</v>
          </cell>
          <cell r="E87">
            <v>13413</v>
          </cell>
        </row>
        <row r="88">
          <cell r="B88" t="str">
            <v>V-L32</v>
          </cell>
          <cell r="C88" t="str">
            <v>- Que hµn</v>
          </cell>
          <cell r="D88" t="str">
            <v>kg</v>
          </cell>
          <cell r="E88">
            <v>26180</v>
          </cell>
        </row>
        <row r="89">
          <cell r="B89" t="str">
            <v>V-L33</v>
          </cell>
          <cell r="C89" t="str">
            <v>- Mµng ph¶n quang</v>
          </cell>
          <cell r="D89" t="str">
            <v>m2</v>
          </cell>
          <cell r="E89">
            <v>740000</v>
          </cell>
          <cell r="F89" t="str">
            <v>Chøng th­ thÈm ®Þnh gi¸</v>
          </cell>
        </row>
        <row r="90">
          <cell r="B90" t="str">
            <v>V-L34</v>
          </cell>
          <cell r="C90" t="str">
            <v>- Cét biÓn b¸o D113.5mm</v>
          </cell>
          <cell r="D90" t="str">
            <v>m</v>
          </cell>
          <cell r="E90">
            <v>216153.14285714287</v>
          </cell>
        </row>
        <row r="91">
          <cell r="B91" t="str">
            <v>V-L35</v>
          </cell>
          <cell r="C91" t="str">
            <v>- BiÓn b¸o trßn D 90cm</v>
          </cell>
          <cell r="D91" t="str">
            <v xml:space="preserve">biÓn </v>
          </cell>
          <cell r="E91">
            <v>720522</v>
          </cell>
        </row>
        <row r="92">
          <cell r="B92" t="str">
            <v>V-L36</v>
          </cell>
          <cell r="C92" t="str">
            <v>- T«n tr¸ng kÏm dµy 1,8mm</v>
          </cell>
          <cell r="D92" t="str">
            <v>kg</v>
          </cell>
          <cell r="E92">
            <v>28500</v>
          </cell>
          <cell r="F92" t="str">
            <v>Chøng th­ thÈm ®Þnh gi¸</v>
          </cell>
        </row>
        <row r="93">
          <cell r="B93" t="str">
            <v>V-L37</v>
          </cell>
          <cell r="C93" t="str">
            <v>- Dung m«i PUH</v>
          </cell>
          <cell r="D93" t="str">
            <v>lÝt</v>
          </cell>
          <cell r="E93">
            <v>30000</v>
          </cell>
          <cell r="F93" t="str">
            <v>VD ®¬n gi¸ XDCD Hµ Nam</v>
          </cell>
        </row>
        <row r="94">
          <cell r="B94" t="str">
            <v>V-L38</v>
          </cell>
          <cell r="C94" t="str">
            <v>- Dung m«i PUV</v>
          </cell>
          <cell r="D94" t="str">
            <v>lÝt</v>
          </cell>
          <cell r="E94">
            <v>30000</v>
          </cell>
          <cell r="F94" t="str">
            <v>VD ®¬n gi¸ XDCD Hµ Nam</v>
          </cell>
        </row>
        <row r="95">
          <cell r="B95" t="str">
            <v>V-L39</v>
          </cell>
          <cell r="C95" t="str">
            <v>- Mùc in cao cÊp</v>
          </cell>
          <cell r="D95" t="str">
            <v>lÝt</v>
          </cell>
          <cell r="E95">
            <v>100000</v>
          </cell>
          <cell r="F95" t="str">
            <v>VD ®¬n gi¸ XDCD Hµ Nam</v>
          </cell>
        </row>
        <row r="96">
          <cell r="B96" t="str">
            <v>V-L40</v>
          </cell>
          <cell r="C96" t="str">
            <v>- ThÐp èng dµy 1.7-1.9mm</v>
          </cell>
          <cell r="D96" t="str">
            <v>kg</v>
          </cell>
          <cell r="E96">
            <v>17000</v>
          </cell>
        </row>
      </sheetData>
      <sheetData sheetId="6">
        <row r="20">
          <cell r="J20">
            <v>210418.46153846156</v>
          </cell>
        </row>
      </sheetData>
      <sheetData sheetId="7"/>
      <sheetData sheetId="8"/>
      <sheetData sheetId="9"/>
      <sheetData sheetId="10"/>
      <sheetData sheetId="11"/>
      <sheetData sheetId="12"/>
      <sheetData sheetId="13"/>
      <sheetData sheetId="14"/>
      <sheetData sheetId="15"/>
      <sheetData sheetId="16">
        <row r="8">
          <cell r="E8" t="str">
            <v>B. Nh©n c«ng 3,5/7</v>
          </cell>
        </row>
        <row r="10">
          <cell r="E10" t="str">
            <v>B. Nh©n c«ng 4,0/7</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HDT"/>
      <sheetName val="THXD"/>
      <sheetName val="vl-nc-mtc"/>
      <sheetName val="PTDG"/>
      <sheetName val="DGNC"/>
      <sheetName val="NC TT15 (2)"/>
      <sheetName val=" NC1891.2016"/>
      <sheetName val="NC TT15"/>
      <sheetName val="Tinh gia ca may"/>
      <sheetName val="May TT11.2019"/>
      <sheetName val="NCmay2016"/>
      <sheetName val="TH Thi nghiem"/>
      <sheetName val="CPV"/>
      <sheetName val="GVL"/>
      <sheetName val="NCmay(TT05)"/>
      <sheetName val="CT-TN"/>
      <sheetName val="Sheet1"/>
    </sheetNames>
    <sheetDataSet>
      <sheetData sheetId="0"/>
      <sheetData sheetId="1"/>
      <sheetData sheetId="2"/>
      <sheetData sheetId="3"/>
      <sheetData sheetId="4">
        <row r="10">
          <cell r="H10">
            <v>191250</v>
          </cell>
        </row>
      </sheetData>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GNC"/>
      <sheetName val="VMC ca may"/>
      <sheetName val="Tinh gia ca may"/>
      <sheetName val="Dinh muc 4970-DZ"/>
      <sheetName val="Dinh muc 4970-TBA"/>
      <sheetName val="Dinh muc XD theo TT10"/>
      <sheetName val="Đơn giá chi tiết TN 1781"/>
      <sheetName val="Đơn giá thu hồi 228"/>
      <sheetName val="Boc do, van chuyen lap dat"/>
      <sheetName val="SVDT quy dinh"/>
      <sheetName val="SVDT tinh toan"/>
      <sheetName val="So sánh SVDT"/>
      <sheetName val="Boc do, van chuyen-phần XD"/>
      <sheetName val="Dao, dap"/>
      <sheetName val="GIA VAT LIEU"/>
      <sheetName val="THONG SO"/>
      <sheetName val="TH DTXD(1)"/>
      <sheetName val="THXL(2)"/>
      <sheetName val="DTXL(3)"/>
      <sheetName val="Khoi luong cot, day,PK"/>
      <sheetName val="THTBA(6)"/>
      <sheetName val="CTTBA(7)"/>
      <sheetName val="CTBT(11)"/>
      <sheetName val="CT sứ"/>
      <sheetName val="VC"/>
      <sheetName val="Den bu"/>
      <sheetName val="CT don gia KS"/>
      <sheetName val="DGTH KS"/>
      <sheetName val="Tong hop du toan"/>
      <sheetName val="Tong ho do ve gianh gioi thu ho"/>
      <sheetName val="Nhan cong"/>
      <sheetName val="MTC"/>
      <sheetName val="Vat Lieu"/>
      <sheetName val="Lương"/>
      <sheetName val="Chi phi CKMT"/>
      <sheetName val="May thi cong moi truong"/>
      <sheetName val="Nhan cong moi truong"/>
    </sheetNames>
    <sheetDataSet>
      <sheetData sheetId="0"/>
      <sheetData sheetId="1"/>
      <sheetData sheetId="2"/>
      <sheetData sheetId="3">
        <row r="3">
          <cell r="A3" t="str">
            <v>MÃ HIỆU</v>
          </cell>
          <cell r="B3" t="str">
            <v>MÃ HIỆU</v>
          </cell>
          <cell r="C3" t="str">
            <v>CÔNG TÁC XÂY LẮP</v>
          </cell>
          <cell r="D3" t="str">
            <v>ĐƠN</v>
          </cell>
          <cell r="E3" t="str">
            <v>ĐỊNH MỨC</v>
          </cell>
          <cell r="F3" t="str">
            <v>ĐƠN</v>
          </cell>
          <cell r="G3" t="str">
            <v>THÀNH</v>
          </cell>
          <cell r="H3" t="str">
            <v>Đơn giá</v>
          </cell>
        </row>
        <row r="4">
          <cell r="A4" t="str">
            <v>ĐỊNH MỨC</v>
          </cell>
          <cell r="B4" t="str">
            <v>VẬT TƯ</v>
          </cell>
          <cell r="C4" t="str">
            <v>TÊN LOẠI VẬT LIỆU, NHÂN CÔNG, MÁY THI CÔNG</v>
          </cell>
          <cell r="D4" t="str">
            <v>VỊ</v>
          </cell>
          <cell r="E4" t="str">
            <v>CHÍNH</v>
          </cell>
          <cell r="F4" t="str">
            <v>GIÁ</v>
          </cell>
          <cell r="G4" t="str">
            <v>TIỀN</v>
          </cell>
          <cell r="H4" t="str">
            <v>Vật liệu phụ</v>
          </cell>
          <cell r="I4" t="str">
            <v>Nhân công</v>
          </cell>
          <cell r="J4" t="str">
            <v>MTC</v>
          </cell>
          <cell r="L4">
            <v>1</v>
          </cell>
        </row>
        <row r="5">
          <cell r="A5" t="str">
            <v>BỐC DỠ BẰNG THỦ CÔNG</v>
          </cell>
        </row>
        <row r="6">
          <cell r="A6" t="str">
            <v>D1.1011</v>
          </cell>
          <cell r="C6" t="str">
            <v>Vận chuyển nước</v>
          </cell>
          <cell r="D6" t="str">
            <v>m3</v>
          </cell>
          <cell r="I6">
            <v>47561.026447368407</v>
          </cell>
        </row>
        <row r="7">
          <cell r="C7" t="str">
            <v>Nhân công</v>
          </cell>
          <cell r="G7">
            <v>47561.026447368407</v>
          </cell>
        </row>
        <row r="8">
          <cell r="B8" t="str">
            <v>NC1307</v>
          </cell>
          <cell r="C8" t="str">
            <v>+ Nhân công bậc 3,0/7</v>
          </cell>
          <cell r="D8" t="str">
            <v>Công</v>
          </cell>
          <cell r="E8">
            <v>0.28999999999999998</v>
          </cell>
          <cell r="F8">
            <v>164003.53947368418</v>
          </cell>
          <cell r="G8">
            <v>47561.026447368407</v>
          </cell>
        </row>
        <row r="9">
          <cell r="C9" t="str">
            <v>Bốc ván gỗ cốp pha bằng thủ công</v>
          </cell>
          <cell r="D9" t="str">
            <v>m3</v>
          </cell>
          <cell r="I9">
            <v>29520.637105263151</v>
          </cell>
        </row>
        <row r="10">
          <cell r="C10" t="str">
            <v>Nhân công</v>
          </cell>
          <cell r="G10">
            <v>29520.637105263151</v>
          </cell>
        </row>
        <row r="11">
          <cell r="B11" t="str">
            <v>NC1307</v>
          </cell>
          <cell r="C11" t="str">
            <v>+ Nhân công bậc 3,0/7</v>
          </cell>
          <cell r="D11" t="str">
            <v>Công</v>
          </cell>
          <cell r="E11">
            <v>0.18</v>
          </cell>
          <cell r="F11">
            <v>164003.53947368418</v>
          </cell>
          <cell r="G11">
            <v>29520.637105263151</v>
          </cell>
        </row>
        <row r="12">
          <cell r="A12" t="str">
            <v>D1.1021</v>
          </cell>
          <cell r="C12" t="str">
            <v>Bốc dỡ cốp pha thép bằng thủ công</v>
          </cell>
          <cell r="D12" t="str">
            <v>tấn</v>
          </cell>
          <cell r="I12">
            <v>52481.132631578941</v>
          </cell>
        </row>
        <row r="13">
          <cell r="C13" t="str">
            <v>Nhân công</v>
          </cell>
          <cell r="G13">
            <v>52481.132631578941</v>
          </cell>
        </row>
        <row r="14">
          <cell r="B14" t="str">
            <v>NC1307</v>
          </cell>
          <cell r="C14" t="str">
            <v>+ Nhân công bậc 3,0/7</v>
          </cell>
          <cell r="D14" t="str">
            <v>Công</v>
          </cell>
          <cell r="E14">
            <v>0.32</v>
          </cell>
          <cell r="F14">
            <v>164003.53947368418</v>
          </cell>
          <cell r="G14">
            <v>52481.132631578941</v>
          </cell>
        </row>
        <row r="15">
          <cell r="A15" t="str">
            <v>D1.1031</v>
          </cell>
          <cell r="C15" t="str">
            <v>Bốc dỡ Bu lông, tiếp địa, cốt thép, dây néo bằng thủ công</v>
          </cell>
          <cell r="D15" t="str">
            <v>tấn</v>
          </cell>
          <cell r="I15">
            <v>67241.451184210513</v>
          </cell>
        </row>
        <row r="16">
          <cell r="C16" t="str">
            <v>Nhân công</v>
          </cell>
          <cell r="G16">
            <v>67241.451184210513</v>
          </cell>
        </row>
        <row r="17">
          <cell r="B17" t="str">
            <v>NC1307</v>
          </cell>
          <cell r="C17" t="str">
            <v>+ Nhân công bậc 3,0/7</v>
          </cell>
          <cell r="D17" t="str">
            <v>Công</v>
          </cell>
          <cell r="E17">
            <v>0.41</v>
          </cell>
          <cell r="F17">
            <v>164003.53947368418</v>
          </cell>
          <cell r="G17">
            <v>67241.451184210513</v>
          </cell>
        </row>
        <row r="18">
          <cell r="A18" t="str">
            <v>D1.1041</v>
          </cell>
          <cell r="C18" t="str">
            <v>Bốc dỡ Cột thép chưa lắp vận chuyển từng thanh bằng thủ công</v>
          </cell>
          <cell r="D18" t="str">
            <v>tấn</v>
          </cell>
          <cell r="I18">
            <v>62321.344999999994</v>
          </cell>
        </row>
        <row r="19">
          <cell r="C19" t="str">
            <v>Nhân công</v>
          </cell>
          <cell r="G19">
            <v>62321.344999999994</v>
          </cell>
        </row>
        <row r="20">
          <cell r="B20" t="str">
            <v>NC1307</v>
          </cell>
          <cell r="C20" t="str">
            <v>+ Nhân công bậc 3,0/7</v>
          </cell>
          <cell r="D20" t="str">
            <v>Công</v>
          </cell>
          <cell r="E20">
            <v>0.38</v>
          </cell>
          <cell r="F20">
            <v>164003.53947368418</v>
          </cell>
          <cell r="G20">
            <v>62321.344999999994</v>
          </cell>
        </row>
        <row r="21">
          <cell r="A21" t="str">
            <v>D1.1051</v>
          </cell>
          <cell r="C21" t="str">
            <v>Bốc dỡ, Cột thép chưa lắp vận chuyển từng đoạn bằng thủ công</v>
          </cell>
          <cell r="D21" t="str">
            <v>tấn</v>
          </cell>
          <cell r="I21">
            <v>73801.592763157882</v>
          </cell>
        </row>
        <row r="22">
          <cell r="C22" t="str">
            <v>Nhân công</v>
          </cell>
          <cell r="G22">
            <v>73801.592763157882</v>
          </cell>
        </row>
        <row r="23">
          <cell r="B23" t="str">
            <v>NC1307</v>
          </cell>
          <cell r="C23" t="str">
            <v>+ Nhân công bậc 3,0/7</v>
          </cell>
          <cell r="D23" t="str">
            <v>Công</v>
          </cell>
          <cell r="E23">
            <v>0.45</v>
          </cell>
          <cell r="F23">
            <v>164003.53947368418</v>
          </cell>
          <cell r="G23">
            <v>73801.592763157882</v>
          </cell>
        </row>
        <row r="24">
          <cell r="A24" t="str">
            <v>D1.1061</v>
          </cell>
          <cell r="C24" t="str">
            <v>Bốc dỡ phụ kiện các loại bằng thủ công</v>
          </cell>
          <cell r="D24" t="str">
            <v>tấn</v>
          </cell>
          <cell r="I24">
            <v>68881.486578947355</v>
          </cell>
        </row>
        <row r="25">
          <cell r="C25" t="str">
            <v>Nhân công</v>
          </cell>
          <cell r="G25">
            <v>68881.486578947355</v>
          </cell>
        </row>
        <row r="26">
          <cell r="B26" t="str">
            <v>NC1307</v>
          </cell>
          <cell r="C26" t="str">
            <v>+ Nhân công bậc 3,0/7</v>
          </cell>
          <cell r="D26" t="str">
            <v>Công</v>
          </cell>
          <cell r="E26">
            <v>0.42</v>
          </cell>
          <cell r="F26">
            <v>164003.53947368418</v>
          </cell>
          <cell r="G26">
            <v>68881.486578947355</v>
          </cell>
        </row>
        <row r="27">
          <cell r="A27" t="str">
            <v>D1.1071</v>
          </cell>
          <cell r="C27" t="str">
            <v>Bốc dỡ Sứ (cách điện) các loại bằng thủ công</v>
          </cell>
          <cell r="D27" t="str">
            <v>tấn</v>
          </cell>
          <cell r="I27">
            <v>136122.93776315785</v>
          </cell>
        </row>
        <row r="28">
          <cell r="C28" t="str">
            <v>Nhân công</v>
          </cell>
          <cell r="G28">
            <v>136122.93776315785</v>
          </cell>
        </row>
        <row r="29">
          <cell r="B29" t="str">
            <v>NC1307</v>
          </cell>
          <cell r="C29" t="str">
            <v>+ Nhân công bậc 3,0/7</v>
          </cell>
          <cell r="D29" t="str">
            <v>Công</v>
          </cell>
          <cell r="E29">
            <v>0.83</v>
          </cell>
          <cell r="F29">
            <v>164003.53947368418</v>
          </cell>
          <cell r="G29">
            <v>136122.93776315785</v>
          </cell>
        </row>
        <row r="30">
          <cell r="A30" t="str">
            <v>D1.1081</v>
          </cell>
          <cell r="C30" t="str">
            <v>Bốc dỡ Dây dẫn điện, dây cáp các loại bằng thủ công</v>
          </cell>
          <cell r="D30" t="str">
            <v>tấn</v>
          </cell>
          <cell r="I30">
            <v>78721.698947368408</v>
          </cell>
        </row>
        <row r="31">
          <cell r="C31" t="str">
            <v>Nhân công</v>
          </cell>
          <cell r="G31">
            <v>78721.698947368408</v>
          </cell>
        </row>
        <row r="32">
          <cell r="B32" t="str">
            <v>NC1307</v>
          </cell>
          <cell r="C32" t="str">
            <v>+ Nhân công bậc 3,0/7</v>
          </cell>
          <cell r="D32" t="str">
            <v>Công</v>
          </cell>
          <cell r="E32">
            <v>0.48</v>
          </cell>
          <cell r="F32">
            <v>164003.53947368418</v>
          </cell>
          <cell r="G32">
            <v>78721.698947368408</v>
          </cell>
        </row>
        <row r="33">
          <cell r="A33" t="str">
            <v>D1.1091</v>
          </cell>
          <cell r="C33" t="str">
            <v>Bốc dỡ Cấu kiện bê tông đúc sẵn bằng thủ công</v>
          </cell>
          <cell r="D33" t="str">
            <v>tấn</v>
          </cell>
          <cell r="I33">
            <v>67241.451184210513</v>
          </cell>
        </row>
        <row r="34">
          <cell r="C34" t="str">
            <v>Nhân công</v>
          </cell>
          <cell r="G34">
            <v>67241.451184210513</v>
          </cell>
        </row>
        <row r="35">
          <cell r="B35" t="str">
            <v>NC1307</v>
          </cell>
          <cell r="C35" t="str">
            <v>+ Nhân công bậc 3,0/7</v>
          </cell>
          <cell r="D35" t="str">
            <v>Công</v>
          </cell>
          <cell r="E35">
            <v>0.41</v>
          </cell>
          <cell r="F35">
            <v>164003.53947368418</v>
          </cell>
          <cell r="G35">
            <v>67241.451184210513</v>
          </cell>
        </row>
        <row r="36">
          <cell r="A36" t="str">
            <v>D1.1101</v>
          </cell>
          <cell r="C36" t="str">
            <v>Bốc dỡ cột bê tông bằng thủ công</v>
          </cell>
          <cell r="D36" t="str">
            <v>tấn</v>
          </cell>
          <cell r="H36">
            <v>82001.769736842092</v>
          </cell>
        </row>
        <row r="37">
          <cell r="C37" t="str">
            <v>Nhân công</v>
          </cell>
          <cell r="G37">
            <v>82001.769736842092</v>
          </cell>
        </row>
        <row r="38">
          <cell r="B38" t="str">
            <v>NC1307</v>
          </cell>
          <cell r="C38" t="str">
            <v>+ Nhân công bậc 3,0/7</v>
          </cell>
          <cell r="D38" t="str">
            <v>Công</v>
          </cell>
          <cell r="E38">
            <v>0.5</v>
          </cell>
          <cell r="F38">
            <v>164003.53947368418</v>
          </cell>
          <cell r="G38">
            <v>82001.769736842092</v>
          </cell>
        </row>
        <row r="39">
          <cell r="A39" t="str">
            <v>D1.1111</v>
          </cell>
          <cell r="C39" t="str">
            <v>Bốc dỡ Bi tum bằng thủ công</v>
          </cell>
          <cell r="D39" t="str">
            <v>tấn</v>
          </cell>
          <cell r="I39">
            <v>88561.911315789461</v>
          </cell>
        </row>
        <row r="40">
          <cell r="C40" t="str">
            <v>Nhân công</v>
          </cell>
          <cell r="G40">
            <v>88561.911315789461</v>
          </cell>
        </row>
        <row r="41">
          <cell r="B41" t="str">
            <v>NC1307</v>
          </cell>
          <cell r="C41" t="str">
            <v>+ Nhân công bậc 3,0/7</v>
          </cell>
          <cell r="D41" t="str">
            <v>Công</v>
          </cell>
          <cell r="E41">
            <v>0.54</v>
          </cell>
          <cell r="F41">
            <v>164003.53947368418</v>
          </cell>
          <cell r="G41">
            <v>88561.911315789461</v>
          </cell>
        </row>
        <row r="42">
          <cell r="A42" t="str">
            <v>VẬN CHUYỂN BẰNG THỦ CÔNG</v>
          </cell>
        </row>
        <row r="43">
          <cell r="A43" t="str">
            <v>D1.1012</v>
          </cell>
          <cell r="C43" t="str">
            <v>Vận chuyển Nước Cự ly &lt; 100m bằng thủ công</v>
          </cell>
          <cell r="D43" t="str">
            <v>m3/km</v>
          </cell>
          <cell r="H43">
            <v>644533.91013157892</v>
          </cell>
        </row>
        <row r="44">
          <cell r="C44" t="str">
            <v>Nhân công</v>
          </cell>
          <cell r="G44">
            <v>644533.91013157892</v>
          </cell>
        </row>
        <row r="45">
          <cell r="B45" t="str">
            <v>NC1307</v>
          </cell>
          <cell r="C45" t="str">
            <v>+ Nhân công bậc 3,0/7</v>
          </cell>
          <cell r="D45" t="str">
            <v>Công</v>
          </cell>
          <cell r="E45">
            <v>3.93</v>
          </cell>
          <cell r="F45">
            <v>164003.53947368418</v>
          </cell>
          <cell r="G45">
            <v>644533.91013157892</v>
          </cell>
        </row>
        <row r="46">
          <cell r="A46" t="str">
            <v>D1.1013</v>
          </cell>
          <cell r="C46" t="str">
            <v>Vận chuyển Nước Cự ly &lt; 300m bằng thủ công</v>
          </cell>
          <cell r="D46" t="str">
            <v>m3/km</v>
          </cell>
          <cell r="H46">
            <v>634693.69776315778</v>
          </cell>
        </row>
        <row r="47">
          <cell r="C47" t="str">
            <v>Nhân công</v>
          </cell>
          <cell r="G47">
            <v>634693.69776315778</v>
          </cell>
        </row>
        <row r="48">
          <cell r="B48" t="str">
            <v>NC1307</v>
          </cell>
          <cell r="C48" t="str">
            <v>+ Nhân công bậc 3,0/7</v>
          </cell>
          <cell r="D48" t="str">
            <v>Công</v>
          </cell>
          <cell r="E48">
            <v>3.87</v>
          </cell>
          <cell r="F48">
            <v>164003.53947368418</v>
          </cell>
          <cell r="G48">
            <v>634693.69776315778</v>
          </cell>
        </row>
        <row r="49">
          <cell r="A49" t="str">
            <v>D1.1014</v>
          </cell>
          <cell r="C49" t="str">
            <v>Vận chuyển Nước Cự ly &lt; 500m bằng thủ công</v>
          </cell>
          <cell r="D49" t="str">
            <v>m3/km</v>
          </cell>
          <cell r="H49">
            <v>552691.92802631576</v>
          </cell>
        </row>
        <row r="50">
          <cell r="C50" t="str">
            <v>Nhân công</v>
          </cell>
          <cell r="G50">
            <v>552691.92802631576</v>
          </cell>
        </row>
        <row r="51">
          <cell r="B51" t="str">
            <v>NC1307</v>
          </cell>
          <cell r="C51" t="str">
            <v>+ Nhân công bậc 3,0/7</v>
          </cell>
          <cell r="D51" t="str">
            <v>Công</v>
          </cell>
          <cell r="E51">
            <v>3.37</v>
          </cell>
          <cell r="F51">
            <v>164003.53947368418</v>
          </cell>
          <cell r="G51">
            <v>552691.92802631576</v>
          </cell>
        </row>
        <row r="52">
          <cell r="A52" t="str">
            <v>D1.1015</v>
          </cell>
          <cell r="C52" t="str">
            <v>Vận chuyển Nước Cự ly &gt; 500m bằng thủ công</v>
          </cell>
          <cell r="D52" t="str">
            <v>m3/km</v>
          </cell>
          <cell r="H52">
            <v>539571.64486842102</v>
          </cell>
        </row>
        <row r="53">
          <cell r="C53" t="str">
            <v>Nhân công</v>
          </cell>
          <cell r="G53">
            <v>539571.64486842102</v>
          </cell>
        </row>
        <row r="54">
          <cell r="B54" t="str">
            <v>NC1307</v>
          </cell>
          <cell r="C54" t="str">
            <v>+ Nhân công bậc 3,0/7</v>
          </cell>
          <cell r="D54" t="str">
            <v>Công</v>
          </cell>
          <cell r="E54">
            <v>3.29</v>
          </cell>
          <cell r="F54">
            <v>164003.53947368418</v>
          </cell>
          <cell r="G54">
            <v>539571.64486842102</v>
          </cell>
        </row>
        <row r="55">
          <cell r="A55" t="str">
            <v>D1.1022</v>
          </cell>
          <cell r="C55" t="str">
            <v>Vận chuyển cốp pha thép Cự ly &lt; 100m bằng thủ công</v>
          </cell>
          <cell r="D55" t="str">
            <v>tấn/km</v>
          </cell>
          <cell r="H55">
            <v>949580.49355263147</v>
          </cell>
        </row>
        <row r="56">
          <cell r="C56" t="str">
            <v>Nhân công</v>
          </cell>
          <cell r="G56">
            <v>949580.49355263147</v>
          </cell>
        </row>
        <row r="57">
          <cell r="B57" t="str">
            <v>NC1307</v>
          </cell>
          <cell r="C57" t="str">
            <v>+ Nhân công bậc 3,0/7</v>
          </cell>
          <cell r="D57" t="str">
            <v>Công</v>
          </cell>
          <cell r="E57">
            <v>5.79</v>
          </cell>
          <cell r="F57">
            <v>164003.53947368418</v>
          </cell>
          <cell r="G57">
            <v>949580.49355263147</v>
          </cell>
        </row>
        <row r="58">
          <cell r="A58" t="str">
            <v>D1.1023</v>
          </cell>
          <cell r="C58" t="str">
            <v>Vận chuyển cốp pha thép Cự ly &lt; 300m bằng thủ công</v>
          </cell>
          <cell r="D58" t="str">
            <v>tấn/km</v>
          </cell>
          <cell r="H58">
            <v>890539.21934210509</v>
          </cell>
        </row>
        <row r="59">
          <cell r="C59" t="str">
            <v>Nhân công</v>
          </cell>
          <cell r="G59">
            <v>890539.21934210509</v>
          </cell>
        </row>
        <row r="60">
          <cell r="B60" t="str">
            <v>NC1307</v>
          </cell>
          <cell r="C60" t="str">
            <v>+ Nhân công bậc 3,0/7</v>
          </cell>
          <cell r="D60" t="str">
            <v>Công</v>
          </cell>
          <cell r="E60">
            <v>5.43</v>
          </cell>
          <cell r="F60">
            <v>164003.53947368418</v>
          </cell>
          <cell r="G60">
            <v>890539.21934210509</v>
          </cell>
        </row>
        <row r="61">
          <cell r="A61" t="str">
            <v>D1.1024</v>
          </cell>
          <cell r="C61" t="str">
            <v>Vận chuyển cốp pha thép Cự ly &lt; 500m bằng thủ công</v>
          </cell>
          <cell r="D61" t="str">
            <v>tấn/km</v>
          </cell>
          <cell r="H61">
            <v>879058.97157894727</v>
          </cell>
        </row>
        <row r="62">
          <cell r="C62" t="str">
            <v>Nhân công</v>
          </cell>
          <cell r="G62">
            <v>879058.97157894727</v>
          </cell>
        </row>
        <row r="63">
          <cell r="B63" t="str">
            <v>NC1307</v>
          </cell>
          <cell r="C63" t="str">
            <v>+ Nhân công bậc 3,0/7</v>
          </cell>
          <cell r="D63" t="str">
            <v>Công</v>
          </cell>
          <cell r="E63">
            <v>5.36</v>
          </cell>
          <cell r="F63">
            <v>164003.53947368418</v>
          </cell>
          <cell r="G63">
            <v>879058.97157894727</v>
          </cell>
        </row>
        <row r="64">
          <cell r="A64" t="str">
            <v>D1.1025</v>
          </cell>
          <cell r="C64" t="str">
            <v>Vận chuyển cốp pha thép Cự ly &gt; 500m bằng thủ công</v>
          </cell>
          <cell r="D64" t="str">
            <v>tấn/km</v>
          </cell>
          <cell r="H64">
            <v>870858.79460526293</v>
          </cell>
        </row>
        <row r="65">
          <cell r="C65" t="str">
            <v>Nhân công</v>
          </cell>
          <cell r="G65">
            <v>870858.79460526293</v>
          </cell>
        </row>
        <row r="66">
          <cell r="B66" t="str">
            <v>NC1307</v>
          </cell>
          <cell r="C66" t="str">
            <v>+ Nhân công bậc 3,0/7</v>
          </cell>
          <cell r="D66" t="str">
            <v>Công</v>
          </cell>
          <cell r="E66">
            <v>5.31</v>
          </cell>
          <cell r="F66">
            <v>164003.53947368418</v>
          </cell>
          <cell r="G66">
            <v>870858.79460526293</v>
          </cell>
        </row>
        <row r="67">
          <cell r="A67" t="str">
            <v>D1.1032</v>
          </cell>
          <cell r="C67" t="str">
            <v>Vận chuyển Bu lông, tiếp địa, cốt thép, dây néo Cự ly &lt; 100m bằng thủ công</v>
          </cell>
          <cell r="D67" t="str">
            <v>tấn/km</v>
          </cell>
          <cell r="H67">
            <v>1228386.5106578947</v>
          </cell>
        </row>
        <row r="68">
          <cell r="C68" t="str">
            <v>Nhân công</v>
          </cell>
          <cell r="G68">
            <v>1228386.5106578947</v>
          </cell>
        </row>
        <row r="69">
          <cell r="B69" t="str">
            <v>NC1307</v>
          </cell>
          <cell r="C69" t="str">
            <v>+ Nhân công bậc 3,0/7</v>
          </cell>
          <cell r="D69" t="str">
            <v>Công</v>
          </cell>
          <cell r="E69">
            <v>7.49</v>
          </cell>
          <cell r="F69">
            <v>164003.53947368418</v>
          </cell>
          <cell r="G69">
            <v>1228386.5106578947</v>
          </cell>
        </row>
        <row r="70">
          <cell r="A70" t="str">
            <v>D1.1033</v>
          </cell>
          <cell r="C70" t="str">
            <v>Vận chuyển Bu lông, tiếp địa, cốt thép, dây néo Cự ly &lt; 300m bằng thủ công</v>
          </cell>
          <cell r="D70" t="str">
            <v>tấn/km</v>
          </cell>
          <cell r="H70">
            <v>1152944.8824999998</v>
          </cell>
        </row>
        <row r="71">
          <cell r="C71" t="str">
            <v>Nhân công</v>
          </cell>
          <cell r="G71">
            <v>1152944.8824999998</v>
          </cell>
        </row>
        <row r="72">
          <cell r="B72" t="str">
            <v>NC1307</v>
          </cell>
          <cell r="C72" t="str">
            <v>+ Nhân công bậc 3,0/7</v>
          </cell>
          <cell r="D72" t="str">
            <v>Công</v>
          </cell>
          <cell r="E72">
            <v>7.03</v>
          </cell>
          <cell r="F72">
            <v>164003.53947368418</v>
          </cell>
          <cell r="G72">
            <v>1152944.8824999998</v>
          </cell>
        </row>
        <row r="73">
          <cell r="A73" t="str">
            <v>D1.1034</v>
          </cell>
          <cell r="C73" t="str">
            <v>Vận chuyển Bu lông, tiếp địa, cốt thép, dây néo Cự ly &lt; 500m bằng thủ công</v>
          </cell>
          <cell r="D73" t="str">
            <v>tấn/km</v>
          </cell>
          <cell r="H73">
            <v>1138184.5639473684</v>
          </cell>
        </row>
        <row r="74">
          <cell r="C74" t="str">
            <v>Nhân công</v>
          </cell>
          <cell r="G74">
            <v>1138184.5639473684</v>
          </cell>
        </row>
        <row r="75">
          <cell r="B75" t="str">
            <v>NC1307</v>
          </cell>
          <cell r="C75" t="str">
            <v>+ Nhân công bậc 3,0/7</v>
          </cell>
          <cell r="D75" t="str">
            <v>Công</v>
          </cell>
          <cell r="E75">
            <v>6.94</v>
          </cell>
          <cell r="F75">
            <v>164003.53947368418</v>
          </cell>
          <cell r="G75">
            <v>1138184.5639473684</v>
          </cell>
        </row>
        <row r="76">
          <cell r="A76" t="str">
            <v>D1.1035</v>
          </cell>
          <cell r="C76" t="str">
            <v>Vận chuyển Bu lông, tiếp địa, cốt thép, dây néo Cự ly &gt; 500m bằng thủ công</v>
          </cell>
          <cell r="D76" t="str">
            <v>tấn/km</v>
          </cell>
          <cell r="H76">
            <v>1044702.5464473682</v>
          </cell>
        </row>
        <row r="77">
          <cell r="C77" t="str">
            <v>Nhân công</v>
          </cell>
          <cell r="G77">
            <v>1044702.5464473682</v>
          </cell>
        </row>
        <row r="78">
          <cell r="B78" t="str">
            <v>NC1307</v>
          </cell>
          <cell r="C78" t="str">
            <v>+ Nhân công bậc 3,0/7</v>
          </cell>
          <cell r="D78" t="str">
            <v>Công</v>
          </cell>
          <cell r="E78">
            <v>6.37</v>
          </cell>
          <cell r="F78">
            <v>164003.53947368418</v>
          </cell>
          <cell r="G78">
            <v>1044702.5464473682</v>
          </cell>
        </row>
        <row r="79">
          <cell r="A79" t="str">
            <v>D1.1042</v>
          </cell>
          <cell r="C79" t="str">
            <v>Vận chuyển Cột thép chưa lắp vận chuyển từng thanh Cự ly &lt; 100m bằng thủ công</v>
          </cell>
          <cell r="D79" t="str">
            <v>tấn/km</v>
          </cell>
          <cell r="H79">
            <v>1116864.1038157893</v>
          </cell>
        </row>
        <row r="80">
          <cell r="C80" t="str">
            <v>Nhân công</v>
          </cell>
          <cell r="G80">
            <v>1116864.1038157893</v>
          </cell>
        </row>
        <row r="81">
          <cell r="B81" t="str">
            <v>NC1307</v>
          </cell>
          <cell r="C81" t="str">
            <v>+ Nhân công bậc 3,0/7</v>
          </cell>
          <cell r="D81" t="str">
            <v>Công</v>
          </cell>
          <cell r="E81">
            <v>6.81</v>
          </cell>
          <cell r="F81">
            <v>164003.53947368418</v>
          </cell>
          <cell r="G81">
            <v>1116864.1038157893</v>
          </cell>
        </row>
        <row r="82">
          <cell r="A82" t="str">
            <v>D1.1043</v>
          </cell>
          <cell r="C82" t="str">
            <v>Vận chuyển Cột thép chưa lắp vận chuyển từng thanh Cự ly &lt; 300m bằng thủ công</v>
          </cell>
          <cell r="D82" t="str">
            <v>tấn/km</v>
          </cell>
          <cell r="H82">
            <v>1047982.6172368419</v>
          </cell>
        </row>
        <row r="83">
          <cell r="C83" t="str">
            <v>Nhân công</v>
          </cell>
          <cell r="G83">
            <v>1047982.6172368419</v>
          </cell>
        </row>
        <row r="84">
          <cell r="B84" t="str">
            <v>NC1307</v>
          </cell>
          <cell r="C84" t="str">
            <v>+ Nhân công bậc 3,0/7</v>
          </cell>
          <cell r="D84" t="str">
            <v>Công</v>
          </cell>
          <cell r="E84">
            <v>6.39</v>
          </cell>
          <cell r="F84">
            <v>164003.53947368418</v>
          </cell>
          <cell r="G84">
            <v>1047982.6172368419</v>
          </cell>
        </row>
        <row r="85">
          <cell r="A85" t="str">
            <v>D1.1044</v>
          </cell>
          <cell r="C85" t="str">
            <v>Vận chuyển Cột thép chưa lắp vận chuyển từng thanh Cự ly &lt; 500m bằng thủ công</v>
          </cell>
          <cell r="D85" t="str">
            <v>tấn/km</v>
          </cell>
          <cell r="H85">
            <v>1034862.3340789471</v>
          </cell>
        </row>
        <row r="86">
          <cell r="C86" t="str">
            <v>Nhân công</v>
          </cell>
          <cell r="G86">
            <v>1034862.3340789471</v>
          </cell>
        </row>
        <row r="87">
          <cell r="B87" t="str">
            <v>NC1307</v>
          </cell>
          <cell r="C87" t="str">
            <v>+ Nhân công bậc 3,0/7</v>
          </cell>
          <cell r="D87" t="str">
            <v>Công</v>
          </cell>
          <cell r="E87">
            <v>6.31</v>
          </cell>
          <cell r="F87">
            <v>164003.53947368418</v>
          </cell>
          <cell r="G87">
            <v>1034862.3340789471</v>
          </cell>
        </row>
        <row r="88">
          <cell r="A88" t="str">
            <v>D1.1045</v>
          </cell>
          <cell r="C88" t="str">
            <v>Vận chuyển Cột thép chưa lắp vận chuyển từng thanh Cự ly &gt; 500m bằng thủ công</v>
          </cell>
          <cell r="D88" t="str">
            <v>tấn/km</v>
          </cell>
          <cell r="H88">
            <v>1025022.1217105262</v>
          </cell>
        </row>
        <row r="89">
          <cell r="C89" t="str">
            <v>Nhân công</v>
          </cell>
          <cell r="G89">
            <v>1025022.1217105262</v>
          </cell>
        </row>
        <row r="90">
          <cell r="B90" t="str">
            <v>NC1307</v>
          </cell>
          <cell r="C90" t="str">
            <v>+ Nhân công bậc 3,0/7</v>
          </cell>
          <cell r="D90" t="str">
            <v>Công</v>
          </cell>
          <cell r="E90">
            <v>6.25</v>
          </cell>
          <cell r="F90">
            <v>164003.53947368418</v>
          </cell>
          <cell r="G90">
            <v>1025022.1217105262</v>
          </cell>
        </row>
        <row r="91">
          <cell r="A91" t="str">
            <v>D1.1052</v>
          </cell>
          <cell r="C91" t="str">
            <v>Vận chuyển Cột thép chưa lắp vận chuyển từng đoạn Cự ly &lt; 100m bằng thủ công</v>
          </cell>
          <cell r="D91" t="str">
            <v>tấn/km</v>
          </cell>
          <cell r="H91">
            <v>1339908.9174999997</v>
          </cell>
        </row>
        <row r="92">
          <cell r="C92" t="str">
            <v>Nhân công</v>
          </cell>
          <cell r="G92">
            <v>1339908.9174999997</v>
          </cell>
        </row>
        <row r="93">
          <cell r="B93" t="str">
            <v>NC1307</v>
          </cell>
          <cell r="C93" t="str">
            <v>+ Nhân công bậc 3,0/7</v>
          </cell>
          <cell r="D93" t="str">
            <v>Công</v>
          </cell>
          <cell r="E93">
            <v>8.17</v>
          </cell>
          <cell r="F93">
            <v>164003.53947368418</v>
          </cell>
          <cell r="G93">
            <v>1339908.9174999997</v>
          </cell>
        </row>
        <row r="94">
          <cell r="A94" t="str">
            <v>D1.1053</v>
          </cell>
          <cell r="C94" t="str">
            <v>Vận chuyển Cột thép chưa lắp vận chuyển từng đoạn Cự ly &lt; 300m bằng thủ công</v>
          </cell>
          <cell r="D94" t="str">
            <v>tấn/km</v>
          </cell>
          <cell r="H94">
            <v>1257907.1477631577</v>
          </cell>
        </row>
        <row r="95">
          <cell r="C95" t="str">
            <v>Nhân công</v>
          </cell>
          <cell r="G95">
            <v>1257907.1477631577</v>
          </cell>
        </row>
        <row r="96">
          <cell r="B96" t="str">
            <v>NC1307</v>
          </cell>
          <cell r="C96" t="str">
            <v>+ Nhân công bậc 3,0/7</v>
          </cell>
          <cell r="D96" t="str">
            <v>Công</v>
          </cell>
          <cell r="E96">
            <v>7.67</v>
          </cell>
          <cell r="F96">
            <v>164003.53947368418</v>
          </cell>
          <cell r="G96">
            <v>1257907.1477631577</v>
          </cell>
        </row>
        <row r="97">
          <cell r="A97" t="str">
            <v>D1.1054</v>
          </cell>
          <cell r="C97" t="str">
            <v>Vận chuyển Cột thép chưa lắp vận chuyển từng đoạn Cự ly &lt; 500m bằng thủ công</v>
          </cell>
          <cell r="D97" t="str">
            <v>tấn/km</v>
          </cell>
          <cell r="H97">
            <v>1241506.7938157893</v>
          </cell>
        </row>
        <row r="98">
          <cell r="C98" t="str">
            <v>Nhân công</v>
          </cell>
          <cell r="G98">
            <v>1241506.7938157893</v>
          </cell>
        </row>
        <row r="99">
          <cell r="B99" t="str">
            <v>NC1307</v>
          </cell>
          <cell r="C99" t="str">
            <v>+ Nhân công bậc 3,0/7</v>
          </cell>
          <cell r="D99" t="str">
            <v>Công</v>
          </cell>
          <cell r="E99">
            <v>7.57</v>
          </cell>
          <cell r="F99">
            <v>164003.53947368418</v>
          </cell>
          <cell r="G99">
            <v>1241506.7938157893</v>
          </cell>
        </row>
        <row r="100">
          <cell r="A100" t="str">
            <v>D1.1055</v>
          </cell>
          <cell r="C100" t="str">
            <v>Vận chuyển Cột thép chưa lắp vận chuyển từng đoạn Cự ly &gt; 500m bằng thủ công</v>
          </cell>
          <cell r="D100" t="str">
            <v>tấn/km</v>
          </cell>
          <cell r="H100">
            <v>1230026.5460526315</v>
          </cell>
        </row>
        <row r="101">
          <cell r="C101" t="str">
            <v>Nhân công</v>
          </cell>
          <cell r="G101">
            <v>1230026.5460526315</v>
          </cell>
        </row>
        <row r="102">
          <cell r="B102" t="str">
            <v>NC1307</v>
          </cell>
          <cell r="C102" t="str">
            <v>+ Nhân công bậc 3,0/7</v>
          </cell>
          <cell r="D102" t="str">
            <v>Công</v>
          </cell>
          <cell r="E102">
            <v>7.5</v>
          </cell>
          <cell r="F102">
            <v>164003.53947368418</v>
          </cell>
          <cell r="G102">
            <v>1230026.5460526315</v>
          </cell>
        </row>
        <row r="103">
          <cell r="A103" t="str">
            <v>D1.1062</v>
          </cell>
          <cell r="C103" t="str">
            <v>Vận chuyển Phụ kiện các loại Cự ly &lt; 100m bằng thủ công</v>
          </cell>
          <cell r="D103" t="str">
            <v>tấn/km</v>
          </cell>
          <cell r="H103">
            <v>1105383.8560526315</v>
          </cell>
        </row>
        <row r="104">
          <cell r="C104" t="str">
            <v>Nhân công</v>
          </cell>
          <cell r="G104">
            <v>1105383.8560526315</v>
          </cell>
        </row>
        <row r="105">
          <cell r="B105" t="str">
            <v>NC1307</v>
          </cell>
          <cell r="C105" t="str">
            <v>+ Nhân công bậc 3,0/7</v>
          </cell>
          <cell r="D105" t="str">
            <v>Công</v>
          </cell>
          <cell r="E105">
            <v>6.74</v>
          </cell>
          <cell r="F105">
            <v>164003.53947368418</v>
          </cell>
          <cell r="G105">
            <v>1105383.8560526315</v>
          </cell>
        </row>
        <row r="106">
          <cell r="A106" t="str">
            <v>D1.1063</v>
          </cell>
          <cell r="C106" t="str">
            <v>Vận chuyển Phụ kiện các loại Cự ly &lt; 300m bằng thủ công</v>
          </cell>
          <cell r="D106" t="str">
            <v>tấn/km</v>
          </cell>
          <cell r="H106">
            <v>1038142.4048684209</v>
          </cell>
        </row>
        <row r="107">
          <cell r="C107" t="str">
            <v>Nhân công</v>
          </cell>
          <cell r="G107">
            <v>1038142.4048684209</v>
          </cell>
        </row>
        <row r="108">
          <cell r="B108" t="str">
            <v>NC1307</v>
          </cell>
          <cell r="C108" t="str">
            <v>+ Nhân công bậc 3,0/7</v>
          </cell>
          <cell r="D108" t="str">
            <v>Công</v>
          </cell>
          <cell r="E108">
            <v>6.33</v>
          </cell>
          <cell r="F108">
            <v>164003.53947368418</v>
          </cell>
          <cell r="G108">
            <v>1038142.4048684209</v>
          </cell>
        </row>
        <row r="109">
          <cell r="A109" t="str">
            <v>D1.1064</v>
          </cell>
          <cell r="C109" t="str">
            <v>Vận chuyển Phụ kiện các loại Cự ly &lt; 500m bằng thủ công</v>
          </cell>
          <cell r="D109" t="str">
            <v>tấn/km</v>
          </cell>
          <cell r="H109">
            <v>1025022.1217105262</v>
          </cell>
        </row>
        <row r="110">
          <cell r="C110" t="str">
            <v>Nhân công</v>
          </cell>
          <cell r="G110">
            <v>1025022.1217105262</v>
          </cell>
        </row>
        <row r="111">
          <cell r="B111" t="str">
            <v>NC1307</v>
          </cell>
          <cell r="C111" t="str">
            <v>+ Nhân công bậc 3,0/7</v>
          </cell>
          <cell r="D111" t="str">
            <v>Công</v>
          </cell>
          <cell r="E111">
            <v>6.25</v>
          </cell>
          <cell r="F111">
            <v>164003.53947368418</v>
          </cell>
          <cell r="G111">
            <v>1025022.1217105262</v>
          </cell>
        </row>
        <row r="112">
          <cell r="A112" t="str">
            <v>D1.1065</v>
          </cell>
          <cell r="C112" t="str">
            <v>Vận chuyển Phụ kiện các loại Cự ly &gt; 500m bằng thủ công</v>
          </cell>
          <cell r="D112" t="str">
            <v>tấn/km</v>
          </cell>
          <cell r="H112">
            <v>1013541.8739473682</v>
          </cell>
        </row>
        <row r="113">
          <cell r="C113" t="str">
            <v>Nhân công</v>
          </cell>
          <cell r="G113">
            <v>1013541.8739473682</v>
          </cell>
        </row>
        <row r="114">
          <cell r="B114" t="str">
            <v>NC1307</v>
          </cell>
          <cell r="C114" t="str">
            <v>+ Nhân công bậc 3,0/7</v>
          </cell>
          <cell r="D114" t="str">
            <v>Công</v>
          </cell>
          <cell r="E114">
            <v>6.18</v>
          </cell>
          <cell r="F114">
            <v>164003.53947368418</v>
          </cell>
          <cell r="G114">
            <v>1013541.8739473682</v>
          </cell>
        </row>
        <row r="115">
          <cell r="A115" t="str">
            <v>D1.1072</v>
          </cell>
          <cell r="C115" t="str">
            <v>Vận chuyển Sứ (cách điện) các loại Cự ly &lt; 100m bằng thủ công</v>
          </cell>
          <cell r="D115" t="str">
            <v>tấn/km</v>
          </cell>
          <cell r="H115">
            <v>1451431.3243421051</v>
          </cell>
        </row>
        <row r="116">
          <cell r="C116" t="str">
            <v>Nhân công</v>
          </cell>
          <cell r="G116">
            <v>1451431.3243421051</v>
          </cell>
        </row>
        <row r="117">
          <cell r="B117" t="str">
            <v>NC1307</v>
          </cell>
          <cell r="C117" t="str">
            <v>+ Nhân công bậc 3,0/7</v>
          </cell>
          <cell r="D117" t="str">
            <v>Công</v>
          </cell>
          <cell r="E117">
            <v>8.85</v>
          </cell>
          <cell r="F117">
            <v>164003.53947368418</v>
          </cell>
          <cell r="G117">
            <v>1451431.3243421051</v>
          </cell>
        </row>
        <row r="118">
          <cell r="A118" t="str">
            <v>D1.1073</v>
          </cell>
          <cell r="C118" t="str">
            <v>Vận chuyển Sứ (cách điện) các loại Cự ly &lt; 300m bằng thủ công</v>
          </cell>
          <cell r="D118" t="str">
            <v>tấn/km</v>
          </cell>
          <cell r="H118">
            <v>1362869.4130263156</v>
          </cell>
        </row>
        <row r="119">
          <cell r="C119" t="str">
            <v>Nhân công</v>
          </cell>
          <cell r="G119">
            <v>1362869.4130263156</v>
          </cell>
        </row>
        <row r="120">
          <cell r="B120" t="str">
            <v>NC1307</v>
          </cell>
          <cell r="C120" t="str">
            <v>+ Nhân công bậc 3,0/7</v>
          </cell>
          <cell r="D120" t="str">
            <v>Công</v>
          </cell>
          <cell r="E120">
            <v>8.31</v>
          </cell>
          <cell r="F120">
            <v>164003.53947368418</v>
          </cell>
          <cell r="G120">
            <v>1362869.4130263156</v>
          </cell>
        </row>
        <row r="121">
          <cell r="A121" t="str">
            <v>D1.1074</v>
          </cell>
          <cell r="C121" t="str">
            <v>Vận chuyển Sứ (cách điện) các loại Cự ly &lt; 500m bằng thủ công</v>
          </cell>
          <cell r="D121" t="str">
            <v>tấn/km</v>
          </cell>
          <cell r="H121">
            <v>1344829.0236842101</v>
          </cell>
        </row>
        <row r="122">
          <cell r="C122" t="str">
            <v>Nhân công</v>
          </cell>
          <cell r="G122">
            <v>1344829.0236842101</v>
          </cell>
        </row>
        <row r="123">
          <cell r="B123" t="str">
            <v>NC1307</v>
          </cell>
          <cell r="C123" t="str">
            <v>+ Nhân công bậc 3,0/7</v>
          </cell>
          <cell r="D123" t="str">
            <v>Công</v>
          </cell>
          <cell r="E123">
            <v>8.1999999999999993</v>
          </cell>
          <cell r="F123">
            <v>164003.53947368418</v>
          </cell>
          <cell r="G123">
            <v>1344829.0236842101</v>
          </cell>
        </row>
        <row r="124">
          <cell r="A124" t="str">
            <v>D1.1075</v>
          </cell>
          <cell r="C124" t="str">
            <v>Vận chuyển Sứ (cách điện) các loại Cự ly &gt; 500m bằng thủ công</v>
          </cell>
          <cell r="D124" t="str">
            <v>tấn/km</v>
          </cell>
          <cell r="H124">
            <v>1331708.7405263155</v>
          </cell>
        </row>
        <row r="125">
          <cell r="C125" t="str">
            <v>Nhân công</v>
          </cell>
          <cell r="G125">
            <v>1331708.7405263155</v>
          </cell>
        </row>
        <row r="126">
          <cell r="B126" t="str">
            <v>NC1307</v>
          </cell>
          <cell r="C126" t="str">
            <v>+ Nhân công bậc 3,0/7</v>
          </cell>
          <cell r="D126" t="str">
            <v>Công</v>
          </cell>
          <cell r="E126">
            <v>8.1199999999999992</v>
          </cell>
          <cell r="F126">
            <v>164003.53947368418</v>
          </cell>
          <cell r="G126">
            <v>1331708.7405263155</v>
          </cell>
        </row>
        <row r="127">
          <cell r="A127" t="str">
            <v>D1.1082</v>
          </cell>
          <cell r="C127" t="str">
            <v>Vận chuyển Dây dẫn điện, dây cáp các loại Cự ly &lt; 100m bằng thủ công</v>
          </cell>
          <cell r="D127" t="str">
            <v>tấn/km</v>
          </cell>
          <cell r="H127">
            <v>1116864.1038157893</v>
          </cell>
        </row>
        <row r="128">
          <cell r="C128" t="str">
            <v>Nhân công</v>
          </cell>
          <cell r="G128">
            <v>1116864.1038157893</v>
          </cell>
        </row>
        <row r="129">
          <cell r="B129" t="str">
            <v>NC1307</v>
          </cell>
          <cell r="C129" t="str">
            <v>+ Nhân công bậc 3,0/7</v>
          </cell>
          <cell r="D129" t="str">
            <v>Công</v>
          </cell>
          <cell r="E129">
            <v>6.81</v>
          </cell>
          <cell r="F129">
            <v>164003.53947368418</v>
          </cell>
          <cell r="G129">
            <v>1116864.1038157893</v>
          </cell>
        </row>
        <row r="130">
          <cell r="A130" t="str">
            <v>D1.1083</v>
          </cell>
          <cell r="C130" t="str">
            <v>Vận chuyển Dây dẫn điện, dây cáp các loại Cự ly &lt; 300m bằng thủ công</v>
          </cell>
          <cell r="D130" t="str">
            <v>tấn/km</v>
          </cell>
          <cell r="H130">
            <v>1046342.5818421051</v>
          </cell>
        </row>
        <row r="131">
          <cell r="C131" t="str">
            <v>Nhân công</v>
          </cell>
          <cell r="G131">
            <v>1046342.5818421051</v>
          </cell>
        </row>
        <row r="132">
          <cell r="B132" t="str">
            <v>NC1307</v>
          </cell>
          <cell r="C132" t="str">
            <v>+ Nhân công bậc 3,0/7</v>
          </cell>
          <cell r="D132" t="str">
            <v>Công</v>
          </cell>
          <cell r="E132">
            <v>6.38</v>
          </cell>
          <cell r="F132">
            <v>164003.53947368418</v>
          </cell>
          <cell r="G132">
            <v>1046342.5818421051</v>
          </cell>
        </row>
        <row r="133">
          <cell r="A133" t="str">
            <v>D1.1084</v>
          </cell>
          <cell r="C133" t="str">
            <v>Vận chuyển Dây dẫn điện, dây cáp các loại Cự ly &lt; 500m bằng thủ công</v>
          </cell>
          <cell r="D133" t="str">
            <v>tấn/km</v>
          </cell>
          <cell r="H133">
            <v>1034862.3340789471</v>
          </cell>
        </row>
        <row r="134">
          <cell r="C134" t="str">
            <v>Nhân công</v>
          </cell>
          <cell r="G134">
            <v>1034862.3340789471</v>
          </cell>
        </row>
        <row r="135">
          <cell r="B135" t="str">
            <v>NC1307</v>
          </cell>
          <cell r="C135" t="str">
            <v>+ Nhân công bậc 3,0/7</v>
          </cell>
          <cell r="D135" t="str">
            <v>Công</v>
          </cell>
          <cell r="E135">
            <v>6.31</v>
          </cell>
          <cell r="F135">
            <v>164003.53947368418</v>
          </cell>
          <cell r="G135">
            <v>1034862.3340789471</v>
          </cell>
        </row>
        <row r="136">
          <cell r="A136" t="str">
            <v>D1.1085</v>
          </cell>
          <cell r="C136" t="str">
            <v>Vận chuyển Dây dẫn điện, dây cáp các loại Cự ly &gt; 500m bằng thủ công</v>
          </cell>
          <cell r="D136" t="str">
            <v>tấn/km</v>
          </cell>
          <cell r="H136">
            <v>1025022.1217105262</v>
          </cell>
        </row>
        <row r="137">
          <cell r="C137" t="str">
            <v>Nhân công</v>
          </cell>
          <cell r="G137">
            <v>1025022.1217105262</v>
          </cell>
        </row>
        <row r="138">
          <cell r="B138" t="str">
            <v>NC1307</v>
          </cell>
          <cell r="C138" t="str">
            <v>+ Nhân công bậc 3,0/7</v>
          </cell>
          <cell r="D138" t="str">
            <v>Công</v>
          </cell>
          <cell r="E138">
            <v>6.25</v>
          </cell>
          <cell r="F138">
            <v>164003.53947368418</v>
          </cell>
          <cell r="G138">
            <v>1025022.1217105262</v>
          </cell>
        </row>
        <row r="139">
          <cell r="A139" t="str">
            <v>D1.1092</v>
          </cell>
          <cell r="C139" t="str">
            <v>Vận chuyển Cấu kiện bê tông đúc sẵn Cự ly &lt; 100m bằng thủ công</v>
          </cell>
          <cell r="D139" t="str">
            <v>tấn /km</v>
          </cell>
          <cell r="H139">
            <v>1005341.696973684</v>
          </cell>
        </row>
        <row r="140">
          <cell r="C140" t="str">
            <v>Nhân công</v>
          </cell>
          <cell r="G140">
            <v>1005341.696973684</v>
          </cell>
        </row>
        <row r="141">
          <cell r="B141" t="str">
            <v>NC1307</v>
          </cell>
          <cell r="C141" t="str">
            <v>+ Nhân công bậc 3,0/7</v>
          </cell>
          <cell r="D141" t="str">
            <v>Công</v>
          </cell>
          <cell r="E141">
            <v>6.13</v>
          </cell>
          <cell r="F141">
            <v>164003.53947368418</v>
          </cell>
          <cell r="G141">
            <v>1005341.696973684</v>
          </cell>
        </row>
        <row r="142">
          <cell r="A142" t="str">
            <v>D1.1093</v>
          </cell>
          <cell r="C142" t="str">
            <v>Vận chuyển Cấu kiện bê tông đúc sẵn Cự ly &lt; 300m bằng thủ công</v>
          </cell>
          <cell r="D142" t="str">
            <v>tấn /km</v>
          </cell>
          <cell r="H142">
            <v>943020.35197368404</v>
          </cell>
        </row>
        <row r="143">
          <cell r="C143" t="str">
            <v>Nhân công</v>
          </cell>
          <cell r="G143">
            <v>943020.35197368404</v>
          </cell>
        </row>
        <row r="144">
          <cell r="B144" t="str">
            <v>NC1307</v>
          </cell>
          <cell r="C144" t="str">
            <v>+ Nhân công bậc 3,0/7</v>
          </cell>
          <cell r="D144" t="str">
            <v>Công</v>
          </cell>
          <cell r="E144">
            <v>5.75</v>
          </cell>
          <cell r="F144">
            <v>164003.53947368418</v>
          </cell>
          <cell r="G144">
            <v>943020.35197368404</v>
          </cell>
        </row>
        <row r="145">
          <cell r="A145" t="str">
            <v>D1.1094</v>
          </cell>
          <cell r="C145" t="str">
            <v>Vận chuyển Cấu kiện bê tông đúc sẵn Cự ly &lt; 500m bằng thủ công</v>
          </cell>
          <cell r="D145" t="str">
            <v>tấn /km</v>
          </cell>
          <cell r="H145">
            <v>931540.1042105261</v>
          </cell>
        </row>
        <row r="146">
          <cell r="C146" t="str">
            <v>Nhân công</v>
          </cell>
          <cell r="G146">
            <v>931540.1042105261</v>
          </cell>
        </row>
        <row r="147">
          <cell r="B147" t="str">
            <v>NC1307</v>
          </cell>
          <cell r="C147" t="str">
            <v>+ Nhân công bậc 3,0/7</v>
          </cell>
          <cell r="D147" t="str">
            <v>Công</v>
          </cell>
          <cell r="E147">
            <v>5.68</v>
          </cell>
          <cell r="F147">
            <v>164003.53947368418</v>
          </cell>
          <cell r="G147">
            <v>931540.1042105261</v>
          </cell>
        </row>
        <row r="148">
          <cell r="A148" t="str">
            <v>D1.1095</v>
          </cell>
          <cell r="C148" t="str">
            <v>Vận chuyển Cấu kiện bê tông đúc sẵn Cự ly &gt; 500m bằng thủ công</v>
          </cell>
          <cell r="D148" t="str">
            <v>tấn /km</v>
          </cell>
          <cell r="H148">
            <v>921699.89184210508</v>
          </cell>
        </row>
        <row r="149">
          <cell r="C149" t="str">
            <v>Nhân công</v>
          </cell>
          <cell r="G149">
            <v>921699.89184210508</v>
          </cell>
        </row>
        <row r="150">
          <cell r="B150" t="str">
            <v>NC1307</v>
          </cell>
          <cell r="C150" t="str">
            <v>+ Nhân công bậc 3,0/7</v>
          </cell>
          <cell r="D150" t="str">
            <v>Công</v>
          </cell>
          <cell r="E150">
            <v>5.62</v>
          </cell>
          <cell r="F150">
            <v>164003.53947368418</v>
          </cell>
          <cell r="G150">
            <v>921699.89184210508</v>
          </cell>
        </row>
        <row r="151">
          <cell r="A151" t="str">
            <v>D1.1102</v>
          </cell>
          <cell r="C151" t="str">
            <v>Vận chuyển Cột bê tông Cự ly &lt; 100m bằng thủ công</v>
          </cell>
          <cell r="D151" t="str">
            <v>tấn/km</v>
          </cell>
          <cell r="H151">
            <v>1562953.7311842102</v>
          </cell>
        </row>
        <row r="152">
          <cell r="C152" t="str">
            <v>Nhân công</v>
          </cell>
          <cell r="G152">
            <v>1562953.7311842102</v>
          </cell>
        </row>
        <row r="153">
          <cell r="B153" t="str">
            <v>NC1307</v>
          </cell>
          <cell r="C153" t="str">
            <v>+ Nhân công bậc 3,0/7</v>
          </cell>
          <cell r="D153" t="str">
            <v>Công</v>
          </cell>
          <cell r="E153">
            <v>9.5299999999999994</v>
          </cell>
          <cell r="F153">
            <v>164003.53947368418</v>
          </cell>
          <cell r="G153">
            <v>1562953.7311842102</v>
          </cell>
        </row>
        <row r="154">
          <cell r="A154" t="str">
            <v>D1.1103</v>
          </cell>
          <cell r="C154" t="str">
            <v>Vận chuyển Cột bê tông Cự ly &lt; 300m bằng thủ công</v>
          </cell>
          <cell r="D154" t="str">
            <v>tấn/km</v>
          </cell>
          <cell r="H154">
            <v>1467831.6782894733</v>
          </cell>
        </row>
        <row r="155">
          <cell r="C155" t="str">
            <v>Nhân công</v>
          </cell>
          <cell r="G155">
            <v>1467831.6782894733</v>
          </cell>
        </row>
        <row r="156">
          <cell r="B156" t="str">
            <v>NC1307</v>
          </cell>
          <cell r="C156" t="str">
            <v>+ Nhân công bậc 3,0/7</v>
          </cell>
          <cell r="D156" t="str">
            <v>Công</v>
          </cell>
          <cell r="E156">
            <v>8.9499999999999993</v>
          </cell>
          <cell r="F156">
            <v>164003.53947368418</v>
          </cell>
          <cell r="G156">
            <v>1467831.6782894733</v>
          </cell>
        </row>
        <row r="157">
          <cell r="A157" t="str">
            <v>D1.1104</v>
          </cell>
          <cell r="C157" t="str">
            <v>Vận chuyển Cột bê tông Cự ly &lt; 500m bằng thủ công</v>
          </cell>
          <cell r="D157" t="str">
            <v>tấn/km</v>
          </cell>
          <cell r="H157">
            <v>1448151.2535526315</v>
          </cell>
        </row>
        <row r="158">
          <cell r="C158" t="str">
            <v>Nhân công</v>
          </cell>
          <cell r="G158">
            <v>1448151.2535526315</v>
          </cell>
        </row>
        <row r="159">
          <cell r="B159" t="str">
            <v>NC1307</v>
          </cell>
          <cell r="C159" t="str">
            <v>+ Nhân công bậc 3,0/7</v>
          </cell>
          <cell r="D159" t="str">
            <v>Công</v>
          </cell>
          <cell r="E159">
            <v>8.83</v>
          </cell>
          <cell r="F159">
            <v>164003.53947368418</v>
          </cell>
          <cell r="G159">
            <v>1448151.2535526315</v>
          </cell>
        </row>
        <row r="160">
          <cell r="A160" t="str">
            <v>D1.1105</v>
          </cell>
          <cell r="C160" t="str">
            <v>Vận chuyển Cột bê tông Cự ly &gt; 500m bằng thủ công</v>
          </cell>
          <cell r="D160" t="str">
            <v>tấn/km</v>
          </cell>
          <cell r="H160">
            <v>1435030.9703947366</v>
          </cell>
        </row>
        <row r="161">
          <cell r="C161" t="str">
            <v>Nhân công</v>
          </cell>
          <cell r="G161">
            <v>1435030.9703947366</v>
          </cell>
        </row>
        <row r="162">
          <cell r="B162" t="str">
            <v>NC1307</v>
          </cell>
          <cell r="C162" t="str">
            <v>+ Nhân công bậc 3,0/7</v>
          </cell>
          <cell r="D162" t="str">
            <v>Công</v>
          </cell>
          <cell r="E162">
            <v>8.75</v>
          </cell>
          <cell r="F162">
            <v>164003.53947368418</v>
          </cell>
          <cell r="G162">
            <v>1435030.9703947366</v>
          </cell>
        </row>
        <row r="163">
          <cell r="A163" t="str">
            <v>D1.1112</v>
          </cell>
          <cell r="C163" t="str">
            <v>Vận chuyển Bi tum Cự ly &lt; 100m bằng thủ công</v>
          </cell>
          <cell r="D163" t="str">
            <v>tấn/km</v>
          </cell>
          <cell r="H163">
            <v>698655.07815789455</v>
          </cell>
        </row>
        <row r="164">
          <cell r="C164" t="str">
            <v>Nhân công</v>
          </cell>
          <cell r="G164">
            <v>698655.07815789455</v>
          </cell>
        </row>
        <row r="165">
          <cell r="B165" t="str">
            <v>NC1307</v>
          </cell>
          <cell r="C165" t="str">
            <v>+ Nhân công bậc 3,0/7</v>
          </cell>
          <cell r="D165" t="str">
            <v>Công</v>
          </cell>
          <cell r="E165">
            <v>4.26</v>
          </cell>
          <cell r="F165">
            <v>164003.53947368418</v>
          </cell>
          <cell r="G165">
            <v>698655.07815789455</v>
          </cell>
        </row>
        <row r="166">
          <cell r="A166" t="str">
            <v>D1.1113</v>
          </cell>
          <cell r="C166" t="str">
            <v>Vận chuyển Bi tum Cự ly &lt; 300m bằng thủ công</v>
          </cell>
          <cell r="D166" t="str">
            <v>tấn/km</v>
          </cell>
          <cell r="H166">
            <v>633053.66236842098</v>
          </cell>
        </row>
        <row r="167">
          <cell r="C167" t="str">
            <v>Nhân công</v>
          </cell>
          <cell r="G167">
            <v>633053.66236842098</v>
          </cell>
        </row>
        <row r="168">
          <cell r="B168" t="str">
            <v>NC1307</v>
          </cell>
          <cell r="C168" t="str">
            <v>+ Nhân công bậc 3,0/7</v>
          </cell>
          <cell r="D168" t="str">
            <v>Công</v>
          </cell>
          <cell r="E168">
            <v>3.86</v>
          </cell>
          <cell r="F168">
            <v>164003.53947368418</v>
          </cell>
          <cell r="G168">
            <v>633053.66236842098</v>
          </cell>
        </row>
        <row r="169">
          <cell r="A169" t="str">
            <v>D1.1114</v>
          </cell>
          <cell r="C169" t="str">
            <v>Vận chuyển Bi tum Cự ly &lt; 500m bằng thủ công</v>
          </cell>
          <cell r="D169" t="str">
            <v>tấn/km</v>
          </cell>
          <cell r="H169">
            <v>619933.37921052624</v>
          </cell>
        </row>
        <row r="170">
          <cell r="C170" t="str">
            <v>Nhân công</v>
          </cell>
          <cell r="G170">
            <v>619933.37921052624</v>
          </cell>
        </row>
        <row r="171">
          <cell r="B171" t="str">
            <v>NC1307</v>
          </cell>
          <cell r="C171" t="str">
            <v>+ Nhân công bậc 3,0/7</v>
          </cell>
          <cell r="D171" t="str">
            <v>Công</v>
          </cell>
          <cell r="E171">
            <v>3.78</v>
          </cell>
          <cell r="F171">
            <v>164003.53947368418</v>
          </cell>
          <cell r="G171">
            <v>619933.37921052624</v>
          </cell>
        </row>
        <row r="172">
          <cell r="A172" t="str">
            <v>D1.1115</v>
          </cell>
          <cell r="C172" t="str">
            <v>Vận chuyển Bi tum Cự ly &gt; 500m bằng thủ công</v>
          </cell>
          <cell r="D172" t="str">
            <v>tấn/km</v>
          </cell>
          <cell r="H172">
            <v>611733.20223684201</v>
          </cell>
        </row>
        <row r="173">
          <cell r="C173" t="str">
            <v>Nhân công</v>
          </cell>
          <cell r="G173">
            <v>611733.20223684201</v>
          </cell>
        </row>
        <row r="174">
          <cell r="B174" t="str">
            <v>NC1307</v>
          </cell>
          <cell r="C174" t="str">
            <v>+ Nhân công bậc 3,0/7</v>
          </cell>
          <cell r="D174" t="str">
            <v>Công</v>
          </cell>
          <cell r="E174">
            <v>3.73</v>
          </cell>
          <cell r="F174">
            <v>164003.53947368418</v>
          </cell>
          <cell r="G174">
            <v>611733.20223684201</v>
          </cell>
        </row>
        <row r="175">
          <cell r="A175" t="str">
            <v>VẬN CHUYỂN BẢNG CƠ GIỚI KẾT HỢP THỦ CÔNG</v>
          </cell>
        </row>
        <row r="176">
          <cell r="A176" t="str">
            <v>D1.2011</v>
          </cell>
          <cell r="C176" t="str">
            <v>Vận chuyển cát,  nước bằng cơ giới kết hợp thủ công Cự ly &lt; 1km</v>
          </cell>
          <cell r="D176" t="str">
            <v>m3/km</v>
          </cell>
          <cell r="I176">
            <v>268965.80473684205</v>
          </cell>
          <cell r="J176">
            <v>115230.24812571428</v>
          </cell>
        </row>
        <row r="177">
          <cell r="C177" t="str">
            <v>Nhân công</v>
          </cell>
          <cell r="G177">
            <v>268965.80473684205</v>
          </cell>
        </row>
        <row r="178">
          <cell r="B178" t="str">
            <v>NC1307</v>
          </cell>
          <cell r="C178" t="str">
            <v>+ Nhân công bậc 3,0/7</v>
          </cell>
          <cell r="D178" t="str">
            <v>Công</v>
          </cell>
          <cell r="E178">
            <v>1.64</v>
          </cell>
          <cell r="F178">
            <v>164003.53947368418</v>
          </cell>
          <cell r="G178">
            <v>268965.80473684205</v>
          </cell>
        </row>
        <row r="179">
          <cell r="C179" t="str">
            <v>Máy thi công</v>
          </cell>
          <cell r="G179">
            <v>115230.24812571428</v>
          </cell>
          <cell r="H179">
            <v>721083.33333333337</v>
          </cell>
        </row>
        <row r="180">
          <cell r="B180">
            <v>7025</v>
          </cell>
          <cell r="C180" t="str">
            <v>+ Máy kéo bánh xích, công suất 110,0 CV</v>
          </cell>
          <cell r="D180" t="str">
            <v>Ca</v>
          </cell>
          <cell r="E180">
            <v>7.1999999999999995E-2</v>
          </cell>
          <cell r="F180">
            <v>1600420.1128571429</v>
          </cell>
          <cell r="G180">
            <v>115230.24812571428</v>
          </cell>
        </row>
        <row r="181">
          <cell r="A181" t="str">
            <v>D1.2012</v>
          </cell>
          <cell r="C181" t="str">
            <v>Vận chuyển cát,  nước bằng cơ giới kết hợp thủ công Cự ly &gt; 1km</v>
          </cell>
          <cell r="D181" t="str">
            <v>m3/km</v>
          </cell>
          <cell r="I181">
            <v>260765.62776315786</v>
          </cell>
          <cell r="J181">
            <v>96025.206771428566</v>
          </cell>
        </row>
        <row r="182">
          <cell r="C182" t="str">
            <v>Nhân công</v>
          </cell>
          <cell r="G182">
            <v>260765.62776315786</v>
          </cell>
        </row>
        <row r="183">
          <cell r="B183" t="str">
            <v>NC1307</v>
          </cell>
          <cell r="C183" t="str">
            <v>+ Nhân công bậc 3,0/7</v>
          </cell>
          <cell r="D183" t="str">
            <v>Công</v>
          </cell>
          <cell r="E183">
            <v>1.59</v>
          </cell>
          <cell r="F183">
            <v>164003.53947368418</v>
          </cell>
          <cell r="G183">
            <v>260765.62776315786</v>
          </cell>
        </row>
        <row r="184">
          <cell r="C184" t="str">
            <v>Máy thi công</v>
          </cell>
          <cell r="G184">
            <v>96025.206771428566</v>
          </cell>
        </row>
        <row r="185">
          <cell r="B185">
            <v>7025</v>
          </cell>
          <cell r="C185" t="str">
            <v>+ Máy kéo bánh xích, công suất 110,0 CV</v>
          </cell>
          <cell r="D185" t="str">
            <v>Ca</v>
          </cell>
          <cell r="E185">
            <v>0.06</v>
          </cell>
          <cell r="F185">
            <v>1600420.1128571429</v>
          </cell>
          <cell r="G185">
            <v>96025.206771428566</v>
          </cell>
        </row>
        <row r="186">
          <cell r="A186" t="str">
            <v>D1.2021</v>
          </cell>
          <cell r="C186" t="str">
            <v>Vận chuyển sỏi, đá các loại bằng cơ giới kết hợp thủ công Cự ly &lt; 1km</v>
          </cell>
          <cell r="D186" t="str">
            <v>m3/km</v>
          </cell>
          <cell r="I186">
            <v>288646.22947368416</v>
          </cell>
          <cell r="J186">
            <v>120031.50846428571</v>
          </cell>
        </row>
        <row r="187">
          <cell r="C187" t="str">
            <v>Nhân công</v>
          </cell>
          <cell r="G187">
            <v>288646.22947368416</v>
          </cell>
        </row>
        <row r="188">
          <cell r="B188" t="str">
            <v>NC1307</v>
          </cell>
          <cell r="C188" t="str">
            <v>+ Nhân công bậc 3,0/7</v>
          </cell>
          <cell r="D188" t="str">
            <v>Công</v>
          </cell>
          <cell r="E188">
            <v>1.76</v>
          </cell>
          <cell r="F188">
            <v>164003.53947368418</v>
          </cell>
          <cell r="G188">
            <v>288646.22947368416</v>
          </cell>
        </row>
        <row r="189">
          <cell r="C189" t="str">
            <v>Máy thi công</v>
          </cell>
          <cell r="G189">
            <v>120031.50846428571</v>
          </cell>
        </row>
        <row r="190">
          <cell r="B190">
            <v>7025</v>
          </cell>
          <cell r="C190" t="str">
            <v>+ Máy kéo bánh xích, công suất 110,0 CV</v>
          </cell>
          <cell r="D190" t="str">
            <v>Ca</v>
          </cell>
          <cell r="E190">
            <v>7.4999999999999997E-2</v>
          </cell>
          <cell r="F190">
            <v>1600420.1128571429</v>
          </cell>
          <cell r="G190">
            <v>120031.50846428571</v>
          </cell>
        </row>
        <row r="191">
          <cell r="A191" t="str">
            <v>D1.2022</v>
          </cell>
          <cell r="C191" t="str">
            <v>Vận chuyển sỏi, đá các loại bằng cơ giới kết hợp thủ công Cự ly &gt; 1km</v>
          </cell>
          <cell r="D191" t="str">
            <v>m3/km</v>
          </cell>
          <cell r="I191">
            <v>273885.91092105256</v>
          </cell>
          <cell r="J191">
            <v>100826.46711000001</v>
          </cell>
        </row>
        <row r="192">
          <cell r="C192" t="str">
            <v>Nhân công</v>
          </cell>
          <cell r="G192">
            <v>273885.91092105256</v>
          </cell>
        </row>
        <row r="193">
          <cell r="B193" t="str">
            <v>NC1307</v>
          </cell>
          <cell r="C193" t="str">
            <v>+ Nhân công bậc 3,0/7</v>
          </cell>
          <cell r="D193" t="str">
            <v>Công</v>
          </cell>
          <cell r="E193">
            <v>1.67</v>
          </cell>
          <cell r="F193">
            <v>164003.53947368418</v>
          </cell>
          <cell r="G193">
            <v>273885.91092105256</v>
          </cell>
        </row>
        <row r="194">
          <cell r="C194" t="str">
            <v>Máy thi công</v>
          </cell>
          <cell r="G194">
            <v>100826.46711000001</v>
          </cell>
        </row>
        <row r="195">
          <cell r="B195">
            <v>7025</v>
          </cell>
          <cell r="C195" t="str">
            <v>+ Máy kéo bánh xích, công suất 110,0 CV</v>
          </cell>
          <cell r="D195" t="str">
            <v>Ca</v>
          </cell>
          <cell r="E195">
            <v>6.3E-2</v>
          </cell>
          <cell r="F195">
            <v>1600420.1128571429</v>
          </cell>
          <cell r="G195">
            <v>100826.46711000001</v>
          </cell>
        </row>
        <row r="196">
          <cell r="A196" t="str">
            <v>D1.2031</v>
          </cell>
          <cell r="C196" t="str">
            <v>Vận chuyển xi măng bao bằng cơ giới kết hợp thủ công Cự ly &lt; 1km</v>
          </cell>
          <cell r="D196" t="str">
            <v>tấn/km</v>
          </cell>
          <cell r="I196">
            <v>216484.67210526313</v>
          </cell>
          <cell r="J196">
            <v>80021.005642857155</v>
          </cell>
        </row>
        <row r="197">
          <cell r="C197" t="str">
            <v>Nhân công</v>
          </cell>
          <cell r="G197">
            <v>216484.67210526313</v>
          </cell>
        </row>
        <row r="198">
          <cell r="B198" t="str">
            <v>NC1307</v>
          </cell>
          <cell r="C198" t="str">
            <v>+ Nhân công bậc 3,0/7</v>
          </cell>
          <cell r="D198" t="str">
            <v>Công</v>
          </cell>
          <cell r="E198">
            <v>1.32</v>
          </cell>
          <cell r="F198">
            <v>164003.53947368418</v>
          </cell>
          <cell r="G198">
            <v>216484.67210526313</v>
          </cell>
        </row>
        <row r="199">
          <cell r="C199" t="str">
            <v>Máy thi công</v>
          </cell>
          <cell r="G199">
            <v>80021.005642857155</v>
          </cell>
        </row>
        <row r="200">
          <cell r="B200">
            <v>7025</v>
          </cell>
          <cell r="C200" t="str">
            <v>+ Máy kéo bánh xích, công suất 110,0 CV</v>
          </cell>
          <cell r="D200" t="str">
            <v>Ca</v>
          </cell>
          <cell r="E200">
            <v>0.05</v>
          </cell>
          <cell r="F200">
            <v>1600420.1128571429</v>
          </cell>
          <cell r="G200">
            <v>80021.005642857155</v>
          </cell>
        </row>
        <row r="201">
          <cell r="A201" t="str">
            <v>D1.2032</v>
          </cell>
          <cell r="C201" t="str">
            <v>Vận chuyển xi măng bao bằng cơ giới kết hợp thủ công Cự ly &gt; 1km</v>
          </cell>
          <cell r="D201" t="str">
            <v>tấn/km</v>
          </cell>
          <cell r="I201">
            <v>205004.42434210522</v>
          </cell>
          <cell r="J201">
            <v>67217.644740000003</v>
          </cell>
        </row>
        <row r="202">
          <cell r="C202" t="str">
            <v>Nhân công</v>
          </cell>
          <cell r="G202">
            <v>205004.42434210522</v>
          </cell>
        </row>
        <row r="203">
          <cell r="B203" t="str">
            <v>NC1307</v>
          </cell>
          <cell r="C203" t="str">
            <v>+ Nhân công bậc 3,0/7</v>
          </cell>
          <cell r="D203" t="str">
            <v>Công</v>
          </cell>
          <cell r="E203">
            <v>1.25</v>
          </cell>
          <cell r="F203">
            <v>164003.53947368418</v>
          </cell>
          <cell r="G203">
            <v>205004.42434210522</v>
          </cell>
        </row>
        <row r="204">
          <cell r="C204" t="str">
            <v>Máy thi công</v>
          </cell>
          <cell r="G204">
            <v>67217.644740000003</v>
          </cell>
        </row>
        <row r="205">
          <cell r="B205">
            <v>7025</v>
          </cell>
          <cell r="C205" t="str">
            <v>+ Máy kéo bánh xích, công suất 110,0 CV</v>
          </cell>
          <cell r="D205" t="str">
            <v>Ca</v>
          </cell>
          <cell r="E205">
            <v>4.2000000000000003E-2</v>
          </cell>
          <cell r="F205">
            <v>1600420.1128571429</v>
          </cell>
          <cell r="G205">
            <v>67217.644740000003</v>
          </cell>
        </row>
        <row r="206">
          <cell r="A206" t="str">
            <v>D1.2041</v>
          </cell>
          <cell r="C206" t="str">
            <v>Vận chuyển cốt thép, thép thanh, phụ kiện, dây, tre, gỗ, dụng cụ thi  công bằng cơ giới kết hợp thủ công Cự ly  &lt; 1km</v>
          </cell>
          <cell r="D206" t="str">
            <v>tấn/km</v>
          </cell>
          <cell r="I206">
            <v>303406.54802631575</v>
          </cell>
          <cell r="J206">
            <v>288075.62031428574</v>
          </cell>
        </row>
        <row r="207">
          <cell r="C207" t="str">
            <v>Nhân công</v>
          </cell>
          <cell r="G207">
            <v>303406.54802631575</v>
          </cell>
        </row>
        <row r="208">
          <cell r="B208" t="str">
            <v>NC1307</v>
          </cell>
          <cell r="C208" t="str">
            <v>+ Nhân công bậc 3,0/7</v>
          </cell>
          <cell r="D208" t="str">
            <v>Công</v>
          </cell>
          <cell r="E208">
            <v>1.85</v>
          </cell>
          <cell r="F208">
            <v>164003.53947368418</v>
          </cell>
          <cell r="G208">
            <v>303406.54802631575</v>
          </cell>
        </row>
        <row r="209">
          <cell r="C209" t="str">
            <v>Máy thi công</v>
          </cell>
          <cell r="G209">
            <v>288075.62031428574</v>
          </cell>
        </row>
        <row r="210">
          <cell r="B210">
            <v>7025</v>
          </cell>
          <cell r="C210" t="str">
            <v>+ Máy kéo bánh xích, công suất 110,0 CV</v>
          </cell>
          <cell r="D210" t="str">
            <v>Ca</v>
          </cell>
          <cell r="E210">
            <v>0.18</v>
          </cell>
          <cell r="F210">
            <v>1600420.1128571429</v>
          </cell>
          <cell r="G210">
            <v>288075.62031428574</v>
          </cell>
        </row>
        <row r="211">
          <cell r="A211" t="str">
            <v>D1.2042</v>
          </cell>
          <cell r="C211" t="str">
            <v>Vận chuyển cốt thép, thép thanh, phụ kiện, dây, tre, gỗ, dụng cụ thi  công bằng cơ giới kết hợp thủ công Cự ly  &gt; 1km</v>
          </cell>
          <cell r="D211" t="str">
            <v>tấn/km</v>
          </cell>
          <cell r="I211">
            <v>296846.40644736838</v>
          </cell>
          <cell r="J211">
            <v>176046.21241428572</v>
          </cell>
        </row>
        <row r="212">
          <cell r="C212" t="str">
            <v>Nhân công</v>
          </cell>
          <cell r="G212">
            <v>296846.40644736838</v>
          </cell>
        </row>
        <row r="213">
          <cell r="B213" t="str">
            <v>NC1307</v>
          </cell>
          <cell r="C213" t="str">
            <v>+ Nhân công bậc 3,0/7</v>
          </cell>
          <cell r="D213" t="str">
            <v>Công</v>
          </cell>
          <cell r="E213">
            <v>1.81</v>
          </cell>
          <cell r="F213">
            <v>164003.53947368418</v>
          </cell>
          <cell r="G213">
            <v>296846.40644736838</v>
          </cell>
        </row>
        <row r="214">
          <cell r="C214" t="str">
            <v>Máy thi công</v>
          </cell>
          <cell r="G214">
            <v>176046.21241428572</v>
          </cell>
        </row>
        <row r="215">
          <cell r="B215">
            <v>7025</v>
          </cell>
          <cell r="C215" t="str">
            <v>+ Máy kéo bánh xích, công suất 110,0 CV</v>
          </cell>
          <cell r="D215" t="str">
            <v>Ca</v>
          </cell>
          <cell r="E215">
            <v>0.11</v>
          </cell>
          <cell r="F215">
            <v>1600420.1128571429</v>
          </cell>
          <cell r="G215">
            <v>176046.21241428572</v>
          </cell>
        </row>
        <row r="216">
          <cell r="A216" t="str">
            <v>D1.2051</v>
          </cell>
          <cell r="C216" t="str">
            <v>Vận chuyển  cấu kiện bê tông, cột bê tông  bằng cơ giới kết hợp thủ công Cự ly &lt; 1km</v>
          </cell>
          <cell r="D216" t="str">
            <v>tấn/km</v>
          </cell>
          <cell r="I216">
            <v>237805.13223684207</v>
          </cell>
          <cell r="J216">
            <v>288075.62031428574</v>
          </cell>
        </row>
        <row r="217">
          <cell r="C217" t="str">
            <v>Nhân công</v>
          </cell>
          <cell r="G217">
            <v>237805.13223684207</v>
          </cell>
        </row>
        <row r="218">
          <cell r="B218" t="str">
            <v>NC1307</v>
          </cell>
          <cell r="C218" t="str">
            <v>+ Nhân công bậc 3,0/7</v>
          </cell>
          <cell r="D218" t="str">
            <v>Công</v>
          </cell>
          <cell r="E218">
            <v>1.45</v>
          </cell>
          <cell r="F218">
            <v>164003.53947368418</v>
          </cell>
          <cell r="G218">
            <v>237805.13223684207</v>
          </cell>
        </row>
        <row r="219">
          <cell r="C219" t="str">
            <v>Máy thi công</v>
          </cell>
          <cell r="G219">
            <v>288075.62031428574</v>
          </cell>
        </row>
        <row r="220">
          <cell r="B220">
            <v>7025</v>
          </cell>
          <cell r="C220" t="str">
            <v>+ Máy kéo bánh xích, công suất 110,0 CV</v>
          </cell>
          <cell r="D220" t="str">
            <v>Ca</v>
          </cell>
          <cell r="E220">
            <v>0.18</v>
          </cell>
          <cell r="F220">
            <v>1600420.1128571429</v>
          </cell>
          <cell r="G220">
            <v>288075.62031428574</v>
          </cell>
        </row>
        <row r="221">
          <cell r="A221" t="str">
            <v>D1.2052</v>
          </cell>
          <cell r="C221" t="str">
            <v>Vận chuyển  cấu kiện bê tông, cột bê tông  bằng cơ giới kết hợp thủ công Cự ly &gt; 1km</v>
          </cell>
          <cell r="D221" t="str">
            <v>tấn/km</v>
          </cell>
          <cell r="I221">
            <v>226324.88447368416</v>
          </cell>
          <cell r="J221">
            <v>240063.01692857142</v>
          </cell>
        </row>
        <row r="222">
          <cell r="C222" t="str">
            <v>Nhân công</v>
          </cell>
          <cell r="G222">
            <v>226324.88447368416</v>
          </cell>
        </row>
        <row r="223">
          <cell r="B223" t="str">
            <v>NC1307</v>
          </cell>
          <cell r="C223" t="str">
            <v>+ Nhân công bậc 3,0/7</v>
          </cell>
          <cell r="D223" t="str">
            <v>Công</v>
          </cell>
          <cell r="E223">
            <v>1.38</v>
          </cell>
          <cell r="F223">
            <v>164003.53947368418</v>
          </cell>
          <cell r="G223">
            <v>226324.88447368416</v>
          </cell>
        </row>
        <row r="224">
          <cell r="C224" t="str">
            <v>Máy thi công</v>
          </cell>
          <cell r="G224">
            <v>240063.01692857142</v>
          </cell>
        </row>
        <row r="225">
          <cell r="B225">
            <v>7025</v>
          </cell>
          <cell r="C225" t="str">
            <v>+ Máy kéo bánh xích, công suất 110,0 CV</v>
          </cell>
          <cell r="D225" t="str">
            <v>Ca</v>
          </cell>
          <cell r="E225">
            <v>0.15</v>
          </cell>
          <cell r="F225">
            <v>1600420.1128571429</v>
          </cell>
          <cell r="G225">
            <v>240063.01692857142</v>
          </cell>
        </row>
        <row r="226">
          <cell r="A226" t="str">
            <v>D1.2061</v>
          </cell>
          <cell r="C226" t="str">
            <v>Vận chuyển sứ các loại bằng cơ giới kết hợp thủ công Cự ly  &lt; 1km</v>
          </cell>
          <cell r="D226" t="str">
            <v>tấn/km</v>
          </cell>
          <cell r="I226">
            <v>332927.18513157888</v>
          </cell>
          <cell r="J226">
            <v>288075.62031428574</v>
          </cell>
        </row>
        <row r="227">
          <cell r="C227" t="str">
            <v>Nhân công</v>
          </cell>
          <cell r="G227">
            <v>332927.18513157888</v>
          </cell>
        </row>
        <row r="228">
          <cell r="B228" t="str">
            <v>NC1307</v>
          </cell>
          <cell r="C228" t="str">
            <v>+ Nhân công bậc 3,0/7</v>
          </cell>
          <cell r="D228" t="str">
            <v>Công</v>
          </cell>
          <cell r="E228">
            <v>2.0299999999999998</v>
          </cell>
          <cell r="F228">
            <v>164003.53947368418</v>
          </cell>
          <cell r="G228">
            <v>332927.18513157888</v>
          </cell>
        </row>
        <row r="229">
          <cell r="C229" t="str">
            <v>Máy thi công</v>
          </cell>
          <cell r="G229">
            <v>288075.62031428574</v>
          </cell>
        </row>
        <row r="230">
          <cell r="B230">
            <v>7025</v>
          </cell>
          <cell r="C230" t="str">
            <v>+ Máy kéo bánh xích, công suất 110,0 CV</v>
          </cell>
          <cell r="D230" t="str">
            <v>Ca</v>
          </cell>
          <cell r="E230">
            <v>0.18</v>
          </cell>
          <cell r="F230">
            <v>1600420.1128571429</v>
          </cell>
          <cell r="G230">
            <v>288075.62031428574</v>
          </cell>
        </row>
        <row r="231">
          <cell r="A231" t="str">
            <v>D1.2062</v>
          </cell>
          <cell r="C231" t="str">
            <v>Vận chuyển sứ các loại bằng cơ giới kết hợp thủ công Cự ly  &gt; 1km</v>
          </cell>
          <cell r="D231" t="str">
            <v>tấn/km</v>
          </cell>
          <cell r="I231">
            <v>326367.04355263151</v>
          </cell>
          <cell r="J231">
            <v>240063.01692857142</v>
          </cell>
        </row>
        <row r="232">
          <cell r="C232" t="str">
            <v>Nhân công</v>
          </cell>
          <cell r="G232">
            <v>326367.04355263151</v>
          </cell>
        </row>
        <row r="233">
          <cell r="B233" t="str">
            <v>NC1307</v>
          </cell>
          <cell r="C233" t="str">
            <v>+ Nhân công bậc 3,0/7</v>
          </cell>
          <cell r="D233" t="str">
            <v>Công</v>
          </cell>
          <cell r="E233">
            <v>1.99</v>
          </cell>
          <cell r="F233">
            <v>164003.53947368418</v>
          </cell>
          <cell r="G233">
            <v>326367.04355263151</v>
          </cell>
        </row>
        <row r="234">
          <cell r="C234" t="str">
            <v>Máy thi công</v>
          </cell>
          <cell r="G234">
            <v>240063.01692857142</v>
          </cell>
        </row>
        <row r="235">
          <cell r="B235">
            <v>7025</v>
          </cell>
          <cell r="C235" t="str">
            <v>+ Máy kéo bánh xích, công suất 110,0 CV</v>
          </cell>
          <cell r="D235" t="str">
            <v>Ca</v>
          </cell>
          <cell r="E235">
            <v>0.15</v>
          </cell>
          <cell r="F235">
            <v>1600420.1128571429</v>
          </cell>
          <cell r="G235">
            <v>240063.01692857142</v>
          </cell>
        </row>
        <row r="236">
          <cell r="A236" t="str">
            <v>D1.3011</v>
          </cell>
          <cell r="C236" t="str">
            <v>Bốc lên:  Thép thanh cột</v>
          </cell>
          <cell r="D236" t="str">
            <v>tấn</v>
          </cell>
          <cell r="I236">
            <v>90201.946710526303</v>
          </cell>
        </row>
        <row r="237">
          <cell r="C237" t="str">
            <v>Nhân công</v>
          </cell>
          <cell r="G237">
            <v>90201.946710526303</v>
          </cell>
        </row>
        <row r="238">
          <cell r="B238" t="str">
            <v>NC1307</v>
          </cell>
          <cell r="C238" t="str">
            <v>+ Nhân công bậc 3,0/7</v>
          </cell>
          <cell r="D238" t="str">
            <v>Công</v>
          </cell>
          <cell r="E238">
            <v>0.55000000000000004</v>
          </cell>
          <cell r="F238">
            <v>164003.53947368418</v>
          </cell>
          <cell r="G238">
            <v>90201.946710526303</v>
          </cell>
        </row>
        <row r="239">
          <cell r="A239" t="str">
            <v>D1.3021</v>
          </cell>
          <cell r="C239" t="str">
            <v>Bốc lên:  Cấu kiện thép các loại</v>
          </cell>
          <cell r="D239" t="str">
            <v>tấn</v>
          </cell>
          <cell r="I239">
            <v>96762.088289473657</v>
          </cell>
        </row>
        <row r="240">
          <cell r="C240" t="str">
            <v>Nhân công</v>
          </cell>
          <cell r="G240">
            <v>96762.088289473657</v>
          </cell>
        </row>
        <row r="241">
          <cell r="B241" t="str">
            <v>NC1307</v>
          </cell>
          <cell r="C241" t="str">
            <v>+ Nhân công bậc 3,0/7</v>
          </cell>
          <cell r="D241" t="str">
            <v>Công</v>
          </cell>
          <cell r="E241">
            <v>0.59</v>
          </cell>
          <cell r="F241">
            <v>164003.53947368418</v>
          </cell>
          <cell r="G241">
            <v>96762.088289473657</v>
          </cell>
        </row>
        <row r="242">
          <cell r="A242" t="str">
            <v>D1.3031</v>
          </cell>
          <cell r="C242" t="str">
            <v>Bốc lên:  Phụ kiện</v>
          </cell>
          <cell r="D242" t="str">
            <v>tấn</v>
          </cell>
          <cell r="I242">
            <v>103322.22986842104</v>
          </cell>
        </row>
        <row r="243">
          <cell r="C243" t="str">
            <v>Nhân công</v>
          </cell>
          <cell r="G243">
            <v>103322.22986842104</v>
          </cell>
        </row>
        <row r="244">
          <cell r="B244" t="str">
            <v>NC1307</v>
          </cell>
          <cell r="C244" t="str">
            <v>+ Nhân công bậc 3,0/7</v>
          </cell>
          <cell r="D244" t="str">
            <v>Công</v>
          </cell>
          <cell r="E244">
            <v>0.63</v>
          </cell>
          <cell r="F244">
            <v>164003.53947368418</v>
          </cell>
          <cell r="G244">
            <v>103322.22986842104</v>
          </cell>
        </row>
        <row r="245">
          <cell r="A245" t="str">
            <v>D1.3041</v>
          </cell>
          <cell r="C245" t="str">
            <v>Bốc lên:  Dây dẫn điện các loại</v>
          </cell>
          <cell r="D245" t="str">
            <v>tấn</v>
          </cell>
          <cell r="I245">
            <v>103322.22986842104</v>
          </cell>
        </row>
        <row r="246">
          <cell r="C246" t="str">
            <v>Nhân công</v>
          </cell>
          <cell r="G246">
            <v>103322.22986842104</v>
          </cell>
        </row>
        <row r="247">
          <cell r="B247" t="str">
            <v>NC1307</v>
          </cell>
          <cell r="C247" t="str">
            <v>+ Nhân công bậc 3,0/7</v>
          </cell>
          <cell r="D247" t="str">
            <v>Công</v>
          </cell>
          <cell r="E247">
            <v>0.63</v>
          </cell>
          <cell r="F247">
            <v>164003.53947368418</v>
          </cell>
          <cell r="G247">
            <v>103322.22986842104</v>
          </cell>
        </row>
        <row r="248">
          <cell r="A248" t="str">
            <v>D1.3051</v>
          </cell>
          <cell r="C248" t="str">
            <v>Bốc lên:  Sứ các loại</v>
          </cell>
          <cell r="D248" t="str">
            <v>tấn</v>
          </cell>
          <cell r="I248">
            <v>123002.65460526315</v>
          </cell>
        </row>
        <row r="249">
          <cell r="C249" t="str">
            <v>Nhân công</v>
          </cell>
          <cell r="G249">
            <v>123002.65460526315</v>
          </cell>
        </row>
        <row r="250">
          <cell r="B250" t="str">
            <v>NC1307</v>
          </cell>
          <cell r="C250" t="str">
            <v>+ Nhân công bậc 3,0/7</v>
          </cell>
          <cell r="D250" t="str">
            <v>Công</v>
          </cell>
          <cell r="E250">
            <v>0.75</v>
          </cell>
          <cell r="F250">
            <v>164003.53947368418</v>
          </cell>
          <cell r="G250">
            <v>123002.65460526315</v>
          </cell>
        </row>
        <row r="251">
          <cell r="A251" t="str">
            <v>D1.3061</v>
          </cell>
          <cell r="C251" t="str">
            <v>Bốc lên:  Cấu kiện bê tông đúc sẵn</v>
          </cell>
          <cell r="D251" t="str">
            <v>tấn</v>
          </cell>
          <cell r="I251">
            <v>96762.088289473657</v>
          </cell>
        </row>
        <row r="252">
          <cell r="C252" t="str">
            <v>Nhân công</v>
          </cell>
          <cell r="G252">
            <v>96762.088289473657</v>
          </cell>
        </row>
        <row r="253">
          <cell r="B253" t="str">
            <v>NC1307</v>
          </cell>
          <cell r="C253" t="str">
            <v>+ Nhân công bậc 3,0/7</v>
          </cell>
          <cell r="D253" t="str">
            <v>Công</v>
          </cell>
          <cell r="E253">
            <v>0.59</v>
          </cell>
          <cell r="F253">
            <v>164003.53947368418</v>
          </cell>
          <cell r="G253">
            <v>96762.088289473657</v>
          </cell>
        </row>
        <row r="254">
          <cell r="A254" t="str">
            <v>D1.3012</v>
          </cell>
          <cell r="C254" t="str">
            <v>Xếp xuống: Thép thanh cột</v>
          </cell>
          <cell r="D254" t="str">
            <v>tấn</v>
          </cell>
          <cell r="I254">
            <v>82985.790973684198</v>
          </cell>
        </row>
        <row r="255">
          <cell r="C255" t="str">
            <v>Nhân công</v>
          </cell>
          <cell r="G255">
            <v>82985.790973684198</v>
          </cell>
        </row>
        <row r="256">
          <cell r="B256" t="str">
            <v>NC1307</v>
          </cell>
          <cell r="C256" t="str">
            <v>+ Nhân công bậc 3,0/7</v>
          </cell>
          <cell r="D256" t="str">
            <v>Công</v>
          </cell>
          <cell r="E256">
            <v>0.50600000000000001</v>
          </cell>
          <cell r="F256">
            <v>164003.53947368418</v>
          </cell>
          <cell r="G256">
            <v>82985.790973684198</v>
          </cell>
        </row>
        <row r="257">
          <cell r="A257" t="str">
            <v>D1.3022</v>
          </cell>
          <cell r="C257" t="str">
            <v>Xếp xuống:  Cấu kiện thép các loại</v>
          </cell>
          <cell r="D257" t="str">
            <v>100cọc</v>
          </cell>
          <cell r="I257">
            <v>75441.628157894724</v>
          </cell>
        </row>
        <row r="258">
          <cell r="C258" t="str">
            <v>Nhân công</v>
          </cell>
          <cell r="G258">
            <v>75441.628157894724</v>
          </cell>
        </row>
        <row r="259">
          <cell r="B259" t="str">
            <v>NC1307</v>
          </cell>
          <cell r="C259" t="str">
            <v>+ Nhân công bậc 3,0/7</v>
          </cell>
          <cell r="D259" t="str">
            <v>Công</v>
          </cell>
          <cell r="E259">
            <v>0.46</v>
          </cell>
          <cell r="F259">
            <v>164003.53947368418</v>
          </cell>
          <cell r="G259">
            <v>75441.628157894724</v>
          </cell>
        </row>
        <row r="260">
          <cell r="A260" t="str">
            <v>D1.3032</v>
          </cell>
          <cell r="C260" t="str">
            <v>Xếp xuống:  Phụ kiện</v>
          </cell>
          <cell r="D260" t="str">
            <v>tấn</v>
          </cell>
          <cell r="I260">
            <v>77081.663552631566</v>
          </cell>
        </row>
        <row r="261">
          <cell r="C261" t="str">
            <v>Nhân công</v>
          </cell>
          <cell r="G261">
            <v>77081.663552631566</v>
          </cell>
        </row>
        <row r="262">
          <cell r="B262" t="str">
            <v>NC1307</v>
          </cell>
          <cell r="C262" t="str">
            <v>+ Nhân công bậc 3,0/7</v>
          </cell>
          <cell r="D262" t="str">
            <v>Công</v>
          </cell>
          <cell r="E262">
            <v>0.47</v>
          </cell>
          <cell r="F262">
            <v>164003.53947368418</v>
          </cell>
          <cell r="G262">
            <v>77081.663552631566</v>
          </cell>
        </row>
        <row r="263">
          <cell r="A263" t="str">
            <v>D1.3042</v>
          </cell>
          <cell r="C263" t="str">
            <v>Xếp xuống:  Dây dẫn điện các loại</v>
          </cell>
          <cell r="D263" t="str">
            <v>tấn</v>
          </cell>
          <cell r="I263">
            <v>96762.088289473657</v>
          </cell>
        </row>
        <row r="264">
          <cell r="C264" t="str">
            <v>Nhân công</v>
          </cell>
          <cell r="G264">
            <v>96762.088289473657</v>
          </cell>
        </row>
        <row r="265">
          <cell r="B265" t="str">
            <v>NC1307</v>
          </cell>
          <cell r="C265" t="str">
            <v>+ Nhân công bậc 3,0/7</v>
          </cell>
          <cell r="D265" t="str">
            <v>Công</v>
          </cell>
          <cell r="E265">
            <v>0.59</v>
          </cell>
          <cell r="F265">
            <v>164003.53947368418</v>
          </cell>
          <cell r="G265">
            <v>96762.088289473657</v>
          </cell>
        </row>
        <row r="266">
          <cell r="A266" t="str">
            <v>D1.3052</v>
          </cell>
          <cell r="C266" t="str">
            <v>Xếp xuống:  Sứ các loại</v>
          </cell>
          <cell r="D266" t="str">
            <v>tấn</v>
          </cell>
          <cell r="I266">
            <v>127922.76078947367</v>
          </cell>
        </row>
        <row r="267">
          <cell r="C267" t="str">
            <v>Nhân công</v>
          </cell>
          <cell r="G267">
            <v>127922.76078947367</v>
          </cell>
        </row>
        <row r="268">
          <cell r="B268" t="str">
            <v>NC1307</v>
          </cell>
          <cell r="C268" t="str">
            <v>+ Nhân công bậc 3,0/7</v>
          </cell>
          <cell r="D268" t="str">
            <v>Công</v>
          </cell>
          <cell r="E268">
            <v>0.78</v>
          </cell>
          <cell r="F268">
            <v>164003.53947368418</v>
          </cell>
          <cell r="G268">
            <v>127922.76078947367</v>
          </cell>
        </row>
        <row r="269">
          <cell r="A269" t="str">
            <v>D1.3062</v>
          </cell>
          <cell r="C269" t="str">
            <v>Cấu kiện bê tông đúc sẵn</v>
          </cell>
          <cell r="D269" t="str">
            <v>m3</v>
          </cell>
          <cell r="I269">
            <v>75441.628157894724</v>
          </cell>
        </row>
        <row r="270">
          <cell r="C270" t="str">
            <v>Nhân công</v>
          </cell>
          <cell r="G270">
            <v>75441.628157894724</v>
          </cell>
        </row>
        <row r="271">
          <cell r="B271" t="str">
            <v>NC1307</v>
          </cell>
          <cell r="C271" t="str">
            <v>+ Nhân công bậc 3,0/7</v>
          </cell>
          <cell r="D271" t="str">
            <v>Công</v>
          </cell>
          <cell r="E271">
            <v>0.46</v>
          </cell>
          <cell r="F271">
            <v>164003.53947368418</v>
          </cell>
          <cell r="G271">
            <v>75441.628157894724</v>
          </cell>
        </row>
        <row r="272">
          <cell r="A272" t="str">
            <v>ĐÀO ĐẤT MÓNG CỘT BẰNG THỦ CÔNG</v>
          </cell>
        </row>
        <row r="273">
          <cell r="A273" t="str">
            <v>D2.1001</v>
          </cell>
          <cell r="C273" t="str">
            <v>Phân loại cột thép trong phạm vi 30m</v>
          </cell>
          <cell r="D273" t="str">
            <v>tấn</v>
          </cell>
          <cell r="I273">
            <v>486701.15131578944</v>
          </cell>
          <cell r="J273">
            <v>22568.187300000001</v>
          </cell>
        </row>
        <row r="274">
          <cell r="C274" t="str">
            <v>Nhân công</v>
          </cell>
          <cell r="G274">
            <v>486701.15131578944</v>
          </cell>
        </row>
        <row r="275">
          <cell r="B275" t="str">
            <v>NC1407</v>
          </cell>
          <cell r="C275" t="str">
            <v>+ Nhân công bậc 4,0/7</v>
          </cell>
          <cell r="D275" t="str">
            <v>Công</v>
          </cell>
          <cell r="E275">
            <v>2.5</v>
          </cell>
          <cell r="F275">
            <v>194680.46052631579</v>
          </cell>
          <cell r="G275">
            <v>486701.15131578944</v>
          </cell>
        </row>
        <row r="276">
          <cell r="C276" t="str">
            <v>Máy thi công</v>
          </cell>
          <cell r="G276">
            <v>22568.187300000001</v>
          </cell>
        </row>
        <row r="277">
          <cell r="B277">
            <v>7009</v>
          </cell>
          <cell r="C277" t="str">
            <v>+ Cần trục bánh xích, sức nâng 5,0 T</v>
          </cell>
          <cell r="D277" t="str">
            <v>Ca</v>
          </cell>
          <cell r="E277">
            <v>1.4999999999999999E-2</v>
          </cell>
          <cell r="F277">
            <v>1504545.82</v>
          </cell>
          <cell r="G277">
            <v>22568.187300000001</v>
          </cell>
        </row>
        <row r="278">
          <cell r="A278" t="str">
            <v>D2.1002</v>
          </cell>
          <cell r="C278" t="str">
            <v>Phân loại cột thép trong phạm vi 100m</v>
          </cell>
          <cell r="D278" t="str">
            <v>tấn</v>
          </cell>
          <cell r="I278">
            <v>619083.86447368423</v>
          </cell>
          <cell r="J278">
            <v>300909.16400000005</v>
          </cell>
        </row>
        <row r="279">
          <cell r="C279" t="str">
            <v>Nhân công</v>
          </cell>
          <cell r="G279">
            <v>619083.86447368423</v>
          </cell>
        </row>
        <row r="280">
          <cell r="B280" t="str">
            <v>NC1407</v>
          </cell>
          <cell r="C280" t="str">
            <v>+ Nhân công bậc 4,0/7</v>
          </cell>
          <cell r="D280" t="str">
            <v>Công</v>
          </cell>
          <cell r="E280">
            <v>3.18</v>
          </cell>
          <cell r="F280">
            <v>194680.46052631579</v>
          </cell>
          <cell r="G280">
            <v>619083.86447368423</v>
          </cell>
        </row>
        <row r="281">
          <cell r="C281" t="str">
            <v>Máy thi công</v>
          </cell>
          <cell r="G281">
            <v>300909.16400000005</v>
          </cell>
        </row>
        <row r="282">
          <cell r="B282">
            <v>7009</v>
          </cell>
          <cell r="C282" t="str">
            <v>+ Cần trục bánh xích, sức nâng 5,0 T</v>
          </cell>
          <cell r="D282" t="str">
            <v>Ca</v>
          </cell>
          <cell r="E282">
            <v>0.2</v>
          </cell>
          <cell r="F282">
            <v>1504545.82</v>
          </cell>
          <cell r="G282">
            <v>300909.16400000005</v>
          </cell>
        </row>
        <row r="283">
          <cell r="A283" t="str">
            <v>D2.2011</v>
          </cell>
          <cell r="C283" t="str">
            <v>Lắp ráp cột thép bằng thủ công, lắp từng chi tiết, Trọng lượng cột =&lt; 5tấn</v>
          </cell>
          <cell r="D283" t="str">
            <v>tấn</v>
          </cell>
          <cell r="I283">
            <v>1382231.269736842</v>
          </cell>
        </row>
        <row r="284">
          <cell r="C284" t="str">
            <v>Vật liệu</v>
          </cell>
          <cell r="G284">
            <v>17300</v>
          </cell>
        </row>
        <row r="285">
          <cell r="B285">
            <v>44</v>
          </cell>
          <cell r="C285" t="str">
            <v>+ Gỗ hộp kê máy</v>
          </cell>
          <cell r="D285" t="str">
            <v>M3</v>
          </cell>
          <cell r="E285">
            <v>4.0000000000000001E-3</v>
          </cell>
          <cell r="F285">
            <v>2300000</v>
          </cell>
          <cell r="G285">
            <v>9200</v>
          </cell>
        </row>
        <row r="286">
          <cell r="B286">
            <v>21</v>
          </cell>
          <cell r="C286" t="str">
            <v>+ Đinh đỉa</v>
          </cell>
          <cell r="D286" t="str">
            <v>cái</v>
          </cell>
          <cell r="E286">
            <v>0.3</v>
          </cell>
          <cell r="F286">
            <v>27000</v>
          </cell>
          <cell r="G286">
            <v>8100</v>
          </cell>
        </row>
        <row r="287">
          <cell r="C287" t="str">
            <v>Nhân công</v>
          </cell>
          <cell r="G287">
            <v>1382231.269736842</v>
          </cell>
        </row>
        <row r="288">
          <cell r="B288" t="str">
            <v>NC1407</v>
          </cell>
          <cell r="C288" t="str">
            <v>+ Nhân công bậc 4,0/7</v>
          </cell>
          <cell r="D288" t="str">
            <v>Công</v>
          </cell>
          <cell r="E288">
            <v>7.1</v>
          </cell>
          <cell r="F288">
            <v>194680.46052631579</v>
          </cell>
          <cell r="G288">
            <v>1382231.269736842</v>
          </cell>
        </row>
        <row r="289">
          <cell r="A289" t="str">
            <v>D2.2012</v>
          </cell>
          <cell r="C289" t="str">
            <v>Lắp ráp cột thép bằng thủ công, lắp từng chi tiết, Trọng lượng cột =&lt; 15tấn</v>
          </cell>
          <cell r="D289" t="str">
            <v>tấn</v>
          </cell>
          <cell r="I289">
            <v>1245954.9473684211</v>
          </cell>
        </row>
        <row r="290">
          <cell r="C290" t="str">
            <v>Vật liệu</v>
          </cell>
          <cell r="G290">
            <v>17300</v>
          </cell>
        </row>
        <row r="291">
          <cell r="B291">
            <v>44</v>
          </cell>
          <cell r="C291" t="str">
            <v>+ Gỗ hộp kê máy</v>
          </cell>
          <cell r="D291" t="str">
            <v>M3</v>
          </cell>
          <cell r="E291">
            <v>4.0000000000000001E-3</v>
          </cell>
          <cell r="F291">
            <v>2300000</v>
          </cell>
          <cell r="G291">
            <v>9200</v>
          </cell>
        </row>
        <row r="292">
          <cell r="B292">
            <v>21</v>
          </cell>
          <cell r="C292" t="str">
            <v>+ Đinh đỉa</v>
          </cell>
          <cell r="D292" t="str">
            <v>cái</v>
          </cell>
          <cell r="E292">
            <v>0.3</v>
          </cell>
          <cell r="F292">
            <v>27000</v>
          </cell>
          <cell r="G292">
            <v>8100</v>
          </cell>
        </row>
        <row r="293">
          <cell r="C293" t="str">
            <v>Nhân công</v>
          </cell>
          <cell r="G293">
            <v>1245954.9473684211</v>
          </cell>
        </row>
        <row r="294">
          <cell r="B294" t="str">
            <v>NC1407</v>
          </cell>
          <cell r="C294" t="str">
            <v>+ Nhân công bậc 4,0/7</v>
          </cell>
          <cell r="D294" t="str">
            <v>Công</v>
          </cell>
          <cell r="E294">
            <v>6.4</v>
          </cell>
          <cell r="F294">
            <v>194680.46052631579</v>
          </cell>
          <cell r="G294">
            <v>1245954.9473684211</v>
          </cell>
        </row>
        <row r="295">
          <cell r="A295" t="str">
            <v>D2.2013</v>
          </cell>
          <cell r="C295" t="str">
            <v>Lắp ráp cột thép bằng thủ công, lắp từng chi tiết, Trọng lượng cột =&lt; 30tấn</v>
          </cell>
          <cell r="D295" t="str">
            <v>tấn</v>
          </cell>
          <cell r="I295">
            <v>1187550.8092105263</v>
          </cell>
        </row>
        <row r="296">
          <cell r="C296" t="str">
            <v>Vật liệu</v>
          </cell>
          <cell r="G296">
            <v>17300</v>
          </cell>
        </row>
        <row r="297">
          <cell r="B297">
            <v>44</v>
          </cell>
          <cell r="C297" t="str">
            <v>+ Gỗ hộp kê máy</v>
          </cell>
          <cell r="D297" t="str">
            <v>M3</v>
          </cell>
          <cell r="E297">
            <v>4.0000000000000001E-3</v>
          </cell>
          <cell r="F297">
            <v>2300000</v>
          </cell>
          <cell r="G297">
            <v>9200</v>
          </cell>
        </row>
        <row r="298">
          <cell r="B298">
            <v>21</v>
          </cell>
          <cell r="C298" t="str">
            <v>+ Đinh đỉa</v>
          </cell>
          <cell r="D298" t="str">
            <v>cái</v>
          </cell>
          <cell r="E298">
            <v>0.3</v>
          </cell>
          <cell r="F298">
            <v>27000</v>
          </cell>
          <cell r="G298">
            <v>8100</v>
          </cell>
        </row>
        <row r="299">
          <cell r="C299" t="str">
            <v>Nhân công</v>
          </cell>
          <cell r="G299">
            <v>1187550.8092105263</v>
          </cell>
        </row>
        <row r="300">
          <cell r="B300" t="str">
            <v>NC1407</v>
          </cell>
          <cell r="C300" t="str">
            <v>+ Nhân công bậc 4,0/7</v>
          </cell>
          <cell r="D300" t="str">
            <v>Công</v>
          </cell>
          <cell r="E300">
            <v>6.1</v>
          </cell>
          <cell r="F300">
            <v>194680.46052631579</v>
          </cell>
          <cell r="G300">
            <v>1187550.8092105263</v>
          </cell>
        </row>
        <row r="301">
          <cell r="A301" t="str">
            <v>D2.2014</v>
          </cell>
          <cell r="C301" t="str">
            <v>Lắp ráp cột thép bằng thủ công, lắp từng chi tiết, Trọng lượng cột &gt; 30tấn</v>
          </cell>
          <cell r="D301" t="str">
            <v>tấn</v>
          </cell>
          <cell r="I301">
            <v>1125253.0618421054</v>
          </cell>
        </row>
        <row r="302">
          <cell r="C302" t="str">
            <v>Vật liệu</v>
          </cell>
          <cell r="G302">
            <v>17300</v>
          </cell>
        </row>
        <row r="303">
          <cell r="B303">
            <v>44</v>
          </cell>
          <cell r="C303" t="str">
            <v>+ Gỗ hộp kê máy</v>
          </cell>
          <cell r="D303" t="str">
            <v>M3</v>
          </cell>
          <cell r="E303">
            <v>4.0000000000000001E-3</v>
          </cell>
          <cell r="F303">
            <v>2300000</v>
          </cell>
          <cell r="G303">
            <v>9200</v>
          </cell>
        </row>
        <row r="304">
          <cell r="B304">
            <v>21</v>
          </cell>
          <cell r="C304" t="str">
            <v>+ Đinh đỉa</v>
          </cell>
          <cell r="D304" t="str">
            <v>cái</v>
          </cell>
          <cell r="E304">
            <v>0.3</v>
          </cell>
          <cell r="F304">
            <v>27000</v>
          </cell>
          <cell r="G304">
            <v>8100</v>
          </cell>
        </row>
        <row r="305">
          <cell r="C305" t="str">
            <v>Nhân công</v>
          </cell>
          <cell r="G305">
            <v>1125253.0618421054</v>
          </cell>
        </row>
        <row r="306">
          <cell r="B306" t="str">
            <v>NC1407</v>
          </cell>
          <cell r="C306" t="str">
            <v>+ Nhân công bậc 4,0/7</v>
          </cell>
          <cell r="D306" t="str">
            <v>Công</v>
          </cell>
          <cell r="E306">
            <v>5.78</v>
          </cell>
          <cell r="F306">
            <v>194680.46052631579</v>
          </cell>
          <cell r="G306">
            <v>1125253.0618421054</v>
          </cell>
        </row>
        <row r="307">
          <cell r="A307" t="str">
            <v>D2.2021</v>
          </cell>
          <cell r="C307" t="str">
            <v>Lắp ráp cột thép bằng thủ công, lắp từng đoạn, Trọng lượng cột =&lt; 5tấn</v>
          </cell>
          <cell r="D307" t="str">
            <v>tấn</v>
          </cell>
          <cell r="I307">
            <v>650232.7381578947</v>
          </cell>
        </row>
        <row r="308">
          <cell r="C308" t="str">
            <v>Vật liệu</v>
          </cell>
          <cell r="G308">
            <v>14000</v>
          </cell>
        </row>
        <row r="309">
          <cell r="B309">
            <v>44</v>
          </cell>
          <cell r="C309" t="str">
            <v>+ Gỗ hộp kê máy</v>
          </cell>
          <cell r="D309" t="str">
            <v>M3</v>
          </cell>
          <cell r="E309">
            <v>4.0000000000000001E-3</v>
          </cell>
          <cell r="F309">
            <v>2300000</v>
          </cell>
          <cell r="G309">
            <v>9200</v>
          </cell>
        </row>
        <row r="310">
          <cell r="B310">
            <v>43</v>
          </cell>
          <cell r="C310" t="str">
            <v>+ Đinh đỉa</v>
          </cell>
          <cell r="D310" t="str">
            <v>cái</v>
          </cell>
          <cell r="E310">
            <v>0.3</v>
          </cell>
          <cell r="F310">
            <v>16000</v>
          </cell>
          <cell r="G310">
            <v>4800</v>
          </cell>
        </row>
        <row r="311">
          <cell r="C311" t="str">
            <v>Nhân công</v>
          </cell>
          <cell r="G311">
            <v>650232.7381578947</v>
          </cell>
        </row>
        <row r="312">
          <cell r="B312" t="str">
            <v>NC1407</v>
          </cell>
          <cell r="C312" t="str">
            <v>+ Nhân công bậc 4,0/7</v>
          </cell>
          <cell r="D312" t="str">
            <v>Công</v>
          </cell>
          <cell r="E312">
            <v>3.34</v>
          </cell>
          <cell r="F312">
            <v>194680.46052631579</v>
          </cell>
          <cell r="G312">
            <v>650232.7381578947</v>
          </cell>
        </row>
        <row r="313">
          <cell r="A313" t="str">
            <v>D2.2022</v>
          </cell>
          <cell r="C313" t="str">
            <v>Lắp ráp cột thép bằng thủ công, lắp từng đoạn, Trọng lượng cột =&lt; 15tấn</v>
          </cell>
          <cell r="D313" t="str">
            <v>tấn</v>
          </cell>
          <cell r="I313">
            <v>615190.25526315789</v>
          </cell>
        </row>
        <row r="314">
          <cell r="C314" t="str">
            <v>Vật liệu</v>
          </cell>
          <cell r="G314">
            <v>14000</v>
          </cell>
        </row>
        <row r="315">
          <cell r="B315">
            <v>44</v>
          </cell>
          <cell r="C315" t="str">
            <v>+ Gỗ hộp kê máy</v>
          </cell>
          <cell r="D315" t="str">
            <v>M3</v>
          </cell>
          <cell r="E315">
            <v>4.0000000000000001E-3</v>
          </cell>
          <cell r="F315">
            <v>2300000</v>
          </cell>
          <cell r="G315">
            <v>9200</v>
          </cell>
        </row>
        <row r="316">
          <cell r="B316">
            <v>43</v>
          </cell>
          <cell r="C316" t="str">
            <v>+ Đinh đỉa</v>
          </cell>
          <cell r="D316" t="str">
            <v>cái</v>
          </cell>
          <cell r="E316">
            <v>0.3</v>
          </cell>
          <cell r="F316">
            <v>16000</v>
          </cell>
          <cell r="G316">
            <v>4800</v>
          </cell>
        </row>
        <row r="317">
          <cell r="C317" t="str">
            <v>Nhân công</v>
          </cell>
          <cell r="G317">
            <v>615190.25526315789</v>
          </cell>
        </row>
        <row r="318">
          <cell r="B318" t="str">
            <v>NC1407</v>
          </cell>
          <cell r="C318" t="str">
            <v>+ Nhân công bậc 4,0/7</v>
          </cell>
          <cell r="D318" t="str">
            <v>Công</v>
          </cell>
          <cell r="E318">
            <v>3.16</v>
          </cell>
          <cell r="F318">
            <v>194680.46052631579</v>
          </cell>
          <cell r="G318">
            <v>615190.25526315789</v>
          </cell>
        </row>
        <row r="319">
          <cell r="A319" t="str">
            <v>D2.2023</v>
          </cell>
          <cell r="C319" t="str">
            <v>Lắp ráp cột thép bằng thủ công, lắp từng đoạn, Trọng lượng cột =&lt; 30tấn</v>
          </cell>
          <cell r="D319" t="str">
            <v>tấn</v>
          </cell>
          <cell r="I319">
            <v>580147.77236842108</v>
          </cell>
        </row>
        <row r="320">
          <cell r="C320" t="str">
            <v>Vật liệu</v>
          </cell>
          <cell r="G320">
            <v>14000</v>
          </cell>
        </row>
        <row r="321">
          <cell r="B321">
            <v>44</v>
          </cell>
          <cell r="C321" t="str">
            <v>+ Gỗ hộp kê máy</v>
          </cell>
          <cell r="D321" t="str">
            <v>M3</v>
          </cell>
          <cell r="E321">
            <v>4.0000000000000001E-3</v>
          </cell>
          <cell r="F321">
            <v>2300000</v>
          </cell>
          <cell r="G321">
            <v>9200</v>
          </cell>
        </row>
        <row r="322">
          <cell r="B322">
            <v>43</v>
          </cell>
          <cell r="C322" t="str">
            <v>+ Đinh đỉa</v>
          </cell>
          <cell r="D322" t="str">
            <v>cái</v>
          </cell>
          <cell r="E322">
            <v>0.3</v>
          </cell>
          <cell r="F322">
            <v>16000</v>
          </cell>
          <cell r="G322">
            <v>4800</v>
          </cell>
        </row>
        <row r="323">
          <cell r="C323" t="str">
            <v>Nhân công</v>
          </cell>
          <cell r="G323">
            <v>580147.77236842108</v>
          </cell>
        </row>
        <row r="324">
          <cell r="B324" t="str">
            <v>NC1407</v>
          </cell>
          <cell r="C324" t="str">
            <v>+ Nhân công bậc 4,0/7</v>
          </cell>
          <cell r="D324" t="str">
            <v>Công</v>
          </cell>
          <cell r="E324">
            <v>2.98</v>
          </cell>
          <cell r="F324">
            <v>194680.46052631579</v>
          </cell>
          <cell r="G324">
            <v>580147.77236842108</v>
          </cell>
        </row>
        <row r="325">
          <cell r="A325" t="str">
            <v>D2.2024</v>
          </cell>
          <cell r="C325" t="str">
            <v>Lắp ráp cột thép bằng thủ công, lắp từng đoạn, Trọng lượng cột &gt;30tấn</v>
          </cell>
          <cell r="D325" t="str">
            <v>tấn</v>
          </cell>
          <cell r="I325">
            <v>547052.09407894732</v>
          </cell>
        </row>
        <row r="326">
          <cell r="C326" t="str">
            <v>Vật liệu</v>
          </cell>
          <cell r="G326">
            <v>14000</v>
          </cell>
        </row>
        <row r="327">
          <cell r="B327">
            <v>44</v>
          </cell>
          <cell r="C327" t="str">
            <v>+ Gỗ hộp kê máy</v>
          </cell>
          <cell r="D327" t="str">
            <v>M3</v>
          </cell>
          <cell r="E327">
            <v>4.0000000000000001E-3</v>
          </cell>
          <cell r="F327">
            <v>2300000</v>
          </cell>
          <cell r="G327">
            <v>9200</v>
          </cell>
        </row>
        <row r="328">
          <cell r="B328">
            <v>43</v>
          </cell>
          <cell r="C328" t="str">
            <v>+ Đinh đỉa</v>
          </cell>
          <cell r="D328" t="str">
            <v>cái</v>
          </cell>
          <cell r="E328">
            <v>0.3</v>
          </cell>
          <cell r="F328">
            <v>16000</v>
          </cell>
          <cell r="G328">
            <v>4800</v>
          </cell>
        </row>
        <row r="329">
          <cell r="C329" t="str">
            <v>Nhân công</v>
          </cell>
          <cell r="G329">
            <v>547052.09407894732</v>
          </cell>
        </row>
        <row r="330">
          <cell r="B330" t="str">
            <v>NC1407</v>
          </cell>
          <cell r="C330" t="str">
            <v>+ Nhân công bậc 4,0/7</v>
          </cell>
          <cell r="D330" t="str">
            <v>Công</v>
          </cell>
          <cell r="E330">
            <v>2.81</v>
          </cell>
          <cell r="F330">
            <v>194680.46052631579</v>
          </cell>
          <cell r="G330">
            <v>547052.09407894732</v>
          </cell>
        </row>
        <row r="331">
          <cell r="A331" t="str">
            <v>D2.3101</v>
          </cell>
          <cell r="C331" t="str">
            <v>Lắp dựng cột thép bằng thủ  công, cột đã lắp sẵn, Chiều cao cột =&lt; 15m</v>
          </cell>
          <cell r="D331" t="str">
            <v>tấn</v>
          </cell>
          <cell r="I331">
            <v>2743932.6</v>
          </cell>
        </row>
        <row r="332">
          <cell r="C332" t="str">
            <v>Vật liệu</v>
          </cell>
          <cell r="G332">
            <v>70380</v>
          </cell>
        </row>
        <row r="333">
          <cell r="B333">
            <v>44</v>
          </cell>
          <cell r="C333" t="str">
            <v>+ Gỗ hộp kê máy</v>
          </cell>
          <cell r="D333" t="str">
            <v>M3</v>
          </cell>
          <cell r="E333">
            <v>0.03</v>
          </cell>
          <cell r="F333">
            <v>2300000</v>
          </cell>
          <cell r="G333">
            <v>69000</v>
          </cell>
        </row>
        <row r="334">
          <cell r="C334" t="str">
            <v>Vật liệu khác</v>
          </cell>
          <cell r="D334" t="str">
            <v>%</v>
          </cell>
          <cell r="E334">
            <v>2</v>
          </cell>
          <cell r="G334">
            <v>1380</v>
          </cell>
        </row>
        <row r="335">
          <cell r="C335" t="str">
            <v>Nhân công</v>
          </cell>
          <cell r="G335">
            <v>2743932.6</v>
          </cell>
        </row>
        <row r="336">
          <cell r="B336" t="str">
            <v>NC1357</v>
          </cell>
          <cell r="C336" t="str">
            <v>+ Nhân công bậc 3,5/7</v>
          </cell>
          <cell r="D336" t="str">
            <v>Công</v>
          </cell>
          <cell r="E336">
            <v>15.3</v>
          </cell>
          <cell r="F336">
            <v>179342</v>
          </cell>
          <cell r="G336">
            <v>2743932.6</v>
          </cell>
        </row>
        <row r="337">
          <cell r="A337" t="str">
            <v>D2.3102</v>
          </cell>
          <cell r="C337" t="str">
            <v>Lắp dựng cột thép bằng thủ  công, cột đã lắp sẵn, Chiều cao cột =&lt; 25m</v>
          </cell>
          <cell r="D337" t="str">
            <v>tấn</v>
          </cell>
          <cell r="I337">
            <v>4987501.0199999996</v>
          </cell>
        </row>
        <row r="338">
          <cell r="C338" t="str">
            <v>Vật liệu</v>
          </cell>
          <cell r="G338">
            <v>93840</v>
          </cell>
        </row>
        <row r="339">
          <cell r="B339">
            <v>44</v>
          </cell>
          <cell r="C339" t="str">
            <v>+ Gỗ hộp kê máy</v>
          </cell>
          <cell r="D339" t="str">
            <v>M3</v>
          </cell>
          <cell r="E339">
            <v>0.04</v>
          </cell>
          <cell r="F339">
            <v>2300000</v>
          </cell>
          <cell r="G339">
            <v>92000</v>
          </cell>
        </row>
        <row r="340">
          <cell r="B340">
            <v>137</v>
          </cell>
          <cell r="C340" t="str">
            <v>Vật liệu khác</v>
          </cell>
          <cell r="D340" t="str">
            <v>%</v>
          </cell>
          <cell r="E340">
            <v>2</v>
          </cell>
          <cell r="F340">
            <v>1500</v>
          </cell>
          <cell r="G340">
            <v>1840</v>
          </cell>
        </row>
        <row r="341">
          <cell r="C341" t="str">
            <v>Nhân công</v>
          </cell>
          <cell r="G341">
            <v>4987501.0199999996</v>
          </cell>
        </row>
        <row r="342">
          <cell r="B342" t="str">
            <v>NC1357</v>
          </cell>
          <cell r="C342" t="str">
            <v>+ Nhân công bậc 3,5/7</v>
          </cell>
          <cell r="D342" t="str">
            <v>Công</v>
          </cell>
          <cell r="E342">
            <v>27.81</v>
          </cell>
          <cell r="F342">
            <v>179342</v>
          </cell>
          <cell r="G342">
            <v>4987501.0199999996</v>
          </cell>
        </row>
        <row r="343">
          <cell r="A343" t="str">
            <v>D2.3103</v>
          </cell>
          <cell r="C343" t="str">
            <v>Lắp dựng cột thép bằng thủ  công, cột đã lắp sẵn, Chiều cao cột =&lt; 35m</v>
          </cell>
          <cell r="D343" t="str">
            <v>tấn</v>
          </cell>
          <cell r="I343">
            <v>6128116.1400000006</v>
          </cell>
        </row>
        <row r="344">
          <cell r="C344" t="str">
            <v>Vật liệu</v>
          </cell>
          <cell r="G344">
            <v>93840</v>
          </cell>
        </row>
        <row r="345">
          <cell r="B345">
            <v>44</v>
          </cell>
          <cell r="C345" t="str">
            <v>+ Gỗ hộp kê máy</v>
          </cell>
          <cell r="D345" t="str">
            <v>M3</v>
          </cell>
          <cell r="E345">
            <v>0.04</v>
          </cell>
          <cell r="F345">
            <v>2300000</v>
          </cell>
          <cell r="G345">
            <v>92000</v>
          </cell>
        </row>
        <row r="346">
          <cell r="B346">
            <v>137</v>
          </cell>
          <cell r="C346" t="str">
            <v>Vật liệu khác</v>
          </cell>
          <cell r="D346" t="str">
            <v>%</v>
          </cell>
          <cell r="E346">
            <v>2</v>
          </cell>
          <cell r="F346">
            <v>1500</v>
          </cell>
          <cell r="G346">
            <v>1840</v>
          </cell>
        </row>
        <row r="347">
          <cell r="C347" t="str">
            <v>Nhân công</v>
          </cell>
          <cell r="G347">
            <v>6128116.1400000006</v>
          </cell>
        </row>
        <row r="348">
          <cell r="B348" t="str">
            <v>NC1357</v>
          </cell>
          <cell r="C348" t="str">
            <v>+ Nhân công bậc 3,5/7</v>
          </cell>
          <cell r="D348" t="str">
            <v>Công</v>
          </cell>
          <cell r="E348">
            <v>34.17</v>
          </cell>
          <cell r="F348">
            <v>179342</v>
          </cell>
          <cell r="G348">
            <v>6128116.1400000006</v>
          </cell>
        </row>
        <row r="349">
          <cell r="A349" t="str">
            <v>D2.3104</v>
          </cell>
          <cell r="C349" t="str">
            <v>Lắp dựng cột thép bằng thủ  công, cột đã lắp sẵn, Chiều cao cột =&lt; 40m</v>
          </cell>
          <cell r="D349" t="str">
            <v>tấn</v>
          </cell>
          <cell r="I349">
            <v>10407216.26</v>
          </cell>
        </row>
        <row r="350">
          <cell r="C350" t="str">
            <v>Vật liệu</v>
          </cell>
          <cell r="G350">
            <v>140760</v>
          </cell>
        </row>
        <row r="351">
          <cell r="B351">
            <v>44</v>
          </cell>
          <cell r="C351" t="str">
            <v>+ Gỗ hộp kê máy</v>
          </cell>
          <cell r="D351" t="str">
            <v>M3</v>
          </cell>
          <cell r="E351">
            <v>0.06</v>
          </cell>
          <cell r="F351">
            <v>2300000</v>
          </cell>
          <cell r="G351">
            <v>138000</v>
          </cell>
        </row>
        <row r="352">
          <cell r="B352">
            <v>137</v>
          </cell>
          <cell r="C352" t="str">
            <v>Vật liệu khác</v>
          </cell>
          <cell r="D352" t="str">
            <v>%</v>
          </cell>
          <cell r="E352">
            <v>2</v>
          </cell>
          <cell r="F352">
            <v>1500</v>
          </cell>
          <cell r="G352">
            <v>2760</v>
          </cell>
        </row>
        <row r="353">
          <cell r="C353" t="str">
            <v>Nhân công</v>
          </cell>
          <cell r="G353">
            <v>10407216.26</v>
          </cell>
        </row>
        <row r="354">
          <cell r="B354" t="str">
            <v>NC1357</v>
          </cell>
          <cell r="C354" t="str">
            <v>+ Nhân công bậc 3,5/7</v>
          </cell>
          <cell r="D354" t="str">
            <v>Công</v>
          </cell>
          <cell r="E354">
            <v>58.03</v>
          </cell>
          <cell r="F354">
            <v>179342</v>
          </cell>
          <cell r="G354">
            <v>10407216.26</v>
          </cell>
        </row>
        <row r="355">
          <cell r="A355" t="str">
            <v>D2.3105</v>
          </cell>
          <cell r="C355" t="str">
            <v>Lắp dựng cột thép bằng thủ  công, cột đã lắp sẵn, Chiều cao cột =&lt; 50m</v>
          </cell>
          <cell r="D355" t="str">
            <v>tấn</v>
          </cell>
          <cell r="I355">
            <v>18527822.02</v>
          </cell>
        </row>
        <row r="356">
          <cell r="C356" t="str">
            <v>Vật liệu</v>
          </cell>
          <cell r="G356">
            <v>187680</v>
          </cell>
        </row>
        <row r="357">
          <cell r="B357">
            <v>44</v>
          </cell>
          <cell r="C357" t="str">
            <v>+ Gỗ hộp kê máy</v>
          </cell>
          <cell r="D357" t="str">
            <v>M3</v>
          </cell>
          <cell r="E357">
            <v>0.08</v>
          </cell>
          <cell r="F357">
            <v>2300000</v>
          </cell>
          <cell r="G357">
            <v>184000</v>
          </cell>
        </row>
        <row r="358">
          <cell r="B358">
            <v>137</v>
          </cell>
          <cell r="C358" t="str">
            <v>Vật liệu khác</v>
          </cell>
          <cell r="D358" t="str">
            <v>%</v>
          </cell>
          <cell r="E358">
            <v>2</v>
          </cell>
          <cell r="F358">
            <v>1500</v>
          </cell>
          <cell r="G358">
            <v>3680</v>
          </cell>
        </row>
        <row r="359">
          <cell r="C359" t="str">
            <v>Nhân công</v>
          </cell>
          <cell r="G359">
            <v>18527822.02</v>
          </cell>
        </row>
        <row r="360">
          <cell r="B360" t="str">
            <v>NC1357</v>
          </cell>
          <cell r="C360" t="str">
            <v>+ Nhân công bậc 3,5/7</v>
          </cell>
          <cell r="D360" t="str">
            <v>Công</v>
          </cell>
          <cell r="E360">
            <v>103.31</v>
          </cell>
          <cell r="F360">
            <v>179342</v>
          </cell>
          <cell r="G360">
            <v>18527822.02</v>
          </cell>
        </row>
        <row r="361">
          <cell r="A361" t="str">
            <v>D2.3211</v>
          </cell>
          <cell r="C361" t="str">
            <v>Lắp dựng cột thép bằng thủ công kết hợp cơ giới, bằng máy kéo 100Cv, Chiều cao cột =&lt; 25m</v>
          </cell>
          <cell r="D361" t="str">
            <v>tấn</v>
          </cell>
          <cell r="I361">
            <v>3741074.12</v>
          </cell>
          <cell r="J361">
            <v>480126.03385714284</v>
          </cell>
        </row>
        <row r="362">
          <cell r="C362" t="str">
            <v>Vật liệu</v>
          </cell>
          <cell r="G362">
            <v>93840</v>
          </cell>
        </row>
        <row r="363">
          <cell r="B363">
            <v>44</v>
          </cell>
          <cell r="C363" t="str">
            <v>+ Gỗ hộp kê máy</v>
          </cell>
          <cell r="D363" t="str">
            <v>M3</v>
          </cell>
          <cell r="E363">
            <v>0.04</v>
          </cell>
          <cell r="F363">
            <v>2300000</v>
          </cell>
          <cell r="G363">
            <v>92000</v>
          </cell>
        </row>
        <row r="364">
          <cell r="B364">
            <v>137</v>
          </cell>
          <cell r="C364" t="str">
            <v>Vật liệu khác</v>
          </cell>
          <cell r="D364" t="str">
            <v>%</v>
          </cell>
          <cell r="E364">
            <v>2</v>
          </cell>
          <cell r="F364">
            <v>1500</v>
          </cell>
          <cell r="G364">
            <v>1840</v>
          </cell>
        </row>
        <row r="365">
          <cell r="C365" t="str">
            <v>Nhân công</v>
          </cell>
          <cell r="G365">
            <v>3741074.12</v>
          </cell>
        </row>
        <row r="366">
          <cell r="B366" t="str">
            <v>NC1357</v>
          </cell>
          <cell r="C366" t="str">
            <v>+ Nhân công bậc 3,5/7</v>
          </cell>
          <cell r="D366" t="str">
            <v>Công</v>
          </cell>
          <cell r="E366">
            <v>20.86</v>
          </cell>
          <cell r="F366">
            <v>179342</v>
          </cell>
          <cell r="G366">
            <v>3741074.12</v>
          </cell>
        </row>
        <row r="367">
          <cell r="C367" t="str">
            <v>Máy thi công</v>
          </cell>
          <cell r="G367">
            <v>480126.03385714284</v>
          </cell>
        </row>
        <row r="368">
          <cell r="B368">
            <v>7025</v>
          </cell>
          <cell r="C368" t="str">
            <v>+ Máy kéo bánh xích, công suất 110,0 CV</v>
          </cell>
          <cell r="D368" t="str">
            <v>Ca</v>
          </cell>
          <cell r="E368">
            <v>0.3</v>
          </cell>
          <cell r="F368">
            <v>1600420.1128571429</v>
          </cell>
          <cell r="G368">
            <v>480126.03385714284</v>
          </cell>
        </row>
        <row r="369">
          <cell r="A369" t="str">
            <v>D2.3212</v>
          </cell>
          <cell r="C369" t="str">
            <v>Lắp dựng cột thép bằng thủ công kết hợp cơ giới, bằng máy kéo 100Cv, Chiều cao cột =&lt;35m</v>
          </cell>
          <cell r="D369" t="str">
            <v>tấn</v>
          </cell>
          <cell r="I369">
            <v>4596535.46</v>
          </cell>
          <cell r="J369">
            <v>800210.05642857146</v>
          </cell>
        </row>
        <row r="370">
          <cell r="C370" t="str">
            <v>Vật liệu</v>
          </cell>
          <cell r="G370">
            <v>93840</v>
          </cell>
        </row>
        <row r="371">
          <cell r="B371">
            <v>44</v>
          </cell>
          <cell r="C371" t="str">
            <v>+ Gỗ hộp kê máy</v>
          </cell>
          <cell r="D371" t="str">
            <v>M3</v>
          </cell>
          <cell r="E371">
            <v>0.04</v>
          </cell>
          <cell r="F371">
            <v>2300000</v>
          </cell>
          <cell r="G371">
            <v>92000</v>
          </cell>
        </row>
        <row r="372">
          <cell r="B372">
            <v>137</v>
          </cell>
          <cell r="C372" t="str">
            <v>Vật liệu khác</v>
          </cell>
          <cell r="D372" t="str">
            <v>%</v>
          </cell>
          <cell r="E372">
            <v>2</v>
          </cell>
          <cell r="F372">
            <v>1500</v>
          </cell>
          <cell r="G372">
            <v>1840</v>
          </cell>
        </row>
        <row r="373">
          <cell r="C373" t="str">
            <v>Nhân công</v>
          </cell>
          <cell r="G373">
            <v>4596535.46</v>
          </cell>
        </row>
        <row r="374">
          <cell r="B374" t="str">
            <v>NC1357</v>
          </cell>
          <cell r="C374" t="str">
            <v>+ Nhân công bậc 3,5/7</v>
          </cell>
          <cell r="D374" t="str">
            <v>Công</v>
          </cell>
          <cell r="E374">
            <v>25.63</v>
          </cell>
          <cell r="F374">
            <v>179342</v>
          </cell>
          <cell r="G374">
            <v>4596535.46</v>
          </cell>
        </row>
        <row r="375">
          <cell r="C375" t="str">
            <v>Máy thi công</v>
          </cell>
          <cell r="G375">
            <v>800210.05642857146</v>
          </cell>
        </row>
        <row r="376">
          <cell r="B376">
            <v>7025</v>
          </cell>
          <cell r="C376" t="str">
            <v>+ Máy kéo bánh xích, công suất 110,0 CV</v>
          </cell>
          <cell r="D376" t="str">
            <v>Ca</v>
          </cell>
          <cell r="E376">
            <v>0.5</v>
          </cell>
          <cell r="F376">
            <v>1600420.1128571429</v>
          </cell>
          <cell r="G376">
            <v>800210.05642857146</v>
          </cell>
        </row>
        <row r="377">
          <cell r="A377" t="str">
            <v>D2.3213</v>
          </cell>
          <cell r="C377" t="str">
            <v>Lắp dựng cột thép bằng thủ công kết hợp cơ giới, bằng máy kéo 100Cv, Chiều cao cột =&lt;45m</v>
          </cell>
          <cell r="D377" t="str">
            <v>tấn</v>
          </cell>
          <cell r="I377">
            <v>7804963.8400000008</v>
          </cell>
          <cell r="J377">
            <v>1120294.0789999999</v>
          </cell>
        </row>
        <row r="378">
          <cell r="C378" t="str">
            <v>Vật liệu</v>
          </cell>
          <cell r="G378">
            <v>140760</v>
          </cell>
        </row>
        <row r="379">
          <cell r="B379">
            <v>44</v>
          </cell>
          <cell r="C379" t="str">
            <v>+ Gỗ hộp kê máy</v>
          </cell>
          <cell r="D379" t="str">
            <v>M3</v>
          </cell>
          <cell r="E379">
            <v>0.06</v>
          </cell>
          <cell r="F379">
            <v>2300000</v>
          </cell>
          <cell r="G379">
            <v>138000</v>
          </cell>
        </row>
        <row r="380">
          <cell r="B380">
            <v>137</v>
          </cell>
          <cell r="C380" t="str">
            <v>Vật liệu khác</v>
          </cell>
          <cell r="D380" t="str">
            <v>%</v>
          </cell>
          <cell r="E380">
            <v>2</v>
          </cell>
          <cell r="F380">
            <v>1500</v>
          </cell>
          <cell r="G380">
            <v>2760</v>
          </cell>
        </row>
        <row r="381">
          <cell r="C381" t="str">
            <v>Nhân công</v>
          </cell>
          <cell r="G381">
            <v>7804963.8400000008</v>
          </cell>
        </row>
        <row r="382">
          <cell r="B382" t="str">
            <v>NC1357</v>
          </cell>
          <cell r="C382" t="str">
            <v>+ Nhân công bậc 3,5/7</v>
          </cell>
          <cell r="D382" t="str">
            <v>Công</v>
          </cell>
          <cell r="E382">
            <v>43.52</v>
          </cell>
          <cell r="F382">
            <v>179342</v>
          </cell>
          <cell r="G382">
            <v>7804963.8400000008</v>
          </cell>
        </row>
        <row r="383">
          <cell r="C383" t="str">
            <v>Máy thi công</v>
          </cell>
          <cell r="G383">
            <v>1120294.0789999999</v>
          </cell>
        </row>
        <row r="384">
          <cell r="B384">
            <v>7025</v>
          </cell>
          <cell r="C384" t="str">
            <v>+ Máy kéo bánh xích, công suất 110,0 CV</v>
          </cell>
          <cell r="D384" t="str">
            <v>Ca</v>
          </cell>
          <cell r="E384">
            <v>0.7</v>
          </cell>
          <cell r="F384">
            <v>1600420.1128571429</v>
          </cell>
          <cell r="G384">
            <v>1120294.0789999999</v>
          </cell>
        </row>
        <row r="385">
          <cell r="A385" t="str">
            <v>D2.3214</v>
          </cell>
          <cell r="C385" t="str">
            <v>Lắp dựng cột thép bằng thủ công kết hợp cơ giới, bằng máy kéo 100Cv, Chiều cao cột =&lt;50m</v>
          </cell>
          <cell r="D385" t="str">
            <v>tấn</v>
          </cell>
          <cell r="I385">
            <v>13895418.16</v>
          </cell>
          <cell r="J385">
            <v>1600420.1128571429</v>
          </cell>
        </row>
        <row r="386">
          <cell r="C386" t="str">
            <v>Vật liệu</v>
          </cell>
          <cell r="G386">
            <v>187680</v>
          </cell>
        </row>
        <row r="387">
          <cell r="B387">
            <v>44</v>
          </cell>
          <cell r="C387" t="str">
            <v>+ Gỗ hộp kê máy</v>
          </cell>
          <cell r="D387" t="str">
            <v>M3</v>
          </cell>
          <cell r="E387">
            <v>0.08</v>
          </cell>
          <cell r="F387">
            <v>2300000</v>
          </cell>
          <cell r="G387">
            <v>184000</v>
          </cell>
        </row>
        <row r="388">
          <cell r="B388">
            <v>137</v>
          </cell>
          <cell r="C388" t="str">
            <v>Vật liệu khác</v>
          </cell>
          <cell r="D388" t="str">
            <v>%</v>
          </cell>
          <cell r="E388">
            <v>2</v>
          </cell>
          <cell r="F388">
            <v>1500</v>
          </cell>
          <cell r="G388">
            <v>3680</v>
          </cell>
        </row>
        <row r="389">
          <cell r="C389" t="str">
            <v>Nhân công</v>
          </cell>
          <cell r="G389">
            <v>13895418.16</v>
          </cell>
        </row>
        <row r="390">
          <cell r="B390" t="str">
            <v>NC1357</v>
          </cell>
          <cell r="C390" t="str">
            <v>+ Nhân công bậc 3,5/7</v>
          </cell>
          <cell r="D390" t="str">
            <v>Công</v>
          </cell>
          <cell r="E390">
            <v>77.48</v>
          </cell>
          <cell r="F390">
            <v>179342</v>
          </cell>
          <cell r="G390">
            <v>13895418.16</v>
          </cell>
        </row>
        <row r="391">
          <cell r="C391" t="str">
            <v>Máy thi công</v>
          </cell>
          <cell r="G391">
            <v>1600420.1128571429</v>
          </cell>
        </row>
        <row r="392">
          <cell r="B392">
            <v>7025</v>
          </cell>
          <cell r="C392" t="str">
            <v>+ Máy kéo bánh xích, công suất 110,0 CV</v>
          </cell>
          <cell r="D392" t="str">
            <v>Ca</v>
          </cell>
          <cell r="E392">
            <v>1</v>
          </cell>
          <cell r="F392">
            <v>1600420.1128571429</v>
          </cell>
          <cell r="G392">
            <v>1600420.1128571429</v>
          </cell>
        </row>
        <row r="393">
          <cell r="A393" t="str">
            <v>D2.3221</v>
          </cell>
          <cell r="C393" t="str">
            <v>Lắp dựng cột thép bằng thủ công kết hợp cơ giới, bằng cần cẩu 10tấn, Chiều cao cột =&lt;15m</v>
          </cell>
          <cell r="D393" t="str">
            <v>tấn</v>
          </cell>
          <cell r="I393">
            <v>1902818.6199999999</v>
          </cell>
          <cell r="J393">
            <v>207683.60543999998</v>
          </cell>
        </row>
        <row r="394">
          <cell r="C394" t="str">
            <v>Vật liệu</v>
          </cell>
          <cell r="G394">
            <v>70380</v>
          </cell>
        </row>
        <row r="395">
          <cell r="B395">
            <v>44</v>
          </cell>
          <cell r="C395" t="str">
            <v>+ Gỗ hộp kê máy</v>
          </cell>
          <cell r="D395" t="str">
            <v>M3</v>
          </cell>
          <cell r="E395">
            <v>0.03</v>
          </cell>
          <cell r="F395">
            <v>2300000</v>
          </cell>
          <cell r="G395">
            <v>69000</v>
          </cell>
        </row>
        <row r="396">
          <cell r="B396">
            <v>137</v>
          </cell>
          <cell r="C396" t="str">
            <v>Vật liệu khác</v>
          </cell>
          <cell r="D396" t="str">
            <v>%</v>
          </cell>
          <cell r="E396">
            <v>2</v>
          </cell>
          <cell r="F396">
            <v>1500</v>
          </cell>
          <cell r="G396">
            <v>1380</v>
          </cell>
        </row>
        <row r="397">
          <cell r="C397" t="str">
            <v>Nhân công</v>
          </cell>
          <cell r="G397">
            <v>1902818.6199999999</v>
          </cell>
        </row>
        <row r="398">
          <cell r="B398" t="str">
            <v>NC1357</v>
          </cell>
          <cell r="C398" t="str">
            <v>+ Nhân công bậc 3,5/7</v>
          </cell>
          <cell r="D398" t="str">
            <v>Công</v>
          </cell>
          <cell r="E398">
            <v>10.61</v>
          </cell>
          <cell r="F398">
            <v>179342</v>
          </cell>
          <cell r="G398">
            <v>1902818.6199999999</v>
          </cell>
        </row>
        <row r="399">
          <cell r="C399" t="str">
            <v>Máy thi công</v>
          </cell>
          <cell r="G399">
            <v>207683.60543999998</v>
          </cell>
        </row>
        <row r="400">
          <cell r="B400">
            <v>7007</v>
          </cell>
          <cell r="C400" t="str">
            <v>+ Cần trục bánh xích, sức nâng 10,0 T</v>
          </cell>
          <cell r="D400" t="str">
            <v>Ca</v>
          </cell>
          <cell r="E400">
            <v>0.12</v>
          </cell>
          <cell r="F400">
            <v>1730696.7120000001</v>
          </cell>
          <cell r="G400">
            <v>207683.60543999998</v>
          </cell>
        </row>
        <row r="401">
          <cell r="A401" t="str">
            <v>D2.3222</v>
          </cell>
          <cell r="C401" t="str">
            <v>Lắp dựng cột thép bằng thủ công kết hợp cơ giới, bằng cần cẩu 10tấn, Chiều cao cột =&lt;25m</v>
          </cell>
          <cell r="D401" t="str">
            <v>tấn</v>
          </cell>
          <cell r="I401">
            <v>3554558.44</v>
          </cell>
          <cell r="J401">
            <v>415367.21087999997</v>
          </cell>
        </row>
        <row r="402">
          <cell r="C402" t="str">
            <v>Vật liệu</v>
          </cell>
          <cell r="G402">
            <v>93840</v>
          </cell>
        </row>
        <row r="403">
          <cell r="B403">
            <v>44</v>
          </cell>
          <cell r="C403" t="str">
            <v>+ Gỗ hộp kê máy</v>
          </cell>
          <cell r="D403" t="str">
            <v>M3</v>
          </cell>
          <cell r="E403">
            <v>0.04</v>
          </cell>
          <cell r="F403">
            <v>2300000</v>
          </cell>
          <cell r="G403">
            <v>92000</v>
          </cell>
        </row>
        <row r="404">
          <cell r="B404">
            <v>137</v>
          </cell>
          <cell r="C404" t="str">
            <v>Vật liệu khác</v>
          </cell>
          <cell r="D404" t="str">
            <v>%</v>
          </cell>
          <cell r="E404">
            <v>2</v>
          </cell>
          <cell r="F404">
            <v>1500</v>
          </cell>
          <cell r="G404">
            <v>1840</v>
          </cell>
        </row>
        <row r="405">
          <cell r="C405" t="str">
            <v>Nhân công</v>
          </cell>
          <cell r="G405">
            <v>3554558.44</v>
          </cell>
        </row>
        <row r="406">
          <cell r="B406" t="str">
            <v>NC1357</v>
          </cell>
          <cell r="C406" t="str">
            <v>+ Nhân công bậc 3,5/7</v>
          </cell>
          <cell r="D406" t="str">
            <v>Công</v>
          </cell>
          <cell r="E406">
            <v>19.82</v>
          </cell>
          <cell r="F406">
            <v>179342</v>
          </cell>
          <cell r="G406">
            <v>3554558.44</v>
          </cell>
        </row>
        <row r="407">
          <cell r="C407" t="str">
            <v>Máy thi công</v>
          </cell>
          <cell r="G407">
            <v>415367.21087999997</v>
          </cell>
        </row>
        <row r="408">
          <cell r="B408">
            <v>7007</v>
          </cell>
          <cell r="C408" t="str">
            <v>+ Cần trục bánh xích, sức nâng 10,0 T</v>
          </cell>
          <cell r="D408" t="str">
            <v>Ca</v>
          </cell>
          <cell r="E408">
            <v>0.24</v>
          </cell>
          <cell r="F408">
            <v>1730696.7120000001</v>
          </cell>
          <cell r="G408">
            <v>415367.21087999997</v>
          </cell>
        </row>
        <row r="409">
          <cell r="A409" t="str">
            <v>D2.3223</v>
          </cell>
          <cell r="C409" t="str">
            <v>Lắp dựng cột thép bằng thủ công kết hợp cơ giới, bằng cần cẩu 10tấn, Chiều cao cột =&lt;35m</v>
          </cell>
          <cell r="D409" t="str">
            <v>tấn</v>
          </cell>
          <cell r="I409">
            <v>4366977.7</v>
          </cell>
          <cell r="J409">
            <v>692278.68480000005</v>
          </cell>
        </row>
        <row r="410">
          <cell r="C410" t="str">
            <v>Vật liệu</v>
          </cell>
          <cell r="G410">
            <v>93840</v>
          </cell>
        </row>
        <row r="411">
          <cell r="B411">
            <v>44</v>
          </cell>
          <cell r="C411" t="str">
            <v>+ Gỗ hộp kê máy</v>
          </cell>
          <cell r="D411" t="str">
            <v>M3</v>
          </cell>
          <cell r="E411">
            <v>0.04</v>
          </cell>
          <cell r="F411">
            <v>2300000</v>
          </cell>
          <cell r="G411">
            <v>92000</v>
          </cell>
        </row>
        <row r="412">
          <cell r="B412">
            <v>137</v>
          </cell>
          <cell r="C412" t="str">
            <v>Vật liệu khác</v>
          </cell>
          <cell r="D412" t="str">
            <v>%</v>
          </cell>
          <cell r="E412">
            <v>2</v>
          </cell>
          <cell r="F412">
            <v>1500</v>
          </cell>
          <cell r="G412">
            <v>1840</v>
          </cell>
        </row>
        <row r="413">
          <cell r="C413" t="str">
            <v>Nhân công</v>
          </cell>
          <cell r="G413">
            <v>4366977.7</v>
          </cell>
        </row>
        <row r="414">
          <cell r="B414" t="str">
            <v>NC1357</v>
          </cell>
          <cell r="C414" t="str">
            <v>+ Nhân công bậc 3,5/7</v>
          </cell>
          <cell r="D414" t="str">
            <v>Công</v>
          </cell>
          <cell r="E414">
            <v>24.35</v>
          </cell>
          <cell r="F414">
            <v>179342</v>
          </cell>
          <cell r="G414">
            <v>4366977.7</v>
          </cell>
        </row>
        <row r="415">
          <cell r="C415" t="str">
            <v>Máy thi công</v>
          </cell>
          <cell r="G415">
            <v>692278.68480000005</v>
          </cell>
        </row>
        <row r="416">
          <cell r="B416">
            <v>7007</v>
          </cell>
          <cell r="C416" t="str">
            <v>+ Cần trục bánh xích, sức nâng 10,0 T</v>
          </cell>
          <cell r="D416" t="str">
            <v>Ca</v>
          </cell>
          <cell r="E416">
            <v>0.4</v>
          </cell>
          <cell r="F416">
            <v>1730696.7120000001</v>
          </cell>
          <cell r="G416">
            <v>692278.68480000005</v>
          </cell>
        </row>
        <row r="417">
          <cell r="A417" t="str">
            <v>D2.3224</v>
          </cell>
          <cell r="C417" t="str">
            <v>Lắp dựng cột thép bằng thủ công kết hợp cơ giới, bằng cần cẩu 10tấn, Chiều cao cột =&lt;45m</v>
          </cell>
          <cell r="D417" t="str">
            <v>tấn</v>
          </cell>
          <cell r="I417">
            <v>7413998.2800000003</v>
          </cell>
          <cell r="J417">
            <v>969190.15872000018</v>
          </cell>
        </row>
        <row r="418">
          <cell r="C418" t="str">
            <v>Vật liệu</v>
          </cell>
          <cell r="G418">
            <v>140760</v>
          </cell>
        </row>
        <row r="419">
          <cell r="B419">
            <v>44</v>
          </cell>
          <cell r="C419" t="str">
            <v>+ Gỗ hộp kê máy</v>
          </cell>
          <cell r="D419" t="str">
            <v>M3</v>
          </cell>
          <cell r="E419">
            <v>0.06</v>
          </cell>
          <cell r="F419">
            <v>2300000</v>
          </cell>
          <cell r="G419">
            <v>138000</v>
          </cell>
        </row>
        <row r="420">
          <cell r="B420">
            <v>137</v>
          </cell>
          <cell r="C420" t="str">
            <v>Vật liệu khác</v>
          </cell>
          <cell r="D420" t="str">
            <v>%</v>
          </cell>
          <cell r="E420">
            <v>2</v>
          </cell>
          <cell r="F420">
            <v>1500</v>
          </cell>
          <cell r="G420">
            <v>2760</v>
          </cell>
        </row>
        <row r="421">
          <cell r="C421" t="str">
            <v>Nhân công</v>
          </cell>
          <cell r="G421">
            <v>7413998.2800000003</v>
          </cell>
        </row>
        <row r="422">
          <cell r="B422" t="str">
            <v>NC1357</v>
          </cell>
          <cell r="C422" t="str">
            <v>+ Nhân công bậc 3,5/7</v>
          </cell>
          <cell r="D422" t="str">
            <v>Công</v>
          </cell>
          <cell r="E422">
            <v>41.34</v>
          </cell>
          <cell r="F422">
            <v>179342</v>
          </cell>
          <cell r="G422">
            <v>7413998.2800000003</v>
          </cell>
        </row>
        <row r="423">
          <cell r="C423" t="str">
            <v>Máy thi công</v>
          </cell>
          <cell r="G423">
            <v>969190.15872000018</v>
          </cell>
        </row>
        <row r="424">
          <cell r="B424">
            <v>7007</v>
          </cell>
          <cell r="C424" t="str">
            <v>+ Cần trục bánh xích, sức nâng 10,0 T</v>
          </cell>
          <cell r="D424" t="str">
            <v>Ca</v>
          </cell>
          <cell r="E424">
            <v>0.56000000000000005</v>
          </cell>
          <cell r="F424">
            <v>1730696.7120000001</v>
          </cell>
          <cell r="G424">
            <v>969190.15872000018</v>
          </cell>
        </row>
        <row r="425">
          <cell r="A425" t="str">
            <v>D2.3225</v>
          </cell>
          <cell r="C425" t="str">
            <v>Lắp dựng cột thép bằng thủ công kết hợp cơ giới, bằng cần cẩu 10tấn, Chiều cao cột =&lt;50m</v>
          </cell>
          <cell r="D425" t="str">
            <v>tấn</v>
          </cell>
          <cell r="I425">
            <v>13201364.619999999</v>
          </cell>
          <cell r="J425">
            <v>1384557.3696000001</v>
          </cell>
        </row>
        <row r="426">
          <cell r="C426" t="str">
            <v>Vật liệu</v>
          </cell>
          <cell r="G426">
            <v>187680</v>
          </cell>
        </row>
        <row r="427">
          <cell r="B427">
            <v>44</v>
          </cell>
          <cell r="C427" t="str">
            <v>+ Gỗ hộp kê máy</v>
          </cell>
          <cell r="D427" t="str">
            <v>M3</v>
          </cell>
          <cell r="E427">
            <v>0.08</v>
          </cell>
          <cell r="F427">
            <v>2300000</v>
          </cell>
          <cell r="G427">
            <v>184000</v>
          </cell>
        </row>
        <row r="428">
          <cell r="B428">
            <v>137</v>
          </cell>
          <cell r="C428" t="str">
            <v>Vật liệu khác</v>
          </cell>
          <cell r="D428" t="str">
            <v>%</v>
          </cell>
          <cell r="E428">
            <v>2</v>
          </cell>
          <cell r="F428">
            <v>1500</v>
          </cell>
          <cell r="G428">
            <v>3680</v>
          </cell>
        </row>
        <row r="429">
          <cell r="C429" t="str">
            <v>Nhân công</v>
          </cell>
          <cell r="G429">
            <v>13201364.619999999</v>
          </cell>
        </row>
        <row r="430">
          <cell r="B430" t="str">
            <v>NC1357</v>
          </cell>
          <cell r="C430" t="str">
            <v>+ Nhân công bậc 3,5/7</v>
          </cell>
          <cell r="D430" t="str">
            <v>Công</v>
          </cell>
          <cell r="E430">
            <v>73.61</v>
          </cell>
          <cell r="F430">
            <v>179342</v>
          </cell>
          <cell r="G430">
            <v>13201364.619999999</v>
          </cell>
        </row>
        <row r="431">
          <cell r="C431" t="str">
            <v>Máy thi công</v>
          </cell>
          <cell r="G431">
            <v>1384557.3696000001</v>
          </cell>
        </row>
        <row r="432">
          <cell r="B432">
            <v>7007</v>
          </cell>
          <cell r="C432" t="str">
            <v>+ Cần trục bánh xích, sức nâng 10,0 T</v>
          </cell>
          <cell r="D432" t="str">
            <v>Ca</v>
          </cell>
          <cell r="E432">
            <v>0.8</v>
          </cell>
          <cell r="F432">
            <v>1730696.7120000001</v>
          </cell>
          <cell r="G432">
            <v>1384557.3696000001</v>
          </cell>
        </row>
        <row r="433">
          <cell r="A433" t="str">
            <v>D2.3301</v>
          </cell>
          <cell r="C433" t="str">
            <v>Lắp dựng cột thép ống bằng thủ công kết hợp cơ giới, bằng cần cẩu 10tấn, Chiều cao cột =&lt;15m</v>
          </cell>
          <cell r="D433" t="str">
            <v>tấn</v>
          </cell>
          <cell r="I433">
            <v>1049150.7</v>
          </cell>
          <cell r="J433">
            <v>121148.76984000002</v>
          </cell>
        </row>
        <row r="434">
          <cell r="C434" t="str">
            <v>Vật liệu</v>
          </cell>
          <cell r="G434">
            <v>70380</v>
          </cell>
        </row>
        <row r="435">
          <cell r="B435">
            <v>44</v>
          </cell>
          <cell r="C435" t="str">
            <v>+ Gỗ hộp kê máy</v>
          </cell>
          <cell r="D435" t="str">
            <v>M3</v>
          </cell>
          <cell r="E435">
            <v>0.03</v>
          </cell>
          <cell r="F435">
            <v>2300000</v>
          </cell>
          <cell r="G435">
            <v>69000</v>
          </cell>
        </row>
        <row r="436">
          <cell r="B436">
            <v>137</v>
          </cell>
          <cell r="C436" t="str">
            <v>Vật liệu khác</v>
          </cell>
          <cell r="D436" t="str">
            <v>%</v>
          </cell>
          <cell r="E436">
            <v>2</v>
          </cell>
          <cell r="F436">
            <v>1500</v>
          </cell>
          <cell r="G436">
            <v>1380</v>
          </cell>
        </row>
        <row r="437">
          <cell r="C437" t="str">
            <v>Nhân công</v>
          </cell>
          <cell r="G437">
            <v>1049150.7</v>
          </cell>
        </row>
        <row r="438">
          <cell r="B438" t="str">
            <v>NC1357</v>
          </cell>
          <cell r="C438" t="str">
            <v>+ Nhân công bậc 3,5/7</v>
          </cell>
          <cell r="D438" t="str">
            <v>Công</v>
          </cell>
          <cell r="E438">
            <v>5.85</v>
          </cell>
          <cell r="F438">
            <v>179342</v>
          </cell>
          <cell r="G438">
            <v>1049150.7</v>
          </cell>
        </row>
        <row r="439">
          <cell r="C439" t="str">
            <v>Máy thi công</v>
          </cell>
          <cell r="G439">
            <v>121148.76984000002</v>
          </cell>
        </row>
        <row r="440">
          <cell r="B440">
            <v>7007</v>
          </cell>
          <cell r="C440" t="str">
            <v>+ Cần trục bánh xích, sức nâng 10,0 T</v>
          </cell>
          <cell r="D440" t="str">
            <v>Ca</v>
          </cell>
          <cell r="E440">
            <v>7.0000000000000007E-2</v>
          </cell>
          <cell r="F440">
            <v>1730696.7120000001</v>
          </cell>
          <cell r="G440">
            <v>121148.76984000002</v>
          </cell>
        </row>
        <row r="441">
          <cell r="A441" t="str">
            <v>D2.3302</v>
          </cell>
          <cell r="C441" t="str">
            <v>Lắp dựng cột thép ống bằng thủ công kết hợp cơ giới, bằng cần cẩu 10tấn, Chiều cao cột =&lt;25m</v>
          </cell>
          <cell r="D441" t="str">
            <v>tấn</v>
          </cell>
          <cell r="I441">
            <v>1958414.64</v>
          </cell>
          <cell r="J441">
            <v>224990.57256000003</v>
          </cell>
        </row>
        <row r="442">
          <cell r="C442" t="str">
            <v>Vật liệu</v>
          </cell>
          <cell r="G442">
            <v>93840</v>
          </cell>
        </row>
        <row r="443">
          <cell r="B443">
            <v>44</v>
          </cell>
          <cell r="C443" t="str">
            <v>+ Gỗ hộp kê máy</v>
          </cell>
          <cell r="D443" t="str">
            <v>M3</v>
          </cell>
          <cell r="E443">
            <v>0.04</v>
          </cell>
          <cell r="F443">
            <v>2300000</v>
          </cell>
          <cell r="G443">
            <v>92000</v>
          </cell>
        </row>
        <row r="444">
          <cell r="B444">
            <v>137</v>
          </cell>
          <cell r="C444" t="str">
            <v>Vật liệu khác</v>
          </cell>
          <cell r="D444" t="str">
            <v>%</v>
          </cell>
          <cell r="E444">
            <v>2</v>
          </cell>
          <cell r="F444">
            <v>1500</v>
          </cell>
          <cell r="G444">
            <v>1840</v>
          </cell>
        </row>
        <row r="445">
          <cell r="C445" t="str">
            <v>Nhân công</v>
          </cell>
          <cell r="G445">
            <v>1958414.64</v>
          </cell>
        </row>
        <row r="446">
          <cell r="B446" t="str">
            <v>NC1357</v>
          </cell>
          <cell r="C446" t="str">
            <v>+ Nhân công bậc 3,5/7</v>
          </cell>
          <cell r="D446" t="str">
            <v>Công</v>
          </cell>
          <cell r="E446">
            <v>10.92</v>
          </cell>
          <cell r="F446">
            <v>179342</v>
          </cell>
          <cell r="G446">
            <v>1958414.64</v>
          </cell>
        </row>
        <row r="447">
          <cell r="C447" t="str">
            <v>Máy thi công</v>
          </cell>
          <cell r="G447">
            <v>224990.57256000003</v>
          </cell>
        </row>
        <row r="448">
          <cell r="B448">
            <v>7007</v>
          </cell>
          <cell r="C448" t="str">
            <v>+ Cần trục bánh xích, sức nâng 10,0 T</v>
          </cell>
          <cell r="D448" t="str">
            <v>Ca</v>
          </cell>
          <cell r="E448">
            <v>0.13</v>
          </cell>
          <cell r="F448">
            <v>1730696.7120000001</v>
          </cell>
          <cell r="G448">
            <v>224990.57256000003</v>
          </cell>
        </row>
        <row r="449">
          <cell r="A449" t="str">
            <v>D2.3303</v>
          </cell>
          <cell r="C449" t="str">
            <v>Lắp dựng cột thép ống bằng thủ công kết hợp cơ giới, bằng cần cẩu 10tấn, Chiều cao cột =&lt;35m</v>
          </cell>
          <cell r="D449" t="str">
            <v>tấn</v>
          </cell>
          <cell r="I449">
            <v>2406769.64</v>
          </cell>
          <cell r="J449">
            <v>380753.27664</v>
          </cell>
        </row>
        <row r="450">
          <cell r="C450" t="str">
            <v>Vật liệu</v>
          </cell>
          <cell r="G450">
            <v>93840</v>
          </cell>
        </row>
        <row r="451">
          <cell r="B451">
            <v>44</v>
          </cell>
          <cell r="C451" t="str">
            <v>+ Gỗ hộp kê máy</v>
          </cell>
          <cell r="D451" t="str">
            <v>M3</v>
          </cell>
          <cell r="E451">
            <v>0.04</v>
          </cell>
          <cell r="F451">
            <v>2300000</v>
          </cell>
          <cell r="G451">
            <v>92000</v>
          </cell>
        </row>
        <row r="452">
          <cell r="B452">
            <v>137</v>
          </cell>
          <cell r="C452" t="str">
            <v>Vật liệu khác</v>
          </cell>
          <cell r="D452" t="str">
            <v>%</v>
          </cell>
          <cell r="E452">
            <v>2</v>
          </cell>
          <cell r="F452">
            <v>1500</v>
          </cell>
          <cell r="G452">
            <v>1840</v>
          </cell>
        </row>
        <row r="453">
          <cell r="C453" t="str">
            <v>Nhân công</v>
          </cell>
          <cell r="G453">
            <v>2406769.64</v>
          </cell>
        </row>
        <row r="454">
          <cell r="B454" t="str">
            <v>NC1357</v>
          </cell>
          <cell r="C454" t="str">
            <v>+ Nhân công bậc 3,5/7</v>
          </cell>
          <cell r="D454" t="str">
            <v>Công</v>
          </cell>
          <cell r="E454">
            <v>13.42</v>
          </cell>
          <cell r="F454">
            <v>179342</v>
          </cell>
          <cell r="G454">
            <v>2406769.64</v>
          </cell>
        </row>
        <row r="455">
          <cell r="C455" t="str">
            <v>Máy thi công</v>
          </cell>
          <cell r="G455">
            <v>380753.27664</v>
          </cell>
        </row>
        <row r="456">
          <cell r="B456">
            <v>7007</v>
          </cell>
          <cell r="C456" t="str">
            <v>+ Cần trục bánh xích, sức nâng 10,0 T</v>
          </cell>
          <cell r="D456" t="str">
            <v>Ca</v>
          </cell>
          <cell r="E456">
            <v>0.22</v>
          </cell>
          <cell r="F456">
            <v>1730696.7120000001</v>
          </cell>
          <cell r="G456">
            <v>380753.27664</v>
          </cell>
        </row>
        <row r="457">
          <cell r="A457" t="str">
            <v>D2.3304</v>
          </cell>
          <cell r="C457" t="str">
            <v>Lắp dựng cột thép ống bằng thủ công kết hợp cơ giới, bằng cần cẩu 10tấn, Chiều cao cột =&lt;45m</v>
          </cell>
          <cell r="D457" t="str">
            <v>tấn</v>
          </cell>
          <cell r="I457">
            <v>4085410.7600000002</v>
          </cell>
          <cell r="J457">
            <v>536515.98071999999</v>
          </cell>
        </row>
        <row r="458">
          <cell r="C458" t="str">
            <v>Vật liệu</v>
          </cell>
          <cell r="G458">
            <v>140760</v>
          </cell>
        </row>
        <row r="459">
          <cell r="B459">
            <v>44</v>
          </cell>
          <cell r="C459" t="str">
            <v>+ Gỗ hộp kê máy</v>
          </cell>
          <cell r="D459" t="str">
            <v>M3</v>
          </cell>
          <cell r="E459">
            <v>0.06</v>
          </cell>
          <cell r="F459">
            <v>2300000</v>
          </cell>
          <cell r="G459">
            <v>138000</v>
          </cell>
        </row>
        <row r="460">
          <cell r="B460">
            <v>137</v>
          </cell>
          <cell r="C460" t="str">
            <v>Vật liệu khác</v>
          </cell>
          <cell r="D460" t="str">
            <v>%</v>
          </cell>
          <cell r="E460">
            <v>2</v>
          </cell>
          <cell r="F460">
            <v>1500</v>
          </cell>
          <cell r="G460">
            <v>2760</v>
          </cell>
        </row>
        <row r="461">
          <cell r="C461" t="str">
            <v>Nhân công</v>
          </cell>
          <cell r="G461">
            <v>4085410.7600000002</v>
          </cell>
        </row>
        <row r="462">
          <cell r="B462" t="str">
            <v>NC1357</v>
          </cell>
          <cell r="C462" t="str">
            <v>+ Nhân công bậc 3,5/7</v>
          </cell>
          <cell r="D462" t="str">
            <v>Công</v>
          </cell>
          <cell r="E462">
            <v>22.78</v>
          </cell>
          <cell r="F462">
            <v>179342</v>
          </cell>
          <cell r="G462">
            <v>4085410.7600000002</v>
          </cell>
        </row>
        <row r="463">
          <cell r="C463" t="str">
            <v>Máy thi công</v>
          </cell>
          <cell r="G463">
            <v>536515.98071999999</v>
          </cell>
        </row>
        <row r="464">
          <cell r="B464">
            <v>7007</v>
          </cell>
          <cell r="C464" t="str">
            <v>+ Cần trục bánh xích, sức nâng 10,0 T</v>
          </cell>
          <cell r="D464" t="str">
            <v>Ca</v>
          </cell>
          <cell r="E464">
            <v>0.31</v>
          </cell>
          <cell r="F464">
            <v>1730696.7120000001</v>
          </cell>
          <cell r="G464">
            <v>536515.98071999999</v>
          </cell>
        </row>
        <row r="465">
          <cell r="A465" t="str">
            <v>D2.3305</v>
          </cell>
          <cell r="C465" t="str">
            <v>Lắp dựng cột thép ống bằng thủ công kết hợp cơ giới, bằng cần cẩu 10tấn, Chiều cao cột =&lt;50m</v>
          </cell>
          <cell r="D465" t="str">
            <v>tấn</v>
          </cell>
          <cell r="I465">
            <v>7274111.5200000005</v>
          </cell>
          <cell r="J465">
            <v>761506.55327999999</v>
          </cell>
        </row>
        <row r="466">
          <cell r="C466" t="str">
            <v>Vật liệu</v>
          </cell>
          <cell r="G466">
            <v>187680</v>
          </cell>
        </row>
        <row r="467">
          <cell r="B467">
            <v>44</v>
          </cell>
          <cell r="C467" t="str">
            <v>+ Gỗ hộp kê máy</v>
          </cell>
          <cell r="D467" t="str">
            <v>M3</v>
          </cell>
          <cell r="E467">
            <v>0.08</v>
          </cell>
          <cell r="F467">
            <v>2300000</v>
          </cell>
          <cell r="G467">
            <v>184000</v>
          </cell>
        </row>
        <row r="468">
          <cell r="B468">
            <v>137</v>
          </cell>
          <cell r="C468" t="str">
            <v>Vật liệu khác</v>
          </cell>
          <cell r="D468" t="str">
            <v>%</v>
          </cell>
          <cell r="E468">
            <v>2</v>
          </cell>
          <cell r="F468">
            <v>1500</v>
          </cell>
          <cell r="G468">
            <v>3680</v>
          </cell>
        </row>
        <row r="469">
          <cell r="C469" t="str">
            <v>Nhân công</v>
          </cell>
          <cell r="G469">
            <v>7274111.5200000005</v>
          </cell>
        </row>
        <row r="470">
          <cell r="B470" t="str">
            <v>NC1357</v>
          </cell>
          <cell r="C470" t="str">
            <v>+ Nhân công bậc 3,5/7</v>
          </cell>
          <cell r="D470" t="str">
            <v>Công</v>
          </cell>
          <cell r="E470">
            <v>40.56</v>
          </cell>
          <cell r="F470">
            <v>179342</v>
          </cell>
          <cell r="G470">
            <v>7274111.5200000005</v>
          </cell>
        </row>
        <row r="471">
          <cell r="C471" t="str">
            <v>Máy thi công</v>
          </cell>
          <cell r="G471">
            <v>761506.55327999999</v>
          </cell>
        </row>
        <row r="472">
          <cell r="B472">
            <v>7007</v>
          </cell>
          <cell r="C472" t="str">
            <v>+ Cần trục bánh xích, sức nâng 10,0 T</v>
          </cell>
          <cell r="D472" t="str">
            <v>Ca</v>
          </cell>
          <cell r="E472">
            <v>0.44</v>
          </cell>
          <cell r="F472">
            <v>1730696.7120000001</v>
          </cell>
          <cell r="G472">
            <v>761506.55327999999</v>
          </cell>
        </row>
        <row r="473">
          <cell r="A473" t="str">
            <v>D2.4011</v>
          </cell>
          <cell r="C473" t="str">
            <v>Vừa lắp vừa dựng cột thép bằng thủ công, Chiều cao cột =&lt; 15m</v>
          </cell>
          <cell r="D473" t="str">
            <v>tấn</v>
          </cell>
          <cell r="I473">
            <v>2392622.8598684208</v>
          </cell>
        </row>
        <row r="474">
          <cell r="C474" t="str">
            <v>Vật liệu</v>
          </cell>
          <cell r="G474">
            <v>7446</v>
          </cell>
        </row>
        <row r="475">
          <cell r="B475">
            <v>46</v>
          </cell>
          <cell r="C475" t="str">
            <v>+ Gỗ ván khuôn</v>
          </cell>
          <cell r="D475" t="str">
            <v>M3</v>
          </cell>
          <cell r="E475">
            <v>1E-3</v>
          </cell>
          <cell r="F475">
            <v>2300000</v>
          </cell>
          <cell r="G475">
            <v>2300</v>
          </cell>
        </row>
        <row r="476">
          <cell r="B476">
            <v>73</v>
          </cell>
          <cell r="C476" t="str">
            <v>+ Cáp thép 4mm</v>
          </cell>
          <cell r="D476" t="str">
            <v>kg</v>
          </cell>
          <cell r="E476">
            <v>0.5</v>
          </cell>
          <cell r="F476">
            <v>10000</v>
          </cell>
          <cell r="G476">
            <v>5000</v>
          </cell>
        </row>
        <row r="477">
          <cell r="B477">
            <v>137</v>
          </cell>
          <cell r="C477" t="str">
            <v>Vật liệu khác</v>
          </cell>
          <cell r="D477" t="str">
            <v>%</v>
          </cell>
          <cell r="E477">
            <v>2</v>
          </cell>
          <cell r="F477">
            <v>1500</v>
          </cell>
          <cell r="G477">
            <v>146</v>
          </cell>
        </row>
        <row r="478">
          <cell r="C478" t="str">
            <v>Nhân công</v>
          </cell>
          <cell r="G478">
            <v>2392622.8598684208</v>
          </cell>
        </row>
        <row r="479">
          <cell r="B479" t="str">
            <v>NC1407</v>
          </cell>
          <cell r="C479" t="str">
            <v>+ Nhân công bậc 4,0/7</v>
          </cell>
          <cell r="D479" t="str">
            <v>Công</v>
          </cell>
          <cell r="E479">
            <v>12.29</v>
          </cell>
          <cell r="F479">
            <v>194680.46052631579</v>
          </cell>
          <cell r="G479">
            <v>2392622.8598684208</v>
          </cell>
        </row>
        <row r="480">
          <cell r="A480" t="str">
            <v>D2.4021</v>
          </cell>
          <cell r="C480" t="str">
            <v>Vừa lắp vừa dựng cột thép bằng thủ công, Chiều cao cột =&lt; 30m</v>
          </cell>
          <cell r="D480" t="str">
            <v>tấn</v>
          </cell>
          <cell r="I480">
            <v>2526952.3776315791</v>
          </cell>
        </row>
        <row r="481">
          <cell r="C481" t="str">
            <v>Vật liệu</v>
          </cell>
          <cell r="G481">
            <v>16218</v>
          </cell>
        </row>
        <row r="482">
          <cell r="B482">
            <v>46</v>
          </cell>
          <cell r="C482" t="str">
            <v>+ Gỗ ván khuôn</v>
          </cell>
          <cell r="D482" t="str">
            <v>M3</v>
          </cell>
          <cell r="E482">
            <v>3.0000000000000001E-3</v>
          </cell>
          <cell r="F482">
            <v>2300000</v>
          </cell>
          <cell r="G482">
            <v>6900</v>
          </cell>
        </row>
        <row r="483">
          <cell r="B483">
            <v>73</v>
          </cell>
          <cell r="C483" t="str">
            <v>+ Cáp thép 4mm</v>
          </cell>
          <cell r="D483" t="str">
            <v>kg</v>
          </cell>
          <cell r="E483">
            <v>0.9</v>
          </cell>
          <cell r="F483">
            <v>10000</v>
          </cell>
          <cell r="G483">
            <v>9000</v>
          </cell>
        </row>
        <row r="484">
          <cell r="B484">
            <v>137</v>
          </cell>
          <cell r="C484" t="str">
            <v>Vật liệu khác</v>
          </cell>
          <cell r="D484" t="str">
            <v>%</v>
          </cell>
          <cell r="E484">
            <v>2</v>
          </cell>
          <cell r="F484">
            <v>1500</v>
          </cell>
          <cell r="G484">
            <v>318</v>
          </cell>
        </row>
        <row r="485">
          <cell r="C485" t="str">
            <v>Nhân công</v>
          </cell>
          <cell r="G485">
            <v>2526952.3776315791</v>
          </cell>
        </row>
        <row r="486">
          <cell r="B486" t="str">
            <v>NC1407</v>
          </cell>
          <cell r="C486" t="str">
            <v>+ Nhân công bậc 4,0/7</v>
          </cell>
          <cell r="D486" t="str">
            <v>Công</v>
          </cell>
          <cell r="E486">
            <v>12.98</v>
          </cell>
          <cell r="F486">
            <v>194680.46052631579</v>
          </cell>
          <cell r="G486">
            <v>2526952.3776315791</v>
          </cell>
        </row>
        <row r="487">
          <cell r="A487" t="str">
            <v>D2.4031</v>
          </cell>
          <cell r="C487" t="str">
            <v>Vừa lắp vừa dựng cột thép bằng thủ công, Chiều cao cột =&lt; 40m</v>
          </cell>
          <cell r="D487" t="str">
            <v>tấn</v>
          </cell>
          <cell r="I487">
            <v>2780036.9763157894</v>
          </cell>
        </row>
        <row r="488">
          <cell r="C488" t="str">
            <v>Vật liệu</v>
          </cell>
          <cell r="G488">
            <v>17238</v>
          </cell>
        </row>
        <row r="489">
          <cell r="B489">
            <v>46</v>
          </cell>
          <cell r="C489" t="str">
            <v>+ Gỗ ván khuôn</v>
          </cell>
          <cell r="D489" t="str">
            <v>M3</v>
          </cell>
          <cell r="E489">
            <v>3.0000000000000001E-3</v>
          </cell>
          <cell r="F489">
            <v>2300000</v>
          </cell>
          <cell r="G489">
            <v>6900</v>
          </cell>
        </row>
        <row r="490">
          <cell r="B490">
            <v>73</v>
          </cell>
          <cell r="C490" t="str">
            <v>+ Cáp thép 4mm</v>
          </cell>
          <cell r="D490" t="str">
            <v>kg</v>
          </cell>
          <cell r="E490">
            <v>1</v>
          </cell>
          <cell r="F490">
            <v>10000</v>
          </cell>
          <cell r="G490">
            <v>10000</v>
          </cell>
        </row>
        <row r="491">
          <cell r="B491">
            <v>137</v>
          </cell>
          <cell r="C491" t="str">
            <v>Vật liệu khác</v>
          </cell>
          <cell r="D491" t="str">
            <v>%</v>
          </cell>
          <cell r="E491">
            <v>2</v>
          </cell>
          <cell r="F491">
            <v>1500</v>
          </cell>
          <cell r="G491">
            <v>338</v>
          </cell>
        </row>
        <row r="492">
          <cell r="C492" t="str">
            <v>Nhân công</v>
          </cell>
          <cell r="G492">
            <v>2780036.9763157894</v>
          </cell>
        </row>
        <row r="493">
          <cell r="B493" t="str">
            <v>NC1407</v>
          </cell>
          <cell r="C493" t="str">
            <v>+ Nhân công bậc 4,0/7</v>
          </cell>
          <cell r="D493" t="str">
            <v>Công</v>
          </cell>
          <cell r="E493">
            <v>14.28</v>
          </cell>
          <cell r="F493">
            <v>194680.46052631579</v>
          </cell>
          <cell r="G493">
            <v>2780036.9763157894</v>
          </cell>
        </row>
        <row r="494">
          <cell r="A494" t="str">
            <v>D2.4041</v>
          </cell>
          <cell r="C494" t="str">
            <v>Vừa lắp vừa dựng cột thép bằng thủ công, Chiều cao cột =&lt; 50m</v>
          </cell>
          <cell r="D494" t="str">
            <v>tấn</v>
          </cell>
          <cell r="I494">
            <v>3056483.2302631577</v>
          </cell>
        </row>
        <row r="495">
          <cell r="C495" t="str">
            <v>Vật liệu</v>
          </cell>
          <cell r="G495">
            <v>20604</v>
          </cell>
        </row>
        <row r="496">
          <cell r="B496">
            <v>46</v>
          </cell>
          <cell r="C496" t="str">
            <v>+ Gỗ ván khuôn</v>
          </cell>
          <cell r="D496" t="str">
            <v>M3</v>
          </cell>
          <cell r="E496">
            <v>4.0000000000000001E-3</v>
          </cell>
          <cell r="F496">
            <v>2300000</v>
          </cell>
          <cell r="G496">
            <v>9200</v>
          </cell>
        </row>
        <row r="497">
          <cell r="B497">
            <v>73</v>
          </cell>
          <cell r="C497" t="str">
            <v>+ Cáp thép 4mm</v>
          </cell>
          <cell r="D497" t="str">
            <v>kg</v>
          </cell>
          <cell r="E497">
            <v>1.1000000000000001</v>
          </cell>
          <cell r="F497">
            <v>10000</v>
          </cell>
          <cell r="G497">
            <v>11000</v>
          </cell>
        </row>
        <row r="498">
          <cell r="B498">
            <v>137</v>
          </cell>
          <cell r="C498" t="str">
            <v>Vật liệu khác</v>
          </cell>
          <cell r="D498" t="str">
            <v>%</v>
          </cell>
          <cell r="E498">
            <v>2</v>
          </cell>
          <cell r="F498">
            <v>1500</v>
          </cell>
          <cell r="G498">
            <v>404</v>
          </cell>
        </row>
        <row r="499">
          <cell r="C499" t="str">
            <v>Nhân công</v>
          </cell>
          <cell r="G499">
            <v>3056483.2302631577</v>
          </cell>
        </row>
        <row r="500">
          <cell r="B500" t="str">
            <v>NC1407</v>
          </cell>
          <cell r="C500" t="str">
            <v>+ Nhân công bậc 4,0/7</v>
          </cell>
          <cell r="D500" t="str">
            <v>Công</v>
          </cell>
          <cell r="E500">
            <v>15.7</v>
          </cell>
          <cell r="F500">
            <v>194680.46052631579</v>
          </cell>
          <cell r="G500">
            <v>3056483.2302631577</v>
          </cell>
        </row>
        <row r="501">
          <cell r="A501" t="str">
            <v>D2.4051</v>
          </cell>
          <cell r="C501" t="str">
            <v>Vừa lắp vừa dựng cột thép bằng thủ công, Chiều cao cột =&lt; 60m</v>
          </cell>
          <cell r="D501" t="str">
            <v>tấn</v>
          </cell>
          <cell r="I501">
            <v>3364078.3578947368</v>
          </cell>
        </row>
        <row r="502">
          <cell r="C502" t="str">
            <v>Vật liệu</v>
          </cell>
          <cell r="G502">
            <v>21114</v>
          </cell>
        </row>
        <row r="503">
          <cell r="B503">
            <v>46</v>
          </cell>
          <cell r="C503" t="str">
            <v>+ Gỗ ván khuôn</v>
          </cell>
          <cell r="D503" t="str">
            <v>M3</v>
          </cell>
          <cell r="E503">
            <v>4.0000000000000001E-3</v>
          </cell>
          <cell r="F503">
            <v>2300000</v>
          </cell>
          <cell r="G503">
            <v>9200</v>
          </cell>
        </row>
        <row r="504">
          <cell r="B504">
            <v>73</v>
          </cell>
          <cell r="C504" t="str">
            <v>+ Cáp thép 4mm</v>
          </cell>
          <cell r="D504" t="str">
            <v>kg</v>
          </cell>
          <cell r="E504">
            <v>1.1499999999999999</v>
          </cell>
          <cell r="F504">
            <v>10000</v>
          </cell>
          <cell r="G504">
            <v>11500</v>
          </cell>
        </row>
        <row r="505">
          <cell r="B505">
            <v>137</v>
          </cell>
          <cell r="C505" t="str">
            <v>Vật liệu khác</v>
          </cell>
          <cell r="D505" t="str">
            <v>%</v>
          </cell>
          <cell r="E505">
            <v>2</v>
          </cell>
          <cell r="F505">
            <v>1500</v>
          </cell>
          <cell r="G505">
            <v>414</v>
          </cell>
        </row>
        <row r="506">
          <cell r="C506" t="str">
            <v>Nhân công</v>
          </cell>
          <cell r="G506">
            <v>3364078.3578947368</v>
          </cell>
        </row>
        <row r="507">
          <cell r="B507" t="str">
            <v>NC1407</v>
          </cell>
          <cell r="C507" t="str">
            <v>+ Nhân công bậc 4,0/7</v>
          </cell>
          <cell r="D507" t="str">
            <v>Công</v>
          </cell>
          <cell r="E507">
            <v>17.28</v>
          </cell>
          <cell r="F507">
            <v>194680.46052631579</v>
          </cell>
          <cell r="G507">
            <v>3364078.3578947368</v>
          </cell>
        </row>
        <row r="508">
          <cell r="A508" t="str">
            <v>D2.4051</v>
          </cell>
          <cell r="C508" t="str">
            <v>Vừa lắp vừa dựng cột thép bằng thủ công, Chiều cao cột =&lt; 70m</v>
          </cell>
          <cell r="D508" t="str">
            <v>tấn</v>
          </cell>
          <cell r="I508">
            <v>3679460.7039473681</v>
          </cell>
        </row>
        <row r="509">
          <cell r="C509" t="str">
            <v>Vật liệu</v>
          </cell>
          <cell r="G509">
            <v>21624</v>
          </cell>
        </row>
        <row r="510">
          <cell r="B510">
            <v>46</v>
          </cell>
          <cell r="C510" t="str">
            <v>+ Gỗ ván khuôn</v>
          </cell>
          <cell r="D510" t="str">
            <v>M3</v>
          </cell>
          <cell r="E510">
            <v>4.0000000000000001E-3</v>
          </cell>
          <cell r="F510">
            <v>2300000</v>
          </cell>
          <cell r="G510">
            <v>9200</v>
          </cell>
        </row>
        <row r="511">
          <cell r="B511">
            <v>73</v>
          </cell>
          <cell r="C511" t="str">
            <v>+ Cáp thép 4mm</v>
          </cell>
          <cell r="D511" t="str">
            <v>kg</v>
          </cell>
          <cell r="E511">
            <v>1.2</v>
          </cell>
          <cell r="F511">
            <v>10000</v>
          </cell>
          <cell r="G511">
            <v>12000</v>
          </cell>
        </row>
        <row r="512">
          <cell r="B512">
            <v>137</v>
          </cell>
          <cell r="C512" t="str">
            <v>Vật liệu khác</v>
          </cell>
          <cell r="D512" t="str">
            <v>%</v>
          </cell>
          <cell r="E512">
            <v>2</v>
          </cell>
          <cell r="F512">
            <v>1500</v>
          </cell>
          <cell r="G512">
            <v>424</v>
          </cell>
        </row>
        <row r="513">
          <cell r="C513" t="str">
            <v>Nhân công</v>
          </cell>
          <cell r="G513">
            <v>3679460.7039473681</v>
          </cell>
        </row>
        <row r="514">
          <cell r="B514" t="str">
            <v>NC1407</v>
          </cell>
          <cell r="C514" t="str">
            <v>+ Nhân công bậc 4,0/7</v>
          </cell>
          <cell r="D514" t="str">
            <v>Công</v>
          </cell>
          <cell r="E514">
            <v>18.899999999999999</v>
          </cell>
          <cell r="F514">
            <v>194680.46052631579</v>
          </cell>
          <cell r="G514">
            <v>3679460.7039473681</v>
          </cell>
        </row>
        <row r="515">
          <cell r="A515" t="str">
            <v>D2.4071</v>
          </cell>
          <cell r="C515" t="str">
            <v>Vừa lắp vừa dựng cột thép bằng thủ công, Chiều cao cột =&lt; 85m</v>
          </cell>
          <cell r="D515" t="str">
            <v>tấn</v>
          </cell>
          <cell r="I515">
            <v>4226512.7980263159</v>
          </cell>
        </row>
        <row r="516">
          <cell r="C516" t="str">
            <v>Vật liệu</v>
          </cell>
          <cell r="G516">
            <v>22644</v>
          </cell>
        </row>
        <row r="517">
          <cell r="B517">
            <v>46</v>
          </cell>
          <cell r="C517" t="str">
            <v>+ Gỗ ván khuôn</v>
          </cell>
          <cell r="D517" t="str">
            <v>M3</v>
          </cell>
          <cell r="E517">
            <v>4.0000000000000001E-3</v>
          </cell>
          <cell r="F517">
            <v>2300000</v>
          </cell>
          <cell r="G517">
            <v>9200</v>
          </cell>
        </row>
        <row r="518">
          <cell r="B518">
            <v>73</v>
          </cell>
          <cell r="C518" t="str">
            <v>+ Cáp thép 4mm</v>
          </cell>
          <cell r="D518" t="str">
            <v>kg</v>
          </cell>
          <cell r="E518">
            <v>1.3</v>
          </cell>
          <cell r="F518">
            <v>10000</v>
          </cell>
          <cell r="G518">
            <v>13000</v>
          </cell>
        </row>
        <row r="519">
          <cell r="B519">
            <v>137</v>
          </cell>
          <cell r="C519" t="str">
            <v>Vật liệu khác</v>
          </cell>
          <cell r="D519" t="str">
            <v>%</v>
          </cell>
          <cell r="E519">
            <v>2</v>
          </cell>
          <cell r="F519">
            <v>1500</v>
          </cell>
          <cell r="G519">
            <v>444</v>
          </cell>
        </row>
        <row r="520">
          <cell r="C520" t="str">
            <v>Nhân công</v>
          </cell>
          <cell r="G520">
            <v>4226512.7980263159</v>
          </cell>
        </row>
        <row r="521">
          <cell r="B521" t="str">
            <v>NC1407</v>
          </cell>
          <cell r="C521" t="str">
            <v>+ Nhân công bậc 4,0/7</v>
          </cell>
          <cell r="D521" t="str">
            <v>Công</v>
          </cell>
          <cell r="E521">
            <v>21.71</v>
          </cell>
          <cell r="F521">
            <v>194680.46052631579</v>
          </cell>
          <cell r="G521">
            <v>4226512.7980263159</v>
          </cell>
        </row>
        <row r="522">
          <cell r="A522" t="str">
            <v>D2.4081</v>
          </cell>
          <cell r="C522" t="str">
            <v>Vừa lắp vừa dựng cột thép bằng thủ công, Chiều cao cột =&lt; 100m</v>
          </cell>
          <cell r="D522" t="str">
            <v>tấn</v>
          </cell>
          <cell r="I522">
            <v>4861171.099342105</v>
          </cell>
        </row>
        <row r="523">
          <cell r="C523" t="str">
            <v>Vật liệu</v>
          </cell>
          <cell r="G523">
            <v>22644</v>
          </cell>
        </row>
        <row r="524">
          <cell r="B524">
            <v>46</v>
          </cell>
          <cell r="C524" t="str">
            <v>+ Gỗ ván khuôn</v>
          </cell>
          <cell r="D524" t="str">
            <v>M3</v>
          </cell>
          <cell r="E524">
            <v>4.0000000000000001E-3</v>
          </cell>
          <cell r="F524">
            <v>2300000</v>
          </cell>
          <cell r="G524">
            <v>9200</v>
          </cell>
        </row>
        <row r="525">
          <cell r="B525">
            <v>73</v>
          </cell>
          <cell r="C525" t="str">
            <v>+ Cáp thép 4mm</v>
          </cell>
          <cell r="D525" t="str">
            <v>kg</v>
          </cell>
          <cell r="E525">
            <v>1.3</v>
          </cell>
          <cell r="F525">
            <v>10000</v>
          </cell>
          <cell r="G525">
            <v>13000</v>
          </cell>
        </row>
        <row r="526">
          <cell r="B526">
            <v>137</v>
          </cell>
          <cell r="C526" t="str">
            <v>Vật liệu khác</v>
          </cell>
          <cell r="D526" t="str">
            <v>%</v>
          </cell>
          <cell r="E526">
            <v>2</v>
          </cell>
          <cell r="F526">
            <v>1500</v>
          </cell>
          <cell r="G526">
            <v>444</v>
          </cell>
        </row>
        <row r="527">
          <cell r="C527" t="str">
            <v>Nhân công</v>
          </cell>
          <cell r="G527">
            <v>4861171.099342105</v>
          </cell>
        </row>
        <row r="528">
          <cell r="B528" t="str">
            <v>NC1407</v>
          </cell>
          <cell r="C528" t="str">
            <v>+ Nhân công bậc 4,0/7</v>
          </cell>
          <cell r="D528" t="str">
            <v>Công</v>
          </cell>
          <cell r="E528">
            <v>24.97</v>
          </cell>
          <cell r="F528">
            <v>194680.46052631579</v>
          </cell>
          <cell r="G528">
            <v>4861171.099342105</v>
          </cell>
        </row>
        <row r="529">
          <cell r="A529" t="str">
            <v>D2.4012</v>
          </cell>
          <cell r="C529" t="str">
            <v>Vừa lắp vừa dựng cột thép bằng thủ công kết hợp cơ giới, Chiều cao cột =&lt; 15m</v>
          </cell>
          <cell r="D529" t="str">
            <v>tấn</v>
          </cell>
          <cell r="I529">
            <v>1757964.5585526314</v>
          </cell>
          <cell r="J529">
            <v>0</v>
          </cell>
        </row>
        <row r="530">
          <cell r="C530" t="str">
            <v>Vật liệu</v>
          </cell>
          <cell r="G530">
            <v>7446</v>
          </cell>
        </row>
        <row r="531">
          <cell r="B531">
            <v>46</v>
          </cell>
          <cell r="C531" t="str">
            <v>+ Gỗ ván khuôn</v>
          </cell>
          <cell r="D531" t="str">
            <v>M3</v>
          </cell>
          <cell r="E531">
            <v>1E-3</v>
          </cell>
          <cell r="F531">
            <v>2300000</v>
          </cell>
          <cell r="G531">
            <v>2300</v>
          </cell>
        </row>
        <row r="532">
          <cell r="B532">
            <v>73</v>
          </cell>
          <cell r="C532" t="str">
            <v>+ Cáp thép 4mm</v>
          </cell>
          <cell r="D532" t="str">
            <v>kg</v>
          </cell>
          <cell r="E532">
            <v>0.5</v>
          </cell>
          <cell r="F532">
            <v>10000</v>
          </cell>
          <cell r="G532">
            <v>5000</v>
          </cell>
        </row>
        <row r="533">
          <cell r="B533">
            <v>137</v>
          </cell>
          <cell r="C533" t="str">
            <v>Vật liệu khác</v>
          </cell>
          <cell r="D533" t="str">
            <v>%</v>
          </cell>
          <cell r="E533">
            <v>2</v>
          </cell>
          <cell r="F533">
            <v>1500</v>
          </cell>
          <cell r="G533">
            <v>146</v>
          </cell>
        </row>
        <row r="534">
          <cell r="C534" t="str">
            <v>Nhân công</v>
          </cell>
          <cell r="G534">
            <v>1757964.5585526314</v>
          </cell>
        </row>
        <row r="535">
          <cell r="B535" t="str">
            <v>NC1407</v>
          </cell>
          <cell r="C535" t="str">
            <v>+ Nhân công bậc 4,0/7</v>
          </cell>
          <cell r="D535" t="str">
            <v>Công</v>
          </cell>
          <cell r="E535">
            <v>9.0299999999999994</v>
          </cell>
          <cell r="F535">
            <v>194680.46052631579</v>
          </cell>
          <cell r="G535">
            <v>1757964.5585526314</v>
          </cell>
        </row>
        <row r="536">
          <cell r="C536" t="str">
            <v>Máy thi công</v>
          </cell>
          <cell r="G536">
            <v>0</v>
          </cell>
        </row>
        <row r="537">
          <cell r="B537">
            <v>7053</v>
          </cell>
          <cell r="C537" t="str">
            <v>+ Tời điện, sức kéo 2,0 T</v>
          </cell>
          <cell r="D537" t="str">
            <v>Ca</v>
          </cell>
          <cell r="E537">
            <v>0.15</v>
          </cell>
          <cell r="G537">
            <v>0</v>
          </cell>
        </row>
        <row r="538">
          <cell r="A538" t="str">
            <v>D2.4022</v>
          </cell>
          <cell r="C538" t="str">
            <v>Vừa lắp vừa dựng cột thép bằng thủ công kết hợp cơ giới, Chiều cao cột =&lt; 30m</v>
          </cell>
          <cell r="D538" t="str">
            <v>tấn</v>
          </cell>
          <cell r="I538">
            <v>2020783.1802631579</v>
          </cell>
          <cell r="J538">
            <v>0</v>
          </cell>
        </row>
        <row r="539">
          <cell r="C539" t="str">
            <v>Vật liệu</v>
          </cell>
          <cell r="G539">
            <v>11832</v>
          </cell>
        </row>
        <row r="540">
          <cell r="B540">
            <v>46</v>
          </cell>
          <cell r="C540" t="str">
            <v>+ Gỗ ván khuôn</v>
          </cell>
          <cell r="D540" t="str">
            <v>M3</v>
          </cell>
          <cell r="E540">
            <v>2E-3</v>
          </cell>
          <cell r="F540">
            <v>2300000</v>
          </cell>
          <cell r="G540">
            <v>4600</v>
          </cell>
        </row>
        <row r="541">
          <cell r="B541">
            <v>73</v>
          </cell>
          <cell r="C541" t="str">
            <v>+ Cáp thép 4mm</v>
          </cell>
          <cell r="D541" t="str">
            <v>kg</v>
          </cell>
          <cell r="E541">
            <v>0.7</v>
          </cell>
          <cell r="F541">
            <v>10000</v>
          </cell>
          <cell r="G541">
            <v>7000</v>
          </cell>
        </row>
        <row r="542">
          <cell r="B542">
            <v>137</v>
          </cell>
          <cell r="C542" t="str">
            <v>Vật liệu khác</v>
          </cell>
          <cell r="D542" t="str">
            <v>%</v>
          </cell>
          <cell r="E542">
            <v>2</v>
          </cell>
          <cell r="F542">
            <v>1500</v>
          </cell>
          <cell r="G542">
            <v>232</v>
          </cell>
        </row>
        <row r="543">
          <cell r="C543" t="str">
            <v>Nhân công</v>
          </cell>
          <cell r="G543">
            <v>2020783.1802631579</v>
          </cell>
        </row>
        <row r="544">
          <cell r="B544" t="str">
            <v>NC1407</v>
          </cell>
          <cell r="C544" t="str">
            <v>+ Nhân công bậc 4,0/7</v>
          </cell>
          <cell r="D544" t="str">
            <v>Công</v>
          </cell>
          <cell r="E544">
            <v>10.38</v>
          </cell>
          <cell r="F544">
            <v>194680.46052631579</v>
          </cell>
          <cell r="G544">
            <v>2020783.1802631579</v>
          </cell>
        </row>
        <row r="545">
          <cell r="C545" t="str">
            <v>Máy thi công</v>
          </cell>
          <cell r="G545">
            <v>0</v>
          </cell>
        </row>
        <row r="546">
          <cell r="B546">
            <v>7053</v>
          </cell>
          <cell r="C546" t="str">
            <v>+ Tời điện, sức kéo 2,0 T</v>
          </cell>
          <cell r="D546" t="str">
            <v>Ca</v>
          </cell>
          <cell r="E546">
            <v>0.17</v>
          </cell>
          <cell r="G546">
            <v>0</v>
          </cell>
        </row>
        <row r="547">
          <cell r="A547" t="str">
            <v>D2.4032</v>
          </cell>
          <cell r="C547" t="str">
            <v>Vừa lắp vừa dựng cột thép bằng thủ công kết hợp cơ giới, Chiều cao cột =&lt; 40m</v>
          </cell>
          <cell r="D547" t="str">
            <v>tấn</v>
          </cell>
          <cell r="I547">
            <v>2223250.8592105261</v>
          </cell>
          <cell r="J547">
            <v>0</v>
          </cell>
        </row>
        <row r="548">
          <cell r="C548" t="str">
            <v>Vật liệu</v>
          </cell>
          <cell r="G548">
            <v>14892</v>
          </cell>
        </row>
        <row r="549">
          <cell r="B549">
            <v>46</v>
          </cell>
          <cell r="C549" t="str">
            <v>+ Gỗ ván khuôn</v>
          </cell>
          <cell r="D549" t="str">
            <v>M3</v>
          </cell>
          <cell r="E549">
            <v>2E-3</v>
          </cell>
          <cell r="F549">
            <v>2300000</v>
          </cell>
          <cell r="G549">
            <v>4600</v>
          </cell>
        </row>
        <row r="550">
          <cell r="B550">
            <v>73</v>
          </cell>
          <cell r="C550" t="str">
            <v>+ Cáp thép 4mm</v>
          </cell>
          <cell r="D550" t="str">
            <v>kg</v>
          </cell>
          <cell r="E550">
            <v>1</v>
          </cell>
          <cell r="F550">
            <v>10000</v>
          </cell>
          <cell r="G550">
            <v>10000</v>
          </cell>
        </row>
        <row r="551">
          <cell r="B551">
            <v>137</v>
          </cell>
          <cell r="C551" t="str">
            <v>Vật liệu khác</v>
          </cell>
          <cell r="D551" t="str">
            <v>%</v>
          </cell>
          <cell r="E551">
            <v>2</v>
          </cell>
          <cell r="F551">
            <v>1500</v>
          </cell>
          <cell r="G551">
            <v>292</v>
          </cell>
        </row>
        <row r="552">
          <cell r="C552" t="str">
            <v>Nhân công</v>
          </cell>
          <cell r="G552">
            <v>2223250.8592105261</v>
          </cell>
        </row>
        <row r="553">
          <cell r="B553" t="str">
            <v>NC1407</v>
          </cell>
          <cell r="C553" t="str">
            <v>+ Nhân công bậc 4,0/7</v>
          </cell>
          <cell r="D553" t="str">
            <v>Công</v>
          </cell>
          <cell r="E553">
            <v>11.42</v>
          </cell>
          <cell r="F553">
            <v>194680.46052631579</v>
          </cell>
          <cell r="G553">
            <v>2223250.8592105261</v>
          </cell>
        </row>
        <row r="554">
          <cell r="C554" t="str">
            <v>Máy thi công</v>
          </cell>
          <cell r="G554">
            <v>0</v>
          </cell>
        </row>
        <row r="555">
          <cell r="B555">
            <v>7053</v>
          </cell>
          <cell r="C555" t="str">
            <v>+ Tời điện, sức kéo 2,0 T</v>
          </cell>
          <cell r="D555" t="str">
            <v>Ca</v>
          </cell>
          <cell r="E555">
            <v>0.2</v>
          </cell>
          <cell r="G555">
            <v>0</v>
          </cell>
        </row>
        <row r="556">
          <cell r="A556" t="str">
            <v>D2.4042</v>
          </cell>
          <cell r="C556" t="str">
            <v>Vừa lắp vừa dựng cột thép bằng thủ công kết hợp cơ giới, Chiều cao cột =&lt; 50m</v>
          </cell>
          <cell r="D556" t="str">
            <v>tấn</v>
          </cell>
          <cell r="I556">
            <v>2445186.5842105262</v>
          </cell>
          <cell r="J556">
            <v>0</v>
          </cell>
        </row>
        <row r="557">
          <cell r="C557" t="str">
            <v>Vật liệu</v>
          </cell>
          <cell r="G557">
            <v>20604</v>
          </cell>
        </row>
        <row r="558">
          <cell r="B558">
            <v>46</v>
          </cell>
          <cell r="C558" t="str">
            <v>+ Gỗ ván khuôn</v>
          </cell>
          <cell r="D558" t="str">
            <v>M3</v>
          </cell>
          <cell r="E558">
            <v>4.0000000000000001E-3</v>
          </cell>
          <cell r="F558">
            <v>2300000</v>
          </cell>
          <cell r="G558">
            <v>9200</v>
          </cell>
        </row>
        <row r="559">
          <cell r="B559">
            <v>73</v>
          </cell>
          <cell r="C559" t="str">
            <v>+ Cáp thép 4mm</v>
          </cell>
          <cell r="D559" t="str">
            <v>kg</v>
          </cell>
          <cell r="E559">
            <v>1.1000000000000001</v>
          </cell>
          <cell r="F559">
            <v>10000</v>
          </cell>
          <cell r="G559">
            <v>11000</v>
          </cell>
        </row>
        <row r="560">
          <cell r="B560">
            <v>137</v>
          </cell>
          <cell r="C560" t="str">
            <v>Vật liệu khác</v>
          </cell>
          <cell r="D560" t="str">
            <v>%</v>
          </cell>
          <cell r="E560">
            <v>2</v>
          </cell>
          <cell r="F560">
            <v>1500</v>
          </cell>
          <cell r="G560">
            <v>404</v>
          </cell>
        </row>
        <row r="561">
          <cell r="C561" t="str">
            <v>Nhân công</v>
          </cell>
          <cell r="G561">
            <v>2445186.5842105262</v>
          </cell>
        </row>
        <row r="562">
          <cell r="B562" t="str">
            <v>NC1407</v>
          </cell>
          <cell r="C562" t="str">
            <v>+ Nhân công bậc 4,0/7</v>
          </cell>
          <cell r="D562" t="str">
            <v>Công</v>
          </cell>
          <cell r="E562">
            <v>12.56</v>
          </cell>
          <cell r="F562">
            <v>194680.46052631579</v>
          </cell>
          <cell r="G562">
            <v>2445186.5842105262</v>
          </cell>
        </row>
        <row r="563">
          <cell r="C563" t="str">
            <v>Máy thi công</v>
          </cell>
          <cell r="G563">
            <v>0</v>
          </cell>
        </row>
        <row r="564">
          <cell r="B564">
            <v>7053</v>
          </cell>
          <cell r="C564" t="str">
            <v>+ Tời điện, sức kéo 2,0 T</v>
          </cell>
          <cell r="D564" t="str">
            <v>Ca</v>
          </cell>
          <cell r="E564">
            <v>0.23</v>
          </cell>
          <cell r="G564">
            <v>0</v>
          </cell>
        </row>
        <row r="565">
          <cell r="A565" t="str">
            <v>D2.4052</v>
          </cell>
          <cell r="C565" t="str">
            <v>Vừa lắp vừa dựng cột thép bằng thủ công kết hợp cơ giới, Chiều cao cột =&lt; 60m</v>
          </cell>
          <cell r="D565" t="str">
            <v>tấn</v>
          </cell>
          <cell r="I565">
            <v>2688537.159868421</v>
          </cell>
          <cell r="J565">
            <v>0</v>
          </cell>
        </row>
        <row r="566">
          <cell r="C566" t="str">
            <v>Vật liệu</v>
          </cell>
          <cell r="G566">
            <v>21114</v>
          </cell>
        </row>
        <row r="567">
          <cell r="B567">
            <v>46</v>
          </cell>
          <cell r="C567" t="str">
            <v>+ Gỗ ván khuôn</v>
          </cell>
          <cell r="D567" t="str">
            <v>M3</v>
          </cell>
          <cell r="E567">
            <v>4.0000000000000001E-3</v>
          </cell>
          <cell r="F567">
            <v>2300000</v>
          </cell>
          <cell r="G567">
            <v>9200</v>
          </cell>
        </row>
        <row r="568">
          <cell r="B568">
            <v>73</v>
          </cell>
          <cell r="C568" t="str">
            <v>+ Cáp thép 4mm</v>
          </cell>
          <cell r="D568" t="str">
            <v>kg</v>
          </cell>
          <cell r="E568">
            <v>1.1499999999999999</v>
          </cell>
          <cell r="F568">
            <v>10000</v>
          </cell>
          <cell r="G568">
            <v>11500</v>
          </cell>
        </row>
        <row r="569">
          <cell r="B569">
            <v>137</v>
          </cell>
          <cell r="C569" t="str">
            <v>Vật liệu khác</v>
          </cell>
          <cell r="D569" t="str">
            <v>%</v>
          </cell>
          <cell r="E569">
            <v>2</v>
          </cell>
          <cell r="F569">
            <v>1500</v>
          </cell>
          <cell r="G569">
            <v>414</v>
          </cell>
        </row>
        <row r="570">
          <cell r="C570" t="str">
            <v>Nhân công</v>
          </cell>
          <cell r="G570">
            <v>2688537.159868421</v>
          </cell>
        </row>
        <row r="571">
          <cell r="B571" t="str">
            <v>NC1407</v>
          </cell>
          <cell r="C571" t="str">
            <v>+ Nhân công bậc 4,0/7</v>
          </cell>
          <cell r="D571" t="str">
            <v>Công</v>
          </cell>
          <cell r="E571">
            <v>13.81</v>
          </cell>
          <cell r="F571">
            <v>194680.46052631579</v>
          </cell>
          <cell r="G571">
            <v>2688537.159868421</v>
          </cell>
        </row>
        <row r="572">
          <cell r="C572" t="str">
            <v>Máy thi công</v>
          </cell>
          <cell r="G572">
            <v>0</v>
          </cell>
        </row>
        <row r="573">
          <cell r="B573">
            <v>7053</v>
          </cell>
          <cell r="C573" t="str">
            <v>+ Tời điện, sức kéo 2,0 T</v>
          </cell>
          <cell r="D573" t="str">
            <v>Ca</v>
          </cell>
          <cell r="E573">
            <v>0.25</v>
          </cell>
          <cell r="G573">
            <v>0</v>
          </cell>
        </row>
        <row r="574">
          <cell r="A574" t="str">
            <v>D2.4062</v>
          </cell>
          <cell r="C574" t="str">
            <v>Vừa lắp vừa dựng cột thép bằng thủ công kết hợp cơ giới, Chiều cao cột =&lt; 70m</v>
          </cell>
          <cell r="D574" t="str">
            <v>tấn</v>
          </cell>
          <cell r="I574">
            <v>2943568.5631578946</v>
          </cell>
          <cell r="J574">
            <v>0</v>
          </cell>
        </row>
        <row r="575">
          <cell r="C575" t="str">
            <v>Vật liệu</v>
          </cell>
          <cell r="G575">
            <v>21624</v>
          </cell>
        </row>
        <row r="576">
          <cell r="B576">
            <v>46</v>
          </cell>
          <cell r="C576" t="str">
            <v>+ Gỗ ván khuôn</v>
          </cell>
          <cell r="D576" t="str">
            <v>M3</v>
          </cell>
          <cell r="E576">
            <v>4.0000000000000001E-3</v>
          </cell>
          <cell r="F576">
            <v>2300000</v>
          </cell>
          <cell r="G576">
            <v>9200</v>
          </cell>
        </row>
        <row r="577">
          <cell r="B577">
            <v>73</v>
          </cell>
          <cell r="C577" t="str">
            <v>+ Cáp thép 4mm</v>
          </cell>
          <cell r="D577" t="str">
            <v>kg</v>
          </cell>
          <cell r="E577">
            <v>1.2</v>
          </cell>
          <cell r="F577">
            <v>10000</v>
          </cell>
          <cell r="G577">
            <v>12000</v>
          </cell>
        </row>
        <row r="578">
          <cell r="B578">
            <v>137</v>
          </cell>
          <cell r="C578" t="str">
            <v>Vật liệu khác</v>
          </cell>
          <cell r="D578" t="str">
            <v>%</v>
          </cell>
          <cell r="E578">
            <v>2</v>
          </cell>
          <cell r="F578">
            <v>1500</v>
          </cell>
          <cell r="G578">
            <v>424</v>
          </cell>
        </row>
        <row r="579">
          <cell r="C579" t="str">
            <v>Nhân công</v>
          </cell>
          <cell r="G579">
            <v>2943568.5631578946</v>
          </cell>
        </row>
        <row r="580">
          <cell r="B580" t="str">
            <v>NC1407</v>
          </cell>
          <cell r="C580" t="str">
            <v>+ Nhân công bậc 4,0/7</v>
          </cell>
          <cell r="D580" t="str">
            <v>Công</v>
          </cell>
          <cell r="E580">
            <v>15.12</v>
          </cell>
          <cell r="F580">
            <v>194680.46052631579</v>
          </cell>
          <cell r="G580">
            <v>2943568.5631578946</v>
          </cell>
        </row>
        <row r="581">
          <cell r="C581" t="str">
            <v>Máy thi công</v>
          </cell>
          <cell r="G581">
            <v>0</v>
          </cell>
        </row>
        <row r="582">
          <cell r="B582">
            <v>7053</v>
          </cell>
          <cell r="C582" t="str">
            <v>+ Tời điện, sức kéo 2,0 T</v>
          </cell>
          <cell r="D582" t="str">
            <v>Ca</v>
          </cell>
          <cell r="E582">
            <v>0.25</v>
          </cell>
          <cell r="G582">
            <v>0</v>
          </cell>
        </row>
        <row r="583">
          <cell r="A583" t="str">
            <v>D2.4072</v>
          </cell>
          <cell r="C583" t="str">
            <v>Vừa lắp vừa dựng cột thép bằng thủ công kết hợp cơ giới, Chiều cao cột =&lt; 85m</v>
          </cell>
          <cell r="D583" t="str">
            <v>tấn</v>
          </cell>
          <cell r="I583">
            <v>3381599.5993421054</v>
          </cell>
          <cell r="J583">
            <v>0</v>
          </cell>
        </row>
        <row r="584">
          <cell r="C584" t="str">
            <v>Vật liệu</v>
          </cell>
          <cell r="G584">
            <v>22644</v>
          </cell>
        </row>
        <row r="585">
          <cell r="B585">
            <v>46</v>
          </cell>
          <cell r="C585" t="str">
            <v>+ Gỗ ván khuôn</v>
          </cell>
          <cell r="D585" t="str">
            <v>M3</v>
          </cell>
          <cell r="E585">
            <v>4.0000000000000001E-3</v>
          </cell>
          <cell r="F585">
            <v>2300000</v>
          </cell>
          <cell r="G585">
            <v>9200</v>
          </cell>
        </row>
        <row r="586">
          <cell r="B586">
            <v>73</v>
          </cell>
          <cell r="C586" t="str">
            <v>+ Cáp thép 4mm</v>
          </cell>
          <cell r="D586" t="str">
            <v>kg</v>
          </cell>
          <cell r="E586">
            <v>1.3</v>
          </cell>
          <cell r="F586">
            <v>10000</v>
          </cell>
          <cell r="G586">
            <v>13000</v>
          </cell>
        </row>
        <row r="587">
          <cell r="B587">
            <v>137</v>
          </cell>
          <cell r="C587" t="str">
            <v>Vật liệu khác</v>
          </cell>
          <cell r="D587" t="str">
            <v>%</v>
          </cell>
          <cell r="E587">
            <v>2</v>
          </cell>
          <cell r="F587">
            <v>1500</v>
          </cell>
          <cell r="G587">
            <v>444</v>
          </cell>
        </row>
        <row r="588">
          <cell r="C588" t="str">
            <v>Nhân công</v>
          </cell>
          <cell r="G588">
            <v>3381599.5993421054</v>
          </cell>
        </row>
        <row r="589">
          <cell r="B589" t="str">
            <v>NC1407</v>
          </cell>
          <cell r="C589" t="str">
            <v>+ Nhân công bậc 4,0/7</v>
          </cell>
          <cell r="D589" t="str">
            <v>Công</v>
          </cell>
          <cell r="E589">
            <v>17.37</v>
          </cell>
          <cell r="F589">
            <v>194680.46052631579</v>
          </cell>
          <cell r="G589">
            <v>3381599.5993421054</v>
          </cell>
        </row>
        <row r="590">
          <cell r="C590" t="str">
            <v>Máy thi công</v>
          </cell>
          <cell r="G590">
            <v>0</v>
          </cell>
        </row>
        <row r="591">
          <cell r="B591">
            <v>7053</v>
          </cell>
          <cell r="C591" t="str">
            <v>+ Tời điện, sức kéo 2,0 T</v>
          </cell>
          <cell r="D591" t="str">
            <v>Ca</v>
          </cell>
          <cell r="E591">
            <v>0.3</v>
          </cell>
          <cell r="G591">
            <v>0</v>
          </cell>
        </row>
        <row r="592">
          <cell r="A592" t="str">
            <v>D2.4082</v>
          </cell>
          <cell r="C592" t="str">
            <v>Vừa lắp vừa dựng cột thép bằng thủ công kết hợp cơ giới, Chiều cao cột =&lt; 100m</v>
          </cell>
          <cell r="D592" t="str">
            <v>tấn</v>
          </cell>
          <cell r="I592">
            <v>3889715.6013157894</v>
          </cell>
          <cell r="J592">
            <v>0</v>
          </cell>
        </row>
        <row r="593">
          <cell r="C593" t="str">
            <v>Vật liệu</v>
          </cell>
          <cell r="G593">
            <v>22644</v>
          </cell>
        </row>
        <row r="594">
          <cell r="B594">
            <v>46</v>
          </cell>
          <cell r="C594" t="str">
            <v>+ Gỗ ván khuôn</v>
          </cell>
          <cell r="D594" t="str">
            <v>M3</v>
          </cell>
          <cell r="E594">
            <v>4.0000000000000001E-3</v>
          </cell>
          <cell r="F594">
            <v>2300000</v>
          </cell>
          <cell r="G594">
            <v>9200</v>
          </cell>
        </row>
        <row r="595">
          <cell r="B595">
            <v>73</v>
          </cell>
          <cell r="C595" t="str">
            <v>+ Cáp thép 4mm</v>
          </cell>
          <cell r="D595" t="str">
            <v>kg</v>
          </cell>
          <cell r="E595">
            <v>1.3</v>
          </cell>
          <cell r="F595">
            <v>10000</v>
          </cell>
          <cell r="G595">
            <v>13000</v>
          </cell>
        </row>
        <row r="596">
          <cell r="B596">
            <v>137</v>
          </cell>
          <cell r="C596" t="str">
            <v>Vật liệu khác</v>
          </cell>
          <cell r="D596" t="str">
            <v>%</v>
          </cell>
          <cell r="E596">
            <v>2</v>
          </cell>
          <cell r="F596">
            <v>1500</v>
          </cell>
          <cell r="G596">
            <v>444</v>
          </cell>
        </row>
        <row r="597">
          <cell r="C597" t="str">
            <v>Nhân công</v>
          </cell>
          <cell r="G597">
            <v>3889715.6013157894</v>
          </cell>
        </row>
        <row r="598">
          <cell r="B598" t="str">
            <v>NC1407</v>
          </cell>
          <cell r="C598" t="str">
            <v>+ Nhân công bậc 4,0/7</v>
          </cell>
          <cell r="D598" t="str">
            <v>Công</v>
          </cell>
          <cell r="E598">
            <v>19.98</v>
          </cell>
          <cell r="F598">
            <v>194680.46052631579</v>
          </cell>
          <cell r="G598">
            <v>3889715.6013157894</v>
          </cell>
        </row>
        <row r="599">
          <cell r="C599" t="str">
            <v>Máy thi công</v>
          </cell>
          <cell r="G599">
            <v>0</v>
          </cell>
        </row>
        <row r="600">
          <cell r="B600">
            <v>7053</v>
          </cell>
          <cell r="C600" t="str">
            <v>+ Tời điện, sức kéo 2,0 T</v>
          </cell>
          <cell r="D600" t="str">
            <v>Ca</v>
          </cell>
          <cell r="E600">
            <v>0.4</v>
          </cell>
          <cell r="G600">
            <v>0</v>
          </cell>
        </row>
        <row r="601">
          <cell r="A601" t="str">
            <v>D2.5101</v>
          </cell>
          <cell r="C601" t="str">
            <v>Nối cột bê tông các loại trên địa hình bình thường</v>
          </cell>
          <cell r="D601" t="str">
            <v>mối</v>
          </cell>
          <cell r="H601">
            <v>10715.1</v>
          </cell>
          <cell r="I601">
            <v>584041.38157894742</v>
          </cell>
        </row>
        <row r="602">
          <cell r="C602" t="str">
            <v>Vật liệu</v>
          </cell>
          <cell r="G602">
            <v>10715.1</v>
          </cell>
        </row>
        <row r="603">
          <cell r="B603">
            <v>46</v>
          </cell>
          <cell r="C603" t="str">
            <v>+ Gỗ hộp kê máy</v>
          </cell>
          <cell r="D603" t="str">
            <v>M3</v>
          </cell>
          <cell r="E603">
            <v>3.0000000000000001E-3</v>
          </cell>
          <cell r="F603">
            <v>2300000</v>
          </cell>
          <cell r="G603">
            <v>6900</v>
          </cell>
        </row>
        <row r="604">
          <cell r="B604">
            <v>18</v>
          </cell>
          <cell r="C604" t="str">
            <v>+ Thép đệm</v>
          </cell>
          <cell r="D604" t="str">
            <v>Kg</v>
          </cell>
          <cell r="E604">
            <v>0.35</v>
          </cell>
          <cell r="F604">
            <v>10300</v>
          </cell>
          <cell r="G604">
            <v>3604.9999999999995</v>
          </cell>
        </row>
        <row r="605">
          <cell r="B605">
            <v>137</v>
          </cell>
          <cell r="C605" t="str">
            <v>Vật liệu khác</v>
          </cell>
          <cell r="D605" t="str">
            <v>%</v>
          </cell>
          <cell r="E605">
            <v>2</v>
          </cell>
          <cell r="F605">
            <v>1500</v>
          </cell>
          <cell r="G605">
            <v>210.1</v>
          </cell>
        </row>
        <row r="606">
          <cell r="C606" t="str">
            <v>Nhân công</v>
          </cell>
          <cell r="G606">
            <v>584041.38157894742</v>
          </cell>
        </row>
        <row r="607">
          <cell r="B607" t="str">
            <v>NC1407</v>
          </cell>
          <cell r="C607" t="str">
            <v>+ Nhân công bậc 4,0/7</v>
          </cell>
          <cell r="D607" t="str">
            <v>Công</v>
          </cell>
          <cell r="E607">
            <v>3</v>
          </cell>
          <cell r="F607">
            <v>194680.46052631579</v>
          </cell>
          <cell r="G607">
            <v>584041.38157894742</v>
          </cell>
        </row>
        <row r="608">
          <cell r="A608" t="str">
            <v>D2.5102</v>
          </cell>
          <cell r="C608" t="str">
            <v>Nối cột bê tông các loại trên địa hình sườn đồi</v>
          </cell>
          <cell r="D608" t="str">
            <v>mối</v>
          </cell>
          <cell r="H608">
            <v>10715.1</v>
          </cell>
          <cell r="I608">
            <v>613243.45065789472</v>
          </cell>
        </row>
        <row r="609">
          <cell r="C609" t="str">
            <v>Vật liệu</v>
          </cell>
          <cell r="G609">
            <v>10715.1</v>
          </cell>
        </row>
        <row r="610">
          <cell r="B610">
            <v>44</v>
          </cell>
          <cell r="C610" t="str">
            <v>+ Gỗ hộp kê máy</v>
          </cell>
          <cell r="D610" t="str">
            <v>M3</v>
          </cell>
          <cell r="E610">
            <v>3.0000000000000001E-3</v>
          </cell>
          <cell r="F610">
            <v>2300000</v>
          </cell>
          <cell r="G610">
            <v>6900</v>
          </cell>
        </row>
        <row r="611">
          <cell r="B611">
            <v>18</v>
          </cell>
          <cell r="C611" t="str">
            <v>+ Thép đệm</v>
          </cell>
          <cell r="D611" t="str">
            <v>Kg</v>
          </cell>
          <cell r="E611">
            <v>0.35</v>
          </cell>
          <cell r="F611">
            <v>10300</v>
          </cell>
          <cell r="G611">
            <v>3604.9999999999995</v>
          </cell>
        </row>
        <row r="612">
          <cell r="B612">
            <v>137</v>
          </cell>
          <cell r="C612" t="str">
            <v>Vật liệu khác</v>
          </cell>
          <cell r="D612" t="str">
            <v>%</v>
          </cell>
          <cell r="E612">
            <v>2</v>
          </cell>
          <cell r="F612">
            <v>1500</v>
          </cell>
          <cell r="G612">
            <v>210.1</v>
          </cell>
        </row>
        <row r="613">
          <cell r="C613" t="str">
            <v>Nhân công</v>
          </cell>
          <cell r="G613">
            <v>613243.45065789472</v>
          </cell>
        </row>
        <row r="614">
          <cell r="B614" t="str">
            <v>NC1407</v>
          </cell>
          <cell r="C614" t="str">
            <v>+ Nhân công bậc 4,0/7</v>
          </cell>
          <cell r="D614" t="str">
            <v>Công</v>
          </cell>
          <cell r="E614">
            <v>3.15</v>
          </cell>
          <cell r="F614">
            <v>194680.46052631579</v>
          </cell>
          <cell r="G614">
            <v>613243.45065789472</v>
          </cell>
        </row>
        <row r="615">
          <cell r="A615" t="str">
            <v>D2.5103</v>
          </cell>
          <cell r="C615" t="str">
            <v>Nối cột bê tông các loại trên địa hình sình lầy</v>
          </cell>
          <cell r="D615" t="str">
            <v>mối</v>
          </cell>
          <cell r="H615">
            <v>24791.1</v>
          </cell>
          <cell r="I615">
            <v>700849.65789473685</v>
          </cell>
        </row>
        <row r="616">
          <cell r="C616" t="str">
            <v>Vật liệu</v>
          </cell>
          <cell r="G616">
            <v>24791.1</v>
          </cell>
        </row>
        <row r="617">
          <cell r="B617">
            <v>44</v>
          </cell>
          <cell r="C617" t="str">
            <v>+ Gỗ hộp kê máy</v>
          </cell>
          <cell r="D617" t="str">
            <v>M3</v>
          </cell>
          <cell r="E617">
            <v>8.9999999999999993E-3</v>
          </cell>
          <cell r="F617">
            <v>2300000</v>
          </cell>
          <cell r="G617">
            <v>20700</v>
          </cell>
        </row>
        <row r="618">
          <cell r="B618">
            <v>18</v>
          </cell>
          <cell r="C618" t="str">
            <v>+ Thép đệm</v>
          </cell>
          <cell r="D618" t="str">
            <v>Kg</v>
          </cell>
          <cell r="E618">
            <v>0.35</v>
          </cell>
          <cell r="F618">
            <v>10300</v>
          </cell>
          <cell r="G618">
            <v>3604.9999999999995</v>
          </cell>
        </row>
        <row r="619">
          <cell r="B619">
            <v>137</v>
          </cell>
          <cell r="C619" t="str">
            <v>Vật liệu khác</v>
          </cell>
          <cell r="D619" t="str">
            <v>%</v>
          </cell>
          <cell r="E619">
            <v>2</v>
          </cell>
          <cell r="F619">
            <v>1500</v>
          </cell>
          <cell r="G619">
            <v>486.1</v>
          </cell>
        </row>
        <row r="620">
          <cell r="C620" t="str">
            <v>Nhân công</v>
          </cell>
          <cell r="G620">
            <v>700849.65789473685</v>
          </cell>
        </row>
        <row r="621">
          <cell r="B621" t="str">
            <v>NC1407</v>
          </cell>
          <cell r="C621" t="str">
            <v>+ Nhân công bậc 4,0/7</v>
          </cell>
          <cell r="D621" t="str">
            <v>Công</v>
          </cell>
          <cell r="E621">
            <v>3.6</v>
          </cell>
          <cell r="F621">
            <v>194680.46052631579</v>
          </cell>
          <cell r="G621">
            <v>700849.65789473685</v>
          </cell>
        </row>
        <row r="622">
          <cell r="A622" t="str">
            <v>D2.5211</v>
          </cell>
          <cell r="C622" t="str">
            <v>Dựng cột bê tông bằng thủ công, Chiều cao cột =&lt; 8 m</v>
          </cell>
          <cell r="D622" t="str">
            <v>cột</v>
          </cell>
          <cell r="H622">
            <v>16200</v>
          </cell>
          <cell r="I622">
            <v>897476.92302631587</v>
          </cell>
        </row>
        <row r="623">
          <cell r="C623" t="str">
            <v>Vật liệu</v>
          </cell>
          <cell r="G623">
            <v>16200</v>
          </cell>
        </row>
        <row r="624">
          <cell r="B624">
            <v>44</v>
          </cell>
          <cell r="C624" t="str">
            <v>+ Gỗ hộp kê máy</v>
          </cell>
          <cell r="D624" t="str">
            <v>M3</v>
          </cell>
          <cell r="E624">
            <v>5.0000000000000001E-3</v>
          </cell>
          <cell r="F624">
            <v>2300000</v>
          </cell>
          <cell r="G624">
            <v>11500</v>
          </cell>
        </row>
        <row r="625">
          <cell r="B625">
            <v>14</v>
          </cell>
          <cell r="C625" t="str">
            <v>+ Sơn</v>
          </cell>
          <cell r="D625" t="str">
            <v>kg</v>
          </cell>
          <cell r="E625">
            <v>0.1</v>
          </cell>
          <cell r="F625">
            <v>47000</v>
          </cell>
          <cell r="G625">
            <v>4700</v>
          </cell>
        </row>
        <row r="626">
          <cell r="B626" t="str">
            <v>NC1407</v>
          </cell>
          <cell r="C626" t="str">
            <v>+ Nhân công bậc 4,0/7</v>
          </cell>
          <cell r="D626" t="str">
            <v>Công</v>
          </cell>
          <cell r="E626">
            <v>4.6100000000000003</v>
          </cell>
          <cell r="F626">
            <v>194680.46052631579</v>
          </cell>
          <cell r="G626">
            <v>897476.92302631587</v>
          </cell>
        </row>
        <row r="627">
          <cell r="A627" t="str">
            <v>D2.5221</v>
          </cell>
          <cell r="C627" t="str">
            <v>Dựng cột bê tông  bằng  thủ công, Chiều cao cột =&lt; 10 m</v>
          </cell>
          <cell r="D627" t="str">
            <v>cột</v>
          </cell>
          <cell r="H627">
            <v>16200</v>
          </cell>
          <cell r="I627">
            <v>965615.08421052631</v>
          </cell>
        </row>
        <row r="628">
          <cell r="C628" t="str">
            <v>Vật liệu</v>
          </cell>
          <cell r="G628">
            <v>16200</v>
          </cell>
        </row>
        <row r="629">
          <cell r="B629">
            <v>44</v>
          </cell>
          <cell r="C629" t="str">
            <v>+ Gỗ hộp kê máy</v>
          </cell>
          <cell r="D629" t="str">
            <v>M3</v>
          </cell>
          <cell r="E629">
            <v>5.0000000000000001E-3</v>
          </cell>
          <cell r="F629">
            <v>2300000</v>
          </cell>
          <cell r="G629">
            <v>11500</v>
          </cell>
        </row>
        <row r="630">
          <cell r="B630">
            <v>14</v>
          </cell>
          <cell r="C630" t="str">
            <v>+ Sơn</v>
          </cell>
          <cell r="D630" t="str">
            <v>kg</v>
          </cell>
          <cell r="E630">
            <v>0.1</v>
          </cell>
          <cell r="F630">
            <v>47000</v>
          </cell>
          <cell r="G630">
            <v>4700</v>
          </cell>
        </row>
        <row r="631">
          <cell r="C631" t="str">
            <v>Nhân công</v>
          </cell>
          <cell r="G631">
            <v>965615.08421052631</v>
          </cell>
        </row>
        <row r="632">
          <cell r="B632" t="str">
            <v>NC1407</v>
          </cell>
          <cell r="C632" t="str">
            <v>+ Nhân công bậc 4,0/7</v>
          </cell>
          <cell r="D632" t="str">
            <v>Công</v>
          </cell>
          <cell r="E632">
            <v>4.96</v>
          </cell>
          <cell r="F632">
            <v>194680.46052631579</v>
          </cell>
          <cell r="G632">
            <v>965615.08421052631</v>
          </cell>
        </row>
        <row r="633">
          <cell r="A633" t="str">
            <v>D2.5231</v>
          </cell>
          <cell r="C633" t="str">
            <v>Dựng cột bê tông  bằng thủ công, Chiều cao cột =&lt; 12 m</v>
          </cell>
          <cell r="D633" t="str">
            <v>cột</v>
          </cell>
          <cell r="H633">
            <v>16200</v>
          </cell>
          <cell r="I633">
            <v>1033753.2453947368</v>
          </cell>
        </row>
        <row r="634">
          <cell r="C634" t="str">
            <v>Vật liệu</v>
          </cell>
          <cell r="G634">
            <v>16200</v>
          </cell>
        </row>
        <row r="635">
          <cell r="B635">
            <v>44</v>
          </cell>
          <cell r="C635" t="str">
            <v>+ Gỗ hộp kê máy</v>
          </cell>
          <cell r="D635" t="str">
            <v>M3</v>
          </cell>
          <cell r="E635">
            <v>5.0000000000000001E-3</v>
          </cell>
          <cell r="F635">
            <v>2300000</v>
          </cell>
          <cell r="G635">
            <v>11500</v>
          </cell>
        </row>
        <row r="636">
          <cell r="B636">
            <v>14</v>
          </cell>
          <cell r="C636" t="str">
            <v>+ Sơn</v>
          </cell>
          <cell r="D636" t="str">
            <v>kg</v>
          </cell>
          <cell r="E636">
            <v>0.1</v>
          </cell>
          <cell r="F636">
            <v>47000</v>
          </cell>
          <cell r="G636">
            <v>4700</v>
          </cell>
        </row>
        <row r="637">
          <cell r="C637" t="str">
            <v>Nhân công</v>
          </cell>
          <cell r="G637">
            <v>1033753.2453947368</v>
          </cell>
        </row>
        <row r="638">
          <cell r="B638" t="str">
            <v>NC1407</v>
          </cell>
          <cell r="C638" t="str">
            <v>+ Nhân công bậc 4,0/7</v>
          </cell>
          <cell r="D638" t="str">
            <v>Công</v>
          </cell>
          <cell r="E638">
            <v>5.31</v>
          </cell>
          <cell r="F638">
            <v>194680.46052631579</v>
          </cell>
          <cell r="G638">
            <v>1033753.2453947368</v>
          </cell>
        </row>
        <row r="639">
          <cell r="A639" t="str">
            <v>D2.5241</v>
          </cell>
          <cell r="C639" t="str">
            <v>Dựng cột bê tông  bằng thủ công, Chiều cao cột =&lt; 14 m</v>
          </cell>
          <cell r="D639" t="str">
            <v>cột</v>
          </cell>
          <cell r="H639">
            <v>16200</v>
          </cell>
          <cell r="I639">
            <v>1286837.8440789473</v>
          </cell>
        </row>
        <row r="640">
          <cell r="C640" t="str">
            <v>Vật liệu</v>
          </cell>
          <cell r="G640">
            <v>16200</v>
          </cell>
        </row>
        <row r="641">
          <cell r="B641">
            <v>44</v>
          </cell>
          <cell r="C641" t="str">
            <v>+ Gỗ hộp kê máy</v>
          </cell>
          <cell r="D641" t="str">
            <v>M3</v>
          </cell>
          <cell r="E641">
            <v>5.0000000000000001E-3</v>
          </cell>
          <cell r="F641">
            <v>2300000</v>
          </cell>
          <cell r="G641">
            <v>11500</v>
          </cell>
        </row>
        <row r="642">
          <cell r="B642">
            <v>14</v>
          </cell>
          <cell r="C642" t="str">
            <v>+ Sơn</v>
          </cell>
          <cell r="D642" t="str">
            <v>kg</v>
          </cell>
          <cell r="E642">
            <v>0.1</v>
          </cell>
          <cell r="F642">
            <v>47000</v>
          </cell>
          <cell r="G642">
            <v>4700</v>
          </cell>
        </row>
        <row r="643">
          <cell r="C643" t="str">
            <v>Nhân công</v>
          </cell>
          <cell r="G643">
            <v>1286837.8440789473</v>
          </cell>
        </row>
        <row r="644">
          <cell r="B644" t="str">
            <v>NC1407</v>
          </cell>
          <cell r="C644" t="str">
            <v>+ Nhân công bậc 4,0/7</v>
          </cell>
          <cell r="D644" t="str">
            <v>Công</v>
          </cell>
          <cell r="E644">
            <v>6.61</v>
          </cell>
          <cell r="F644">
            <v>194680.46052631579</v>
          </cell>
          <cell r="G644">
            <v>1286837.8440789473</v>
          </cell>
        </row>
        <row r="645">
          <cell r="A645" t="str">
            <v>D2.5251</v>
          </cell>
          <cell r="C645" t="str">
            <v>Dựng cột bằng thủ công, Chiều cao cột =&lt; 16 m</v>
          </cell>
          <cell r="D645" t="str">
            <v>cột</v>
          </cell>
          <cell r="H645">
            <v>18500</v>
          </cell>
          <cell r="I645">
            <v>1399752.5111842107</v>
          </cell>
        </row>
        <row r="646">
          <cell r="C646" t="str">
            <v>Vật liệu</v>
          </cell>
          <cell r="G646">
            <v>18500</v>
          </cell>
        </row>
        <row r="647">
          <cell r="B647">
            <v>44</v>
          </cell>
          <cell r="C647" t="str">
            <v>+ Gỗ hộp kê máy</v>
          </cell>
          <cell r="D647" t="str">
            <v>M3</v>
          </cell>
          <cell r="E647">
            <v>6.0000000000000001E-3</v>
          </cell>
          <cell r="F647">
            <v>2300000</v>
          </cell>
          <cell r="G647">
            <v>13800</v>
          </cell>
        </row>
        <row r="648">
          <cell r="B648">
            <v>14</v>
          </cell>
          <cell r="C648" t="str">
            <v>+ Sơn</v>
          </cell>
          <cell r="D648" t="str">
            <v>kg</v>
          </cell>
          <cell r="E648">
            <v>0.1</v>
          </cell>
          <cell r="F648">
            <v>47000</v>
          </cell>
          <cell r="G648">
            <v>4700</v>
          </cell>
        </row>
        <row r="649">
          <cell r="C649" t="str">
            <v>Nhân công</v>
          </cell>
          <cell r="G649">
            <v>1399752.5111842107</v>
          </cell>
        </row>
        <row r="650">
          <cell r="B650" t="str">
            <v>NC1407</v>
          </cell>
          <cell r="C650" t="str">
            <v>+ Nhân công bậc 4,0/7</v>
          </cell>
          <cell r="D650" t="str">
            <v>Công</v>
          </cell>
          <cell r="E650">
            <v>7.19</v>
          </cell>
          <cell r="F650">
            <v>194680.46052631579</v>
          </cell>
          <cell r="G650">
            <v>1399752.5111842107</v>
          </cell>
        </row>
        <row r="651">
          <cell r="A651" t="str">
            <v>D2.5261</v>
          </cell>
          <cell r="C651" t="str">
            <v>Dựng cột bê tông  bằng thủ công, Chiều cao cột =&lt; 18 m</v>
          </cell>
          <cell r="D651" t="str">
            <v>cột</v>
          </cell>
          <cell r="H651">
            <v>18500</v>
          </cell>
          <cell r="I651">
            <v>1824155.9151315787</v>
          </cell>
        </row>
        <row r="652">
          <cell r="C652" t="str">
            <v>Vật liệu</v>
          </cell>
          <cell r="G652">
            <v>18500</v>
          </cell>
        </row>
        <row r="653">
          <cell r="B653">
            <v>46</v>
          </cell>
          <cell r="C653" t="str">
            <v>+ Gỗ hộp kê máy</v>
          </cell>
          <cell r="D653" t="str">
            <v>M3</v>
          </cell>
          <cell r="E653">
            <v>6.0000000000000001E-3</v>
          </cell>
          <cell r="F653">
            <v>2300000</v>
          </cell>
          <cell r="G653">
            <v>13800</v>
          </cell>
        </row>
        <row r="654">
          <cell r="B654">
            <v>14</v>
          </cell>
          <cell r="C654" t="str">
            <v>+ Sơn</v>
          </cell>
          <cell r="D654" t="str">
            <v>kg</v>
          </cell>
          <cell r="E654">
            <v>0.1</v>
          </cell>
          <cell r="F654">
            <v>47000</v>
          </cell>
          <cell r="G654">
            <v>4700</v>
          </cell>
        </row>
        <row r="655">
          <cell r="C655" t="str">
            <v>Nhân công</v>
          </cell>
          <cell r="G655">
            <v>1824155.9151315787</v>
          </cell>
        </row>
        <row r="656">
          <cell r="B656" t="str">
            <v>NC1407</v>
          </cell>
          <cell r="C656" t="str">
            <v>+ Nhân công bậc 4,0/7</v>
          </cell>
          <cell r="D656" t="str">
            <v>Công</v>
          </cell>
          <cell r="E656">
            <v>9.3699999999999992</v>
          </cell>
          <cell r="F656">
            <v>194680.46052631579</v>
          </cell>
          <cell r="G656">
            <v>1824155.9151315787</v>
          </cell>
        </row>
        <row r="657">
          <cell r="A657" t="str">
            <v>D2.5271</v>
          </cell>
          <cell r="C657" t="str">
            <v>Dựng cột bằng thủ công, Chiều cao cột =&lt; 20 m</v>
          </cell>
          <cell r="D657" t="str">
            <v>cột</v>
          </cell>
          <cell r="H657">
            <v>18500</v>
          </cell>
          <cell r="I657">
            <v>2125910.6289473684</v>
          </cell>
        </row>
        <row r="658">
          <cell r="C658" t="str">
            <v>Vật liệu</v>
          </cell>
          <cell r="G658">
            <v>18500</v>
          </cell>
        </row>
        <row r="659">
          <cell r="B659">
            <v>44</v>
          </cell>
          <cell r="C659" t="str">
            <v>+ Gỗ hộp kê máy</v>
          </cell>
          <cell r="D659" t="str">
            <v>M3</v>
          </cell>
          <cell r="E659">
            <v>6.0000000000000001E-3</v>
          </cell>
          <cell r="F659">
            <v>2300000</v>
          </cell>
          <cell r="G659">
            <v>13800</v>
          </cell>
        </row>
        <row r="660">
          <cell r="B660">
            <v>14</v>
          </cell>
          <cell r="C660" t="str">
            <v>+ Sơn</v>
          </cell>
          <cell r="D660" t="str">
            <v>kg</v>
          </cell>
          <cell r="E660">
            <v>0.1</v>
          </cell>
          <cell r="F660">
            <v>47000</v>
          </cell>
          <cell r="G660">
            <v>4700</v>
          </cell>
        </row>
        <row r="661">
          <cell r="C661" t="str">
            <v>Nhân công</v>
          </cell>
          <cell r="G661">
            <v>2125910.6289473684</v>
          </cell>
        </row>
        <row r="662">
          <cell r="B662" t="str">
            <v>NC1407</v>
          </cell>
          <cell r="C662" t="str">
            <v>+ Nhân công bậc 4,0/7</v>
          </cell>
          <cell r="D662" t="str">
            <v>Công</v>
          </cell>
          <cell r="E662">
            <v>10.92</v>
          </cell>
          <cell r="F662">
            <v>194680.46052631579</v>
          </cell>
          <cell r="G662">
            <v>2125910.6289473684</v>
          </cell>
        </row>
        <row r="663">
          <cell r="A663" t="str">
            <v>D2.5281</v>
          </cell>
          <cell r="C663" t="str">
            <v>Dựng cột bê tông  bằng thủ công, Chiều cao cột &gt;20 m</v>
          </cell>
          <cell r="D663" t="str">
            <v>cột</v>
          </cell>
          <cell r="H663">
            <v>18500</v>
          </cell>
          <cell r="I663">
            <v>2320591.0894736843</v>
          </cell>
        </row>
        <row r="664">
          <cell r="C664" t="str">
            <v>Vật liệu</v>
          </cell>
          <cell r="G664">
            <v>18500</v>
          </cell>
        </row>
        <row r="665">
          <cell r="B665">
            <v>44</v>
          </cell>
          <cell r="C665" t="str">
            <v>+ Gỗ hộp kê máy</v>
          </cell>
          <cell r="D665" t="str">
            <v>M3</v>
          </cell>
          <cell r="E665">
            <v>6.0000000000000001E-3</v>
          </cell>
          <cell r="F665">
            <v>2300000</v>
          </cell>
          <cell r="G665">
            <v>13800</v>
          </cell>
        </row>
        <row r="666">
          <cell r="B666">
            <v>14</v>
          </cell>
          <cell r="C666" t="str">
            <v>+ Sơn</v>
          </cell>
          <cell r="D666" t="str">
            <v>kg</v>
          </cell>
          <cell r="E666">
            <v>0.1</v>
          </cell>
          <cell r="F666">
            <v>47000</v>
          </cell>
          <cell r="G666">
            <v>4700</v>
          </cell>
        </row>
        <row r="667">
          <cell r="C667" t="str">
            <v>Nhân công</v>
          </cell>
          <cell r="G667">
            <v>2320591.0894736843</v>
          </cell>
        </row>
        <row r="668">
          <cell r="B668" t="str">
            <v>NC1407</v>
          </cell>
          <cell r="C668" t="str">
            <v>+ Nhân công bậc 4,0/7</v>
          </cell>
          <cell r="D668" t="str">
            <v>Công</v>
          </cell>
          <cell r="E668">
            <v>11.92</v>
          </cell>
          <cell r="F668">
            <v>194680.46052631579</v>
          </cell>
          <cell r="G668">
            <v>2320591.0894736843</v>
          </cell>
        </row>
        <row r="669">
          <cell r="A669" t="str">
            <v>D2.5212</v>
          </cell>
          <cell r="C669" t="str">
            <v>Dựng cột bê tông bằng cần cẩu kết hợp thủ công, Chiều cao cột =&lt;8 m</v>
          </cell>
          <cell r="D669" t="str">
            <v>cột</v>
          </cell>
          <cell r="H669">
            <v>16200</v>
          </cell>
          <cell r="I669">
            <v>360158.85197368421</v>
          </cell>
          <cell r="J669">
            <v>121148.76984000002</v>
          </cell>
        </row>
        <row r="670">
          <cell r="C670" t="str">
            <v>Vật liệu</v>
          </cell>
          <cell r="G670">
            <v>16200</v>
          </cell>
        </row>
        <row r="671">
          <cell r="B671">
            <v>44</v>
          </cell>
          <cell r="C671" t="str">
            <v>+ Gỗ hộp kê máy</v>
          </cell>
          <cell r="D671" t="str">
            <v>M3</v>
          </cell>
          <cell r="E671">
            <v>5.0000000000000001E-3</v>
          </cell>
          <cell r="F671">
            <v>2300000</v>
          </cell>
          <cell r="G671">
            <v>11500</v>
          </cell>
        </row>
        <row r="672">
          <cell r="B672">
            <v>14</v>
          </cell>
          <cell r="C672" t="str">
            <v>+ Sơn</v>
          </cell>
          <cell r="D672" t="str">
            <v>kg</v>
          </cell>
          <cell r="E672">
            <v>0.1</v>
          </cell>
          <cell r="F672">
            <v>47000</v>
          </cell>
          <cell r="G672">
            <v>4700</v>
          </cell>
        </row>
        <row r="673">
          <cell r="C673" t="str">
            <v>Nhân công</v>
          </cell>
          <cell r="G673">
            <v>360158.85197368421</v>
          </cell>
        </row>
        <row r="674">
          <cell r="B674" t="str">
            <v>NC1407</v>
          </cell>
          <cell r="C674" t="str">
            <v>+ Nhân công bậc 4,0/7</v>
          </cell>
          <cell r="D674" t="str">
            <v>Công</v>
          </cell>
          <cell r="E674">
            <v>1.85</v>
          </cell>
          <cell r="F674">
            <v>194680.46052631579</v>
          </cell>
          <cell r="G674">
            <v>360158.85197368421</v>
          </cell>
        </row>
        <row r="675">
          <cell r="C675" t="str">
            <v>Máy thi công</v>
          </cell>
          <cell r="G675">
            <v>121148.76984000002</v>
          </cell>
        </row>
        <row r="676">
          <cell r="B676">
            <v>7007</v>
          </cell>
          <cell r="C676" t="str">
            <v>+ Cần trục bánh xích, sức nâng 10,0 T</v>
          </cell>
          <cell r="D676" t="str">
            <v>Ca</v>
          </cell>
          <cell r="E676">
            <v>7.0000000000000007E-2</v>
          </cell>
          <cell r="F676">
            <v>1730696.7120000001</v>
          </cell>
          <cell r="G676">
            <v>121148.76984000002</v>
          </cell>
        </row>
        <row r="677">
          <cell r="A677" t="str">
            <v>D2.5222</v>
          </cell>
          <cell r="C677" t="str">
            <v>Dựng cột bê tông bằng cần cẩu kết hợp thủ công, Chiều cao cột =&lt;10 m</v>
          </cell>
          <cell r="D677" t="str">
            <v>cột</v>
          </cell>
          <cell r="H677">
            <v>16200</v>
          </cell>
          <cell r="I677">
            <v>385467.31184210523</v>
          </cell>
          <cell r="J677">
            <v>121148.76984000002</v>
          </cell>
        </row>
        <row r="678">
          <cell r="C678" t="str">
            <v>Vật liệu</v>
          </cell>
          <cell r="G678">
            <v>16200</v>
          </cell>
        </row>
        <row r="679">
          <cell r="B679">
            <v>44</v>
          </cell>
          <cell r="C679" t="str">
            <v>+ Gỗ hộp kê máy</v>
          </cell>
          <cell r="D679" t="str">
            <v>M3</v>
          </cell>
          <cell r="E679">
            <v>5.0000000000000001E-3</v>
          </cell>
          <cell r="F679">
            <v>2300000</v>
          </cell>
          <cell r="G679">
            <v>11500</v>
          </cell>
        </row>
        <row r="680">
          <cell r="B680">
            <v>14</v>
          </cell>
          <cell r="C680" t="str">
            <v>+ Sơn</v>
          </cell>
          <cell r="D680" t="str">
            <v>kg</v>
          </cell>
          <cell r="E680">
            <v>0.1</v>
          </cell>
          <cell r="F680">
            <v>47000</v>
          </cell>
          <cell r="G680">
            <v>4700</v>
          </cell>
        </row>
        <row r="681">
          <cell r="C681" t="str">
            <v>Nhân công</v>
          </cell>
          <cell r="G681">
            <v>385467.31184210523</v>
          </cell>
        </row>
        <row r="682">
          <cell r="B682" t="str">
            <v>NC1407</v>
          </cell>
          <cell r="C682" t="str">
            <v>+ Nhân công bậc 4,0/7</v>
          </cell>
          <cell r="D682" t="str">
            <v>Công</v>
          </cell>
          <cell r="E682">
            <v>1.98</v>
          </cell>
          <cell r="F682">
            <v>194680.46052631579</v>
          </cell>
          <cell r="G682">
            <v>385467.31184210523</v>
          </cell>
        </row>
        <row r="683">
          <cell r="C683" t="str">
            <v>Máy thi công</v>
          </cell>
          <cell r="G683">
            <v>121148.76984000002</v>
          </cell>
        </row>
        <row r="684">
          <cell r="B684">
            <v>7007</v>
          </cell>
          <cell r="C684" t="str">
            <v>+ Cần trục bánh xích, sức nâng 10,0 T</v>
          </cell>
          <cell r="D684" t="str">
            <v>Ca</v>
          </cell>
          <cell r="E684">
            <v>7.0000000000000007E-2</v>
          </cell>
          <cell r="F684">
            <v>1730696.7120000001</v>
          </cell>
          <cell r="G684">
            <v>121148.76984000002</v>
          </cell>
        </row>
        <row r="685">
          <cell r="A685" t="str">
            <v>D2.5232</v>
          </cell>
          <cell r="C685" t="str">
            <v>Dựng cột bê tông bằng cần cẩu kết hợp thủ công, Chiều cao cột =&lt;12 m</v>
          </cell>
          <cell r="D685" t="str">
            <v>cột</v>
          </cell>
          <cell r="H685">
            <v>16200</v>
          </cell>
          <cell r="I685">
            <v>412722.57631578948</v>
          </cell>
          <cell r="J685">
            <v>173069.67120000001</v>
          </cell>
        </row>
        <row r="686">
          <cell r="C686" t="str">
            <v>Vật liệu</v>
          </cell>
          <cell r="G686">
            <v>16200</v>
          </cell>
        </row>
        <row r="687">
          <cell r="B687">
            <v>44</v>
          </cell>
          <cell r="C687" t="str">
            <v>+ Gỗ hộp kê máy</v>
          </cell>
          <cell r="D687" t="str">
            <v>M3</v>
          </cell>
          <cell r="E687">
            <v>5.0000000000000001E-3</v>
          </cell>
          <cell r="F687">
            <v>2300000</v>
          </cell>
          <cell r="G687">
            <v>11500</v>
          </cell>
        </row>
        <row r="688">
          <cell r="B688">
            <v>14</v>
          </cell>
          <cell r="C688" t="str">
            <v>+ Sơn</v>
          </cell>
          <cell r="D688" t="str">
            <v>kg</v>
          </cell>
          <cell r="E688">
            <v>0.1</v>
          </cell>
          <cell r="F688">
            <v>47000</v>
          </cell>
          <cell r="G688">
            <v>4700</v>
          </cell>
        </row>
        <row r="689">
          <cell r="C689" t="str">
            <v>Nhân công</v>
          </cell>
          <cell r="G689">
            <v>412722.57631578948</v>
          </cell>
        </row>
        <row r="690">
          <cell r="B690" t="str">
            <v>NC1407</v>
          </cell>
          <cell r="C690" t="str">
            <v>+ Nhân công bậc 4,0/7</v>
          </cell>
          <cell r="D690" t="str">
            <v>Công</v>
          </cell>
          <cell r="E690">
            <v>2.12</v>
          </cell>
          <cell r="F690">
            <v>194680.46052631579</v>
          </cell>
          <cell r="G690">
            <v>412722.57631578948</v>
          </cell>
        </row>
        <row r="691">
          <cell r="C691" t="str">
            <v>Máy thi công</v>
          </cell>
          <cell r="G691">
            <v>173069.67120000001</v>
          </cell>
        </row>
        <row r="692">
          <cell r="B692">
            <v>7007</v>
          </cell>
          <cell r="C692" t="str">
            <v>+ Cần trục bánh xích, sức nâng 10,0 T</v>
          </cell>
          <cell r="D692" t="str">
            <v>Ca</v>
          </cell>
          <cell r="E692">
            <v>0.1</v>
          </cell>
          <cell r="F692">
            <v>1730696.7120000001</v>
          </cell>
          <cell r="G692">
            <v>173069.67120000001</v>
          </cell>
        </row>
        <row r="693">
          <cell r="A693" t="str">
            <v>D2.5242</v>
          </cell>
          <cell r="C693" t="str">
            <v>Dựng cột bê tông bằng cần cẩu kết hợp thủ công, Chiều cao cột =&lt;14 m</v>
          </cell>
          <cell r="D693" t="str">
            <v>cột</v>
          </cell>
          <cell r="H693">
            <v>16200</v>
          </cell>
          <cell r="I693">
            <v>513956.41578947369</v>
          </cell>
          <cell r="J693">
            <v>173069.67120000001</v>
          </cell>
        </row>
        <row r="694">
          <cell r="C694" t="str">
            <v>Vật liệu</v>
          </cell>
          <cell r="G694">
            <v>16200</v>
          </cell>
        </row>
        <row r="695">
          <cell r="B695">
            <v>44</v>
          </cell>
          <cell r="C695" t="str">
            <v>+ Gỗ hộp kê máy</v>
          </cell>
          <cell r="D695" t="str">
            <v>M3</v>
          </cell>
          <cell r="E695">
            <v>5.0000000000000001E-3</v>
          </cell>
          <cell r="F695">
            <v>2300000</v>
          </cell>
          <cell r="G695">
            <v>11500</v>
          </cell>
        </row>
        <row r="696">
          <cell r="B696">
            <v>14</v>
          </cell>
          <cell r="C696" t="str">
            <v>+ Sơn</v>
          </cell>
          <cell r="D696" t="str">
            <v>kg</v>
          </cell>
          <cell r="E696">
            <v>0.1</v>
          </cell>
          <cell r="F696">
            <v>47000</v>
          </cell>
          <cell r="G696">
            <v>4700</v>
          </cell>
        </row>
        <row r="697">
          <cell r="C697" t="str">
            <v>Nhân công</v>
          </cell>
          <cell r="G697">
            <v>513956.41578947369</v>
          </cell>
        </row>
        <row r="698">
          <cell r="B698" t="str">
            <v>NC1407</v>
          </cell>
          <cell r="C698" t="str">
            <v>+ Nhân công bậc 4,0/7</v>
          </cell>
          <cell r="D698" t="str">
            <v>Công</v>
          </cell>
          <cell r="E698">
            <v>2.64</v>
          </cell>
          <cell r="F698">
            <v>194680.46052631579</v>
          </cell>
          <cell r="G698">
            <v>513956.41578947369</v>
          </cell>
        </row>
        <row r="699">
          <cell r="C699" t="str">
            <v>Máy thi công</v>
          </cell>
          <cell r="G699">
            <v>173069.67120000001</v>
          </cell>
        </row>
        <row r="700">
          <cell r="B700">
            <v>7007</v>
          </cell>
          <cell r="C700" t="str">
            <v>+ Cần trục bánh xích, sức nâng 10,0 T</v>
          </cell>
          <cell r="D700" t="str">
            <v>Ca</v>
          </cell>
          <cell r="E700">
            <v>0.1</v>
          </cell>
          <cell r="F700">
            <v>1730696.7120000001</v>
          </cell>
          <cell r="G700">
            <v>173069.67120000001</v>
          </cell>
        </row>
        <row r="701">
          <cell r="A701" t="str">
            <v>D2.5252</v>
          </cell>
          <cell r="C701" t="str">
            <v>Dựng cột bê tông bằng cần cẩu kết hợp thủ công, Chiều cao cột =&lt;16 m</v>
          </cell>
          <cell r="D701" t="str">
            <v>cột</v>
          </cell>
          <cell r="H701">
            <v>18500</v>
          </cell>
          <cell r="I701">
            <v>560679.72631578939</v>
          </cell>
          <cell r="J701">
            <v>242297.53968000005</v>
          </cell>
        </row>
        <row r="702">
          <cell r="C702" t="str">
            <v>Vật liệu</v>
          </cell>
          <cell r="G702">
            <v>18500</v>
          </cell>
        </row>
        <row r="703">
          <cell r="B703">
            <v>44</v>
          </cell>
          <cell r="C703" t="str">
            <v>+ Gỗ hộp kê máy</v>
          </cell>
          <cell r="D703" t="str">
            <v>M3</v>
          </cell>
          <cell r="E703">
            <v>6.0000000000000001E-3</v>
          </cell>
          <cell r="F703">
            <v>2300000</v>
          </cell>
          <cell r="G703">
            <v>13800</v>
          </cell>
        </row>
        <row r="704">
          <cell r="B704">
            <v>14</v>
          </cell>
          <cell r="C704" t="str">
            <v>+ Sơn</v>
          </cell>
          <cell r="D704" t="str">
            <v>kg</v>
          </cell>
          <cell r="E704">
            <v>0.1</v>
          </cell>
          <cell r="F704">
            <v>47000</v>
          </cell>
          <cell r="G704">
            <v>4700</v>
          </cell>
        </row>
        <row r="705">
          <cell r="C705" t="str">
            <v>Nhân công</v>
          </cell>
          <cell r="G705">
            <v>560679.72631578939</v>
          </cell>
        </row>
        <row r="706">
          <cell r="B706" t="str">
            <v>NC1407</v>
          </cell>
          <cell r="C706" t="str">
            <v>+ Nhân công bậc 4,0/7</v>
          </cell>
          <cell r="D706" t="str">
            <v>Công</v>
          </cell>
          <cell r="E706">
            <v>2.88</v>
          </cell>
          <cell r="F706">
            <v>194680.46052631579</v>
          </cell>
          <cell r="G706">
            <v>560679.72631578939</v>
          </cell>
        </row>
        <row r="707">
          <cell r="C707" t="str">
            <v>Máy thi công</v>
          </cell>
          <cell r="G707">
            <v>242297.53968000005</v>
          </cell>
        </row>
        <row r="708">
          <cell r="B708">
            <v>7007</v>
          </cell>
          <cell r="C708" t="str">
            <v>+ Cần trục bánh xích, sức nâng 10,0 T</v>
          </cell>
          <cell r="D708" t="str">
            <v>Ca</v>
          </cell>
          <cell r="E708">
            <v>0.14000000000000001</v>
          </cell>
          <cell r="F708">
            <v>1730696.7120000001</v>
          </cell>
          <cell r="G708">
            <v>242297.53968000005</v>
          </cell>
        </row>
        <row r="709">
          <cell r="A709" t="str">
            <v>D2.5262</v>
          </cell>
          <cell r="C709" t="str">
            <v>Dựng cột bê tông bằng cần cẩu kết hợp thủ công, Chiều cao cột =&lt;18 m</v>
          </cell>
          <cell r="D709" t="str">
            <v>cột</v>
          </cell>
          <cell r="H709">
            <v>18500</v>
          </cell>
          <cell r="I709">
            <v>730051.72697368416</v>
          </cell>
          <cell r="J709">
            <v>242297.53968000005</v>
          </cell>
        </row>
        <row r="710">
          <cell r="C710" t="str">
            <v>Vật liệu</v>
          </cell>
          <cell r="G710">
            <v>18500</v>
          </cell>
        </row>
        <row r="711">
          <cell r="B711">
            <v>44</v>
          </cell>
          <cell r="C711" t="str">
            <v>+ Gỗ hộp kê máy</v>
          </cell>
          <cell r="D711" t="str">
            <v>M3</v>
          </cell>
          <cell r="E711">
            <v>6.0000000000000001E-3</v>
          </cell>
          <cell r="F711">
            <v>2300000</v>
          </cell>
          <cell r="G711">
            <v>13800</v>
          </cell>
        </row>
        <row r="712">
          <cell r="B712">
            <v>14</v>
          </cell>
          <cell r="C712" t="str">
            <v>+ Sơn</v>
          </cell>
          <cell r="D712" t="str">
            <v>kg</v>
          </cell>
          <cell r="E712">
            <v>0.1</v>
          </cell>
          <cell r="F712">
            <v>47000</v>
          </cell>
          <cell r="G712">
            <v>4700</v>
          </cell>
        </row>
        <row r="713">
          <cell r="C713" t="str">
            <v>Nhân công</v>
          </cell>
          <cell r="G713">
            <v>730051.72697368416</v>
          </cell>
        </row>
        <row r="714">
          <cell r="B714" t="str">
            <v>NC1407</v>
          </cell>
          <cell r="C714" t="str">
            <v>+ Nhân công bậc 4,0/7</v>
          </cell>
          <cell r="D714" t="str">
            <v>Công</v>
          </cell>
          <cell r="E714">
            <v>3.75</v>
          </cell>
          <cell r="F714">
            <v>194680.46052631579</v>
          </cell>
          <cell r="G714">
            <v>730051.72697368416</v>
          </cell>
        </row>
        <row r="715">
          <cell r="C715" t="str">
            <v>Máy thi công</v>
          </cell>
          <cell r="G715">
            <v>242297.53968000005</v>
          </cell>
        </row>
        <row r="716">
          <cell r="B716">
            <v>7007</v>
          </cell>
          <cell r="C716" t="str">
            <v>+ Cần trục bánh xích, sức nâng 10,0 T</v>
          </cell>
          <cell r="D716" t="str">
            <v>Ca</v>
          </cell>
          <cell r="E716">
            <v>0.14000000000000001</v>
          </cell>
          <cell r="F716">
            <v>1730696.7120000001</v>
          </cell>
          <cell r="G716">
            <v>242297.53968000005</v>
          </cell>
        </row>
        <row r="717">
          <cell r="A717" t="str">
            <v>D2.5272</v>
          </cell>
          <cell r="C717" t="str">
            <v>Dựng cột bê tông bằng cần cẩu kết hợp thủ công, Chiều cao cột =&lt;20 m</v>
          </cell>
          <cell r="D717" t="str">
            <v>cột</v>
          </cell>
          <cell r="H717">
            <v>18500</v>
          </cell>
          <cell r="I717">
            <v>850753.61250000005</v>
          </cell>
          <cell r="J717">
            <v>346139.34240000002</v>
          </cell>
        </row>
        <row r="718">
          <cell r="C718" t="str">
            <v>Vật liệu</v>
          </cell>
          <cell r="G718">
            <v>18500</v>
          </cell>
        </row>
        <row r="719">
          <cell r="B719">
            <v>44</v>
          </cell>
          <cell r="C719" t="str">
            <v>+ Gỗ hộp kê máy</v>
          </cell>
          <cell r="D719" t="str">
            <v>M3</v>
          </cell>
          <cell r="E719">
            <v>6.0000000000000001E-3</v>
          </cell>
          <cell r="F719">
            <v>2300000</v>
          </cell>
          <cell r="G719">
            <v>13800</v>
          </cell>
        </row>
        <row r="720">
          <cell r="B720">
            <v>14</v>
          </cell>
          <cell r="C720" t="str">
            <v>+ Sơn</v>
          </cell>
          <cell r="D720" t="str">
            <v>kg</v>
          </cell>
          <cell r="E720">
            <v>0.1</v>
          </cell>
          <cell r="F720">
            <v>47000</v>
          </cell>
          <cell r="G720">
            <v>4700</v>
          </cell>
        </row>
        <row r="721">
          <cell r="C721" t="str">
            <v>Nhân công</v>
          </cell>
          <cell r="G721">
            <v>850753.61250000005</v>
          </cell>
        </row>
        <row r="722">
          <cell r="B722" t="str">
            <v>NC1407</v>
          </cell>
          <cell r="C722" t="str">
            <v>+ Nhân công bậc 4,0/7</v>
          </cell>
          <cell r="D722" t="str">
            <v>Công</v>
          </cell>
          <cell r="E722">
            <v>4.37</v>
          </cell>
          <cell r="F722">
            <v>194680.46052631579</v>
          </cell>
          <cell r="G722">
            <v>850753.61250000005</v>
          </cell>
        </row>
        <row r="723">
          <cell r="C723" t="str">
            <v>Máy thi công</v>
          </cell>
          <cell r="G723">
            <v>346139.34240000002</v>
          </cell>
        </row>
        <row r="724">
          <cell r="B724">
            <v>7007</v>
          </cell>
          <cell r="C724" t="str">
            <v>+ Cần trục bánh xích, sức nâng 10,0 T</v>
          </cell>
          <cell r="D724" t="str">
            <v>Ca</v>
          </cell>
          <cell r="E724">
            <v>0.2</v>
          </cell>
          <cell r="F724">
            <v>1730696.7120000001</v>
          </cell>
          <cell r="G724">
            <v>346139.34240000002</v>
          </cell>
        </row>
        <row r="725">
          <cell r="A725" t="str">
            <v>D2.5282</v>
          </cell>
          <cell r="C725" t="str">
            <v>Dựng cột bê tông bằng cần cẩu kết hợp thủ công, Chiều cao cột &gt;20 m</v>
          </cell>
          <cell r="D725" t="str">
            <v>cột</v>
          </cell>
          <cell r="H725">
            <v>18500</v>
          </cell>
          <cell r="I725">
            <v>928625.79671052622</v>
          </cell>
          <cell r="J725">
            <v>346139.34240000002</v>
          </cell>
        </row>
        <row r="726">
          <cell r="C726" t="str">
            <v>Vật liệu</v>
          </cell>
          <cell r="G726">
            <v>18500</v>
          </cell>
        </row>
        <row r="727">
          <cell r="B727">
            <v>44</v>
          </cell>
          <cell r="C727" t="str">
            <v>+ Gỗ hộp kê máy</v>
          </cell>
          <cell r="D727" t="str">
            <v>M3</v>
          </cell>
          <cell r="E727">
            <v>6.0000000000000001E-3</v>
          </cell>
          <cell r="F727">
            <v>2300000</v>
          </cell>
          <cell r="G727">
            <v>13800</v>
          </cell>
        </row>
        <row r="728">
          <cell r="B728">
            <v>14</v>
          </cell>
          <cell r="C728" t="str">
            <v>+ Sơn</v>
          </cell>
          <cell r="D728" t="str">
            <v>kg</v>
          </cell>
          <cell r="E728">
            <v>0.1</v>
          </cell>
          <cell r="F728">
            <v>47000</v>
          </cell>
          <cell r="G728">
            <v>4700</v>
          </cell>
        </row>
        <row r="729">
          <cell r="C729" t="str">
            <v>Nhân công</v>
          </cell>
          <cell r="G729">
            <v>928625.79671052622</v>
          </cell>
        </row>
        <row r="730">
          <cell r="B730" t="str">
            <v>NC1407</v>
          </cell>
          <cell r="C730" t="str">
            <v>+ Nhân công bậc 4,0/7</v>
          </cell>
          <cell r="D730" t="str">
            <v>Công</v>
          </cell>
          <cell r="E730">
            <v>4.7699999999999996</v>
          </cell>
          <cell r="F730">
            <v>194680.46052631579</v>
          </cell>
          <cell r="G730">
            <v>928625.79671052622</v>
          </cell>
        </row>
        <row r="731">
          <cell r="C731" t="str">
            <v>Máy thi công</v>
          </cell>
          <cell r="G731">
            <v>346139.34240000002</v>
          </cell>
        </row>
        <row r="732">
          <cell r="B732">
            <v>7007</v>
          </cell>
          <cell r="C732" t="str">
            <v>+ Cần trục bánh xích, sức nâng 10,0 T</v>
          </cell>
          <cell r="D732" t="str">
            <v>Ca</v>
          </cell>
          <cell r="E732">
            <v>0.2</v>
          </cell>
          <cell r="F732">
            <v>1730696.7120000001</v>
          </cell>
          <cell r="G732">
            <v>346139.34240000002</v>
          </cell>
        </row>
        <row r="733">
          <cell r="A733" t="str">
            <v>D2.5253</v>
          </cell>
          <cell r="C733" t="str">
            <v>Dựng cột bê tông bằng thủ  công kết hợp máy kéo, Chiều cao cột =&lt; 16m</v>
          </cell>
          <cell r="D733" t="str">
            <v>cột</v>
          </cell>
          <cell r="H733">
            <v>18500</v>
          </cell>
          <cell r="I733">
            <v>630764.69210526324</v>
          </cell>
          <cell r="J733">
            <v>187464.76114285711</v>
          </cell>
        </row>
        <row r="734">
          <cell r="C734" t="str">
            <v>Vật liệu</v>
          </cell>
          <cell r="G734">
            <v>18500</v>
          </cell>
        </row>
        <row r="735">
          <cell r="B735">
            <v>44</v>
          </cell>
          <cell r="C735" t="str">
            <v>+ Gỗ hộp kê máy</v>
          </cell>
          <cell r="D735" t="str">
            <v>M3</v>
          </cell>
          <cell r="E735">
            <v>6.0000000000000001E-3</v>
          </cell>
          <cell r="F735">
            <v>2300000</v>
          </cell>
          <cell r="G735">
            <v>13800</v>
          </cell>
        </row>
        <row r="736">
          <cell r="B736">
            <v>14</v>
          </cell>
          <cell r="C736" t="str">
            <v>+ Sơn</v>
          </cell>
          <cell r="D736" t="str">
            <v>kg</v>
          </cell>
          <cell r="E736">
            <v>0.1</v>
          </cell>
          <cell r="F736">
            <v>47000</v>
          </cell>
          <cell r="G736">
            <v>4700</v>
          </cell>
        </row>
        <row r="737">
          <cell r="C737" t="str">
            <v>Nhân công</v>
          </cell>
          <cell r="G737">
            <v>630764.69210526324</v>
          </cell>
        </row>
        <row r="738">
          <cell r="B738" t="str">
            <v>NC1407</v>
          </cell>
          <cell r="C738" t="str">
            <v>+ Nhân công bậc 4,0/7</v>
          </cell>
          <cell r="D738" t="str">
            <v>Công</v>
          </cell>
          <cell r="E738">
            <v>3.24</v>
          </cell>
          <cell r="F738">
            <v>194680.46052631579</v>
          </cell>
          <cell r="G738">
            <v>630764.69210526324</v>
          </cell>
        </row>
        <row r="739">
          <cell r="C739" t="str">
            <v>Máy thi công</v>
          </cell>
          <cell r="G739">
            <v>187464.76114285711</v>
          </cell>
        </row>
        <row r="740">
          <cell r="B740">
            <v>7026</v>
          </cell>
          <cell r="C740" t="str">
            <v>+ Máy kéo bánh xích, công suất 75 CV</v>
          </cell>
          <cell r="D740" t="str">
            <v>Ca</v>
          </cell>
          <cell r="E740">
            <v>0.15</v>
          </cell>
          <cell r="F740">
            <v>1249765.0742857142</v>
          </cell>
          <cell r="G740">
            <v>187464.76114285711</v>
          </cell>
        </row>
        <row r="741">
          <cell r="A741" t="str">
            <v>D2.5263</v>
          </cell>
          <cell r="C741" t="str">
            <v>Dựng cột bê tông bằng thủ  công kết hợp máy kéo, Chiều cao cột =&lt; 18m</v>
          </cell>
          <cell r="D741" t="str">
            <v>cột</v>
          </cell>
          <cell r="H741">
            <v>18500</v>
          </cell>
          <cell r="I741">
            <v>821551.54342105251</v>
          </cell>
          <cell r="J741">
            <v>187464.76114285711</v>
          </cell>
        </row>
        <row r="742">
          <cell r="C742" t="str">
            <v>Vật liệu</v>
          </cell>
          <cell r="G742">
            <v>18500</v>
          </cell>
        </row>
        <row r="743">
          <cell r="B743">
            <v>44</v>
          </cell>
          <cell r="C743" t="str">
            <v>+ Gỗ hộp kê máy</v>
          </cell>
          <cell r="D743" t="str">
            <v>M3</v>
          </cell>
          <cell r="E743">
            <v>6.0000000000000001E-3</v>
          </cell>
          <cell r="F743">
            <v>2300000</v>
          </cell>
          <cell r="G743">
            <v>13800</v>
          </cell>
        </row>
        <row r="744">
          <cell r="B744">
            <v>14</v>
          </cell>
          <cell r="C744" t="str">
            <v>+ Sơn</v>
          </cell>
          <cell r="D744" t="str">
            <v>kg</v>
          </cell>
          <cell r="E744">
            <v>0.1</v>
          </cell>
          <cell r="F744">
            <v>47000</v>
          </cell>
          <cell r="G744">
            <v>4700</v>
          </cell>
        </row>
        <row r="745">
          <cell r="C745" t="str">
            <v>Nhân công</v>
          </cell>
          <cell r="G745">
            <v>821551.54342105251</v>
          </cell>
        </row>
        <row r="746">
          <cell r="B746" t="str">
            <v>NC1407</v>
          </cell>
          <cell r="C746" t="str">
            <v>+ Nhân công bậc 4,0/7</v>
          </cell>
          <cell r="D746" t="str">
            <v>Công</v>
          </cell>
          <cell r="E746">
            <v>4.22</v>
          </cell>
          <cell r="F746">
            <v>194680.46052631579</v>
          </cell>
          <cell r="G746">
            <v>821551.54342105251</v>
          </cell>
        </row>
        <row r="747">
          <cell r="C747" t="str">
            <v>Máy thi công</v>
          </cell>
          <cell r="G747">
            <v>187464.76114285711</v>
          </cell>
        </row>
        <row r="748">
          <cell r="B748">
            <v>7026</v>
          </cell>
          <cell r="C748" t="str">
            <v>+ Máy kéo bánh xích, công suất 75 CV</v>
          </cell>
          <cell r="D748" t="str">
            <v>Ca</v>
          </cell>
          <cell r="E748">
            <v>0.15</v>
          </cell>
          <cell r="F748">
            <v>1249765.0742857142</v>
          </cell>
          <cell r="G748">
            <v>187464.76114285711</v>
          </cell>
        </row>
        <row r="749">
          <cell r="A749" t="str">
            <v>D2.5273</v>
          </cell>
          <cell r="C749" t="str">
            <v>Dựng cột bê tông bằng thủ  công kết hợp máy kéo, Chiều cao cột =&lt; 20m</v>
          </cell>
          <cell r="D749" t="str">
            <v>cột</v>
          </cell>
          <cell r="H749">
            <v>18500</v>
          </cell>
          <cell r="I749">
            <v>955881.06118421059</v>
          </cell>
          <cell r="J749">
            <v>287445.96708571428</v>
          </cell>
        </row>
        <row r="750">
          <cell r="C750" t="str">
            <v>Vật liệu</v>
          </cell>
          <cell r="G750">
            <v>18500</v>
          </cell>
        </row>
        <row r="751">
          <cell r="B751">
            <v>44</v>
          </cell>
          <cell r="C751" t="str">
            <v>+ Gỗ hộp kê máy</v>
          </cell>
          <cell r="D751" t="str">
            <v>M3</v>
          </cell>
          <cell r="E751">
            <v>6.0000000000000001E-3</v>
          </cell>
          <cell r="F751">
            <v>2300000</v>
          </cell>
          <cell r="G751">
            <v>13800</v>
          </cell>
        </row>
        <row r="752">
          <cell r="B752">
            <v>14</v>
          </cell>
          <cell r="C752" t="str">
            <v>+ Sơn</v>
          </cell>
          <cell r="D752" t="str">
            <v>kg</v>
          </cell>
          <cell r="E752">
            <v>0.1</v>
          </cell>
          <cell r="F752">
            <v>47000</v>
          </cell>
          <cell r="G752">
            <v>4700</v>
          </cell>
        </row>
        <row r="753">
          <cell r="C753" t="str">
            <v>Nhân công</v>
          </cell>
          <cell r="G753">
            <v>955881.06118421059</v>
          </cell>
        </row>
        <row r="754">
          <cell r="B754" t="str">
            <v>NC1407</v>
          </cell>
          <cell r="C754" t="str">
            <v>+ Nhân công bậc 4,0/7</v>
          </cell>
          <cell r="D754" t="str">
            <v>Công</v>
          </cell>
          <cell r="E754">
            <v>4.91</v>
          </cell>
          <cell r="F754">
            <v>194680.46052631579</v>
          </cell>
          <cell r="G754">
            <v>955881.06118421059</v>
          </cell>
        </row>
        <row r="755">
          <cell r="C755" t="str">
            <v>Máy thi công</v>
          </cell>
          <cell r="G755">
            <v>287445.96708571428</v>
          </cell>
        </row>
        <row r="756">
          <cell r="B756">
            <v>7026</v>
          </cell>
          <cell r="C756" t="str">
            <v>+ Máy kéo bánh xích, công suất 75 CV</v>
          </cell>
          <cell r="D756" t="str">
            <v>Ca</v>
          </cell>
          <cell r="E756">
            <v>0.23</v>
          </cell>
          <cell r="F756">
            <v>1249765.0742857142</v>
          </cell>
          <cell r="G756">
            <v>287445.96708571428</v>
          </cell>
        </row>
        <row r="757">
          <cell r="A757" t="str">
            <v>D2.5283</v>
          </cell>
          <cell r="C757" t="str">
            <v>Dựng cột bê tông bằng thủ  công kết hợp máy kéo, Chiều cao cột &gt;20m</v>
          </cell>
          <cell r="D757" t="str">
            <v>cột</v>
          </cell>
          <cell r="H757">
            <v>18500</v>
          </cell>
          <cell r="I757">
            <v>1043487.2684210527</v>
          </cell>
          <cell r="J757">
            <v>1043487.2684210527</v>
          </cell>
        </row>
        <row r="758">
          <cell r="C758" t="str">
            <v>Vật liệu</v>
          </cell>
          <cell r="G758">
            <v>18500</v>
          </cell>
        </row>
        <row r="759">
          <cell r="B759">
            <v>44</v>
          </cell>
          <cell r="C759" t="str">
            <v>+ Gỗ hộp kê máy</v>
          </cell>
          <cell r="D759" t="str">
            <v>M3</v>
          </cell>
          <cell r="E759">
            <v>6.0000000000000001E-3</v>
          </cell>
          <cell r="F759">
            <v>2300000</v>
          </cell>
          <cell r="G759">
            <v>13800</v>
          </cell>
        </row>
        <row r="760">
          <cell r="B760">
            <v>14</v>
          </cell>
          <cell r="C760" t="str">
            <v>+ Sơn</v>
          </cell>
          <cell r="D760" t="str">
            <v>kg</v>
          </cell>
          <cell r="E760">
            <v>0.1</v>
          </cell>
          <cell r="F760">
            <v>47000</v>
          </cell>
          <cell r="G760">
            <v>4700</v>
          </cell>
        </row>
        <row r="761">
          <cell r="C761" t="str">
            <v>Nhân công</v>
          </cell>
          <cell r="G761">
            <v>1043487.2684210527</v>
          </cell>
        </row>
        <row r="762">
          <cell r="B762" t="str">
            <v>NC1407</v>
          </cell>
          <cell r="C762" t="str">
            <v>+ Nhân công bậc 4,0/7</v>
          </cell>
          <cell r="D762" t="str">
            <v>Công</v>
          </cell>
          <cell r="E762">
            <v>5.36</v>
          </cell>
          <cell r="F762">
            <v>194680.46052631579</v>
          </cell>
          <cell r="G762">
            <v>1043487.2684210527</v>
          </cell>
        </row>
        <row r="763">
          <cell r="C763" t="str">
            <v>Máy thi công</v>
          </cell>
        </row>
        <row r="764">
          <cell r="B764">
            <v>7026</v>
          </cell>
          <cell r="C764" t="str">
            <v>+ Máy kéo bánh xích, công suất 75 CV</v>
          </cell>
          <cell r="D764" t="str">
            <v>Ca</v>
          </cell>
          <cell r="E764">
            <v>0.23</v>
          </cell>
          <cell r="F764">
            <v>1249765.0742857142</v>
          </cell>
          <cell r="G764">
            <v>287445.96708571428</v>
          </cell>
        </row>
        <row r="765">
          <cell r="A765" t="str">
            <v>D2.530</v>
          </cell>
          <cell r="C765" t="str">
            <v>Dựng cột bằng phương pháp khoan xoáy (cột không móng) kết hợp với thủ công</v>
          </cell>
          <cell r="D765" t="str">
            <v>cột</v>
          </cell>
          <cell r="H765">
            <v>16200</v>
          </cell>
          <cell r="I765">
            <v>412722.57631578948</v>
          </cell>
          <cell r="J765">
            <v>166402.32592592595</v>
          </cell>
        </row>
        <row r="766">
          <cell r="C766" t="str">
            <v>Vật liệu</v>
          </cell>
          <cell r="G766">
            <v>16200</v>
          </cell>
        </row>
        <row r="767">
          <cell r="B767">
            <v>44</v>
          </cell>
          <cell r="C767" t="str">
            <v>+ Gỗ hộp kê máy</v>
          </cell>
          <cell r="D767" t="str">
            <v>M3</v>
          </cell>
          <cell r="E767">
            <v>5.0000000000000001E-3</v>
          </cell>
          <cell r="F767">
            <v>2300000</v>
          </cell>
          <cell r="G767">
            <v>11500</v>
          </cell>
        </row>
        <row r="768">
          <cell r="B768">
            <v>14</v>
          </cell>
          <cell r="C768" t="str">
            <v>+ Sơn</v>
          </cell>
          <cell r="D768" t="str">
            <v>kg</v>
          </cell>
          <cell r="E768">
            <v>0.1</v>
          </cell>
          <cell r="F768">
            <v>47000</v>
          </cell>
          <cell r="G768">
            <v>4700</v>
          </cell>
        </row>
        <row r="769">
          <cell r="C769" t="str">
            <v>Nhân công</v>
          </cell>
          <cell r="G769">
            <v>412722.57631578948</v>
          </cell>
        </row>
        <row r="770">
          <cell r="B770" t="str">
            <v>NC1407</v>
          </cell>
          <cell r="C770" t="str">
            <v>+ Nhân công bậc 4,0/7</v>
          </cell>
          <cell r="D770" t="str">
            <v>Công</v>
          </cell>
          <cell r="E770">
            <v>2.12</v>
          </cell>
          <cell r="F770">
            <v>194680.46052631579</v>
          </cell>
          <cell r="G770">
            <v>412722.57631578948</v>
          </cell>
        </row>
        <row r="771">
          <cell r="C771" t="str">
            <v>Máy thi công</v>
          </cell>
          <cell r="G771">
            <v>166402.32592592595</v>
          </cell>
        </row>
        <row r="772">
          <cell r="B772">
            <v>7036</v>
          </cell>
          <cell r="C772" t="str">
            <v>+ Máy khoan xoáy</v>
          </cell>
          <cell r="D772" t="str">
            <v>Ca</v>
          </cell>
          <cell r="E772">
            <v>0.1</v>
          </cell>
          <cell r="F772">
            <v>1664023.2592592593</v>
          </cell>
          <cell r="G772">
            <v>166402.32592592595</v>
          </cell>
        </row>
        <row r="773">
          <cell r="A773" t="str">
            <v>D2.6011</v>
          </cell>
          <cell r="C773" t="str">
            <v>Lắp đặt xà thép cho cột đỡ, Trọng lượng xà =&lt;15kg</v>
          </cell>
          <cell r="D773" t="str">
            <v>bộ</v>
          </cell>
          <cell r="I773">
            <v>91464.42</v>
          </cell>
          <cell r="L773" t="str">
            <v>Lắp đặt xà thép cho cột đỡ</v>
          </cell>
        </row>
        <row r="774">
          <cell r="C774" t="str">
            <v>Nhân công</v>
          </cell>
          <cell r="G774">
            <v>91464.42</v>
          </cell>
          <cell r="L774">
            <v>15</v>
          </cell>
          <cell r="M774">
            <v>91464.42</v>
          </cell>
          <cell r="N774" t="str">
            <v>D2.6011</v>
          </cell>
        </row>
        <row r="775">
          <cell r="B775" t="str">
            <v>NC1357</v>
          </cell>
          <cell r="C775" t="str">
            <v>+ Nhân công bậc 3,5/7</v>
          </cell>
          <cell r="D775" t="str">
            <v>Công</v>
          </cell>
          <cell r="E775">
            <v>0.51</v>
          </cell>
          <cell r="F775">
            <v>179342</v>
          </cell>
          <cell r="G775">
            <v>91464.42</v>
          </cell>
          <cell r="L775">
            <v>25</v>
          </cell>
          <cell r="M775">
            <v>152440.69999999998</v>
          </cell>
          <cell r="N775" t="str">
            <v>D2.6021</v>
          </cell>
        </row>
        <row r="776">
          <cell r="A776" t="str">
            <v>D2.6021</v>
          </cell>
          <cell r="C776" t="str">
            <v>Lắp đặt xà thép cho cột đỡ, Trọng lượng xà =&lt; 25kg</v>
          </cell>
          <cell r="D776" t="str">
            <v>bộ</v>
          </cell>
          <cell r="I776">
            <v>152440.69999999998</v>
          </cell>
          <cell r="L776">
            <v>50</v>
          </cell>
          <cell r="M776">
            <v>206243.3</v>
          </cell>
          <cell r="N776" t="str">
            <v>D2.6031</v>
          </cell>
        </row>
        <row r="777">
          <cell r="C777" t="str">
            <v>Nhân công</v>
          </cell>
          <cell r="G777">
            <v>152440.69999999998</v>
          </cell>
          <cell r="L777">
            <v>100</v>
          </cell>
          <cell r="M777">
            <v>277980.10000000003</v>
          </cell>
          <cell r="N777" t="str">
            <v>D2.6041</v>
          </cell>
        </row>
        <row r="778">
          <cell r="B778" t="str">
            <v>NC1357</v>
          </cell>
          <cell r="C778" t="str">
            <v>+ Nhân công bậc 3,5/7</v>
          </cell>
          <cell r="D778" t="str">
            <v>Công</v>
          </cell>
          <cell r="E778">
            <v>0.85</v>
          </cell>
          <cell r="F778">
            <v>179342</v>
          </cell>
          <cell r="G778">
            <v>152440.69999999998</v>
          </cell>
          <cell r="L778">
            <v>140</v>
          </cell>
          <cell r="M778">
            <v>333576.12</v>
          </cell>
          <cell r="N778" t="str">
            <v>D2.6051</v>
          </cell>
        </row>
        <row r="779">
          <cell r="A779" t="str">
            <v>D2.6031</v>
          </cell>
          <cell r="C779" t="str">
            <v>Lắp đặt xà thép cho cột đỡ, Trọng lượng xà =&lt; 50kg</v>
          </cell>
          <cell r="D779" t="str">
            <v>bộ</v>
          </cell>
          <cell r="I779">
            <v>206243.3</v>
          </cell>
          <cell r="L779">
            <v>230</v>
          </cell>
          <cell r="M779">
            <v>460908.93999999994</v>
          </cell>
          <cell r="N779" t="str">
            <v>D2.6061</v>
          </cell>
        </row>
        <row r="780">
          <cell r="C780" t="str">
            <v>Nhân công</v>
          </cell>
          <cell r="G780">
            <v>206243.3</v>
          </cell>
          <cell r="L780">
            <v>320</v>
          </cell>
          <cell r="M780">
            <v>588241.76</v>
          </cell>
          <cell r="N780" t="str">
            <v>D2.6071</v>
          </cell>
        </row>
        <row r="781">
          <cell r="B781" t="str">
            <v>NC1357</v>
          </cell>
          <cell r="C781" t="str">
            <v>+ Nhân công bậc 3,5/7</v>
          </cell>
          <cell r="D781" t="str">
            <v>Công</v>
          </cell>
          <cell r="E781">
            <v>1.1499999999999999</v>
          </cell>
          <cell r="F781">
            <v>179342</v>
          </cell>
          <cell r="G781">
            <v>206243.3</v>
          </cell>
          <cell r="L781">
            <v>410</v>
          </cell>
          <cell r="M781">
            <v>694053.54</v>
          </cell>
          <cell r="N781" t="str">
            <v>D2.6081</v>
          </cell>
        </row>
        <row r="782">
          <cell r="A782" t="str">
            <v>D2.6041</v>
          </cell>
          <cell r="C782" t="str">
            <v>Lắp đặt xà thép cho cột đỡ, Trọng lượng xà =&lt; 100kg</v>
          </cell>
          <cell r="D782" t="str">
            <v>bộ</v>
          </cell>
          <cell r="I782">
            <v>277980.10000000003</v>
          </cell>
          <cell r="L782">
            <v>500</v>
          </cell>
          <cell r="M782">
            <v>819592.94000000006</v>
          </cell>
          <cell r="N782" t="str">
            <v>D2.6091</v>
          </cell>
        </row>
        <row r="783">
          <cell r="C783" t="str">
            <v>Nhân công</v>
          </cell>
          <cell r="G783">
            <v>277980.10000000003</v>
          </cell>
          <cell r="L783" t="str">
            <v>Lắp đặt xà thép cho cột néo</v>
          </cell>
        </row>
        <row r="784">
          <cell r="B784" t="str">
            <v>NC1357</v>
          </cell>
          <cell r="C784" t="str">
            <v>+ Nhân công bậc 3,5/7</v>
          </cell>
          <cell r="D784" t="str">
            <v>Công</v>
          </cell>
          <cell r="E784">
            <v>1.55</v>
          </cell>
          <cell r="F784">
            <v>179342</v>
          </cell>
          <cell r="G784">
            <v>277980.10000000003</v>
          </cell>
          <cell r="L784">
            <v>15</v>
          </cell>
          <cell r="M784">
            <v>121593.876</v>
          </cell>
          <cell r="N784" t="str">
            <v>D2.6012</v>
          </cell>
        </row>
        <row r="785">
          <cell r="A785" t="str">
            <v>D2.6051</v>
          </cell>
          <cell r="C785" t="str">
            <v>Lắp đặt xà thép cho cột đỡ, Trọng lượng xà =&lt; 140kg</v>
          </cell>
          <cell r="D785" t="str">
            <v>bộ</v>
          </cell>
          <cell r="I785">
            <v>333576.12</v>
          </cell>
          <cell r="L785">
            <v>25</v>
          </cell>
          <cell r="M785">
            <v>202656.46</v>
          </cell>
          <cell r="N785" t="str">
            <v>D2.6022</v>
          </cell>
        </row>
        <row r="786">
          <cell r="C786" t="str">
            <v>Nhân công</v>
          </cell>
          <cell r="G786">
            <v>333576.12</v>
          </cell>
          <cell r="L786">
            <v>50</v>
          </cell>
          <cell r="M786">
            <v>274393.26</v>
          </cell>
          <cell r="N786" t="str">
            <v>D2.6032</v>
          </cell>
        </row>
        <row r="787">
          <cell r="B787" t="str">
            <v>NC1357</v>
          </cell>
          <cell r="C787" t="str">
            <v>+ Nhân công bậc 3,5/7</v>
          </cell>
          <cell r="D787" t="str">
            <v>Công</v>
          </cell>
          <cell r="E787">
            <v>1.86</v>
          </cell>
          <cell r="F787">
            <v>179342</v>
          </cell>
          <cell r="G787">
            <v>333576.12</v>
          </cell>
          <cell r="L787">
            <v>100</v>
          </cell>
          <cell r="M787">
            <v>369444.52</v>
          </cell>
          <cell r="N787" t="str">
            <v>D2.6042</v>
          </cell>
        </row>
        <row r="788">
          <cell r="A788" t="str">
            <v>D2.6061</v>
          </cell>
          <cell r="C788" t="str">
            <v>Lắp đặt xà thép cho cột đỡ, Trọng lượng xà =&lt; 230kg</v>
          </cell>
          <cell r="D788" t="str">
            <v>bộ</v>
          </cell>
          <cell r="I788">
            <v>460908.93999999994</v>
          </cell>
          <cell r="L788">
            <v>140</v>
          </cell>
          <cell r="M788">
            <v>442974.74000000005</v>
          </cell>
          <cell r="N788" t="str">
            <v>D2.6052</v>
          </cell>
        </row>
        <row r="789">
          <cell r="C789" t="str">
            <v>Nhân công</v>
          </cell>
          <cell r="G789">
            <v>460908.93999999994</v>
          </cell>
          <cell r="L789">
            <v>230</v>
          </cell>
          <cell r="M789">
            <v>611556.22</v>
          </cell>
          <cell r="N789" t="str">
            <v>D2.6062</v>
          </cell>
        </row>
        <row r="790">
          <cell r="B790" t="str">
            <v>NC1357</v>
          </cell>
          <cell r="C790" t="str">
            <v>+ Nhân công bậc 3,5/7</v>
          </cell>
          <cell r="D790" t="str">
            <v>Công</v>
          </cell>
          <cell r="E790">
            <v>2.57</v>
          </cell>
          <cell r="F790">
            <v>179342</v>
          </cell>
          <cell r="G790">
            <v>460908.93999999994</v>
          </cell>
          <cell r="L790">
            <v>320</v>
          </cell>
          <cell r="M790">
            <v>781931.12000000011</v>
          </cell>
          <cell r="N790" t="str">
            <v>D2.6072</v>
          </cell>
        </row>
        <row r="791">
          <cell r="A791" t="str">
            <v>D2.6071</v>
          </cell>
          <cell r="C791" t="str">
            <v>Lắp đặt xà thép cho cột đỡ, Trọng lượng xà =&lt; 320kg</v>
          </cell>
          <cell r="D791" t="str">
            <v>bộ</v>
          </cell>
          <cell r="I791">
            <v>588241.76</v>
          </cell>
          <cell r="L791">
            <v>410</v>
          </cell>
          <cell r="M791">
            <v>921817.87999999989</v>
          </cell>
          <cell r="N791" t="str">
            <v>D2.6082</v>
          </cell>
        </row>
        <row r="792">
          <cell r="C792" t="str">
            <v>Nhân công</v>
          </cell>
          <cell r="G792">
            <v>588241.76</v>
          </cell>
          <cell r="L792">
            <v>500</v>
          </cell>
          <cell r="M792">
            <v>1088605.94</v>
          </cell>
          <cell r="N792" t="str">
            <v>D2.6092</v>
          </cell>
        </row>
        <row r="793">
          <cell r="B793" t="str">
            <v>NC1357</v>
          </cell>
          <cell r="C793" t="str">
            <v>+ Nhân công bậc 3,5/7</v>
          </cell>
          <cell r="D793" t="str">
            <v>Công</v>
          </cell>
          <cell r="E793">
            <v>3.28</v>
          </cell>
          <cell r="F793">
            <v>179342</v>
          </cell>
          <cell r="G793">
            <v>588241.76</v>
          </cell>
          <cell r="L793" t="str">
            <v>Lắp đặt xà thép cho cột đúp</v>
          </cell>
        </row>
        <row r="794">
          <cell r="A794" t="str">
            <v>D2.6081</v>
          </cell>
          <cell r="C794" t="str">
            <v>Lắp đặt xà thép cho cột đỡ, Trọng lượng xà =&lt; 410kg</v>
          </cell>
          <cell r="D794" t="str">
            <v>bộ</v>
          </cell>
          <cell r="I794">
            <v>694053.54</v>
          </cell>
          <cell r="L794">
            <v>140</v>
          </cell>
          <cell r="M794">
            <v>376618.2</v>
          </cell>
          <cell r="N794" t="str">
            <v>D2.6053</v>
          </cell>
        </row>
        <row r="795">
          <cell r="C795" t="str">
            <v>Nhân công</v>
          </cell>
          <cell r="G795">
            <v>694053.54</v>
          </cell>
          <cell r="L795">
            <v>230</v>
          </cell>
          <cell r="M795">
            <v>536232.58000000007</v>
          </cell>
          <cell r="N795" t="str">
            <v>D2.6063</v>
          </cell>
        </row>
        <row r="796">
          <cell r="B796" t="str">
            <v>NC1357</v>
          </cell>
          <cell r="C796" t="str">
            <v>+ Nhân công bậc 3,5/7</v>
          </cell>
          <cell r="D796" t="str">
            <v>Công</v>
          </cell>
          <cell r="E796">
            <v>3.87</v>
          </cell>
          <cell r="F796">
            <v>179342</v>
          </cell>
          <cell r="G796">
            <v>694053.54</v>
          </cell>
          <cell r="L796">
            <v>320</v>
          </cell>
          <cell r="M796">
            <v>672532.5</v>
          </cell>
          <cell r="N796" t="str">
            <v>D2.6073</v>
          </cell>
        </row>
        <row r="797">
          <cell r="A797" t="str">
            <v>D2.6091</v>
          </cell>
          <cell r="C797" t="str">
            <v>Lắp đặt xà thép cho cột đỡ, Trọng lượng xà =&lt; 500kg</v>
          </cell>
          <cell r="D797" t="str">
            <v>bộ</v>
          </cell>
          <cell r="I797">
            <v>819592.94000000006</v>
          </cell>
          <cell r="L797">
            <v>410</v>
          </cell>
          <cell r="M797">
            <v>742475.87999999989</v>
          </cell>
          <cell r="N797" t="str">
            <v>D2.6083</v>
          </cell>
        </row>
        <row r="798">
          <cell r="C798" t="str">
            <v>Nhân công</v>
          </cell>
          <cell r="G798">
            <v>819592.94000000006</v>
          </cell>
          <cell r="L798">
            <v>500</v>
          </cell>
          <cell r="M798">
            <v>810625.84</v>
          </cell>
          <cell r="N798" t="str">
            <v>D2.6093</v>
          </cell>
        </row>
        <row r="799">
          <cell r="B799" t="str">
            <v>NC1357</v>
          </cell>
          <cell r="C799" t="str">
            <v>+ Nhân công bậc 3,5/7</v>
          </cell>
          <cell r="D799" t="str">
            <v>Công</v>
          </cell>
          <cell r="E799">
            <v>4.57</v>
          </cell>
          <cell r="F799">
            <v>179342</v>
          </cell>
          <cell r="G799">
            <v>819592.94000000006</v>
          </cell>
          <cell r="L799">
            <v>750</v>
          </cell>
          <cell r="M799">
            <v>1038390.18</v>
          </cell>
          <cell r="N799" t="str">
            <v>D2.6103</v>
          </cell>
        </row>
        <row r="800">
          <cell r="A800" t="str">
            <v>D2.6012</v>
          </cell>
          <cell r="C800" t="str">
            <v>Lắp đặt xà thép cho cột néo, Trọng lượng xà =&lt;15kg</v>
          </cell>
          <cell r="D800" t="str">
            <v>bộ</v>
          </cell>
          <cell r="I800">
            <v>121593.876</v>
          </cell>
          <cell r="L800">
            <v>1000</v>
          </cell>
          <cell r="M800">
            <v>1224905.8600000001</v>
          </cell>
          <cell r="N800" t="str">
            <v>D2.6113</v>
          </cell>
        </row>
        <row r="801">
          <cell r="C801" t="str">
            <v>Nhân công</v>
          </cell>
          <cell r="G801">
            <v>121593.876</v>
          </cell>
          <cell r="L801" t="str">
            <v>Lắp đặt xà thép cho cột II</v>
          </cell>
        </row>
        <row r="802">
          <cell r="B802" t="str">
            <v>NC1357</v>
          </cell>
          <cell r="C802" t="str">
            <v>+ Nhân công bậc 3,5/7</v>
          </cell>
          <cell r="D802" t="str">
            <v>Công</v>
          </cell>
          <cell r="E802">
            <v>0.67800000000000005</v>
          </cell>
          <cell r="F802">
            <v>179342</v>
          </cell>
          <cell r="G802">
            <v>121593.876</v>
          </cell>
          <cell r="L802">
            <v>140</v>
          </cell>
          <cell r="M802">
            <v>417866.86</v>
          </cell>
          <cell r="N802" t="str">
            <v>D2.6054</v>
          </cell>
        </row>
        <row r="803">
          <cell r="A803" t="str">
            <v>D2.6022</v>
          </cell>
          <cell r="C803" t="str">
            <v>Lắp đặt xà thép cho cột néo, Trọng lượng xà =&lt; 25kg</v>
          </cell>
          <cell r="D803" t="str">
            <v>bộ</v>
          </cell>
          <cell r="I803">
            <v>202656.46</v>
          </cell>
          <cell r="L803">
            <v>230</v>
          </cell>
          <cell r="M803">
            <v>597208.86</v>
          </cell>
          <cell r="N803" t="str">
            <v>D2.6064</v>
          </cell>
        </row>
        <row r="804">
          <cell r="C804" t="str">
            <v>Nhân công</v>
          </cell>
          <cell r="G804">
            <v>202656.46</v>
          </cell>
          <cell r="L804">
            <v>320</v>
          </cell>
          <cell r="M804">
            <v>747856.14</v>
          </cell>
          <cell r="N804" t="str">
            <v>D2.6074</v>
          </cell>
        </row>
        <row r="805">
          <cell r="B805" t="str">
            <v>NC1357</v>
          </cell>
          <cell r="C805" t="str">
            <v>+ Nhân công bậc 3,5/7</v>
          </cell>
          <cell r="D805" t="str">
            <v>Công</v>
          </cell>
          <cell r="E805">
            <v>1.1299999999999999</v>
          </cell>
          <cell r="F805">
            <v>179342</v>
          </cell>
          <cell r="G805">
            <v>202656.46</v>
          </cell>
          <cell r="L805">
            <v>410</v>
          </cell>
          <cell r="M805">
            <v>824973.2</v>
          </cell>
          <cell r="N805" t="str">
            <v>D2.6084</v>
          </cell>
        </row>
        <row r="806">
          <cell r="A806" t="str">
            <v>D2.6032</v>
          </cell>
          <cell r="C806" t="str">
            <v>Lắp đặt xà thép cho cột néo, Trọng lượng xà =&lt; 50kg</v>
          </cell>
          <cell r="D806" t="str">
            <v>bộ</v>
          </cell>
          <cell r="I806">
            <v>274393.26</v>
          </cell>
          <cell r="L806">
            <v>500</v>
          </cell>
          <cell r="M806">
            <v>900296.84</v>
          </cell>
          <cell r="N806" t="str">
            <v>D2.6094</v>
          </cell>
        </row>
        <row r="807">
          <cell r="C807" t="str">
            <v>Nhân công</v>
          </cell>
          <cell r="G807">
            <v>274393.26</v>
          </cell>
          <cell r="L807">
            <v>750</v>
          </cell>
          <cell r="M807">
            <v>1153169.06</v>
          </cell>
          <cell r="N807" t="str">
            <v>D2.6104</v>
          </cell>
        </row>
        <row r="808">
          <cell r="B808" t="str">
            <v>NC1357</v>
          </cell>
          <cell r="C808" t="str">
            <v>+ Nhân công bậc 3,5/7</v>
          </cell>
          <cell r="D808" t="str">
            <v>Công</v>
          </cell>
          <cell r="E808">
            <v>1.53</v>
          </cell>
          <cell r="F808">
            <v>179342</v>
          </cell>
          <cell r="G808">
            <v>274393.26</v>
          </cell>
          <cell r="L808">
            <v>1000</v>
          </cell>
          <cell r="M808">
            <v>1361205.78</v>
          </cell>
          <cell r="N808" t="str">
            <v>D2.6114</v>
          </cell>
        </row>
        <row r="809">
          <cell r="A809" t="str">
            <v>D2.6042</v>
          </cell>
          <cell r="C809" t="str">
            <v>Lắp đặt xà thép cho cột néo, Trọng lượng xà =&lt; 100kg</v>
          </cell>
          <cell r="D809" t="str">
            <v>bộ</v>
          </cell>
          <cell r="I809">
            <v>369444.52</v>
          </cell>
        </row>
        <row r="810">
          <cell r="C810" t="str">
            <v>Nhân công</v>
          </cell>
          <cell r="G810">
            <v>369444.52</v>
          </cell>
        </row>
        <row r="811">
          <cell r="B811" t="str">
            <v>NC1357</v>
          </cell>
          <cell r="C811" t="str">
            <v>+ Nhân công bậc 3,5/7</v>
          </cell>
          <cell r="D811" t="str">
            <v>Công</v>
          </cell>
          <cell r="E811">
            <v>2.06</v>
          </cell>
          <cell r="F811">
            <v>179342</v>
          </cell>
          <cell r="G811">
            <v>369444.52</v>
          </cell>
        </row>
        <row r="812">
          <cell r="A812" t="str">
            <v>D2.6052</v>
          </cell>
          <cell r="C812" t="str">
            <v>Lắp đặt xà thép cho cột néo, Trọng lượng xà =&lt; 140kg</v>
          </cell>
          <cell r="D812" t="str">
            <v>bộ</v>
          </cell>
          <cell r="I812">
            <v>442974.74000000005</v>
          </cell>
        </row>
        <row r="813">
          <cell r="C813" t="str">
            <v>Nhân công</v>
          </cell>
          <cell r="G813">
            <v>442974.74000000005</v>
          </cell>
        </row>
        <row r="814">
          <cell r="B814" t="str">
            <v>NC1357</v>
          </cell>
          <cell r="C814" t="str">
            <v>+ Nhân công bậc 3,5/7</v>
          </cell>
          <cell r="D814" t="str">
            <v>Công</v>
          </cell>
          <cell r="E814">
            <v>2.4700000000000002</v>
          </cell>
          <cell r="F814">
            <v>179342</v>
          </cell>
          <cell r="G814">
            <v>442974.74000000005</v>
          </cell>
        </row>
        <row r="815">
          <cell r="A815" t="str">
            <v>D2.6062</v>
          </cell>
          <cell r="C815" t="str">
            <v>Lắp đặt xà thép cho cột néo, Trọng lượng xà =&lt; 230kg</v>
          </cell>
          <cell r="D815" t="str">
            <v>bộ</v>
          </cell>
          <cell r="I815">
            <v>611556.22</v>
          </cell>
        </row>
        <row r="816">
          <cell r="C816" t="str">
            <v>Nhân công</v>
          </cell>
          <cell r="G816">
            <v>611556.22</v>
          </cell>
        </row>
        <row r="817">
          <cell r="B817" t="str">
            <v>NC1357</v>
          </cell>
          <cell r="C817" t="str">
            <v>+ Nhân công bậc 3,5/7</v>
          </cell>
          <cell r="D817" t="str">
            <v>Công</v>
          </cell>
          <cell r="E817">
            <v>3.41</v>
          </cell>
          <cell r="F817">
            <v>179342</v>
          </cell>
          <cell r="G817">
            <v>611556.22</v>
          </cell>
        </row>
        <row r="818">
          <cell r="A818" t="str">
            <v>D2.6072</v>
          </cell>
          <cell r="C818" t="str">
            <v>Lắp đặt xà thép cho cột néo, Trọng lượng xà =&lt; 320kg</v>
          </cell>
          <cell r="D818" t="str">
            <v>bộ</v>
          </cell>
          <cell r="I818">
            <v>781931.12000000011</v>
          </cell>
        </row>
        <row r="819">
          <cell r="C819" t="str">
            <v>Nhân công</v>
          </cell>
          <cell r="G819">
            <v>781931.12000000011</v>
          </cell>
        </row>
        <row r="820">
          <cell r="B820" t="str">
            <v>NC1357</v>
          </cell>
          <cell r="C820" t="str">
            <v>+ Nhân công bậc 3,5/7</v>
          </cell>
          <cell r="D820" t="str">
            <v>Công</v>
          </cell>
          <cell r="E820">
            <v>4.3600000000000003</v>
          </cell>
          <cell r="F820">
            <v>179342</v>
          </cell>
          <cell r="G820">
            <v>781931.12000000011</v>
          </cell>
        </row>
        <row r="821">
          <cell r="A821" t="str">
            <v>D2.6082</v>
          </cell>
          <cell r="C821" t="str">
            <v>Lắp đặt xà thép cho cột néo, Trọng lượng xà =&lt; 410kg</v>
          </cell>
          <cell r="D821" t="str">
            <v>bộ</v>
          </cell>
          <cell r="I821">
            <v>921817.87999999989</v>
          </cell>
        </row>
        <row r="822">
          <cell r="C822" t="str">
            <v>Nhân công</v>
          </cell>
          <cell r="G822">
            <v>921817.87999999989</v>
          </cell>
        </row>
        <row r="823">
          <cell r="B823" t="str">
            <v>NC1357</v>
          </cell>
          <cell r="C823" t="str">
            <v>+ Nhân công bậc 3,5/7</v>
          </cell>
          <cell r="D823" t="str">
            <v>Công</v>
          </cell>
          <cell r="E823">
            <v>5.14</v>
          </cell>
          <cell r="F823">
            <v>179342</v>
          </cell>
          <cell r="G823">
            <v>921817.87999999989</v>
          </cell>
        </row>
        <row r="824">
          <cell r="A824" t="str">
            <v>D2.6092</v>
          </cell>
          <cell r="C824" t="str">
            <v>Lắp đặt xà thép cho cột néo, Trọng lượng xà =&lt; 500kg</v>
          </cell>
          <cell r="D824" t="str">
            <v>bộ</v>
          </cell>
          <cell r="I824">
            <v>1088605.94</v>
          </cell>
        </row>
        <row r="825">
          <cell r="C825" t="str">
            <v>Nhân công</v>
          </cell>
          <cell r="G825">
            <v>1088605.94</v>
          </cell>
        </row>
        <row r="826">
          <cell r="B826" t="str">
            <v>NC1357</v>
          </cell>
          <cell r="C826" t="str">
            <v>+ Nhân công bậc 3,5/7</v>
          </cell>
          <cell r="D826" t="str">
            <v>Công</v>
          </cell>
          <cell r="E826">
            <v>6.07</v>
          </cell>
          <cell r="F826">
            <v>179342</v>
          </cell>
          <cell r="G826">
            <v>1088605.94</v>
          </cell>
        </row>
        <row r="827">
          <cell r="A827" t="str">
            <v>D2.6053</v>
          </cell>
          <cell r="C827" t="str">
            <v>Lắp đặt xà thép cho cột đúp, Trọng lượng xà =&lt; 140kg</v>
          </cell>
          <cell r="D827" t="str">
            <v>bộ</v>
          </cell>
          <cell r="I827">
            <v>376618.2</v>
          </cell>
        </row>
        <row r="828">
          <cell r="C828" t="str">
            <v>Nhân công</v>
          </cell>
          <cell r="G828">
            <v>376618.2</v>
          </cell>
        </row>
        <row r="829">
          <cell r="B829" t="str">
            <v>NC1357</v>
          </cell>
          <cell r="C829" t="str">
            <v>+ Nhân công bậc 3,5/7</v>
          </cell>
          <cell r="D829" t="str">
            <v>Công</v>
          </cell>
          <cell r="E829">
            <v>2.1</v>
          </cell>
          <cell r="F829">
            <v>179342</v>
          </cell>
          <cell r="G829">
            <v>376618.2</v>
          </cell>
        </row>
        <row r="830">
          <cell r="A830" t="str">
            <v>D2.6063</v>
          </cell>
          <cell r="C830" t="str">
            <v>Lắp đặt xà thép cho cột đúp, Trọng lượng xà =&lt; 230kg</v>
          </cell>
          <cell r="D830" t="str">
            <v>bộ</v>
          </cell>
          <cell r="I830">
            <v>536232.58000000007</v>
          </cell>
        </row>
        <row r="831">
          <cell r="C831" t="str">
            <v>Nhân công</v>
          </cell>
          <cell r="G831">
            <v>536232.58000000007</v>
          </cell>
        </row>
        <row r="832">
          <cell r="B832" t="str">
            <v>NC1357</v>
          </cell>
          <cell r="C832" t="str">
            <v>+ Nhân công bậc 3,5/7</v>
          </cell>
          <cell r="D832" t="str">
            <v>Công</v>
          </cell>
          <cell r="E832">
            <v>2.99</v>
          </cell>
          <cell r="F832">
            <v>179342</v>
          </cell>
          <cell r="G832">
            <v>536232.58000000007</v>
          </cell>
        </row>
        <row r="833">
          <cell r="A833" t="str">
            <v>D2.6073</v>
          </cell>
          <cell r="C833" t="str">
            <v>Lắp đặt xà thép cho cột đúp, Trọng lượng xà =&lt; 320kg</v>
          </cell>
          <cell r="D833" t="str">
            <v>bộ</v>
          </cell>
          <cell r="I833">
            <v>672532.5</v>
          </cell>
        </row>
        <row r="834">
          <cell r="C834" t="str">
            <v>Nhân công</v>
          </cell>
          <cell r="G834">
            <v>672532.5</v>
          </cell>
        </row>
        <row r="835">
          <cell r="B835" t="str">
            <v>NC1357</v>
          </cell>
          <cell r="C835" t="str">
            <v>+ Nhân công bậc 3,5/7</v>
          </cell>
          <cell r="D835" t="str">
            <v>Công</v>
          </cell>
          <cell r="E835">
            <v>3.75</v>
          </cell>
          <cell r="F835">
            <v>179342</v>
          </cell>
          <cell r="G835">
            <v>672532.5</v>
          </cell>
        </row>
        <row r="836">
          <cell r="A836" t="str">
            <v>D2.6083</v>
          </cell>
          <cell r="C836" t="str">
            <v>Lắp đặt xà thép cho cột đúp, Trọng lượng xà =&lt; 410kg</v>
          </cell>
          <cell r="D836" t="str">
            <v>bộ</v>
          </cell>
          <cell r="I836">
            <v>742475.87999999989</v>
          </cell>
        </row>
        <row r="837">
          <cell r="C837" t="str">
            <v>Nhân công</v>
          </cell>
          <cell r="G837">
            <v>742475.87999999989</v>
          </cell>
        </row>
        <row r="838">
          <cell r="B838" t="str">
            <v>NC1357</v>
          </cell>
          <cell r="C838" t="str">
            <v>+ Nhân công bậc 3,5/7</v>
          </cell>
          <cell r="D838" t="str">
            <v>Công</v>
          </cell>
          <cell r="E838">
            <v>4.1399999999999997</v>
          </cell>
          <cell r="F838">
            <v>179342</v>
          </cell>
          <cell r="G838">
            <v>742475.87999999989</v>
          </cell>
        </row>
        <row r="839">
          <cell r="A839" t="str">
            <v>D2.6093</v>
          </cell>
          <cell r="C839" t="str">
            <v>Lắp đặt xà thép cho cột đúp, Trọng lượng xà =&lt; 500kg</v>
          </cell>
          <cell r="D839" t="str">
            <v>bộ</v>
          </cell>
          <cell r="I839">
            <v>810625.84</v>
          </cell>
        </row>
        <row r="840">
          <cell r="C840" t="str">
            <v>Nhân công</v>
          </cell>
          <cell r="G840">
            <v>810625.84</v>
          </cell>
        </row>
        <row r="841">
          <cell r="B841" t="str">
            <v>NC1357</v>
          </cell>
          <cell r="C841" t="str">
            <v>+ Nhân công bậc 3,5/7</v>
          </cell>
          <cell r="D841" t="str">
            <v>Công</v>
          </cell>
          <cell r="E841">
            <v>4.5199999999999996</v>
          </cell>
          <cell r="F841">
            <v>179342</v>
          </cell>
          <cell r="G841">
            <v>810625.84</v>
          </cell>
        </row>
        <row r="842">
          <cell r="A842" t="str">
            <v>D2.6103</v>
          </cell>
          <cell r="C842" t="str">
            <v>Lắp đặt xà thép cho cột đúp, Trọng lượng xà =&lt; 750kg</v>
          </cell>
          <cell r="D842" t="str">
            <v>bộ</v>
          </cell>
          <cell r="I842">
            <v>1038390.18</v>
          </cell>
        </row>
        <row r="843">
          <cell r="C843" t="str">
            <v>Nhân công</v>
          </cell>
          <cell r="G843">
            <v>1038390.18</v>
          </cell>
        </row>
        <row r="844">
          <cell r="B844" t="str">
            <v>NC1357</v>
          </cell>
          <cell r="C844" t="str">
            <v>+ Nhân công bậc 3,5/7</v>
          </cell>
          <cell r="D844" t="str">
            <v>Công</v>
          </cell>
          <cell r="E844">
            <v>5.79</v>
          </cell>
          <cell r="F844">
            <v>179342</v>
          </cell>
          <cell r="G844">
            <v>1038390.18</v>
          </cell>
        </row>
        <row r="845">
          <cell r="A845" t="str">
            <v>D2.6113</v>
          </cell>
          <cell r="C845" t="str">
            <v>Lắp đặt xà thép cho cột đúp, Trọng lượng xà =&lt; 1000kg</v>
          </cell>
          <cell r="D845" t="str">
            <v>bộ</v>
          </cell>
          <cell r="I845">
            <v>1224905.8600000001</v>
          </cell>
        </row>
        <row r="846">
          <cell r="C846" t="str">
            <v>Nhân công</v>
          </cell>
          <cell r="G846">
            <v>1224905.8600000001</v>
          </cell>
        </row>
        <row r="847">
          <cell r="B847" t="str">
            <v>NC1357</v>
          </cell>
          <cell r="C847" t="str">
            <v>+ Nhân công bậc 3,5/7</v>
          </cell>
          <cell r="D847" t="str">
            <v>Công</v>
          </cell>
          <cell r="E847">
            <v>6.83</v>
          </cell>
          <cell r="F847">
            <v>179342</v>
          </cell>
          <cell r="G847">
            <v>1224905.8600000001</v>
          </cell>
        </row>
        <row r="848">
          <cell r="A848" t="str">
            <v>D2.6054</v>
          </cell>
          <cell r="C848" t="str">
            <v>Lắp đặt xà cho cột hình P, Trọng lượng xà =&lt; 140kg</v>
          </cell>
          <cell r="D848" t="str">
            <v>bộ</v>
          </cell>
          <cell r="I848">
            <v>417866.86</v>
          </cell>
        </row>
        <row r="849">
          <cell r="C849" t="str">
            <v>Nhân công</v>
          </cell>
          <cell r="G849">
            <v>417866.86</v>
          </cell>
        </row>
        <row r="850">
          <cell r="B850" t="str">
            <v>NC1357</v>
          </cell>
          <cell r="C850" t="str">
            <v>+ Nhân công bậc 3,5/7</v>
          </cell>
          <cell r="D850" t="str">
            <v>Công</v>
          </cell>
          <cell r="E850">
            <v>2.33</v>
          </cell>
          <cell r="F850">
            <v>179342</v>
          </cell>
          <cell r="G850">
            <v>417866.86</v>
          </cell>
        </row>
        <row r="851">
          <cell r="A851" t="str">
            <v>D2.6064</v>
          </cell>
          <cell r="C851" t="str">
            <v>Lắp đặt xà cho cột hình P, Trọng lượng xà =&lt; 230kg</v>
          </cell>
          <cell r="D851" t="str">
            <v>bộ</v>
          </cell>
          <cell r="I851">
            <v>597208.86</v>
          </cell>
        </row>
        <row r="852">
          <cell r="C852" t="str">
            <v>Nhân công</v>
          </cell>
          <cell r="G852">
            <v>597208.86</v>
          </cell>
        </row>
        <row r="853">
          <cell r="B853" t="str">
            <v>NC1357</v>
          </cell>
          <cell r="C853" t="str">
            <v>+ Nhân công bậc 3,5/7</v>
          </cell>
          <cell r="D853" t="str">
            <v>Công</v>
          </cell>
          <cell r="E853">
            <v>3.33</v>
          </cell>
          <cell r="F853">
            <v>179342</v>
          </cell>
          <cell r="G853">
            <v>597208.86</v>
          </cell>
        </row>
        <row r="854">
          <cell r="A854" t="str">
            <v>D2.6074</v>
          </cell>
          <cell r="C854" t="str">
            <v>Lắp đặt xà cho cột hình P, Trọng lượng xà =&lt; 320kg</v>
          </cell>
          <cell r="D854" t="str">
            <v>bộ</v>
          </cell>
          <cell r="I854">
            <v>747856.14</v>
          </cell>
        </row>
        <row r="855">
          <cell r="C855" t="str">
            <v>Nhân công</v>
          </cell>
          <cell r="G855">
            <v>747856.14</v>
          </cell>
        </row>
        <row r="856">
          <cell r="B856" t="str">
            <v>NC1357</v>
          </cell>
          <cell r="C856" t="str">
            <v>+ Nhân công bậc 3,5/7</v>
          </cell>
          <cell r="D856" t="str">
            <v>Công</v>
          </cell>
          <cell r="E856">
            <v>4.17</v>
          </cell>
          <cell r="F856">
            <v>179342</v>
          </cell>
          <cell r="G856">
            <v>747856.14</v>
          </cell>
        </row>
        <row r="857">
          <cell r="A857" t="str">
            <v>D2.6084</v>
          </cell>
          <cell r="C857" t="str">
            <v>Lắp đặt xà cho cột hình P, Trọng lượng xà =&lt; 410kg</v>
          </cell>
          <cell r="D857" t="str">
            <v>bộ</v>
          </cell>
          <cell r="I857">
            <v>824973.2</v>
          </cell>
        </row>
        <row r="858">
          <cell r="C858" t="str">
            <v>Nhân công</v>
          </cell>
          <cell r="G858">
            <v>824973.2</v>
          </cell>
        </row>
        <row r="859">
          <cell r="B859" t="str">
            <v>NC1357</v>
          </cell>
          <cell r="C859" t="str">
            <v>+ Nhân công bậc 3,5/7</v>
          </cell>
          <cell r="D859" t="str">
            <v>Công</v>
          </cell>
          <cell r="E859">
            <v>4.5999999999999996</v>
          </cell>
          <cell r="F859">
            <v>179342</v>
          </cell>
          <cell r="G859">
            <v>824973.2</v>
          </cell>
        </row>
        <row r="860">
          <cell r="A860" t="str">
            <v>D2.6094</v>
          </cell>
          <cell r="C860" t="str">
            <v>Lắp đặt xà cho cột hình P, Trọng lượng xà =&lt; 500kg</v>
          </cell>
          <cell r="D860" t="str">
            <v>bộ</v>
          </cell>
          <cell r="I860">
            <v>900296.84</v>
          </cell>
        </row>
        <row r="861">
          <cell r="C861" t="str">
            <v>Nhân công</v>
          </cell>
          <cell r="G861">
            <v>900296.84</v>
          </cell>
        </row>
        <row r="862">
          <cell r="B862" t="str">
            <v>NC1357</v>
          </cell>
          <cell r="C862" t="str">
            <v>+ Nhân công bậc 3,5/7</v>
          </cell>
          <cell r="D862" t="str">
            <v>Công</v>
          </cell>
          <cell r="E862">
            <v>5.0199999999999996</v>
          </cell>
          <cell r="F862">
            <v>179342</v>
          </cell>
          <cell r="G862">
            <v>900296.84</v>
          </cell>
        </row>
        <row r="863">
          <cell r="A863" t="str">
            <v>D2.6104</v>
          </cell>
          <cell r="C863" t="str">
            <v>Lắp đặt xà cho cột hình P, Trọng lượng xà =&lt; 750kg</v>
          </cell>
          <cell r="D863" t="str">
            <v>bộ</v>
          </cell>
          <cell r="I863">
            <v>1153169.06</v>
          </cell>
        </row>
        <row r="864">
          <cell r="C864" t="str">
            <v>Nhân công</v>
          </cell>
          <cell r="G864">
            <v>1153169.06</v>
          </cell>
        </row>
        <row r="865">
          <cell r="B865" t="str">
            <v>NC1357</v>
          </cell>
          <cell r="C865" t="str">
            <v>+ Nhân công bậc 3,5/7</v>
          </cell>
          <cell r="D865" t="str">
            <v>Công</v>
          </cell>
          <cell r="E865">
            <v>6.43</v>
          </cell>
          <cell r="F865">
            <v>179342</v>
          </cell>
          <cell r="G865">
            <v>1153169.06</v>
          </cell>
        </row>
        <row r="866">
          <cell r="A866" t="str">
            <v>D2.6114</v>
          </cell>
          <cell r="C866" t="str">
            <v>Lắp đặt xà cho cột hình P, Trọng lượng xà =&lt; 1000kg</v>
          </cell>
          <cell r="D866" t="str">
            <v>bộ</v>
          </cell>
          <cell r="I866">
            <v>1361205.78</v>
          </cell>
        </row>
        <row r="867">
          <cell r="C867" t="str">
            <v>Nhân công</v>
          </cell>
          <cell r="G867">
            <v>1361205.78</v>
          </cell>
        </row>
        <row r="868">
          <cell r="B868" t="str">
            <v>NC1357</v>
          </cell>
          <cell r="C868" t="str">
            <v>+ Nhân công bậc 3,5/7</v>
          </cell>
          <cell r="D868" t="str">
            <v>Công</v>
          </cell>
          <cell r="E868">
            <v>7.59</v>
          </cell>
          <cell r="F868">
            <v>179342</v>
          </cell>
          <cell r="G868">
            <v>1361205.78</v>
          </cell>
        </row>
        <row r="869">
          <cell r="A869" t="str">
            <v>D2.7001</v>
          </cell>
          <cell r="C869" t="str">
            <v>Kéo rải và lắp tiếp địa cột điện, Thép tròn D= 8-10mm</v>
          </cell>
          <cell r="D869" t="str">
            <v>100kg</v>
          </cell>
          <cell r="H869">
            <v>1880</v>
          </cell>
          <cell r="I869">
            <v>179342</v>
          </cell>
        </row>
        <row r="870">
          <cell r="C870" t="str">
            <v>Vật liệu</v>
          </cell>
          <cell r="G870">
            <v>1880</v>
          </cell>
        </row>
        <row r="871">
          <cell r="B871">
            <v>14</v>
          </cell>
          <cell r="C871" t="str">
            <v>+ Sơn</v>
          </cell>
          <cell r="D871" t="str">
            <v>kg</v>
          </cell>
          <cell r="E871">
            <v>0.04</v>
          </cell>
          <cell r="F871">
            <v>47000</v>
          </cell>
          <cell r="G871">
            <v>1880</v>
          </cell>
        </row>
        <row r="872">
          <cell r="C872" t="str">
            <v>Nhân công</v>
          </cell>
          <cell r="G872">
            <v>179342</v>
          </cell>
        </row>
        <row r="873">
          <cell r="B873" t="str">
            <v>NC1357</v>
          </cell>
          <cell r="C873" t="str">
            <v>+ Nhân công bậc 3,5/7</v>
          </cell>
          <cell r="D873" t="str">
            <v>Công</v>
          </cell>
          <cell r="E873">
            <v>1</v>
          </cell>
          <cell r="F873">
            <v>179342</v>
          </cell>
          <cell r="G873">
            <v>179342</v>
          </cell>
        </row>
        <row r="874">
          <cell r="A874" t="str">
            <v>D2.7002</v>
          </cell>
          <cell r="C874" t="str">
            <v>Kéo rải và lắp tiếp địa cột điện, Thép tròn D=12-14 mm</v>
          </cell>
          <cell r="D874" t="str">
            <v>100kg</v>
          </cell>
          <cell r="H874">
            <v>1410</v>
          </cell>
          <cell r="I874">
            <v>134506.5</v>
          </cell>
        </row>
        <row r="875">
          <cell r="C875" t="str">
            <v>Vật liệu</v>
          </cell>
          <cell r="G875">
            <v>1410</v>
          </cell>
        </row>
        <row r="876">
          <cell r="B876">
            <v>14</v>
          </cell>
          <cell r="C876" t="str">
            <v>+ Sơn</v>
          </cell>
          <cell r="D876" t="str">
            <v>kg</v>
          </cell>
          <cell r="E876">
            <v>0.03</v>
          </cell>
          <cell r="F876">
            <v>47000</v>
          </cell>
          <cell r="G876">
            <v>1410</v>
          </cell>
        </row>
        <row r="877">
          <cell r="C877" t="str">
            <v>Nhân công</v>
          </cell>
          <cell r="G877">
            <v>134506.5</v>
          </cell>
        </row>
        <row r="878">
          <cell r="B878" t="str">
            <v>NC1357</v>
          </cell>
          <cell r="C878" t="str">
            <v>+ Nhân công bậc 3,5/7</v>
          </cell>
          <cell r="D878" t="str">
            <v>Công</v>
          </cell>
          <cell r="E878">
            <v>0.75</v>
          </cell>
          <cell r="F878">
            <v>179342</v>
          </cell>
          <cell r="G878">
            <v>134506.5</v>
          </cell>
        </row>
        <row r="879">
          <cell r="A879" t="str">
            <v>D2.7003</v>
          </cell>
          <cell r="C879" t="str">
            <v>Kéo rải và lắp tiếp địa cột điện, Thép tròn D=16-18mm</v>
          </cell>
          <cell r="D879" t="str">
            <v>100kg</v>
          </cell>
          <cell r="H879">
            <v>1175</v>
          </cell>
          <cell r="I879">
            <v>118365.72</v>
          </cell>
        </row>
        <row r="880">
          <cell r="C880" t="str">
            <v>Vật liệu</v>
          </cell>
          <cell r="G880">
            <v>1175</v>
          </cell>
        </row>
        <row r="881">
          <cell r="B881">
            <v>14</v>
          </cell>
          <cell r="C881" t="str">
            <v>+ Sơn</v>
          </cell>
          <cell r="D881" t="str">
            <v>kg</v>
          </cell>
          <cell r="E881">
            <v>2.5000000000000001E-2</v>
          </cell>
          <cell r="F881">
            <v>47000</v>
          </cell>
          <cell r="G881">
            <v>1175</v>
          </cell>
        </row>
        <row r="882">
          <cell r="C882" t="str">
            <v>Nhân công</v>
          </cell>
          <cell r="G882">
            <v>118365.72</v>
          </cell>
        </row>
        <row r="883">
          <cell r="B883" t="str">
            <v>NC1357</v>
          </cell>
          <cell r="C883" t="str">
            <v>+ Nhân công bậc 3,5/7</v>
          </cell>
          <cell r="D883" t="str">
            <v>Công</v>
          </cell>
          <cell r="E883">
            <v>0.66</v>
          </cell>
          <cell r="F883">
            <v>179342</v>
          </cell>
          <cell r="G883">
            <v>118365.72</v>
          </cell>
        </row>
        <row r="884">
          <cell r="A884" t="str">
            <v>D2.8101</v>
          </cell>
          <cell r="C884" t="str">
            <v>Đóng cọc tiếp địa dài 2,5m và hàn nối tiếp địa Đất cấp I</v>
          </cell>
          <cell r="D884" t="str">
            <v>10cọc</v>
          </cell>
          <cell r="H884">
            <v>21000</v>
          </cell>
          <cell r="I884">
            <v>448355</v>
          </cell>
          <cell r="J884">
            <v>0</v>
          </cell>
        </row>
        <row r="885">
          <cell r="C885" t="str">
            <v>Vật liệu</v>
          </cell>
          <cell r="G885">
            <v>21000</v>
          </cell>
        </row>
        <row r="886">
          <cell r="B886">
            <v>19</v>
          </cell>
          <cell r="C886" t="str">
            <v>+ Que hàn</v>
          </cell>
          <cell r="D886" t="str">
            <v>kg</v>
          </cell>
          <cell r="E886">
            <v>1</v>
          </cell>
          <cell r="F886">
            <v>20000</v>
          </cell>
          <cell r="G886">
            <v>20000</v>
          </cell>
        </row>
        <row r="887">
          <cell r="B887">
            <v>137</v>
          </cell>
          <cell r="C887" t="str">
            <v>Vật liệu khác</v>
          </cell>
          <cell r="D887" t="str">
            <v>%</v>
          </cell>
          <cell r="E887">
            <v>5</v>
          </cell>
          <cell r="F887">
            <v>1500</v>
          </cell>
          <cell r="G887">
            <v>1000</v>
          </cell>
        </row>
        <row r="888">
          <cell r="C888" t="str">
            <v>Nhân công</v>
          </cell>
          <cell r="G888">
            <v>448355</v>
          </cell>
        </row>
        <row r="889">
          <cell r="B889" t="str">
            <v>NC1357</v>
          </cell>
          <cell r="C889" t="str">
            <v>+ Nhân công bậc 3,5/7</v>
          </cell>
          <cell r="D889" t="str">
            <v>Công</v>
          </cell>
          <cell r="E889">
            <v>2.5</v>
          </cell>
          <cell r="F889">
            <v>179342</v>
          </cell>
          <cell r="G889">
            <v>448355</v>
          </cell>
        </row>
        <row r="890">
          <cell r="C890" t="str">
            <v>Máy thi công</v>
          </cell>
          <cell r="G890">
            <v>0</v>
          </cell>
        </row>
        <row r="891">
          <cell r="B891">
            <v>7005</v>
          </cell>
          <cell r="C891" t="str">
            <v>+ Biến thế hàn xoay chiều, công suất 14,0 kW</v>
          </cell>
          <cell r="D891" t="str">
            <v>Ca</v>
          </cell>
          <cell r="E891">
            <v>0.05</v>
          </cell>
          <cell r="G891">
            <v>0</v>
          </cell>
        </row>
        <row r="892">
          <cell r="A892" t="str">
            <v>D2.8102</v>
          </cell>
          <cell r="C892" t="str">
            <v>Đóng cọc tiếp địa dài 2,5m  và hàn nối tiếp địa Đất cấp II</v>
          </cell>
          <cell r="D892" t="str">
            <v>10cọc</v>
          </cell>
          <cell r="H892">
            <v>21000</v>
          </cell>
          <cell r="I892">
            <v>502157.6</v>
          </cell>
          <cell r="J892">
            <v>0</v>
          </cell>
        </row>
        <row r="893">
          <cell r="C893" t="str">
            <v>Vật liệu</v>
          </cell>
          <cell r="G893">
            <v>21000</v>
          </cell>
        </row>
        <row r="894">
          <cell r="B894">
            <v>19</v>
          </cell>
          <cell r="C894" t="str">
            <v>+ Que hàn</v>
          </cell>
          <cell r="D894" t="str">
            <v>kg</v>
          </cell>
          <cell r="E894">
            <v>1</v>
          </cell>
          <cell r="F894">
            <v>20000</v>
          </cell>
          <cell r="G894">
            <v>20000</v>
          </cell>
        </row>
        <row r="895">
          <cell r="B895">
            <v>137</v>
          </cell>
          <cell r="C895" t="str">
            <v>Vật liệu khác</v>
          </cell>
          <cell r="D895" t="str">
            <v>%</v>
          </cell>
          <cell r="E895">
            <v>5</v>
          </cell>
          <cell r="F895">
            <v>1500</v>
          </cell>
          <cell r="G895">
            <v>1000</v>
          </cell>
        </row>
        <row r="896">
          <cell r="C896" t="str">
            <v>Nhân công</v>
          </cell>
          <cell r="G896">
            <v>502157.6</v>
          </cell>
        </row>
        <row r="897">
          <cell r="B897" t="str">
            <v>NC1357</v>
          </cell>
          <cell r="C897" t="str">
            <v>+ Nhân công bậc 3,5/7</v>
          </cell>
          <cell r="D897" t="str">
            <v>Công</v>
          </cell>
          <cell r="E897">
            <v>2.8</v>
          </cell>
          <cell r="F897">
            <v>179342</v>
          </cell>
          <cell r="G897">
            <v>502157.6</v>
          </cell>
        </row>
        <row r="898">
          <cell r="C898" t="str">
            <v>Máy thi công</v>
          </cell>
          <cell r="G898">
            <v>0</v>
          </cell>
        </row>
        <row r="899">
          <cell r="B899">
            <v>7005</v>
          </cell>
          <cell r="C899" t="str">
            <v>+ Biến thế hàn xoay chiều, công suất 14,0 kW</v>
          </cell>
          <cell r="D899" t="str">
            <v>Ca</v>
          </cell>
          <cell r="E899">
            <v>0.05</v>
          </cell>
          <cell r="G899">
            <v>0</v>
          </cell>
        </row>
        <row r="900">
          <cell r="A900" t="str">
            <v>D2.8103</v>
          </cell>
          <cell r="C900" t="str">
            <v>Đóng cọc tiếp địa dài 2,5m  và hàn nối tiếp địa Đất cấp III</v>
          </cell>
          <cell r="D900" t="str">
            <v>10cọc</v>
          </cell>
          <cell r="H900">
            <v>21000</v>
          </cell>
          <cell r="I900">
            <v>785517.96</v>
          </cell>
          <cell r="J900">
            <v>0</v>
          </cell>
        </row>
        <row r="901">
          <cell r="C901" t="str">
            <v>Vật liệu</v>
          </cell>
          <cell r="G901">
            <v>21000</v>
          </cell>
        </row>
        <row r="902">
          <cell r="B902">
            <v>19</v>
          </cell>
          <cell r="C902" t="str">
            <v>+ Que hàn</v>
          </cell>
          <cell r="D902" t="str">
            <v>kg</v>
          </cell>
          <cell r="E902">
            <v>1</v>
          </cell>
          <cell r="F902">
            <v>20000</v>
          </cell>
          <cell r="G902">
            <v>20000</v>
          </cell>
        </row>
        <row r="903">
          <cell r="B903">
            <v>137</v>
          </cell>
          <cell r="C903" t="str">
            <v>Vật liệu khác</v>
          </cell>
          <cell r="D903" t="str">
            <v>%</v>
          </cell>
          <cell r="E903">
            <v>5</v>
          </cell>
          <cell r="F903">
            <v>1500</v>
          </cell>
          <cell r="G903">
            <v>1000</v>
          </cell>
        </row>
        <row r="904">
          <cell r="C904" t="str">
            <v>Nhân công</v>
          </cell>
          <cell r="G904">
            <v>785517.96</v>
          </cell>
        </row>
        <row r="905">
          <cell r="B905" t="str">
            <v>NC1357</v>
          </cell>
          <cell r="C905" t="str">
            <v>+ Nhân công bậc 3,5/7</v>
          </cell>
          <cell r="D905" t="str">
            <v>Công</v>
          </cell>
          <cell r="E905">
            <v>4.38</v>
          </cell>
          <cell r="F905">
            <v>179342</v>
          </cell>
          <cell r="G905">
            <v>785517.96</v>
          </cell>
        </row>
        <row r="906">
          <cell r="C906" t="str">
            <v>Máy thi công</v>
          </cell>
          <cell r="G906">
            <v>0</v>
          </cell>
        </row>
        <row r="907">
          <cell r="B907">
            <v>7005</v>
          </cell>
          <cell r="C907" t="str">
            <v>+ Biến thế hàn xoay chiều, công suất 14,0 kW</v>
          </cell>
          <cell r="D907" t="str">
            <v>Ca</v>
          </cell>
          <cell r="E907">
            <v>0.05</v>
          </cell>
          <cell r="G907">
            <v>0</v>
          </cell>
        </row>
        <row r="908">
          <cell r="A908" t="str">
            <v>D2.8104</v>
          </cell>
          <cell r="C908" t="str">
            <v>Đóng cọc tiếp địa dài 2,5m  và hàn nối tiếp địa Đất cấp IV</v>
          </cell>
          <cell r="D908" t="str">
            <v>10cọc</v>
          </cell>
          <cell r="H908">
            <v>21000</v>
          </cell>
          <cell r="I908">
            <v>1345065</v>
          </cell>
          <cell r="J908">
            <v>0</v>
          </cell>
        </row>
        <row r="909">
          <cell r="C909" t="str">
            <v>Vật liệu</v>
          </cell>
          <cell r="G909">
            <v>21000</v>
          </cell>
        </row>
        <row r="910">
          <cell r="B910">
            <v>19</v>
          </cell>
          <cell r="C910" t="str">
            <v>+ Que hàn</v>
          </cell>
          <cell r="D910" t="str">
            <v>kg</v>
          </cell>
          <cell r="E910">
            <v>1</v>
          </cell>
          <cell r="F910">
            <v>20000</v>
          </cell>
          <cell r="G910">
            <v>20000</v>
          </cell>
        </row>
        <row r="911">
          <cell r="B911">
            <v>137</v>
          </cell>
          <cell r="C911" t="str">
            <v>Vật liệu khác</v>
          </cell>
          <cell r="D911" t="str">
            <v>%</v>
          </cell>
          <cell r="E911">
            <v>5</v>
          </cell>
          <cell r="F911">
            <v>1500</v>
          </cell>
          <cell r="G911">
            <v>1000</v>
          </cell>
        </row>
        <row r="912">
          <cell r="C912" t="str">
            <v>Nhân công</v>
          </cell>
          <cell r="G912">
            <v>1345065</v>
          </cell>
        </row>
        <row r="913">
          <cell r="B913" t="str">
            <v>NC1357</v>
          </cell>
          <cell r="C913" t="str">
            <v>+ Nhân công bậc 3,5/7</v>
          </cell>
          <cell r="D913" t="str">
            <v>Công</v>
          </cell>
          <cell r="E913">
            <v>7.5</v>
          </cell>
          <cell r="F913">
            <v>179342</v>
          </cell>
          <cell r="G913">
            <v>1345065</v>
          </cell>
        </row>
        <row r="914">
          <cell r="C914" t="str">
            <v>Máy thi công</v>
          </cell>
          <cell r="G914">
            <v>0</v>
          </cell>
        </row>
        <row r="915">
          <cell r="B915">
            <v>7005</v>
          </cell>
          <cell r="C915" t="str">
            <v>+ Biến thế hàn xoay chiều, công suất 14,0 kW</v>
          </cell>
          <cell r="D915" t="str">
            <v>Ca</v>
          </cell>
          <cell r="E915">
            <v>0.05</v>
          </cell>
          <cell r="G915">
            <v>0</v>
          </cell>
        </row>
        <row r="916">
          <cell r="A916" t="str">
            <v>D2.9001</v>
          </cell>
          <cell r="C916" t="str">
            <v>Sơn báo hiệu theo chiều cao cột, Cột cao =&lt; 70m</v>
          </cell>
          <cell r="D916" t="str">
            <v>m2</v>
          </cell>
          <cell r="H916">
            <v>3780</v>
          </cell>
          <cell r="I916">
            <v>102224.93999999999</v>
          </cell>
        </row>
        <row r="917">
          <cell r="C917" t="str">
            <v>Vật liệu</v>
          </cell>
          <cell r="G917">
            <v>3780</v>
          </cell>
        </row>
        <row r="918">
          <cell r="B918">
            <v>19</v>
          </cell>
          <cell r="C918" t="str">
            <v>+ Sơn</v>
          </cell>
          <cell r="D918" t="str">
            <v>kg</v>
          </cell>
          <cell r="E918">
            <v>0.18</v>
          </cell>
          <cell r="F918">
            <v>20000</v>
          </cell>
          <cell r="G918">
            <v>3600</v>
          </cell>
        </row>
        <row r="919">
          <cell r="B919">
            <v>137</v>
          </cell>
          <cell r="C919" t="str">
            <v>Vật liệu khác</v>
          </cell>
          <cell r="D919" t="str">
            <v>%</v>
          </cell>
          <cell r="E919">
            <v>5</v>
          </cell>
          <cell r="F919">
            <v>1500</v>
          </cell>
          <cell r="G919">
            <v>180</v>
          </cell>
        </row>
        <row r="920">
          <cell r="C920" t="str">
            <v>Nhân công</v>
          </cell>
          <cell r="G920">
            <v>102224.93999999999</v>
          </cell>
        </row>
        <row r="921">
          <cell r="B921" t="str">
            <v>NC1357</v>
          </cell>
          <cell r="C921" t="str">
            <v>+ Nhân công bậc 3,5/7</v>
          </cell>
          <cell r="D921" t="str">
            <v>Công</v>
          </cell>
          <cell r="E921">
            <v>0.56999999999999995</v>
          </cell>
          <cell r="F921">
            <v>179342</v>
          </cell>
          <cell r="G921">
            <v>102224.93999999999</v>
          </cell>
        </row>
        <row r="922">
          <cell r="A922" t="str">
            <v>D2.9002</v>
          </cell>
          <cell r="C922" t="str">
            <v>Sơn báo hiệu theo chiều cao cột, Cột cao =&lt; 100m</v>
          </cell>
          <cell r="D922" t="str">
            <v>m2</v>
          </cell>
          <cell r="H922">
            <v>4620</v>
          </cell>
          <cell r="I922">
            <v>127332.81999999999</v>
          </cell>
        </row>
        <row r="923">
          <cell r="C923" t="str">
            <v>Vật liệu</v>
          </cell>
          <cell r="G923">
            <v>4620</v>
          </cell>
        </row>
        <row r="924">
          <cell r="B924">
            <v>19</v>
          </cell>
          <cell r="C924" t="str">
            <v>+ Sơn</v>
          </cell>
          <cell r="D924" t="str">
            <v>kg</v>
          </cell>
          <cell r="E924">
            <v>0.22</v>
          </cell>
          <cell r="F924">
            <v>20000</v>
          </cell>
          <cell r="G924">
            <v>4400</v>
          </cell>
        </row>
        <row r="925">
          <cell r="B925">
            <v>137</v>
          </cell>
          <cell r="C925" t="str">
            <v>Vật liệu khác</v>
          </cell>
          <cell r="D925" t="str">
            <v>%</v>
          </cell>
          <cell r="E925">
            <v>5</v>
          </cell>
          <cell r="F925">
            <v>1500</v>
          </cell>
          <cell r="G925">
            <v>220</v>
          </cell>
        </row>
        <row r="926">
          <cell r="C926" t="str">
            <v>Nhân công</v>
          </cell>
          <cell r="G926">
            <v>127332.81999999999</v>
          </cell>
        </row>
        <row r="927">
          <cell r="B927" t="str">
            <v>NC1357</v>
          </cell>
          <cell r="C927" t="str">
            <v>+ Nhân công bậc 3,5/7</v>
          </cell>
          <cell r="D927" t="str">
            <v>Công</v>
          </cell>
          <cell r="E927">
            <v>0.71</v>
          </cell>
          <cell r="F927">
            <v>179342</v>
          </cell>
          <cell r="G927">
            <v>127332.81999999999</v>
          </cell>
        </row>
        <row r="928">
          <cell r="A928" t="str">
            <v>D2.9003</v>
          </cell>
          <cell r="C928" t="str">
            <v>Sơn báo hiệu theo chiều cao cột, Cột cao &gt; 100m</v>
          </cell>
          <cell r="D928" t="str">
            <v>m2</v>
          </cell>
          <cell r="H928">
            <v>5250</v>
          </cell>
          <cell r="I928">
            <v>170374.9</v>
          </cell>
        </row>
        <row r="929">
          <cell r="C929" t="str">
            <v>Vật liệu</v>
          </cell>
          <cell r="G929">
            <v>5250</v>
          </cell>
        </row>
        <row r="930">
          <cell r="B930">
            <v>19</v>
          </cell>
          <cell r="C930" t="str">
            <v>+ Sơn</v>
          </cell>
          <cell r="D930" t="str">
            <v>kg</v>
          </cell>
          <cell r="E930">
            <v>0.25</v>
          </cell>
          <cell r="F930">
            <v>20000</v>
          </cell>
          <cell r="G930">
            <v>5000</v>
          </cell>
        </row>
        <row r="931">
          <cell r="B931">
            <v>137</v>
          </cell>
          <cell r="C931" t="str">
            <v>Vật liệu khác</v>
          </cell>
          <cell r="D931" t="str">
            <v>%</v>
          </cell>
          <cell r="E931">
            <v>5</v>
          </cell>
          <cell r="F931">
            <v>1500</v>
          </cell>
          <cell r="G931">
            <v>250</v>
          </cell>
        </row>
        <row r="932">
          <cell r="C932" t="str">
            <v>Nhân công</v>
          </cell>
          <cell r="G932">
            <v>170374.9</v>
          </cell>
        </row>
        <row r="933">
          <cell r="B933" t="str">
            <v>NC1357</v>
          </cell>
          <cell r="C933" t="str">
            <v>+ Nhân công bậc 3,5/7</v>
          </cell>
          <cell r="D933" t="str">
            <v>Công</v>
          </cell>
          <cell r="E933">
            <v>0.95</v>
          </cell>
          <cell r="F933">
            <v>179342</v>
          </cell>
          <cell r="G933">
            <v>170374.9</v>
          </cell>
        </row>
        <row r="934">
          <cell r="A934" t="str">
            <v>D2.9004</v>
          </cell>
          <cell r="C934" t="str">
            <v>Sơn sắt thép các loại và sơn báo hiệu, Sơn 2 nước</v>
          </cell>
          <cell r="D934" t="str">
            <v>m2</v>
          </cell>
          <cell r="H934">
            <v>3780</v>
          </cell>
          <cell r="I934">
            <v>19727.62</v>
          </cell>
        </row>
        <row r="935">
          <cell r="C935" t="str">
            <v>Vật liệu</v>
          </cell>
          <cell r="G935">
            <v>3780</v>
          </cell>
        </row>
        <row r="936">
          <cell r="B936">
            <v>19</v>
          </cell>
          <cell r="C936" t="str">
            <v>+ Sơn</v>
          </cell>
          <cell r="D936" t="str">
            <v>kg</v>
          </cell>
          <cell r="E936">
            <v>0.18</v>
          </cell>
          <cell r="F936">
            <v>20000</v>
          </cell>
          <cell r="G936">
            <v>3600</v>
          </cell>
        </row>
        <row r="937">
          <cell r="B937">
            <v>137</v>
          </cell>
          <cell r="C937" t="str">
            <v>Vật liệu khác</v>
          </cell>
          <cell r="D937" t="str">
            <v>%</v>
          </cell>
          <cell r="E937">
            <v>5</v>
          </cell>
          <cell r="F937">
            <v>1500</v>
          </cell>
          <cell r="G937">
            <v>180</v>
          </cell>
        </row>
        <row r="938">
          <cell r="C938" t="str">
            <v>Nhân công</v>
          </cell>
          <cell r="G938">
            <v>19727.62</v>
          </cell>
        </row>
        <row r="939">
          <cell r="B939" t="str">
            <v>NC1357</v>
          </cell>
          <cell r="C939" t="str">
            <v>+ Nhân công bậc 3,5/7</v>
          </cell>
          <cell r="D939" t="str">
            <v>Công</v>
          </cell>
          <cell r="E939">
            <v>0.11</v>
          </cell>
          <cell r="F939">
            <v>179342</v>
          </cell>
          <cell r="G939">
            <v>19727.62</v>
          </cell>
        </row>
        <row r="940">
          <cell r="A940" t="str">
            <v>D2.9005</v>
          </cell>
          <cell r="C940" t="str">
            <v>Sơn sắt thép các loại và sơn báo hiệu, Sơn 3 nước</v>
          </cell>
          <cell r="D940" t="str">
            <v>m2</v>
          </cell>
          <cell r="H940">
            <v>5880.0000000000009</v>
          </cell>
          <cell r="I940">
            <v>27977.351999999999</v>
          </cell>
        </row>
        <row r="941">
          <cell r="C941" t="str">
            <v>Vật liệu</v>
          </cell>
          <cell r="G941">
            <v>5880.0000000000009</v>
          </cell>
        </row>
        <row r="942">
          <cell r="B942">
            <v>19</v>
          </cell>
          <cell r="C942" t="str">
            <v>+ Sơn</v>
          </cell>
          <cell r="D942" t="str">
            <v>kg</v>
          </cell>
          <cell r="E942">
            <v>0.28000000000000003</v>
          </cell>
          <cell r="F942">
            <v>20000</v>
          </cell>
          <cell r="G942">
            <v>5600.0000000000009</v>
          </cell>
        </row>
        <row r="943">
          <cell r="B943">
            <v>137</v>
          </cell>
          <cell r="C943" t="str">
            <v>Vật liệu khác</v>
          </cell>
          <cell r="D943" t="str">
            <v>%</v>
          </cell>
          <cell r="E943">
            <v>5</v>
          </cell>
          <cell r="F943">
            <v>1500</v>
          </cell>
          <cell r="G943">
            <v>280.00000000000006</v>
          </cell>
        </row>
        <row r="944">
          <cell r="C944" t="str">
            <v>Nhân công</v>
          </cell>
          <cell r="G944">
            <v>27977.351999999999</v>
          </cell>
        </row>
        <row r="945">
          <cell r="B945" t="str">
            <v>NC1357</v>
          </cell>
          <cell r="C945" t="str">
            <v>+ Nhân công bậc 3,5/7</v>
          </cell>
          <cell r="D945" t="str">
            <v>Công</v>
          </cell>
          <cell r="E945">
            <v>0.156</v>
          </cell>
          <cell r="F945">
            <v>179342</v>
          </cell>
          <cell r="G945">
            <v>27977.351999999999</v>
          </cell>
        </row>
        <row r="946">
          <cell r="A946" t="str">
            <v>D3.1111</v>
          </cell>
          <cell r="C946" t="str">
            <v>Lắp đặt sứ đứng ở cột tròn, dưới đất, Loại sứ 6 đến 10KV</v>
          </cell>
          <cell r="D946" t="str">
            <v>10 sứ</v>
          </cell>
          <cell r="H946">
            <v>8075</v>
          </cell>
          <cell r="I946">
            <v>197276.2</v>
          </cell>
        </row>
        <row r="947">
          <cell r="C947" t="str">
            <v>Vật liệu</v>
          </cell>
          <cell r="G947">
            <v>8075</v>
          </cell>
        </row>
        <row r="948">
          <cell r="B948">
            <v>1</v>
          </cell>
          <cell r="C948" t="str">
            <v>+ Cồn công nghiệp</v>
          </cell>
          <cell r="D948" t="str">
            <v>kg</v>
          </cell>
          <cell r="E948">
            <v>0.15</v>
          </cell>
          <cell r="F948">
            <v>9500</v>
          </cell>
          <cell r="G948">
            <v>1425</v>
          </cell>
        </row>
        <row r="949">
          <cell r="B949">
            <v>9</v>
          </cell>
          <cell r="C949" t="str">
            <v>+ Giẻ lau</v>
          </cell>
          <cell r="D949" t="str">
            <v>Kg</v>
          </cell>
          <cell r="E949">
            <v>0.7</v>
          </cell>
          <cell r="F949">
            <v>9500</v>
          </cell>
          <cell r="G949">
            <v>6650</v>
          </cell>
        </row>
        <row r="950">
          <cell r="C950" t="str">
            <v>Nhân công</v>
          </cell>
          <cell r="G950">
            <v>197276.2</v>
          </cell>
        </row>
        <row r="951">
          <cell r="B951" t="str">
            <v>NC1357</v>
          </cell>
          <cell r="C951" t="str">
            <v>+ Nhân công bậc 3,5/7</v>
          </cell>
          <cell r="D951" t="str">
            <v>Công</v>
          </cell>
          <cell r="E951">
            <v>1.1000000000000001</v>
          </cell>
          <cell r="F951">
            <v>179342</v>
          </cell>
          <cell r="G951">
            <v>197276.2</v>
          </cell>
        </row>
        <row r="952">
          <cell r="A952" t="str">
            <v>D3.1112</v>
          </cell>
          <cell r="C952" t="str">
            <v>Lắp đặt sứ đứng ở cột tròn, dưới đất, Loại sứ 15 đến 22KV</v>
          </cell>
          <cell r="D952" t="str">
            <v>10 sứ</v>
          </cell>
          <cell r="H952">
            <v>8075</v>
          </cell>
          <cell r="I952">
            <v>270806.42</v>
          </cell>
        </row>
        <row r="953">
          <cell r="C953" t="str">
            <v>Vật liệu</v>
          </cell>
          <cell r="G953">
            <v>8075</v>
          </cell>
        </row>
        <row r="954">
          <cell r="B954">
            <v>1</v>
          </cell>
          <cell r="C954" t="str">
            <v>+ Cồn công nghiệp</v>
          </cell>
          <cell r="D954" t="str">
            <v>kg</v>
          </cell>
          <cell r="E954">
            <v>0.15</v>
          </cell>
          <cell r="F954">
            <v>9500</v>
          </cell>
          <cell r="G954">
            <v>1425</v>
          </cell>
        </row>
        <row r="955">
          <cell r="B955">
            <v>9</v>
          </cell>
          <cell r="C955" t="str">
            <v>+ Giẻ lau</v>
          </cell>
          <cell r="D955" t="str">
            <v>Kg</v>
          </cell>
          <cell r="E955">
            <v>0.7</v>
          </cell>
          <cell r="F955">
            <v>9500</v>
          </cell>
          <cell r="G955">
            <v>6650</v>
          </cell>
        </row>
        <row r="956">
          <cell r="C956" t="str">
            <v>Nhân công</v>
          </cell>
          <cell r="G956">
            <v>270806.42</v>
          </cell>
        </row>
        <row r="957">
          <cell r="B957" t="str">
            <v>NC1357</v>
          </cell>
          <cell r="C957" t="str">
            <v>+ Nhân công bậc 3,5/7</v>
          </cell>
          <cell r="D957" t="str">
            <v>Công</v>
          </cell>
          <cell r="E957">
            <v>1.51</v>
          </cell>
          <cell r="F957">
            <v>179342</v>
          </cell>
          <cell r="G957">
            <v>270806.42</v>
          </cell>
        </row>
        <row r="958">
          <cell r="A958" t="str">
            <v>D3.1113</v>
          </cell>
          <cell r="C958" t="str">
            <v>Lắp đặt sứ đứng ở cột tròn, dưới đất, Loại sứ  đến 35KV</v>
          </cell>
          <cell r="D958" t="str">
            <v>10 sứ</v>
          </cell>
          <cell r="H958">
            <v>8075</v>
          </cell>
          <cell r="I958">
            <v>344336.64000000001</v>
          </cell>
        </row>
        <row r="959">
          <cell r="C959" t="str">
            <v>Vật liệu</v>
          </cell>
          <cell r="G959">
            <v>8075</v>
          </cell>
        </row>
        <row r="960">
          <cell r="B960">
            <v>1</v>
          </cell>
          <cell r="C960" t="str">
            <v>+ Cồn công nghiệp</v>
          </cell>
          <cell r="D960" t="str">
            <v>kg</v>
          </cell>
          <cell r="E960">
            <v>0.15</v>
          </cell>
          <cell r="F960">
            <v>9500</v>
          </cell>
          <cell r="G960">
            <v>1425</v>
          </cell>
        </row>
        <row r="961">
          <cell r="B961">
            <v>9</v>
          </cell>
          <cell r="C961" t="str">
            <v>+ Giẻ lau</v>
          </cell>
          <cell r="D961" t="str">
            <v>Kg</v>
          </cell>
          <cell r="E961">
            <v>0.7</v>
          </cell>
          <cell r="F961">
            <v>9500</v>
          </cell>
          <cell r="G961">
            <v>6650</v>
          </cell>
        </row>
        <row r="962">
          <cell r="C962" t="str">
            <v>Nhân công</v>
          </cell>
          <cell r="G962">
            <v>344336.64000000001</v>
          </cell>
        </row>
        <row r="963">
          <cell r="B963" t="str">
            <v>NC1357</v>
          </cell>
          <cell r="C963" t="str">
            <v>+ Nhân công bậc 3,5/7</v>
          </cell>
          <cell r="D963" t="str">
            <v>Công</v>
          </cell>
          <cell r="E963">
            <v>1.92</v>
          </cell>
          <cell r="F963">
            <v>179342</v>
          </cell>
          <cell r="G963">
            <v>344336.64000000001</v>
          </cell>
        </row>
        <row r="964">
          <cell r="A964" t="str">
            <v>D3.1114</v>
          </cell>
          <cell r="C964" t="str">
            <v>Lắp đặt sứ đứng ở cột tròn, trên cột, Loại sứ 6 đến 10KV</v>
          </cell>
          <cell r="D964" t="str">
            <v>10 sứ</v>
          </cell>
          <cell r="H964">
            <v>8075</v>
          </cell>
          <cell r="I964">
            <v>295914.3</v>
          </cell>
        </row>
        <row r="965">
          <cell r="C965" t="str">
            <v>Vật liệu</v>
          </cell>
          <cell r="G965">
            <v>8075</v>
          </cell>
        </row>
        <row r="966">
          <cell r="B966">
            <v>1</v>
          </cell>
          <cell r="C966" t="str">
            <v>+ Cồn công nghiệp</v>
          </cell>
          <cell r="D966" t="str">
            <v>kg</v>
          </cell>
          <cell r="E966">
            <v>0.15</v>
          </cell>
          <cell r="F966">
            <v>9500</v>
          </cell>
          <cell r="G966">
            <v>1425</v>
          </cell>
        </row>
        <row r="967">
          <cell r="B967">
            <v>9</v>
          </cell>
          <cell r="C967" t="str">
            <v>+ Giẻ lau</v>
          </cell>
          <cell r="D967" t="str">
            <v>Kg</v>
          </cell>
          <cell r="E967">
            <v>0.7</v>
          </cell>
          <cell r="F967">
            <v>9500</v>
          </cell>
          <cell r="G967">
            <v>6650</v>
          </cell>
        </row>
        <row r="968">
          <cell r="C968" t="str">
            <v>Nhân công</v>
          </cell>
          <cell r="G968">
            <v>295914.3</v>
          </cell>
        </row>
        <row r="969">
          <cell r="B969" t="str">
            <v>NC1357</v>
          </cell>
          <cell r="C969" t="str">
            <v>+ Nhân công bậc 3,5/7</v>
          </cell>
          <cell r="D969" t="str">
            <v>Công</v>
          </cell>
          <cell r="E969">
            <v>1.65</v>
          </cell>
          <cell r="F969">
            <v>179342</v>
          </cell>
          <cell r="G969">
            <v>295914.3</v>
          </cell>
        </row>
        <row r="970">
          <cell r="A970" t="str">
            <v>D3.1115</v>
          </cell>
          <cell r="C970" t="str">
            <v>Lắp đặt sứ đứng ở cột tròn, trên cột, Loại sứ 15 đến 22KV</v>
          </cell>
          <cell r="D970" t="str">
            <v>10 sứ</v>
          </cell>
          <cell r="H970">
            <v>8075</v>
          </cell>
          <cell r="I970">
            <v>405312.92</v>
          </cell>
        </row>
        <row r="971">
          <cell r="C971" t="str">
            <v>Vật liệu</v>
          </cell>
          <cell r="G971">
            <v>8075</v>
          </cell>
        </row>
        <row r="972">
          <cell r="B972">
            <v>1</v>
          </cell>
          <cell r="C972" t="str">
            <v>+ Cồn công nghiệp</v>
          </cell>
          <cell r="D972" t="str">
            <v>kg</v>
          </cell>
          <cell r="E972">
            <v>0.15</v>
          </cell>
          <cell r="F972">
            <v>9500</v>
          </cell>
          <cell r="G972">
            <v>1425</v>
          </cell>
        </row>
        <row r="973">
          <cell r="B973">
            <v>9</v>
          </cell>
          <cell r="C973" t="str">
            <v>+ Giẻ lau</v>
          </cell>
          <cell r="D973" t="str">
            <v>Kg</v>
          </cell>
          <cell r="E973">
            <v>0.7</v>
          </cell>
          <cell r="F973">
            <v>9500</v>
          </cell>
          <cell r="G973">
            <v>6650</v>
          </cell>
        </row>
        <row r="974">
          <cell r="C974" t="str">
            <v>Nhân công</v>
          </cell>
          <cell r="G974">
            <v>405312.92</v>
          </cell>
        </row>
        <row r="975">
          <cell r="B975" t="str">
            <v>NC1357</v>
          </cell>
          <cell r="C975" t="str">
            <v>+ Nhân công bậc 3,5/7</v>
          </cell>
          <cell r="D975" t="str">
            <v>Công</v>
          </cell>
          <cell r="E975">
            <v>2.2599999999999998</v>
          </cell>
          <cell r="F975">
            <v>179342</v>
          </cell>
          <cell r="G975">
            <v>405312.92</v>
          </cell>
        </row>
        <row r="976">
          <cell r="A976" t="str">
            <v>D3.1116</v>
          </cell>
          <cell r="C976" t="str">
            <v>Lắp đặt sứ đứng ở cột tròn, trên cột, Loại sứ  35KV</v>
          </cell>
          <cell r="D976" t="str">
            <v>10 sứ</v>
          </cell>
          <cell r="H976">
            <v>8075</v>
          </cell>
          <cell r="I976">
            <v>516504.95999999996</v>
          </cell>
        </row>
        <row r="977">
          <cell r="C977" t="str">
            <v>Vật liệu</v>
          </cell>
          <cell r="G977">
            <v>8075</v>
          </cell>
        </row>
        <row r="978">
          <cell r="B978">
            <v>1</v>
          </cell>
          <cell r="C978" t="str">
            <v>+ Cồn công nghiệp</v>
          </cell>
          <cell r="D978" t="str">
            <v>kg</v>
          </cell>
          <cell r="E978">
            <v>0.15</v>
          </cell>
          <cell r="F978">
            <v>9500</v>
          </cell>
          <cell r="G978">
            <v>1425</v>
          </cell>
        </row>
        <row r="979">
          <cell r="B979">
            <v>9</v>
          </cell>
          <cell r="C979" t="str">
            <v>+ Giẻ lau</v>
          </cell>
          <cell r="D979" t="str">
            <v>Kg</v>
          </cell>
          <cell r="E979">
            <v>0.7</v>
          </cell>
          <cell r="F979">
            <v>9500</v>
          </cell>
          <cell r="G979">
            <v>6650</v>
          </cell>
        </row>
        <row r="980">
          <cell r="C980" t="str">
            <v>Nhân công</v>
          </cell>
          <cell r="G980">
            <v>516504.95999999996</v>
          </cell>
        </row>
        <row r="981">
          <cell r="B981" t="str">
            <v>NC1357</v>
          </cell>
          <cell r="C981" t="str">
            <v>+ Nhân công bậc 3,5/7</v>
          </cell>
          <cell r="D981" t="str">
            <v>Công</v>
          </cell>
          <cell r="E981">
            <v>2.88</v>
          </cell>
          <cell r="F981">
            <v>179342</v>
          </cell>
          <cell r="G981">
            <v>516504.95999999996</v>
          </cell>
        </row>
        <row r="982">
          <cell r="A982" t="str">
            <v>D3.1121</v>
          </cell>
          <cell r="C982" t="str">
            <v>Lắp đặt sứ đứng cho cột vuông, dưới đất,  Loại sứ 6 đến 10KV</v>
          </cell>
          <cell r="D982" t="str">
            <v>10 sứ</v>
          </cell>
          <cell r="H982">
            <v>8075</v>
          </cell>
          <cell r="I982">
            <v>157820.96</v>
          </cell>
        </row>
        <row r="983">
          <cell r="C983" t="str">
            <v>Vật liệu</v>
          </cell>
          <cell r="G983">
            <v>8075</v>
          </cell>
        </row>
        <row r="984">
          <cell r="B984">
            <v>1</v>
          </cell>
          <cell r="C984" t="str">
            <v>+ Cồn công nghiệp</v>
          </cell>
          <cell r="D984" t="str">
            <v>kg</v>
          </cell>
          <cell r="E984">
            <v>0.15</v>
          </cell>
          <cell r="F984">
            <v>9500</v>
          </cell>
          <cell r="G984">
            <v>1425</v>
          </cell>
        </row>
        <row r="985">
          <cell r="B985">
            <v>9</v>
          </cell>
          <cell r="C985" t="str">
            <v>+ Giẻ lau</v>
          </cell>
          <cell r="D985" t="str">
            <v>Kg</v>
          </cell>
          <cell r="E985">
            <v>0.7</v>
          </cell>
          <cell r="F985">
            <v>9500</v>
          </cell>
          <cell r="G985">
            <v>6650</v>
          </cell>
        </row>
        <row r="986">
          <cell r="C986" t="str">
            <v>Nhân công</v>
          </cell>
          <cell r="G986">
            <v>157820.96</v>
          </cell>
        </row>
        <row r="987">
          <cell r="B987" t="str">
            <v>NC1357</v>
          </cell>
          <cell r="C987" t="str">
            <v>+ Nhân công bậc 3,5/7</v>
          </cell>
          <cell r="D987" t="str">
            <v>Công</v>
          </cell>
          <cell r="E987">
            <v>0.88</v>
          </cell>
          <cell r="F987">
            <v>179342</v>
          </cell>
          <cell r="G987">
            <v>157820.96</v>
          </cell>
        </row>
        <row r="988">
          <cell r="A988" t="str">
            <v>D3.1122</v>
          </cell>
          <cell r="C988" t="str">
            <v>Lắp đặt sứ đứng cho cột vuông, dưới đất,  Loại sứ 15 đến 22KV</v>
          </cell>
          <cell r="D988" t="str">
            <v>10 sứ</v>
          </cell>
          <cell r="H988">
            <v>8075</v>
          </cell>
          <cell r="I988">
            <v>215210.4</v>
          </cell>
        </row>
        <row r="989">
          <cell r="C989" t="str">
            <v>Vật liệu</v>
          </cell>
          <cell r="G989">
            <v>8075</v>
          </cell>
        </row>
        <row r="990">
          <cell r="B990">
            <v>1</v>
          </cell>
          <cell r="C990" t="str">
            <v>+ Cồn công nghiệp</v>
          </cell>
          <cell r="D990" t="str">
            <v>kg</v>
          </cell>
          <cell r="E990">
            <v>0.15</v>
          </cell>
          <cell r="F990">
            <v>9500</v>
          </cell>
          <cell r="G990">
            <v>1425</v>
          </cell>
        </row>
        <row r="991">
          <cell r="B991">
            <v>9</v>
          </cell>
          <cell r="C991" t="str">
            <v>+ Giẻ lau</v>
          </cell>
          <cell r="D991" t="str">
            <v>Kg</v>
          </cell>
          <cell r="E991">
            <v>0.7</v>
          </cell>
          <cell r="F991">
            <v>9500</v>
          </cell>
          <cell r="G991">
            <v>6650</v>
          </cell>
        </row>
        <row r="992">
          <cell r="C992" t="str">
            <v>Nhân công</v>
          </cell>
          <cell r="G992">
            <v>215210.4</v>
          </cell>
        </row>
        <row r="993">
          <cell r="B993" t="str">
            <v>NC1357</v>
          </cell>
          <cell r="C993" t="str">
            <v>+ Nhân công bậc 3,5/7</v>
          </cell>
          <cell r="D993" t="str">
            <v>Công</v>
          </cell>
          <cell r="E993">
            <v>1.2</v>
          </cell>
          <cell r="F993">
            <v>179342</v>
          </cell>
          <cell r="G993">
            <v>215210.4</v>
          </cell>
        </row>
        <row r="994">
          <cell r="A994" t="str">
            <v>D3.1123</v>
          </cell>
          <cell r="C994" t="str">
            <v>Lắp đặt sứ đứng cho cột vuông, dưới đất,  Loại sứ 35KV</v>
          </cell>
          <cell r="D994" t="str">
            <v>10 sứ</v>
          </cell>
          <cell r="H994">
            <v>8075</v>
          </cell>
          <cell r="I994">
            <v>274393.26</v>
          </cell>
        </row>
        <row r="995">
          <cell r="C995" t="str">
            <v>Vật liệu</v>
          </cell>
          <cell r="G995">
            <v>8075</v>
          </cell>
        </row>
        <row r="996">
          <cell r="B996">
            <v>1</v>
          </cell>
          <cell r="C996" t="str">
            <v>+ Cồn công nghiệp</v>
          </cell>
          <cell r="D996" t="str">
            <v>kg</v>
          </cell>
          <cell r="E996">
            <v>0.15</v>
          </cell>
          <cell r="F996">
            <v>9500</v>
          </cell>
          <cell r="G996">
            <v>1425</v>
          </cell>
        </row>
        <row r="997">
          <cell r="B997">
            <v>9</v>
          </cell>
          <cell r="C997" t="str">
            <v>+ Giẻ lau</v>
          </cell>
          <cell r="D997" t="str">
            <v>Kg</v>
          </cell>
          <cell r="E997">
            <v>0.7</v>
          </cell>
          <cell r="F997">
            <v>9500</v>
          </cell>
          <cell r="G997">
            <v>6650</v>
          </cell>
        </row>
        <row r="998">
          <cell r="C998" t="str">
            <v>Nhân công</v>
          </cell>
          <cell r="G998">
            <v>274393.26</v>
          </cell>
        </row>
        <row r="999">
          <cell r="B999" t="str">
            <v>NC1357</v>
          </cell>
          <cell r="C999" t="str">
            <v>+ Nhân công bậc 3,5/7</v>
          </cell>
          <cell r="D999" t="str">
            <v>Công</v>
          </cell>
          <cell r="E999">
            <v>1.53</v>
          </cell>
          <cell r="F999">
            <v>179342</v>
          </cell>
          <cell r="G999">
            <v>274393.26</v>
          </cell>
        </row>
        <row r="1000">
          <cell r="A1000" t="str">
            <v>D3.1124</v>
          </cell>
          <cell r="C1000" t="str">
            <v>Lắp đặt sứ đứng cho cột vuông, trên cột,  Loại sứ 6 đến 10KV</v>
          </cell>
          <cell r="D1000" t="str">
            <v>10 sứ</v>
          </cell>
          <cell r="H1000">
            <v>8075</v>
          </cell>
          <cell r="I1000">
            <v>204449.87999999998</v>
          </cell>
        </row>
        <row r="1001">
          <cell r="C1001" t="str">
            <v>Vật liệu</v>
          </cell>
          <cell r="G1001">
            <v>8075</v>
          </cell>
        </row>
        <row r="1002">
          <cell r="B1002">
            <v>1</v>
          </cell>
          <cell r="C1002" t="str">
            <v>+ Cồn công nghiệp</v>
          </cell>
          <cell r="D1002" t="str">
            <v>kg</v>
          </cell>
          <cell r="E1002">
            <v>0.15</v>
          </cell>
          <cell r="F1002">
            <v>9500</v>
          </cell>
          <cell r="G1002">
            <v>1425</v>
          </cell>
        </row>
        <row r="1003">
          <cell r="B1003">
            <v>9</v>
          </cell>
          <cell r="C1003" t="str">
            <v>+ Giẻ lau</v>
          </cell>
          <cell r="D1003" t="str">
            <v>Kg</v>
          </cell>
          <cell r="E1003">
            <v>0.7</v>
          </cell>
          <cell r="F1003">
            <v>9500</v>
          </cell>
          <cell r="G1003">
            <v>6650</v>
          </cell>
        </row>
        <row r="1004">
          <cell r="C1004" t="str">
            <v>Nhân công</v>
          </cell>
          <cell r="G1004">
            <v>204449.87999999998</v>
          </cell>
        </row>
        <row r="1005">
          <cell r="B1005" t="str">
            <v>NC1357</v>
          </cell>
          <cell r="C1005" t="str">
            <v>+ Nhân công bậc 3,5/7</v>
          </cell>
          <cell r="D1005" t="str">
            <v>Công</v>
          </cell>
          <cell r="E1005">
            <v>1.1399999999999999</v>
          </cell>
          <cell r="F1005">
            <v>179342</v>
          </cell>
          <cell r="G1005">
            <v>204449.87999999998</v>
          </cell>
        </row>
        <row r="1006">
          <cell r="A1006" t="str">
            <v>D3.1125</v>
          </cell>
          <cell r="C1006" t="str">
            <v>Lắp đặt sứ đứng cho cột vuông, trên cột,  Loại sứ 15 đến 22KV</v>
          </cell>
          <cell r="D1006" t="str">
            <v>10 sứ</v>
          </cell>
          <cell r="H1006">
            <v>8075</v>
          </cell>
          <cell r="I1006">
            <v>279773.52</v>
          </cell>
        </row>
        <row r="1007">
          <cell r="C1007" t="str">
            <v>Vật liệu</v>
          </cell>
          <cell r="G1007">
            <v>8075</v>
          </cell>
        </row>
        <row r="1008">
          <cell r="B1008">
            <v>1</v>
          </cell>
          <cell r="C1008" t="str">
            <v>+ Cồn công nghiệp</v>
          </cell>
          <cell r="D1008" t="str">
            <v>kg</v>
          </cell>
          <cell r="E1008">
            <v>0.15</v>
          </cell>
          <cell r="F1008">
            <v>9500</v>
          </cell>
          <cell r="G1008">
            <v>1425</v>
          </cell>
        </row>
        <row r="1009">
          <cell r="B1009">
            <v>9</v>
          </cell>
          <cell r="C1009" t="str">
            <v>+ Giẻ lau</v>
          </cell>
          <cell r="D1009" t="str">
            <v>Kg</v>
          </cell>
          <cell r="E1009">
            <v>0.7</v>
          </cell>
          <cell r="F1009">
            <v>9500</v>
          </cell>
          <cell r="G1009">
            <v>6650</v>
          </cell>
        </row>
        <row r="1010">
          <cell r="C1010" t="str">
            <v>Nhân công</v>
          </cell>
          <cell r="G1010">
            <v>279773.52</v>
          </cell>
        </row>
        <row r="1011">
          <cell r="B1011" t="str">
            <v>NC1357</v>
          </cell>
          <cell r="C1011" t="str">
            <v>+ Nhân công bậc 3,5/7</v>
          </cell>
          <cell r="D1011" t="str">
            <v>Công</v>
          </cell>
          <cell r="E1011">
            <v>1.56</v>
          </cell>
          <cell r="F1011">
            <v>179342</v>
          </cell>
          <cell r="G1011">
            <v>279773.52</v>
          </cell>
        </row>
        <row r="1012">
          <cell r="A1012" t="str">
            <v>D3.1126</v>
          </cell>
          <cell r="C1012" t="str">
            <v>Lắp đặt sứ đứng cho cột vuông, trên cột,  Loại sứ 35KV</v>
          </cell>
          <cell r="D1012" t="str">
            <v>10 sứ</v>
          </cell>
          <cell r="H1012">
            <v>8075</v>
          </cell>
          <cell r="I1012">
            <v>356890.58</v>
          </cell>
        </row>
        <row r="1013">
          <cell r="C1013" t="str">
            <v>Vật liệu</v>
          </cell>
          <cell r="G1013">
            <v>8075</v>
          </cell>
        </row>
        <row r="1014">
          <cell r="B1014">
            <v>1</v>
          </cell>
          <cell r="C1014" t="str">
            <v>+ Cồn công nghiệp</v>
          </cell>
          <cell r="D1014" t="str">
            <v>kg</v>
          </cell>
          <cell r="E1014">
            <v>0.15</v>
          </cell>
          <cell r="F1014">
            <v>9500</v>
          </cell>
          <cell r="G1014">
            <v>1425</v>
          </cell>
        </row>
        <row r="1015">
          <cell r="B1015">
            <v>9</v>
          </cell>
          <cell r="C1015" t="str">
            <v>+ Giẻ lau</v>
          </cell>
          <cell r="D1015" t="str">
            <v>Kg</v>
          </cell>
          <cell r="E1015">
            <v>0.7</v>
          </cell>
          <cell r="F1015">
            <v>9500</v>
          </cell>
          <cell r="G1015">
            <v>6650</v>
          </cell>
        </row>
        <row r="1016">
          <cell r="C1016" t="str">
            <v>Nhân công</v>
          </cell>
          <cell r="G1016">
            <v>356890.58</v>
          </cell>
        </row>
        <row r="1017">
          <cell r="B1017" t="str">
            <v>NC1357</v>
          </cell>
          <cell r="C1017" t="str">
            <v>+ Nhân công bậc 3,5/7</v>
          </cell>
          <cell r="D1017" t="str">
            <v>Công</v>
          </cell>
          <cell r="E1017">
            <v>1.99</v>
          </cell>
          <cell r="F1017">
            <v>179342</v>
          </cell>
          <cell r="G1017">
            <v>356890.58</v>
          </cell>
        </row>
        <row r="1018">
          <cell r="A1018" t="str">
            <v>D3.1211</v>
          </cell>
          <cell r="C1018" t="str">
            <v>Lắp đặt sứ hạ thế bằng thủ  công, Sứ các loại khác</v>
          </cell>
          <cell r="D1018" t="str">
            <v>bộ</v>
          </cell>
          <cell r="H1018">
            <v>0</v>
          </cell>
          <cell r="I1018">
            <v>10760.52</v>
          </cell>
        </row>
        <row r="1019">
          <cell r="C1019" t="str">
            <v>Vật liệu</v>
          </cell>
          <cell r="G1019">
            <v>0</v>
          </cell>
        </row>
        <row r="1020">
          <cell r="B1020">
            <v>74</v>
          </cell>
          <cell r="C1020" t="str">
            <v>+ ống sứ hạ thế</v>
          </cell>
          <cell r="D1020" t="str">
            <v>cái</v>
          </cell>
          <cell r="E1020">
            <v>1</v>
          </cell>
          <cell r="F1020">
            <v>0</v>
          </cell>
          <cell r="G1020">
            <v>0</v>
          </cell>
        </row>
        <row r="1021">
          <cell r="C1021" t="str">
            <v>Nhân công</v>
          </cell>
          <cell r="G1021">
            <v>10760.52</v>
          </cell>
        </row>
        <row r="1022">
          <cell r="B1022" t="str">
            <v>NC1357</v>
          </cell>
          <cell r="C1022" t="str">
            <v>+ Nhân công bậc 3,5/7</v>
          </cell>
          <cell r="D1022" t="str">
            <v>Công</v>
          </cell>
          <cell r="E1022">
            <v>0.06</v>
          </cell>
          <cell r="F1022">
            <v>179342</v>
          </cell>
          <cell r="G1022">
            <v>10760.52</v>
          </cell>
        </row>
        <row r="1023">
          <cell r="A1023" t="str">
            <v>D3.1212</v>
          </cell>
          <cell r="C1023" t="str">
            <v>Lắp đặt sứ hạ thế bằng thủ  công, Sứ tai mèo</v>
          </cell>
          <cell r="D1023" t="str">
            <v>bộ</v>
          </cell>
          <cell r="H1023">
            <v>0</v>
          </cell>
          <cell r="I1023">
            <v>12553.94</v>
          </cell>
        </row>
        <row r="1024">
          <cell r="C1024" t="str">
            <v>Vật liệu</v>
          </cell>
          <cell r="G1024">
            <v>0</v>
          </cell>
        </row>
        <row r="1025">
          <cell r="B1025">
            <v>75</v>
          </cell>
          <cell r="C1025" t="str">
            <v>+ Sứ tai mèo</v>
          </cell>
          <cell r="D1025" t="str">
            <v>bộ</v>
          </cell>
          <cell r="E1025">
            <v>1</v>
          </cell>
          <cell r="F1025">
            <v>0</v>
          </cell>
          <cell r="G1025">
            <v>0</v>
          </cell>
        </row>
        <row r="1026">
          <cell r="C1026" t="str">
            <v>Nhân công</v>
          </cell>
          <cell r="G1026">
            <v>12553.94</v>
          </cell>
        </row>
        <row r="1027">
          <cell r="B1027" t="str">
            <v>NC1357</v>
          </cell>
          <cell r="C1027" t="str">
            <v>+ Nhân công bậc 3,5/7</v>
          </cell>
          <cell r="D1027" t="str">
            <v>Công</v>
          </cell>
          <cell r="E1027">
            <v>7.0000000000000007E-2</v>
          </cell>
          <cell r="F1027">
            <v>179342</v>
          </cell>
          <cell r="G1027">
            <v>12553.94</v>
          </cell>
        </row>
        <row r="1028">
          <cell r="A1028" t="str">
            <v>D3.1213</v>
          </cell>
          <cell r="C1028" t="str">
            <v>Lắp đặt sứ hạ thế bằng thủ  công, loại 2 sứ</v>
          </cell>
          <cell r="D1028" t="str">
            <v>bộ</v>
          </cell>
          <cell r="H1028">
            <v>0</v>
          </cell>
          <cell r="I1028">
            <v>50215.76</v>
          </cell>
        </row>
        <row r="1029">
          <cell r="C1029" t="str">
            <v>Vật liệu</v>
          </cell>
          <cell r="G1029">
            <v>0</v>
          </cell>
        </row>
        <row r="1030">
          <cell r="B1030">
            <v>76</v>
          </cell>
          <cell r="C1030" t="str">
            <v>+ Sứ hạ thế, loại 2 sứ</v>
          </cell>
          <cell r="D1030" t="str">
            <v>cái</v>
          </cell>
          <cell r="E1030">
            <v>1</v>
          </cell>
          <cell r="F1030">
            <v>0</v>
          </cell>
          <cell r="G1030">
            <v>0</v>
          </cell>
        </row>
        <row r="1031">
          <cell r="C1031" t="str">
            <v>Nhân công</v>
          </cell>
          <cell r="G1031">
            <v>50215.76</v>
          </cell>
        </row>
        <row r="1032">
          <cell r="B1032" t="str">
            <v>NC1357</v>
          </cell>
          <cell r="C1032" t="str">
            <v>+ Nhân công bậc 3,5/7</v>
          </cell>
          <cell r="D1032" t="str">
            <v>Công</v>
          </cell>
          <cell r="E1032">
            <v>0.28000000000000003</v>
          </cell>
          <cell r="F1032">
            <v>179342</v>
          </cell>
          <cell r="G1032">
            <v>50215.76</v>
          </cell>
        </row>
        <row r="1033">
          <cell r="A1033" t="str">
            <v>D3.1214</v>
          </cell>
          <cell r="C1033" t="str">
            <v>Lắp đặt sứ hạ thế bằng thủ  công, loại 3 sứ</v>
          </cell>
          <cell r="D1033" t="str">
            <v>bộ</v>
          </cell>
          <cell r="H1033">
            <v>0</v>
          </cell>
          <cell r="I1033">
            <v>69943.38</v>
          </cell>
        </row>
        <row r="1034">
          <cell r="C1034" t="str">
            <v>Vật liệu</v>
          </cell>
          <cell r="G1034">
            <v>0</v>
          </cell>
        </row>
        <row r="1035">
          <cell r="B1035">
            <v>77</v>
          </cell>
          <cell r="C1035" t="str">
            <v>+ Sứ hạ thế, loại 3 sứ</v>
          </cell>
          <cell r="D1035" t="str">
            <v>cái</v>
          </cell>
          <cell r="E1035">
            <v>1</v>
          </cell>
          <cell r="F1035">
            <v>0</v>
          </cell>
          <cell r="G1035">
            <v>0</v>
          </cell>
        </row>
        <row r="1036">
          <cell r="C1036" t="str">
            <v>Nhân công</v>
          </cell>
          <cell r="G1036">
            <v>69943.38</v>
          </cell>
        </row>
        <row r="1037">
          <cell r="B1037" t="str">
            <v>NC1357</v>
          </cell>
          <cell r="C1037" t="str">
            <v>+ Nhân công bậc 3,5/7</v>
          </cell>
          <cell r="D1037" t="str">
            <v>Công</v>
          </cell>
          <cell r="E1037">
            <v>0.39</v>
          </cell>
          <cell r="F1037">
            <v>179342</v>
          </cell>
          <cell r="G1037">
            <v>69943.38</v>
          </cell>
        </row>
        <row r="1038">
          <cell r="A1038" t="str">
            <v>D3.1215</v>
          </cell>
          <cell r="C1038" t="str">
            <v>Lắp đặt sứ hạ thế bằng thủ  công, loại 4 sứ</v>
          </cell>
          <cell r="D1038" t="str">
            <v>bộ</v>
          </cell>
          <cell r="H1038">
            <v>0</v>
          </cell>
          <cell r="I1038">
            <v>98638.1</v>
          </cell>
        </row>
        <row r="1039">
          <cell r="C1039" t="str">
            <v>Vật liệu</v>
          </cell>
          <cell r="G1039">
            <v>0</v>
          </cell>
        </row>
        <row r="1040">
          <cell r="B1040">
            <v>76</v>
          </cell>
          <cell r="C1040" t="str">
            <v>+ Sứ hạ thế, loại 4 sứ</v>
          </cell>
          <cell r="D1040" t="str">
            <v>cái</v>
          </cell>
          <cell r="E1040">
            <v>1</v>
          </cell>
          <cell r="F1040">
            <v>0</v>
          </cell>
          <cell r="G1040">
            <v>0</v>
          </cell>
        </row>
        <row r="1041">
          <cell r="C1041" t="str">
            <v>Nhân công</v>
          </cell>
          <cell r="G1041">
            <v>98638.1</v>
          </cell>
        </row>
        <row r="1042">
          <cell r="B1042" t="str">
            <v>NC1357</v>
          </cell>
          <cell r="C1042" t="str">
            <v>+ Nhân công bậc 3,5/7</v>
          </cell>
          <cell r="D1042" t="str">
            <v>Công</v>
          </cell>
          <cell r="E1042">
            <v>0.55000000000000004</v>
          </cell>
          <cell r="F1042">
            <v>179342</v>
          </cell>
          <cell r="G1042">
            <v>98638.1</v>
          </cell>
        </row>
        <row r="1043">
          <cell r="A1043" t="str">
            <v>D3.1221</v>
          </cell>
          <cell r="C1043" t="str">
            <v>Lắp đặt sứ hạ thế bằng thủ  công kết hợp cơ giới, Sứ các loại khác</v>
          </cell>
          <cell r="D1043" t="str">
            <v>bộ</v>
          </cell>
          <cell r="H1043">
            <v>0</v>
          </cell>
          <cell r="I1043">
            <v>4304.2080000000005</v>
          </cell>
          <cell r="J1043">
            <v>0</v>
          </cell>
        </row>
        <row r="1044">
          <cell r="C1044" t="str">
            <v>Vật liệu</v>
          </cell>
          <cell r="G1044">
            <v>0</v>
          </cell>
        </row>
        <row r="1045">
          <cell r="B1045">
            <v>74</v>
          </cell>
          <cell r="C1045" t="str">
            <v>+ ống sứ hạ thế</v>
          </cell>
          <cell r="D1045" t="str">
            <v>cái</v>
          </cell>
          <cell r="E1045">
            <v>1</v>
          </cell>
          <cell r="F1045">
            <v>0</v>
          </cell>
          <cell r="G1045">
            <v>0</v>
          </cell>
        </row>
        <row r="1046">
          <cell r="C1046" t="str">
            <v>Nhân công</v>
          </cell>
          <cell r="G1046">
            <v>4304.2080000000005</v>
          </cell>
        </row>
        <row r="1047">
          <cell r="B1047" t="str">
            <v>NC1357</v>
          </cell>
          <cell r="C1047" t="str">
            <v>+ Nhân công bậc 3,5/7</v>
          </cell>
          <cell r="D1047" t="str">
            <v>Công</v>
          </cell>
          <cell r="E1047">
            <v>2.4E-2</v>
          </cell>
          <cell r="F1047">
            <v>179342</v>
          </cell>
          <cell r="G1047">
            <v>4304.2080000000005</v>
          </cell>
        </row>
        <row r="1048">
          <cell r="C1048" t="str">
            <v>Máy thi công</v>
          </cell>
          <cell r="G1048">
            <v>0</v>
          </cell>
        </row>
        <row r="1049">
          <cell r="B1049">
            <v>7010</v>
          </cell>
          <cell r="C1049" t="str">
            <v>+ Cẩu nâng</v>
          </cell>
          <cell r="D1049" t="str">
            <v>Ca</v>
          </cell>
          <cell r="E1049">
            <v>1.4999999999999999E-2</v>
          </cell>
          <cell r="F1049">
            <v>0</v>
          </cell>
          <cell r="G1049">
            <v>0</v>
          </cell>
        </row>
        <row r="1050">
          <cell r="A1050" t="str">
            <v>D3.1222</v>
          </cell>
          <cell r="C1050" t="str">
            <v>Lắp đặt sứ hạ thế bằng thủ  công kết hợp cơ giới, Sứ tai mèo</v>
          </cell>
          <cell r="D1050" t="str">
            <v>bộ</v>
          </cell>
          <cell r="H1050">
            <v>0</v>
          </cell>
          <cell r="I1050">
            <v>5021.576</v>
          </cell>
          <cell r="J1050">
            <v>0</v>
          </cell>
        </row>
        <row r="1051">
          <cell r="C1051" t="str">
            <v>Vật liệu</v>
          </cell>
          <cell r="G1051">
            <v>0</v>
          </cell>
        </row>
        <row r="1052">
          <cell r="B1052">
            <v>75</v>
          </cell>
          <cell r="C1052" t="str">
            <v>+ Sứ tai mèo</v>
          </cell>
          <cell r="D1052" t="str">
            <v>bộ</v>
          </cell>
          <cell r="E1052">
            <v>1</v>
          </cell>
          <cell r="F1052">
            <v>0</v>
          </cell>
          <cell r="G1052">
            <v>0</v>
          </cell>
        </row>
        <row r="1053">
          <cell r="C1053" t="str">
            <v>Nhân công</v>
          </cell>
          <cell r="G1053">
            <v>5021.576</v>
          </cell>
        </row>
        <row r="1054">
          <cell r="B1054" t="str">
            <v>NC1357</v>
          </cell>
          <cell r="C1054" t="str">
            <v>+ Nhân công bậc 3,5/7</v>
          </cell>
          <cell r="D1054" t="str">
            <v>Công</v>
          </cell>
          <cell r="E1054">
            <v>2.8000000000000001E-2</v>
          </cell>
          <cell r="F1054">
            <v>179342</v>
          </cell>
          <cell r="G1054">
            <v>5021.576</v>
          </cell>
        </row>
        <row r="1055">
          <cell r="C1055" t="str">
            <v>Máy thi công</v>
          </cell>
          <cell r="G1055">
            <v>0</v>
          </cell>
        </row>
        <row r="1056">
          <cell r="B1056">
            <v>7010</v>
          </cell>
          <cell r="C1056" t="str">
            <v>+ Cẩu nâng</v>
          </cell>
          <cell r="D1056" t="str">
            <v>Ca</v>
          </cell>
          <cell r="E1056">
            <v>1.4999999999999999E-2</v>
          </cell>
          <cell r="F1056">
            <v>0</v>
          </cell>
          <cell r="G1056">
            <v>0</v>
          </cell>
        </row>
        <row r="1057">
          <cell r="A1057" t="str">
            <v>D3.1223</v>
          </cell>
          <cell r="C1057" t="str">
            <v>Lắp đặt sứ hạ thế bằng thủ  công kết hợp cơ giới, loại 2 sứ</v>
          </cell>
          <cell r="D1057" t="str">
            <v>bộ</v>
          </cell>
          <cell r="H1057">
            <v>0</v>
          </cell>
          <cell r="I1057">
            <v>13988.675999999999</v>
          </cell>
          <cell r="J1057">
            <v>0</v>
          </cell>
        </row>
        <row r="1058">
          <cell r="C1058" t="str">
            <v>Vật liệu</v>
          </cell>
          <cell r="G1058">
            <v>0</v>
          </cell>
        </row>
        <row r="1059">
          <cell r="B1059">
            <v>76</v>
          </cell>
          <cell r="C1059" t="str">
            <v>+ Sứ hạ thế, loại 2 sứ</v>
          </cell>
          <cell r="D1059" t="str">
            <v>cái</v>
          </cell>
          <cell r="E1059">
            <v>1</v>
          </cell>
          <cell r="F1059">
            <v>0</v>
          </cell>
          <cell r="G1059">
            <v>0</v>
          </cell>
        </row>
        <row r="1060">
          <cell r="C1060" t="str">
            <v>Nhân công</v>
          </cell>
          <cell r="G1060">
            <v>13988.675999999999</v>
          </cell>
        </row>
        <row r="1061">
          <cell r="B1061" t="str">
            <v>NC1357</v>
          </cell>
          <cell r="C1061" t="str">
            <v>+ Nhân công bậc 3,5/7</v>
          </cell>
          <cell r="D1061" t="str">
            <v>Công</v>
          </cell>
          <cell r="E1061">
            <v>7.8E-2</v>
          </cell>
          <cell r="F1061">
            <v>179342</v>
          </cell>
          <cell r="G1061">
            <v>13988.675999999999</v>
          </cell>
        </row>
        <row r="1062">
          <cell r="C1062" t="str">
            <v>Máy thi công</v>
          </cell>
          <cell r="G1062">
            <v>0</v>
          </cell>
        </row>
        <row r="1063">
          <cell r="B1063">
            <v>7010</v>
          </cell>
          <cell r="C1063" t="str">
            <v>+ Cẩu nâng</v>
          </cell>
          <cell r="D1063" t="str">
            <v>Ca</v>
          </cell>
          <cell r="E1063">
            <v>0.02</v>
          </cell>
          <cell r="F1063">
            <v>0</v>
          </cell>
          <cell r="G1063">
            <v>0</v>
          </cell>
        </row>
        <row r="1064">
          <cell r="A1064" t="str">
            <v>D3.1224</v>
          </cell>
          <cell r="C1064" t="str">
            <v>Lắp đặt sứ hạ thế bằng thủ  công kết hợp cơ giới, loại 3 sứ</v>
          </cell>
          <cell r="D1064" t="str">
            <v>bộ</v>
          </cell>
          <cell r="H1064">
            <v>0</v>
          </cell>
          <cell r="I1064">
            <v>19548.277999999998</v>
          </cell>
          <cell r="J1064">
            <v>0</v>
          </cell>
        </row>
        <row r="1065">
          <cell r="C1065" t="str">
            <v>Vật liệu</v>
          </cell>
          <cell r="G1065">
            <v>0</v>
          </cell>
        </row>
        <row r="1066">
          <cell r="B1066">
            <v>77</v>
          </cell>
          <cell r="C1066" t="str">
            <v>+ Sứ hạ thế, loại 3 sứ</v>
          </cell>
          <cell r="D1066" t="str">
            <v>cái</v>
          </cell>
          <cell r="E1066">
            <v>1</v>
          </cell>
          <cell r="F1066">
            <v>0</v>
          </cell>
          <cell r="G1066">
            <v>0</v>
          </cell>
        </row>
        <row r="1067">
          <cell r="C1067" t="str">
            <v>Nhân công</v>
          </cell>
          <cell r="G1067">
            <v>19548.277999999998</v>
          </cell>
        </row>
        <row r="1068">
          <cell r="B1068" t="str">
            <v>NC1357</v>
          </cell>
          <cell r="C1068" t="str">
            <v>+ Nhân công bậc 3,5/7</v>
          </cell>
          <cell r="D1068" t="str">
            <v>Công</v>
          </cell>
          <cell r="E1068">
            <v>0.109</v>
          </cell>
          <cell r="F1068">
            <v>179342</v>
          </cell>
          <cell r="G1068">
            <v>19548.277999999998</v>
          </cell>
        </row>
        <row r="1069">
          <cell r="C1069" t="str">
            <v>Máy thi công</v>
          </cell>
          <cell r="G1069">
            <v>0</v>
          </cell>
        </row>
        <row r="1070">
          <cell r="B1070">
            <v>7010</v>
          </cell>
          <cell r="C1070" t="str">
            <v>+ Cẩu nâng</v>
          </cell>
          <cell r="D1070" t="str">
            <v>Ca</v>
          </cell>
          <cell r="E1070">
            <v>0.02</v>
          </cell>
          <cell r="F1070">
            <v>0</v>
          </cell>
          <cell r="G1070">
            <v>0</v>
          </cell>
        </row>
        <row r="1071">
          <cell r="A1071" t="str">
            <v>D3.1225</v>
          </cell>
          <cell r="C1071" t="str">
            <v>Lắp đặt sứ hạ thế bằng thủ  công kết hợp cơ giới, loại 4 sứ</v>
          </cell>
          <cell r="D1071" t="str">
            <v>bộ</v>
          </cell>
          <cell r="H1071">
            <v>0</v>
          </cell>
          <cell r="I1071">
            <v>27618.667999999998</v>
          </cell>
          <cell r="J1071">
            <v>0</v>
          </cell>
        </row>
        <row r="1072">
          <cell r="C1072" t="str">
            <v>Vật liệu</v>
          </cell>
          <cell r="G1072">
            <v>0</v>
          </cell>
        </row>
        <row r="1073">
          <cell r="B1073">
            <v>78</v>
          </cell>
          <cell r="C1073" t="str">
            <v>+ Sứ hạ thế, loại 4 sứ</v>
          </cell>
          <cell r="D1073" t="str">
            <v>cái</v>
          </cell>
          <cell r="E1073">
            <v>1</v>
          </cell>
          <cell r="F1073">
            <v>0</v>
          </cell>
          <cell r="G1073">
            <v>0</v>
          </cell>
        </row>
        <row r="1074">
          <cell r="C1074" t="str">
            <v>Nhân công</v>
          </cell>
          <cell r="G1074">
            <v>27618.667999999998</v>
          </cell>
        </row>
        <row r="1075">
          <cell r="B1075" t="str">
            <v>NC1357</v>
          </cell>
          <cell r="C1075" t="str">
            <v>+ Nhân công bậc 3,5/7</v>
          </cell>
          <cell r="D1075" t="str">
            <v>Công</v>
          </cell>
          <cell r="E1075">
            <v>0.154</v>
          </cell>
          <cell r="F1075">
            <v>179342</v>
          </cell>
          <cell r="G1075">
            <v>27618.667999999998</v>
          </cell>
        </row>
        <row r="1076">
          <cell r="C1076" t="str">
            <v>Máy thi công</v>
          </cell>
          <cell r="G1076">
            <v>0</v>
          </cell>
        </row>
        <row r="1077">
          <cell r="B1077">
            <v>7010</v>
          </cell>
          <cell r="C1077" t="str">
            <v>+ Cẩu nâng</v>
          </cell>
          <cell r="D1077" t="str">
            <v>Ca</v>
          </cell>
          <cell r="E1077">
            <v>0.02</v>
          </cell>
          <cell r="F1077">
            <v>0</v>
          </cell>
          <cell r="G1077">
            <v>0</v>
          </cell>
        </row>
        <row r="1078">
          <cell r="A1078" t="str">
            <v>D3.1311</v>
          </cell>
          <cell r="C1078" t="str">
            <v>Lắp đặt chuỗi sứ đỡ chống sét, Chiều cao lắp đặt sứ =&lt; 20m</v>
          </cell>
          <cell r="D1078" t="str">
            <v>sứ</v>
          </cell>
          <cell r="H1078">
            <v>522.5</v>
          </cell>
          <cell r="I1078">
            <v>44776.505921052631</v>
          </cell>
        </row>
        <row r="1079">
          <cell r="C1079" t="str">
            <v>Vật liệu</v>
          </cell>
          <cell r="G1079">
            <v>522.5</v>
          </cell>
        </row>
        <row r="1080">
          <cell r="B1080">
            <v>9</v>
          </cell>
          <cell r="C1080" t="str">
            <v>+ Giẻ lau</v>
          </cell>
          <cell r="D1080" t="str">
            <v>Kg</v>
          </cell>
          <cell r="E1080">
            <v>0.01</v>
          </cell>
          <cell r="F1080">
            <v>9500</v>
          </cell>
          <cell r="G1080">
            <v>95</v>
          </cell>
        </row>
        <row r="1081">
          <cell r="B1081">
            <v>1</v>
          </cell>
          <cell r="C1081" t="str">
            <v>+ Cồn công nghiệp</v>
          </cell>
          <cell r="D1081" t="str">
            <v>kg</v>
          </cell>
          <cell r="E1081">
            <v>4.4999999999999998E-2</v>
          </cell>
          <cell r="F1081">
            <v>9500</v>
          </cell>
          <cell r="G1081">
            <v>427.5</v>
          </cell>
        </row>
        <row r="1082">
          <cell r="C1082" t="str">
            <v>Nhân công</v>
          </cell>
          <cell r="G1082">
            <v>44776.505921052631</v>
          </cell>
        </row>
        <row r="1083">
          <cell r="B1083" t="str">
            <v>NC1407</v>
          </cell>
          <cell r="C1083" t="str">
            <v>+ Nhân công bậc 4,0/7</v>
          </cell>
          <cell r="D1083" t="str">
            <v>Công</v>
          </cell>
          <cell r="E1083">
            <v>0.23</v>
          </cell>
          <cell r="F1083">
            <v>194680.46052631579</v>
          </cell>
          <cell r="G1083">
            <v>44776.505921052631</v>
          </cell>
        </row>
        <row r="1084">
          <cell r="A1084" t="str">
            <v>D3.1312</v>
          </cell>
          <cell r="C1084" t="str">
            <v>Lắp đặt chuỗi sứ đỡ chống sét, Chiều cao lắp đặt sứ =&lt; 30m</v>
          </cell>
          <cell r="D1084" t="str">
            <v>sứ</v>
          </cell>
          <cell r="H1084">
            <v>522.5</v>
          </cell>
          <cell r="I1084">
            <v>46723.310526315785</v>
          </cell>
        </row>
        <row r="1085">
          <cell r="C1085" t="str">
            <v>Vật liệu</v>
          </cell>
          <cell r="G1085">
            <v>522.5</v>
          </cell>
        </row>
        <row r="1086">
          <cell r="B1086">
            <v>9</v>
          </cell>
          <cell r="C1086" t="str">
            <v>+ Giẻ lau</v>
          </cell>
          <cell r="D1086" t="str">
            <v>Kg</v>
          </cell>
          <cell r="E1086">
            <v>0.01</v>
          </cell>
          <cell r="F1086">
            <v>9500</v>
          </cell>
          <cell r="G1086">
            <v>95</v>
          </cell>
        </row>
        <row r="1087">
          <cell r="B1087">
            <v>1</v>
          </cell>
          <cell r="C1087" t="str">
            <v>+ Cồn công nghiệp</v>
          </cell>
          <cell r="D1087" t="str">
            <v>kg</v>
          </cell>
          <cell r="E1087">
            <v>4.4999999999999998E-2</v>
          </cell>
          <cell r="F1087">
            <v>9500</v>
          </cell>
          <cell r="G1087">
            <v>427.5</v>
          </cell>
        </row>
        <row r="1088">
          <cell r="C1088" t="str">
            <v>Nhân công</v>
          </cell>
          <cell r="G1088">
            <v>46723.310526315785</v>
          </cell>
        </row>
        <row r="1089">
          <cell r="B1089" t="str">
            <v>NC1407</v>
          </cell>
          <cell r="C1089" t="str">
            <v>+ Nhân công bậc 4,0/7</v>
          </cell>
          <cell r="D1089" t="str">
            <v>Công</v>
          </cell>
          <cell r="E1089">
            <v>0.24</v>
          </cell>
          <cell r="F1089">
            <v>194680.46052631579</v>
          </cell>
          <cell r="G1089">
            <v>46723.310526315785</v>
          </cell>
        </row>
        <row r="1090">
          <cell r="A1090" t="str">
            <v>D3.1313</v>
          </cell>
          <cell r="C1090" t="str">
            <v>Lắp đặt chuỗi sứ đỡ chống sét, Chiều cao lắp đặt sứ =&lt; 40m</v>
          </cell>
          <cell r="D1090" t="str">
            <v>sứ</v>
          </cell>
          <cell r="H1090">
            <v>522.5</v>
          </cell>
          <cell r="I1090">
            <v>52563.724342105263</v>
          </cell>
        </row>
        <row r="1091">
          <cell r="C1091" t="str">
            <v>Vật liệu</v>
          </cell>
          <cell r="G1091">
            <v>522.5</v>
          </cell>
        </row>
        <row r="1092">
          <cell r="B1092">
            <v>9</v>
          </cell>
          <cell r="C1092" t="str">
            <v>+ Giẻ lau</v>
          </cell>
          <cell r="D1092" t="str">
            <v>Kg</v>
          </cell>
          <cell r="E1092">
            <v>0.01</v>
          </cell>
          <cell r="F1092">
            <v>9500</v>
          </cell>
          <cell r="G1092">
            <v>95</v>
          </cell>
        </row>
        <row r="1093">
          <cell r="B1093">
            <v>1</v>
          </cell>
          <cell r="C1093" t="str">
            <v>+ Cồn công nghiệp</v>
          </cell>
          <cell r="D1093" t="str">
            <v>kg</v>
          </cell>
          <cell r="E1093">
            <v>4.4999999999999998E-2</v>
          </cell>
          <cell r="F1093">
            <v>9500</v>
          </cell>
          <cell r="G1093">
            <v>427.5</v>
          </cell>
        </row>
        <row r="1094">
          <cell r="C1094" t="str">
            <v>Nhân công</v>
          </cell>
          <cell r="G1094">
            <v>52563.724342105263</v>
          </cell>
        </row>
        <row r="1095">
          <cell r="B1095" t="str">
            <v>NC1407</v>
          </cell>
          <cell r="C1095" t="str">
            <v>+ Nhân công bậc 4,0/7</v>
          </cell>
          <cell r="D1095" t="str">
            <v>Công</v>
          </cell>
          <cell r="E1095">
            <v>0.27</v>
          </cell>
          <cell r="F1095">
            <v>194680.46052631579</v>
          </cell>
          <cell r="G1095">
            <v>52563.724342105263</v>
          </cell>
        </row>
        <row r="1096">
          <cell r="A1096" t="str">
            <v>D3.1314</v>
          </cell>
          <cell r="C1096" t="str">
            <v>Lắp đặt chuỗi sứ đỡ chống sét, Chiều cao lắp đặt sứ =&lt; 50m</v>
          </cell>
          <cell r="D1096" t="str">
            <v>sứ</v>
          </cell>
          <cell r="H1096">
            <v>522.5</v>
          </cell>
          <cell r="I1096">
            <v>60350.942763157895</v>
          </cell>
        </row>
        <row r="1097">
          <cell r="C1097" t="str">
            <v>Vật liệu</v>
          </cell>
          <cell r="G1097">
            <v>522.5</v>
          </cell>
        </row>
        <row r="1098">
          <cell r="B1098">
            <v>9</v>
          </cell>
          <cell r="C1098" t="str">
            <v>+ Giẻ lau</v>
          </cell>
          <cell r="D1098" t="str">
            <v>Kg</v>
          </cell>
          <cell r="E1098">
            <v>0.01</v>
          </cell>
          <cell r="F1098">
            <v>9500</v>
          </cell>
          <cell r="G1098">
            <v>95</v>
          </cell>
        </row>
        <row r="1099">
          <cell r="B1099">
            <v>1</v>
          </cell>
          <cell r="C1099" t="str">
            <v>+ Cồn công nghiệp</v>
          </cell>
          <cell r="D1099" t="str">
            <v>kg</v>
          </cell>
          <cell r="E1099">
            <v>4.4999999999999998E-2</v>
          </cell>
          <cell r="F1099">
            <v>9500</v>
          </cell>
          <cell r="G1099">
            <v>427.5</v>
          </cell>
        </row>
        <row r="1100">
          <cell r="C1100" t="str">
            <v>Nhân công</v>
          </cell>
          <cell r="G1100">
            <v>60350.942763157895</v>
          </cell>
        </row>
        <row r="1101">
          <cell r="B1101" t="str">
            <v>NC1407</v>
          </cell>
          <cell r="C1101" t="str">
            <v>+ Nhân công bậc 4,0/7</v>
          </cell>
          <cell r="D1101" t="str">
            <v>Công</v>
          </cell>
          <cell r="E1101">
            <v>0.31</v>
          </cell>
          <cell r="F1101">
            <v>194680.46052631579</v>
          </cell>
          <cell r="G1101">
            <v>60350.942763157895</v>
          </cell>
        </row>
        <row r="1102">
          <cell r="A1102" t="str">
            <v>D3.1315</v>
          </cell>
          <cell r="C1102" t="str">
            <v>Lắp đặt chuỗi sứ đỡ chống sét, Chiều cao lắp đặt sứ =&lt; 60m</v>
          </cell>
          <cell r="D1102" t="str">
            <v>sứ</v>
          </cell>
          <cell r="H1102">
            <v>522.5</v>
          </cell>
          <cell r="I1102">
            <v>66191.356578947365</v>
          </cell>
        </row>
        <row r="1103">
          <cell r="C1103" t="str">
            <v>Vật liệu</v>
          </cell>
          <cell r="G1103">
            <v>522.5</v>
          </cell>
        </row>
        <row r="1104">
          <cell r="B1104">
            <v>9</v>
          </cell>
          <cell r="C1104" t="str">
            <v>+ Giẻ lau</v>
          </cell>
          <cell r="D1104" t="str">
            <v>Kg</v>
          </cell>
          <cell r="E1104">
            <v>0.01</v>
          </cell>
          <cell r="F1104">
            <v>9500</v>
          </cell>
          <cell r="G1104">
            <v>95</v>
          </cell>
        </row>
        <row r="1105">
          <cell r="B1105">
            <v>1</v>
          </cell>
          <cell r="C1105" t="str">
            <v>+ Cồn công nghiệp</v>
          </cell>
          <cell r="D1105" t="str">
            <v>kg</v>
          </cell>
          <cell r="E1105">
            <v>4.4999999999999998E-2</v>
          </cell>
          <cell r="F1105">
            <v>9500</v>
          </cell>
          <cell r="G1105">
            <v>427.5</v>
          </cell>
        </row>
        <row r="1106">
          <cell r="C1106" t="str">
            <v>Nhân công</v>
          </cell>
          <cell r="G1106">
            <v>66191.356578947365</v>
          </cell>
        </row>
        <row r="1107">
          <cell r="B1107" t="str">
            <v>NC1407</v>
          </cell>
          <cell r="C1107" t="str">
            <v>+ Nhân công bậc 4,0/7</v>
          </cell>
          <cell r="D1107" t="str">
            <v>Công</v>
          </cell>
          <cell r="E1107">
            <v>0.34</v>
          </cell>
          <cell r="F1107">
            <v>194680.46052631579</v>
          </cell>
          <cell r="G1107">
            <v>66191.356578947365</v>
          </cell>
        </row>
        <row r="1108">
          <cell r="A1108" t="str">
            <v>D3.1316</v>
          </cell>
          <cell r="C1108" t="str">
            <v>Lắp đặt chuỗi sứ đỡ chống sét, Chiều cao lắp đặt sứ =&lt; 70m</v>
          </cell>
          <cell r="D1108" t="str">
            <v>sứ</v>
          </cell>
          <cell r="H1108">
            <v>522.5</v>
          </cell>
          <cell r="I1108">
            <v>72810.49223684211</v>
          </cell>
        </row>
        <row r="1109">
          <cell r="C1109" t="str">
            <v>Vật liệu</v>
          </cell>
          <cell r="G1109">
            <v>522.5</v>
          </cell>
        </row>
        <row r="1110">
          <cell r="B1110">
            <v>9</v>
          </cell>
          <cell r="C1110" t="str">
            <v>+ Giẻ lau</v>
          </cell>
          <cell r="D1110" t="str">
            <v>Kg</v>
          </cell>
          <cell r="E1110">
            <v>0.01</v>
          </cell>
          <cell r="F1110">
            <v>9500</v>
          </cell>
          <cell r="G1110">
            <v>95</v>
          </cell>
        </row>
        <row r="1111">
          <cell r="B1111">
            <v>1</v>
          </cell>
          <cell r="C1111" t="str">
            <v>+ Cồn công nghiệp</v>
          </cell>
          <cell r="D1111" t="str">
            <v>kg</v>
          </cell>
          <cell r="E1111">
            <v>4.4999999999999998E-2</v>
          </cell>
          <cell r="F1111">
            <v>9500</v>
          </cell>
          <cell r="G1111">
            <v>427.5</v>
          </cell>
        </row>
        <row r="1112">
          <cell r="C1112" t="str">
            <v>Nhân công</v>
          </cell>
          <cell r="G1112">
            <v>72810.49223684211</v>
          </cell>
        </row>
        <row r="1113">
          <cell r="B1113" t="str">
            <v>NC1407</v>
          </cell>
          <cell r="C1113" t="str">
            <v>+ Nhân công bậc 4,0/7</v>
          </cell>
          <cell r="D1113" t="str">
            <v>Công</v>
          </cell>
          <cell r="E1113">
            <v>0.374</v>
          </cell>
          <cell r="F1113">
            <v>194680.46052631579</v>
          </cell>
          <cell r="G1113">
            <v>72810.49223684211</v>
          </cell>
        </row>
        <row r="1114">
          <cell r="A1114" t="str">
            <v>D3.1317</v>
          </cell>
          <cell r="C1114" t="str">
            <v>Lắp đặt chuỗi sứ đỡ chống sét, Chiều cao lắp đặt sứ =&lt; 85m</v>
          </cell>
          <cell r="D1114" t="str">
            <v>sứ</v>
          </cell>
          <cell r="H1114">
            <v>522.5</v>
          </cell>
          <cell r="I1114">
            <v>83712.598026315783</v>
          </cell>
        </row>
        <row r="1115">
          <cell r="C1115" t="str">
            <v>Vật liệu</v>
          </cell>
          <cell r="G1115">
            <v>522.5</v>
          </cell>
        </row>
        <row r="1116">
          <cell r="B1116">
            <v>9</v>
          </cell>
          <cell r="C1116" t="str">
            <v>+ Giẻ lau</v>
          </cell>
          <cell r="D1116" t="str">
            <v>Kg</v>
          </cell>
          <cell r="E1116">
            <v>0.01</v>
          </cell>
          <cell r="F1116">
            <v>9500</v>
          </cell>
          <cell r="G1116">
            <v>95</v>
          </cell>
        </row>
        <row r="1117">
          <cell r="B1117">
            <v>1</v>
          </cell>
          <cell r="C1117" t="str">
            <v>+ Cồn công nghiệp</v>
          </cell>
          <cell r="D1117" t="str">
            <v>kg</v>
          </cell>
          <cell r="E1117">
            <v>4.4999999999999998E-2</v>
          </cell>
          <cell r="F1117">
            <v>9500</v>
          </cell>
          <cell r="G1117">
            <v>427.5</v>
          </cell>
        </row>
        <row r="1118">
          <cell r="C1118" t="str">
            <v>Nhân công</v>
          </cell>
          <cell r="G1118">
            <v>83712.598026315783</v>
          </cell>
        </row>
        <row r="1119">
          <cell r="B1119" t="str">
            <v>NC1407</v>
          </cell>
          <cell r="C1119" t="str">
            <v>+ Nhân công bậc 4,0/7</v>
          </cell>
          <cell r="D1119" t="str">
            <v>Công</v>
          </cell>
          <cell r="E1119">
            <v>0.43</v>
          </cell>
          <cell r="F1119">
            <v>194680.46052631579</v>
          </cell>
          <cell r="G1119">
            <v>83712.598026315783</v>
          </cell>
        </row>
        <row r="1120">
          <cell r="A1120" t="str">
            <v>D3.1318</v>
          </cell>
          <cell r="C1120" t="str">
            <v>Lắp đặt chuỗi sứ đỡ chống sét, Chiều cao lắp đặt sứ =&lt; 1000m</v>
          </cell>
          <cell r="D1120" t="str">
            <v>sứ</v>
          </cell>
          <cell r="H1120">
            <v>522.5</v>
          </cell>
          <cell r="I1120">
            <v>96172.147499999992</v>
          </cell>
        </row>
        <row r="1121">
          <cell r="C1121" t="str">
            <v>Vật liệu</v>
          </cell>
          <cell r="G1121">
            <v>522.5</v>
          </cell>
        </row>
        <row r="1122">
          <cell r="B1122">
            <v>9</v>
          </cell>
          <cell r="C1122" t="str">
            <v>+ Giẻ lau</v>
          </cell>
          <cell r="D1122" t="str">
            <v>Kg</v>
          </cell>
          <cell r="E1122">
            <v>0.01</v>
          </cell>
          <cell r="F1122">
            <v>9500</v>
          </cell>
          <cell r="G1122">
            <v>95</v>
          </cell>
        </row>
        <row r="1123">
          <cell r="B1123">
            <v>1</v>
          </cell>
          <cell r="C1123" t="str">
            <v>+ Cồn công nghiệp</v>
          </cell>
          <cell r="D1123" t="str">
            <v>kg</v>
          </cell>
          <cell r="E1123">
            <v>4.4999999999999998E-2</v>
          </cell>
          <cell r="F1123">
            <v>9500</v>
          </cell>
          <cell r="G1123">
            <v>427.5</v>
          </cell>
        </row>
        <row r="1124">
          <cell r="C1124" t="str">
            <v>Nhân công</v>
          </cell>
          <cell r="G1124">
            <v>96172.147499999992</v>
          </cell>
        </row>
        <row r="1125">
          <cell r="B1125" t="str">
            <v>NC1407</v>
          </cell>
          <cell r="C1125" t="str">
            <v>+ Nhân công bậc 4,0/7</v>
          </cell>
          <cell r="D1125" t="str">
            <v>Công</v>
          </cell>
          <cell r="E1125">
            <v>0.49399999999999999</v>
          </cell>
          <cell r="F1125">
            <v>194680.46052631579</v>
          </cell>
          <cell r="G1125">
            <v>96172.147499999992</v>
          </cell>
        </row>
        <row r="1126">
          <cell r="A1126" t="str">
            <v>D3.1312</v>
          </cell>
          <cell r="C1126" t="str">
            <v>Lắp đặt chuỗi sứ néo chống sét, Chiều cao lắp đặt sứ =&lt; 20m</v>
          </cell>
          <cell r="D1126" t="str">
            <v>sứ</v>
          </cell>
          <cell r="H1126">
            <v>570</v>
          </cell>
          <cell r="I1126">
            <v>48670.115131578947</v>
          </cell>
        </row>
        <row r="1127">
          <cell r="C1127" t="str">
            <v>Vật liệu</v>
          </cell>
          <cell r="G1127">
            <v>570</v>
          </cell>
        </row>
        <row r="1128">
          <cell r="B1128">
            <v>9</v>
          </cell>
          <cell r="C1128" t="str">
            <v>+ Giẻ lau</v>
          </cell>
          <cell r="D1128" t="str">
            <v>Kg</v>
          </cell>
          <cell r="E1128">
            <v>0.01</v>
          </cell>
          <cell r="F1128">
            <v>9500</v>
          </cell>
          <cell r="G1128">
            <v>95</v>
          </cell>
        </row>
        <row r="1129">
          <cell r="B1129">
            <v>1</v>
          </cell>
          <cell r="C1129" t="str">
            <v>+ Cồn công nghiệp</v>
          </cell>
          <cell r="D1129" t="str">
            <v>kg</v>
          </cell>
          <cell r="E1129">
            <v>0.05</v>
          </cell>
          <cell r="F1129">
            <v>9500</v>
          </cell>
          <cell r="G1129">
            <v>475</v>
          </cell>
        </row>
        <row r="1130">
          <cell r="C1130" t="str">
            <v>Nhân công</v>
          </cell>
          <cell r="G1130">
            <v>48670.115131578947</v>
          </cell>
        </row>
        <row r="1131">
          <cell r="B1131" t="str">
            <v>NC1407</v>
          </cell>
          <cell r="C1131" t="str">
            <v>+ Nhân công bậc 4,0/7</v>
          </cell>
          <cell r="D1131" t="str">
            <v>Công</v>
          </cell>
          <cell r="E1131">
            <v>0.25</v>
          </cell>
          <cell r="F1131">
            <v>194680.46052631579</v>
          </cell>
          <cell r="G1131">
            <v>48670.115131578947</v>
          </cell>
        </row>
        <row r="1132">
          <cell r="A1132" t="str">
            <v>D3.1322</v>
          </cell>
          <cell r="C1132" t="str">
            <v>Lắp đặt chuỗi sứ néo chống sét, Chiều cao lắp đặt sứ =&lt; 30m</v>
          </cell>
          <cell r="D1132" t="str">
            <v>sứ</v>
          </cell>
          <cell r="H1132">
            <v>570</v>
          </cell>
          <cell r="I1132">
            <v>50616.919736842108</v>
          </cell>
        </row>
        <row r="1133">
          <cell r="C1133" t="str">
            <v>Vật liệu</v>
          </cell>
          <cell r="G1133">
            <v>570</v>
          </cell>
        </row>
        <row r="1134">
          <cell r="B1134">
            <v>9</v>
          </cell>
          <cell r="C1134" t="str">
            <v>+ Giẻ lau</v>
          </cell>
          <cell r="D1134" t="str">
            <v>Kg</v>
          </cell>
          <cell r="E1134">
            <v>0.01</v>
          </cell>
          <cell r="F1134">
            <v>9500</v>
          </cell>
          <cell r="G1134">
            <v>95</v>
          </cell>
        </row>
        <row r="1135">
          <cell r="B1135">
            <v>1</v>
          </cell>
          <cell r="C1135" t="str">
            <v>+ Cồn công nghiệp</v>
          </cell>
          <cell r="D1135" t="str">
            <v>kg</v>
          </cell>
          <cell r="E1135">
            <v>0.05</v>
          </cell>
          <cell r="F1135">
            <v>9500</v>
          </cell>
          <cell r="G1135">
            <v>475</v>
          </cell>
        </row>
        <row r="1136">
          <cell r="C1136" t="str">
            <v>Nhân công</v>
          </cell>
          <cell r="G1136">
            <v>50616.919736842108</v>
          </cell>
        </row>
        <row r="1137">
          <cell r="B1137" t="str">
            <v>NC1407</v>
          </cell>
          <cell r="C1137" t="str">
            <v>+ Nhân công bậc 4,0/7</v>
          </cell>
          <cell r="D1137" t="str">
            <v>Công</v>
          </cell>
          <cell r="E1137">
            <v>0.26</v>
          </cell>
          <cell r="F1137">
            <v>194680.46052631579</v>
          </cell>
          <cell r="G1137">
            <v>50616.919736842108</v>
          </cell>
        </row>
        <row r="1138">
          <cell r="A1138" t="str">
            <v>D3.1332</v>
          </cell>
          <cell r="C1138" t="str">
            <v>Lắp đặt chuỗi sứ néo chống sét, Chiều cao lắp đặt sứ =&lt; 40m</v>
          </cell>
          <cell r="D1138" t="str">
            <v>sứ</v>
          </cell>
          <cell r="H1138">
            <v>570</v>
          </cell>
          <cell r="I1138">
            <v>56457.333552631571</v>
          </cell>
        </row>
        <row r="1139">
          <cell r="C1139" t="str">
            <v>Vật liệu</v>
          </cell>
          <cell r="G1139">
            <v>570</v>
          </cell>
        </row>
        <row r="1140">
          <cell r="B1140">
            <v>9</v>
          </cell>
          <cell r="C1140" t="str">
            <v>+ Giẻ lau</v>
          </cell>
          <cell r="D1140" t="str">
            <v>Kg</v>
          </cell>
          <cell r="E1140">
            <v>0.01</v>
          </cell>
          <cell r="F1140">
            <v>9500</v>
          </cell>
          <cell r="G1140">
            <v>95</v>
          </cell>
        </row>
        <row r="1141">
          <cell r="B1141">
            <v>1</v>
          </cell>
          <cell r="C1141" t="str">
            <v>+ Cồn công nghiệp</v>
          </cell>
          <cell r="D1141" t="str">
            <v>kg</v>
          </cell>
          <cell r="E1141">
            <v>0.05</v>
          </cell>
          <cell r="F1141">
            <v>9500</v>
          </cell>
          <cell r="G1141">
            <v>475</v>
          </cell>
        </row>
        <row r="1142">
          <cell r="C1142" t="str">
            <v>Nhân công</v>
          </cell>
          <cell r="G1142">
            <v>56457.333552631571</v>
          </cell>
        </row>
        <row r="1143">
          <cell r="B1143" t="str">
            <v>NC1407</v>
          </cell>
          <cell r="C1143" t="str">
            <v>+ Nhân công bậc 4,0/7</v>
          </cell>
          <cell r="D1143" t="str">
            <v>Công</v>
          </cell>
          <cell r="E1143">
            <v>0.28999999999999998</v>
          </cell>
          <cell r="F1143">
            <v>194680.46052631579</v>
          </cell>
          <cell r="G1143">
            <v>56457.333552631571</v>
          </cell>
        </row>
        <row r="1144">
          <cell r="A1144" t="str">
            <v>D3.1342</v>
          </cell>
          <cell r="C1144" t="str">
            <v>Lắp đặt chuỗi sứ néo chống sét, Chiều cao lắp đặt sứ =&lt; 50m</v>
          </cell>
          <cell r="D1144" t="str">
            <v>sứ</v>
          </cell>
          <cell r="H1144">
            <v>570</v>
          </cell>
          <cell r="I1144">
            <v>64244.551973684211</v>
          </cell>
        </row>
        <row r="1145">
          <cell r="C1145" t="str">
            <v>Vật liệu</v>
          </cell>
          <cell r="G1145">
            <v>570</v>
          </cell>
        </row>
        <row r="1146">
          <cell r="B1146">
            <v>9</v>
          </cell>
          <cell r="C1146" t="str">
            <v>+ Giẻ lau</v>
          </cell>
          <cell r="D1146" t="str">
            <v>Kg</v>
          </cell>
          <cell r="E1146">
            <v>0.01</v>
          </cell>
          <cell r="F1146">
            <v>9500</v>
          </cell>
          <cell r="G1146">
            <v>95</v>
          </cell>
        </row>
        <row r="1147">
          <cell r="B1147">
            <v>1</v>
          </cell>
          <cell r="C1147" t="str">
            <v>+ Cồn công nghiệp</v>
          </cell>
          <cell r="D1147" t="str">
            <v>kg</v>
          </cell>
          <cell r="E1147">
            <v>0.05</v>
          </cell>
          <cell r="F1147">
            <v>9500</v>
          </cell>
          <cell r="G1147">
            <v>475</v>
          </cell>
        </row>
        <row r="1148">
          <cell r="C1148" t="str">
            <v>Nhân công</v>
          </cell>
          <cell r="G1148">
            <v>64244.551973684211</v>
          </cell>
        </row>
        <row r="1149">
          <cell r="B1149" t="str">
            <v>NC1407</v>
          </cell>
          <cell r="C1149" t="str">
            <v>+ Nhân công bậc 4,0/7</v>
          </cell>
          <cell r="D1149" t="str">
            <v>Công</v>
          </cell>
          <cell r="E1149">
            <v>0.33</v>
          </cell>
          <cell r="F1149">
            <v>194680.46052631579</v>
          </cell>
          <cell r="G1149">
            <v>64244.551973684211</v>
          </cell>
        </row>
        <row r="1150">
          <cell r="A1150" t="str">
            <v>D3.1352</v>
          </cell>
          <cell r="C1150" t="str">
            <v>Lắp đặt chuỗi sứ néo chống sét, Chiều cao lắp đặt sứ =&lt; 60m</v>
          </cell>
          <cell r="D1150" t="str">
            <v>sứ</v>
          </cell>
          <cell r="H1150">
            <v>570</v>
          </cell>
          <cell r="I1150">
            <v>70084.965789473674</v>
          </cell>
        </row>
        <row r="1151">
          <cell r="C1151" t="str">
            <v>Vật liệu</v>
          </cell>
          <cell r="G1151">
            <v>570</v>
          </cell>
        </row>
        <row r="1152">
          <cell r="B1152">
            <v>9</v>
          </cell>
          <cell r="C1152" t="str">
            <v>+ Giẻ lau</v>
          </cell>
          <cell r="D1152" t="str">
            <v>Kg</v>
          </cell>
          <cell r="E1152">
            <v>0.01</v>
          </cell>
          <cell r="F1152">
            <v>9500</v>
          </cell>
          <cell r="G1152">
            <v>95</v>
          </cell>
        </row>
        <row r="1153">
          <cell r="B1153">
            <v>1</v>
          </cell>
          <cell r="C1153" t="str">
            <v>+ Cồn công nghiệp</v>
          </cell>
          <cell r="D1153" t="str">
            <v>kg</v>
          </cell>
          <cell r="E1153">
            <v>0.05</v>
          </cell>
          <cell r="F1153">
            <v>9500</v>
          </cell>
          <cell r="G1153">
            <v>475</v>
          </cell>
        </row>
        <row r="1154">
          <cell r="C1154" t="str">
            <v>Nhân công</v>
          </cell>
          <cell r="G1154">
            <v>70084.965789473674</v>
          </cell>
        </row>
        <row r="1155">
          <cell r="B1155" t="str">
            <v>NC1407</v>
          </cell>
          <cell r="C1155" t="str">
            <v>+ Nhân công bậc 4,0/7</v>
          </cell>
          <cell r="D1155" t="str">
            <v>Công</v>
          </cell>
          <cell r="E1155">
            <v>0.36</v>
          </cell>
          <cell r="F1155">
            <v>194680.46052631579</v>
          </cell>
          <cell r="G1155">
            <v>70084.965789473674</v>
          </cell>
        </row>
        <row r="1156">
          <cell r="A1156" t="str">
            <v>D3.1362</v>
          </cell>
          <cell r="C1156" t="str">
            <v>Lắp đặt chuỗi sứ néo chống sét, Chiều cao lắp đặt sứ =&lt; 70m</v>
          </cell>
          <cell r="D1156" t="str">
            <v>sứ</v>
          </cell>
          <cell r="H1156">
            <v>570</v>
          </cell>
          <cell r="I1156">
            <v>76704.101447368419</v>
          </cell>
        </row>
        <row r="1157">
          <cell r="C1157" t="str">
            <v>Vật liệu</v>
          </cell>
          <cell r="G1157">
            <v>570</v>
          </cell>
        </row>
        <row r="1158">
          <cell r="B1158">
            <v>9</v>
          </cell>
          <cell r="C1158" t="str">
            <v>+ Giẻ lau</v>
          </cell>
          <cell r="D1158" t="str">
            <v>Kg</v>
          </cell>
          <cell r="E1158">
            <v>0.01</v>
          </cell>
          <cell r="F1158">
            <v>9500</v>
          </cell>
          <cell r="G1158">
            <v>95</v>
          </cell>
        </row>
        <row r="1159">
          <cell r="B1159">
            <v>1</v>
          </cell>
          <cell r="C1159" t="str">
            <v>+ Cồn công nghiệp</v>
          </cell>
          <cell r="D1159" t="str">
            <v>kg</v>
          </cell>
          <cell r="E1159">
            <v>0.05</v>
          </cell>
          <cell r="F1159">
            <v>9500</v>
          </cell>
          <cell r="G1159">
            <v>475</v>
          </cell>
        </row>
        <row r="1160">
          <cell r="C1160" t="str">
            <v>Nhân công</v>
          </cell>
          <cell r="G1160">
            <v>76704.101447368419</v>
          </cell>
        </row>
        <row r="1161">
          <cell r="B1161" t="str">
            <v>NC1407</v>
          </cell>
          <cell r="C1161" t="str">
            <v>+ Nhân công bậc 4,0/7</v>
          </cell>
          <cell r="D1161" t="str">
            <v>Công</v>
          </cell>
          <cell r="E1161">
            <v>0.39400000000000002</v>
          </cell>
          <cell r="F1161">
            <v>194680.46052631579</v>
          </cell>
          <cell r="G1161">
            <v>76704.101447368419</v>
          </cell>
        </row>
        <row r="1162">
          <cell r="A1162" t="str">
            <v>D3.1372</v>
          </cell>
          <cell r="C1162" t="str">
            <v>Lắp đặt chuỗi sứ néo chống sét, Chiều cao lắp đặt sứ =&lt; 85m</v>
          </cell>
          <cell r="D1162" t="str">
            <v>sứ</v>
          </cell>
          <cell r="H1162">
            <v>570</v>
          </cell>
          <cell r="I1162">
            <v>89553.011842105261</v>
          </cell>
        </row>
        <row r="1163">
          <cell r="C1163" t="str">
            <v>Vật liệu</v>
          </cell>
          <cell r="G1163">
            <v>570</v>
          </cell>
        </row>
        <row r="1164">
          <cell r="B1164">
            <v>9</v>
          </cell>
          <cell r="C1164" t="str">
            <v>+ Giẻ lau</v>
          </cell>
          <cell r="D1164" t="str">
            <v>Kg</v>
          </cell>
          <cell r="E1164">
            <v>0.01</v>
          </cell>
          <cell r="F1164">
            <v>9500</v>
          </cell>
          <cell r="G1164">
            <v>95</v>
          </cell>
        </row>
        <row r="1165">
          <cell r="B1165">
            <v>1</v>
          </cell>
          <cell r="C1165" t="str">
            <v>+ Cồn công nghiệp</v>
          </cell>
          <cell r="D1165" t="str">
            <v>kg</v>
          </cell>
          <cell r="E1165">
            <v>0.05</v>
          </cell>
          <cell r="F1165">
            <v>9500</v>
          </cell>
          <cell r="G1165">
            <v>475</v>
          </cell>
        </row>
        <row r="1166">
          <cell r="C1166" t="str">
            <v>Nhân công</v>
          </cell>
          <cell r="G1166">
            <v>89553.011842105261</v>
          </cell>
        </row>
        <row r="1167">
          <cell r="B1167" t="str">
            <v>NC1407</v>
          </cell>
          <cell r="C1167" t="str">
            <v>+ Nhân công bậc 4,0/7</v>
          </cell>
          <cell r="D1167" t="str">
            <v>Công</v>
          </cell>
          <cell r="E1167">
            <v>0.46</v>
          </cell>
          <cell r="F1167">
            <v>194680.46052631579</v>
          </cell>
          <cell r="G1167">
            <v>89553.011842105261</v>
          </cell>
        </row>
        <row r="1168">
          <cell r="A1168" t="str">
            <v>D3.1382</v>
          </cell>
          <cell r="C1168" t="str">
            <v>Lắp đặt chuỗi sứ néo chống sét, Chiều cao lắp đặt sứ =&lt; 1000m</v>
          </cell>
          <cell r="D1168" t="str">
            <v>sứ</v>
          </cell>
          <cell r="H1168">
            <v>570</v>
          </cell>
          <cell r="I1168">
            <v>102012.56131578947</v>
          </cell>
        </row>
        <row r="1169">
          <cell r="C1169" t="str">
            <v>Vật liệu</v>
          </cell>
          <cell r="G1169">
            <v>570</v>
          </cell>
        </row>
        <row r="1170">
          <cell r="B1170">
            <v>9</v>
          </cell>
          <cell r="C1170" t="str">
            <v>+ Giẻ lau</v>
          </cell>
          <cell r="D1170" t="str">
            <v>Kg</v>
          </cell>
          <cell r="E1170">
            <v>0.01</v>
          </cell>
          <cell r="F1170">
            <v>9500</v>
          </cell>
          <cell r="G1170">
            <v>95</v>
          </cell>
        </row>
        <row r="1171">
          <cell r="B1171">
            <v>1</v>
          </cell>
          <cell r="C1171" t="str">
            <v>+ Cồn công nghiệp</v>
          </cell>
          <cell r="D1171" t="str">
            <v>kg</v>
          </cell>
          <cell r="E1171">
            <v>0.05</v>
          </cell>
          <cell r="F1171">
            <v>9500</v>
          </cell>
          <cell r="G1171">
            <v>475</v>
          </cell>
        </row>
        <row r="1172">
          <cell r="C1172" t="str">
            <v>Nhân công</v>
          </cell>
          <cell r="G1172">
            <v>102012.56131578947</v>
          </cell>
        </row>
        <row r="1173">
          <cell r="B1173" t="str">
            <v>NC1407</v>
          </cell>
          <cell r="C1173" t="str">
            <v>+ Nhân công bậc 4,0/7</v>
          </cell>
          <cell r="D1173" t="str">
            <v>Công</v>
          </cell>
          <cell r="E1173">
            <v>0.52400000000000002</v>
          </cell>
          <cell r="F1173">
            <v>194680.46052631579</v>
          </cell>
          <cell r="G1173">
            <v>102012.56131578947</v>
          </cell>
        </row>
        <row r="1174">
          <cell r="A1174" t="str">
            <v>D3.1411</v>
          </cell>
          <cell r="C1174" t="str">
            <v>Lắp đặt chuỗi sứ đỡ dây dẫn loại =&lt; 2 bát, Chiều cao lắp đặt sứ =&lt; 20m</v>
          </cell>
          <cell r="D1174" t="str">
            <v>chuỗi</v>
          </cell>
          <cell r="H1174">
            <v>570</v>
          </cell>
          <cell r="I1174">
            <v>35042.482894736837</v>
          </cell>
        </row>
        <row r="1175">
          <cell r="C1175" t="str">
            <v>Vật liệu</v>
          </cell>
          <cell r="G1175">
            <v>570</v>
          </cell>
        </row>
        <row r="1176">
          <cell r="B1176">
            <v>9</v>
          </cell>
          <cell r="C1176" t="str">
            <v>+ Giẻ lau</v>
          </cell>
          <cell r="D1176" t="str">
            <v>Kg</v>
          </cell>
          <cell r="E1176">
            <v>0.01</v>
          </cell>
          <cell r="F1176">
            <v>9500</v>
          </cell>
          <cell r="G1176">
            <v>95</v>
          </cell>
        </row>
        <row r="1177">
          <cell r="B1177">
            <v>1</v>
          </cell>
          <cell r="C1177" t="str">
            <v>+ Cồn công nghiệp</v>
          </cell>
          <cell r="D1177" t="str">
            <v>kg</v>
          </cell>
          <cell r="E1177">
            <v>0.05</v>
          </cell>
          <cell r="F1177">
            <v>9500</v>
          </cell>
          <cell r="G1177">
            <v>475</v>
          </cell>
        </row>
        <row r="1178">
          <cell r="C1178" t="str">
            <v>Nhân công</v>
          </cell>
          <cell r="G1178">
            <v>35042.482894736837</v>
          </cell>
        </row>
        <row r="1179">
          <cell r="B1179" t="str">
            <v>NC1407</v>
          </cell>
          <cell r="C1179" t="str">
            <v>+ Nhân công bậc 4,0/7</v>
          </cell>
          <cell r="D1179" t="str">
            <v>Công</v>
          </cell>
          <cell r="E1179">
            <v>0.18</v>
          </cell>
          <cell r="F1179">
            <v>194680.46052631579</v>
          </cell>
          <cell r="G1179">
            <v>35042.482894736837</v>
          </cell>
        </row>
        <row r="1180">
          <cell r="A1180" t="str">
            <v>D3.1421</v>
          </cell>
          <cell r="C1180" t="str">
            <v>Lắp đặt chuỗi sứ đỡ dây dẫn loại =&lt; 2 bát, Chiều cao lắp đặt sứ =&lt; 30m</v>
          </cell>
          <cell r="D1180" t="str">
            <v>chuỗi</v>
          </cell>
          <cell r="H1180">
            <v>570</v>
          </cell>
          <cell r="I1180">
            <v>44776.505921052631</v>
          </cell>
        </row>
        <row r="1181">
          <cell r="C1181" t="str">
            <v>Vật liệu</v>
          </cell>
          <cell r="G1181">
            <v>570</v>
          </cell>
        </row>
        <row r="1182">
          <cell r="B1182">
            <v>9</v>
          </cell>
          <cell r="C1182" t="str">
            <v>+ Giẻ lau</v>
          </cell>
          <cell r="D1182" t="str">
            <v>Kg</v>
          </cell>
          <cell r="E1182">
            <v>0.01</v>
          </cell>
          <cell r="F1182">
            <v>9500</v>
          </cell>
          <cell r="G1182">
            <v>95</v>
          </cell>
        </row>
        <row r="1183">
          <cell r="B1183">
            <v>1</v>
          </cell>
          <cell r="C1183" t="str">
            <v>+ Cồn công nghiệp</v>
          </cell>
          <cell r="D1183" t="str">
            <v>kg</v>
          </cell>
          <cell r="E1183">
            <v>0.05</v>
          </cell>
          <cell r="F1183">
            <v>9500</v>
          </cell>
          <cell r="G1183">
            <v>475</v>
          </cell>
        </row>
        <row r="1184">
          <cell r="C1184" t="str">
            <v>Nhân công</v>
          </cell>
          <cell r="G1184">
            <v>44776.505921052631</v>
          </cell>
        </row>
        <row r="1185">
          <cell r="B1185" t="str">
            <v>NC1407</v>
          </cell>
          <cell r="C1185" t="str">
            <v>+ Nhân công bậc 4,0/7</v>
          </cell>
          <cell r="D1185" t="str">
            <v>Công</v>
          </cell>
          <cell r="E1185">
            <v>0.23</v>
          </cell>
          <cell r="F1185">
            <v>194680.46052631579</v>
          </cell>
          <cell r="G1185">
            <v>44776.505921052631</v>
          </cell>
        </row>
        <row r="1186">
          <cell r="A1186" t="str">
            <v>D3.1431</v>
          </cell>
          <cell r="C1186" t="str">
            <v>Lắp đặt chuỗi sứ đỡ dây dẫn loại =&lt; 2 bát, Chiều cao lắp đặt sứ =&lt; 40m</v>
          </cell>
          <cell r="D1186" t="str">
            <v>chuỗi</v>
          </cell>
          <cell r="H1186">
            <v>570</v>
          </cell>
          <cell r="I1186">
            <v>54510.528947368424</v>
          </cell>
        </row>
        <row r="1187">
          <cell r="C1187" t="str">
            <v>Vật liệu</v>
          </cell>
          <cell r="G1187">
            <v>570</v>
          </cell>
        </row>
        <row r="1188">
          <cell r="B1188">
            <v>9</v>
          </cell>
          <cell r="C1188" t="str">
            <v>+ Giẻ lau</v>
          </cell>
          <cell r="D1188" t="str">
            <v>Kg</v>
          </cell>
          <cell r="E1188">
            <v>0.01</v>
          </cell>
          <cell r="F1188">
            <v>9500</v>
          </cell>
          <cell r="G1188">
            <v>95</v>
          </cell>
        </row>
        <row r="1189">
          <cell r="B1189">
            <v>1</v>
          </cell>
          <cell r="C1189" t="str">
            <v>+ Cồn công nghiệp</v>
          </cell>
          <cell r="D1189" t="str">
            <v>kg</v>
          </cell>
          <cell r="E1189">
            <v>0.05</v>
          </cell>
          <cell r="F1189">
            <v>9500</v>
          </cell>
          <cell r="G1189">
            <v>475</v>
          </cell>
        </row>
        <row r="1190">
          <cell r="C1190" t="str">
            <v>Nhân công</v>
          </cell>
          <cell r="G1190">
            <v>54510.528947368424</v>
          </cell>
        </row>
        <row r="1191">
          <cell r="B1191" t="str">
            <v>NC1407</v>
          </cell>
          <cell r="C1191" t="str">
            <v>+ Nhân công bậc 4,0/7</v>
          </cell>
          <cell r="D1191" t="str">
            <v>Công</v>
          </cell>
          <cell r="E1191">
            <v>0.28000000000000003</v>
          </cell>
          <cell r="F1191">
            <v>194680.46052631579</v>
          </cell>
          <cell r="G1191">
            <v>54510.528947368424</v>
          </cell>
        </row>
        <row r="1192">
          <cell r="A1192" t="str">
            <v>D3.1441</v>
          </cell>
          <cell r="C1192" t="str">
            <v>Lắp đặt chuỗi sứ đỡ dây dẫn loại =&lt; 2 bát, Chiều cao lắp đặt sứ =&lt; 50m</v>
          </cell>
          <cell r="D1192" t="str">
            <v>chuỗi</v>
          </cell>
          <cell r="H1192">
            <v>570</v>
          </cell>
          <cell r="I1192">
            <v>64244.551973684211</v>
          </cell>
        </row>
        <row r="1193">
          <cell r="C1193" t="str">
            <v>Vật liệu</v>
          </cell>
          <cell r="G1193">
            <v>570</v>
          </cell>
        </row>
        <row r="1194">
          <cell r="B1194">
            <v>9</v>
          </cell>
          <cell r="C1194" t="str">
            <v>+ Giẻ lau</v>
          </cell>
          <cell r="D1194" t="str">
            <v>Kg</v>
          </cell>
          <cell r="E1194">
            <v>0.01</v>
          </cell>
          <cell r="F1194">
            <v>9500</v>
          </cell>
          <cell r="G1194">
            <v>95</v>
          </cell>
        </row>
        <row r="1195">
          <cell r="B1195">
            <v>1</v>
          </cell>
          <cell r="C1195" t="str">
            <v>+ Cồn công nghiệp</v>
          </cell>
          <cell r="D1195" t="str">
            <v>kg</v>
          </cell>
          <cell r="E1195">
            <v>0.05</v>
          </cell>
          <cell r="F1195">
            <v>9500</v>
          </cell>
          <cell r="G1195">
            <v>475</v>
          </cell>
        </row>
        <row r="1196">
          <cell r="C1196" t="str">
            <v>Nhân công</v>
          </cell>
          <cell r="G1196">
            <v>64244.551973684211</v>
          </cell>
        </row>
        <row r="1197">
          <cell r="B1197" t="str">
            <v>NC1407</v>
          </cell>
          <cell r="C1197" t="str">
            <v>+ Nhân công bậc 4,0/7</v>
          </cell>
          <cell r="D1197" t="str">
            <v>Công</v>
          </cell>
          <cell r="E1197">
            <v>0.33</v>
          </cell>
          <cell r="F1197">
            <v>194680.46052631579</v>
          </cell>
          <cell r="G1197">
            <v>64244.551973684211</v>
          </cell>
        </row>
        <row r="1198">
          <cell r="A1198" t="str">
            <v>D3.1451</v>
          </cell>
          <cell r="C1198" t="str">
            <v>Lắp đặt chuỗi sứ đỡ dây dẫn loại =&lt; 2 bát, Chiều cao lắp đặt sứ =&lt; 60m</v>
          </cell>
          <cell r="D1198" t="str">
            <v>chuỗi</v>
          </cell>
          <cell r="H1198">
            <v>570</v>
          </cell>
          <cell r="I1198">
            <v>73978.574999999997</v>
          </cell>
        </row>
        <row r="1199">
          <cell r="C1199" t="str">
            <v>Vật liệu</v>
          </cell>
          <cell r="G1199">
            <v>570</v>
          </cell>
        </row>
        <row r="1200">
          <cell r="B1200">
            <v>9</v>
          </cell>
          <cell r="C1200" t="str">
            <v>+ Giẻ lau</v>
          </cell>
          <cell r="D1200" t="str">
            <v>Kg</v>
          </cell>
          <cell r="E1200">
            <v>0.01</v>
          </cell>
          <cell r="F1200">
            <v>9500</v>
          </cell>
          <cell r="G1200">
            <v>95</v>
          </cell>
        </row>
        <row r="1201">
          <cell r="B1201">
            <v>1</v>
          </cell>
          <cell r="C1201" t="str">
            <v>+ Cồn công nghiệp</v>
          </cell>
          <cell r="D1201" t="str">
            <v>kg</v>
          </cell>
          <cell r="E1201">
            <v>0.05</v>
          </cell>
          <cell r="F1201">
            <v>9500</v>
          </cell>
          <cell r="G1201">
            <v>475</v>
          </cell>
        </row>
        <row r="1202">
          <cell r="C1202" t="str">
            <v>Nhân công</v>
          </cell>
          <cell r="G1202">
            <v>73978.574999999997</v>
          </cell>
        </row>
        <row r="1203">
          <cell r="B1203" t="str">
            <v>NC1407</v>
          </cell>
          <cell r="C1203" t="str">
            <v>+ Nhân công bậc 4,0/7</v>
          </cell>
          <cell r="D1203" t="str">
            <v>Công</v>
          </cell>
          <cell r="E1203">
            <v>0.38</v>
          </cell>
          <cell r="F1203">
            <v>194680.46052631579</v>
          </cell>
          <cell r="G1203">
            <v>73978.574999999997</v>
          </cell>
        </row>
        <row r="1204">
          <cell r="A1204" t="str">
            <v>D3.1461</v>
          </cell>
          <cell r="C1204" t="str">
            <v>Lắp đặt chuỗi sứ đỡ dây dẫn loại =&lt; 2 bát, Chiều cao lắp đặt sứ =&lt; 70m</v>
          </cell>
          <cell r="D1204" t="str">
            <v>chuỗi</v>
          </cell>
          <cell r="H1204">
            <v>570</v>
          </cell>
          <cell r="I1204">
            <v>81765.793421052629</v>
          </cell>
        </row>
        <row r="1205">
          <cell r="C1205" t="str">
            <v>Vật liệu</v>
          </cell>
          <cell r="G1205">
            <v>570</v>
          </cell>
        </row>
        <row r="1206">
          <cell r="B1206">
            <v>9</v>
          </cell>
          <cell r="C1206" t="str">
            <v>+ Giẻ lau</v>
          </cell>
          <cell r="D1206" t="str">
            <v>Kg</v>
          </cell>
          <cell r="E1206">
            <v>0.01</v>
          </cell>
          <cell r="F1206">
            <v>9500</v>
          </cell>
          <cell r="G1206">
            <v>95</v>
          </cell>
        </row>
        <row r="1207">
          <cell r="B1207">
            <v>1</v>
          </cell>
          <cell r="C1207" t="str">
            <v>+ Cồn công nghiệp</v>
          </cell>
          <cell r="D1207" t="str">
            <v>kg</v>
          </cell>
          <cell r="E1207">
            <v>0.05</v>
          </cell>
          <cell r="F1207">
            <v>9500</v>
          </cell>
          <cell r="G1207">
            <v>475</v>
          </cell>
        </row>
        <row r="1208">
          <cell r="C1208" t="str">
            <v>Nhân công</v>
          </cell>
          <cell r="G1208">
            <v>81765.793421052629</v>
          </cell>
        </row>
        <row r="1209">
          <cell r="B1209" t="str">
            <v>NC1407</v>
          </cell>
          <cell r="C1209" t="str">
            <v>+ Nhân công bậc 4,0/7</v>
          </cell>
          <cell r="D1209" t="str">
            <v>Công</v>
          </cell>
          <cell r="E1209">
            <v>0.42</v>
          </cell>
          <cell r="F1209">
            <v>194680.46052631579</v>
          </cell>
          <cell r="G1209">
            <v>81765.793421052629</v>
          </cell>
        </row>
        <row r="1210">
          <cell r="A1210" t="str">
            <v>D3.1471</v>
          </cell>
          <cell r="C1210" t="str">
            <v>Lắp đặt chuỗi sứ đỡ dây dẫn loại =&lt; 2 bát, Chiều cao lắp đặt sứ =&lt; 85m</v>
          </cell>
          <cell r="D1210" t="str">
            <v>chuỗi</v>
          </cell>
          <cell r="H1210">
            <v>570</v>
          </cell>
          <cell r="I1210">
            <v>93446.62105263157</v>
          </cell>
        </row>
        <row r="1211">
          <cell r="C1211" t="str">
            <v>Vật liệu</v>
          </cell>
          <cell r="G1211">
            <v>570</v>
          </cell>
        </row>
        <row r="1212">
          <cell r="B1212">
            <v>9</v>
          </cell>
          <cell r="C1212" t="str">
            <v>+ Giẻ lau</v>
          </cell>
          <cell r="D1212" t="str">
            <v>Kg</v>
          </cell>
          <cell r="E1212">
            <v>0.01</v>
          </cell>
          <cell r="F1212">
            <v>9500</v>
          </cell>
          <cell r="G1212">
            <v>95</v>
          </cell>
        </row>
        <row r="1213">
          <cell r="B1213">
            <v>1</v>
          </cell>
          <cell r="C1213" t="str">
            <v>+ Cồn công nghiệp</v>
          </cell>
          <cell r="D1213" t="str">
            <v>kg</v>
          </cell>
          <cell r="E1213">
            <v>0.05</v>
          </cell>
          <cell r="F1213">
            <v>9500</v>
          </cell>
          <cell r="G1213">
            <v>475</v>
          </cell>
        </row>
        <row r="1214">
          <cell r="C1214" t="str">
            <v>Nhân công</v>
          </cell>
          <cell r="G1214">
            <v>93446.62105263157</v>
          </cell>
        </row>
        <row r="1215">
          <cell r="B1215" t="str">
            <v>NC1407</v>
          </cell>
          <cell r="C1215" t="str">
            <v>+ Nhân công bậc 4,0/7</v>
          </cell>
          <cell r="D1215" t="str">
            <v>Công</v>
          </cell>
          <cell r="E1215">
            <v>0.48</v>
          </cell>
          <cell r="F1215">
            <v>194680.46052631579</v>
          </cell>
          <cell r="G1215">
            <v>93446.62105263157</v>
          </cell>
        </row>
        <row r="1216">
          <cell r="A1216" t="str">
            <v>D3.1481</v>
          </cell>
          <cell r="C1216" t="str">
            <v>Lắp đặt chuỗi sứ đỡ dây dẫn loại =&lt; 2 bát, Chiều cao lắp đặt sứ =&lt; 100m</v>
          </cell>
          <cell r="D1216" t="str">
            <v>chuỗi</v>
          </cell>
          <cell r="H1216">
            <v>570</v>
          </cell>
          <cell r="I1216">
            <v>107074.25328947369</v>
          </cell>
        </row>
        <row r="1217">
          <cell r="C1217" t="str">
            <v>Vật liệu</v>
          </cell>
          <cell r="G1217">
            <v>570</v>
          </cell>
        </row>
        <row r="1218">
          <cell r="B1218">
            <v>9</v>
          </cell>
          <cell r="C1218" t="str">
            <v>+ Giẻ lau</v>
          </cell>
          <cell r="D1218" t="str">
            <v>Kg</v>
          </cell>
          <cell r="E1218">
            <v>0.01</v>
          </cell>
          <cell r="F1218">
            <v>9500</v>
          </cell>
          <cell r="G1218">
            <v>95</v>
          </cell>
        </row>
        <row r="1219">
          <cell r="B1219">
            <v>1</v>
          </cell>
          <cell r="C1219" t="str">
            <v>+ Cồn công nghiệp</v>
          </cell>
          <cell r="D1219" t="str">
            <v>kg</v>
          </cell>
          <cell r="E1219">
            <v>0.05</v>
          </cell>
          <cell r="F1219">
            <v>9500</v>
          </cell>
          <cell r="G1219">
            <v>475</v>
          </cell>
        </row>
        <row r="1220">
          <cell r="C1220" t="str">
            <v>Nhân công</v>
          </cell>
          <cell r="G1220">
            <v>107074.25328947369</v>
          </cell>
        </row>
        <row r="1221">
          <cell r="B1221" t="str">
            <v>NC1407</v>
          </cell>
          <cell r="C1221" t="str">
            <v>+ Nhân công bậc 4,0/7</v>
          </cell>
          <cell r="D1221" t="str">
            <v>Công</v>
          </cell>
          <cell r="E1221">
            <v>0.55000000000000004</v>
          </cell>
          <cell r="F1221">
            <v>194680.46052631579</v>
          </cell>
          <cell r="G1221">
            <v>107074.25328947369</v>
          </cell>
        </row>
        <row r="1222">
          <cell r="A1222" t="str">
            <v>D3.1412</v>
          </cell>
          <cell r="C1222" t="str">
            <v>Lắp đặt chuỗi sứ đỡ dây dẫn loại =&lt; 5 bát, Chiều cao lắp đặt sứ =&lt; 20m</v>
          </cell>
          <cell r="D1222" t="str">
            <v>chuỗi</v>
          </cell>
          <cell r="H1222">
            <v>902.5</v>
          </cell>
          <cell r="I1222">
            <v>77872.18421052632</v>
          </cell>
        </row>
        <row r="1223">
          <cell r="C1223" t="str">
            <v>Vật liệu</v>
          </cell>
          <cell r="G1223">
            <v>902.5</v>
          </cell>
        </row>
        <row r="1224">
          <cell r="B1224">
            <v>9</v>
          </cell>
          <cell r="C1224" t="str">
            <v>+ Giẻ lau</v>
          </cell>
          <cell r="D1224" t="str">
            <v>Kg</v>
          </cell>
          <cell r="E1224">
            <v>0.02</v>
          </cell>
          <cell r="F1224">
            <v>9500</v>
          </cell>
          <cell r="G1224">
            <v>190</v>
          </cell>
        </row>
        <row r="1225">
          <cell r="B1225">
            <v>1</v>
          </cell>
          <cell r="C1225" t="str">
            <v>+ Cồn công nghiệp</v>
          </cell>
          <cell r="D1225" t="str">
            <v>kg</v>
          </cell>
          <cell r="E1225">
            <v>7.4999999999999997E-2</v>
          </cell>
          <cell r="F1225">
            <v>9500</v>
          </cell>
          <cell r="G1225">
            <v>712.5</v>
          </cell>
        </row>
        <row r="1226">
          <cell r="C1226" t="str">
            <v>Nhân công</v>
          </cell>
          <cell r="G1226">
            <v>77872.18421052632</v>
          </cell>
        </row>
        <row r="1227">
          <cell r="B1227" t="str">
            <v>NC1407</v>
          </cell>
          <cell r="C1227" t="str">
            <v>+ Nhân công bậc 4,0/7</v>
          </cell>
          <cell r="D1227" t="str">
            <v>Công</v>
          </cell>
          <cell r="E1227">
            <v>0.4</v>
          </cell>
          <cell r="F1227">
            <v>194680.46052631579</v>
          </cell>
          <cell r="G1227">
            <v>77872.18421052632</v>
          </cell>
        </row>
        <row r="1228">
          <cell r="A1228" t="str">
            <v>D3.1422</v>
          </cell>
          <cell r="C1228" t="str">
            <v>Lắp đặt chuỗi sứ đỡ dây dẫn loại =&lt; 5 bát, Chiều cao lắp đặt sứ =&lt; 30m</v>
          </cell>
          <cell r="D1228" t="str">
            <v>chuỗi</v>
          </cell>
          <cell r="H1228">
            <v>902.5</v>
          </cell>
          <cell r="I1228">
            <v>81765.793421052629</v>
          </cell>
        </row>
        <row r="1229">
          <cell r="C1229" t="str">
            <v>Vật liệu</v>
          </cell>
          <cell r="G1229">
            <v>902.5</v>
          </cell>
        </row>
        <row r="1230">
          <cell r="B1230">
            <v>9</v>
          </cell>
          <cell r="C1230" t="str">
            <v>+ Giẻ lau</v>
          </cell>
          <cell r="D1230" t="str">
            <v>Kg</v>
          </cell>
          <cell r="E1230">
            <v>0.02</v>
          </cell>
          <cell r="F1230">
            <v>9500</v>
          </cell>
          <cell r="G1230">
            <v>190</v>
          </cell>
        </row>
        <row r="1231">
          <cell r="B1231">
            <v>1</v>
          </cell>
          <cell r="C1231" t="str">
            <v>+ Cồn công nghiệp</v>
          </cell>
          <cell r="D1231" t="str">
            <v>kg</v>
          </cell>
          <cell r="E1231">
            <v>7.4999999999999997E-2</v>
          </cell>
          <cell r="F1231">
            <v>9500</v>
          </cell>
          <cell r="G1231">
            <v>712.5</v>
          </cell>
        </row>
        <row r="1232">
          <cell r="C1232" t="str">
            <v>Nhân công</v>
          </cell>
          <cell r="G1232">
            <v>81765.793421052629</v>
          </cell>
        </row>
        <row r="1233">
          <cell r="B1233" t="str">
            <v>NC1407</v>
          </cell>
          <cell r="C1233" t="str">
            <v>+ Nhân công bậc 4,0/7</v>
          </cell>
          <cell r="D1233" t="str">
            <v>Công</v>
          </cell>
          <cell r="E1233">
            <v>0.42</v>
          </cell>
          <cell r="F1233">
            <v>194680.46052631579</v>
          </cell>
          <cell r="G1233">
            <v>81765.793421052629</v>
          </cell>
        </row>
        <row r="1234">
          <cell r="A1234" t="str">
            <v>D3.1432</v>
          </cell>
          <cell r="C1234" t="str">
            <v>Lắp đặt chuỗi sứ đỡ dây dẫn loại =&lt; 5 bát, Chiều cao lắp đặt sứ =&lt; 40m</v>
          </cell>
          <cell r="D1234" t="str">
            <v>chuỗi</v>
          </cell>
          <cell r="H1234">
            <v>902.5</v>
          </cell>
          <cell r="I1234">
            <v>89553.011842105261</v>
          </cell>
        </row>
        <row r="1235">
          <cell r="C1235" t="str">
            <v>Vật liệu</v>
          </cell>
          <cell r="G1235">
            <v>902.5</v>
          </cell>
        </row>
        <row r="1236">
          <cell r="B1236">
            <v>9</v>
          </cell>
          <cell r="C1236" t="str">
            <v>+ Giẻ lau</v>
          </cell>
          <cell r="D1236" t="str">
            <v>Kg</v>
          </cell>
          <cell r="E1236">
            <v>0.02</v>
          </cell>
          <cell r="F1236">
            <v>9500</v>
          </cell>
          <cell r="G1236">
            <v>190</v>
          </cell>
        </row>
        <row r="1237">
          <cell r="B1237">
            <v>1</v>
          </cell>
          <cell r="C1237" t="str">
            <v>+ Cồn công nghiệp</v>
          </cell>
          <cell r="D1237" t="str">
            <v>kg</v>
          </cell>
          <cell r="E1237">
            <v>7.4999999999999997E-2</v>
          </cell>
          <cell r="F1237">
            <v>9500</v>
          </cell>
          <cell r="G1237">
            <v>712.5</v>
          </cell>
        </row>
        <row r="1238">
          <cell r="C1238" t="str">
            <v>Nhân công</v>
          </cell>
          <cell r="G1238">
            <v>89553.011842105261</v>
          </cell>
        </row>
        <row r="1239">
          <cell r="B1239" t="str">
            <v>NC1407</v>
          </cell>
          <cell r="C1239" t="str">
            <v>+ Nhân công bậc 4,0/7</v>
          </cell>
          <cell r="D1239" t="str">
            <v>Công</v>
          </cell>
          <cell r="E1239">
            <v>0.46</v>
          </cell>
          <cell r="F1239">
            <v>194680.46052631579</v>
          </cell>
          <cell r="G1239">
            <v>89553.011842105261</v>
          </cell>
        </row>
        <row r="1240">
          <cell r="A1240" t="str">
            <v>D3.1442</v>
          </cell>
          <cell r="C1240" t="str">
            <v>Lắp đặt chuỗi sứ đỡ dây dẫn loại =&lt; 5 bát, Chiều cao lắp đặt sứ =&lt; 50m</v>
          </cell>
          <cell r="D1240" t="str">
            <v>chuỗi</v>
          </cell>
          <cell r="H1240">
            <v>902.5</v>
          </cell>
          <cell r="I1240">
            <v>103180.64407894737</v>
          </cell>
        </row>
        <row r="1241">
          <cell r="C1241" t="str">
            <v>Vật liệu</v>
          </cell>
          <cell r="G1241">
            <v>902.5</v>
          </cell>
        </row>
        <row r="1242">
          <cell r="B1242">
            <v>9</v>
          </cell>
          <cell r="C1242" t="str">
            <v>+ Giẻ lau</v>
          </cell>
          <cell r="D1242" t="str">
            <v>Kg</v>
          </cell>
          <cell r="E1242">
            <v>0.02</v>
          </cell>
          <cell r="F1242">
            <v>9500</v>
          </cell>
          <cell r="G1242">
            <v>190</v>
          </cell>
        </row>
        <row r="1243">
          <cell r="B1243">
            <v>1</v>
          </cell>
          <cell r="C1243" t="str">
            <v>+ Cồn công nghiệp</v>
          </cell>
          <cell r="D1243" t="str">
            <v>kg</v>
          </cell>
          <cell r="E1243">
            <v>7.4999999999999997E-2</v>
          </cell>
          <cell r="F1243">
            <v>9500</v>
          </cell>
          <cell r="G1243">
            <v>712.5</v>
          </cell>
        </row>
        <row r="1244">
          <cell r="C1244" t="str">
            <v>Nhân công</v>
          </cell>
          <cell r="G1244">
            <v>103180.64407894737</v>
          </cell>
        </row>
        <row r="1245">
          <cell r="B1245" t="str">
            <v>NC1407</v>
          </cell>
          <cell r="C1245" t="str">
            <v>+ Nhân công bậc 4,0/7</v>
          </cell>
          <cell r="D1245" t="str">
            <v>Công</v>
          </cell>
          <cell r="E1245">
            <v>0.53</v>
          </cell>
          <cell r="F1245">
            <v>194680.46052631579</v>
          </cell>
          <cell r="G1245">
            <v>103180.64407894737</v>
          </cell>
        </row>
        <row r="1246">
          <cell r="A1246" t="str">
            <v>D3.1452</v>
          </cell>
          <cell r="C1246" t="str">
            <v>Lắp đặt chuỗi sứ đỡ dây dẫn loại =&lt; 5 bát, Chiều cao lắp đặt sứ =&lt; 60m</v>
          </cell>
          <cell r="D1246" t="str">
            <v>chuỗi</v>
          </cell>
          <cell r="H1246">
            <v>902.5</v>
          </cell>
          <cell r="I1246">
            <v>112914.66710526314</v>
          </cell>
        </row>
        <row r="1247">
          <cell r="C1247" t="str">
            <v>Vật liệu</v>
          </cell>
          <cell r="G1247">
            <v>902.5</v>
          </cell>
        </row>
        <row r="1248">
          <cell r="B1248">
            <v>9</v>
          </cell>
          <cell r="C1248" t="str">
            <v>+ Giẻ lau</v>
          </cell>
          <cell r="D1248" t="str">
            <v>Kg</v>
          </cell>
          <cell r="E1248">
            <v>0.02</v>
          </cell>
          <cell r="F1248">
            <v>9500</v>
          </cell>
          <cell r="G1248">
            <v>190</v>
          </cell>
        </row>
        <row r="1249">
          <cell r="B1249">
            <v>1</v>
          </cell>
          <cell r="C1249" t="str">
            <v>+ Cồn công nghiệp</v>
          </cell>
          <cell r="D1249" t="str">
            <v>kg</v>
          </cell>
          <cell r="E1249">
            <v>7.4999999999999997E-2</v>
          </cell>
          <cell r="F1249">
            <v>9500</v>
          </cell>
          <cell r="G1249">
            <v>712.5</v>
          </cell>
        </row>
        <row r="1250">
          <cell r="C1250" t="str">
            <v>Nhân công</v>
          </cell>
          <cell r="G1250">
            <v>112914.66710526314</v>
          </cell>
        </row>
        <row r="1251">
          <cell r="B1251" t="str">
            <v>NC1407</v>
          </cell>
          <cell r="C1251" t="str">
            <v>+ Nhân công bậc 4,0/7</v>
          </cell>
          <cell r="D1251" t="str">
            <v>Công</v>
          </cell>
          <cell r="E1251">
            <v>0.57999999999999996</v>
          </cell>
          <cell r="F1251">
            <v>194680.46052631579</v>
          </cell>
          <cell r="G1251">
            <v>112914.66710526314</v>
          </cell>
        </row>
        <row r="1252">
          <cell r="A1252" t="str">
            <v>D3.1462</v>
          </cell>
          <cell r="C1252" t="str">
            <v>Lắp đặt chuỗi sứ đỡ dây dẫn loại =&lt; 5 bát, Chiều cao lắp đặt sứ =&lt; 70m</v>
          </cell>
          <cell r="D1252" t="str">
            <v>chuỗi</v>
          </cell>
          <cell r="H1252">
            <v>902.5</v>
          </cell>
          <cell r="I1252">
            <v>124595.49473684211</v>
          </cell>
        </row>
        <row r="1253">
          <cell r="C1253" t="str">
            <v>Vật liệu</v>
          </cell>
          <cell r="G1253">
            <v>902.5</v>
          </cell>
        </row>
        <row r="1254">
          <cell r="B1254">
            <v>9</v>
          </cell>
          <cell r="C1254" t="str">
            <v>+ Giẻ lau</v>
          </cell>
          <cell r="D1254" t="str">
            <v>Kg</v>
          </cell>
          <cell r="E1254">
            <v>0.02</v>
          </cell>
          <cell r="F1254">
            <v>9500</v>
          </cell>
          <cell r="G1254">
            <v>190</v>
          </cell>
        </row>
        <row r="1255">
          <cell r="B1255">
            <v>1</v>
          </cell>
          <cell r="C1255" t="str">
            <v>+ Cồn công nghiệp</v>
          </cell>
          <cell r="D1255" t="str">
            <v>kg</v>
          </cell>
          <cell r="E1255">
            <v>7.4999999999999997E-2</v>
          </cell>
          <cell r="F1255">
            <v>9500</v>
          </cell>
          <cell r="G1255">
            <v>712.5</v>
          </cell>
        </row>
        <row r="1256">
          <cell r="C1256" t="str">
            <v>Nhân công</v>
          </cell>
          <cell r="G1256">
            <v>124595.49473684211</v>
          </cell>
        </row>
        <row r="1257">
          <cell r="B1257" t="str">
            <v>NC1407</v>
          </cell>
          <cell r="C1257" t="str">
            <v>+ Nhân công bậc 4,0/7</v>
          </cell>
          <cell r="D1257" t="str">
            <v>Công</v>
          </cell>
          <cell r="E1257">
            <v>0.64</v>
          </cell>
          <cell r="F1257">
            <v>194680.46052631579</v>
          </cell>
          <cell r="G1257">
            <v>124595.49473684211</v>
          </cell>
        </row>
        <row r="1258">
          <cell r="A1258" t="str">
            <v>D3.1472</v>
          </cell>
          <cell r="C1258" t="str">
            <v>Lắp đặt chuỗi sứ đỡ dây dẫn loại =&lt; 5 bát, Chiều cao lắp đặt sứ =&lt; 85m</v>
          </cell>
          <cell r="D1258" t="str">
            <v>chuỗi</v>
          </cell>
          <cell r="H1258">
            <v>902.5</v>
          </cell>
          <cell r="I1258">
            <v>144063.54078947369</v>
          </cell>
        </row>
        <row r="1259">
          <cell r="C1259" t="str">
            <v>Vật liệu</v>
          </cell>
          <cell r="G1259">
            <v>902.5</v>
          </cell>
        </row>
        <row r="1260">
          <cell r="B1260">
            <v>9</v>
          </cell>
          <cell r="C1260" t="str">
            <v>+ Giẻ lau</v>
          </cell>
          <cell r="D1260" t="str">
            <v>Kg</v>
          </cell>
          <cell r="E1260">
            <v>0.02</v>
          </cell>
          <cell r="F1260">
            <v>9500</v>
          </cell>
          <cell r="G1260">
            <v>190</v>
          </cell>
        </row>
        <row r="1261">
          <cell r="B1261">
            <v>1</v>
          </cell>
          <cell r="C1261" t="str">
            <v>+ Cồn công nghiệp</v>
          </cell>
          <cell r="D1261" t="str">
            <v>kg</v>
          </cell>
          <cell r="E1261">
            <v>7.4999999999999997E-2</v>
          </cell>
          <cell r="F1261">
            <v>9500</v>
          </cell>
          <cell r="G1261">
            <v>712.5</v>
          </cell>
        </row>
        <row r="1262">
          <cell r="C1262" t="str">
            <v>Nhân công</v>
          </cell>
          <cell r="G1262">
            <v>144063.54078947369</v>
          </cell>
        </row>
        <row r="1263">
          <cell r="B1263" t="str">
            <v>NC1407</v>
          </cell>
          <cell r="C1263" t="str">
            <v>+ Nhân công bậc 4,0/7</v>
          </cell>
          <cell r="D1263" t="str">
            <v>Công</v>
          </cell>
          <cell r="E1263">
            <v>0.74</v>
          </cell>
          <cell r="F1263">
            <v>194680.46052631579</v>
          </cell>
          <cell r="G1263">
            <v>144063.54078947369</v>
          </cell>
        </row>
        <row r="1264">
          <cell r="A1264" t="str">
            <v>D3.1482</v>
          </cell>
          <cell r="C1264" t="str">
            <v>Lắp đặt chuỗi sứ đỡ dây dẫn loại =&lt; 5 bát, Chiều cao lắp đặt sứ =&lt; 100m</v>
          </cell>
          <cell r="D1264" t="str">
            <v>chuỗi</v>
          </cell>
          <cell r="H1264">
            <v>902.5</v>
          </cell>
          <cell r="I1264">
            <v>165478.39144736843</v>
          </cell>
        </row>
        <row r="1265">
          <cell r="C1265" t="str">
            <v>Vật liệu</v>
          </cell>
          <cell r="G1265">
            <v>902.5</v>
          </cell>
        </row>
        <row r="1266">
          <cell r="B1266">
            <v>9</v>
          </cell>
          <cell r="C1266" t="str">
            <v>+ Giẻ lau</v>
          </cell>
          <cell r="D1266" t="str">
            <v>Kg</v>
          </cell>
          <cell r="E1266">
            <v>0.02</v>
          </cell>
          <cell r="F1266">
            <v>9500</v>
          </cell>
          <cell r="G1266">
            <v>190</v>
          </cell>
        </row>
        <row r="1267">
          <cell r="B1267">
            <v>1</v>
          </cell>
          <cell r="C1267" t="str">
            <v>+ Cồn công nghiệp</v>
          </cell>
          <cell r="D1267" t="str">
            <v>kg</v>
          </cell>
          <cell r="E1267">
            <v>7.4999999999999997E-2</v>
          </cell>
          <cell r="F1267">
            <v>9500</v>
          </cell>
          <cell r="G1267">
            <v>712.5</v>
          </cell>
        </row>
        <row r="1268">
          <cell r="C1268" t="str">
            <v>Nhân công</v>
          </cell>
          <cell r="G1268">
            <v>165478.39144736843</v>
          </cell>
        </row>
        <row r="1269">
          <cell r="B1269" t="str">
            <v>NC1407</v>
          </cell>
          <cell r="C1269" t="str">
            <v>+ Nhân công bậc 4,0/7</v>
          </cell>
          <cell r="D1269" t="str">
            <v>Công</v>
          </cell>
          <cell r="E1269">
            <v>0.85</v>
          </cell>
          <cell r="F1269">
            <v>194680.46052631579</v>
          </cell>
          <cell r="G1269">
            <v>165478.39144736843</v>
          </cell>
        </row>
        <row r="1270">
          <cell r="A1270" t="str">
            <v>D3.1413</v>
          </cell>
          <cell r="C1270" t="str">
            <v>Lắp đặt chuỗi sứ đỡ dây dẫn loại =&lt; 8 bát, Chiều cao lắp đặt sứ =&lt; 20m</v>
          </cell>
          <cell r="D1270" t="str">
            <v>chuỗi</v>
          </cell>
          <cell r="H1270">
            <v>1425</v>
          </cell>
          <cell r="I1270">
            <v>124595.49473684211</v>
          </cell>
        </row>
        <row r="1271">
          <cell r="C1271" t="str">
            <v>Vật liệu</v>
          </cell>
          <cell r="G1271">
            <v>1425</v>
          </cell>
        </row>
        <row r="1272">
          <cell r="B1272">
            <v>9</v>
          </cell>
          <cell r="C1272" t="str">
            <v>+ Giẻ lau</v>
          </cell>
          <cell r="D1272" t="str">
            <v>Kg</v>
          </cell>
          <cell r="E1272">
            <v>0.03</v>
          </cell>
          <cell r="F1272">
            <v>9500</v>
          </cell>
          <cell r="G1272">
            <v>285</v>
          </cell>
        </row>
        <row r="1273">
          <cell r="B1273">
            <v>1</v>
          </cell>
          <cell r="C1273" t="str">
            <v>+ Cồn công nghiệp</v>
          </cell>
          <cell r="D1273" t="str">
            <v>kg</v>
          </cell>
          <cell r="E1273">
            <v>0.12</v>
          </cell>
          <cell r="F1273">
            <v>9500</v>
          </cell>
          <cell r="G1273">
            <v>1140</v>
          </cell>
        </row>
        <row r="1274">
          <cell r="C1274" t="str">
            <v>Nhân công</v>
          </cell>
          <cell r="G1274">
            <v>124595.49473684211</v>
          </cell>
        </row>
        <row r="1275">
          <cell r="B1275" t="str">
            <v>NC1407</v>
          </cell>
          <cell r="C1275" t="str">
            <v>+ Nhân công bậc 4,0/7</v>
          </cell>
          <cell r="D1275" t="str">
            <v>Công</v>
          </cell>
          <cell r="E1275">
            <v>0.64</v>
          </cell>
          <cell r="F1275">
            <v>194680.46052631579</v>
          </cell>
          <cell r="G1275">
            <v>124595.49473684211</v>
          </cell>
        </row>
        <row r="1276">
          <cell r="A1276" t="str">
            <v>D3.1423</v>
          </cell>
          <cell r="C1276" t="str">
            <v>Lắp đặt chuỗi sứ đỡ dây dẫn loại =&lt; 8 bát, Chiều cao lắp đặt sứ =&lt; 30m</v>
          </cell>
          <cell r="D1276" t="str">
            <v>chuỗi</v>
          </cell>
          <cell r="H1276">
            <v>1425</v>
          </cell>
          <cell r="I1276">
            <v>130435.90855263159</v>
          </cell>
        </row>
        <row r="1277">
          <cell r="C1277" t="str">
            <v>Vật liệu</v>
          </cell>
          <cell r="G1277">
            <v>1425</v>
          </cell>
        </row>
        <row r="1278">
          <cell r="B1278">
            <v>9</v>
          </cell>
          <cell r="C1278" t="str">
            <v>+ Giẻ lau</v>
          </cell>
          <cell r="D1278" t="str">
            <v>Kg</v>
          </cell>
          <cell r="E1278">
            <v>0.03</v>
          </cell>
          <cell r="F1278">
            <v>9500</v>
          </cell>
          <cell r="G1278">
            <v>285</v>
          </cell>
        </row>
        <row r="1279">
          <cell r="B1279">
            <v>1</v>
          </cell>
          <cell r="C1279" t="str">
            <v>+ Cồn công nghiệp</v>
          </cell>
          <cell r="D1279" t="str">
            <v>kg</v>
          </cell>
          <cell r="E1279">
            <v>0.12</v>
          </cell>
          <cell r="F1279">
            <v>9500</v>
          </cell>
          <cell r="G1279">
            <v>1140</v>
          </cell>
        </row>
        <row r="1280">
          <cell r="C1280" t="str">
            <v>Nhân công</v>
          </cell>
          <cell r="G1280">
            <v>130435.90855263159</v>
          </cell>
        </row>
        <row r="1281">
          <cell r="B1281" t="str">
            <v>NC1407</v>
          </cell>
          <cell r="C1281" t="str">
            <v>+ Nhân công bậc 4,0/7</v>
          </cell>
          <cell r="D1281" t="str">
            <v>Công</v>
          </cell>
          <cell r="E1281">
            <v>0.67</v>
          </cell>
          <cell r="F1281">
            <v>194680.46052631579</v>
          </cell>
          <cell r="G1281">
            <v>130435.90855263159</v>
          </cell>
        </row>
        <row r="1282">
          <cell r="A1282" t="str">
            <v>D3.1433</v>
          </cell>
          <cell r="C1282" t="str">
            <v>Lắp đặt chuỗi sứ đỡ dây dẫn loại =&lt; 8 bát, Chiều cao lắp đặt sứ =&lt; 40m</v>
          </cell>
          <cell r="D1282" t="str">
            <v>chuỗi</v>
          </cell>
          <cell r="H1282">
            <v>1425</v>
          </cell>
          <cell r="I1282">
            <v>142116.73618421052</v>
          </cell>
        </row>
        <row r="1283">
          <cell r="C1283" t="str">
            <v>Vật liệu</v>
          </cell>
          <cell r="G1283">
            <v>1425</v>
          </cell>
        </row>
        <row r="1284">
          <cell r="B1284">
            <v>9</v>
          </cell>
          <cell r="C1284" t="str">
            <v>+ Giẻ lau</v>
          </cell>
          <cell r="D1284" t="str">
            <v>Kg</v>
          </cell>
          <cell r="E1284">
            <v>0.03</v>
          </cell>
          <cell r="F1284">
            <v>9500</v>
          </cell>
          <cell r="G1284">
            <v>285</v>
          </cell>
        </row>
        <row r="1285">
          <cell r="B1285">
            <v>1</v>
          </cell>
          <cell r="C1285" t="str">
            <v>+ Cồn công nghiệp</v>
          </cell>
          <cell r="D1285" t="str">
            <v>kg</v>
          </cell>
          <cell r="E1285">
            <v>0.12</v>
          </cell>
          <cell r="F1285">
            <v>9500</v>
          </cell>
          <cell r="G1285">
            <v>1140</v>
          </cell>
        </row>
        <row r="1286">
          <cell r="C1286" t="str">
            <v>Nhân công</v>
          </cell>
          <cell r="G1286">
            <v>142116.73618421052</v>
          </cell>
        </row>
        <row r="1287">
          <cell r="B1287" t="str">
            <v>NC1407</v>
          </cell>
          <cell r="C1287" t="str">
            <v>+ Nhân công bậc 4,0/7</v>
          </cell>
          <cell r="D1287" t="str">
            <v>Công</v>
          </cell>
          <cell r="E1287">
            <v>0.73</v>
          </cell>
          <cell r="F1287">
            <v>194680.46052631579</v>
          </cell>
          <cell r="G1287">
            <v>142116.73618421052</v>
          </cell>
        </row>
        <row r="1288">
          <cell r="A1288" t="str">
            <v>D3.1443</v>
          </cell>
          <cell r="C1288" t="str">
            <v>Lắp đặt chuỗi sứ đỡ dây dẫn loại =&lt; 8 bát, Chiều cao lắp đặt sứ =&lt; 50m</v>
          </cell>
          <cell r="D1288" t="str">
            <v>chuỗi</v>
          </cell>
          <cell r="H1288">
            <v>1425</v>
          </cell>
          <cell r="I1288">
            <v>165478.39144736843</v>
          </cell>
        </row>
        <row r="1289">
          <cell r="C1289" t="str">
            <v>Vật liệu</v>
          </cell>
          <cell r="G1289">
            <v>1425</v>
          </cell>
        </row>
        <row r="1290">
          <cell r="B1290">
            <v>9</v>
          </cell>
          <cell r="C1290" t="str">
            <v>+ Giẻ lau</v>
          </cell>
          <cell r="D1290" t="str">
            <v>Kg</v>
          </cell>
          <cell r="E1290">
            <v>0.03</v>
          </cell>
          <cell r="F1290">
            <v>9500</v>
          </cell>
          <cell r="G1290">
            <v>285</v>
          </cell>
        </row>
        <row r="1291">
          <cell r="B1291">
            <v>1</v>
          </cell>
          <cell r="C1291" t="str">
            <v>+ Cồn công nghiệp</v>
          </cell>
          <cell r="D1291" t="str">
            <v>kg</v>
          </cell>
          <cell r="E1291">
            <v>0.12</v>
          </cell>
          <cell r="F1291">
            <v>9500</v>
          </cell>
          <cell r="G1291">
            <v>1140</v>
          </cell>
        </row>
        <row r="1292">
          <cell r="C1292" t="str">
            <v>Nhân công</v>
          </cell>
          <cell r="G1292">
            <v>165478.39144736843</v>
          </cell>
        </row>
        <row r="1293">
          <cell r="B1293" t="str">
            <v>NC1407</v>
          </cell>
          <cell r="C1293" t="str">
            <v>+ Nhân công bậc 4,0/7</v>
          </cell>
          <cell r="D1293" t="str">
            <v>Công</v>
          </cell>
          <cell r="E1293">
            <v>0.85</v>
          </cell>
          <cell r="F1293">
            <v>194680.46052631579</v>
          </cell>
          <cell r="G1293">
            <v>165478.39144736843</v>
          </cell>
        </row>
        <row r="1294">
          <cell r="A1294" t="str">
            <v>D3.1453</v>
          </cell>
          <cell r="C1294" t="str">
            <v>Lắp đặt chuỗi sứ đỡ dây dẫn loại =&lt; 8 bát, Chiều cao lắp đặt sứ =&lt; 60m</v>
          </cell>
          <cell r="D1294" t="str">
            <v>chuỗi</v>
          </cell>
          <cell r="H1294">
            <v>1425</v>
          </cell>
          <cell r="I1294">
            <v>181052.82828947369</v>
          </cell>
        </row>
        <row r="1295">
          <cell r="C1295" t="str">
            <v>Vật liệu</v>
          </cell>
          <cell r="G1295">
            <v>1425</v>
          </cell>
        </row>
        <row r="1296">
          <cell r="B1296">
            <v>9</v>
          </cell>
          <cell r="C1296" t="str">
            <v>+ Giẻ lau</v>
          </cell>
          <cell r="D1296" t="str">
            <v>Kg</v>
          </cell>
          <cell r="E1296">
            <v>0.03</v>
          </cell>
          <cell r="F1296">
            <v>9500</v>
          </cell>
          <cell r="G1296">
            <v>285</v>
          </cell>
        </row>
        <row r="1297">
          <cell r="B1297">
            <v>1</v>
          </cell>
          <cell r="C1297" t="str">
            <v>+ Cồn công nghiệp</v>
          </cell>
          <cell r="D1297" t="str">
            <v>kg</v>
          </cell>
          <cell r="E1297">
            <v>0.12</v>
          </cell>
          <cell r="F1297">
            <v>9500</v>
          </cell>
          <cell r="G1297">
            <v>1140</v>
          </cell>
        </row>
        <row r="1298">
          <cell r="C1298" t="str">
            <v>Nhân công</v>
          </cell>
          <cell r="G1298">
            <v>181052.82828947369</v>
          </cell>
        </row>
        <row r="1299">
          <cell r="B1299" t="str">
            <v>NC1407</v>
          </cell>
          <cell r="C1299" t="str">
            <v>+ Nhân công bậc 4,0/7</v>
          </cell>
          <cell r="D1299" t="str">
            <v>Công</v>
          </cell>
          <cell r="E1299">
            <v>0.93</v>
          </cell>
          <cell r="F1299">
            <v>194680.46052631579</v>
          </cell>
          <cell r="G1299">
            <v>181052.82828947369</v>
          </cell>
        </row>
        <row r="1300">
          <cell r="A1300" t="str">
            <v>D3.1463</v>
          </cell>
          <cell r="C1300" t="str">
            <v>Lắp đặt chuỗi sứ đỡ dây dẫn loại =&lt; 8 bát, Chiều cao lắp đặt sứ =&lt; 70m</v>
          </cell>
          <cell r="D1300" t="str">
            <v>chuỗi</v>
          </cell>
          <cell r="H1300">
            <v>1425</v>
          </cell>
          <cell r="I1300">
            <v>198574.0697368421</v>
          </cell>
        </row>
        <row r="1301">
          <cell r="C1301" t="str">
            <v>Vật liệu</v>
          </cell>
          <cell r="G1301">
            <v>1425</v>
          </cell>
        </row>
        <row r="1302">
          <cell r="B1302">
            <v>9</v>
          </cell>
          <cell r="C1302" t="str">
            <v>+ Giẻ lau</v>
          </cell>
          <cell r="D1302" t="str">
            <v>Kg</v>
          </cell>
          <cell r="E1302">
            <v>0.03</v>
          </cell>
          <cell r="F1302">
            <v>9500</v>
          </cell>
          <cell r="G1302">
            <v>285</v>
          </cell>
        </row>
        <row r="1303">
          <cell r="B1303">
            <v>1</v>
          </cell>
          <cell r="C1303" t="str">
            <v>+ Cồn công nghiệp</v>
          </cell>
          <cell r="D1303" t="str">
            <v>kg</v>
          </cell>
          <cell r="E1303">
            <v>0.12</v>
          </cell>
          <cell r="F1303">
            <v>9500</v>
          </cell>
          <cell r="G1303">
            <v>1140</v>
          </cell>
        </row>
        <row r="1304">
          <cell r="C1304" t="str">
            <v>Nhân công</v>
          </cell>
          <cell r="G1304">
            <v>198574.0697368421</v>
          </cell>
        </row>
        <row r="1305">
          <cell r="B1305" t="str">
            <v>NC1407</v>
          </cell>
          <cell r="C1305" t="str">
            <v>+ Nhân công bậc 4,0/7</v>
          </cell>
          <cell r="D1305" t="str">
            <v>Công</v>
          </cell>
          <cell r="E1305">
            <v>1.02</v>
          </cell>
          <cell r="F1305">
            <v>194680.46052631579</v>
          </cell>
          <cell r="G1305">
            <v>198574.0697368421</v>
          </cell>
        </row>
        <row r="1306">
          <cell r="A1306" t="str">
            <v>D3.1473</v>
          </cell>
          <cell r="C1306" t="str">
            <v>Lắp đặt chuỗi sứ đỡ dây dẫn loại =&lt; 8 bát, Chiều cao lắp đặt sứ =&lt; 85m</v>
          </cell>
          <cell r="D1306" t="str">
            <v>chuỗi</v>
          </cell>
          <cell r="H1306">
            <v>1425</v>
          </cell>
          <cell r="I1306">
            <v>227776.13881578945</v>
          </cell>
        </row>
        <row r="1307">
          <cell r="C1307" t="str">
            <v>Vật liệu</v>
          </cell>
          <cell r="G1307">
            <v>1425</v>
          </cell>
        </row>
        <row r="1308">
          <cell r="B1308">
            <v>9</v>
          </cell>
          <cell r="C1308" t="str">
            <v>+ Giẻ lau</v>
          </cell>
          <cell r="D1308" t="str">
            <v>Kg</v>
          </cell>
          <cell r="E1308">
            <v>0.03</v>
          </cell>
          <cell r="F1308">
            <v>9500</v>
          </cell>
          <cell r="G1308">
            <v>285</v>
          </cell>
        </row>
        <row r="1309">
          <cell r="B1309">
            <v>1</v>
          </cell>
          <cell r="C1309" t="str">
            <v>+ Cồn công nghiệp</v>
          </cell>
          <cell r="D1309" t="str">
            <v>kg</v>
          </cell>
          <cell r="E1309">
            <v>0.12</v>
          </cell>
          <cell r="F1309">
            <v>9500</v>
          </cell>
          <cell r="G1309">
            <v>1140</v>
          </cell>
        </row>
        <row r="1310">
          <cell r="C1310" t="str">
            <v>Nhân công</v>
          </cell>
          <cell r="G1310">
            <v>227776.13881578945</v>
          </cell>
        </row>
        <row r="1311">
          <cell r="B1311" t="str">
            <v>NC1407</v>
          </cell>
          <cell r="C1311" t="str">
            <v>+ Nhân công bậc 4,0/7</v>
          </cell>
          <cell r="D1311" t="str">
            <v>Công</v>
          </cell>
          <cell r="E1311">
            <v>1.17</v>
          </cell>
          <cell r="F1311">
            <v>194680.46052631579</v>
          </cell>
          <cell r="G1311">
            <v>227776.13881578945</v>
          </cell>
        </row>
        <row r="1312">
          <cell r="A1312" t="str">
            <v>D3.1483</v>
          </cell>
          <cell r="C1312" t="str">
            <v>Lắp đặt chuỗi sứ đỡ dây dẫn loại =&lt; 8 bát, Chiều cao lắp đặt sứ =&lt; 100m</v>
          </cell>
          <cell r="D1312" t="str">
            <v>chuỗi</v>
          </cell>
          <cell r="H1312">
            <v>1425</v>
          </cell>
          <cell r="I1312">
            <v>262818.62171052635</v>
          </cell>
        </row>
        <row r="1313">
          <cell r="C1313" t="str">
            <v>Vật liệu</v>
          </cell>
          <cell r="G1313">
            <v>1425</v>
          </cell>
        </row>
        <row r="1314">
          <cell r="B1314">
            <v>9</v>
          </cell>
          <cell r="C1314" t="str">
            <v>+ Giẻ lau</v>
          </cell>
          <cell r="D1314" t="str">
            <v>Kg</v>
          </cell>
          <cell r="E1314">
            <v>0.03</v>
          </cell>
          <cell r="F1314">
            <v>9500</v>
          </cell>
          <cell r="G1314">
            <v>285</v>
          </cell>
        </row>
        <row r="1315">
          <cell r="B1315">
            <v>1</v>
          </cell>
          <cell r="C1315" t="str">
            <v>+ Cồn công nghiệp</v>
          </cell>
          <cell r="D1315" t="str">
            <v>kg</v>
          </cell>
          <cell r="E1315">
            <v>0.12</v>
          </cell>
          <cell r="F1315">
            <v>9500</v>
          </cell>
          <cell r="G1315">
            <v>1140</v>
          </cell>
        </row>
        <row r="1316">
          <cell r="C1316" t="str">
            <v>Nhân công</v>
          </cell>
          <cell r="G1316">
            <v>262818.62171052635</v>
          </cell>
        </row>
        <row r="1317">
          <cell r="B1317" t="str">
            <v>NC1407</v>
          </cell>
          <cell r="C1317" t="str">
            <v>+ Nhân công bậc 4,0/7</v>
          </cell>
          <cell r="D1317" t="str">
            <v>Công</v>
          </cell>
          <cell r="E1317">
            <v>1.35</v>
          </cell>
          <cell r="F1317">
            <v>194680.46052631579</v>
          </cell>
          <cell r="G1317">
            <v>262818.62171052635</v>
          </cell>
        </row>
        <row r="1318">
          <cell r="A1318" t="str">
            <v>D3.1414</v>
          </cell>
          <cell r="C1318" t="str">
            <v>Lắp đặt chuỗi sứ đỡ dây dẫn loại =&lt; 11 bát, Chiều cao lắp đặt sứ =&lt; 20m</v>
          </cell>
          <cell r="D1318" t="str">
            <v>chuỗi</v>
          </cell>
          <cell r="H1318">
            <v>1852.5</v>
          </cell>
          <cell r="I1318">
            <v>175212.41447368421</v>
          </cell>
        </row>
        <row r="1319">
          <cell r="C1319" t="str">
            <v>Vật liệu</v>
          </cell>
          <cell r="G1319">
            <v>1852.5</v>
          </cell>
        </row>
        <row r="1320">
          <cell r="B1320">
            <v>9</v>
          </cell>
          <cell r="C1320" t="str">
            <v>+ Giẻ lau</v>
          </cell>
          <cell r="D1320" t="str">
            <v>Kg</v>
          </cell>
          <cell r="E1320">
            <v>0.03</v>
          </cell>
          <cell r="F1320">
            <v>9500</v>
          </cell>
          <cell r="G1320">
            <v>285</v>
          </cell>
        </row>
        <row r="1321">
          <cell r="B1321">
            <v>1</v>
          </cell>
          <cell r="C1321" t="str">
            <v>+ Cồn công nghiệp</v>
          </cell>
          <cell r="D1321" t="str">
            <v>kg</v>
          </cell>
          <cell r="E1321">
            <v>0.16500000000000001</v>
          </cell>
          <cell r="F1321">
            <v>9500</v>
          </cell>
          <cell r="G1321">
            <v>1567.5</v>
          </cell>
        </row>
        <row r="1322">
          <cell r="C1322" t="str">
            <v>Nhân công</v>
          </cell>
          <cell r="G1322">
            <v>175212.41447368421</v>
          </cell>
        </row>
        <row r="1323">
          <cell r="B1323" t="str">
            <v>NC1407</v>
          </cell>
          <cell r="C1323" t="str">
            <v>+ Nhân công bậc 4,0/7</v>
          </cell>
          <cell r="D1323" t="str">
            <v>Công</v>
          </cell>
          <cell r="E1323">
            <v>0.9</v>
          </cell>
          <cell r="F1323">
            <v>194680.46052631579</v>
          </cell>
          <cell r="G1323">
            <v>175212.41447368421</v>
          </cell>
        </row>
        <row r="1324">
          <cell r="A1324" t="str">
            <v>D3.1424</v>
          </cell>
          <cell r="C1324" t="str">
            <v>Lắp đặt chuỗi sứ đỡ dây dẫn loại =&lt; 11 bát, Chiều cao lắp đặt sứ =&lt; 30m</v>
          </cell>
          <cell r="D1324" t="str">
            <v>chuỗi</v>
          </cell>
          <cell r="H1324">
            <v>1852.5</v>
          </cell>
          <cell r="I1324">
            <v>184946.4375</v>
          </cell>
        </row>
        <row r="1325">
          <cell r="C1325" t="str">
            <v>Vật liệu</v>
          </cell>
          <cell r="G1325">
            <v>1852.5</v>
          </cell>
        </row>
        <row r="1326">
          <cell r="B1326">
            <v>9</v>
          </cell>
          <cell r="C1326" t="str">
            <v>+ Giẻ lau</v>
          </cell>
          <cell r="D1326" t="str">
            <v>Kg</v>
          </cell>
          <cell r="E1326">
            <v>0.03</v>
          </cell>
          <cell r="F1326">
            <v>9500</v>
          </cell>
          <cell r="G1326">
            <v>285</v>
          </cell>
        </row>
        <row r="1327">
          <cell r="B1327">
            <v>1</v>
          </cell>
          <cell r="C1327" t="str">
            <v>+ Cồn công nghiệp</v>
          </cell>
          <cell r="D1327" t="str">
            <v>kg</v>
          </cell>
          <cell r="E1327">
            <v>0.16500000000000001</v>
          </cell>
          <cell r="F1327">
            <v>9500</v>
          </cell>
          <cell r="G1327">
            <v>1567.5</v>
          </cell>
        </row>
        <row r="1328">
          <cell r="C1328" t="str">
            <v>Nhân công</v>
          </cell>
          <cell r="G1328">
            <v>184946.4375</v>
          </cell>
        </row>
        <row r="1329">
          <cell r="B1329" t="str">
            <v>NC1407</v>
          </cell>
          <cell r="C1329" t="str">
            <v>+ Nhân công bậc 4,0/7</v>
          </cell>
          <cell r="D1329" t="str">
            <v>Công</v>
          </cell>
          <cell r="E1329">
            <v>0.95</v>
          </cell>
          <cell r="F1329">
            <v>194680.46052631579</v>
          </cell>
          <cell r="G1329">
            <v>184946.4375</v>
          </cell>
        </row>
        <row r="1330">
          <cell r="A1330" t="str">
            <v>D3.1434</v>
          </cell>
          <cell r="C1330" t="str">
            <v>Lắp đặt chuỗi sứ đỡ dây dẫn loại =&lt; 11 bát, Chiều cao lắp đặt sứ =&lt; 40m</v>
          </cell>
          <cell r="D1330" t="str">
            <v>chuỗi</v>
          </cell>
          <cell r="H1330">
            <v>1852.5</v>
          </cell>
          <cell r="I1330">
            <v>202467.67894736843</v>
          </cell>
        </row>
        <row r="1331">
          <cell r="C1331" t="str">
            <v>Vật liệu</v>
          </cell>
          <cell r="G1331">
            <v>1852.5</v>
          </cell>
        </row>
        <row r="1332">
          <cell r="B1332">
            <v>9</v>
          </cell>
          <cell r="C1332" t="str">
            <v>+ Giẻ lau</v>
          </cell>
          <cell r="D1332" t="str">
            <v>Kg</v>
          </cell>
          <cell r="E1332">
            <v>0.03</v>
          </cell>
          <cell r="F1332">
            <v>9500</v>
          </cell>
          <cell r="G1332">
            <v>285</v>
          </cell>
        </row>
        <row r="1333">
          <cell r="B1333">
            <v>1</v>
          </cell>
          <cell r="C1333" t="str">
            <v>+ Cồn công nghiệp</v>
          </cell>
          <cell r="D1333" t="str">
            <v>kg</v>
          </cell>
          <cell r="E1333">
            <v>0.16500000000000001</v>
          </cell>
          <cell r="F1333">
            <v>9500</v>
          </cell>
          <cell r="G1333">
            <v>1567.5</v>
          </cell>
        </row>
        <row r="1334">
          <cell r="C1334" t="str">
            <v>Nhân công</v>
          </cell>
          <cell r="G1334">
            <v>202467.67894736843</v>
          </cell>
        </row>
        <row r="1335">
          <cell r="B1335" t="str">
            <v>NC1407</v>
          </cell>
          <cell r="C1335" t="str">
            <v>+ Nhân công bậc 4,0/7</v>
          </cell>
          <cell r="D1335" t="str">
            <v>Công</v>
          </cell>
          <cell r="E1335">
            <v>1.04</v>
          </cell>
          <cell r="F1335">
            <v>194680.46052631579</v>
          </cell>
          <cell r="G1335">
            <v>202467.67894736843</v>
          </cell>
        </row>
        <row r="1336">
          <cell r="A1336" t="str">
            <v>D3.1444</v>
          </cell>
          <cell r="C1336" t="str">
            <v>Lắp đặt chuỗi sứ đỡ dây dẫn loại =&lt; 11 bát, Chiều cao lắp đặt sứ =&lt; 50m</v>
          </cell>
          <cell r="D1336" t="str">
            <v>chuỗi</v>
          </cell>
          <cell r="H1336">
            <v>1852.5</v>
          </cell>
          <cell r="I1336">
            <v>233616.55263157893</v>
          </cell>
        </row>
        <row r="1337">
          <cell r="C1337" t="str">
            <v>Vật liệu</v>
          </cell>
          <cell r="G1337">
            <v>1852.5</v>
          </cell>
        </row>
        <row r="1338">
          <cell r="B1338">
            <v>9</v>
          </cell>
          <cell r="C1338" t="str">
            <v>+ Giẻ lau</v>
          </cell>
          <cell r="D1338" t="str">
            <v>Kg</v>
          </cell>
          <cell r="E1338">
            <v>0.03</v>
          </cell>
          <cell r="F1338">
            <v>9500</v>
          </cell>
          <cell r="G1338">
            <v>285</v>
          </cell>
        </row>
        <row r="1339">
          <cell r="B1339">
            <v>1</v>
          </cell>
          <cell r="C1339" t="str">
            <v>+ Cồn công nghiệp</v>
          </cell>
          <cell r="D1339" t="str">
            <v>kg</v>
          </cell>
          <cell r="E1339">
            <v>0.16500000000000001</v>
          </cell>
          <cell r="F1339">
            <v>9500</v>
          </cell>
          <cell r="G1339">
            <v>1567.5</v>
          </cell>
        </row>
        <row r="1340">
          <cell r="C1340" t="str">
            <v>Nhân công</v>
          </cell>
          <cell r="G1340">
            <v>233616.55263157893</v>
          </cell>
        </row>
        <row r="1341">
          <cell r="B1341" t="str">
            <v>NC1407</v>
          </cell>
          <cell r="C1341" t="str">
            <v>+ Nhân công bậc 4,0/7</v>
          </cell>
          <cell r="D1341" t="str">
            <v>Công</v>
          </cell>
          <cell r="E1341">
            <v>1.2</v>
          </cell>
          <cell r="F1341">
            <v>194680.46052631579</v>
          </cell>
          <cell r="G1341">
            <v>233616.55263157893</v>
          </cell>
        </row>
        <row r="1342">
          <cell r="A1342" t="str">
            <v>D3.1454</v>
          </cell>
          <cell r="C1342" t="str">
            <v>Lắp đặt chuỗi sứ đỡ dây dẫn loại =&lt; 11 bát, Chiều cao lắp đặt sứ =&lt; 60m</v>
          </cell>
          <cell r="D1342" t="str">
            <v>chuỗi</v>
          </cell>
          <cell r="H1342">
            <v>1852.5</v>
          </cell>
          <cell r="I1342">
            <v>256978.20789473684</v>
          </cell>
        </row>
        <row r="1343">
          <cell r="C1343" t="str">
            <v>Vật liệu</v>
          </cell>
          <cell r="G1343">
            <v>1852.5</v>
          </cell>
        </row>
        <row r="1344">
          <cell r="B1344">
            <v>9</v>
          </cell>
          <cell r="C1344" t="str">
            <v>+ Giẻ lau</v>
          </cell>
          <cell r="D1344" t="str">
            <v>Kg</v>
          </cell>
          <cell r="E1344">
            <v>0.03</v>
          </cell>
          <cell r="F1344">
            <v>9500</v>
          </cell>
          <cell r="G1344">
            <v>285</v>
          </cell>
        </row>
        <row r="1345">
          <cell r="B1345">
            <v>1</v>
          </cell>
          <cell r="C1345" t="str">
            <v>+ Cồn công nghiệp</v>
          </cell>
          <cell r="D1345" t="str">
            <v>kg</v>
          </cell>
          <cell r="E1345">
            <v>0.16500000000000001</v>
          </cell>
          <cell r="F1345">
            <v>9500</v>
          </cell>
          <cell r="G1345">
            <v>1567.5</v>
          </cell>
        </row>
        <row r="1346">
          <cell r="C1346" t="str">
            <v>Nhân công</v>
          </cell>
          <cell r="G1346">
            <v>256978.20789473684</v>
          </cell>
        </row>
        <row r="1347">
          <cell r="B1347" t="str">
            <v>NC1407</v>
          </cell>
          <cell r="C1347" t="str">
            <v>+ Nhân công bậc 4,0/7</v>
          </cell>
          <cell r="D1347" t="str">
            <v>Công</v>
          </cell>
          <cell r="E1347">
            <v>1.32</v>
          </cell>
          <cell r="F1347">
            <v>194680.46052631579</v>
          </cell>
          <cell r="G1347">
            <v>256978.20789473684</v>
          </cell>
        </row>
        <row r="1348">
          <cell r="A1348" t="str">
            <v>D3.1464</v>
          </cell>
          <cell r="C1348" t="str">
            <v>Lắp đặt chuỗi sứ đỡ dây dẫn loại =&lt; 11 bát, Chiều cao lắp đặt sứ =&lt; 70m</v>
          </cell>
          <cell r="D1348" t="str">
            <v>chuỗi</v>
          </cell>
          <cell r="H1348">
            <v>1852.5</v>
          </cell>
          <cell r="I1348">
            <v>282286.66776315786</v>
          </cell>
        </row>
        <row r="1349">
          <cell r="C1349" t="str">
            <v>Vật liệu</v>
          </cell>
          <cell r="G1349">
            <v>1852.5</v>
          </cell>
        </row>
        <row r="1350">
          <cell r="B1350">
            <v>9</v>
          </cell>
          <cell r="C1350" t="str">
            <v>+ Giẻ lau</v>
          </cell>
          <cell r="D1350" t="str">
            <v>Kg</v>
          </cell>
          <cell r="E1350">
            <v>0.03</v>
          </cell>
          <cell r="F1350">
            <v>9500</v>
          </cell>
          <cell r="G1350">
            <v>285</v>
          </cell>
        </row>
        <row r="1351">
          <cell r="B1351">
            <v>1</v>
          </cell>
          <cell r="C1351" t="str">
            <v>+ Cồn công nghiệp</v>
          </cell>
          <cell r="D1351" t="str">
            <v>kg</v>
          </cell>
          <cell r="E1351">
            <v>0.16500000000000001</v>
          </cell>
          <cell r="F1351">
            <v>9500</v>
          </cell>
          <cell r="G1351">
            <v>1567.5</v>
          </cell>
        </row>
        <row r="1352">
          <cell r="C1352" t="str">
            <v>Nhân công</v>
          </cell>
          <cell r="G1352">
            <v>282286.66776315786</v>
          </cell>
        </row>
        <row r="1353">
          <cell r="B1353" t="str">
            <v>NC1407</v>
          </cell>
          <cell r="C1353" t="str">
            <v>+ Nhân công bậc 4,0/7</v>
          </cell>
          <cell r="D1353" t="str">
            <v>Công</v>
          </cell>
          <cell r="E1353">
            <v>1.45</v>
          </cell>
          <cell r="F1353">
            <v>194680.46052631579</v>
          </cell>
          <cell r="G1353">
            <v>282286.66776315786</v>
          </cell>
        </row>
        <row r="1354">
          <cell r="A1354" t="str">
            <v>D3.1474</v>
          </cell>
          <cell r="C1354" t="str">
            <v>Lắp đặt chuỗi sứ đỡ dây dẫn loại =&lt; 11 bát, Chiều cao lắp đặt sứ =&lt; 85m</v>
          </cell>
          <cell r="D1354" t="str">
            <v>chuỗi</v>
          </cell>
          <cell r="H1354">
            <v>1852.5</v>
          </cell>
          <cell r="I1354">
            <v>325116.36907894735</v>
          </cell>
        </row>
        <row r="1355">
          <cell r="C1355" t="str">
            <v>Vật liệu</v>
          </cell>
          <cell r="G1355">
            <v>1852.5</v>
          </cell>
        </row>
        <row r="1356">
          <cell r="B1356">
            <v>9</v>
          </cell>
          <cell r="C1356" t="str">
            <v>+ Giẻ lau</v>
          </cell>
          <cell r="D1356" t="str">
            <v>Kg</v>
          </cell>
          <cell r="E1356">
            <v>0.03</v>
          </cell>
          <cell r="F1356">
            <v>9500</v>
          </cell>
          <cell r="G1356">
            <v>285</v>
          </cell>
        </row>
        <row r="1357">
          <cell r="B1357">
            <v>1</v>
          </cell>
          <cell r="C1357" t="str">
            <v>+ Cồn công nghiệp</v>
          </cell>
          <cell r="D1357" t="str">
            <v>kg</v>
          </cell>
          <cell r="E1357">
            <v>0.16500000000000001</v>
          </cell>
          <cell r="F1357">
            <v>9500</v>
          </cell>
          <cell r="G1357">
            <v>1567.5</v>
          </cell>
        </row>
        <row r="1358">
          <cell r="C1358" t="str">
            <v>Nhân công</v>
          </cell>
          <cell r="G1358">
            <v>325116.36907894735</v>
          </cell>
        </row>
        <row r="1359">
          <cell r="B1359" t="str">
            <v>NC1407</v>
          </cell>
          <cell r="C1359" t="str">
            <v>+ Nhân công bậc 4,0/7</v>
          </cell>
          <cell r="D1359" t="str">
            <v>Công</v>
          </cell>
          <cell r="E1359">
            <v>1.67</v>
          </cell>
          <cell r="F1359">
            <v>194680.46052631579</v>
          </cell>
          <cell r="G1359">
            <v>325116.36907894735</v>
          </cell>
        </row>
        <row r="1360">
          <cell r="A1360" t="str">
            <v>D3.1484</v>
          </cell>
          <cell r="C1360" t="str">
            <v>Lắp đặt chuỗi sứ đỡ dây dẫn loại =&lt; 11 bát, Chiều cao lắp đặt sứ =&lt; 100m</v>
          </cell>
          <cell r="D1360" t="str">
            <v>chuỗi</v>
          </cell>
          <cell r="H1360">
            <v>1852.5</v>
          </cell>
          <cell r="I1360">
            <v>373786.48421052628</v>
          </cell>
        </row>
        <row r="1361">
          <cell r="C1361" t="str">
            <v>Vật liệu</v>
          </cell>
          <cell r="G1361">
            <v>1852.5</v>
          </cell>
        </row>
        <row r="1362">
          <cell r="B1362">
            <v>9</v>
          </cell>
          <cell r="C1362" t="str">
            <v>+ Giẻ lau</v>
          </cell>
          <cell r="D1362" t="str">
            <v>Kg</v>
          </cell>
          <cell r="E1362">
            <v>0.03</v>
          </cell>
          <cell r="F1362">
            <v>9500</v>
          </cell>
          <cell r="G1362">
            <v>285</v>
          </cell>
        </row>
        <row r="1363">
          <cell r="B1363">
            <v>1</v>
          </cell>
          <cell r="C1363" t="str">
            <v>+ Cồn công nghiệp</v>
          </cell>
          <cell r="D1363" t="str">
            <v>kg</v>
          </cell>
          <cell r="E1363">
            <v>0.16500000000000001</v>
          </cell>
          <cell r="F1363">
            <v>9500</v>
          </cell>
          <cell r="G1363">
            <v>1567.5</v>
          </cell>
        </row>
        <row r="1364">
          <cell r="C1364" t="str">
            <v>Nhân công</v>
          </cell>
          <cell r="G1364">
            <v>373786.48421052628</v>
          </cell>
        </row>
        <row r="1365">
          <cell r="B1365" t="str">
            <v>NC1407</v>
          </cell>
          <cell r="C1365" t="str">
            <v>+ Nhân công bậc 4,0/7</v>
          </cell>
          <cell r="D1365" t="str">
            <v>Công</v>
          </cell>
          <cell r="E1365">
            <v>1.92</v>
          </cell>
          <cell r="F1365">
            <v>194680.46052631579</v>
          </cell>
          <cell r="G1365">
            <v>373786.48421052628</v>
          </cell>
        </row>
        <row r="1366">
          <cell r="A1366" t="str">
            <v>D3.1415</v>
          </cell>
          <cell r="C1366" t="str">
            <v>Lắp đặt chuỗi sứ đỡ dây dẫn loại =&lt; 14 bát, Chiều cao lắp đặt sứ =&lt; 20m</v>
          </cell>
          <cell r="D1366" t="str">
            <v>chuỗi</v>
          </cell>
          <cell r="H1366">
            <v>2185</v>
          </cell>
          <cell r="I1366">
            <v>221935.72499999998</v>
          </cell>
        </row>
        <row r="1367">
          <cell r="C1367" t="str">
            <v>Vật liệu</v>
          </cell>
          <cell r="G1367">
            <v>2185</v>
          </cell>
        </row>
        <row r="1368">
          <cell r="B1368">
            <v>9</v>
          </cell>
          <cell r="C1368" t="str">
            <v>+ Giẻ lau</v>
          </cell>
          <cell r="D1368" t="str">
            <v>Kg</v>
          </cell>
          <cell r="E1368">
            <v>0.03</v>
          </cell>
          <cell r="F1368">
            <v>9500</v>
          </cell>
          <cell r="G1368">
            <v>285</v>
          </cell>
        </row>
        <row r="1369">
          <cell r="B1369">
            <v>1</v>
          </cell>
          <cell r="C1369" t="str">
            <v>+ Cồn công nghiệp</v>
          </cell>
          <cell r="D1369" t="str">
            <v>kg</v>
          </cell>
          <cell r="E1369">
            <v>0.2</v>
          </cell>
          <cell r="F1369">
            <v>9500</v>
          </cell>
          <cell r="G1369">
            <v>1900</v>
          </cell>
        </row>
        <row r="1370">
          <cell r="C1370" t="str">
            <v>Nhân công</v>
          </cell>
          <cell r="G1370">
            <v>221935.72499999998</v>
          </cell>
        </row>
        <row r="1371">
          <cell r="B1371" t="str">
            <v>NC1407</v>
          </cell>
          <cell r="C1371" t="str">
            <v>+ Nhân công bậc 4,0/7</v>
          </cell>
          <cell r="D1371" t="str">
            <v>Công</v>
          </cell>
          <cell r="E1371">
            <v>1.1399999999999999</v>
          </cell>
          <cell r="F1371">
            <v>194680.46052631579</v>
          </cell>
          <cell r="G1371">
            <v>221935.72499999998</v>
          </cell>
        </row>
        <row r="1372">
          <cell r="A1372" t="str">
            <v>D3.1425</v>
          </cell>
          <cell r="C1372" t="str">
            <v>Lắp đặt chuỗi sứ đỡ dây dẫn loại =&lt; 14 bát, Chiều cao lắp đặt sứ =&lt; 30m</v>
          </cell>
          <cell r="D1372" t="str">
            <v>chuỗi</v>
          </cell>
          <cell r="H1372">
            <v>2185</v>
          </cell>
          <cell r="I1372">
            <v>233616.55263157893</v>
          </cell>
        </row>
        <row r="1373">
          <cell r="C1373" t="str">
            <v>Vật liệu</v>
          </cell>
          <cell r="G1373">
            <v>2185</v>
          </cell>
        </row>
        <row r="1374">
          <cell r="B1374">
            <v>9</v>
          </cell>
          <cell r="C1374" t="str">
            <v>+ Giẻ lau</v>
          </cell>
          <cell r="D1374" t="str">
            <v>Kg</v>
          </cell>
          <cell r="E1374">
            <v>0.03</v>
          </cell>
          <cell r="F1374">
            <v>9500</v>
          </cell>
          <cell r="G1374">
            <v>285</v>
          </cell>
        </row>
        <row r="1375">
          <cell r="B1375">
            <v>1</v>
          </cell>
          <cell r="C1375" t="str">
            <v>+ Cồn công nghiệp</v>
          </cell>
          <cell r="D1375" t="str">
            <v>kg</v>
          </cell>
          <cell r="E1375">
            <v>0.2</v>
          </cell>
          <cell r="F1375">
            <v>9500</v>
          </cell>
          <cell r="G1375">
            <v>1900</v>
          </cell>
        </row>
        <row r="1376">
          <cell r="C1376" t="str">
            <v>Nhân công</v>
          </cell>
          <cell r="G1376">
            <v>233616.55263157893</v>
          </cell>
        </row>
        <row r="1377">
          <cell r="B1377" t="str">
            <v>NC1407</v>
          </cell>
          <cell r="C1377" t="str">
            <v>+ Nhân công bậc 4,0/7</v>
          </cell>
          <cell r="D1377" t="str">
            <v>Công</v>
          </cell>
          <cell r="E1377">
            <v>1.2</v>
          </cell>
          <cell r="F1377">
            <v>194680.46052631579</v>
          </cell>
          <cell r="G1377">
            <v>233616.55263157893</v>
          </cell>
        </row>
        <row r="1378">
          <cell r="A1378" t="str">
            <v>D3.1435</v>
          </cell>
          <cell r="C1378" t="str">
            <v>Lắp đặt chuỗi sứ đỡ dây dẫn loại =&lt; 14 bát, Chiều cao lắp đặt sứ =&lt; 40m</v>
          </cell>
          <cell r="D1378" t="str">
            <v>chuỗi</v>
          </cell>
          <cell r="H1378">
            <v>2185</v>
          </cell>
          <cell r="I1378">
            <v>255031.4032894737</v>
          </cell>
        </row>
        <row r="1379">
          <cell r="C1379" t="str">
            <v>Vật liệu</v>
          </cell>
          <cell r="G1379">
            <v>2185</v>
          </cell>
        </row>
        <row r="1380">
          <cell r="B1380">
            <v>9</v>
          </cell>
          <cell r="C1380" t="str">
            <v>+ Giẻ lau</v>
          </cell>
          <cell r="D1380" t="str">
            <v>Kg</v>
          </cell>
          <cell r="E1380">
            <v>0.03</v>
          </cell>
          <cell r="F1380">
            <v>9500</v>
          </cell>
          <cell r="G1380">
            <v>285</v>
          </cell>
        </row>
        <row r="1381">
          <cell r="B1381">
            <v>1</v>
          </cell>
          <cell r="C1381" t="str">
            <v>+ Cồn công nghiệp</v>
          </cell>
          <cell r="D1381" t="str">
            <v>kg</v>
          </cell>
          <cell r="E1381">
            <v>0.2</v>
          </cell>
          <cell r="F1381">
            <v>9500</v>
          </cell>
          <cell r="G1381">
            <v>1900</v>
          </cell>
        </row>
        <row r="1382">
          <cell r="C1382" t="str">
            <v>Nhân công</v>
          </cell>
          <cell r="G1382">
            <v>255031.4032894737</v>
          </cell>
        </row>
        <row r="1383">
          <cell r="B1383" t="str">
            <v>NC1407</v>
          </cell>
          <cell r="C1383" t="str">
            <v>+ Nhân công bậc 4,0/7</v>
          </cell>
          <cell r="D1383" t="str">
            <v>Công</v>
          </cell>
          <cell r="E1383">
            <v>1.31</v>
          </cell>
          <cell r="F1383">
            <v>194680.46052631579</v>
          </cell>
          <cell r="G1383">
            <v>255031.4032894737</v>
          </cell>
        </row>
        <row r="1384">
          <cell r="A1384" t="str">
            <v>D3.1445</v>
          </cell>
          <cell r="C1384" t="str">
            <v>Lắp đặt chuỗi sứ đỡ dây dẫn loại =&lt; 14 bát, Chiều cao lắp đặt sứ =&lt; 50m</v>
          </cell>
          <cell r="D1384" t="str">
            <v>chuỗi</v>
          </cell>
          <cell r="H1384">
            <v>2185</v>
          </cell>
          <cell r="I1384">
            <v>295914.3</v>
          </cell>
        </row>
        <row r="1385">
          <cell r="C1385" t="str">
            <v>Vật liệu</v>
          </cell>
          <cell r="G1385">
            <v>2185</v>
          </cell>
        </row>
        <row r="1386">
          <cell r="B1386">
            <v>9</v>
          </cell>
          <cell r="C1386" t="str">
            <v>+ Giẻ lau</v>
          </cell>
          <cell r="D1386" t="str">
            <v>Kg</v>
          </cell>
          <cell r="E1386">
            <v>0.03</v>
          </cell>
          <cell r="F1386">
            <v>9500</v>
          </cell>
          <cell r="G1386">
            <v>285</v>
          </cell>
        </row>
        <row r="1387">
          <cell r="B1387">
            <v>1</v>
          </cell>
          <cell r="C1387" t="str">
            <v>+ Cồn công nghiệp</v>
          </cell>
          <cell r="D1387" t="str">
            <v>kg</v>
          </cell>
          <cell r="E1387">
            <v>0.2</v>
          </cell>
          <cell r="F1387">
            <v>9500</v>
          </cell>
          <cell r="G1387">
            <v>1900</v>
          </cell>
        </row>
        <row r="1388">
          <cell r="C1388" t="str">
            <v>Nhân công</v>
          </cell>
          <cell r="G1388">
            <v>295914.3</v>
          </cell>
        </row>
        <row r="1389">
          <cell r="B1389" t="str">
            <v>NC1407</v>
          </cell>
          <cell r="C1389" t="str">
            <v>+ Nhân công bậc 4,0/7</v>
          </cell>
          <cell r="D1389" t="str">
            <v>Công</v>
          </cell>
          <cell r="E1389">
            <v>1.52</v>
          </cell>
          <cell r="F1389">
            <v>194680.46052631579</v>
          </cell>
          <cell r="G1389">
            <v>295914.3</v>
          </cell>
        </row>
        <row r="1390">
          <cell r="A1390" t="str">
            <v>D3.1455</v>
          </cell>
          <cell r="C1390" t="str">
            <v>Lắp đặt chuỗi sứ đỡ dây dẫn loại =&lt; 14 bát, Chiều cao lắp đặt sứ =&lt; 60m</v>
          </cell>
          <cell r="D1390" t="str">
            <v>chuỗi</v>
          </cell>
          <cell r="H1390">
            <v>2185</v>
          </cell>
          <cell r="I1390">
            <v>325116.36907894735</v>
          </cell>
        </row>
        <row r="1391">
          <cell r="C1391" t="str">
            <v>Vật liệu</v>
          </cell>
          <cell r="G1391">
            <v>2185</v>
          </cell>
        </row>
        <row r="1392">
          <cell r="B1392">
            <v>9</v>
          </cell>
          <cell r="C1392" t="str">
            <v>+ Giẻ lau</v>
          </cell>
          <cell r="D1392" t="str">
            <v>Kg</v>
          </cell>
          <cell r="E1392">
            <v>0.03</v>
          </cell>
          <cell r="F1392">
            <v>9500</v>
          </cell>
          <cell r="G1392">
            <v>285</v>
          </cell>
        </row>
        <row r="1393">
          <cell r="B1393">
            <v>1</v>
          </cell>
          <cell r="C1393" t="str">
            <v>+ Cồn công nghiệp</v>
          </cell>
          <cell r="D1393" t="str">
            <v>kg</v>
          </cell>
          <cell r="E1393">
            <v>0.2</v>
          </cell>
          <cell r="F1393">
            <v>9500</v>
          </cell>
          <cell r="G1393">
            <v>1900</v>
          </cell>
        </row>
        <row r="1394">
          <cell r="C1394" t="str">
            <v>Nhân công</v>
          </cell>
          <cell r="G1394">
            <v>325116.36907894735</v>
          </cell>
        </row>
        <row r="1395">
          <cell r="B1395" t="str">
            <v>NC1407</v>
          </cell>
          <cell r="C1395" t="str">
            <v>+ Nhân công bậc 4,0/7</v>
          </cell>
          <cell r="D1395" t="str">
            <v>Công</v>
          </cell>
          <cell r="E1395">
            <v>1.67</v>
          </cell>
          <cell r="F1395">
            <v>194680.46052631579</v>
          </cell>
          <cell r="G1395">
            <v>325116.36907894735</v>
          </cell>
        </row>
        <row r="1396">
          <cell r="A1396" t="str">
            <v>D3.1465</v>
          </cell>
          <cell r="C1396" t="str">
            <v>Lắp đặt chuỗi sứ đỡ dây dẫn loại =&lt; 14 bát, Chiều cao lắp đặt sứ =&lt; 70m</v>
          </cell>
          <cell r="D1396" t="str">
            <v>chuỗi</v>
          </cell>
          <cell r="H1396">
            <v>2185</v>
          </cell>
          <cell r="I1396">
            <v>358212.04736842104</v>
          </cell>
        </row>
        <row r="1397">
          <cell r="C1397" t="str">
            <v>Vật liệu</v>
          </cell>
          <cell r="G1397">
            <v>2185</v>
          </cell>
        </row>
        <row r="1398">
          <cell r="B1398">
            <v>9</v>
          </cell>
          <cell r="C1398" t="str">
            <v>+ Giẻ lau</v>
          </cell>
          <cell r="D1398" t="str">
            <v>Kg</v>
          </cell>
          <cell r="E1398">
            <v>0.03</v>
          </cell>
          <cell r="F1398">
            <v>9500</v>
          </cell>
          <cell r="G1398">
            <v>285</v>
          </cell>
        </row>
        <row r="1399">
          <cell r="B1399">
            <v>1</v>
          </cell>
          <cell r="C1399" t="str">
            <v>+ Cồn công nghiệp</v>
          </cell>
          <cell r="D1399" t="str">
            <v>kg</v>
          </cell>
          <cell r="E1399">
            <v>0.2</v>
          </cell>
          <cell r="F1399">
            <v>9500</v>
          </cell>
          <cell r="G1399">
            <v>1900</v>
          </cell>
        </row>
        <row r="1400">
          <cell r="C1400" t="str">
            <v>Nhân công</v>
          </cell>
          <cell r="G1400">
            <v>358212.04736842104</v>
          </cell>
        </row>
        <row r="1401">
          <cell r="B1401" t="str">
            <v>NC1407</v>
          </cell>
          <cell r="C1401" t="str">
            <v>+ Nhân công bậc 4,0/7</v>
          </cell>
          <cell r="D1401" t="str">
            <v>Công</v>
          </cell>
          <cell r="E1401">
            <v>1.84</v>
          </cell>
          <cell r="F1401">
            <v>194680.46052631579</v>
          </cell>
          <cell r="G1401">
            <v>358212.04736842104</v>
          </cell>
        </row>
        <row r="1402">
          <cell r="A1402" t="str">
            <v>D3.1475</v>
          </cell>
          <cell r="C1402" t="str">
            <v>Lắp đặt chuỗi sứ đỡ dây dẫn loại =&lt; 14 bát, Chiều cao lắp đặt sứ =&lt; 85m</v>
          </cell>
          <cell r="D1402" t="str">
            <v>chuỗi</v>
          </cell>
          <cell r="H1402">
            <v>2185</v>
          </cell>
          <cell r="I1402">
            <v>412722.57631578948</v>
          </cell>
        </row>
        <row r="1403">
          <cell r="C1403" t="str">
            <v>Vật liệu</v>
          </cell>
          <cell r="G1403">
            <v>2185</v>
          </cell>
        </row>
        <row r="1404">
          <cell r="B1404">
            <v>9</v>
          </cell>
          <cell r="C1404" t="str">
            <v>+ Giẻ lau</v>
          </cell>
          <cell r="D1404" t="str">
            <v>Kg</v>
          </cell>
          <cell r="E1404">
            <v>0.03</v>
          </cell>
          <cell r="F1404">
            <v>9500</v>
          </cell>
          <cell r="G1404">
            <v>285</v>
          </cell>
        </row>
        <row r="1405">
          <cell r="B1405">
            <v>1</v>
          </cell>
          <cell r="C1405" t="str">
            <v>+ Cồn công nghiệp</v>
          </cell>
          <cell r="D1405" t="str">
            <v>kg</v>
          </cell>
          <cell r="E1405">
            <v>0.2</v>
          </cell>
          <cell r="F1405">
            <v>9500</v>
          </cell>
          <cell r="G1405">
            <v>1900</v>
          </cell>
        </row>
        <row r="1406">
          <cell r="C1406" t="str">
            <v>Nhân công</v>
          </cell>
          <cell r="G1406">
            <v>412722.57631578948</v>
          </cell>
        </row>
        <row r="1407">
          <cell r="B1407" t="str">
            <v>NC1407</v>
          </cell>
          <cell r="C1407" t="str">
            <v>+ Nhân công bậc 4,0/7</v>
          </cell>
          <cell r="D1407" t="str">
            <v>Công</v>
          </cell>
          <cell r="E1407">
            <v>2.12</v>
          </cell>
          <cell r="F1407">
            <v>194680.46052631579</v>
          </cell>
          <cell r="G1407">
            <v>412722.57631578948</v>
          </cell>
        </row>
        <row r="1408">
          <cell r="A1408" t="str">
            <v>D3.1485</v>
          </cell>
          <cell r="C1408" t="str">
            <v>Lắp đặt chuỗi sứ đỡ dây dẫn loại =&lt; 14 bát, Chiều cao lắp đặt sứ =&lt; 100m</v>
          </cell>
          <cell r="D1408" t="str">
            <v>chuỗi</v>
          </cell>
          <cell r="H1408">
            <v>2185</v>
          </cell>
          <cell r="I1408">
            <v>475020.32368421048</v>
          </cell>
        </row>
        <row r="1409">
          <cell r="C1409" t="str">
            <v>Vật liệu</v>
          </cell>
          <cell r="G1409">
            <v>2185</v>
          </cell>
        </row>
        <row r="1410">
          <cell r="B1410">
            <v>9</v>
          </cell>
          <cell r="C1410" t="str">
            <v>+ Giẻ lau</v>
          </cell>
          <cell r="D1410" t="str">
            <v>Kg</v>
          </cell>
          <cell r="E1410">
            <v>0.03</v>
          </cell>
          <cell r="F1410">
            <v>9500</v>
          </cell>
          <cell r="G1410">
            <v>285</v>
          </cell>
        </row>
        <row r="1411">
          <cell r="B1411">
            <v>1</v>
          </cell>
          <cell r="C1411" t="str">
            <v>+ Cồn công nghiệp</v>
          </cell>
          <cell r="D1411" t="str">
            <v>kg</v>
          </cell>
          <cell r="E1411">
            <v>0.2</v>
          </cell>
          <cell r="F1411">
            <v>9500</v>
          </cell>
          <cell r="G1411">
            <v>1900</v>
          </cell>
        </row>
        <row r="1412">
          <cell r="C1412" t="str">
            <v>Nhân công</v>
          </cell>
          <cell r="G1412">
            <v>475020.32368421048</v>
          </cell>
        </row>
        <row r="1413">
          <cell r="B1413" t="str">
            <v>NC1407</v>
          </cell>
          <cell r="C1413" t="str">
            <v>+ Nhân công bậc 4,0/7</v>
          </cell>
          <cell r="D1413" t="str">
            <v>Công</v>
          </cell>
          <cell r="E1413">
            <v>2.44</v>
          </cell>
          <cell r="F1413">
            <v>194680.46052631579</v>
          </cell>
          <cell r="G1413">
            <v>475020.32368421048</v>
          </cell>
        </row>
        <row r="1414">
          <cell r="A1414" t="str">
            <v>D3.1416</v>
          </cell>
          <cell r="C1414" t="str">
            <v>Lắp đặt chuỗi sứ đỡ dây dẫn loại =&lt; 18 bát, Chiều cao lắp đặt sứ =&lt; 20m</v>
          </cell>
          <cell r="D1414" t="str">
            <v>chuỗi</v>
          </cell>
          <cell r="H1414">
            <v>2660</v>
          </cell>
          <cell r="I1414">
            <v>266712.23092105263</v>
          </cell>
        </row>
        <row r="1415">
          <cell r="C1415" t="str">
            <v>Vật liệu</v>
          </cell>
          <cell r="G1415">
            <v>2660</v>
          </cell>
        </row>
        <row r="1416">
          <cell r="B1416">
            <v>9</v>
          </cell>
          <cell r="C1416" t="str">
            <v>+ Giẻ lau</v>
          </cell>
          <cell r="D1416" t="str">
            <v>Kg</v>
          </cell>
          <cell r="E1416">
            <v>0.04</v>
          </cell>
          <cell r="F1416">
            <v>9500</v>
          </cell>
          <cell r="G1416">
            <v>380</v>
          </cell>
        </row>
        <row r="1417">
          <cell r="B1417">
            <v>1</v>
          </cell>
          <cell r="C1417" t="str">
            <v>+ Cồn công nghiệp</v>
          </cell>
          <cell r="D1417" t="str">
            <v>kg</v>
          </cell>
          <cell r="E1417">
            <v>0.24</v>
          </cell>
          <cell r="F1417">
            <v>9500</v>
          </cell>
          <cell r="G1417">
            <v>2280</v>
          </cell>
        </row>
        <row r="1418">
          <cell r="C1418" t="str">
            <v>Nhân công</v>
          </cell>
          <cell r="G1418">
            <v>266712.23092105263</v>
          </cell>
        </row>
        <row r="1419">
          <cell r="B1419" t="str">
            <v>NC1407</v>
          </cell>
          <cell r="C1419" t="str">
            <v>+ Nhân công bậc 4,0/7</v>
          </cell>
          <cell r="D1419" t="str">
            <v>Công</v>
          </cell>
          <cell r="E1419">
            <v>1.37</v>
          </cell>
          <cell r="F1419">
            <v>194680.46052631579</v>
          </cell>
          <cell r="G1419">
            <v>266712.23092105263</v>
          </cell>
        </row>
        <row r="1420">
          <cell r="A1420" t="str">
            <v>D3.1426</v>
          </cell>
          <cell r="C1420" t="str">
            <v>Lắp đặt chuỗi sứ đỡ dây dẫn loại =&lt; 18 bát, Chiều cao lắp đặt sứ =&lt; 30m</v>
          </cell>
          <cell r="D1420" t="str">
            <v>chuỗi</v>
          </cell>
          <cell r="H1420">
            <v>2660</v>
          </cell>
          <cell r="I1420">
            <v>280339.8631578947</v>
          </cell>
        </row>
        <row r="1421">
          <cell r="C1421" t="str">
            <v>Vật liệu</v>
          </cell>
          <cell r="G1421">
            <v>2660</v>
          </cell>
        </row>
        <row r="1422">
          <cell r="B1422">
            <v>9</v>
          </cell>
          <cell r="C1422" t="str">
            <v>+ Giẻ lau</v>
          </cell>
          <cell r="D1422" t="str">
            <v>Kg</v>
          </cell>
          <cell r="E1422">
            <v>0.04</v>
          </cell>
          <cell r="F1422">
            <v>9500</v>
          </cell>
          <cell r="G1422">
            <v>380</v>
          </cell>
        </row>
        <row r="1423">
          <cell r="B1423">
            <v>1</v>
          </cell>
          <cell r="C1423" t="str">
            <v>+ Cồn công nghiệp</v>
          </cell>
          <cell r="D1423" t="str">
            <v>kg</v>
          </cell>
          <cell r="E1423">
            <v>0.24</v>
          </cell>
          <cell r="F1423">
            <v>9500</v>
          </cell>
          <cell r="G1423">
            <v>2280</v>
          </cell>
        </row>
        <row r="1424">
          <cell r="C1424" t="str">
            <v>Nhân công</v>
          </cell>
          <cell r="G1424">
            <v>280339.8631578947</v>
          </cell>
        </row>
        <row r="1425">
          <cell r="B1425" t="str">
            <v>NC1407</v>
          </cell>
          <cell r="C1425" t="str">
            <v>+ Nhân công bậc 4,0/7</v>
          </cell>
          <cell r="D1425" t="str">
            <v>Công</v>
          </cell>
          <cell r="E1425">
            <v>1.44</v>
          </cell>
          <cell r="F1425">
            <v>194680.46052631579</v>
          </cell>
          <cell r="G1425">
            <v>280339.8631578947</v>
          </cell>
        </row>
        <row r="1426">
          <cell r="A1426" t="str">
            <v>D3.1436</v>
          </cell>
          <cell r="C1426" t="str">
            <v>Lắp đặt chuỗi sứ đỡ dây dẫn loại =&lt; 18 bát, Chiều cao lắp đặt sứ =&lt; 40m</v>
          </cell>
          <cell r="D1426" t="str">
            <v>chuỗi</v>
          </cell>
          <cell r="H1426">
            <v>2660</v>
          </cell>
          <cell r="I1426">
            <v>305648.32302631577</v>
          </cell>
        </row>
        <row r="1427">
          <cell r="C1427" t="str">
            <v>Vật liệu</v>
          </cell>
          <cell r="G1427">
            <v>2660</v>
          </cell>
        </row>
        <row r="1428">
          <cell r="B1428">
            <v>9</v>
          </cell>
          <cell r="C1428" t="str">
            <v>+ Giẻ lau</v>
          </cell>
          <cell r="D1428" t="str">
            <v>Kg</v>
          </cell>
          <cell r="E1428">
            <v>0.04</v>
          </cell>
          <cell r="F1428">
            <v>9500</v>
          </cell>
          <cell r="G1428">
            <v>380</v>
          </cell>
        </row>
        <row r="1429">
          <cell r="B1429">
            <v>1</v>
          </cell>
          <cell r="C1429" t="str">
            <v>+ Cồn công nghiệp</v>
          </cell>
          <cell r="D1429" t="str">
            <v>kg</v>
          </cell>
          <cell r="E1429">
            <v>0.24</v>
          </cell>
          <cell r="F1429">
            <v>9500</v>
          </cell>
          <cell r="G1429">
            <v>2280</v>
          </cell>
        </row>
        <row r="1430">
          <cell r="C1430" t="str">
            <v>Nhân công</v>
          </cell>
          <cell r="G1430">
            <v>305648.32302631577</v>
          </cell>
        </row>
        <row r="1431">
          <cell r="B1431" t="str">
            <v>NC1407</v>
          </cell>
          <cell r="C1431" t="str">
            <v>+ Nhân công bậc 4,0/7</v>
          </cell>
          <cell r="D1431" t="str">
            <v>Công</v>
          </cell>
          <cell r="E1431">
            <v>1.57</v>
          </cell>
          <cell r="F1431">
            <v>194680.46052631579</v>
          </cell>
          <cell r="G1431">
            <v>305648.32302631577</v>
          </cell>
        </row>
        <row r="1432">
          <cell r="A1432" t="str">
            <v>D3.1446</v>
          </cell>
          <cell r="C1432" t="str">
            <v>Lắp đặt chuỗi sứ đỡ dây dẫn loại =&lt; 18 bát, Chiều cao lắp đặt sứ =&lt; 50m</v>
          </cell>
          <cell r="D1432" t="str">
            <v>chuỗi</v>
          </cell>
          <cell r="H1432">
            <v>2660</v>
          </cell>
          <cell r="I1432">
            <v>350424.82894736843</v>
          </cell>
        </row>
        <row r="1433">
          <cell r="C1433" t="str">
            <v>Vật liệu</v>
          </cell>
          <cell r="G1433">
            <v>2660</v>
          </cell>
        </row>
        <row r="1434">
          <cell r="B1434">
            <v>9</v>
          </cell>
          <cell r="C1434" t="str">
            <v>+ Giẻ lau</v>
          </cell>
          <cell r="D1434" t="str">
            <v>Kg</v>
          </cell>
          <cell r="E1434">
            <v>0.04</v>
          </cell>
          <cell r="F1434">
            <v>9500</v>
          </cell>
          <cell r="G1434">
            <v>380</v>
          </cell>
        </row>
        <row r="1435">
          <cell r="B1435">
            <v>1</v>
          </cell>
          <cell r="C1435" t="str">
            <v>+ Cồn công nghiệp</v>
          </cell>
          <cell r="D1435" t="str">
            <v>kg</v>
          </cell>
          <cell r="E1435">
            <v>0.24</v>
          </cell>
          <cell r="F1435">
            <v>9500</v>
          </cell>
          <cell r="G1435">
            <v>2280</v>
          </cell>
        </row>
        <row r="1436">
          <cell r="C1436" t="str">
            <v>Nhân công</v>
          </cell>
          <cell r="G1436">
            <v>350424.82894736843</v>
          </cell>
        </row>
        <row r="1437">
          <cell r="B1437" t="str">
            <v>NC1407</v>
          </cell>
          <cell r="C1437" t="str">
            <v>+ Nhân công bậc 4,0/7</v>
          </cell>
          <cell r="D1437" t="str">
            <v>Công</v>
          </cell>
          <cell r="E1437">
            <v>1.8</v>
          </cell>
          <cell r="F1437">
            <v>194680.46052631579</v>
          </cell>
          <cell r="G1437">
            <v>350424.82894736843</v>
          </cell>
        </row>
        <row r="1438">
          <cell r="A1438" t="str">
            <v>D3.1456</v>
          </cell>
          <cell r="C1438" t="str">
            <v>Lắp đặt chuỗi sứ đỡ dây dẫn loại =&lt; 18 bát, Chiều cao lắp đặt sứ =&lt; 60m</v>
          </cell>
          <cell r="D1438" t="str">
            <v>chuỗi</v>
          </cell>
          <cell r="H1438">
            <v>2660</v>
          </cell>
          <cell r="I1438">
            <v>389360.92105263157</v>
          </cell>
        </row>
        <row r="1439">
          <cell r="C1439" t="str">
            <v>Vật liệu</v>
          </cell>
          <cell r="G1439">
            <v>2660</v>
          </cell>
        </row>
        <row r="1440">
          <cell r="B1440">
            <v>9</v>
          </cell>
          <cell r="C1440" t="str">
            <v>+ Giẻ lau</v>
          </cell>
          <cell r="D1440" t="str">
            <v>Kg</v>
          </cell>
          <cell r="E1440">
            <v>0.04</v>
          </cell>
          <cell r="F1440">
            <v>9500</v>
          </cell>
          <cell r="G1440">
            <v>380</v>
          </cell>
        </row>
        <row r="1441">
          <cell r="B1441">
            <v>1</v>
          </cell>
          <cell r="C1441" t="str">
            <v>+ Cồn công nghiệp</v>
          </cell>
          <cell r="D1441" t="str">
            <v>kg</v>
          </cell>
          <cell r="E1441">
            <v>0.24</v>
          </cell>
          <cell r="F1441">
            <v>9500</v>
          </cell>
          <cell r="G1441">
            <v>2280</v>
          </cell>
        </row>
        <row r="1442">
          <cell r="C1442" t="str">
            <v>Nhân công</v>
          </cell>
          <cell r="G1442">
            <v>389360.92105263157</v>
          </cell>
        </row>
        <row r="1443">
          <cell r="B1443" t="str">
            <v>NC1407</v>
          </cell>
          <cell r="C1443" t="str">
            <v>+ Nhân công bậc 4,0/7</v>
          </cell>
          <cell r="D1443" t="str">
            <v>Công</v>
          </cell>
          <cell r="E1443">
            <v>2</v>
          </cell>
          <cell r="F1443">
            <v>194680.46052631579</v>
          </cell>
          <cell r="G1443">
            <v>389360.92105263157</v>
          </cell>
        </row>
        <row r="1444">
          <cell r="A1444" t="str">
            <v>D3.1466</v>
          </cell>
          <cell r="C1444" t="str">
            <v>Lắp đặt chuỗi sứ đỡ dây dẫn loại =&lt; 18 bát, Chiều cao lắp đặt sứ =&lt; 70m</v>
          </cell>
          <cell r="D1444" t="str">
            <v>chuỗi</v>
          </cell>
          <cell r="H1444">
            <v>2660</v>
          </cell>
          <cell r="I1444">
            <v>428297.01315789478</v>
          </cell>
        </row>
        <row r="1445">
          <cell r="C1445" t="str">
            <v>Vật liệu</v>
          </cell>
          <cell r="G1445">
            <v>2660</v>
          </cell>
        </row>
        <row r="1446">
          <cell r="B1446">
            <v>9</v>
          </cell>
          <cell r="C1446" t="str">
            <v>+ Giẻ lau</v>
          </cell>
          <cell r="D1446" t="str">
            <v>Kg</v>
          </cell>
          <cell r="E1446">
            <v>0.04</v>
          </cell>
          <cell r="F1446">
            <v>9500</v>
          </cell>
          <cell r="G1446">
            <v>380</v>
          </cell>
        </row>
        <row r="1447">
          <cell r="B1447">
            <v>1</v>
          </cell>
          <cell r="C1447" t="str">
            <v>+ Cồn công nghiệp</v>
          </cell>
          <cell r="D1447" t="str">
            <v>kg</v>
          </cell>
          <cell r="E1447">
            <v>0.24</v>
          </cell>
          <cell r="F1447">
            <v>9500</v>
          </cell>
          <cell r="G1447">
            <v>2280</v>
          </cell>
        </row>
        <row r="1448">
          <cell r="C1448" t="str">
            <v>Nhân công</v>
          </cell>
          <cell r="G1448">
            <v>428297.01315789478</v>
          </cell>
        </row>
        <row r="1449">
          <cell r="B1449" t="str">
            <v>NC1407</v>
          </cell>
          <cell r="C1449" t="str">
            <v>+ Nhân công bậc 4,0/7</v>
          </cell>
          <cell r="D1449" t="str">
            <v>Công</v>
          </cell>
          <cell r="E1449">
            <v>2.2000000000000002</v>
          </cell>
          <cell r="F1449">
            <v>194680.46052631579</v>
          </cell>
          <cell r="G1449">
            <v>428297.01315789478</v>
          </cell>
        </row>
        <row r="1450">
          <cell r="A1450" t="str">
            <v>D3.1476</v>
          </cell>
          <cell r="C1450" t="str">
            <v>Lắp đặt chuỗi sứ đỡ dây dẫn loại =&lt; 18 bát, Chiều cao lắp đặt sứ =&lt; 85m</v>
          </cell>
          <cell r="D1450" t="str">
            <v>chuỗi</v>
          </cell>
          <cell r="H1450">
            <v>2660</v>
          </cell>
          <cell r="I1450">
            <v>492541.56513157889</v>
          </cell>
        </row>
        <row r="1451">
          <cell r="C1451" t="str">
            <v>Vật liệu</v>
          </cell>
          <cell r="G1451">
            <v>2660</v>
          </cell>
        </row>
        <row r="1452">
          <cell r="B1452">
            <v>9</v>
          </cell>
          <cell r="C1452" t="str">
            <v>+ Giẻ lau</v>
          </cell>
          <cell r="D1452" t="str">
            <v>Kg</v>
          </cell>
          <cell r="E1452">
            <v>0.04</v>
          </cell>
          <cell r="F1452">
            <v>9500</v>
          </cell>
          <cell r="G1452">
            <v>380</v>
          </cell>
        </row>
        <row r="1453">
          <cell r="B1453">
            <v>1</v>
          </cell>
          <cell r="C1453" t="str">
            <v>+ Cồn công nghiệp</v>
          </cell>
          <cell r="D1453" t="str">
            <v>kg</v>
          </cell>
          <cell r="E1453">
            <v>0.24</v>
          </cell>
          <cell r="F1453">
            <v>9500</v>
          </cell>
          <cell r="G1453">
            <v>2280</v>
          </cell>
        </row>
        <row r="1454">
          <cell r="C1454" t="str">
            <v>Nhân công</v>
          </cell>
          <cell r="G1454">
            <v>492541.56513157889</v>
          </cell>
        </row>
        <row r="1455">
          <cell r="B1455" t="str">
            <v>NC1407</v>
          </cell>
          <cell r="C1455" t="str">
            <v>+ Nhân công bậc 4,0/7</v>
          </cell>
          <cell r="D1455" t="str">
            <v>Công</v>
          </cell>
          <cell r="E1455">
            <v>2.5299999999999998</v>
          </cell>
          <cell r="F1455">
            <v>194680.46052631579</v>
          </cell>
          <cell r="G1455">
            <v>492541.56513157889</v>
          </cell>
        </row>
        <row r="1456">
          <cell r="A1456" t="str">
            <v>D3.1486</v>
          </cell>
          <cell r="C1456" t="str">
            <v>Lắp đặt chuỗi sứ đỡ dây dẫn loại =&lt; 18 bát, Chiều cao lắp đặt sứ =&lt; 100m</v>
          </cell>
          <cell r="D1456" t="str">
            <v>chuỗi</v>
          </cell>
          <cell r="H1456">
            <v>2660</v>
          </cell>
          <cell r="I1456">
            <v>566520.14013157901</v>
          </cell>
        </row>
        <row r="1457">
          <cell r="C1457" t="str">
            <v>Vật liệu</v>
          </cell>
          <cell r="G1457">
            <v>2660</v>
          </cell>
        </row>
        <row r="1458">
          <cell r="B1458">
            <v>9</v>
          </cell>
          <cell r="C1458" t="str">
            <v>+ Giẻ lau</v>
          </cell>
          <cell r="D1458" t="str">
            <v>Kg</v>
          </cell>
          <cell r="E1458">
            <v>0.04</v>
          </cell>
          <cell r="F1458">
            <v>9500</v>
          </cell>
          <cell r="G1458">
            <v>380</v>
          </cell>
        </row>
        <row r="1459">
          <cell r="B1459">
            <v>1</v>
          </cell>
          <cell r="C1459" t="str">
            <v>+ Cồn công nghiệp</v>
          </cell>
          <cell r="D1459" t="str">
            <v>kg</v>
          </cell>
          <cell r="E1459">
            <v>0.24</v>
          </cell>
          <cell r="F1459">
            <v>9500</v>
          </cell>
          <cell r="G1459">
            <v>2280</v>
          </cell>
        </row>
        <row r="1460">
          <cell r="C1460" t="str">
            <v>Nhân công</v>
          </cell>
          <cell r="G1460">
            <v>566520.14013157901</v>
          </cell>
        </row>
        <row r="1461">
          <cell r="B1461" t="str">
            <v>NC1407</v>
          </cell>
          <cell r="C1461" t="str">
            <v>+ Nhân công bậc 4,0/7</v>
          </cell>
          <cell r="D1461" t="str">
            <v>Công</v>
          </cell>
          <cell r="E1461">
            <v>2.91</v>
          </cell>
          <cell r="F1461">
            <v>194680.46052631579</v>
          </cell>
          <cell r="G1461">
            <v>566520.14013157901</v>
          </cell>
        </row>
        <row r="1462">
          <cell r="A1462" t="str">
            <v>D3.1417</v>
          </cell>
          <cell r="C1462" t="str">
            <v>Lắp đặt chuỗi sứ đỡ dây dẫn loại  =&lt;21 bát, Chiều cao lắp đặt sứ =&lt; 20m</v>
          </cell>
          <cell r="D1462" t="str">
            <v>chuỗi</v>
          </cell>
          <cell r="H1462">
            <v>3135</v>
          </cell>
          <cell r="I1462">
            <v>319275.9552631579</v>
          </cell>
        </row>
        <row r="1463">
          <cell r="C1463" t="str">
            <v>Vật liệu</v>
          </cell>
          <cell r="G1463">
            <v>3135</v>
          </cell>
        </row>
        <row r="1464">
          <cell r="B1464">
            <v>9</v>
          </cell>
          <cell r="C1464" t="str">
            <v>+ Giẻ lau</v>
          </cell>
          <cell r="D1464" t="str">
            <v>Kg</v>
          </cell>
          <cell r="E1464">
            <v>0.04</v>
          </cell>
          <cell r="F1464">
            <v>9500</v>
          </cell>
          <cell r="G1464">
            <v>380</v>
          </cell>
        </row>
        <row r="1465">
          <cell r="B1465">
            <v>1</v>
          </cell>
          <cell r="C1465" t="str">
            <v>+ Cồn công nghiệp</v>
          </cell>
          <cell r="D1465" t="str">
            <v>kg</v>
          </cell>
          <cell r="E1465">
            <v>0.28999999999999998</v>
          </cell>
          <cell r="F1465">
            <v>9500</v>
          </cell>
          <cell r="G1465">
            <v>2755</v>
          </cell>
        </row>
        <row r="1466">
          <cell r="C1466" t="str">
            <v>Nhân công</v>
          </cell>
          <cell r="G1466">
            <v>319275.9552631579</v>
          </cell>
        </row>
        <row r="1467">
          <cell r="B1467" t="str">
            <v>NC1407</v>
          </cell>
          <cell r="C1467" t="str">
            <v>+ Nhân công bậc 4,0/7</v>
          </cell>
          <cell r="D1467" t="str">
            <v>Công</v>
          </cell>
          <cell r="E1467">
            <v>1.64</v>
          </cell>
          <cell r="F1467">
            <v>194680.46052631579</v>
          </cell>
          <cell r="G1467">
            <v>319275.9552631579</v>
          </cell>
        </row>
        <row r="1468">
          <cell r="A1468" t="str">
            <v>D3.1427</v>
          </cell>
          <cell r="C1468" t="str">
            <v>Lắp đặt chuỗi sứ đỡ dây dẫn loại   =&lt;21 bát, Chiều cao lắp đặt sứ =&lt; 30m</v>
          </cell>
          <cell r="D1468" t="str">
            <v>chuỗi</v>
          </cell>
          <cell r="H1468">
            <v>3135</v>
          </cell>
          <cell r="I1468">
            <v>336797.1967105263</v>
          </cell>
        </row>
        <row r="1469">
          <cell r="C1469" t="str">
            <v>Vật liệu</v>
          </cell>
          <cell r="G1469">
            <v>3135</v>
          </cell>
        </row>
        <row r="1470">
          <cell r="B1470">
            <v>9</v>
          </cell>
          <cell r="C1470" t="str">
            <v>+ Giẻ lau</v>
          </cell>
          <cell r="D1470" t="str">
            <v>Kg</v>
          </cell>
          <cell r="E1470">
            <v>0.04</v>
          </cell>
          <cell r="F1470">
            <v>9500</v>
          </cell>
          <cell r="G1470">
            <v>380</v>
          </cell>
        </row>
        <row r="1471">
          <cell r="B1471">
            <v>1</v>
          </cell>
          <cell r="C1471" t="str">
            <v>+ Cồn công nghiệp</v>
          </cell>
          <cell r="D1471" t="str">
            <v>kg</v>
          </cell>
          <cell r="E1471">
            <v>0.28999999999999998</v>
          </cell>
          <cell r="F1471">
            <v>9500</v>
          </cell>
          <cell r="G1471">
            <v>2755</v>
          </cell>
        </row>
        <row r="1472">
          <cell r="C1472" t="str">
            <v>Nhân công</v>
          </cell>
          <cell r="G1472">
            <v>336797.1967105263</v>
          </cell>
        </row>
        <row r="1473">
          <cell r="B1473" t="str">
            <v>NC1407</v>
          </cell>
          <cell r="C1473" t="str">
            <v>+ Nhân công bậc 4,0/7</v>
          </cell>
          <cell r="D1473" t="str">
            <v>Công</v>
          </cell>
          <cell r="E1473">
            <v>1.73</v>
          </cell>
          <cell r="F1473">
            <v>194680.46052631579</v>
          </cell>
          <cell r="G1473">
            <v>336797.1967105263</v>
          </cell>
        </row>
        <row r="1474">
          <cell r="A1474" t="str">
            <v>D3.1437</v>
          </cell>
          <cell r="C1474" t="str">
            <v>Lắp đặt chuỗi sứ đỡ dây dẫn loại   =&lt;21 bát, Chiều cao lắp đặt sứ =&lt; 40m</v>
          </cell>
          <cell r="D1474" t="str">
            <v>chuỗi</v>
          </cell>
          <cell r="H1474">
            <v>3135</v>
          </cell>
          <cell r="I1474">
            <v>365999.26578947366</v>
          </cell>
        </row>
        <row r="1475">
          <cell r="C1475" t="str">
            <v>Vật liệu</v>
          </cell>
          <cell r="G1475">
            <v>3135</v>
          </cell>
        </row>
        <row r="1476">
          <cell r="B1476">
            <v>9</v>
          </cell>
          <cell r="C1476" t="str">
            <v>+ Giẻ lau</v>
          </cell>
          <cell r="D1476" t="str">
            <v>Kg</v>
          </cell>
          <cell r="E1476">
            <v>0.04</v>
          </cell>
          <cell r="F1476">
            <v>9500</v>
          </cell>
          <cell r="G1476">
            <v>380</v>
          </cell>
        </row>
        <row r="1477">
          <cell r="B1477">
            <v>1</v>
          </cell>
          <cell r="C1477" t="str">
            <v>+ Cồn công nghiệp</v>
          </cell>
          <cell r="D1477" t="str">
            <v>kg</v>
          </cell>
          <cell r="E1477">
            <v>0.28999999999999998</v>
          </cell>
          <cell r="F1477">
            <v>9500</v>
          </cell>
          <cell r="G1477">
            <v>2755</v>
          </cell>
        </row>
        <row r="1478">
          <cell r="C1478" t="str">
            <v>Nhân công</v>
          </cell>
          <cell r="G1478">
            <v>365999.26578947366</v>
          </cell>
        </row>
        <row r="1479">
          <cell r="B1479" t="str">
            <v>NC1407</v>
          </cell>
          <cell r="C1479" t="str">
            <v>+ Nhân công bậc 4,0/7</v>
          </cell>
          <cell r="D1479" t="str">
            <v>Công</v>
          </cell>
          <cell r="E1479">
            <v>1.88</v>
          </cell>
          <cell r="F1479">
            <v>194680.46052631579</v>
          </cell>
          <cell r="G1479">
            <v>365999.26578947366</v>
          </cell>
        </row>
        <row r="1480">
          <cell r="A1480" t="str">
            <v>D3.1447</v>
          </cell>
          <cell r="C1480" t="str">
            <v>Lắp đặt chuỗi sứ đỡ dây dẫn loại   =&lt;21 bát, Chiều cao lắp đặt sứ =&lt; 50m</v>
          </cell>
          <cell r="D1480" t="str">
            <v>chuỗi</v>
          </cell>
          <cell r="H1480">
            <v>3135</v>
          </cell>
          <cell r="I1480">
            <v>420509.7947368421</v>
          </cell>
        </row>
        <row r="1481">
          <cell r="C1481" t="str">
            <v>Vật liệu</v>
          </cell>
          <cell r="G1481">
            <v>3135</v>
          </cell>
        </row>
        <row r="1482">
          <cell r="B1482">
            <v>9</v>
          </cell>
          <cell r="C1482" t="str">
            <v>+ Giẻ lau</v>
          </cell>
          <cell r="D1482" t="str">
            <v>Kg</v>
          </cell>
          <cell r="E1482">
            <v>0.04</v>
          </cell>
          <cell r="F1482">
            <v>9500</v>
          </cell>
          <cell r="G1482">
            <v>380</v>
          </cell>
        </row>
        <row r="1483">
          <cell r="B1483">
            <v>1</v>
          </cell>
          <cell r="C1483" t="str">
            <v>+ Cồn công nghiệp</v>
          </cell>
          <cell r="D1483" t="str">
            <v>kg</v>
          </cell>
          <cell r="E1483">
            <v>0.28999999999999998</v>
          </cell>
          <cell r="F1483">
            <v>9500</v>
          </cell>
          <cell r="G1483">
            <v>2755</v>
          </cell>
        </row>
        <row r="1484">
          <cell r="C1484" t="str">
            <v>Nhân công</v>
          </cell>
          <cell r="G1484">
            <v>420509.7947368421</v>
          </cell>
        </row>
        <row r="1485">
          <cell r="B1485" t="str">
            <v>NC1407</v>
          </cell>
          <cell r="C1485" t="str">
            <v>+ Nhân công bậc 4,0/7</v>
          </cell>
          <cell r="D1485" t="str">
            <v>Công</v>
          </cell>
          <cell r="E1485">
            <v>2.16</v>
          </cell>
          <cell r="F1485">
            <v>194680.46052631579</v>
          </cell>
          <cell r="G1485">
            <v>420509.7947368421</v>
          </cell>
        </row>
        <row r="1486">
          <cell r="A1486" t="str">
            <v>D3.1457</v>
          </cell>
          <cell r="C1486" t="str">
            <v>Lắp đặt chuỗi sứ đỡ dây dẫn loại   =&lt;21 bát, Chiều cao lắp đặt sứ =&lt; 60m</v>
          </cell>
          <cell r="D1486" t="str">
            <v>chuỗi</v>
          </cell>
          <cell r="H1486">
            <v>3135</v>
          </cell>
          <cell r="I1486">
            <v>467233.10526315786</v>
          </cell>
        </row>
        <row r="1487">
          <cell r="C1487" t="str">
            <v>Vật liệu</v>
          </cell>
          <cell r="G1487">
            <v>3135</v>
          </cell>
        </row>
        <row r="1488">
          <cell r="B1488">
            <v>9</v>
          </cell>
          <cell r="C1488" t="str">
            <v>+ Giẻ lau</v>
          </cell>
          <cell r="D1488" t="str">
            <v>Kg</v>
          </cell>
          <cell r="E1488">
            <v>0.04</v>
          </cell>
          <cell r="F1488">
            <v>9500</v>
          </cell>
          <cell r="G1488">
            <v>380</v>
          </cell>
        </row>
        <row r="1489">
          <cell r="B1489">
            <v>1</v>
          </cell>
          <cell r="C1489" t="str">
            <v>+ Cồn công nghiệp</v>
          </cell>
          <cell r="D1489" t="str">
            <v>kg</v>
          </cell>
          <cell r="E1489">
            <v>0.28999999999999998</v>
          </cell>
          <cell r="F1489">
            <v>9500</v>
          </cell>
          <cell r="G1489">
            <v>2755</v>
          </cell>
        </row>
        <row r="1490">
          <cell r="C1490" t="str">
            <v>Nhân công</v>
          </cell>
          <cell r="G1490">
            <v>467233.10526315786</v>
          </cell>
        </row>
        <row r="1491">
          <cell r="B1491" t="str">
            <v>NC1407</v>
          </cell>
          <cell r="C1491" t="str">
            <v>+ Nhân công bậc 4,0/7</v>
          </cell>
          <cell r="D1491" t="str">
            <v>Công</v>
          </cell>
          <cell r="E1491">
            <v>2.4</v>
          </cell>
          <cell r="F1491">
            <v>194680.46052631579</v>
          </cell>
          <cell r="G1491">
            <v>467233.10526315786</v>
          </cell>
        </row>
        <row r="1492">
          <cell r="A1492" t="str">
            <v>D3.1467</v>
          </cell>
          <cell r="C1492" t="str">
            <v>Lắp đặt chuỗi sứ đỡ dây dẫn loại   =&lt;21 bát, Chiều cao lắp đặt sứ =&lt; 70m</v>
          </cell>
          <cell r="D1492" t="str">
            <v>chuỗi</v>
          </cell>
          <cell r="H1492">
            <v>3135</v>
          </cell>
          <cell r="I1492">
            <v>513956.41578947369</v>
          </cell>
        </row>
        <row r="1493">
          <cell r="C1493" t="str">
            <v>Vật liệu</v>
          </cell>
          <cell r="G1493">
            <v>3135</v>
          </cell>
        </row>
        <row r="1494">
          <cell r="B1494">
            <v>9</v>
          </cell>
          <cell r="C1494" t="str">
            <v>+ Giẻ lau</v>
          </cell>
          <cell r="D1494" t="str">
            <v>Kg</v>
          </cell>
          <cell r="E1494">
            <v>0.04</v>
          </cell>
          <cell r="F1494">
            <v>9500</v>
          </cell>
          <cell r="G1494">
            <v>380</v>
          </cell>
        </row>
        <row r="1495">
          <cell r="B1495">
            <v>1</v>
          </cell>
          <cell r="C1495" t="str">
            <v>+ Cồn công nghiệp</v>
          </cell>
          <cell r="D1495" t="str">
            <v>kg</v>
          </cell>
          <cell r="E1495">
            <v>0.28999999999999998</v>
          </cell>
          <cell r="F1495">
            <v>9500</v>
          </cell>
          <cell r="G1495">
            <v>2755</v>
          </cell>
        </row>
        <row r="1496">
          <cell r="C1496" t="str">
            <v>Nhân công</v>
          </cell>
          <cell r="G1496">
            <v>513956.41578947369</v>
          </cell>
        </row>
        <row r="1497">
          <cell r="B1497" t="str">
            <v>NC1407</v>
          </cell>
          <cell r="C1497" t="str">
            <v>+ Nhân công bậc 4,0/7</v>
          </cell>
          <cell r="D1497" t="str">
            <v>Công</v>
          </cell>
          <cell r="E1497">
            <v>2.64</v>
          </cell>
          <cell r="F1497">
            <v>194680.46052631579</v>
          </cell>
          <cell r="G1497">
            <v>513956.41578947369</v>
          </cell>
        </row>
        <row r="1498">
          <cell r="A1498" t="str">
            <v>D3.1477</v>
          </cell>
          <cell r="C1498" t="str">
            <v>Lắp đặt chuỗi sứ đỡ dây dẫn loại   =&lt;21 bát, Chiều cao lắp đặt sứ =&lt; 85m</v>
          </cell>
          <cell r="D1498" t="str">
            <v>chuỗi</v>
          </cell>
          <cell r="H1498">
            <v>3135</v>
          </cell>
          <cell r="I1498">
            <v>591828.6</v>
          </cell>
        </row>
        <row r="1499">
          <cell r="C1499" t="str">
            <v>Vật liệu</v>
          </cell>
          <cell r="G1499">
            <v>3135</v>
          </cell>
        </row>
        <row r="1500">
          <cell r="B1500">
            <v>9</v>
          </cell>
          <cell r="C1500" t="str">
            <v>+ Giẻ lau</v>
          </cell>
          <cell r="D1500" t="str">
            <v>Kg</v>
          </cell>
          <cell r="E1500">
            <v>0.04</v>
          </cell>
          <cell r="F1500">
            <v>9500</v>
          </cell>
          <cell r="G1500">
            <v>380</v>
          </cell>
        </row>
        <row r="1501">
          <cell r="B1501">
            <v>1</v>
          </cell>
          <cell r="C1501" t="str">
            <v>+ Cồn công nghiệp</v>
          </cell>
          <cell r="D1501" t="str">
            <v>kg</v>
          </cell>
          <cell r="E1501">
            <v>0.28999999999999998</v>
          </cell>
          <cell r="F1501">
            <v>9500</v>
          </cell>
          <cell r="G1501">
            <v>2755</v>
          </cell>
        </row>
        <row r="1502">
          <cell r="C1502" t="str">
            <v>Nhân công</v>
          </cell>
          <cell r="G1502">
            <v>591828.6</v>
          </cell>
        </row>
        <row r="1503">
          <cell r="B1503" t="str">
            <v>NC1407</v>
          </cell>
          <cell r="C1503" t="str">
            <v>+ Nhân công bậc 4,0/7</v>
          </cell>
          <cell r="D1503" t="str">
            <v>Công</v>
          </cell>
          <cell r="E1503">
            <v>3.04</v>
          </cell>
          <cell r="F1503">
            <v>194680.46052631579</v>
          </cell>
          <cell r="G1503">
            <v>591828.6</v>
          </cell>
        </row>
        <row r="1504">
          <cell r="A1504" t="str">
            <v>D3.1487</v>
          </cell>
          <cell r="C1504" t="str">
            <v>Lắp đặt chuỗi sứ đỡ dây dẫn loại   =&lt;21 bát, Chiều cao lắp đặt sứ =&lt; 100m</v>
          </cell>
          <cell r="D1504" t="str">
            <v>chuỗi</v>
          </cell>
          <cell r="H1504">
            <v>3135</v>
          </cell>
          <cell r="I1504">
            <v>681381.61184210528</v>
          </cell>
        </row>
        <row r="1505">
          <cell r="C1505" t="str">
            <v>Vật liệu</v>
          </cell>
          <cell r="G1505">
            <v>3135</v>
          </cell>
        </row>
        <row r="1506">
          <cell r="B1506">
            <v>9</v>
          </cell>
          <cell r="C1506" t="str">
            <v>+ Giẻ lau</v>
          </cell>
          <cell r="D1506" t="str">
            <v>Kg</v>
          </cell>
          <cell r="E1506">
            <v>0.04</v>
          </cell>
          <cell r="F1506">
            <v>9500</v>
          </cell>
          <cell r="G1506">
            <v>380</v>
          </cell>
        </row>
        <row r="1507">
          <cell r="B1507">
            <v>1</v>
          </cell>
          <cell r="C1507" t="str">
            <v>+ Cồn công nghiệp</v>
          </cell>
          <cell r="D1507" t="str">
            <v>kg</v>
          </cell>
          <cell r="E1507">
            <v>0.28999999999999998</v>
          </cell>
          <cell r="F1507">
            <v>9500</v>
          </cell>
          <cell r="G1507">
            <v>2755</v>
          </cell>
        </row>
        <row r="1508">
          <cell r="C1508" t="str">
            <v>Nhân công</v>
          </cell>
          <cell r="G1508">
            <v>681381.61184210528</v>
          </cell>
        </row>
        <row r="1509">
          <cell r="B1509" t="str">
            <v>NC1407</v>
          </cell>
          <cell r="C1509" t="str">
            <v>+ Nhân công bậc 4,0/7</v>
          </cell>
          <cell r="D1509" t="str">
            <v>Công</v>
          </cell>
          <cell r="E1509">
            <v>3.5</v>
          </cell>
          <cell r="F1509">
            <v>194680.46052631579</v>
          </cell>
          <cell r="G1509">
            <v>681381.61184210528</v>
          </cell>
        </row>
        <row r="1510">
          <cell r="A1510" t="str">
            <v>D3.1418</v>
          </cell>
          <cell r="C1510" t="str">
            <v>Lắp đặt chuỗi sứ đỡ dây dẫn loại  &gt;21 bát, Chiều cao lắp đặt sứ =&lt; 20m</v>
          </cell>
          <cell r="D1510" t="str">
            <v>chuỗi</v>
          </cell>
          <cell r="H1510">
            <v>3705</v>
          </cell>
          <cell r="I1510">
            <v>383520.50723684207</v>
          </cell>
        </row>
        <row r="1511">
          <cell r="C1511" t="str">
            <v>Vật liệu</v>
          </cell>
          <cell r="G1511">
            <v>3705</v>
          </cell>
        </row>
        <row r="1512">
          <cell r="B1512">
            <v>9</v>
          </cell>
          <cell r="C1512" t="str">
            <v>+ Giẻ lau</v>
          </cell>
          <cell r="D1512" t="str">
            <v>Kg</v>
          </cell>
          <cell r="E1512">
            <v>0.04</v>
          </cell>
          <cell r="F1512">
            <v>9500</v>
          </cell>
          <cell r="G1512">
            <v>380</v>
          </cell>
        </row>
        <row r="1513">
          <cell r="B1513">
            <v>1</v>
          </cell>
          <cell r="C1513" t="str">
            <v>+ Cồn công nghiệp</v>
          </cell>
          <cell r="D1513" t="str">
            <v>kg</v>
          </cell>
          <cell r="E1513">
            <v>0.35</v>
          </cell>
          <cell r="F1513">
            <v>9500</v>
          </cell>
          <cell r="G1513">
            <v>3325</v>
          </cell>
        </row>
        <row r="1514">
          <cell r="C1514" t="str">
            <v>Nhân công</v>
          </cell>
          <cell r="G1514">
            <v>383520.50723684207</v>
          </cell>
        </row>
        <row r="1515">
          <cell r="B1515" t="str">
            <v>NC1407</v>
          </cell>
          <cell r="C1515" t="str">
            <v>+ Nhân công bậc 4,0/7</v>
          </cell>
          <cell r="D1515" t="str">
            <v>Công</v>
          </cell>
          <cell r="E1515">
            <v>1.97</v>
          </cell>
          <cell r="F1515">
            <v>194680.46052631579</v>
          </cell>
          <cell r="G1515">
            <v>383520.50723684207</v>
          </cell>
        </row>
        <row r="1516">
          <cell r="A1516" t="str">
            <v>D3.1428</v>
          </cell>
          <cell r="C1516" t="str">
            <v>Lắp đặt chuỗi sứ đỡ dây dẫn loại   &gt;21 bát, Chiều cao lắp đặt sứ =&lt; 30m</v>
          </cell>
          <cell r="D1516" t="str">
            <v>chuỗi</v>
          </cell>
          <cell r="H1516">
            <v>3705</v>
          </cell>
          <cell r="I1516">
            <v>404935.35789473687</v>
          </cell>
        </row>
        <row r="1517">
          <cell r="C1517" t="str">
            <v>Vật liệu</v>
          </cell>
          <cell r="G1517">
            <v>3705</v>
          </cell>
        </row>
        <row r="1518">
          <cell r="B1518">
            <v>9</v>
          </cell>
          <cell r="C1518" t="str">
            <v>+ Giẻ lau</v>
          </cell>
          <cell r="D1518" t="str">
            <v>Kg</v>
          </cell>
          <cell r="E1518">
            <v>0.04</v>
          </cell>
          <cell r="F1518">
            <v>9500</v>
          </cell>
          <cell r="G1518">
            <v>380</v>
          </cell>
        </row>
        <row r="1519">
          <cell r="B1519">
            <v>1</v>
          </cell>
          <cell r="C1519" t="str">
            <v>+ Cồn công nghiệp</v>
          </cell>
          <cell r="D1519" t="str">
            <v>kg</v>
          </cell>
          <cell r="E1519">
            <v>0.35</v>
          </cell>
          <cell r="F1519">
            <v>9500</v>
          </cell>
          <cell r="G1519">
            <v>3325</v>
          </cell>
        </row>
        <row r="1520">
          <cell r="C1520" t="str">
            <v>Nhân công</v>
          </cell>
          <cell r="G1520">
            <v>404935.35789473687</v>
          </cell>
        </row>
        <row r="1521">
          <cell r="B1521" t="str">
            <v>NC1407</v>
          </cell>
          <cell r="C1521" t="str">
            <v>+ Nhân công bậc 4,0/7</v>
          </cell>
          <cell r="D1521" t="str">
            <v>Công</v>
          </cell>
          <cell r="E1521">
            <v>2.08</v>
          </cell>
          <cell r="F1521">
            <v>194680.46052631579</v>
          </cell>
          <cell r="G1521">
            <v>404935.35789473687</v>
          </cell>
        </row>
        <row r="1522">
          <cell r="A1522" t="str">
            <v>D3.1438</v>
          </cell>
          <cell r="C1522" t="str">
            <v>Lắp đặt chuỗi sứ đỡ dây dẫn loại   &gt;21 bát, Chiều cao lắp đặt sứ =&lt; 40m</v>
          </cell>
          <cell r="D1522" t="str">
            <v>chuỗi</v>
          </cell>
          <cell r="H1522">
            <v>3705</v>
          </cell>
          <cell r="I1522">
            <v>439977.84078947362</v>
          </cell>
        </row>
        <row r="1523">
          <cell r="C1523" t="str">
            <v>Vật liệu</v>
          </cell>
          <cell r="G1523">
            <v>3705</v>
          </cell>
        </row>
        <row r="1524">
          <cell r="B1524">
            <v>9</v>
          </cell>
          <cell r="C1524" t="str">
            <v>+ Giẻ lau</v>
          </cell>
          <cell r="D1524" t="str">
            <v>Kg</v>
          </cell>
          <cell r="E1524">
            <v>0.04</v>
          </cell>
          <cell r="F1524">
            <v>9500</v>
          </cell>
          <cell r="G1524">
            <v>380</v>
          </cell>
        </row>
        <row r="1525">
          <cell r="B1525">
            <v>1</v>
          </cell>
          <cell r="C1525" t="str">
            <v>+ Cồn công nghiệp</v>
          </cell>
          <cell r="D1525" t="str">
            <v>kg</v>
          </cell>
          <cell r="E1525">
            <v>0.35</v>
          </cell>
          <cell r="F1525">
            <v>9500</v>
          </cell>
          <cell r="G1525">
            <v>3325</v>
          </cell>
        </row>
        <row r="1526">
          <cell r="C1526" t="str">
            <v>Nhân công</v>
          </cell>
          <cell r="G1526">
            <v>439977.84078947362</v>
          </cell>
        </row>
        <row r="1527">
          <cell r="B1527" t="str">
            <v>NC1407</v>
          </cell>
          <cell r="C1527" t="str">
            <v>+ Nhân công bậc 4,0/7</v>
          </cell>
          <cell r="D1527" t="str">
            <v>Công</v>
          </cell>
          <cell r="E1527">
            <v>2.2599999999999998</v>
          </cell>
          <cell r="F1527">
            <v>194680.46052631579</v>
          </cell>
          <cell r="G1527">
            <v>439977.84078947362</v>
          </cell>
        </row>
        <row r="1528">
          <cell r="A1528" t="str">
            <v>D3.1448</v>
          </cell>
          <cell r="C1528" t="str">
            <v>Lắp đặt chuỗi sứ đỡ dây dẫn loại   &gt;21 bát, Chiều cao lắp đặt sứ =&lt; 50m</v>
          </cell>
          <cell r="D1528" t="str">
            <v>chuỗi</v>
          </cell>
          <cell r="H1528">
            <v>3705</v>
          </cell>
          <cell r="I1528">
            <v>504222.39276315784</v>
          </cell>
        </row>
        <row r="1529">
          <cell r="C1529" t="str">
            <v>Vật liệu</v>
          </cell>
          <cell r="G1529">
            <v>3705</v>
          </cell>
        </row>
        <row r="1530">
          <cell r="B1530">
            <v>9</v>
          </cell>
          <cell r="C1530" t="str">
            <v>+ Giẻ lau</v>
          </cell>
          <cell r="D1530" t="str">
            <v>Kg</v>
          </cell>
          <cell r="E1530">
            <v>0.04</v>
          </cell>
          <cell r="F1530">
            <v>9500</v>
          </cell>
          <cell r="G1530">
            <v>380</v>
          </cell>
        </row>
        <row r="1531">
          <cell r="B1531">
            <v>1</v>
          </cell>
          <cell r="C1531" t="str">
            <v>+ Cồn công nghiệp</v>
          </cell>
          <cell r="D1531" t="str">
            <v>kg</v>
          </cell>
          <cell r="E1531">
            <v>0.35</v>
          </cell>
          <cell r="F1531">
            <v>9500</v>
          </cell>
          <cell r="G1531">
            <v>3325</v>
          </cell>
        </row>
        <row r="1532">
          <cell r="C1532" t="str">
            <v>Nhân công</v>
          </cell>
          <cell r="G1532">
            <v>504222.39276315784</v>
          </cell>
        </row>
        <row r="1533">
          <cell r="B1533" t="str">
            <v>NC1407</v>
          </cell>
          <cell r="C1533" t="str">
            <v>+ Nhân công bậc 4,0/7</v>
          </cell>
          <cell r="D1533" t="str">
            <v>Công</v>
          </cell>
          <cell r="E1533">
            <v>2.59</v>
          </cell>
          <cell r="F1533">
            <v>194680.46052631579</v>
          </cell>
          <cell r="G1533">
            <v>504222.39276315784</v>
          </cell>
        </row>
        <row r="1534">
          <cell r="A1534" t="str">
            <v>D3.1458</v>
          </cell>
          <cell r="C1534" t="str">
            <v>Lắp đặt chuỗi sứ đỡ dây dẫn loại  &gt;21 bát, Chiều cao lắp đặt sứ =&lt; 60m</v>
          </cell>
          <cell r="D1534" t="str">
            <v>chuỗi</v>
          </cell>
          <cell r="H1534">
            <v>3705</v>
          </cell>
          <cell r="I1534">
            <v>560679.72631578939</v>
          </cell>
        </row>
        <row r="1535">
          <cell r="C1535" t="str">
            <v>Vật liệu</v>
          </cell>
          <cell r="G1535">
            <v>3705</v>
          </cell>
        </row>
        <row r="1536">
          <cell r="B1536">
            <v>9</v>
          </cell>
          <cell r="C1536" t="str">
            <v>+ Giẻ lau</v>
          </cell>
          <cell r="D1536" t="str">
            <v>Kg</v>
          </cell>
          <cell r="E1536">
            <v>0.04</v>
          </cell>
          <cell r="F1536">
            <v>9500</v>
          </cell>
          <cell r="G1536">
            <v>380</v>
          </cell>
        </row>
        <row r="1537">
          <cell r="B1537">
            <v>1</v>
          </cell>
          <cell r="C1537" t="str">
            <v>+ Cồn công nghiệp</v>
          </cell>
          <cell r="D1537" t="str">
            <v>kg</v>
          </cell>
          <cell r="E1537">
            <v>0.35</v>
          </cell>
          <cell r="F1537">
            <v>9500</v>
          </cell>
          <cell r="G1537">
            <v>3325</v>
          </cell>
        </row>
        <row r="1538">
          <cell r="C1538" t="str">
            <v>Nhân công</v>
          </cell>
          <cell r="G1538">
            <v>560679.72631578939</v>
          </cell>
        </row>
        <row r="1539">
          <cell r="B1539" t="str">
            <v>NC1407</v>
          </cell>
          <cell r="C1539" t="str">
            <v>+ Nhân công bậc 4,0/7</v>
          </cell>
          <cell r="D1539" t="str">
            <v>Công</v>
          </cell>
          <cell r="E1539">
            <v>2.88</v>
          </cell>
          <cell r="F1539">
            <v>194680.46052631579</v>
          </cell>
          <cell r="G1539">
            <v>560679.72631578939</v>
          </cell>
        </row>
        <row r="1540">
          <cell r="A1540" t="str">
            <v>D3.1468</v>
          </cell>
          <cell r="C1540" t="str">
            <v>Lắp đặt chuỗi sứ đỡ dây dẫn loại   &gt;21 bát, Chiều cao lắp đặt sứ =&lt; 70m</v>
          </cell>
          <cell r="D1540" t="str">
            <v>chuỗi</v>
          </cell>
          <cell r="H1540">
            <v>3705</v>
          </cell>
          <cell r="I1540">
            <v>617137.05986842106</v>
          </cell>
        </row>
        <row r="1541">
          <cell r="C1541" t="str">
            <v>Vật liệu</v>
          </cell>
          <cell r="G1541">
            <v>3705</v>
          </cell>
        </row>
        <row r="1542">
          <cell r="B1542">
            <v>9</v>
          </cell>
          <cell r="C1542" t="str">
            <v>+ Giẻ lau</v>
          </cell>
          <cell r="D1542" t="str">
            <v>Kg</v>
          </cell>
          <cell r="E1542">
            <v>0.04</v>
          </cell>
          <cell r="F1542">
            <v>9500</v>
          </cell>
          <cell r="G1542">
            <v>380</v>
          </cell>
        </row>
        <row r="1543">
          <cell r="B1543">
            <v>1</v>
          </cell>
          <cell r="C1543" t="str">
            <v>+ Cồn công nghiệp</v>
          </cell>
          <cell r="D1543" t="str">
            <v>kg</v>
          </cell>
          <cell r="E1543">
            <v>0.35</v>
          </cell>
          <cell r="F1543">
            <v>9500</v>
          </cell>
          <cell r="G1543">
            <v>3325</v>
          </cell>
        </row>
        <row r="1544">
          <cell r="C1544" t="str">
            <v>Nhân công</v>
          </cell>
          <cell r="G1544">
            <v>617137.05986842106</v>
          </cell>
        </row>
        <row r="1545">
          <cell r="B1545" t="str">
            <v>NC1407</v>
          </cell>
          <cell r="C1545" t="str">
            <v>+ Nhân công bậc 4,0/7</v>
          </cell>
          <cell r="D1545" t="str">
            <v>Công</v>
          </cell>
          <cell r="E1545">
            <v>3.17</v>
          </cell>
          <cell r="F1545">
            <v>194680.46052631579</v>
          </cell>
          <cell r="G1545">
            <v>617137.05986842106</v>
          </cell>
        </row>
        <row r="1546">
          <cell r="A1546" t="str">
            <v>D3.1478</v>
          </cell>
          <cell r="C1546" t="str">
            <v>Lắp đặt chuỗi sứ đỡ dây dẫn loại   &gt;21 bát, Chiều cao lắp đặt sứ =&lt; 85m</v>
          </cell>
          <cell r="D1546" t="str">
            <v>chuỗi</v>
          </cell>
          <cell r="H1546">
            <v>3705</v>
          </cell>
          <cell r="I1546">
            <v>710583.68092105258</v>
          </cell>
        </row>
        <row r="1547">
          <cell r="C1547" t="str">
            <v>Vật liệu</v>
          </cell>
          <cell r="G1547">
            <v>3705</v>
          </cell>
        </row>
        <row r="1548">
          <cell r="B1548">
            <v>9</v>
          </cell>
          <cell r="C1548" t="str">
            <v>+ Giẻ lau</v>
          </cell>
          <cell r="D1548" t="str">
            <v>Kg</v>
          </cell>
          <cell r="E1548">
            <v>0.04</v>
          </cell>
          <cell r="F1548">
            <v>9500</v>
          </cell>
          <cell r="G1548">
            <v>380</v>
          </cell>
        </row>
        <row r="1549">
          <cell r="B1549">
            <v>1</v>
          </cell>
          <cell r="C1549" t="str">
            <v>+ Cồn công nghiệp</v>
          </cell>
          <cell r="D1549" t="str">
            <v>kg</v>
          </cell>
          <cell r="E1549">
            <v>0.35</v>
          </cell>
          <cell r="F1549">
            <v>9500</v>
          </cell>
          <cell r="G1549">
            <v>3325</v>
          </cell>
        </row>
        <row r="1550">
          <cell r="C1550" t="str">
            <v>Nhân công</v>
          </cell>
          <cell r="G1550">
            <v>710583.68092105258</v>
          </cell>
        </row>
        <row r="1551">
          <cell r="B1551" t="str">
            <v>NC1407</v>
          </cell>
          <cell r="C1551" t="str">
            <v>+ Nhân công bậc 4,0/7</v>
          </cell>
          <cell r="D1551" t="str">
            <v>Công</v>
          </cell>
          <cell r="E1551">
            <v>3.65</v>
          </cell>
          <cell r="F1551">
            <v>194680.46052631579</v>
          </cell>
          <cell r="G1551">
            <v>710583.68092105258</v>
          </cell>
        </row>
        <row r="1552">
          <cell r="A1552" t="str">
            <v>D3.1488</v>
          </cell>
          <cell r="C1552" t="str">
            <v>Lắp đặt chuỗi sứ đỡ dây dẫn loại   &gt;21 bát, Chiều cao lắp đặt sứ =&lt; 100m</v>
          </cell>
          <cell r="D1552" t="str">
            <v>chuỗi</v>
          </cell>
          <cell r="H1552">
            <v>3705</v>
          </cell>
          <cell r="I1552">
            <v>817657.93421052629</v>
          </cell>
        </row>
        <row r="1553">
          <cell r="C1553" t="str">
            <v>Vật liệu</v>
          </cell>
          <cell r="G1553">
            <v>3705</v>
          </cell>
        </row>
        <row r="1554">
          <cell r="B1554">
            <v>9</v>
          </cell>
          <cell r="C1554" t="str">
            <v>+ Giẻ lau</v>
          </cell>
          <cell r="D1554" t="str">
            <v>Kg</v>
          </cell>
          <cell r="E1554">
            <v>0.04</v>
          </cell>
          <cell r="F1554">
            <v>9500</v>
          </cell>
          <cell r="G1554">
            <v>380</v>
          </cell>
        </row>
        <row r="1555">
          <cell r="B1555">
            <v>1</v>
          </cell>
          <cell r="C1555" t="str">
            <v>+ Cồn công nghiệp</v>
          </cell>
          <cell r="D1555" t="str">
            <v>kg</v>
          </cell>
          <cell r="E1555">
            <v>0.35</v>
          </cell>
          <cell r="F1555">
            <v>9500</v>
          </cell>
          <cell r="G1555">
            <v>3325</v>
          </cell>
        </row>
        <row r="1556">
          <cell r="C1556" t="str">
            <v>Nhân công</v>
          </cell>
          <cell r="G1556">
            <v>817657.93421052629</v>
          </cell>
        </row>
        <row r="1557">
          <cell r="B1557" t="str">
            <v>NC1407</v>
          </cell>
          <cell r="C1557" t="str">
            <v>+ Nhân công bậc 4,0/7</v>
          </cell>
          <cell r="D1557" t="str">
            <v>Công</v>
          </cell>
          <cell r="E1557">
            <v>4.2</v>
          </cell>
          <cell r="F1557">
            <v>194680.46052631579</v>
          </cell>
          <cell r="G1557">
            <v>817657.93421052629</v>
          </cell>
        </row>
        <row r="1558">
          <cell r="A1558" t="str">
            <v>D3.1511</v>
          </cell>
          <cell r="C1558" t="str">
            <v>Lắp đặt sứ chuỗi sứ đỡ kép cho dây dẫn, chuỗi =&lt; 2x8 bát, Chiều cao lắp đặt sứ =&lt; 20m</v>
          </cell>
          <cell r="D1558" t="str">
            <v>chuỗi</v>
          </cell>
          <cell r="H1558">
            <v>2565</v>
          </cell>
          <cell r="I1558">
            <v>247244.18486842106</v>
          </cell>
        </row>
        <row r="1559">
          <cell r="C1559" t="str">
            <v>Vật liệu</v>
          </cell>
          <cell r="G1559">
            <v>2565</v>
          </cell>
        </row>
        <row r="1560">
          <cell r="B1560">
            <v>9</v>
          </cell>
          <cell r="C1560" t="str">
            <v>+ Giẻ lau</v>
          </cell>
          <cell r="D1560" t="str">
            <v>Kg</v>
          </cell>
          <cell r="E1560">
            <v>5.3999999999999999E-2</v>
          </cell>
          <cell r="F1560">
            <v>9500</v>
          </cell>
          <cell r="G1560">
            <v>513</v>
          </cell>
        </row>
        <row r="1561">
          <cell r="B1561">
            <v>1</v>
          </cell>
          <cell r="C1561" t="str">
            <v>+ Cồn công nghiệp</v>
          </cell>
          <cell r="D1561" t="str">
            <v>kg</v>
          </cell>
          <cell r="E1561">
            <v>0.216</v>
          </cell>
          <cell r="F1561">
            <v>9500</v>
          </cell>
          <cell r="G1561">
            <v>2052</v>
          </cell>
        </row>
        <row r="1562">
          <cell r="C1562" t="str">
            <v>Nhân công</v>
          </cell>
          <cell r="G1562">
            <v>247244.18486842106</v>
          </cell>
        </row>
        <row r="1563">
          <cell r="B1563" t="str">
            <v>NC1407</v>
          </cell>
          <cell r="C1563" t="str">
            <v>+ Nhân công bậc 4,0/7</v>
          </cell>
          <cell r="D1563" t="str">
            <v>Công</v>
          </cell>
          <cell r="E1563">
            <v>1.27</v>
          </cell>
          <cell r="F1563">
            <v>194680.46052631579</v>
          </cell>
          <cell r="G1563">
            <v>247244.18486842106</v>
          </cell>
        </row>
        <row r="1564">
          <cell r="A1564" t="str">
            <v>D3.1521</v>
          </cell>
          <cell r="C1564" t="str">
            <v>Lắp đặt sứ chuỗi sứ đỡ kép cho dây dẫn, chuỗi =&lt; 2x8 bát, Chiều cao lắp đặt sứ =&lt; 30m</v>
          </cell>
          <cell r="D1564" t="str">
            <v>chuỗi</v>
          </cell>
          <cell r="H1564">
            <v>2565</v>
          </cell>
          <cell r="I1564">
            <v>258925.01250000001</v>
          </cell>
        </row>
        <row r="1565">
          <cell r="C1565" t="str">
            <v>Vật liệu</v>
          </cell>
          <cell r="G1565">
            <v>2565</v>
          </cell>
        </row>
        <row r="1566">
          <cell r="B1566">
            <v>9</v>
          </cell>
          <cell r="C1566" t="str">
            <v>+ Giẻ lau</v>
          </cell>
          <cell r="D1566" t="str">
            <v>Kg</v>
          </cell>
          <cell r="E1566">
            <v>5.3999999999999999E-2</v>
          </cell>
          <cell r="F1566">
            <v>9500</v>
          </cell>
          <cell r="G1566">
            <v>513</v>
          </cell>
        </row>
        <row r="1567">
          <cell r="B1567">
            <v>1</v>
          </cell>
          <cell r="C1567" t="str">
            <v>+ Cồn công nghiệp</v>
          </cell>
          <cell r="D1567" t="str">
            <v>kg</v>
          </cell>
          <cell r="E1567">
            <v>0.216</v>
          </cell>
          <cell r="F1567">
            <v>9500</v>
          </cell>
          <cell r="G1567">
            <v>2052</v>
          </cell>
        </row>
        <row r="1568">
          <cell r="C1568" t="str">
            <v>Nhân công</v>
          </cell>
          <cell r="G1568">
            <v>258925.01250000001</v>
          </cell>
        </row>
        <row r="1569">
          <cell r="B1569" t="str">
            <v>NC1407</v>
          </cell>
          <cell r="C1569" t="str">
            <v>+ Nhân công bậc 4,0/7</v>
          </cell>
          <cell r="D1569" t="str">
            <v>Công</v>
          </cell>
          <cell r="E1569">
            <v>1.33</v>
          </cell>
          <cell r="F1569">
            <v>194680.46052631579</v>
          </cell>
          <cell r="G1569">
            <v>258925.01250000001</v>
          </cell>
        </row>
        <row r="1570">
          <cell r="A1570" t="str">
            <v>D3.1531</v>
          </cell>
          <cell r="C1570" t="str">
            <v>Lắp đặt sứ chuỗi sứ đỡ kép cho dây dẫn, chuỗi =&lt; 2x8 bát, Chiều cao lắp đặt sứ =&lt; 40m</v>
          </cell>
          <cell r="D1570" t="str">
            <v>chuỗi</v>
          </cell>
          <cell r="H1570">
            <v>2565</v>
          </cell>
          <cell r="I1570">
            <v>282286.66776315786</v>
          </cell>
        </row>
        <row r="1571">
          <cell r="C1571" t="str">
            <v>Vật liệu</v>
          </cell>
          <cell r="G1571">
            <v>2565</v>
          </cell>
        </row>
        <row r="1572">
          <cell r="B1572">
            <v>9</v>
          </cell>
          <cell r="C1572" t="str">
            <v>+ Giẻ lau</v>
          </cell>
          <cell r="D1572" t="str">
            <v>Kg</v>
          </cell>
          <cell r="E1572">
            <v>5.3999999999999999E-2</v>
          </cell>
          <cell r="F1572">
            <v>9500</v>
          </cell>
          <cell r="G1572">
            <v>513</v>
          </cell>
        </row>
        <row r="1573">
          <cell r="B1573">
            <v>1</v>
          </cell>
          <cell r="C1573" t="str">
            <v>+ Cồn công nghiệp</v>
          </cell>
          <cell r="D1573" t="str">
            <v>kg</v>
          </cell>
          <cell r="E1573">
            <v>0.216</v>
          </cell>
          <cell r="F1573">
            <v>9500</v>
          </cell>
          <cell r="G1573">
            <v>2052</v>
          </cell>
        </row>
        <row r="1574">
          <cell r="C1574" t="str">
            <v>Nhân công</v>
          </cell>
          <cell r="G1574">
            <v>282286.66776315786</v>
          </cell>
        </row>
        <row r="1575">
          <cell r="B1575" t="str">
            <v>NC1407</v>
          </cell>
          <cell r="C1575" t="str">
            <v>+ Nhân công bậc 4,0/7</v>
          </cell>
          <cell r="D1575" t="str">
            <v>Công</v>
          </cell>
          <cell r="E1575">
            <v>1.45</v>
          </cell>
          <cell r="F1575">
            <v>194680.46052631579</v>
          </cell>
          <cell r="G1575">
            <v>282286.66776315786</v>
          </cell>
        </row>
        <row r="1576">
          <cell r="A1576" t="str">
            <v>D3.1541</v>
          </cell>
          <cell r="C1576" t="str">
            <v>Lắp đặt sứ chuỗi sứ đỡ kép cho dây dẫn, chuỗi =&lt; 2x8 bát, Chiều cao lắp đặt sứ =&lt; 50m</v>
          </cell>
          <cell r="D1576" t="str">
            <v>chuỗi</v>
          </cell>
          <cell r="H1576">
            <v>2565</v>
          </cell>
          <cell r="I1576">
            <v>327063.17368421052</v>
          </cell>
        </row>
        <row r="1577">
          <cell r="C1577" t="str">
            <v>Vật liệu</v>
          </cell>
          <cell r="G1577">
            <v>2565</v>
          </cell>
        </row>
        <row r="1578">
          <cell r="B1578">
            <v>9</v>
          </cell>
          <cell r="C1578" t="str">
            <v>+ Giẻ lau</v>
          </cell>
          <cell r="D1578" t="str">
            <v>Kg</v>
          </cell>
          <cell r="E1578">
            <v>5.3999999999999999E-2</v>
          </cell>
          <cell r="F1578">
            <v>9500</v>
          </cell>
          <cell r="G1578">
            <v>513</v>
          </cell>
        </row>
        <row r="1579">
          <cell r="B1579">
            <v>1</v>
          </cell>
          <cell r="C1579" t="str">
            <v>+ Cồn công nghiệp</v>
          </cell>
          <cell r="D1579" t="str">
            <v>kg</v>
          </cell>
          <cell r="E1579">
            <v>0.216</v>
          </cell>
          <cell r="F1579">
            <v>9500</v>
          </cell>
          <cell r="G1579">
            <v>2052</v>
          </cell>
        </row>
        <row r="1580">
          <cell r="C1580" t="str">
            <v>Nhân công</v>
          </cell>
          <cell r="G1580">
            <v>327063.17368421052</v>
          </cell>
        </row>
        <row r="1581">
          <cell r="B1581" t="str">
            <v>NC1407</v>
          </cell>
          <cell r="C1581" t="str">
            <v>+ Nhân công bậc 4,0/7</v>
          </cell>
          <cell r="D1581" t="str">
            <v>Công</v>
          </cell>
          <cell r="E1581">
            <v>1.68</v>
          </cell>
          <cell r="F1581">
            <v>194680.46052631579</v>
          </cell>
          <cell r="G1581">
            <v>327063.17368421052</v>
          </cell>
        </row>
        <row r="1582">
          <cell r="A1582" t="str">
            <v>D3.1551</v>
          </cell>
          <cell r="C1582" t="str">
            <v>Lắp đặt sứ chuỗi sứ đỡ kép cho dây dẫn, chuỗi =&lt; 2x8 bát, Chiều cao lắp đặt sứ =&lt; 60m</v>
          </cell>
          <cell r="D1582" t="str">
            <v>chuỗi</v>
          </cell>
          <cell r="H1582">
            <v>2565</v>
          </cell>
          <cell r="I1582">
            <v>358212.04736842104</v>
          </cell>
        </row>
        <row r="1583">
          <cell r="C1583" t="str">
            <v>Vật liệu</v>
          </cell>
          <cell r="G1583">
            <v>2565</v>
          </cell>
        </row>
        <row r="1584">
          <cell r="B1584">
            <v>9</v>
          </cell>
          <cell r="C1584" t="str">
            <v>+ Giẻ lau</v>
          </cell>
          <cell r="D1584" t="str">
            <v>Kg</v>
          </cell>
          <cell r="E1584">
            <v>5.3999999999999999E-2</v>
          </cell>
          <cell r="F1584">
            <v>9500</v>
          </cell>
          <cell r="G1584">
            <v>513</v>
          </cell>
        </row>
        <row r="1585">
          <cell r="B1585">
            <v>1</v>
          </cell>
          <cell r="C1585" t="str">
            <v>+ Cồn công nghiệp</v>
          </cell>
          <cell r="D1585" t="str">
            <v>kg</v>
          </cell>
          <cell r="E1585">
            <v>0.216</v>
          </cell>
          <cell r="F1585">
            <v>9500</v>
          </cell>
          <cell r="G1585">
            <v>2052</v>
          </cell>
        </row>
        <row r="1586">
          <cell r="C1586" t="str">
            <v>Nhân công</v>
          </cell>
          <cell r="G1586">
            <v>358212.04736842104</v>
          </cell>
        </row>
        <row r="1587">
          <cell r="B1587" t="str">
            <v>NC1407</v>
          </cell>
          <cell r="C1587" t="str">
            <v>+ Nhân công bậc 4,0/7</v>
          </cell>
          <cell r="D1587" t="str">
            <v>Công</v>
          </cell>
          <cell r="E1587">
            <v>1.84</v>
          </cell>
          <cell r="F1587">
            <v>194680.46052631579</v>
          </cell>
          <cell r="G1587">
            <v>358212.04736842104</v>
          </cell>
        </row>
        <row r="1588">
          <cell r="A1588" t="str">
            <v>D3.1561</v>
          </cell>
          <cell r="C1588" t="str">
            <v>Lắp đặt sứ chuỗi sứ đỡ kép cho dây dẫn, chuỗi =&lt; 2x8 bát, Chiều cao lắp đặt sứ =&lt; 70m</v>
          </cell>
          <cell r="D1588" t="str">
            <v>chuỗi</v>
          </cell>
          <cell r="H1588">
            <v>2565</v>
          </cell>
          <cell r="I1588">
            <v>393254.53026315791</v>
          </cell>
        </row>
        <row r="1589">
          <cell r="C1589" t="str">
            <v>Vật liệu</v>
          </cell>
          <cell r="G1589">
            <v>2565</v>
          </cell>
        </row>
        <row r="1590">
          <cell r="B1590">
            <v>9</v>
          </cell>
          <cell r="C1590" t="str">
            <v>+ Giẻ lau</v>
          </cell>
          <cell r="D1590" t="str">
            <v>Kg</v>
          </cell>
          <cell r="E1590">
            <v>5.3999999999999999E-2</v>
          </cell>
          <cell r="F1590">
            <v>9500</v>
          </cell>
          <cell r="G1590">
            <v>513</v>
          </cell>
        </row>
        <row r="1591">
          <cell r="B1591">
            <v>1</v>
          </cell>
          <cell r="C1591" t="str">
            <v>+ Cồn công nghiệp</v>
          </cell>
          <cell r="D1591" t="str">
            <v>kg</v>
          </cell>
          <cell r="E1591">
            <v>0.216</v>
          </cell>
          <cell r="F1591">
            <v>9500</v>
          </cell>
          <cell r="G1591">
            <v>2052</v>
          </cell>
        </row>
        <row r="1592">
          <cell r="C1592" t="str">
            <v>Nhân công</v>
          </cell>
          <cell r="G1592">
            <v>393254.53026315791</v>
          </cell>
        </row>
        <row r="1593">
          <cell r="B1593" t="str">
            <v>NC1407</v>
          </cell>
          <cell r="C1593" t="str">
            <v>+ Nhân công bậc 4,0/7</v>
          </cell>
          <cell r="D1593" t="str">
            <v>Công</v>
          </cell>
          <cell r="E1593">
            <v>2.02</v>
          </cell>
          <cell r="F1593">
            <v>194680.46052631579</v>
          </cell>
          <cell r="G1593">
            <v>393254.53026315791</v>
          </cell>
        </row>
        <row r="1594">
          <cell r="A1594" t="str">
            <v>D3.1571</v>
          </cell>
          <cell r="C1594" t="str">
            <v>Lắp đặt sứ chuỗi sứ đỡ kép cho dây dẫn, chuỗi =&lt; 2x8 bát, Chiều cao lắp đặt sứ =&lt; 85m</v>
          </cell>
          <cell r="D1594" t="str">
            <v>chuỗi</v>
          </cell>
          <cell r="H1594">
            <v>2565</v>
          </cell>
          <cell r="I1594">
            <v>451658.66842105257</v>
          </cell>
        </row>
        <row r="1595">
          <cell r="C1595" t="str">
            <v>Vật liệu</v>
          </cell>
          <cell r="G1595">
            <v>2565</v>
          </cell>
        </row>
        <row r="1596">
          <cell r="B1596">
            <v>9</v>
          </cell>
          <cell r="C1596" t="str">
            <v>+ Giẻ lau</v>
          </cell>
          <cell r="D1596" t="str">
            <v>Kg</v>
          </cell>
          <cell r="E1596">
            <v>5.3999999999999999E-2</v>
          </cell>
          <cell r="F1596">
            <v>9500</v>
          </cell>
          <cell r="G1596">
            <v>513</v>
          </cell>
        </row>
        <row r="1597">
          <cell r="B1597">
            <v>1</v>
          </cell>
          <cell r="C1597" t="str">
            <v>+ Cồn công nghiệp</v>
          </cell>
          <cell r="D1597" t="str">
            <v>kg</v>
          </cell>
          <cell r="E1597">
            <v>0.216</v>
          </cell>
          <cell r="F1597">
            <v>9500</v>
          </cell>
          <cell r="G1597">
            <v>2052</v>
          </cell>
        </row>
        <row r="1598">
          <cell r="C1598" t="str">
            <v>Nhân công</v>
          </cell>
          <cell r="G1598">
            <v>451658.66842105257</v>
          </cell>
        </row>
        <row r="1599">
          <cell r="B1599" t="str">
            <v>NC1407</v>
          </cell>
          <cell r="C1599" t="str">
            <v>+ Nhân công bậc 4,0/7</v>
          </cell>
          <cell r="D1599" t="str">
            <v>Công</v>
          </cell>
          <cell r="E1599">
            <v>2.3199999999999998</v>
          </cell>
          <cell r="F1599">
            <v>194680.46052631579</v>
          </cell>
          <cell r="G1599">
            <v>451658.66842105257</v>
          </cell>
        </row>
        <row r="1600">
          <cell r="A1600" t="str">
            <v>D3.1581</v>
          </cell>
          <cell r="C1600" t="str">
            <v>Lắp đặt sứ chuỗi sứ đỡ kép cho dây dẫn, chuỗi =&lt; 2x8 bát, Chiều cao lắp đặt sứ =&lt; 100m</v>
          </cell>
          <cell r="D1600" t="str">
            <v>chuỗi</v>
          </cell>
          <cell r="H1600">
            <v>2565</v>
          </cell>
          <cell r="I1600">
            <v>519796.82960526313</v>
          </cell>
        </row>
        <row r="1601">
          <cell r="C1601" t="str">
            <v>Vật liệu</v>
          </cell>
          <cell r="G1601">
            <v>2565</v>
          </cell>
        </row>
        <row r="1602">
          <cell r="B1602">
            <v>9</v>
          </cell>
          <cell r="C1602" t="str">
            <v>+ Giẻ lau</v>
          </cell>
          <cell r="D1602" t="str">
            <v>Kg</v>
          </cell>
          <cell r="E1602">
            <v>5.3999999999999999E-2</v>
          </cell>
          <cell r="F1602">
            <v>9500</v>
          </cell>
          <cell r="G1602">
            <v>513</v>
          </cell>
        </row>
        <row r="1603">
          <cell r="B1603">
            <v>1</v>
          </cell>
          <cell r="C1603" t="str">
            <v>+ Cồn công nghiệp</v>
          </cell>
          <cell r="D1603" t="str">
            <v>kg</v>
          </cell>
          <cell r="E1603">
            <v>0.216</v>
          </cell>
          <cell r="F1603">
            <v>9500</v>
          </cell>
          <cell r="G1603">
            <v>2052</v>
          </cell>
        </row>
        <row r="1604">
          <cell r="C1604" t="str">
            <v>Nhân công</v>
          </cell>
          <cell r="G1604">
            <v>519796.82960526313</v>
          </cell>
        </row>
        <row r="1605">
          <cell r="B1605" t="str">
            <v>NC1407</v>
          </cell>
          <cell r="C1605" t="str">
            <v>+ Nhân công bậc 4,0/7</v>
          </cell>
          <cell r="D1605" t="str">
            <v>Công</v>
          </cell>
          <cell r="E1605">
            <v>2.67</v>
          </cell>
          <cell r="F1605">
            <v>194680.46052631579</v>
          </cell>
          <cell r="G1605">
            <v>519796.82960526313</v>
          </cell>
        </row>
        <row r="1606">
          <cell r="A1606" t="str">
            <v>D3.1512</v>
          </cell>
          <cell r="C1606" t="str">
            <v>Lắp đặt sứ chuỗi sứ đỡ kép cho dây dẫn, chuỗi =&lt; 2x11 bát, Chiều cao lắp đặt sứ =&lt; 20m</v>
          </cell>
          <cell r="D1606" t="str">
            <v>chuỗi</v>
          </cell>
          <cell r="H1606">
            <v>3334.5</v>
          </cell>
          <cell r="I1606">
            <v>346531.21973684209</v>
          </cell>
        </row>
        <row r="1607">
          <cell r="C1607" t="str">
            <v>Vật liệu</v>
          </cell>
          <cell r="G1607">
            <v>3334.5</v>
          </cell>
        </row>
        <row r="1608">
          <cell r="B1608">
            <v>9</v>
          </cell>
          <cell r="C1608" t="str">
            <v>+ Giẻ lau</v>
          </cell>
          <cell r="D1608" t="str">
            <v>Kg</v>
          </cell>
          <cell r="E1608">
            <v>5.3999999999999999E-2</v>
          </cell>
          <cell r="F1608">
            <v>9500</v>
          </cell>
          <cell r="G1608">
            <v>513</v>
          </cell>
        </row>
        <row r="1609">
          <cell r="B1609">
            <v>1</v>
          </cell>
          <cell r="C1609" t="str">
            <v>+ Cồn công nghiệp</v>
          </cell>
          <cell r="D1609" t="str">
            <v>kg</v>
          </cell>
          <cell r="E1609">
            <v>0.29699999999999999</v>
          </cell>
          <cell r="F1609">
            <v>9500</v>
          </cell>
          <cell r="G1609">
            <v>2821.5</v>
          </cell>
        </row>
        <row r="1610">
          <cell r="C1610" t="str">
            <v>Nhân công</v>
          </cell>
          <cell r="G1610">
            <v>346531.21973684209</v>
          </cell>
        </row>
        <row r="1611">
          <cell r="B1611" t="str">
            <v>NC1407</v>
          </cell>
          <cell r="C1611" t="str">
            <v>+ Nhân công bậc 4,0/7</v>
          </cell>
          <cell r="D1611" t="str">
            <v>Công</v>
          </cell>
          <cell r="E1611">
            <v>1.78</v>
          </cell>
          <cell r="F1611">
            <v>194680.46052631579</v>
          </cell>
          <cell r="G1611">
            <v>346531.21973684209</v>
          </cell>
        </row>
        <row r="1612">
          <cell r="A1612" t="str">
            <v>D3.1522</v>
          </cell>
          <cell r="C1612" t="str">
            <v>Lắp đặt sứ chuỗi sứ đỡ kép cho dây dẫn, chuỗi =&lt; 2x11 bát, Chiều cao lắp đặt sứ =&lt; 30m</v>
          </cell>
          <cell r="D1612" t="str">
            <v>chuỗi</v>
          </cell>
          <cell r="H1612">
            <v>3334.5</v>
          </cell>
          <cell r="I1612">
            <v>365999.26578947366</v>
          </cell>
        </row>
        <row r="1613">
          <cell r="C1613" t="str">
            <v>Vật liệu</v>
          </cell>
          <cell r="G1613">
            <v>3334.5</v>
          </cell>
        </row>
        <row r="1614">
          <cell r="B1614">
            <v>9</v>
          </cell>
          <cell r="C1614" t="str">
            <v>+ Giẻ lau</v>
          </cell>
          <cell r="D1614" t="str">
            <v>Kg</v>
          </cell>
          <cell r="E1614">
            <v>5.3999999999999999E-2</v>
          </cell>
          <cell r="F1614">
            <v>9500</v>
          </cell>
          <cell r="G1614">
            <v>513</v>
          </cell>
        </row>
        <row r="1615">
          <cell r="B1615">
            <v>1</v>
          </cell>
          <cell r="C1615" t="str">
            <v>+ Cồn công nghiệp</v>
          </cell>
          <cell r="D1615" t="str">
            <v>kg</v>
          </cell>
          <cell r="E1615">
            <v>0.29699999999999999</v>
          </cell>
          <cell r="F1615">
            <v>9500</v>
          </cell>
          <cell r="G1615">
            <v>2821.5</v>
          </cell>
        </row>
        <row r="1616">
          <cell r="C1616" t="str">
            <v>Nhân công</v>
          </cell>
          <cell r="G1616">
            <v>365999.26578947366</v>
          </cell>
        </row>
        <row r="1617">
          <cell r="B1617" t="str">
            <v>NC1407</v>
          </cell>
          <cell r="C1617" t="str">
            <v>+ Nhân công bậc 4,0/7</v>
          </cell>
          <cell r="D1617" t="str">
            <v>Công</v>
          </cell>
          <cell r="E1617">
            <v>1.88</v>
          </cell>
          <cell r="F1617">
            <v>194680.46052631579</v>
          </cell>
          <cell r="G1617">
            <v>365999.26578947366</v>
          </cell>
        </row>
        <row r="1618">
          <cell r="A1618" t="str">
            <v>D3.1532</v>
          </cell>
          <cell r="C1618" t="str">
            <v>Lắp đặt sứ chuỗi sứ đỡ kép cho dây dẫn, chuỗi =&lt; 2x11 bát, Chiều cao lắp đặt sứ =&lt; 40m</v>
          </cell>
          <cell r="D1618" t="str">
            <v>chuỗi</v>
          </cell>
          <cell r="H1618">
            <v>3334.5</v>
          </cell>
          <cell r="I1618">
            <v>401041.74868421053</v>
          </cell>
        </row>
        <row r="1619">
          <cell r="C1619" t="str">
            <v>Vật liệu</v>
          </cell>
          <cell r="G1619">
            <v>3334.5</v>
          </cell>
        </row>
        <row r="1620">
          <cell r="B1620">
            <v>9</v>
          </cell>
          <cell r="C1620" t="str">
            <v>+ Giẻ lau</v>
          </cell>
          <cell r="D1620" t="str">
            <v>Kg</v>
          </cell>
          <cell r="E1620">
            <v>5.3999999999999999E-2</v>
          </cell>
          <cell r="F1620">
            <v>9500</v>
          </cell>
          <cell r="G1620">
            <v>513</v>
          </cell>
        </row>
        <row r="1621">
          <cell r="B1621">
            <v>1</v>
          </cell>
          <cell r="C1621" t="str">
            <v>+ Cồn công nghiệp</v>
          </cell>
          <cell r="D1621" t="str">
            <v>kg</v>
          </cell>
          <cell r="E1621">
            <v>0.29699999999999999</v>
          </cell>
          <cell r="F1621">
            <v>9500</v>
          </cell>
          <cell r="G1621">
            <v>2821.5</v>
          </cell>
        </row>
        <row r="1622">
          <cell r="C1622" t="str">
            <v>Nhân công</v>
          </cell>
          <cell r="G1622">
            <v>401041.74868421053</v>
          </cell>
        </row>
        <row r="1623">
          <cell r="B1623" t="str">
            <v>NC1407</v>
          </cell>
          <cell r="C1623" t="str">
            <v>+ Nhân công bậc 4,0/7</v>
          </cell>
          <cell r="D1623" t="str">
            <v>Công</v>
          </cell>
          <cell r="E1623">
            <v>2.06</v>
          </cell>
          <cell r="F1623">
            <v>194680.46052631579</v>
          </cell>
          <cell r="G1623">
            <v>401041.74868421053</v>
          </cell>
        </row>
        <row r="1624">
          <cell r="A1624" t="str">
            <v>D3.1542</v>
          </cell>
          <cell r="C1624" t="str">
            <v>Lắp đặt sứ chuỗi sứ đỡ kép cho dây dẫn, chuỗi =&lt; 2x11 bát, Chiều cao lắp đặt sứ =&lt; 50m</v>
          </cell>
          <cell r="D1624" t="str">
            <v>chuỗi</v>
          </cell>
          <cell r="H1624">
            <v>3334.5</v>
          </cell>
          <cell r="I1624">
            <v>463339.49605263153</v>
          </cell>
        </row>
        <row r="1625">
          <cell r="C1625" t="str">
            <v>Vật liệu</v>
          </cell>
          <cell r="G1625">
            <v>3334.5</v>
          </cell>
        </row>
        <row r="1626">
          <cell r="B1626">
            <v>9</v>
          </cell>
          <cell r="C1626" t="str">
            <v>+ Giẻ lau</v>
          </cell>
          <cell r="D1626" t="str">
            <v>Kg</v>
          </cell>
          <cell r="E1626">
            <v>5.3999999999999999E-2</v>
          </cell>
          <cell r="F1626">
            <v>9500</v>
          </cell>
          <cell r="G1626">
            <v>513</v>
          </cell>
        </row>
        <row r="1627">
          <cell r="B1627">
            <v>1</v>
          </cell>
          <cell r="C1627" t="str">
            <v>+ Cồn công nghiệp</v>
          </cell>
          <cell r="D1627" t="str">
            <v>kg</v>
          </cell>
          <cell r="E1627">
            <v>0.29699999999999999</v>
          </cell>
          <cell r="F1627">
            <v>9500</v>
          </cell>
          <cell r="G1627">
            <v>2821.5</v>
          </cell>
        </row>
        <row r="1628">
          <cell r="C1628" t="str">
            <v>Nhân công</v>
          </cell>
          <cell r="G1628">
            <v>463339.49605263153</v>
          </cell>
        </row>
        <row r="1629">
          <cell r="B1629" t="str">
            <v>NC1407</v>
          </cell>
          <cell r="C1629" t="str">
            <v>+ Nhân công bậc 4,0/7</v>
          </cell>
          <cell r="D1629" t="str">
            <v>Công</v>
          </cell>
          <cell r="E1629">
            <v>2.38</v>
          </cell>
          <cell r="F1629">
            <v>194680.46052631579</v>
          </cell>
          <cell r="G1629">
            <v>463339.49605263153</v>
          </cell>
        </row>
        <row r="1630">
          <cell r="A1630" t="str">
            <v>D3.1552</v>
          </cell>
          <cell r="C1630" t="str">
            <v>Lắp đặt sứ chuỗi sứ đỡ kép cho dây dẫn, chuỗi =&lt; 2x11 bát, Chiều cao lắp đặt sứ =&lt; 60m</v>
          </cell>
          <cell r="D1630" t="str">
            <v>chuỗi</v>
          </cell>
          <cell r="H1630">
            <v>3334.5</v>
          </cell>
          <cell r="I1630">
            <v>508116.00197368418</v>
          </cell>
        </row>
        <row r="1631">
          <cell r="C1631" t="str">
            <v>Vật liệu</v>
          </cell>
          <cell r="G1631">
            <v>3334.5</v>
          </cell>
        </row>
        <row r="1632">
          <cell r="B1632">
            <v>9</v>
          </cell>
          <cell r="C1632" t="str">
            <v>+ Giẻ lau</v>
          </cell>
          <cell r="D1632" t="str">
            <v>Kg</v>
          </cell>
          <cell r="E1632">
            <v>5.3999999999999999E-2</v>
          </cell>
          <cell r="F1632">
            <v>9500</v>
          </cell>
          <cell r="G1632">
            <v>513</v>
          </cell>
        </row>
        <row r="1633">
          <cell r="B1633">
            <v>1</v>
          </cell>
          <cell r="C1633" t="str">
            <v>+ Cồn công nghiệp</v>
          </cell>
          <cell r="D1633" t="str">
            <v>kg</v>
          </cell>
          <cell r="E1633">
            <v>0.29699999999999999</v>
          </cell>
          <cell r="F1633">
            <v>9500</v>
          </cell>
          <cell r="G1633">
            <v>2821.5</v>
          </cell>
        </row>
        <row r="1634">
          <cell r="C1634" t="str">
            <v>Nhân công</v>
          </cell>
          <cell r="G1634">
            <v>508116.00197368418</v>
          </cell>
        </row>
        <row r="1635">
          <cell r="B1635" t="str">
            <v>NC1407</v>
          </cell>
          <cell r="C1635" t="str">
            <v>+ Nhân công bậc 4,0/7</v>
          </cell>
          <cell r="D1635" t="str">
            <v>Công</v>
          </cell>
          <cell r="E1635">
            <v>2.61</v>
          </cell>
          <cell r="F1635">
            <v>194680.46052631579</v>
          </cell>
          <cell r="G1635">
            <v>508116.00197368418</v>
          </cell>
        </row>
        <row r="1636">
          <cell r="A1636" t="str">
            <v>D3.1562</v>
          </cell>
          <cell r="C1636" t="str">
            <v>Lắp đặt sứ chuỗi sứ đỡ kép cho dây dẫn, chuỗi =&lt; 2x11 bát, Chiều cao lắp đặt sứ =&lt; 70m</v>
          </cell>
          <cell r="D1636" t="str">
            <v>chuỗi</v>
          </cell>
          <cell r="H1636">
            <v>3334.5</v>
          </cell>
          <cell r="I1636">
            <v>558732.92171052634</v>
          </cell>
        </row>
        <row r="1637">
          <cell r="C1637" t="str">
            <v>Vật liệu</v>
          </cell>
          <cell r="G1637">
            <v>3334.5</v>
          </cell>
        </row>
        <row r="1638">
          <cell r="B1638">
            <v>9</v>
          </cell>
          <cell r="C1638" t="str">
            <v>+ Giẻ lau</v>
          </cell>
          <cell r="D1638" t="str">
            <v>Kg</v>
          </cell>
          <cell r="E1638">
            <v>5.3999999999999999E-2</v>
          </cell>
          <cell r="F1638">
            <v>9500</v>
          </cell>
          <cell r="G1638">
            <v>513</v>
          </cell>
        </row>
        <row r="1639">
          <cell r="B1639">
            <v>1</v>
          </cell>
          <cell r="C1639" t="str">
            <v>+ Cồn công nghiệp</v>
          </cell>
          <cell r="D1639" t="str">
            <v>kg</v>
          </cell>
          <cell r="E1639">
            <v>0.29699999999999999</v>
          </cell>
          <cell r="F1639">
            <v>9500</v>
          </cell>
          <cell r="G1639">
            <v>2821.5</v>
          </cell>
        </row>
        <row r="1640">
          <cell r="C1640" t="str">
            <v>Nhân công</v>
          </cell>
          <cell r="G1640">
            <v>558732.92171052634</v>
          </cell>
        </row>
        <row r="1641">
          <cell r="B1641" t="str">
            <v>NC1407</v>
          </cell>
          <cell r="C1641" t="str">
            <v>+ Nhân công bậc 4,0/7</v>
          </cell>
          <cell r="D1641" t="str">
            <v>Công</v>
          </cell>
          <cell r="E1641">
            <v>2.87</v>
          </cell>
          <cell r="F1641">
            <v>194680.46052631579</v>
          </cell>
          <cell r="G1641">
            <v>558732.92171052634</v>
          </cell>
        </row>
        <row r="1642">
          <cell r="A1642" t="str">
            <v>D3.1572</v>
          </cell>
          <cell r="C1642" t="str">
            <v>Lắp đặt sứ chuỗi sứ đỡ kép cho dây dẫn, chuỗi =&lt; 2x11 bát, Chiều cao lắp đặt sứ =&lt; 85m</v>
          </cell>
          <cell r="D1642" t="str">
            <v>chuỗi</v>
          </cell>
          <cell r="H1642">
            <v>3334.5</v>
          </cell>
          <cell r="I1642">
            <v>644392.3243421053</v>
          </cell>
        </row>
        <row r="1643">
          <cell r="C1643" t="str">
            <v>Vật liệu</v>
          </cell>
          <cell r="G1643">
            <v>3334.5</v>
          </cell>
        </row>
        <row r="1644">
          <cell r="B1644">
            <v>9</v>
          </cell>
          <cell r="C1644" t="str">
            <v>+ Giẻ lau</v>
          </cell>
          <cell r="D1644" t="str">
            <v>Kg</v>
          </cell>
          <cell r="E1644">
            <v>5.3999999999999999E-2</v>
          </cell>
          <cell r="F1644">
            <v>9500</v>
          </cell>
          <cell r="G1644">
            <v>513</v>
          </cell>
        </row>
        <row r="1645">
          <cell r="B1645">
            <v>1</v>
          </cell>
          <cell r="C1645" t="str">
            <v>+ Cồn công nghiệp</v>
          </cell>
          <cell r="D1645" t="str">
            <v>kg</v>
          </cell>
          <cell r="E1645">
            <v>0.29699999999999999</v>
          </cell>
          <cell r="F1645">
            <v>9500</v>
          </cell>
          <cell r="G1645">
            <v>2821.5</v>
          </cell>
        </row>
        <row r="1646">
          <cell r="C1646" t="str">
            <v>Nhân công</v>
          </cell>
          <cell r="G1646">
            <v>644392.3243421053</v>
          </cell>
        </row>
        <row r="1647">
          <cell r="B1647" t="str">
            <v>NC1407</v>
          </cell>
          <cell r="C1647" t="str">
            <v>+ Nhân công bậc 4,0/7</v>
          </cell>
          <cell r="D1647" t="str">
            <v>Công</v>
          </cell>
          <cell r="E1647">
            <v>3.31</v>
          </cell>
          <cell r="F1647">
            <v>194680.46052631579</v>
          </cell>
          <cell r="G1647">
            <v>644392.3243421053</v>
          </cell>
        </row>
        <row r="1648">
          <cell r="A1648" t="str">
            <v>D3.1582</v>
          </cell>
          <cell r="C1648" t="str">
            <v>Lắp đặt sứ chuỗi sứ đỡ kép cho dây dẫn, chuỗi =&lt; 2x11 bát, Chiều cao lắp đặt sứ =&lt; 100m</v>
          </cell>
          <cell r="D1648" t="str">
            <v>chuỗi</v>
          </cell>
          <cell r="H1648">
            <v>3334.5</v>
          </cell>
          <cell r="I1648">
            <v>739785.75</v>
          </cell>
        </row>
        <row r="1649">
          <cell r="C1649" t="str">
            <v>Vật liệu</v>
          </cell>
          <cell r="G1649">
            <v>3334.5</v>
          </cell>
        </row>
        <row r="1650">
          <cell r="B1650">
            <v>9</v>
          </cell>
          <cell r="C1650" t="str">
            <v>+ Giẻ lau</v>
          </cell>
          <cell r="D1650" t="str">
            <v>Kg</v>
          </cell>
          <cell r="E1650">
            <v>5.3999999999999999E-2</v>
          </cell>
          <cell r="F1650">
            <v>9500</v>
          </cell>
          <cell r="G1650">
            <v>513</v>
          </cell>
        </row>
        <row r="1651">
          <cell r="B1651">
            <v>1</v>
          </cell>
          <cell r="C1651" t="str">
            <v>+ Cồn công nghiệp</v>
          </cell>
          <cell r="D1651" t="str">
            <v>kg</v>
          </cell>
          <cell r="E1651">
            <v>0.29699999999999999</v>
          </cell>
          <cell r="F1651">
            <v>9500</v>
          </cell>
          <cell r="G1651">
            <v>2821.5</v>
          </cell>
        </row>
        <row r="1652">
          <cell r="C1652" t="str">
            <v>Nhân công</v>
          </cell>
          <cell r="G1652">
            <v>739785.75</v>
          </cell>
        </row>
        <row r="1653">
          <cell r="B1653" t="str">
            <v>NC1407</v>
          </cell>
          <cell r="C1653" t="str">
            <v>+ Nhân công bậc 4,0/7</v>
          </cell>
          <cell r="D1653" t="str">
            <v>Công</v>
          </cell>
          <cell r="E1653">
            <v>3.8</v>
          </cell>
          <cell r="F1653">
            <v>194680.46052631579</v>
          </cell>
          <cell r="G1653">
            <v>739785.75</v>
          </cell>
        </row>
        <row r="1654">
          <cell r="A1654" t="str">
            <v>D3.1513</v>
          </cell>
          <cell r="C1654" t="str">
            <v>Lắp đặt sứ chuỗi sứ đỡ kép cho dây dẫn, chuỗi =&lt; 2x14 bát, Chiều cao lắp đặt sứ =&lt; 20m</v>
          </cell>
          <cell r="D1654" t="str">
            <v>chuỗi</v>
          </cell>
          <cell r="H1654">
            <v>3933</v>
          </cell>
          <cell r="I1654">
            <v>439977.84078947362</v>
          </cell>
        </row>
        <row r="1655">
          <cell r="C1655" t="str">
            <v>Vật liệu</v>
          </cell>
          <cell r="G1655">
            <v>3933</v>
          </cell>
        </row>
        <row r="1656">
          <cell r="B1656">
            <v>9</v>
          </cell>
          <cell r="C1656" t="str">
            <v>+ Giẻ lau</v>
          </cell>
          <cell r="D1656" t="str">
            <v>Kg</v>
          </cell>
          <cell r="E1656">
            <v>5.3999999999999999E-2</v>
          </cell>
          <cell r="F1656">
            <v>9500</v>
          </cell>
          <cell r="G1656">
            <v>513</v>
          </cell>
        </row>
        <row r="1657">
          <cell r="B1657">
            <v>1</v>
          </cell>
          <cell r="C1657" t="str">
            <v>+ Cồn công nghiệp</v>
          </cell>
          <cell r="D1657" t="str">
            <v>kg</v>
          </cell>
          <cell r="E1657">
            <v>0.36</v>
          </cell>
          <cell r="F1657">
            <v>9500</v>
          </cell>
          <cell r="G1657">
            <v>3420</v>
          </cell>
        </row>
        <row r="1658">
          <cell r="C1658" t="str">
            <v>Nhân công</v>
          </cell>
          <cell r="G1658">
            <v>439977.84078947362</v>
          </cell>
        </row>
        <row r="1659">
          <cell r="B1659" t="str">
            <v>NC1407</v>
          </cell>
          <cell r="C1659" t="str">
            <v>+ Nhân công bậc 4,0/7</v>
          </cell>
          <cell r="D1659" t="str">
            <v>Công</v>
          </cell>
          <cell r="E1659">
            <v>2.2599999999999998</v>
          </cell>
          <cell r="F1659">
            <v>194680.46052631579</v>
          </cell>
          <cell r="G1659">
            <v>439977.84078947362</v>
          </cell>
        </row>
        <row r="1660">
          <cell r="A1660" t="str">
            <v>D3.1523</v>
          </cell>
          <cell r="C1660" t="str">
            <v>Lắp đặt sứ chuỗi sứ đỡ kép cho dây dẫn, chuỗi =&lt; 2x14 bát, Chiều cao lắp đặt sứ =&lt; 30m</v>
          </cell>
          <cell r="D1660" t="str">
            <v>chuỗi</v>
          </cell>
          <cell r="H1660">
            <v>3933</v>
          </cell>
          <cell r="I1660">
            <v>463339.49605263153</v>
          </cell>
        </row>
        <row r="1661">
          <cell r="C1661" t="str">
            <v>Vật liệu</v>
          </cell>
          <cell r="G1661">
            <v>3933</v>
          </cell>
        </row>
        <row r="1662">
          <cell r="B1662">
            <v>9</v>
          </cell>
          <cell r="C1662" t="str">
            <v>+ Giẻ lau</v>
          </cell>
          <cell r="D1662" t="str">
            <v>Kg</v>
          </cell>
          <cell r="E1662">
            <v>5.3999999999999999E-2</v>
          </cell>
          <cell r="F1662">
            <v>9500</v>
          </cell>
          <cell r="G1662">
            <v>513</v>
          </cell>
        </row>
        <row r="1663">
          <cell r="B1663">
            <v>1</v>
          </cell>
          <cell r="C1663" t="str">
            <v>+ Cồn công nghiệp</v>
          </cell>
          <cell r="D1663" t="str">
            <v>kg</v>
          </cell>
          <cell r="E1663">
            <v>0.36</v>
          </cell>
          <cell r="F1663">
            <v>9500</v>
          </cell>
          <cell r="G1663">
            <v>3420</v>
          </cell>
        </row>
        <row r="1664">
          <cell r="C1664" t="str">
            <v>Nhân công</v>
          </cell>
          <cell r="G1664">
            <v>463339.49605263153</v>
          </cell>
        </row>
        <row r="1665">
          <cell r="B1665" t="str">
            <v>NC1407</v>
          </cell>
          <cell r="C1665" t="str">
            <v>+ Nhân công bậc 4,0/7</v>
          </cell>
          <cell r="D1665" t="str">
            <v>Công</v>
          </cell>
          <cell r="E1665">
            <v>2.38</v>
          </cell>
          <cell r="F1665">
            <v>194680.46052631579</v>
          </cell>
          <cell r="G1665">
            <v>463339.49605263153</v>
          </cell>
        </row>
        <row r="1666">
          <cell r="A1666" t="str">
            <v>D3.1533</v>
          </cell>
          <cell r="C1666" t="str">
            <v>Lắp đặt sứ chuỗi sứ đỡ kép cho dây dẫn, chuỗi =&lt; 2x14 bát, Chiều cao lắp đặt sứ =&lt; 40m</v>
          </cell>
          <cell r="D1666" t="str">
            <v>chuỗi</v>
          </cell>
          <cell r="H1666">
            <v>3933</v>
          </cell>
          <cell r="I1666">
            <v>504222.39276315784</v>
          </cell>
        </row>
        <row r="1667">
          <cell r="C1667" t="str">
            <v>Vật liệu</v>
          </cell>
          <cell r="G1667">
            <v>3933</v>
          </cell>
        </row>
        <row r="1668">
          <cell r="B1668">
            <v>9</v>
          </cell>
          <cell r="C1668" t="str">
            <v>+ Giẻ lau</v>
          </cell>
          <cell r="D1668" t="str">
            <v>Kg</v>
          </cell>
          <cell r="E1668">
            <v>5.3999999999999999E-2</v>
          </cell>
          <cell r="F1668">
            <v>9500</v>
          </cell>
          <cell r="G1668">
            <v>513</v>
          </cell>
        </row>
        <row r="1669">
          <cell r="B1669">
            <v>1</v>
          </cell>
          <cell r="C1669" t="str">
            <v>+ Cồn công nghiệp</v>
          </cell>
          <cell r="D1669" t="str">
            <v>kg</v>
          </cell>
          <cell r="E1669">
            <v>0.36</v>
          </cell>
          <cell r="F1669">
            <v>9500</v>
          </cell>
          <cell r="G1669">
            <v>3420</v>
          </cell>
        </row>
        <row r="1670">
          <cell r="C1670" t="str">
            <v>Nhân công</v>
          </cell>
          <cell r="G1670">
            <v>504222.39276315784</v>
          </cell>
        </row>
        <row r="1671">
          <cell r="B1671" t="str">
            <v>NC1407</v>
          </cell>
          <cell r="C1671" t="str">
            <v>+ Nhân công bậc 4,0/7</v>
          </cell>
          <cell r="D1671" t="str">
            <v>Công</v>
          </cell>
          <cell r="E1671">
            <v>2.59</v>
          </cell>
          <cell r="F1671">
            <v>194680.46052631579</v>
          </cell>
          <cell r="G1671">
            <v>504222.39276315784</v>
          </cell>
        </row>
        <row r="1672">
          <cell r="A1672" t="str">
            <v>D3.1543</v>
          </cell>
          <cell r="C1672" t="str">
            <v>Lắp đặt sứ chuỗi sứ đỡ kép cho dây dẫn, chuỗi =&lt; 2x14 bát, Chiều cao lắp đặt sứ =&lt; 50m</v>
          </cell>
          <cell r="D1672" t="str">
            <v>chuỗi</v>
          </cell>
          <cell r="H1672">
            <v>3933</v>
          </cell>
          <cell r="I1672">
            <v>585988.18618421047</v>
          </cell>
        </row>
        <row r="1673">
          <cell r="C1673" t="str">
            <v>Vật liệu</v>
          </cell>
          <cell r="G1673">
            <v>3933</v>
          </cell>
        </row>
        <row r="1674">
          <cell r="B1674">
            <v>9</v>
          </cell>
          <cell r="C1674" t="str">
            <v>+ Giẻ lau</v>
          </cell>
          <cell r="D1674" t="str">
            <v>Kg</v>
          </cell>
          <cell r="E1674">
            <v>5.3999999999999999E-2</v>
          </cell>
          <cell r="F1674">
            <v>9500</v>
          </cell>
          <cell r="G1674">
            <v>513</v>
          </cell>
        </row>
        <row r="1675">
          <cell r="B1675">
            <v>1</v>
          </cell>
          <cell r="C1675" t="str">
            <v>+ Cồn công nghiệp</v>
          </cell>
          <cell r="D1675" t="str">
            <v>kg</v>
          </cell>
          <cell r="E1675">
            <v>0.36</v>
          </cell>
          <cell r="F1675">
            <v>9500</v>
          </cell>
          <cell r="G1675">
            <v>3420</v>
          </cell>
        </row>
        <row r="1676">
          <cell r="C1676" t="str">
            <v>Nhân công</v>
          </cell>
          <cell r="G1676">
            <v>585988.18618421047</v>
          </cell>
        </row>
        <row r="1677">
          <cell r="B1677" t="str">
            <v>NC1407</v>
          </cell>
          <cell r="C1677" t="str">
            <v>+ Nhân công bậc 4,0/7</v>
          </cell>
          <cell r="D1677" t="str">
            <v>Công</v>
          </cell>
          <cell r="E1677">
            <v>3.01</v>
          </cell>
          <cell r="F1677">
            <v>194680.46052631579</v>
          </cell>
          <cell r="G1677">
            <v>585988.18618421047</v>
          </cell>
        </row>
        <row r="1678">
          <cell r="A1678" t="str">
            <v>D3.1553</v>
          </cell>
          <cell r="C1678" t="str">
            <v>Lắp đặt sứ chuỗi sứ đỡ kép cho dây dẫn, chuỗi =&lt; 2x14 bát, Chiều cao lắp đặt sứ =&lt; 60m</v>
          </cell>
          <cell r="D1678" t="str">
            <v>chuỗi</v>
          </cell>
          <cell r="H1678">
            <v>3933</v>
          </cell>
          <cell r="I1678">
            <v>644392.3243421053</v>
          </cell>
        </row>
        <row r="1679">
          <cell r="C1679" t="str">
            <v>Vật liệu</v>
          </cell>
          <cell r="G1679">
            <v>3933</v>
          </cell>
        </row>
        <row r="1680">
          <cell r="B1680">
            <v>9</v>
          </cell>
          <cell r="C1680" t="str">
            <v>+ Giẻ lau</v>
          </cell>
          <cell r="D1680" t="str">
            <v>Kg</v>
          </cell>
          <cell r="E1680">
            <v>5.3999999999999999E-2</v>
          </cell>
          <cell r="F1680">
            <v>9500</v>
          </cell>
          <cell r="G1680">
            <v>513</v>
          </cell>
        </row>
        <row r="1681">
          <cell r="B1681">
            <v>1</v>
          </cell>
          <cell r="C1681" t="str">
            <v>+ Cồn công nghiệp</v>
          </cell>
          <cell r="D1681" t="str">
            <v>kg</v>
          </cell>
          <cell r="E1681">
            <v>0.36</v>
          </cell>
          <cell r="F1681">
            <v>9500</v>
          </cell>
          <cell r="G1681">
            <v>3420</v>
          </cell>
        </row>
        <row r="1682">
          <cell r="C1682" t="str">
            <v>Nhân công</v>
          </cell>
          <cell r="G1682">
            <v>644392.3243421053</v>
          </cell>
        </row>
        <row r="1683">
          <cell r="B1683" t="str">
            <v>NC1407</v>
          </cell>
          <cell r="C1683" t="str">
            <v>+ Nhân công bậc 4,0/7</v>
          </cell>
          <cell r="D1683" t="str">
            <v>Công</v>
          </cell>
          <cell r="E1683">
            <v>3.31</v>
          </cell>
          <cell r="F1683">
            <v>194680.46052631579</v>
          </cell>
          <cell r="G1683">
            <v>644392.3243421053</v>
          </cell>
        </row>
        <row r="1684">
          <cell r="A1684" t="str">
            <v>D3.1563</v>
          </cell>
          <cell r="C1684" t="str">
            <v>Lắp đặt sứ chuỗi sứ đỡ kép cho dây dẫn, chuỗi =&lt; 2x14 bát, Chiều cao lắp đặt sứ =&lt; 70m</v>
          </cell>
          <cell r="D1684" t="str">
            <v>chuỗi</v>
          </cell>
          <cell r="H1684">
            <v>3933</v>
          </cell>
          <cell r="I1684">
            <v>708636.87631578953</v>
          </cell>
        </row>
        <row r="1685">
          <cell r="C1685" t="str">
            <v>Vật liệu</v>
          </cell>
          <cell r="G1685">
            <v>3933</v>
          </cell>
        </row>
        <row r="1686">
          <cell r="B1686">
            <v>9</v>
          </cell>
          <cell r="C1686" t="str">
            <v>+ Giẻ lau</v>
          </cell>
          <cell r="D1686" t="str">
            <v>Kg</v>
          </cell>
          <cell r="E1686">
            <v>5.3999999999999999E-2</v>
          </cell>
          <cell r="F1686">
            <v>9500</v>
          </cell>
          <cell r="G1686">
            <v>513</v>
          </cell>
        </row>
        <row r="1687">
          <cell r="B1687">
            <v>1</v>
          </cell>
          <cell r="C1687" t="str">
            <v>+ Cồn công nghiệp</v>
          </cell>
          <cell r="D1687" t="str">
            <v>kg</v>
          </cell>
          <cell r="E1687">
            <v>0.36</v>
          </cell>
          <cell r="F1687">
            <v>9500</v>
          </cell>
          <cell r="G1687">
            <v>3420</v>
          </cell>
        </row>
        <row r="1688">
          <cell r="C1688" t="str">
            <v>Nhân công</v>
          </cell>
          <cell r="G1688">
            <v>708636.87631578953</v>
          </cell>
        </row>
        <row r="1689">
          <cell r="B1689" t="str">
            <v>NC1407</v>
          </cell>
          <cell r="C1689" t="str">
            <v>+ Nhân công bậc 4,0/7</v>
          </cell>
          <cell r="D1689" t="str">
            <v>Công</v>
          </cell>
          <cell r="E1689">
            <v>3.64</v>
          </cell>
          <cell r="F1689">
            <v>194680.46052631579</v>
          </cell>
          <cell r="G1689">
            <v>708636.87631578953</v>
          </cell>
        </row>
        <row r="1690">
          <cell r="A1690" t="str">
            <v>D3.1573</v>
          </cell>
          <cell r="C1690" t="str">
            <v>Lắp đặt sứ chuỗi sứ đỡ kép cho dây dẫn, chuỗi =&lt; 2x14 bát, Chiều cao lắp đặt sứ =&lt; 85m</v>
          </cell>
          <cell r="D1690" t="str">
            <v>chuỗi</v>
          </cell>
          <cell r="H1690">
            <v>3933</v>
          </cell>
          <cell r="I1690">
            <v>817657.93421052629</v>
          </cell>
        </row>
        <row r="1691">
          <cell r="C1691" t="str">
            <v>Vật liệu</v>
          </cell>
          <cell r="G1691">
            <v>3933</v>
          </cell>
        </row>
        <row r="1692">
          <cell r="B1692">
            <v>9</v>
          </cell>
          <cell r="C1692" t="str">
            <v>+ Giẻ lau</v>
          </cell>
          <cell r="D1692" t="str">
            <v>Kg</v>
          </cell>
          <cell r="E1692">
            <v>5.3999999999999999E-2</v>
          </cell>
          <cell r="F1692">
            <v>9500</v>
          </cell>
          <cell r="G1692">
            <v>513</v>
          </cell>
        </row>
        <row r="1693">
          <cell r="B1693">
            <v>1</v>
          </cell>
          <cell r="C1693" t="str">
            <v>+ Cồn công nghiệp</v>
          </cell>
          <cell r="D1693" t="str">
            <v>kg</v>
          </cell>
          <cell r="E1693">
            <v>0.36</v>
          </cell>
          <cell r="F1693">
            <v>9500</v>
          </cell>
          <cell r="G1693">
            <v>3420</v>
          </cell>
        </row>
        <row r="1694">
          <cell r="C1694" t="str">
            <v>Nhân công</v>
          </cell>
          <cell r="G1694">
            <v>817657.93421052629</v>
          </cell>
        </row>
        <row r="1695">
          <cell r="B1695" t="str">
            <v>NC1407</v>
          </cell>
          <cell r="C1695" t="str">
            <v>+ Nhân công bậc 4,0/7</v>
          </cell>
          <cell r="D1695" t="str">
            <v>Công</v>
          </cell>
          <cell r="E1695">
            <v>4.2</v>
          </cell>
          <cell r="F1695">
            <v>194680.46052631579</v>
          </cell>
          <cell r="G1695">
            <v>817657.93421052629</v>
          </cell>
        </row>
        <row r="1696">
          <cell r="A1696" t="str">
            <v>D3.1583</v>
          </cell>
          <cell r="C1696" t="str">
            <v>Lắp đặt sứ chuỗi sứ đỡ kép cho dây dẫn, chuỗi =&lt; 2x14 bát, Chiều cao lắp đặt sứ =&lt; 100m</v>
          </cell>
          <cell r="D1696" t="str">
            <v>chuỗi</v>
          </cell>
          <cell r="H1696">
            <v>3933</v>
          </cell>
          <cell r="I1696">
            <v>940306.62434210523</v>
          </cell>
        </row>
        <row r="1697">
          <cell r="C1697" t="str">
            <v>Vật liệu</v>
          </cell>
          <cell r="G1697">
            <v>3933</v>
          </cell>
        </row>
        <row r="1698">
          <cell r="B1698">
            <v>9</v>
          </cell>
          <cell r="C1698" t="str">
            <v>+ Giẻ lau</v>
          </cell>
          <cell r="D1698" t="str">
            <v>Kg</v>
          </cell>
          <cell r="E1698">
            <v>5.3999999999999999E-2</v>
          </cell>
          <cell r="F1698">
            <v>9500</v>
          </cell>
          <cell r="G1698">
            <v>513</v>
          </cell>
        </row>
        <row r="1699">
          <cell r="B1699">
            <v>1</v>
          </cell>
          <cell r="C1699" t="str">
            <v>+ Cồn công nghiệp</v>
          </cell>
          <cell r="D1699" t="str">
            <v>kg</v>
          </cell>
          <cell r="E1699">
            <v>0.36</v>
          </cell>
          <cell r="F1699">
            <v>9500</v>
          </cell>
          <cell r="G1699">
            <v>3420</v>
          </cell>
        </row>
        <row r="1700">
          <cell r="C1700" t="str">
            <v>Nhân công</v>
          </cell>
          <cell r="G1700">
            <v>940306.62434210523</v>
          </cell>
        </row>
        <row r="1701">
          <cell r="B1701" t="str">
            <v>NC1407</v>
          </cell>
          <cell r="C1701" t="str">
            <v>+ Nhân công bậc 4,0/7</v>
          </cell>
          <cell r="D1701" t="str">
            <v>Công</v>
          </cell>
          <cell r="E1701">
            <v>4.83</v>
          </cell>
          <cell r="F1701">
            <v>194680.46052631579</v>
          </cell>
          <cell r="G1701">
            <v>940306.62434210523</v>
          </cell>
        </row>
        <row r="1702">
          <cell r="A1702" t="str">
            <v>D3.1514</v>
          </cell>
          <cell r="C1702" t="str">
            <v>Lắp đặt sứ chuỗi sứ đỡ kép cho dây dẫn, chuỗi =&lt; 2x18 bát, Chiều cao lắp đặt sứ =&lt; 20m</v>
          </cell>
          <cell r="D1702" t="str">
            <v>chuỗi</v>
          </cell>
          <cell r="H1702">
            <v>4788</v>
          </cell>
          <cell r="I1702">
            <v>527584.04802631575</v>
          </cell>
        </row>
        <row r="1703">
          <cell r="C1703" t="str">
            <v>Vật liệu</v>
          </cell>
          <cell r="G1703">
            <v>4788</v>
          </cell>
        </row>
        <row r="1704">
          <cell r="B1704">
            <v>9</v>
          </cell>
          <cell r="C1704" t="str">
            <v>+ Giẻ lau</v>
          </cell>
          <cell r="D1704" t="str">
            <v>Kg</v>
          </cell>
          <cell r="E1704">
            <v>7.1999999999999995E-2</v>
          </cell>
          <cell r="F1704">
            <v>9500</v>
          </cell>
          <cell r="G1704">
            <v>684</v>
          </cell>
        </row>
        <row r="1705">
          <cell r="B1705">
            <v>1</v>
          </cell>
          <cell r="C1705" t="str">
            <v>+ Cồn công nghiệp</v>
          </cell>
          <cell r="D1705" t="str">
            <v>kg</v>
          </cell>
          <cell r="E1705">
            <v>0.432</v>
          </cell>
          <cell r="F1705">
            <v>9500</v>
          </cell>
          <cell r="G1705">
            <v>4104</v>
          </cell>
        </row>
        <row r="1706">
          <cell r="C1706" t="str">
            <v>Nhân công</v>
          </cell>
          <cell r="G1706">
            <v>527584.04802631575</v>
          </cell>
        </row>
        <row r="1707">
          <cell r="B1707" t="str">
            <v>NC1407</v>
          </cell>
          <cell r="C1707" t="str">
            <v>+ Nhân công bậc 4,0/7</v>
          </cell>
          <cell r="D1707" t="str">
            <v>Công</v>
          </cell>
          <cell r="E1707">
            <v>2.71</v>
          </cell>
          <cell r="F1707">
            <v>194680.46052631579</v>
          </cell>
          <cell r="G1707">
            <v>527584.04802631575</v>
          </cell>
        </row>
        <row r="1708">
          <cell r="A1708" t="str">
            <v>D3.1524</v>
          </cell>
          <cell r="C1708" t="str">
            <v>Lắp đặt sứ chuỗi sứ đỡ kép cho dây dẫn, chuỗi =&lt; 2x18 bát, Chiều cao lắp đặt sứ =&lt; 30m</v>
          </cell>
          <cell r="D1708" t="str">
            <v>chuỗi</v>
          </cell>
          <cell r="H1708">
            <v>4788</v>
          </cell>
          <cell r="I1708">
            <v>554839.3125</v>
          </cell>
        </row>
        <row r="1709">
          <cell r="C1709" t="str">
            <v>Vật liệu</v>
          </cell>
          <cell r="G1709">
            <v>4788</v>
          </cell>
        </row>
        <row r="1710">
          <cell r="B1710">
            <v>9</v>
          </cell>
          <cell r="C1710" t="str">
            <v>+ Giẻ lau</v>
          </cell>
          <cell r="D1710" t="str">
            <v>Kg</v>
          </cell>
          <cell r="E1710">
            <v>7.1999999999999995E-2</v>
          </cell>
          <cell r="F1710">
            <v>9500</v>
          </cell>
          <cell r="G1710">
            <v>684</v>
          </cell>
        </row>
        <row r="1711">
          <cell r="B1711">
            <v>1</v>
          </cell>
          <cell r="C1711" t="str">
            <v>+ Cồn công nghiệp</v>
          </cell>
          <cell r="D1711" t="str">
            <v>kg</v>
          </cell>
          <cell r="E1711">
            <v>0.432</v>
          </cell>
          <cell r="F1711">
            <v>9500</v>
          </cell>
          <cell r="G1711">
            <v>4104</v>
          </cell>
        </row>
        <row r="1712">
          <cell r="C1712" t="str">
            <v>Nhân công</v>
          </cell>
          <cell r="G1712">
            <v>554839.3125</v>
          </cell>
        </row>
        <row r="1713">
          <cell r="B1713" t="str">
            <v>NC1407</v>
          </cell>
          <cell r="C1713" t="str">
            <v>+ Nhân công bậc 4,0/7</v>
          </cell>
          <cell r="D1713" t="str">
            <v>Công</v>
          </cell>
          <cell r="E1713">
            <v>2.85</v>
          </cell>
          <cell r="F1713">
            <v>194680.46052631579</v>
          </cell>
          <cell r="G1713">
            <v>554839.3125</v>
          </cell>
        </row>
        <row r="1714">
          <cell r="A1714" t="str">
            <v>D3.1534</v>
          </cell>
          <cell r="C1714" t="str">
            <v>Lắp đặt sứ chuỗi sứ đỡ kép cho dây dẫn, chuỗi =&lt; 2x18 bát, Chiều cao lắp đặt sứ =&lt; 40m</v>
          </cell>
          <cell r="D1714" t="str">
            <v>chuỗi</v>
          </cell>
          <cell r="H1714">
            <v>4788</v>
          </cell>
          <cell r="I1714">
            <v>605456.23223684204</v>
          </cell>
        </row>
        <row r="1715">
          <cell r="C1715" t="str">
            <v>Vật liệu</v>
          </cell>
          <cell r="G1715">
            <v>4788</v>
          </cell>
        </row>
        <row r="1716">
          <cell r="B1716">
            <v>9</v>
          </cell>
          <cell r="C1716" t="str">
            <v>+ Giẻ lau</v>
          </cell>
          <cell r="D1716" t="str">
            <v>Kg</v>
          </cell>
          <cell r="E1716">
            <v>7.1999999999999995E-2</v>
          </cell>
          <cell r="F1716">
            <v>9500</v>
          </cell>
          <cell r="G1716">
            <v>684</v>
          </cell>
        </row>
        <row r="1717">
          <cell r="B1717">
            <v>1</v>
          </cell>
          <cell r="C1717" t="str">
            <v>+ Cồn công nghiệp</v>
          </cell>
          <cell r="D1717" t="str">
            <v>kg</v>
          </cell>
          <cell r="E1717">
            <v>0.432</v>
          </cell>
          <cell r="F1717">
            <v>9500</v>
          </cell>
          <cell r="G1717">
            <v>4104</v>
          </cell>
        </row>
        <row r="1718">
          <cell r="C1718" t="str">
            <v>Nhân công</v>
          </cell>
          <cell r="G1718">
            <v>605456.23223684204</v>
          </cell>
        </row>
        <row r="1719">
          <cell r="B1719" t="str">
            <v>NC1407</v>
          </cell>
          <cell r="C1719" t="str">
            <v>+ Nhân công bậc 4,0/7</v>
          </cell>
          <cell r="D1719" t="str">
            <v>Công</v>
          </cell>
          <cell r="E1719">
            <v>3.11</v>
          </cell>
          <cell r="F1719">
            <v>194680.46052631579</v>
          </cell>
          <cell r="G1719">
            <v>605456.23223684204</v>
          </cell>
        </row>
        <row r="1720">
          <cell r="A1720" t="str">
            <v>D3.1544</v>
          </cell>
          <cell r="C1720" t="str">
            <v>Lắp đặt sứ chuỗi sứ đỡ kép cho dây dẫn, chuỗi =&lt; 2x18 bát, Chiều cao lắp đặt sứ =&lt; 50m</v>
          </cell>
          <cell r="D1720" t="str">
            <v>chuỗi</v>
          </cell>
          <cell r="H1720">
            <v>4788</v>
          </cell>
          <cell r="I1720">
            <v>693062.43947368418</v>
          </cell>
        </row>
        <row r="1721">
          <cell r="C1721" t="str">
            <v>Vật liệu</v>
          </cell>
          <cell r="G1721">
            <v>4788</v>
          </cell>
        </row>
        <row r="1722">
          <cell r="B1722">
            <v>9</v>
          </cell>
          <cell r="C1722" t="str">
            <v>+ Giẻ lau</v>
          </cell>
          <cell r="D1722" t="str">
            <v>Kg</v>
          </cell>
          <cell r="E1722">
            <v>7.1999999999999995E-2</v>
          </cell>
          <cell r="F1722">
            <v>9500</v>
          </cell>
          <cell r="G1722">
            <v>684</v>
          </cell>
        </row>
        <row r="1723">
          <cell r="B1723">
            <v>1</v>
          </cell>
          <cell r="C1723" t="str">
            <v>+ Cồn công nghiệp</v>
          </cell>
          <cell r="D1723" t="str">
            <v>kg</v>
          </cell>
          <cell r="E1723">
            <v>0.432</v>
          </cell>
          <cell r="F1723">
            <v>9500</v>
          </cell>
          <cell r="G1723">
            <v>4104</v>
          </cell>
        </row>
        <row r="1724">
          <cell r="C1724" t="str">
            <v>Nhân công</v>
          </cell>
          <cell r="G1724">
            <v>693062.43947368418</v>
          </cell>
        </row>
        <row r="1725">
          <cell r="B1725" t="str">
            <v>NC1407</v>
          </cell>
          <cell r="C1725" t="str">
            <v>+ Nhân công bậc 4,0/7</v>
          </cell>
          <cell r="D1725" t="str">
            <v>Công</v>
          </cell>
          <cell r="E1725">
            <v>3.56</v>
          </cell>
          <cell r="F1725">
            <v>194680.46052631579</v>
          </cell>
          <cell r="G1725">
            <v>693062.43947368418</v>
          </cell>
        </row>
        <row r="1726">
          <cell r="A1726" t="str">
            <v>D3.1554</v>
          </cell>
          <cell r="C1726" t="str">
            <v>Lắp đặt sứ chuỗi sứ đỡ kép cho dây dẫn, chuỗi =&lt; 2x18 bát, Chiều cao lắp đặt sứ =&lt; 60m</v>
          </cell>
          <cell r="D1726" t="str">
            <v>chuỗi</v>
          </cell>
          <cell r="H1726">
            <v>4788</v>
          </cell>
          <cell r="I1726">
            <v>770934.62368421047</v>
          </cell>
        </row>
        <row r="1727">
          <cell r="C1727" t="str">
            <v>Vật liệu</v>
          </cell>
          <cell r="G1727">
            <v>4788</v>
          </cell>
        </row>
        <row r="1728">
          <cell r="B1728">
            <v>9</v>
          </cell>
          <cell r="C1728" t="str">
            <v>+ Giẻ lau</v>
          </cell>
          <cell r="D1728" t="str">
            <v>Kg</v>
          </cell>
          <cell r="E1728">
            <v>7.1999999999999995E-2</v>
          </cell>
          <cell r="F1728">
            <v>9500</v>
          </cell>
          <cell r="G1728">
            <v>684</v>
          </cell>
        </row>
        <row r="1729">
          <cell r="B1729">
            <v>1</v>
          </cell>
          <cell r="C1729" t="str">
            <v>+ Cồn công nghiệp</v>
          </cell>
          <cell r="D1729" t="str">
            <v>kg</v>
          </cell>
          <cell r="E1729">
            <v>0.432</v>
          </cell>
          <cell r="F1729">
            <v>9500</v>
          </cell>
          <cell r="G1729">
            <v>4104</v>
          </cell>
        </row>
        <row r="1730">
          <cell r="C1730" t="str">
            <v>Nhân công</v>
          </cell>
          <cell r="G1730">
            <v>770934.62368421047</v>
          </cell>
        </row>
        <row r="1731">
          <cell r="B1731" t="str">
            <v>NC1407</v>
          </cell>
          <cell r="C1731" t="str">
            <v>+ Nhân công bậc 4,0/7</v>
          </cell>
          <cell r="D1731" t="str">
            <v>Công</v>
          </cell>
          <cell r="E1731">
            <v>3.96</v>
          </cell>
          <cell r="F1731">
            <v>194680.46052631579</v>
          </cell>
          <cell r="G1731">
            <v>770934.62368421047</v>
          </cell>
        </row>
        <row r="1732">
          <cell r="A1732" t="str">
            <v>D3.1564</v>
          </cell>
          <cell r="C1732" t="str">
            <v>Lắp đặt sứ chuỗi sứ đỡ kép cho dây dẫn, chuỗi =&lt; 2x18 bát, Chiều cao lắp đặt sứ =&lt; 70m</v>
          </cell>
          <cell r="D1732" t="str">
            <v>chuỗi</v>
          </cell>
          <cell r="H1732">
            <v>4788</v>
          </cell>
          <cell r="I1732">
            <v>848806.80789473688</v>
          </cell>
        </row>
        <row r="1733">
          <cell r="C1733" t="str">
            <v>Vật liệu</v>
          </cell>
          <cell r="G1733">
            <v>4788</v>
          </cell>
        </row>
        <row r="1734">
          <cell r="B1734">
            <v>9</v>
          </cell>
          <cell r="C1734" t="str">
            <v>+ Giẻ lau</v>
          </cell>
          <cell r="D1734" t="str">
            <v>Kg</v>
          </cell>
          <cell r="E1734">
            <v>7.1999999999999995E-2</v>
          </cell>
          <cell r="F1734">
            <v>9500</v>
          </cell>
          <cell r="G1734">
            <v>684</v>
          </cell>
        </row>
        <row r="1735">
          <cell r="B1735">
            <v>1</v>
          </cell>
          <cell r="C1735" t="str">
            <v>+ Cồn công nghiệp</v>
          </cell>
          <cell r="D1735" t="str">
            <v>kg</v>
          </cell>
          <cell r="E1735">
            <v>0.432</v>
          </cell>
          <cell r="F1735">
            <v>9500</v>
          </cell>
          <cell r="G1735">
            <v>4104</v>
          </cell>
        </row>
        <row r="1736">
          <cell r="C1736" t="str">
            <v>Nhân công</v>
          </cell>
          <cell r="G1736">
            <v>848806.80789473688</v>
          </cell>
        </row>
        <row r="1737">
          <cell r="B1737" t="str">
            <v>NC1407</v>
          </cell>
          <cell r="C1737" t="str">
            <v>+ Nhân công bậc 4,0/7</v>
          </cell>
          <cell r="D1737" t="str">
            <v>Công</v>
          </cell>
          <cell r="E1737">
            <v>4.3600000000000003</v>
          </cell>
          <cell r="F1737">
            <v>194680.46052631579</v>
          </cell>
          <cell r="G1737">
            <v>848806.80789473688</v>
          </cell>
        </row>
        <row r="1738">
          <cell r="A1738" t="str">
            <v>D3.1574</v>
          </cell>
          <cell r="C1738" t="str">
            <v>Lắp đặt sứ chuỗi sứ đỡ kép cho dây dẫn, chuỗi =&lt; 2x18 bát, Chiều cao lắp đặt sứ =&lt; 85m</v>
          </cell>
          <cell r="D1738" t="str">
            <v>chuỗi</v>
          </cell>
          <cell r="H1738">
            <v>4788</v>
          </cell>
          <cell r="I1738">
            <v>975349.10723684204</v>
          </cell>
        </row>
        <row r="1739">
          <cell r="C1739" t="str">
            <v>Vật liệu</v>
          </cell>
          <cell r="G1739">
            <v>4788</v>
          </cell>
        </row>
        <row r="1740">
          <cell r="B1740">
            <v>9</v>
          </cell>
          <cell r="C1740" t="str">
            <v>+ Giẻ lau</v>
          </cell>
          <cell r="D1740" t="str">
            <v>Kg</v>
          </cell>
          <cell r="E1740">
            <v>7.1999999999999995E-2</v>
          </cell>
          <cell r="F1740">
            <v>9500</v>
          </cell>
          <cell r="G1740">
            <v>684</v>
          </cell>
        </row>
        <row r="1741">
          <cell r="B1741">
            <v>1</v>
          </cell>
          <cell r="C1741" t="str">
            <v>+ Cồn công nghiệp</v>
          </cell>
          <cell r="D1741" t="str">
            <v>kg</v>
          </cell>
          <cell r="E1741">
            <v>0.432</v>
          </cell>
          <cell r="F1741">
            <v>9500</v>
          </cell>
          <cell r="G1741">
            <v>4104</v>
          </cell>
        </row>
        <row r="1742">
          <cell r="C1742" t="str">
            <v>Nhân công</v>
          </cell>
          <cell r="G1742">
            <v>975349.10723684204</v>
          </cell>
        </row>
        <row r="1743">
          <cell r="B1743" t="str">
            <v>NC1407</v>
          </cell>
          <cell r="C1743" t="str">
            <v>+ Nhân công bậc 4,0/7</v>
          </cell>
          <cell r="D1743" t="str">
            <v>Công</v>
          </cell>
          <cell r="E1743">
            <v>5.01</v>
          </cell>
          <cell r="F1743">
            <v>194680.46052631579</v>
          </cell>
          <cell r="G1743">
            <v>975349.10723684204</v>
          </cell>
        </row>
        <row r="1744">
          <cell r="A1744" t="str">
            <v>D3.1584</v>
          </cell>
          <cell r="C1744" t="str">
            <v>Lắp đặt sứ chuỗi sứ đỡ kép cho dây dẫn, chuỗi =&lt; 2x18 bát, Chiều cao lắp đặt sứ =&lt; 100m</v>
          </cell>
          <cell r="D1744" t="str">
            <v>chuỗi</v>
          </cell>
          <cell r="H1744">
            <v>4788</v>
          </cell>
          <cell r="I1744">
            <v>1121359.4526315788</v>
          </cell>
        </row>
        <row r="1745">
          <cell r="C1745" t="str">
            <v>Vật liệu</v>
          </cell>
          <cell r="G1745">
            <v>4788</v>
          </cell>
        </row>
        <row r="1746">
          <cell r="B1746">
            <v>9</v>
          </cell>
          <cell r="C1746" t="str">
            <v>+ Giẻ lau</v>
          </cell>
          <cell r="D1746" t="str">
            <v>Kg</v>
          </cell>
          <cell r="E1746">
            <v>7.1999999999999995E-2</v>
          </cell>
          <cell r="F1746">
            <v>9500</v>
          </cell>
          <cell r="G1746">
            <v>684</v>
          </cell>
        </row>
        <row r="1747">
          <cell r="B1747">
            <v>1</v>
          </cell>
          <cell r="C1747" t="str">
            <v>+ Cồn công nghiệp</v>
          </cell>
          <cell r="D1747" t="str">
            <v>kg</v>
          </cell>
          <cell r="E1747">
            <v>0.432</v>
          </cell>
          <cell r="F1747">
            <v>9500</v>
          </cell>
          <cell r="G1747">
            <v>4104</v>
          </cell>
        </row>
        <row r="1748">
          <cell r="C1748" t="str">
            <v>Nhân công</v>
          </cell>
          <cell r="G1748">
            <v>1121359.4526315788</v>
          </cell>
        </row>
        <row r="1749">
          <cell r="B1749" t="str">
            <v>NC1407</v>
          </cell>
          <cell r="C1749" t="str">
            <v>+ Nhân công bậc 4,0/7</v>
          </cell>
          <cell r="D1749" t="str">
            <v>Công</v>
          </cell>
          <cell r="E1749">
            <v>5.76</v>
          </cell>
          <cell r="F1749">
            <v>194680.46052631579</v>
          </cell>
          <cell r="G1749">
            <v>1121359.4526315788</v>
          </cell>
        </row>
        <row r="1750">
          <cell r="A1750" t="str">
            <v>D3.1515</v>
          </cell>
          <cell r="C1750" t="str">
            <v>Lắp đặt sứ chuỗi sứ đỡ kép cho dây dẫn, chuỗi =&lt; 2x21 bát, Chiều cao lắp đặt sứ =&lt; 20m</v>
          </cell>
          <cell r="D1750" t="str">
            <v>chuỗi</v>
          </cell>
          <cell r="H1750">
            <v>5643</v>
          </cell>
          <cell r="I1750">
            <v>632711.49671052629</v>
          </cell>
        </row>
        <row r="1751">
          <cell r="C1751" t="str">
            <v>Vật liệu</v>
          </cell>
          <cell r="G1751">
            <v>5643</v>
          </cell>
        </row>
        <row r="1752">
          <cell r="B1752">
            <v>9</v>
          </cell>
          <cell r="C1752" t="str">
            <v>+ Giẻ lau</v>
          </cell>
          <cell r="D1752" t="str">
            <v>Kg</v>
          </cell>
          <cell r="E1752">
            <v>7.1999999999999995E-2</v>
          </cell>
          <cell r="F1752">
            <v>9500</v>
          </cell>
          <cell r="G1752">
            <v>684</v>
          </cell>
        </row>
        <row r="1753">
          <cell r="B1753">
            <v>1</v>
          </cell>
          <cell r="C1753" t="str">
            <v>+ Cồn công nghiệp</v>
          </cell>
          <cell r="D1753" t="str">
            <v>kg</v>
          </cell>
          <cell r="E1753">
            <v>0.52200000000000002</v>
          </cell>
          <cell r="F1753">
            <v>9500</v>
          </cell>
          <cell r="G1753">
            <v>4959</v>
          </cell>
        </row>
        <row r="1754">
          <cell r="C1754" t="str">
            <v>Nhân công</v>
          </cell>
          <cell r="G1754">
            <v>632711.49671052629</v>
          </cell>
        </row>
        <row r="1755">
          <cell r="B1755" t="str">
            <v>NC1407</v>
          </cell>
          <cell r="C1755" t="str">
            <v>+ Nhân công bậc 4,0/7</v>
          </cell>
          <cell r="D1755" t="str">
            <v>Công</v>
          </cell>
          <cell r="E1755">
            <v>3.25</v>
          </cell>
          <cell r="F1755">
            <v>194680.46052631579</v>
          </cell>
          <cell r="G1755">
            <v>632711.49671052629</v>
          </cell>
        </row>
        <row r="1756">
          <cell r="A1756" t="str">
            <v>D3.1525</v>
          </cell>
          <cell r="C1756" t="str">
            <v>Lắp đặt sứ chuỗi sứ đỡ kép cho dây dẫn, chuỗi =&lt; 2x21 bát, Chiều cao lắp đặt sứ =&lt; 30m</v>
          </cell>
          <cell r="D1756" t="str">
            <v>chuỗi</v>
          </cell>
          <cell r="H1756">
            <v>5643</v>
          </cell>
          <cell r="I1756">
            <v>667753.97960526322</v>
          </cell>
        </row>
        <row r="1757">
          <cell r="C1757" t="str">
            <v>Vật liệu</v>
          </cell>
          <cell r="G1757">
            <v>5643</v>
          </cell>
        </row>
        <row r="1758">
          <cell r="B1758">
            <v>9</v>
          </cell>
          <cell r="C1758" t="str">
            <v>+ Giẻ lau</v>
          </cell>
          <cell r="D1758" t="str">
            <v>Kg</v>
          </cell>
          <cell r="E1758">
            <v>7.1999999999999995E-2</v>
          </cell>
          <cell r="F1758">
            <v>9500</v>
          </cell>
          <cell r="G1758">
            <v>684</v>
          </cell>
        </row>
        <row r="1759">
          <cell r="B1759">
            <v>1</v>
          </cell>
          <cell r="C1759" t="str">
            <v>+ Cồn công nghiệp</v>
          </cell>
          <cell r="D1759" t="str">
            <v>kg</v>
          </cell>
          <cell r="E1759">
            <v>0.52200000000000002</v>
          </cell>
          <cell r="F1759">
            <v>9500</v>
          </cell>
          <cell r="G1759">
            <v>4959</v>
          </cell>
        </row>
        <row r="1760">
          <cell r="C1760" t="str">
            <v>Nhân công</v>
          </cell>
          <cell r="G1760">
            <v>667753.97960526322</v>
          </cell>
        </row>
        <row r="1761">
          <cell r="B1761" t="str">
            <v>NC1407</v>
          </cell>
          <cell r="C1761" t="str">
            <v>+ Nhân công bậc 4,0/7</v>
          </cell>
          <cell r="D1761" t="str">
            <v>Công</v>
          </cell>
          <cell r="E1761">
            <v>3.43</v>
          </cell>
          <cell r="F1761">
            <v>194680.46052631579</v>
          </cell>
          <cell r="G1761">
            <v>667753.97960526322</v>
          </cell>
        </row>
        <row r="1762">
          <cell r="A1762" t="str">
            <v>D3.1535</v>
          </cell>
          <cell r="C1762" t="str">
            <v>Lắp đặt sứ chuỗi sứ đỡ kép cho dây dẫn, chuỗi =&lt; 2x21 bát, Chiều cao lắp đặt sứ =&lt; 40m</v>
          </cell>
          <cell r="D1762" t="str">
            <v>chuỗi</v>
          </cell>
          <cell r="H1762">
            <v>5643</v>
          </cell>
          <cell r="I1762">
            <v>724211.31315789477</v>
          </cell>
        </row>
        <row r="1763">
          <cell r="C1763" t="str">
            <v>Vật liệu</v>
          </cell>
          <cell r="G1763">
            <v>5643</v>
          </cell>
        </row>
        <row r="1764">
          <cell r="B1764">
            <v>9</v>
          </cell>
          <cell r="C1764" t="str">
            <v>+ Giẻ lau</v>
          </cell>
          <cell r="D1764" t="str">
            <v>Kg</v>
          </cell>
          <cell r="E1764">
            <v>7.1999999999999995E-2</v>
          </cell>
          <cell r="F1764">
            <v>9500</v>
          </cell>
          <cell r="G1764">
            <v>684</v>
          </cell>
        </row>
        <row r="1765">
          <cell r="B1765">
            <v>1</v>
          </cell>
          <cell r="C1765" t="str">
            <v>+ Cồn công nghiệp</v>
          </cell>
          <cell r="D1765" t="str">
            <v>kg</v>
          </cell>
          <cell r="E1765">
            <v>0.52200000000000002</v>
          </cell>
          <cell r="F1765">
            <v>9500</v>
          </cell>
          <cell r="G1765">
            <v>4959</v>
          </cell>
        </row>
        <row r="1766">
          <cell r="C1766" t="str">
            <v>Nhân công</v>
          </cell>
          <cell r="G1766">
            <v>724211.31315789477</v>
          </cell>
        </row>
        <row r="1767">
          <cell r="B1767" t="str">
            <v>NC1407</v>
          </cell>
          <cell r="C1767" t="str">
            <v>+ Nhân công bậc 4,0/7</v>
          </cell>
          <cell r="D1767" t="str">
            <v>Công</v>
          </cell>
          <cell r="E1767">
            <v>3.72</v>
          </cell>
          <cell r="F1767">
            <v>194680.46052631579</v>
          </cell>
          <cell r="G1767">
            <v>724211.31315789477</v>
          </cell>
        </row>
        <row r="1768">
          <cell r="A1768" t="str">
            <v>D3.1545</v>
          </cell>
          <cell r="C1768" t="str">
            <v>Lắp đặt sứ chuỗi sứ đỡ kép cho dây dẫn, chuỗi =&lt; 2x21 bát, Chiều cao lắp đặt sứ =&lt; 50m</v>
          </cell>
          <cell r="D1768" t="str">
            <v>chuỗi</v>
          </cell>
          <cell r="H1768">
            <v>5643</v>
          </cell>
          <cell r="I1768">
            <v>833232.37105263164</v>
          </cell>
        </row>
        <row r="1769">
          <cell r="C1769" t="str">
            <v>Vật liệu</v>
          </cell>
          <cell r="G1769">
            <v>5643</v>
          </cell>
        </row>
        <row r="1770">
          <cell r="B1770">
            <v>9</v>
          </cell>
          <cell r="C1770" t="str">
            <v>+ Giẻ lau</v>
          </cell>
          <cell r="D1770" t="str">
            <v>Kg</v>
          </cell>
          <cell r="E1770">
            <v>7.1999999999999995E-2</v>
          </cell>
          <cell r="F1770">
            <v>9500</v>
          </cell>
          <cell r="G1770">
            <v>684</v>
          </cell>
        </row>
        <row r="1771">
          <cell r="B1771">
            <v>1</v>
          </cell>
          <cell r="C1771" t="str">
            <v>+ Cồn công nghiệp</v>
          </cell>
          <cell r="D1771" t="str">
            <v>kg</v>
          </cell>
          <cell r="E1771">
            <v>0.52200000000000002</v>
          </cell>
          <cell r="F1771">
            <v>9500</v>
          </cell>
          <cell r="G1771">
            <v>4959</v>
          </cell>
        </row>
        <row r="1772">
          <cell r="C1772" t="str">
            <v>Nhân công</v>
          </cell>
          <cell r="G1772">
            <v>833232.37105263164</v>
          </cell>
        </row>
        <row r="1773">
          <cell r="B1773" t="str">
            <v>NC1407</v>
          </cell>
          <cell r="C1773" t="str">
            <v>+ Nhân công bậc 4,0/7</v>
          </cell>
          <cell r="D1773" t="str">
            <v>Công</v>
          </cell>
          <cell r="E1773">
            <v>4.28</v>
          </cell>
          <cell r="F1773">
            <v>194680.46052631579</v>
          </cell>
          <cell r="G1773">
            <v>833232.37105263164</v>
          </cell>
        </row>
        <row r="1774">
          <cell r="A1774" t="str">
            <v>D3.1555</v>
          </cell>
          <cell r="C1774" t="str">
            <v>Lắp đặt sứ chuỗi sứ đỡ kép cho dây dẫn, chuỗi =&lt; 2x21 bát, Chiều cao lắp đặt sứ =&lt; 60m</v>
          </cell>
          <cell r="D1774" t="str">
            <v>chuỗi</v>
          </cell>
          <cell r="H1774">
            <v>5643</v>
          </cell>
          <cell r="I1774">
            <v>924732.1875</v>
          </cell>
        </row>
        <row r="1775">
          <cell r="C1775" t="str">
            <v>Vật liệu</v>
          </cell>
          <cell r="G1775">
            <v>5643</v>
          </cell>
        </row>
        <row r="1776">
          <cell r="B1776">
            <v>9</v>
          </cell>
          <cell r="C1776" t="str">
            <v>+ Giẻ lau</v>
          </cell>
          <cell r="D1776" t="str">
            <v>Kg</v>
          </cell>
          <cell r="E1776">
            <v>7.1999999999999995E-2</v>
          </cell>
          <cell r="F1776">
            <v>9500</v>
          </cell>
          <cell r="G1776">
            <v>684</v>
          </cell>
        </row>
        <row r="1777">
          <cell r="B1777">
            <v>1</v>
          </cell>
          <cell r="C1777" t="str">
            <v>+ Cồn công nghiệp</v>
          </cell>
          <cell r="D1777" t="str">
            <v>kg</v>
          </cell>
          <cell r="E1777">
            <v>0.52200000000000002</v>
          </cell>
          <cell r="F1777">
            <v>9500</v>
          </cell>
          <cell r="G1777">
            <v>4959</v>
          </cell>
        </row>
        <row r="1778">
          <cell r="C1778" t="str">
            <v>Nhân công</v>
          </cell>
          <cell r="G1778">
            <v>924732.1875</v>
          </cell>
        </row>
        <row r="1779">
          <cell r="B1779" t="str">
            <v>NC1407</v>
          </cell>
          <cell r="C1779" t="str">
            <v>+ Nhân công bậc 4,0/7</v>
          </cell>
          <cell r="D1779" t="str">
            <v>Công</v>
          </cell>
          <cell r="E1779">
            <v>4.75</v>
          </cell>
          <cell r="F1779">
            <v>194680.46052631579</v>
          </cell>
          <cell r="G1779">
            <v>924732.1875</v>
          </cell>
        </row>
        <row r="1780">
          <cell r="A1780" t="str">
            <v>D3.1565</v>
          </cell>
          <cell r="C1780" t="str">
            <v>Lắp đặt sứ chuỗi sứ đỡ kép cho dây dẫn, chuỗi =&lt; 2x21 bát, Chiều cao lắp đặt sứ =&lt; 70m</v>
          </cell>
          <cell r="D1780" t="str">
            <v>chuỗi</v>
          </cell>
          <cell r="H1780">
            <v>5643</v>
          </cell>
          <cell r="I1780">
            <v>948093.84276315791</v>
          </cell>
        </row>
        <row r="1781">
          <cell r="C1781" t="str">
            <v>Vật liệu</v>
          </cell>
          <cell r="G1781">
            <v>5643</v>
          </cell>
        </row>
        <row r="1782">
          <cell r="B1782">
            <v>9</v>
          </cell>
          <cell r="C1782" t="str">
            <v>+ Giẻ lau</v>
          </cell>
          <cell r="D1782" t="str">
            <v>Kg</v>
          </cell>
          <cell r="E1782">
            <v>7.1999999999999995E-2</v>
          </cell>
          <cell r="F1782">
            <v>9500</v>
          </cell>
          <cell r="G1782">
            <v>684</v>
          </cell>
        </row>
        <row r="1783">
          <cell r="B1783">
            <v>1</v>
          </cell>
          <cell r="C1783" t="str">
            <v>+ Cồn công nghiệp</v>
          </cell>
          <cell r="D1783" t="str">
            <v>kg</v>
          </cell>
          <cell r="E1783">
            <v>0.52200000000000002</v>
          </cell>
          <cell r="F1783">
            <v>9500</v>
          </cell>
          <cell r="G1783">
            <v>4959</v>
          </cell>
        </row>
        <row r="1784">
          <cell r="C1784" t="str">
            <v>Nhân công</v>
          </cell>
          <cell r="G1784">
            <v>948093.84276315791</v>
          </cell>
        </row>
        <row r="1785">
          <cell r="B1785" t="str">
            <v>NC1407</v>
          </cell>
          <cell r="C1785" t="str">
            <v>+ Nhân công bậc 4,0/7</v>
          </cell>
          <cell r="D1785" t="str">
            <v>Công</v>
          </cell>
          <cell r="E1785">
            <v>4.87</v>
          </cell>
          <cell r="F1785">
            <v>194680.46052631579</v>
          </cell>
          <cell r="G1785">
            <v>948093.84276315791</v>
          </cell>
        </row>
        <row r="1786">
          <cell r="A1786" t="str">
            <v>D3.1575</v>
          </cell>
          <cell r="C1786" t="str">
            <v>Lắp đặt sứ chuỗi sứ đỡ kép cho dây dẫn, chuỗi =&lt; 2x21 bát, Chiều cao lắp đặt sứ =&lt; 85m</v>
          </cell>
          <cell r="D1786" t="str">
            <v>chuỗi</v>
          </cell>
          <cell r="H1786">
            <v>5643</v>
          </cell>
          <cell r="I1786">
            <v>1171976.3723684209</v>
          </cell>
        </row>
        <row r="1787">
          <cell r="C1787" t="str">
            <v>Vật liệu</v>
          </cell>
          <cell r="G1787">
            <v>5643</v>
          </cell>
        </row>
        <row r="1788">
          <cell r="B1788">
            <v>9</v>
          </cell>
          <cell r="C1788" t="str">
            <v>+ Giẻ lau</v>
          </cell>
          <cell r="D1788" t="str">
            <v>Kg</v>
          </cell>
          <cell r="E1788">
            <v>7.1999999999999995E-2</v>
          </cell>
          <cell r="F1788">
            <v>9500</v>
          </cell>
          <cell r="G1788">
            <v>684</v>
          </cell>
        </row>
        <row r="1789">
          <cell r="B1789">
            <v>1</v>
          </cell>
          <cell r="C1789" t="str">
            <v>+ Cồn công nghiệp</v>
          </cell>
          <cell r="D1789" t="str">
            <v>kg</v>
          </cell>
          <cell r="E1789">
            <v>0.52200000000000002</v>
          </cell>
          <cell r="F1789">
            <v>9500</v>
          </cell>
          <cell r="G1789">
            <v>4959</v>
          </cell>
        </row>
        <row r="1790">
          <cell r="C1790" t="str">
            <v>Nhân công</v>
          </cell>
          <cell r="G1790">
            <v>1171976.3723684209</v>
          </cell>
        </row>
        <row r="1791">
          <cell r="B1791" t="str">
            <v>NC1407</v>
          </cell>
          <cell r="C1791" t="str">
            <v>+ Nhân công bậc 4,0/7</v>
          </cell>
          <cell r="D1791" t="str">
            <v>Công</v>
          </cell>
          <cell r="E1791">
            <v>6.02</v>
          </cell>
          <cell r="F1791">
            <v>194680.46052631579</v>
          </cell>
          <cell r="G1791">
            <v>1171976.3723684209</v>
          </cell>
        </row>
        <row r="1792">
          <cell r="A1792" t="str">
            <v>D3.1585</v>
          </cell>
          <cell r="C1792" t="str">
            <v>Lắp đặt sứ chuỗi sứ đỡ kép cho dây dẫn, chuỗi =&lt; 2x21 bát, Chiều cao lắp đặt sứ =&lt; 100m</v>
          </cell>
          <cell r="D1792" t="str">
            <v>chuỗi</v>
          </cell>
          <cell r="H1792">
            <v>5643</v>
          </cell>
          <cell r="I1792">
            <v>1349135.5914473683</v>
          </cell>
        </row>
        <row r="1793">
          <cell r="C1793" t="str">
            <v>Vật liệu</v>
          </cell>
          <cell r="G1793">
            <v>5643</v>
          </cell>
        </row>
        <row r="1794">
          <cell r="B1794">
            <v>9</v>
          </cell>
          <cell r="C1794" t="str">
            <v>+ Giẻ lau</v>
          </cell>
          <cell r="D1794" t="str">
            <v>Kg</v>
          </cell>
          <cell r="E1794">
            <v>7.1999999999999995E-2</v>
          </cell>
          <cell r="F1794">
            <v>9500</v>
          </cell>
          <cell r="G1794">
            <v>684</v>
          </cell>
        </row>
        <row r="1795">
          <cell r="B1795">
            <v>1</v>
          </cell>
          <cell r="C1795" t="str">
            <v>+ Cồn công nghiệp</v>
          </cell>
          <cell r="D1795" t="str">
            <v>kg</v>
          </cell>
          <cell r="E1795">
            <v>0.52200000000000002</v>
          </cell>
          <cell r="F1795">
            <v>9500</v>
          </cell>
          <cell r="G1795">
            <v>4959</v>
          </cell>
        </row>
        <row r="1796">
          <cell r="C1796" t="str">
            <v>Nhân công</v>
          </cell>
          <cell r="G1796">
            <v>1349135.5914473683</v>
          </cell>
        </row>
        <row r="1797">
          <cell r="B1797" t="str">
            <v>NC1407</v>
          </cell>
          <cell r="C1797" t="str">
            <v>+ Nhân công bậc 4,0/7</v>
          </cell>
          <cell r="D1797" t="str">
            <v>Công</v>
          </cell>
          <cell r="E1797">
            <v>6.93</v>
          </cell>
          <cell r="F1797">
            <v>194680.46052631579</v>
          </cell>
          <cell r="G1797">
            <v>1349135.5914473683</v>
          </cell>
        </row>
        <row r="1798">
          <cell r="A1798" t="str">
            <v>D3.1516</v>
          </cell>
          <cell r="C1798" t="str">
            <v>Lắp đặt sứ chuỗi sứ đỡ kép cho dây dẫn, chuỗi &gt; 2x21 bát, Chiều cao lắp đặt sứ =&lt; 20m</v>
          </cell>
          <cell r="D1798" t="str">
            <v>chuỗi</v>
          </cell>
          <cell r="H1798">
            <v>6669</v>
          </cell>
          <cell r="I1798">
            <v>759253.79605263157</v>
          </cell>
        </row>
        <row r="1799">
          <cell r="C1799" t="str">
            <v>Vật liệu</v>
          </cell>
          <cell r="G1799">
            <v>6669</v>
          </cell>
        </row>
        <row r="1800">
          <cell r="B1800">
            <v>9</v>
          </cell>
          <cell r="C1800" t="str">
            <v>+ Giẻ lau</v>
          </cell>
          <cell r="D1800" t="str">
            <v>Kg</v>
          </cell>
          <cell r="E1800">
            <v>7.1999999999999995E-2</v>
          </cell>
          <cell r="F1800">
            <v>9500</v>
          </cell>
          <cell r="G1800">
            <v>684</v>
          </cell>
        </row>
        <row r="1801">
          <cell r="B1801">
            <v>1</v>
          </cell>
          <cell r="C1801" t="str">
            <v>+ Cồn công nghiệp</v>
          </cell>
          <cell r="D1801" t="str">
            <v>kg</v>
          </cell>
          <cell r="E1801">
            <v>0.63</v>
          </cell>
          <cell r="F1801">
            <v>9500</v>
          </cell>
          <cell r="G1801">
            <v>5985</v>
          </cell>
        </row>
        <row r="1802">
          <cell r="C1802" t="str">
            <v>Nhân công</v>
          </cell>
          <cell r="G1802">
            <v>759253.79605263157</v>
          </cell>
        </row>
        <row r="1803">
          <cell r="B1803" t="str">
            <v>NC1407</v>
          </cell>
          <cell r="C1803" t="str">
            <v>+ Nhân công bậc 4,0/7</v>
          </cell>
          <cell r="D1803" t="str">
            <v>Công</v>
          </cell>
          <cell r="E1803">
            <v>3.9</v>
          </cell>
          <cell r="F1803">
            <v>194680.46052631579</v>
          </cell>
          <cell r="G1803">
            <v>759253.79605263157</v>
          </cell>
        </row>
        <row r="1804">
          <cell r="A1804" t="str">
            <v>D3.1526</v>
          </cell>
          <cell r="C1804" t="str">
            <v>Lắp đặt sứ chuỗi sứ đỡ kép cho dây dẫn, chuỗi &gt; 2x21 bát, Chiều cao lắp đặt sứ =&lt; 30m</v>
          </cell>
          <cell r="D1804" t="str">
            <v>chuỗi</v>
          </cell>
          <cell r="H1804">
            <v>6669</v>
          </cell>
          <cell r="I1804">
            <v>802083.49736842106</v>
          </cell>
        </row>
        <row r="1805">
          <cell r="C1805" t="str">
            <v>Vật liệu</v>
          </cell>
          <cell r="G1805">
            <v>6669</v>
          </cell>
        </row>
        <row r="1806">
          <cell r="B1806">
            <v>9</v>
          </cell>
          <cell r="C1806" t="str">
            <v>+ Giẻ lau</v>
          </cell>
          <cell r="D1806" t="str">
            <v>Kg</v>
          </cell>
          <cell r="E1806">
            <v>7.1999999999999995E-2</v>
          </cell>
          <cell r="F1806">
            <v>9500</v>
          </cell>
          <cell r="G1806">
            <v>684</v>
          </cell>
        </row>
        <row r="1807">
          <cell r="B1807">
            <v>1</v>
          </cell>
          <cell r="C1807" t="str">
            <v>+ Cồn công nghiệp</v>
          </cell>
          <cell r="D1807" t="str">
            <v>kg</v>
          </cell>
          <cell r="E1807">
            <v>0.63</v>
          </cell>
          <cell r="F1807">
            <v>9500</v>
          </cell>
          <cell r="G1807">
            <v>5985</v>
          </cell>
        </row>
        <row r="1808">
          <cell r="C1808" t="str">
            <v>Nhân công</v>
          </cell>
          <cell r="G1808">
            <v>802083.49736842106</v>
          </cell>
        </row>
        <row r="1809">
          <cell r="B1809" t="str">
            <v>NC1407</v>
          </cell>
          <cell r="C1809" t="str">
            <v>+ Nhân công bậc 4,0/7</v>
          </cell>
          <cell r="D1809" t="str">
            <v>Công</v>
          </cell>
          <cell r="E1809">
            <v>4.12</v>
          </cell>
          <cell r="F1809">
            <v>194680.46052631579</v>
          </cell>
          <cell r="G1809">
            <v>802083.49736842106</v>
          </cell>
        </row>
        <row r="1810">
          <cell r="A1810" t="str">
            <v>D3.1536</v>
          </cell>
          <cell r="C1810" t="str">
            <v>Lắp đặt sứ chuỗi sứ đỡ kép cho dây dẫn, chuỗi &gt; 2x21 bát, Chiều cao lắp đặt sứ =&lt; 40m</v>
          </cell>
          <cell r="D1810" t="str">
            <v>chuỗi</v>
          </cell>
          <cell r="H1810">
            <v>6669</v>
          </cell>
          <cell r="I1810">
            <v>870221.6585526315</v>
          </cell>
        </row>
        <row r="1811">
          <cell r="C1811" t="str">
            <v>Vật liệu</v>
          </cell>
          <cell r="G1811">
            <v>6669</v>
          </cell>
        </row>
        <row r="1812">
          <cell r="B1812">
            <v>9</v>
          </cell>
          <cell r="C1812" t="str">
            <v>+ Giẻ lau</v>
          </cell>
          <cell r="D1812" t="str">
            <v>Kg</v>
          </cell>
          <cell r="E1812">
            <v>7.1999999999999995E-2</v>
          </cell>
          <cell r="F1812">
            <v>9500</v>
          </cell>
          <cell r="G1812">
            <v>684</v>
          </cell>
        </row>
        <row r="1813">
          <cell r="B1813">
            <v>1</v>
          </cell>
          <cell r="C1813" t="str">
            <v>+ Cồn công nghiệp</v>
          </cell>
          <cell r="D1813" t="str">
            <v>kg</v>
          </cell>
          <cell r="E1813">
            <v>0.63</v>
          </cell>
          <cell r="F1813">
            <v>9500</v>
          </cell>
          <cell r="G1813">
            <v>5985</v>
          </cell>
        </row>
        <row r="1814">
          <cell r="C1814" t="str">
            <v>Nhân công</v>
          </cell>
          <cell r="G1814">
            <v>870221.6585526315</v>
          </cell>
        </row>
        <row r="1815">
          <cell r="B1815" t="str">
            <v>NC1407</v>
          </cell>
          <cell r="C1815" t="str">
            <v>+ Nhân công bậc 4,0/7</v>
          </cell>
          <cell r="D1815" t="str">
            <v>Công</v>
          </cell>
          <cell r="E1815">
            <v>4.47</v>
          </cell>
          <cell r="F1815">
            <v>194680.46052631579</v>
          </cell>
          <cell r="G1815">
            <v>870221.6585526315</v>
          </cell>
        </row>
        <row r="1816">
          <cell r="A1816" t="str">
            <v>D3.1546</v>
          </cell>
          <cell r="C1816" t="str">
            <v>Lắp đặt sứ chuỗi sứ đỡ kép cho dây dẫn, chuỗi &gt; 2x21 bát, Chiều cao lắp đặt sứ =&lt; 50m</v>
          </cell>
          <cell r="D1816" t="str">
            <v>chuỗi</v>
          </cell>
          <cell r="H1816">
            <v>6669</v>
          </cell>
          <cell r="I1816">
            <v>998710.76249999995</v>
          </cell>
        </row>
        <row r="1817">
          <cell r="C1817" t="str">
            <v>Vật liệu</v>
          </cell>
          <cell r="G1817">
            <v>6669</v>
          </cell>
        </row>
        <row r="1818">
          <cell r="B1818">
            <v>9</v>
          </cell>
          <cell r="C1818" t="str">
            <v>+ Giẻ lau</v>
          </cell>
          <cell r="D1818" t="str">
            <v>Kg</v>
          </cell>
          <cell r="E1818">
            <v>7.1999999999999995E-2</v>
          </cell>
          <cell r="F1818">
            <v>9500</v>
          </cell>
          <cell r="G1818">
            <v>684</v>
          </cell>
        </row>
        <row r="1819">
          <cell r="B1819">
            <v>1</v>
          </cell>
          <cell r="C1819" t="str">
            <v>+ Cồn công nghiệp</v>
          </cell>
          <cell r="D1819" t="str">
            <v>kg</v>
          </cell>
          <cell r="E1819">
            <v>0.63</v>
          </cell>
          <cell r="F1819">
            <v>9500</v>
          </cell>
          <cell r="G1819">
            <v>5985</v>
          </cell>
        </row>
        <row r="1820">
          <cell r="C1820" t="str">
            <v>Nhân công</v>
          </cell>
          <cell r="G1820">
            <v>998710.76249999995</v>
          </cell>
        </row>
        <row r="1821">
          <cell r="B1821" t="str">
            <v>NC1407</v>
          </cell>
          <cell r="C1821" t="str">
            <v>+ Nhân công bậc 4,0/7</v>
          </cell>
          <cell r="D1821" t="str">
            <v>Công</v>
          </cell>
          <cell r="E1821">
            <v>5.13</v>
          </cell>
          <cell r="F1821">
            <v>194680.46052631579</v>
          </cell>
          <cell r="G1821">
            <v>998710.76249999995</v>
          </cell>
        </row>
        <row r="1822">
          <cell r="A1822" t="str">
            <v>D3.1556</v>
          </cell>
          <cell r="C1822" t="str">
            <v>Lắp đặt sứ chuỗi sứ đỡ kép cho dây dẫn, chuỗi &gt; 2x21 bát, Chiều cao lắp đặt sứ =&lt; 60m</v>
          </cell>
          <cell r="D1822" t="str">
            <v>chuỗi</v>
          </cell>
          <cell r="H1822">
            <v>6669</v>
          </cell>
          <cell r="I1822">
            <v>1109678.625</v>
          </cell>
        </row>
        <row r="1823">
          <cell r="C1823" t="str">
            <v>Vật liệu</v>
          </cell>
          <cell r="G1823">
            <v>6669</v>
          </cell>
        </row>
        <row r="1824">
          <cell r="B1824">
            <v>9</v>
          </cell>
          <cell r="C1824" t="str">
            <v>+ Giẻ lau</v>
          </cell>
          <cell r="D1824" t="str">
            <v>Kg</v>
          </cell>
          <cell r="E1824">
            <v>7.1999999999999995E-2</v>
          </cell>
          <cell r="F1824">
            <v>9500</v>
          </cell>
          <cell r="G1824">
            <v>684</v>
          </cell>
        </row>
        <row r="1825">
          <cell r="B1825">
            <v>1</v>
          </cell>
          <cell r="C1825" t="str">
            <v>+ Cồn công nghiệp</v>
          </cell>
          <cell r="D1825" t="str">
            <v>kg</v>
          </cell>
          <cell r="E1825">
            <v>0.63</v>
          </cell>
          <cell r="F1825">
            <v>9500</v>
          </cell>
          <cell r="G1825">
            <v>5985</v>
          </cell>
        </row>
        <row r="1826">
          <cell r="C1826" t="str">
            <v>Nhân công</v>
          </cell>
          <cell r="G1826">
            <v>1109678.625</v>
          </cell>
        </row>
        <row r="1827">
          <cell r="B1827" t="str">
            <v>NC1407</v>
          </cell>
          <cell r="C1827" t="str">
            <v>+ Nhân công bậc 4,0/7</v>
          </cell>
          <cell r="D1827" t="str">
            <v>Công</v>
          </cell>
          <cell r="E1827">
            <v>5.7</v>
          </cell>
          <cell r="F1827">
            <v>194680.46052631579</v>
          </cell>
          <cell r="G1827">
            <v>1109678.625</v>
          </cell>
        </row>
        <row r="1828">
          <cell r="A1828" t="str">
            <v>D3.1566</v>
          </cell>
          <cell r="C1828" t="str">
            <v>Lắp đặt sứ chuỗi sứ đỡ kép cho dây dẫn, chuỗi &gt; 2x21 bát, Chiều cao lắp đặt sứ =&lt; 70m</v>
          </cell>
          <cell r="D1828" t="str">
            <v>chuỗi</v>
          </cell>
          <cell r="H1828">
            <v>6669</v>
          </cell>
          <cell r="I1828">
            <v>1222593.2921052631</v>
          </cell>
        </row>
        <row r="1829">
          <cell r="C1829" t="str">
            <v>Vật liệu</v>
          </cell>
          <cell r="G1829">
            <v>6669</v>
          </cell>
        </row>
        <row r="1830">
          <cell r="B1830">
            <v>9</v>
          </cell>
          <cell r="C1830" t="str">
            <v>+ Giẻ lau</v>
          </cell>
          <cell r="D1830" t="str">
            <v>Kg</v>
          </cell>
          <cell r="E1830">
            <v>7.1999999999999995E-2</v>
          </cell>
          <cell r="F1830">
            <v>9500</v>
          </cell>
          <cell r="G1830">
            <v>684</v>
          </cell>
        </row>
        <row r="1831">
          <cell r="B1831">
            <v>1</v>
          </cell>
          <cell r="C1831" t="str">
            <v>+ Cồn công nghiệp</v>
          </cell>
          <cell r="D1831" t="str">
            <v>kg</v>
          </cell>
          <cell r="E1831">
            <v>0.63</v>
          </cell>
          <cell r="F1831">
            <v>9500</v>
          </cell>
          <cell r="G1831">
            <v>5985</v>
          </cell>
        </row>
        <row r="1832">
          <cell r="C1832" t="str">
            <v>Nhân công</v>
          </cell>
          <cell r="G1832">
            <v>1222593.2921052631</v>
          </cell>
        </row>
        <row r="1833">
          <cell r="B1833" t="str">
            <v>NC1407</v>
          </cell>
          <cell r="C1833" t="str">
            <v>+ Nhân công bậc 4,0/7</v>
          </cell>
          <cell r="D1833" t="str">
            <v>Công</v>
          </cell>
          <cell r="E1833">
            <v>6.28</v>
          </cell>
          <cell r="F1833">
            <v>194680.46052631579</v>
          </cell>
          <cell r="G1833">
            <v>1222593.2921052631</v>
          </cell>
        </row>
        <row r="1834">
          <cell r="A1834" t="str">
            <v>D3.1576</v>
          </cell>
          <cell r="C1834" t="str">
            <v>Lắp đặt sứ chuỗi sứ đỡ kép cho dây dẫn, chuỗi &gt; 2x21 bát, Chiều cao lắp đặt sứ =&lt; 85m</v>
          </cell>
          <cell r="D1834" t="str">
            <v>chuỗi</v>
          </cell>
          <cell r="H1834">
            <v>6669</v>
          </cell>
          <cell r="I1834">
            <v>1407539.7296052633</v>
          </cell>
        </row>
        <row r="1835">
          <cell r="C1835" t="str">
            <v>Vật liệu</v>
          </cell>
          <cell r="G1835">
            <v>6669</v>
          </cell>
        </row>
        <row r="1836">
          <cell r="B1836">
            <v>9</v>
          </cell>
          <cell r="C1836" t="str">
            <v>+ Giẻ lau</v>
          </cell>
          <cell r="D1836" t="str">
            <v>Kg</v>
          </cell>
          <cell r="E1836">
            <v>7.1999999999999995E-2</v>
          </cell>
          <cell r="F1836">
            <v>9500</v>
          </cell>
          <cell r="G1836">
            <v>684</v>
          </cell>
        </row>
        <row r="1837">
          <cell r="B1837">
            <v>1</v>
          </cell>
          <cell r="C1837" t="str">
            <v>+ Cồn công nghiệp</v>
          </cell>
          <cell r="D1837" t="str">
            <v>kg</v>
          </cell>
          <cell r="E1837">
            <v>0.63</v>
          </cell>
          <cell r="F1837">
            <v>9500</v>
          </cell>
          <cell r="G1837">
            <v>5985</v>
          </cell>
        </row>
        <row r="1838">
          <cell r="C1838" t="str">
            <v>Nhân công</v>
          </cell>
          <cell r="G1838">
            <v>1407539.7296052633</v>
          </cell>
        </row>
        <row r="1839">
          <cell r="B1839" t="str">
            <v>NC1407</v>
          </cell>
          <cell r="C1839" t="str">
            <v>+ Nhân công bậc 4,0/7</v>
          </cell>
          <cell r="D1839" t="str">
            <v>Công</v>
          </cell>
          <cell r="E1839">
            <v>7.23</v>
          </cell>
          <cell r="F1839">
            <v>194680.46052631579</v>
          </cell>
          <cell r="G1839">
            <v>1407539.7296052633</v>
          </cell>
        </row>
        <row r="1840">
          <cell r="A1840" t="str">
            <v>D3.1586</v>
          </cell>
          <cell r="C1840" t="str">
            <v>Lắp đặt sứ chuỗi sứ đỡ kép cho dây dẫn, chuỗi &gt; 2x21 bát, Chiều cao lắp đặt sứ =&lt; 100m</v>
          </cell>
          <cell r="D1840" t="str">
            <v>chuỗi</v>
          </cell>
          <cell r="H1840">
            <v>6669</v>
          </cell>
          <cell r="I1840">
            <v>1619741.4315789475</v>
          </cell>
        </row>
        <row r="1841">
          <cell r="C1841" t="str">
            <v>Vật liệu</v>
          </cell>
          <cell r="G1841">
            <v>6669</v>
          </cell>
        </row>
        <row r="1842">
          <cell r="B1842">
            <v>9</v>
          </cell>
          <cell r="C1842" t="str">
            <v>+ Giẻ lau</v>
          </cell>
          <cell r="D1842" t="str">
            <v>Kg</v>
          </cell>
          <cell r="E1842">
            <v>7.1999999999999995E-2</v>
          </cell>
          <cell r="F1842">
            <v>9500</v>
          </cell>
          <cell r="G1842">
            <v>684</v>
          </cell>
        </row>
        <row r="1843">
          <cell r="B1843">
            <v>1</v>
          </cell>
          <cell r="C1843" t="str">
            <v>+ Cồn công nghiệp</v>
          </cell>
          <cell r="D1843" t="str">
            <v>kg</v>
          </cell>
          <cell r="E1843">
            <v>0.63</v>
          </cell>
          <cell r="F1843">
            <v>9500</v>
          </cell>
          <cell r="G1843">
            <v>5985</v>
          </cell>
        </row>
        <row r="1844">
          <cell r="C1844" t="str">
            <v>Nhân công</v>
          </cell>
          <cell r="G1844">
            <v>1619741.4315789475</v>
          </cell>
        </row>
        <row r="1845">
          <cell r="B1845" t="str">
            <v>NC1407</v>
          </cell>
          <cell r="C1845" t="str">
            <v>+ Nhân công bậc 4,0/7</v>
          </cell>
          <cell r="D1845" t="str">
            <v>Công</v>
          </cell>
          <cell r="E1845">
            <v>8.32</v>
          </cell>
          <cell r="F1845">
            <v>194680.46052631579</v>
          </cell>
          <cell r="G1845">
            <v>1619741.4315789475</v>
          </cell>
        </row>
        <row r="1846">
          <cell r="A1846" t="str">
            <v>D3.1611</v>
          </cell>
          <cell r="C1846" t="str">
            <v>Lắp đặt sứ chuỗi sứ đỡ hình V cho dây dẫn, chuỗi =&lt; 2x8 bát, Chiều cao lắp đặt sứ =&lt; 20m</v>
          </cell>
          <cell r="D1846" t="str">
            <v>chuỗi</v>
          </cell>
          <cell r="H1846">
            <v>529200</v>
          </cell>
          <cell r="I1846">
            <v>260871.81710526318</v>
          </cell>
        </row>
        <row r="1847">
          <cell r="C1847" t="str">
            <v>Vật liệu</v>
          </cell>
          <cell r="G1847">
            <v>529200</v>
          </cell>
        </row>
        <row r="1848">
          <cell r="B1848">
            <v>66</v>
          </cell>
          <cell r="C1848" t="str">
            <v>+ Giẻ lau</v>
          </cell>
          <cell r="D1848" t="str">
            <v>Kg</v>
          </cell>
          <cell r="E1848">
            <v>5.3999999999999999E-2</v>
          </cell>
          <cell r="F1848">
            <v>600000</v>
          </cell>
          <cell r="G1848">
            <v>32400</v>
          </cell>
        </row>
        <row r="1849">
          <cell r="B1849">
            <v>44</v>
          </cell>
          <cell r="C1849" t="str">
            <v>+ Cồn công nghiệp</v>
          </cell>
          <cell r="D1849" t="str">
            <v>kg</v>
          </cell>
          <cell r="E1849">
            <v>0.216</v>
          </cell>
          <cell r="F1849">
            <v>2300000</v>
          </cell>
          <cell r="G1849">
            <v>496800</v>
          </cell>
        </row>
        <row r="1850">
          <cell r="C1850" t="str">
            <v>Nhân công</v>
          </cell>
          <cell r="G1850">
            <v>260871.81710526318</v>
          </cell>
        </row>
        <row r="1851">
          <cell r="B1851" t="str">
            <v>NC1407</v>
          </cell>
          <cell r="C1851" t="str">
            <v>+ Nhân công bậc 4,0/7</v>
          </cell>
          <cell r="D1851" t="str">
            <v>Công</v>
          </cell>
          <cell r="E1851">
            <v>1.34</v>
          </cell>
          <cell r="F1851">
            <v>194680.46052631579</v>
          </cell>
          <cell r="G1851">
            <v>260871.81710526318</v>
          </cell>
        </row>
        <row r="1852">
          <cell r="A1852" t="str">
            <v>D3.1621</v>
          </cell>
          <cell r="C1852" t="str">
            <v>Lắp đặt sứ chuỗi sứ đỡ hình V cho dây dẫn, chuỗi =&lt; 2x8 bát, Chiều cao lắp đặt sứ =&lt; 30m</v>
          </cell>
          <cell r="D1852" t="str">
            <v>chuỗi</v>
          </cell>
          <cell r="H1852">
            <v>2565</v>
          </cell>
          <cell r="I1852">
            <v>274499.44934210525</v>
          </cell>
        </row>
        <row r="1853">
          <cell r="C1853" t="str">
            <v>Vật liệu</v>
          </cell>
          <cell r="G1853">
            <v>2565</v>
          </cell>
        </row>
        <row r="1854">
          <cell r="B1854">
            <v>9</v>
          </cell>
          <cell r="C1854" t="str">
            <v>+ Giẻ lau</v>
          </cell>
          <cell r="D1854" t="str">
            <v>Kg</v>
          </cell>
          <cell r="E1854">
            <v>5.3999999999999999E-2</v>
          </cell>
          <cell r="F1854">
            <v>9500</v>
          </cell>
          <cell r="G1854">
            <v>513</v>
          </cell>
        </row>
        <row r="1855">
          <cell r="B1855">
            <v>1</v>
          </cell>
          <cell r="C1855" t="str">
            <v>+ Cồn công nghiệp</v>
          </cell>
          <cell r="D1855" t="str">
            <v>kg</v>
          </cell>
          <cell r="E1855">
            <v>0.216</v>
          </cell>
          <cell r="F1855">
            <v>9500</v>
          </cell>
          <cell r="G1855">
            <v>2052</v>
          </cell>
        </row>
        <row r="1856">
          <cell r="C1856" t="str">
            <v>Nhân công</v>
          </cell>
          <cell r="G1856">
            <v>274499.44934210525</v>
          </cell>
        </row>
        <row r="1857">
          <cell r="B1857" t="str">
            <v>NC1407</v>
          </cell>
          <cell r="C1857" t="str">
            <v>+ Nhân công bậc 4,0/7</v>
          </cell>
          <cell r="D1857" t="str">
            <v>Công</v>
          </cell>
          <cell r="E1857">
            <v>1.41</v>
          </cell>
          <cell r="F1857">
            <v>194680.46052631579</v>
          </cell>
          <cell r="G1857">
            <v>274499.44934210525</v>
          </cell>
        </row>
        <row r="1858">
          <cell r="A1858" t="str">
            <v>D3.1631</v>
          </cell>
          <cell r="C1858" t="str">
            <v>Lắp đặt sứ chuỗi sứ đỡ hình V cho dây dẫn, chuỗi =&lt; 2x8 bát, Chiều cao lắp đặt sứ =&lt; 40m</v>
          </cell>
          <cell r="D1858" t="str">
            <v>chuỗi</v>
          </cell>
          <cell r="H1858">
            <v>2565</v>
          </cell>
          <cell r="I1858">
            <v>297861.10460526316</v>
          </cell>
        </row>
        <row r="1859">
          <cell r="C1859" t="str">
            <v>Vật liệu</v>
          </cell>
          <cell r="G1859">
            <v>2565</v>
          </cell>
        </row>
        <row r="1860">
          <cell r="B1860">
            <v>9</v>
          </cell>
          <cell r="C1860" t="str">
            <v>+ Giẻ lau</v>
          </cell>
          <cell r="D1860" t="str">
            <v>Kg</v>
          </cell>
          <cell r="E1860">
            <v>5.3999999999999999E-2</v>
          </cell>
          <cell r="F1860">
            <v>9500</v>
          </cell>
          <cell r="G1860">
            <v>513</v>
          </cell>
        </row>
        <row r="1861">
          <cell r="B1861">
            <v>1</v>
          </cell>
          <cell r="C1861" t="str">
            <v>+ Cồn công nghiệp</v>
          </cell>
          <cell r="D1861" t="str">
            <v>kg</v>
          </cell>
          <cell r="E1861">
            <v>0.216</v>
          </cell>
          <cell r="F1861">
            <v>9500</v>
          </cell>
          <cell r="G1861">
            <v>2052</v>
          </cell>
        </row>
        <row r="1862">
          <cell r="C1862" t="str">
            <v>Nhân công</v>
          </cell>
          <cell r="G1862">
            <v>297861.10460526316</v>
          </cell>
        </row>
        <row r="1863">
          <cell r="B1863" t="str">
            <v>NC1407</v>
          </cell>
          <cell r="C1863" t="str">
            <v>+ Nhân công bậc 4,0/7</v>
          </cell>
          <cell r="D1863" t="str">
            <v>Công</v>
          </cell>
          <cell r="E1863">
            <v>1.53</v>
          </cell>
          <cell r="F1863">
            <v>194680.46052631579</v>
          </cell>
          <cell r="G1863">
            <v>297861.10460526316</v>
          </cell>
        </row>
        <row r="1864">
          <cell r="A1864" t="str">
            <v>D3.1641</v>
          </cell>
          <cell r="C1864" t="str">
            <v>Lắp đặt sứ chuỗi sứ đỡ hình V cho dây dẫn, chuỗi =&lt; 2x8 bát, Chiều cao lắp đặt sứ =&lt; 50m</v>
          </cell>
          <cell r="D1864" t="str">
            <v>chuỗi</v>
          </cell>
          <cell r="H1864">
            <v>2565</v>
          </cell>
          <cell r="I1864">
            <v>348478.02434210526</v>
          </cell>
        </row>
        <row r="1865">
          <cell r="C1865" t="str">
            <v>Vật liệu</v>
          </cell>
          <cell r="G1865">
            <v>2565</v>
          </cell>
        </row>
        <row r="1866">
          <cell r="B1866">
            <v>9</v>
          </cell>
          <cell r="C1866" t="str">
            <v>+ Giẻ lau</v>
          </cell>
          <cell r="D1866" t="str">
            <v>Kg</v>
          </cell>
          <cell r="E1866">
            <v>5.3999999999999999E-2</v>
          </cell>
          <cell r="F1866">
            <v>9500</v>
          </cell>
          <cell r="G1866">
            <v>513</v>
          </cell>
        </row>
        <row r="1867">
          <cell r="B1867">
            <v>1</v>
          </cell>
          <cell r="C1867" t="str">
            <v>+ Cồn công nghiệp</v>
          </cell>
          <cell r="D1867" t="str">
            <v>kg</v>
          </cell>
          <cell r="E1867">
            <v>0.216</v>
          </cell>
          <cell r="F1867">
            <v>9500</v>
          </cell>
          <cell r="G1867">
            <v>2052</v>
          </cell>
        </row>
        <row r="1868">
          <cell r="C1868" t="str">
            <v>Nhân công</v>
          </cell>
          <cell r="G1868">
            <v>348478.02434210526</v>
          </cell>
        </row>
        <row r="1869">
          <cell r="B1869" t="str">
            <v>NC1407</v>
          </cell>
          <cell r="C1869" t="str">
            <v>+ Nhân công bậc 4,0/7</v>
          </cell>
          <cell r="D1869" t="str">
            <v>Công</v>
          </cell>
          <cell r="E1869">
            <v>1.79</v>
          </cell>
          <cell r="F1869">
            <v>194680.46052631579</v>
          </cell>
          <cell r="G1869">
            <v>348478.02434210526</v>
          </cell>
        </row>
        <row r="1870">
          <cell r="A1870" t="str">
            <v>D3.1651</v>
          </cell>
          <cell r="C1870" t="str">
            <v>Lắp đặt sứ chuỗi sứ đỡ hình V cho dây dẫn, chuỗi =&lt; 2x8 bát, Chiều cao lắp đặt sứ =&lt; 60m</v>
          </cell>
          <cell r="D1870" t="str">
            <v>chuỗi</v>
          </cell>
          <cell r="H1870">
            <v>2565</v>
          </cell>
          <cell r="I1870">
            <v>379626.89802631579</v>
          </cell>
        </row>
        <row r="1871">
          <cell r="C1871" t="str">
            <v>Vật liệu</v>
          </cell>
          <cell r="G1871">
            <v>2565</v>
          </cell>
        </row>
        <row r="1872">
          <cell r="B1872">
            <v>9</v>
          </cell>
          <cell r="C1872" t="str">
            <v>+ Giẻ lau</v>
          </cell>
          <cell r="D1872" t="str">
            <v>Kg</v>
          </cell>
          <cell r="E1872">
            <v>5.3999999999999999E-2</v>
          </cell>
          <cell r="F1872">
            <v>9500</v>
          </cell>
          <cell r="G1872">
            <v>513</v>
          </cell>
        </row>
        <row r="1873">
          <cell r="B1873">
            <v>1</v>
          </cell>
          <cell r="C1873" t="str">
            <v>+ Cồn công nghiệp</v>
          </cell>
          <cell r="D1873" t="str">
            <v>kg</v>
          </cell>
          <cell r="E1873">
            <v>0.216</v>
          </cell>
          <cell r="F1873">
            <v>9500</v>
          </cell>
          <cell r="G1873">
            <v>2052</v>
          </cell>
        </row>
        <row r="1874">
          <cell r="C1874" t="str">
            <v>Nhân công</v>
          </cell>
          <cell r="G1874">
            <v>379626.89802631579</v>
          </cell>
        </row>
        <row r="1875">
          <cell r="B1875" t="str">
            <v>NC1407</v>
          </cell>
          <cell r="C1875" t="str">
            <v>+ Nhân công bậc 4,0/7</v>
          </cell>
          <cell r="D1875" t="str">
            <v>Công</v>
          </cell>
          <cell r="E1875">
            <v>1.95</v>
          </cell>
          <cell r="F1875">
            <v>194680.46052631579</v>
          </cell>
          <cell r="G1875">
            <v>379626.89802631579</v>
          </cell>
        </row>
        <row r="1876">
          <cell r="A1876" t="str">
            <v>D3.1661</v>
          </cell>
          <cell r="C1876" t="str">
            <v>Lắp đặt sứ chuỗi sứ đỡ hình V cho dây dẫn, chuỗi =&lt; 2x8 bát, Chiều cao lắp đặt sứ =&lt; 70m</v>
          </cell>
          <cell r="D1876" t="str">
            <v>chuỗi</v>
          </cell>
          <cell r="H1876">
            <v>2565</v>
          </cell>
          <cell r="I1876">
            <v>416616.18552631582</v>
          </cell>
        </row>
        <row r="1877">
          <cell r="C1877" t="str">
            <v>Vật liệu</v>
          </cell>
          <cell r="G1877">
            <v>2565</v>
          </cell>
        </row>
        <row r="1878">
          <cell r="B1878">
            <v>9</v>
          </cell>
          <cell r="C1878" t="str">
            <v>+ Giẻ lau</v>
          </cell>
          <cell r="D1878" t="str">
            <v>Kg</v>
          </cell>
          <cell r="E1878">
            <v>5.3999999999999999E-2</v>
          </cell>
          <cell r="F1878">
            <v>9500</v>
          </cell>
          <cell r="G1878">
            <v>513</v>
          </cell>
        </row>
        <row r="1879">
          <cell r="B1879">
            <v>1</v>
          </cell>
          <cell r="C1879" t="str">
            <v>+ Cồn công nghiệp</v>
          </cell>
          <cell r="D1879" t="str">
            <v>kg</v>
          </cell>
          <cell r="E1879">
            <v>0.216</v>
          </cell>
          <cell r="F1879">
            <v>9500</v>
          </cell>
          <cell r="G1879">
            <v>2052</v>
          </cell>
        </row>
        <row r="1880">
          <cell r="C1880" t="str">
            <v>Nhân công</v>
          </cell>
          <cell r="G1880">
            <v>416616.18552631582</v>
          </cell>
        </row>
        <row r="1881">
          <cell r="B1881" t="str">
            <v>NC1407</v>
          </cell>
          <cell r="C1881" t="str">
            <v>+ Nhân công bậc 4,0/7</v>
          </cell>
          <cell r="D1881" t="str">
            <v>Công</v>
          </cell>
          <cell r="E1881">
            <v>2.14</v>
          </cell>
          <cell r="F1881">
            <v>194680.46052631579</v>
          </cell>
          <cell r="G1881">
            <v>416616.18552631582</v>
          </cell>
        </row>
        <row r="1882">
          <cell r="A1882" t="str">
            <v>D3.1671</v>
          </cell>
          <cell r="C1882" t="str">
            <v>Lắp đặt sứ chuỗi sứ đỡ hình V cho dây dẫn, chuỗi =&lt; 2x8 bát, Chiều cao lắp đặt sứ =&lt; 85m</v>
          </cell>
          <cell r="D1882" t="str">
            <v>chuỗi</v>
          </cell>
          <cell r="H1882">
            <v>2565</v>
          </cell>
          <cell r="I1882">
            <v>478913.93289473682</v>
          </cell>
        </row>
        <row r="1883">
          <cell r="C1883" t="str">
            <v>Vật liệu</v>
          </cell>
          <cell r="G1883">
            <v>2565</v>
          </cell>
        </row>
        <row r="1884">
          <cell r="B1884">
            <v>9</v>
          </cell>
          <cell r="C1884" t="str">
            <v>+ Giẻ lau</v>
          </cell>
          <cell r="D1884" t="str">
            <v>Kg</v>
          </cell>
          <cell r="E1884">
            <v>5.3999999999999999E-2</v>
          </cell>
          <cell r="F1884">
            <v>9500</v>
          </cell>
          <cell r="G1884">
            <v>513</v>
          </cell>
        </row>
        <row r="1885">
          <cell r="B1885">
            <v>1</v>
          </cell>
          <cell r="C1885" t="str">
            <v>+ Cồn công nghiệp</v>
          </cell>
          <cell r="D1885" t="str">
            <v>kg</v>
          </cell>
          <cell r="E1885">
            <v>0.216</v>
          </cell>
          <cell r="F1885">
            <v>9500</v>
          </cell>
          <cell r="G1885">
            <v>2052</v>
          </cell>
        </row>
        <row r="1886">
          <cell r="C1886" t="str">
            <v>Nhân công</v>
          </cell>
          <cell r="G1886">
            <v>478913.93289473682</v>
          </cell>
        </row>
        <row r="1887">
          <cell r="B1887" t="str">
            <v>NC1407</v>
          </cell>
          <cell r="C1887" t="str">
            <v>+ Nhân công bậc 4,0/7</v>
          </cell>
          <cell r="D1887" t="str">
            <v>Công</v>
          </cell>
          <cell r="E1887">
            <v>2.46</v>
          </cell>
          <cell r="F1887">
            <v>194680.46052631579</v>
          </cell>
          <cell r="G1887">
            <v>478913.93289473682</v>
          </cell>
        </row>
        <row r="1888">
          <cell r="A1888" t="str">
            <v>D3.1681</v>
          </cell>
          <cell r="C1888" t="str">
            <v>Lắp đặt sứ chuỗi sứ đỡ hình V cho dây dẫn, chuỗi =&lt; 2x8 bát, Chiều cao lắp đặt sứ =&lt; 100m</v>
          </cell>
          <cell r="D1888" t="str">
            <v>chuỗi</v>
          </cell>
          <cell r="H1888">
            <v>2565</v>
          </cell>
          <cell r="I1888">
            <v>552892.50789473683</v>
          </cell>
        </row>
        <row r="1889">
          <cell r="C1889" t="str">
            <v>Vật liệu</v>
          </cell>
          <cell r="G1889">
            <v>2565</v>
          </cell>
        </row>
        <row r="1890">
          <cell r="B1890">
            <v>9</v>
          </cell>
          <cell r="C1890" t="str">
            <v>+ Giẻ lau</v>
          </cell>
          <cell r="D1890" t="str">
            <v>Kg</v>
          </cell>
          <cell r="E1890">
            <v>5.3999999999999999E-2</v>
          </cell>
          <cell r="F1890">
            <v>9500</v>
          </cell>
          <cell r="G1890">
            <v>513</v>
          </cell>
        </row>
        <row r="1891">
          <cell r="B1891">
            <v>1</v>
          </cell>
          <cell r="C1891" t="str">
            <v>+ Cồn công nghiệp</v>
          </cell>
          <cell r="D1891" t="str">
            <v>kg</v>
          </cell>
          <cell r="E1891">
            <v>0.216</v>
          </cell>
          <cell r="F1891">
            <v>9500</v>
          </cell>
          <cell r="G1891">
            <v>2052</v>
          </cell>
        </row>
        <row r="1892">
          <cell r="C1892" t="str">
            <v>Nhân công</v>
          </cell>
          <cell r="G1892">
            <v>552892.50789473683</v>
          </cell>
        </row>
        <row r="1893">
          <cell r="B1893" t="str">
            <v>NC1407</v>
          </cell>
          <cell r="C1893" t="str">
            <v>+ Nhân công bậc 4,0/7</v>
          </cell>
          <cell r="D1893" t="str">
            <v>Công</v>
          </cell>
          <cell r="E1893">
            <v>2.84</v>
          </cell>
          <cell r="F1893">
            <v>194680.46052631579</v>
          </cell>
          <cell r="G1893">
            <v>552892.50789473683</v>
          </cell>
        </row>
        <row r="1894">
          <cell r="A1894" t="str">
            <v>D3.1612</v>
          </cell>
          <cell r="C1894" t="str">
            <v>Lắp đặt sứ chuỗi sứ đỡ hình V cho dây dẫn, chuỗi =&lt; 2x11 bát, Chiều cao lắp đặt sứ =&lt; 20m</v>
          </cell>
          <cell r="D1894" t="str">
            <v>chuỗi</v>
          </cell>
          <cell r="H1894">
            <v>3334.5</v>
          </cell>
          <cell r="I1894">
            <v>367946.07039473683</v>
          </cell>
        </row>
        <row r="1895">
          <cell r="C1895" t="str">
            <v>Vật liệu</v>
          </cell>
          <cell r="G1895">
            <v>3334.5</v>
          </cell>
        </row>
        <row r="1896">
          <cell r="B1896">
            <v>9</v>
          </cell>
          <cell r="C1896" t="str">
            <v>+ Giẻ lau</v>
          </cell>
          <cell r="D1896" t="str">
            <v>Kg</v>
          </cell>
          <cell r="E1896">
            <v>5.3999999999999999E-2</v>
          </cell>
          <cell r="F1896">
            <v>9500</v>
          </cell>
          <cell r="G1896">
            <v>513</v>
          </cell>
        </row>
        <row r="1897">
          <cell r="B1897">
            <v>1</v>
          </cell>
          <cell r="C1897" t="str">
            <v>+ Cồn công nghiệp</v>
          </cell>
          <cell r="D1897" t="str">
            <v>kg</v>
          </cell>
          <cell r="E1897">
            <v>0.29699999999999999</v>
          </cell>
          <cell r="F1897">
            <v>9500</v>
          </cell>
          <cell r="G1897">
            <v>2821.5</v>
          </cell>
        </row>
        <row r="1898">
          <cell r="C1898" t="str">
            <v>Nhân công</v>
          </cell>
          <cell r="G1898">
            <v>367946.07039473683</v>
          </cell>
        </row>
        <row r="1899">
          <cell r="B1899" t="str">
            <v>NC1407</v>
          </cell>
          <cell r="C1899" t="str">
            <v>+ Nhân công bậc 4,0/7</v>
          </cell>
          <cell r="D1899" t="str">
            <v>Công</v>
          </cell>
          <cell r="E1899">
            <v>1.89</v>
          </cell>
          <cell r="F1899">
            <v>194680.46052631579</v>
          </cell>
          <cell r="G1899">
            <v>367946.07039473683</v>
          </cell>
        </row>
        <row r="1900">
          <cell r="A1900" t="str">
            <v>D3.1622</v>
          </cell>
          <cell r="C1900" t="str">
            <v>Lắp đặt sứ chuỗi sứ đỡ hình V cho dây dẫn, chuỗi =&lt; 2x11 bát, Chiều cao lắp đặt sứ =&lt; 30m</v>
          </cell>
          <cell r="D1900" t="str">
            <v>chuỗi</v>
          </cell>
          <cell r="H1900">
            <v>3334.5</v>
          </cell>
          <cell r="I1900">
            <v>389360.92105263157</v>
          </cell>
        </row>
        <row r="1901">
          <cell r="C1901" t="str">
            <v>Vật liệu</v>
          </cell>
          <cell r="G1901">
            <v>3334.5</v>
          </cell>
        </row>
        <row r="1902">
          <cell r="B1902">
            <v>9</v>
          </cell>
          <cell r="C1902" t="str">
            <v>+ Giẻ lau</v>
          </cell>
          <cell r="D1902" t="str">
            <v>Kg</v>
          </cell>
          <cell r="E1902">
            <v>5.3999999999999999E-2</v>
          </cell>
          <cell r="F1902">
            <v>9500</v>
          </cell>
          <cell r="G1902">
            <v>513</v>
          </cell>
        </row>
        <row r="1903">
          <cell r="B1903">
            <v>1</v>
          </cell>
          <cell r="C1903" t="str">
            <v>+ Cồn công nghiệp</v>
          </cell>
          <cell r="D1903" t="str">
            <v>kg</v>
          </cell>
          <cell r="E1903">
            <v>0.29699999999999999</v>
          </cell>
          <cell r="F1903">
            <v>9500</v>
          </cell>
          <cell r="G1903">
            <v>2821.5</v>
          </cell>
        </row>
        <row r="1904">
          <cell r="C1904" t="str">
            <v>Nhân công</v>
          </cell>
          <cell r="G1904">
            <v>389360.92105263157</v>
          </cell>
        </row>
        <row r="1905">
          <cell r="B1905" t="str">
            <v>NC1407</v>
          </cell>
          <cell r="C1905" t="str">
            <v>+ Nhân công bậc 4,0/7</v>
          </cell>
          <cell r="D1905" t="str">
            <v>Công</v>
          </cell>
          <cell r="E1905">
            <v>2</v>
          </cell>
          <cell r="F1905">
            <v>194680.46052631579</v>
          </cell>
          <cell r="G1905">
            <v>389360.92105263157</v>
          </cell>
        </row>
        <row r="1906">
          <cell r="A1906" t="str">
            <v>D3.1632</v>
          </cell>
          <cell r="C1906" t="str">
            <v>Lắp đặt sứ chuỗi sứ đỡ hình V cho dây dẫn, chuỗi =&lt; 2x11 bát, Chiều cao lắp đặt sứ =&lt; 40m</v>
          </cell>
          <cell r="D1906" t="str">
            <v>chuỗi</v>
          </cell>
          <cell r="H1906">
            <v>3334.5</v>
          </cell>
          <cell r="I1906">
            <v>424403.40394736844</v>
          </cell>
        </row>
        <row r="1907">
          <cell r="C1907" t="str">
            <v>Vật liệu</v>
          </cell>
          <cell r="G1907">
            <v>3334.5</v>
          </cell>
        </row>
        <row r="1908">
          <cell r="B1908">
            <v>9</v>
          </cell>
          <cell r="C1908" t="str">
            <v>+ Giẻ lau</v>
          </cell>
          <cell r="D1908" t="str">
            <v>Kg</v>
          </cell>
          <cell r="E1908">
            <v>5.3999999999999999E-2</v>
          </cell>
          <cell r="F1908">
            <v>9500</v>
          </cell>
          <cell r="G1908">
            <v>513</v>
          </cell>
        </row>
        <row r="1909">
          <cell r="B1909">
            <v>1</v>
          </cell>
          <cell r="C1909" t="str">
            <v>+ Cồn công nghiệp</v>
          </cell>
          <cell r="D1909" t="str">
            <v>kg</v>
          </cell>
          <cell r="E1909">
            <v>0.29699999999999999</v>
          </cell>
          <cell r="F1909">
            <v>9500</v>
          </cell>
          <cell r="G1909">
            <v>2821.5</v>
          </cell>
        </row>
        <row r="1910">
          <cell r="C1910" t="str">
            <v>Nhân công</v>
          </cell>
          <cell r="G1910">
            <v>424403.40394736844</v>
          </cell>
        </row>
        <row r="1911">
          <cell r="B1911" t="str">
            <v>NC1407</v>
          </cell>
          <cell r="C1911" t="str">
            <v>+ Nhân công bậc 4,0/7</v>
          </cell>
          <cell r="D1911" t="str">
            <v>Công</v>
          </cell>
          <cell r="E1911">
            <v>2.1800000000000002</v>
          </cell>
          <cell r="F1911">
            <v>194680.46052631579</v>
          </cell>
          <cell r="G1911">
            <v>424403.40394736844</v>
          </cell>
        </row>
        <row r="1912">
          <cell r="A1912" t="str">
            <v>D3.1642</v>
          </cell>
          <cell r="C1912" t="str">
            <v>Lắp đặt sứ chuỗi sứ đỡ hình V cho dây dẫn, chuỗi =&lt; 2x11 bát, Chiều cao lắp đặt sứ =&lt; 50m</v>
          </cell>
          <cell r="D1912" t="str">
            <v>chuỗi</v>
          </cell>
          <cell r="H1912">
            <v>3334.5</v>
          </cell>
          <cell r="I1912">
            <v>490594.76052631577</v>
          </cell>
        </row>
        <row r="1913">
          <cell r="C1913" t="str">
            <v>Vật liệu</v>
          </cell>
          <cell r="G1913">
            <v>3334.5</v>
          </cell>
        </row>
        <row r="1914">
          <cell r="B1914">
            <v>9</v>
          </cell>
          <cell r="C1914" t="str">
            <v>+ Giẻ lau</v>
          </cell>
          <cell r="D1914" t="str">
            <v>Kg</v>
          </cell>
          <cell r="E1914">
            <v>5.3999999999999999E-2</v>
          </cell>
          <cell r="F1914">
            <v>9500</v>
          </cell>
          <cell r="G1914">
            <v>513</v>
          </cell>
        </row>
        <row r="1915">
          <cell r="B1915">
            <v>1</v>
          </cell>
          <cell r="C1915" t="str">
            <v>+ Cồn công nghiệp</v>
          </cell>
          <cell r="D1915" t="str">
            <v>kg</v>
          </cell>
          <cell r="E1915">
            <v>0.29699999999999999</v>
          </cell>
          <cell r="F1915">
            <v>9500</v>
          </cell>
          <cell r="G1915">
            <v>2821.5</v>
          </cell>
        </row>
        <row r="1916">
          <cell r="C1916" t="str">
            <v>Nhân công</v>
          </cell>
          <cell r="G1916">
            <v>490594.76052631577</v>
          </cell>
        </row>
        <row r="1917">
          <cell r="B1917" t="str">
            <v>NC1407</v>
          </cell>
          <cell r="C1917" t="str">
            <v>+ Nhân công bậc 4,0/7</v>
          </cell>
          <cell r="D1917" t="str">
            <v>Công</v>
          </cell>
          <cell r="E1917">
            <v>2.52</v>
          </cell>
          <cell r="F1917">
            <v>194680.46052631579</v>
          </cell>
          <cell r="G1917">
            <v>490594.76052631577</v>
          </cell>
        </row>
        <row r="1918">
          <cell r="A1918" t="str">
            <v>D3.1652</v>
          </cell>
          <cell r="C1918" t="str">
            <v>Lắp đặt sứ chuỗi sứ đỡ hình V cho dây dẫn, chuỗi =&lt; 2x11 bát, Chiều cao lắp đặt sứ =&lt; 60m</v>
          </cell>
          <cell r="D1918" t="str">
            <v>chuỗi</v>
          </cell>
          <cell r="H1918">
            <v>3334.5</v>
          </cell>
          <cell r="I1918">
            <v>539264.87565789477</v>
          </cell>
        </row>
        <row r="1919">
          <cell r="C1919" t="str">
            <v>Vật liệu</v>
          </cell>
          <cell r="G1919">
            <v>3334.5</v>
          </cell>
        </row>
        <row r="1920">
          <cell r="B1920">
            <v>9</v>
          </cell>
          <cell r="C1920" t="str">
            <v>+ Giẻ lau</v>
          </cell>
          <cell r="D1920" t="str">
            <v>Kg</v>
          </cell>
          <cell r="E1920">
            <v>5.3999999999999999E-2</v>
          </cell>
          <cell r="F1920">
            <v>9500</v>
          </cell>
          <cell r="G1920">
            <v>513</v>
          </cell>
        </row>
        <row r="1921">
          <cell r="B1921">
            <v>1</v>
          </cell>
          <cell r="C1921" t="str">
            <v>+ Cồn công nghiệp</v>
          </cell>
          <cell r="D1921" t="str">
            <v>kg</v>
          </cell>
          <cell r="E1921">
            <v>0.29699999999999999</v>
          </cell>
          <cell r="F1921">
            <v>9500</v>
          </cell>
          <cell r="G1921">
            <v>2821.5</v>
          </cell>
        </row>
        <row r="1922">
          <cell r="C1922" t="str">
            <v>Nhân công</v>
          </cell>
          <cell r="G1922">
            <v>539264.87565789477</v>
          </cell>
        </row>
        <row r="1923">
          <cell r="B1923" t="str">
            <v>NC1407</v>
          </cell>
          <cell r="C1923" t="str">
            <v>+ Nhân công bậc 4,0/7</v>
          </cell>
          <cell r="D1923" t="str">
            <v>Công</v>
          </cell>
          <cell r="E1923">
            <v>2.77</v>
          </cell>
          <cell r="F1923">
            <v>194680.46052631579</v>
          </cell>
          <cell r="G1923">
            <v>539264.87565789477</v>
          </cell>
        </row>
        <row r="1924">
          <cell r="A1924" t="str">
            <v>D3.1662</v>
          </cell>
          <cell r="C1924" t="str">
            <v>Lắp đặt sứ chuỗi sứ đỡ hình V cho dây dẫn, chuỗi =&lt; 2x11 bát, Chiều cao lắp đặt sứ =&lt; 70m</v>
          </cell>
          <cell r="D1924" t="str">
            <v>chuỗi</v>
          </cell>
          <cell r="H1924">
            <v>3334.5</v>
          </cell>
          <cell r="I1924">
            <v>593775.40460526315</v>
          </cell>
        </row>
        <row r="1925">
          <cell r="C1925" t="str">
            <v>Vật liệu</v>
          </cell>
          <cell r="G1925">
            <v>3334.5</v>
          </cell>
        </row>
        <row r="1926">
          <cell r="B1926">
            <v>9</v>
          </cell>
          <cell r="C1926" t="str">
            <v>+ Giẻ lau</v>
          </cell>
          <cell r="D1926" t="str">
            <v>Kg</v>
          </cell>
          <cell r="E1926">
            <v>5.3999999999999999E-2</v>
          </cell>
          <cell r="F1926">
            <v>9500</v>
          </cell>
          <cell r="G1926">
            <v>513</v>
          </cell>
        </row>
        <row r="1927">
          <cell r="B1927">
            <v>1</v>
          </cell>
          <cell r="C1927" t="str">
            <v>+ Cồn công nghiệp</v>
          </cell>
          <cell r="D1927" t="str">
            <v>kg</v>
          </cell>
          <cell r="E1927">
            <v>0.29699999999999999</v>
          </cell>
          <cell r="F1927">
            <v>9500</v>
          </cell>
          <cell r="G1927">
            <v>2821.5</v>
          </cell>
        </row>
        <row r="1928">
          <cell r="C1928" t="str">
            <v>Nhân công</v>
          </cell>
          <cell r="G1928">
            <v>593775.40460526315</v>
          </cell>
        </row>
        <row r="1929">
          <cell r="B1929" t="str">
            <v>NC1407</v>
          </cell>
          <cell r="C1929" t="str">
            <v>+ Nhân công bậc 4,0/7</v>
          </cell>
          <cell r="D1929" t="str">
            <v>Công</v>
          </cell>
          <cell r="E1929">
            <v>3.05</v>
          </cell>
          <cell r="F1929">
            <v>194680.46052631579</v>
          </cell>
          <cell r="G1929">
            <v>593775.40460526315</v>
          </cell>
        </row>
        <row r="1930">
          <cell r="A1930" t="str">
            <v>D3.1672</v>
          </cell>
          <cell r="C1930" t="str">
            <v>Lắp đặt sứ chuỗi sứ đỡ hình V cho dây dẫn, chuỗi =&lt; 2x11 bát, Chiều cao lắp đặt sứ =&lt; 85m</v>
          </cell>
          <cell r="D1930" t="str">
            <v>chuỗi</v>
          </cell>
          <cell r="H1930">
            <v>3334.5</v>
          </cell>
          <cell r="I1930">
            <v>689168.83026315784</v>
          </cell>
        </row>
        <row r="1931">
          <cell r="C1931" t="str">
            <v>Vật liệu</v>
          </cell>
          <cell r="G1931">
            <v>3334.5</v>
          </cell>
        </row>
        <row r="1932">
          <cell r="B1932">
            <v>9</v>
          </cell>
          <cell r="C1932" t="str">
            <v>+ Giẻ lau</v>
          </cell>
          <cell r="D1932" t="str">
            <v>Kg</v>
          </cell>
          <cell r="E1932">
            <v>5.3999999999999999E-2</v>
          </cell>
          <cell r="F1932">
            <v>9500</v>
          </cell>
          <cell r="G1932">
            <v>513</v>
          </cell>
        </row>
        <row r="1933">
          <cell r="B1933">
            <v>1</v>
          </cell>
          <cell r="C1933" t="str">
            <v>+ Cồn công nghiệp</v>
          </cell>
          <cell r="D1933" t="str">
            <v>kg</v>
          </cell>
          <cell r="E1933">
            <v>0.29699999999999999</v>
          </cell>
          <cell r="F1933">
            <v>9500</v>
          </cell>
          <cell r="G1933">
            <v>2821.5</v>
          </cell>
        </row>
        <row r="1934">
          <cell r="C1934" t="str">
            <v>Nhân công</v>
          </cell>
          <cell r="G1934">
            <v>689168.83026315784</v>
          </cell>
        </row>
        <row r="1935">
          <cell r="B1935" t="str">
            <v>NC1407</v>
          </cell>
          <cell r="C1935" t="str">
            <v>+ Nhân công bậc 4,0/7</v>
          </cell>
          <cell r="D1935" t="str">
            <v>Công</v>
          </cell>
          <cell r="E1935">
            <v>3.54</v>
          </cell>
          <cell r="F1935">
            <v>194680.46052631579</v>
          </cell>
          <cell r="G1935">
            <v>689168.83026315784</v>
          </cell>
        </row>
        <row r="1936">
          <cell r="A1936" t="str">
            <v>D3.1682</v>
          </cell>
          <cell r="C1936" t="str">
            <v>Lắp đặt sứ chuỗi sứ đỡ hình V cho dây dẫn, chuỗi =&lt; 2x11 bát, Chiều cao lắp đặt sứ =&lt; 100m</v>
          </cell>
          <cell r="D1936" t="str">
            <v>chuỗi</v>
          </cell>
          <cell r="H1936">
            <v>3334.5</v>
          </cell>
          <cell r="I1936">
            <v>784562.25592105265</v>
          </cell>
        </row>
        <row r="1937">
          <cell r="C1937" t="str">
            <v>Vật liệu</v>
          </cell>
          <cell r="G1937">
            <v>3334.5</v>
          </cell>
        </row>
        <row r="1938">
          <cell r="B1938">
            <v>9</v>
          </cell>
          <cell r="C1938" t="str">
            <v>+ Giẻ lau</v>
          </cell>
          <cell r="D1938" t="str">
            <v>Kg</v>
          </cell>
          <cell r="E1938">
            <v>5.3999999999999999E-2</v>
          </cell>
          <cell r="F1938">
            <v>9500</v>
          </cell>
          <cell r="G1938">
            <v>513</v>
          </cell>
        </row>
        <row r="1939">
          <cell r="B1939">
            <v>1</v>
          </cell>
          <cell r="C1939" t="str">
            <v>+ Cồn công nghiệp</v>
          </cell>
          <cell r="D1939" t="str">
            <v>kg</v>
          </cell>
          <cell r="E1939">
            <v>0.29699999999999999</v>
          </cell>
          <cell r="F1939">
            <v>9500</v>
          </cell>
          <cell r="G1939">
            <v>2821.5</v>
          </cell>
        </row>
        <row r="1940">
          <cell r="C1940" t="str">
            <v>Nhân công</v>
          </cell>
          <cell r="G1940">
            <v>784562.25592105265</v>
          </cell>
        </row>
        <row r="1941">
          <cell r="B1941" t="str">
            <v>NC1407</v>
          </cell>
          <cell r="C1941" t="str">
            <v>+ Nhân công bậc 4,0/7</v>
          </cell>
          <cell r="D1941" t="str">
            <v>Công</v>
          </cell>
          <cell r="E1941">
            <v>4.03</v>
          </cell>
          <cell r="F1941">
            <v>194680.46052631579</v>
          </cell>
          <cell r="G1941">
            <v>784562.25592105265</v>
          </cell>
        </row>
        <row r="1942">
          <cell r="A1942" t="str">
            <v>D3.1613</v>
          </cell>
          <cell r="C1942" t="str">
            <v>Lắp đặt sứ chuỗi sứ đỡ hình V cho dây dẫn, chuỗi =&lt; 2x14 bát, Chiều cao lắp đặt sứ =&lt; 20m</v>
          </cell>
          <cell r="D1942" t="str">
            <v>chuỗi</v>
          </cell>
          <cell r="H1942">
            <v>3933</v>
          </cell>
          <cell r="I1942">
            <v>465286.30065789475</v>
          </cell>
        </row>
        <row r="1943">
          <cell r="C1943" t="str">
            <v>Vật liệu</v>
          </cell>
          <cell r="G1943">
            <v>3933</v>
          </cell>
        </row>
        <row r="1944">
          <cell r="B1944">
            <v>9</v>
          </cell>
          <cell r="C1944" t="str">
            <v>+ Giẻ lau</v>
          </cell>
          <cell r="D1944" t="str">
            <v>Kg</v>
          </cell>
          <cell r="E1944">
            <v>5.3999999999999999E-2</v>
          </cell>
          <cell r="F1944">
            <v>9500</v>
          </cell>
          <cell r="G1944">
            <v>513</v>
          </cell>
        </row>
        <row r="1945">
          <cell r="B1945">
            <v>1</v>
          </cell>
          <cell r="C1945" t="str">
            <v>+ Cồn công nghiệp</v>
          </cell>
          <cell r="D1945" t="str">
            <v>kg</v>
          </cell>
          <cell r="E1945">
            <v>0.36</v>
          </cell>
          <cell r="F1945">
            <v>9500</v>
          </cell>
          <cell r="G1945">
            <v>3420</v>
          </cell>
        </row>
        <row r="1946">
          <cell r="C1946" t="str">
            <v>Nhân công</v>
          </cell>
          <cell r="G1946">
            <v>465286.30065789475</v>
          </cell>
        </row>
        <row r="1947">
          <cell r="B1947" t="str">
            <v>NC1407</v>
          </cell>
          <cell r="C1947" t="str">
            <v>+ Nhân công bậc 4,0/7</v>
          </cell>
          <cell r="D1947" t="str">
            <v>Công</v>
          </cell>
          <cell r="E1947">
            <v>2.39</v>
          </cell>
          <cell r="F1947">
            <v>194680.46052631579</v>
          </cell>
          <cell r="G1947">
            <v>465286.30065789475</v>
          </cell>
        </row>
        <row r="1948">
          <cell r="A1948" t="str">
            <v>D3.1623</v>
          </cell>
          <cell r="C1948" t="str">
            <v>Lắp đặt sứ chuỗi sứ đỡ hình V cho dây dẫn, chuỗi =&lt; 2x14 bát, Chiều cao lắp đặt sứ =&lt; 30m</v>
          </cell>
          <cell r="D1948" t="str">
            <v>chuỗi</v>
          </cell>
          <cell r="H1948">
            <v>3933</v>
          </cell>
          <cell r="I1948">
            <v>490594.76052631577</v>
          </cell>
        </row>
        <row r="1949">
          <cell r="C1949" t="str">
            <v>Vật liệu</v>
          </cell>
          <cell r="G1949">
            <v>3933</v>
          </cell>
        </row>
        <row r="1950">
          <cell r="B1950">
            <v>9</v>
          </cell>
          <cell r="C1950" t="str">
            <v>+ Giẻ lau</v>
          </cell>
          <cell r="D1950" t="str">
            <v>Kg</v>
          </cell>
          <cell r="E1950">
            <v>5.3999999999999999E-2</v>
          </cell>
          <cell r="F1950">
            <v>9500</v>
          </cell>
          <cell r="G1950">
            <v>513</v>
          </cell>
        </row>
        <row r="1951">
          <cell r="B1951">
            <v>1</v>
          </cell>
          <cell r="C1951" t="str">
            <v>+ Cồn công nghiệp</v>
          </cell>
          <cell r="D1951" t="str">
            <v>kg</v>
          </cell>
          <cell r="E1951">
            <v>0.36</v>
          </cell>
          <cell r="F1951">
            <v>9500</v>
          </cell>
          <cell r="G1951">
            <v>3420</v>
          </cell>
        </row>
        <row r="1952">
          <cell r="C1952" t="str">
            <v>Nhân công</v>
          </cell>
          <cell r="G1952">
            <v>490594.76052631577</v>
          </cell>
        </row>
        <row r="1953">
          <cell r="B1953" t="str">
            <v>NC1407</v>
          </cell>
          <cell r="C1953" t="str">
            <v>+ Nhân công bậc 4,0/7</v>
          </cell>
          <cell r="D1953" t="str">
            <v>Công</v>
          </cell>
          <cell r="E1953">
            <v>2.52</v>
          </cell>
          <cell r="F1953">
            <v>194680.46052631579</v>
          </cell>
          <cell r="G1953">
            <v>490594.76052631577</v>
          </cell>
        </row>
        <row r="1954">
          <cell r="A1954" t="str">
            <v>D3.1633</v>
          </cell>
          <cell r="C1954" t="str">
            <v>Lắp đặt sứ chuỗi sứ đỡ hình V cho dây dẫn, chuỗi =&lt; 2x14 bát, Chiều cao lắp đặt sứ =&lt; 40m</v>
          </cell>
          <cell r="D1954" t="str">
            <v>chuỗi</v>
          </cell>
          <cell r="H1954">
            <v>3933</v>
          </cell>
          <cell r="I1954">
            <v>535371.26644736843</v>
          </cell>
        </row>
        <row r="1955">
          <cell r="C1955" t="str">
            <v>Vật liệu</v>
          </cell>
          <cell r="G1955">
            <v>3933</v>
          </cell>
        </row>
        <row r="1956">
          <cell r="B1956">
            <v>9</v>
          </cell>
          <cell r="C1956" t="str">
            <v>+ Giẻ lau</v>
          </cell>
          <cell r="D1956" t="str">
            <v>Kg</v>
          </cell>
          <cell r="E1956">
            <v>5.3999999999999999E-2</v>
          </cell>
          <cell r="F1956">
            <v>9500</v>
          </cell>
          <cell r="G1956">
            <v>513</v>
          </cell>
        </row>
        <row r="1957">
          <cell r="B1957">
            <v>1</v>
          </cell>
          <cell r="C1957" t="str">
            <v>+ Cồn công nghiệp</v>
          </cell>
          <cell r="D1957" t="str">
            <v>kg</v>
          </cell>
          <cell r="E1957">
            <v>0.36</v>
          </cell>
          <cell r="F1957">
            <v>9500</v>
          </cell>
          <cell r="G1957">
            <v>3420</v>
          </cell>
        </row>
        <row r="1958">
          <cell r="C1958" t="str">
            <v>Nhân công</v>
          </cell>
          <cell r="G1958">
            <v>535371.26644736843</v>
          </cell>
        </row>
        <row r="1959">
          <cell r="B1959" t="str">
            <v>NC1407</v>
          </cell>
          <cell r="C1959" t="str">
            <v>+ Nhân công bậc 4,0/7</v>
          </cell>
          <cell r="D1959" t="str">
            <v>Công</v>
          </cell>
          <cell r="E1959">
            <v>2.75</v>
          </cell>
          <cell r="F1959">
            <v>194680.46052631579</v>
          </cell>
          <cell r="G1959">
            <v>535371.26644736843</v>
          </cell>
        </row>
        <row r="1960">
          <cell r="A1960" t="str">
            <v>D3.1643</v>
          </cell>
          <cell r="C1960" t="str">
            <v>Lắp đặt sứ chuỗi sứ đỡ hình V cho dây dẫn, chuỗi =&lt; 2x14 bát, Chiều cao lắp đặt sứ =&lt; 50m</v>
          </cell>
          <cell r="D1960" t="str">
            <v>chuỗi</v>
          </cell>
          <cell r="H1960">
            <v>3933</v>
          </cell>
          <cell r="I1960">
            <v>621030.66907894739</v>
          </cell>
        </row>
        <row r="1961">
          <cell r="C1961" t="str">
            <v>Vật liệu</v>
          </cell>
          <cell r="G1961">
            <v>3933</v>
          </cell>
        </row>
        <row r="1962">
          <cell r="B1962">
            <v>9</v>
          </cell>
          <cell r="C1962" t="str">
            <v>+ Giẻ lau</v>
          </cell>
          <cell r="D1962" t="str">
            <v>Kg</v>
          </cell>
          <cell r="E1962">
            <v>5.3999999999999999E-2</v>
          </cell>
          <cell r="F1962">
            <v>9500</v>
          </cell>
          <cell r="G1962">
            <v>513</v>
          </cell>
        </row>
        <row r="1963">
          <cell r="B1963">
            <v>1</v>
          </cell>
          <cell r="C1963" t="str">
            <v>+ Cồn công nghiệp</v>
          </cell>
          <cell r="D1963" t="str">
            <v>kg</v>
          </cell>
          <cell r="E1963">
            <v>0.36</v>
          </cell>
          <cell r="F1963">
            <v>9500</v>
          </cell>
          <cell r="G1963">
            <v>3420</v>
          </cell>
        </row>
        <row r="1964">
          <cell r="C1964" t="str">
            <v>Nhân công</v>
          </cell>
          <cell r="G1964">
            <v>621030.66907894739</v>
          </cell>
        </row>
        <row r="1965">
          <cell r="B1965" t="str">
            <v>NC1407</v>
          </cell>
          <cell r="C1965" t="str">
            <v>+ Nhân công bậc 4,0/7</v>
          </cell>
          <cell r="D1965" t="str">
            <v>Công</v>
          </cell>
          <cell r="E1965">
            <v>3.19</v>
          </cell>
          <cell r="F1965">
            <v>194680.46052631579</v>
          </cell>
          <cell r="G1965">
            <v>621030.66907894739</v>
          </cell>
        </row>
        <row r="1966">
          <cell r="A1966" t="str">
            <v>D3.1653</v>
          </cell>
          <cell r="C1966" t="str">
            <v>Lắp đặt sứ chuỗi sứ đỡ hình V cho dây dẫn, chuỗi =&lt; 2x14 bát, Chiều cao lắp đặt sứ =&lt; 60m</v>
          </cell>
          <cell r="D1966" t="str">
            <v>chuỗi</v>
          </cell>
          <cell r="H1966">
            <v>3933</v>
          </cell>
          <cell r="I1966">
            <v>683328.41644736833</v>
          </cell>
        </row>
        <row r="1967">
          <cell r="C1967" t="str">
            <v>Vật liệu</v>
          </cell>
          <cell r="G1967">
            <v>3933</v>
          </cell>
        </row>
        <row r="1968">
          <cell r="B1968">
            <v>9</v>
          </cell>
          <cell r="C1968" t="str">
            <v>+ Giẻ lau</v>
          </cell>
          <cell r="D1968" t="str">
            <v>Kg</v>
          </cell>
          <cell r="E1968">
            <v>5.3999999999999999E-2</v>
          </cell>
          <cell r="F1968">
            <v>9500</v>
          </cell>
          <cell r="G1968">
            <v>513</v>
          </cell>
        </row>
        <row r="1969">
          <cell r="B1969">
            <v>1</v>
          </cell>
          <cell r="C1969" t="str">
            <v>+ Cồn công nghiệp</v>
          </cell>
          <cell r="D1969" t="str">
            <v>kg</v>
          </cell>
          <cell r="E1969">
            <v>0.36</v>
          </cell>
          <cell r="F1969">
            <v>9500</v>
          </cell>
          <cell r="G1969">
            <v>3420</v>
          </cell>
        </row>
        <row r="1970">
          <cell r="C1970" t="str">
            <v>Nhân công</v>
          </cell>
          <cell r="G1970">
            <v>683328.41644736833</v>
          </cell>
        </row>
        <row r="1971">
          <cell r="B1971" t="str">
            <v>NC1407</v>
          </cell>
          <cell r="C1971" t="str">
            <v>+ Nhân công bậc 4,0/7</v>
          </cell>
          <cell r="D1971" t="str">
            <v>Công</v>
          </cell>
          <cell r="E1971">
            <v>3.51</v>
          </cell>
          <cell r="F1971">
            <v>194680.46052631579</v>
          </cell>
          <cell r="G1971">
            <v>683328.41644736833</v>
          </cell>
        </row>
        <row r="1972">
          <cell r="A1972" t="str">
            <v>D3.1663</v>
          </cell>
          <cell r="C1972" t="str">
            <v>Lắp đặt sứ chuỗi sứ đỡ hình V cho dây dẫn, chuỗi =&lt; 2x14 bát, Chiều cao lắp đặt sứ =&lt; 70m</v>
          </cell>
          <cell r="D1972" t="str">
            <v>chuỗi</v>
          </cell>
          <cell r="H1972">
            <v>3933</v>
          </cell>
          <cell r="I1972">
            <v>751466.5776315789</v>
          </cell>
        </row>
        <row r="1973">
          <cell r="C1973" t="str">
            <v>Vật liệu</v>
          </cell>
          <cell r="G1973">
            <v>3933</v>
          </cell>
        </row>
        <row r="1974">
          <cell r="B1974">
            <v>9</v>
          </cell>
          <cell r="C1974" t="str">
            <v>+ Giẻ lau</v>
          </cell>
          <cell r="D1974" t="str">
            <v>Kg</v>
          </cell>
          <cell r="E1974">
            <v>5.3999999999999999E-2</v>
          </cell>
          <cell r="F1974">
            <v>9500</v>
          </cell>
          <cell r="G1974">
            <v>513</v>
          </cell>
        </row>
        <row r="1975">
          <cell r="B1975">
            <v>1</v>
          </cell>
          <cell r="C1975" t="str">
            <v>+ Cồn công nghiệp</v>
          </cell>
          <cell r="D1975" t="str">
            <v>kg</v>
          </cell>
          <cell r="E1975">
            <v>0.36</v>
          </cell>
          <cell r="F1975">
            <v>9500</v>
          </cell>
          <cell r="G1975">
            <v>3420</v>
          </cell>
        </row>
        <row r="1976">
          <cell r="C1976" t="str">
            <v>Nhân công</v>
          </cell>
          <cell r="G1976">
            <v>751466.5776315789</v>
          </cell>
        </row>
        <row r="1977">
          <cell r="B1977" t="str">
            <v>NC1407</v>
          </cell>
          <cell r="C1977" t="str">
            <v>+ Nhân công bậc 4,0/7</v>
          </cell>
          <cell r="D1977" t="str">
            <v>Công</v>
          </cell>
          <cell r="E1977">
            <v>3.86</v>
          </cell>
          <cell r="F1977">
            <v>194680.46052631579</v>
          </cell>
          <cell r="G1977">
            <v>751466.5776315789</v>
          </cell>
        </row>
        <row r="1978">
          <cell r="A1978" t="str">
            <v>D3.1673</v>
          </cell>
          <cell r="C1978" t="str">
            <v>Lắp đặt sứ chuỗi sứ đỡ hình V cho dây dẫn, chuỗi =&lt; 2x14 bát, Chiều cao lắp đặt sứ =&lt; 85m</v>
          </cell>
          <cell r="D1978" t="str">
            <v>chuỗi</v>
          </cell>
          <cell r="H1978">
            <v>3933</v>
          </cell>
          <cell r="I1978">
            <v>866328.04934210528</v>
          </cell>
        </row>
        <row r="1979">
          <cell r="C1979" t="str">
            <v>Vật liệu</v>
          </cell>
          <cell r="G1979">
            <v>3933</v>
          </cell>
        </row>
        <row r="1980">
          <cell r="B1980">
            <v>9</v>
          </cell>
          <cell r="C1980" t="str">
            <v>+ Giẻ lau</v>
          </cell>
          <cell r="D1980" t="str">
            <v>Kg</v>
          </cell>
          <cell r="E1980">
            <v>5.3999999999999999E-2</v>
          </cell>
          <cell r="F1980">
            <v>9500</v>
          </cell>
          <cell r="G1980">
            <v>513</v>
          </cell>
        </row>
        <row r="1981">
          <cell r="B1981">
            <v>1</v>
          </cell>
          <cell r="C1981" t="str">
            <v>+ Cồn công nghiệp</v>
          </cell>
          <cell r="D1981" t="str">
            <v>kg</v>
          </cell>
          <cell r="E1981">
            <v>0.36</v>
          </cell>
          <cell r="F1981">
            <v>9500</v>
          </cell>
          <cell r="G1981">
            <v>3420</v>
          </cell>
        </row>
        <row r="1982">
          <cell r="C1982" t="str">
            <v>Nhân công</v>
          </cell>
          <cell r="G1982">
            <v>866328.04934210528</v>
          </cell>
        </row>
        <row r="1983">
          <cell r="B1983" t="str">
            <v>NC1407</v>
          </cell>
          <cell r="C1983" t="str">
            <v>+ Nhân công bậc 4,0/7</v>
          </cell>
          <cell r="D1983" t="str">
            <v>Công</v>
          </cell>
          <cell r="E1983">
            <v>4.45</v>
          </cell>
          <cell r="F1983">
            <v>194680.46052631579</v>
          </cell>
          <cell r="G1983">
            <v>866328.04934210528</v>
          </cell>
        </row>
        <row r="1984">
          <cell r="A1984" t="str">
            <v>D3.1683</v>
          </cell>
          <cell r="C1984" t="str">
            <v>Lắp đặt sứ chuỗi sứ đỡ hình V cho dây dẫn, chuỗi =&lt; 2x14 bát, Chiều cao lắp đặt sứ =&lt; 100m</v>
          </cell>
          <cell r="D1984" t="str">
            <v>chuỗi</v>
          </cell>
          <cell r="H1984">
            <v>3933</v>
          </cell>
          <cell r="I1984">
            <v>996763.9578947369</v>
          </cell>
        </row>
        <row r="1985">
          <cell r="C1985" t="str">
            <v>Vật liệu</v>
          </cell>
          <cell r="G1985">
            <v>3933</v>
          </cell>
        </row>
        <row r="1986">
          <cell r="B1986">
            <v>9</v>
          </cell>
          <cell r="C1986" t="str">
            <v>+ Giẻ lau</v>
          </cell>
          <cell r="D1986" t="str">
            <v>Kg</v>
          </cell>
          <cell r="E1986">
            <v>5.3999999999999999E-2</v>
          </cell>
          <cell r="F1986">
            <v>9500</v>
          </cell>
          <cell r="G1986">
            <v>513</v>
          </cell>
        </row>
        <row r="1987">
          <cell r="B1987">
            <v>1</v>
          </cell>
          <cell r="C1987" t="str">
            <v>+ Cồn công nghiệp</v>
          </cell>
          <cell r="D1987" t="str">
            <v>kg</v>
          </cell>
          <cell r="E1987">
            <v>0.36</v>
          </cell>
          <cell r="F1987">
            <v>9500</v>
          </cell>
          <cell r="G1987">
            <v>3420</v>
          </cell>
        </row>
        <row r="1988">
          <cell r="C1988" t="str">
            <v>Nhân công</v>
          </cell>
          <cell r="G1988">
            <v>996763.9578947369</v>
          </cell>
        </row>
        <row r="1989">
          <cell r="B1989" t="str">
            <v>NC1407</v>
          </cell>
          <cell r="C1989" t="str">
            <v>+ Nhân công bậc 4,0/7</v>
          </cell>
          <cell r="D1989" t="str">
            <v>Công</v>
          </cell>
          <cell r="E1989">
            <v>5.12</v>
          </cell>
          <cell r="F1989">
            <v>194680.46052631579</v>
          </cell>
          <cell r="G1989">
            <v>996763.9578947369</v>
          </cell>
        </row>
        <row r="1990">
          <cell r="A1990" t="str">
            <v>D3.1614</v>
          </cell>
          <cell r="C1990" t="str">
            <v>Lắp đặt sứ chuỗi sứ đỡ hình V cho dây dẫn, chuỗi =&lt; 2x18 bát, Chiều cao lắp đặt sứ =&lt; 20m</v>
          </cell>
          <cell r="D1990" t="str">
            <v>chuỗi</v>
          </cell>
          <cell r="H1990">
            <v>4788</v>
          </cell>
          <cell r="I1990">
            <v>560679.72631578939</v>
          </cell>
        </row>
        <row r="1991">
          <cell r="C1991" t="str">
            <v>Vật liệu</v>
          </cell>
          <cell r="G1991">
            <v>4788</v>
          </cell>
        </row>
        <row r="1992">
          <cell r="B1992">
            <v>9</v>
          </cell>
          <cell r="C1992" t="str">
            <v>+ Giẻ lau</v>
          </cell>
          <cell r="D1992" t="str">
            <v>Kg</v>
          </cell>
          <cell r="E1992">
            <v>7.1999999999999995E-2</v>
          </cell>
          <cell r="F1992">
            <v>9500</v>
          </cell>
          <cell r="G1992">
            <v>684</v>
          </cell>
        </row>
        <row r="1993">
          <cell r="B1993">
            <v>1</v>
          </cell>
          <cell r="C1993" t="str">
            <v>+ Cồn công nghiệp</v>
          </cell>
          <cell r="D1993" t="str">
            <v>kg</v>
          </cell>
          <cell r="E1993">
            <v>0.432</v>
          </cell>
          <cell r="F1993">
            <v>9500</v>
          </cell>
          <cell r="G1993">
            <v>4104</v>
          </cell>
        </row>
        <row r="1994">
          <cell r="C1994" t="str">
            <v>Nhân công</v>
          </cell>
          <cell r="G1994">
            <v>560679.72631578939</v>
          </cell>
        </row>
        <row r="1995">
          <cell r="B1995" t="str">
            <v>NC1407</v>
          </cell>
          <cell r="C1995" t="str">
            <v>+ Nhân công bậc 4,0/7</v>
          </cell>
          <cell r="D1995" t="str">
            <v>Công</v>
          </cell>
          <cell r="E1995">
            <v>2.88</v>
          </cell>
          <cell r="F1995">
            <v>194680.46052631579</v>
          </cell>
          <cell r="G1995">
            <v>560679.72631578939</v>
          </cell>
        </row>
        <row r="1996">
          <cell r="A1996" t="str">
            <v>D3.1624</v>
          </cell>
          <cell r="C1996" t="str">
            <v>Lắp đặt sứ chuỗi sứ đỡ hình V cho dây dẫn, chuỗi =&lt; 2x18 bát, Chiều cao lắp đặt sứ =&lt; 30m</v>
          </cell>
          <cell r="D1996" t="str">
            <v>chuỗi</v>
          </cell>
          <cell r="H1996">
            <v>4788</v>
          </cell>
          <cell r="I1996">
            <v>587934.99078947364</v>
          </cell>
        </row>
        <row r="1997">
          <cell r="C1997" t="str">
            <v>Vật liệu</v>
          </cell>
          <cell r="G1997">
            <v>4788</v>
          </cell>
        </row>
        <row r="1998">
          <cell r="B1998">
            <v>9</v>
          </cell>
          <cell r="C1998" t="str">
            <v>+ Giẻ lau</v>
          </cell>
          <cell r="D1998" t="str">
            <v>Kg</v>
          </cell>
          <cell r="E1998">
            <v>7.1999999999999995E-2</v>
          </cell>
          <cell r="F1998">
            <v>9500</v>
          </cell>
          <cell r="G1998">
            <v>684</v>
          </cell>
        </row>
        <row r="1999">
          <cell r="B1999">
            <v>1</v>
          </cell>
          <cell r="C1999" t="str">
            <v>+ Cồn công nghiệp</v>
          </cell>
          <cell r="D1999" t="str">
            <v>kg</v>
          </cell>
          <cell r="E1999">
            <v>0.432</v>
          </cell>
          <cell r="F1999">
            <v>9500</v>
          </cell>
          <cell r="G1999">
            <v>4104</v>
          </cell>
        </row>
        <row r="2000">
          <cell r="C2000" t="str">
            <v>Nhân công</v>
          </cell>
          <cell r="G2000">
            <v>587934.99078947364</v>
          </cell>
        </row>
        <row r="2001">
          <cell r="B2001" t="str">
            <v>NC1407</v>
          </cell>
          <cell r="C2001" t="str">
            <v>+ Nhân công bậc 4,0/7</v>
          </cell>
          <cell r="D2001" t="str">
            <v>Công</v>
          </cell>
          <cell r="E2001">
            <v>3.02</v>
          </cell>
          <cell r="F2001">
            <v>194680.46052631579</v>
          </cell>
          <cell r="G2001">
            <v>587934.99078947364</v>
          </cell>
        </row>
        <row r="2002">
          <cell r="A2002" t="str">
            <v>D3.1634</v>
          </cell>
          <cell r="C2002" t="str">
            <v>Lắp đặt sứ chuỗi sứ đỡ hình V cho dây dẫn, chuỗi =&lt; 2x18 bát, Chiều cao lắp đặt sứ =&lt; 40m</v>
          </cell>
          <cell r="D2002" t="str">
            <v>chuỗi</v>
          </cell>
          <cell r="H2002">
            <v>4788</v>
          </cell>
          <cell r="I2002">
            <v>642445.51973684202</v>
          </cell>
        </row>
        <row r="2003">
          <cell r="C2003" t="str">
            <v>Vật liệu</v>
          </cell>
          <cell r="G2003">
            <v>4788</v>
          </cell>
        </row>
        <row r="2004">
          <cell r="B2004">
            <v>9</v>
          </cell>
          <cell r="C2004" t="str">
            <v>+ Giẻ lau</v>
          </cell>
          <cell r="D2004" t="str">
            <v>Kg</v>
          </cell>
          <cell r="E2004">
            <v>7.1999999999999995E-2</v>
          </cell>
          <cell r="F2004">
            <v>9500</v>
          </cell>
          <cell r="G2004">
            <v>684</v>
          </cell>
        </row>
        <row r="2005">
          <cell r="B2005">
            <v>1</v>
          </cell>
          <cell r="C2005" t="str">
            <v>+ Cồn công nghiệp</v>
          </cell>
          <cell r="D2005" t="str">
            <v>kg</v>
          </cell>
          <cell r="E2005">
            <v>0.432</v>
          </cell>
          <cell r="F2005">
            <v>9500</v>
          </cell>
          <cell r="G2005">
            <v>4104</v>
          </cell>
        </row>
        <row r="2006">
          <cell r="C2006" t="str">
            <v>Nhân công</v>
          </cell>
          <cell r="G2006">
            <v>642445.51973684202</v>
          </cell>
        </row>
        <row r="2007">
          <cell r="B2007" t="str">
            <v>NC1407</v>
          </cell>
          <cell r="C2007" t="str">
            <v>+ Nhân công bậc 4,0/7</v>
          </cell>
          <cell r="D2007" t="str">
            <v>Công</v>
          </cell>
          <cell r="E2007">
            <v>3.3</v>
          </cell>
          <cell r="F2007">
            <v>194680.46052631579</v>
          </cell>
          <cell r="G2007">
            <v>642445.51973684202</v>
          </cell>
        </row>
        <row r="2008">
          <cell r="A2008" t="str">
            <v>D3.1644</v>
          </cell>
          <cell r="C2008" t="str">
            <v>Lắp đặt sứ chuỗi sứ đỡ hình V cho dây dẫn, chuỗi =&lt; 2x18 bát, Chiều cao lắp đặt sứ =&lt; 50m</v>
          </cell>
          <cell r="D2008" t="str">
            <v>chuỗi</v>
          </cell>
          <cell r="H2008">
            <v>4788</v>
          </cell>
          <cell r="I2008">
            <v>735892.14078947366</v>
          </cell>
        </row>
        <row r="2009">
          <cell r="C2009" t="str">
            <v>Vật liệu</v>
          </cell>
          <cell r="G2009">
            <v>4788</v>
          </cell>
        </row>
        <row r="2010">
          <cell r="B2010">
            <v>9</v>
          </cell>
          <cell r="C2010" t="str">
            <v>+ Giẻ lau</v>
          </cell>
          <cell r="D2010" t="str">
            <v>Kg</v>
          </cell>
          <cell r="E2010">
            <v>7.1999999999999995E-2</v>
          </cell>
          <cell r="F2010">
            <v>9500</v>
          </cell>
          <cell r="G2010">
            <v>684</v>
          </cell>
        </row>
        <row r="2011">
          <cell r="B2011">
            <v>1</v>
          </cell>
          <cell r="C2011" t="str">
            <v>+ Cồn công nghiệp</v>
          </cell>
          <cell r="D2011" t="str">
            <v>kg</v>
          </cell>
          <cell r="E2011">
            <v>0.432</v>
          </cell>
          <cell r="F2011">
            <v>9500</v>
          </cell>
          <cell r="G2011">
            <v>4104</v>
          </cell>
        </row>
        <row r="2012">
          <cell r="C2012" t="str">
            <v>Nhân công</v>
          </cell>
          <cell r="G2012">
            <v>735892.14078947366</v>
          </cell>
        </row>
        <row r="2013">
          <cell r="B2013" t="str">
            <v>NC1407</v>
          </cell>
          <cell r="C2013" t="str">
            <v>+ Nhân công bậc 4,0/7</v>
          </cell>
          <cell r="D2013" t="str">
            <v>Công</v>
          </cell>
          <cell r="E2013">
            <v>3.78</v>
          </cell>
          <cell r="F2013">
            <v>194680.46052631579</v>
          </cell>
          <cell r="G2013">
            <v>735892.14078947366</v>
          </cell>
        </row>
        <row r="2014">
          <cell r="A2014" t="str">
            <v>D3.1654</v>
          </cell>
          <cell r="C2014" t="str">
            <v>Lắp đặt sứ chuỗi sứ đỡ hình V cho dây dẫn, chuỗi =&lt; 2x18 bát, Chiều cao lắp đặt sứ =&lt; 60m</v>
          </cell>
          <cell r="D2014" t="str">
            <v>chuỗi</v>
          </cell>
          <cell r="H2014">
            <v>4788</v>
          </cell>
          <cell r="I2014">
            <v>817657.93421052629</v>
          </cell>
        </row>
        <row r="2015">
          <cell r="C2015" t="str">
            <v>Vật liệu</v>
          </cell>
          <cell r="G2015">
            <v>4788</v>
          </cell>
        </row>
        <row r="2016">
          <cell r="B2016">
            <v>9</v>
          </cell>
          <cell r="C2016" t="str">
            <v>+ Giẻ lau</v>
          </cell>
          <cell r="D2016" t="str">
            <v>Kg</v>
          </cell>
          <cell r="E2016">
            <v>7.1999999999999995E-2</v>
          </cell>
          <cell r="F2016">
            <v>9500</v>
          </cell>
          <cell r="G2016">
            <v>684</v>
          </cell>
        </row>
        <row r="2017">
          <cell r="B2017">
            <v>1</v>
          </cell>
          <cell r="C2017" t="str">
            <v>+ Cồn công nghiệp</v>
          </cell>
          <cell r="D2017" t="str">
            <v>kg</v>
          </cell>
          <cell r="E2017">
            <v>0.432</v>
          </cell>
          <cell r="F2017">
            <v>9500</v>
          </cell>
          <cell r="G2017">
            <v>4104</v>
          </cell>
        </row>
        <row r="2018">
          <cell r="C2018" t="str">
            <v>Nhân công</v>
          </cell>
          <cell r="G2018">
            <v>817657.93421052629</v>
          </cell>
        </row>
        <row r="2019">
          <cell r="B2019" t="str">
            <v>NC1407</v>
          </cell>
          <cell r="C2019" t="str">
            <v>+ Nhân công bậc 4,0/7</v>
          </cell>
          <cell r="D2019" t="str">
            <v>Công</v>
          </cell>
          <cell r="E2019">
            <v>4.2</v>
          </cell>
          <cell r="F2019">
            <v>194680.46052631579</v>
          </cell>
          <cell r="G2019">
            <v>817657.93421052629</v>
          </cell>
        </row>
        <row r="2020">
          <cell r="A2020" t="str">
            <v>D3.1664</v>
          </cell>
          <cell r="C2020" t="str">
            <v>Lắp đặt sứ chuỗi sứ đỡ hình V cho dây dẫn, chuỗi =&lt; 2x18 bát, Chiều cao lắp đặt sứ =&lt; 70m</v>
          </cell>
          <cell r="D2020" t="str">
            <v>chuỗi</v>
          </cell>
          <cell r="H2020">
            <v>4788</v>
          </cell>
          <cell r="I2020">
            <v>899423.72763157892</v>
          </cell>
        </row>
        <row r="2021">
          <cell r="C2021" t="str">
            <v>Vật liệu</v>
          </cell>
          <cell r="G2021">
            <v>4788</v>
          </cell>
        </row>
        <row r="2022">
          <cell r="B2022">
            <v>9</v>
          </cell>
          <cell r="C2022" t="str">
            <v>+ Giẻ lau</v>
          </cell>
          <cell r="D2022" t="str">
            <v>Kg</v>
          </cell>
          <cell r="E2022">
            <v>7.1999999999999995E-2</v>
          </cell>
          <cell r="F2022">
            <v>9500</v>
          </cell>
          <cell r="G2022">
            <v>684</v>
          </cell>
        </row>
        <row r="2023">
          <cell r="B2023">
            <v>1</v>
          </cell>
          <cell r="C2023" t="str">
            <v>+ Cồn công nghiệp</v>
          </cell>
          <cell r="D2023" t="str">
            <v>kg</v>
          </cell>
          <cell r="E2023">
            <v>0.432</v>
          </cell>
          <cell r="F2023">
            <v>9500</v>
          </cell>
          <cell r="G2023">
            <v>4104</v>
          </cell>
        </row>
        <row r="2024">
          <cell r="C2024" t="str">
            <v>Nhân công</v>
          </cell>
          <cell r="G2024">
            <v>899423.72763157892</v>
          </cell>
        </row>
        <row r="2025">
          <cell r="B2025" t="str">
            <v>NC1407</v>
          </cell>
          <cell r="C2025" t="str">
            <v>+ Nhân công bậc 4,0/7</v>
          </cell>
          <cell r="D2025" t="str">
            <v>Công</v>
          </cell>
          <cell r="E2025">
            <v>4.62</v>
          </cell>
          <cell r="F2025">
            <v>194680.46052631579</v>
          </cell>
          <cell r="G2025">
            <v>899423.72763157892</v>
          </cell>
        </row>
        <row r="2026">
          <cell r="A2026" t="str">
            <v>D3.1674</v>
          </cell>
          <cell r="C2026" t="str">
            <v>Lắp đặt sứ chuỗi sứ đỡ hình V cho dây dẫn, chuỗi =&lt; 2x18 bát, Chiều cao lắp đặt sứ =&lt; 85m</v>
          </cell>
          <cell r="D2026" t="str">
            <v>chuỗi</v>
          </cell>
          <cell r="H2026">
            <v>4788</v>
          </cell>
          <cell r="I2026">
            <v>1033753.2453947368</v>
          </cell>
        </row>
        <row r="2027">
          <cell r="C2027" t="str">
            <v>Vật liệu</v>
          </cell>
          <cell r="G2027">
            <v>4788</v>
          </cell>
        </row>
        <row r="2028">
          <cell r="B2028">
            <v>9</v>
          </cell>
          <cell r="C2028" t="str">
            <v>+ Giẻ lau</v>
          </cell>
          <cell r="D2028" t="str">
            <v>Kg</v>
          </cell>
          <cell r="E2028">
            <v>7.1999999999999995E-2</v>
          </cell>
          <cell r="F2028">
            <v>9500</v>
          </cell>
          <cell r="G2028">
            <v>684</v>
          </cell>
        </row>
        <row r="2029">
          <cell r="B2029">
            <v>1</v>
          </cell>
          <cell r="C2029" t="str">
            <v>+ Cồn công nghiệp</v>
          </cell>
          <cell r="D2029" t="str">
            <v>kg</v>
          </cell>
          <cell r="E2029">
            <v>0.432</v>
          </cell>
          <cell r="F2029">
            <v>9500</v>
          </cell>
          <cell r="G2029">
            <v>4104</v>
          </cell>
        </row>
        <row r="2030">
          <cell r="C2030" t="str">
            <v>Nhân công</v>
          </cell>
          <cell r="G2030">
            <v>1033753.2453947368</v>
          </cell>
        </row>
        <row r="2031">
          <cell r="B2031" t="str">
            <v>NC1407</v>
          </cell>
          <cell r="C2031" t="str">
            <v>+ Nhân công bậc 4,0/7</v>
          </cell>
          <cell r="D2031" t="str">
            <v>Công</v>
          </cell>
          <cell r="E2031">
            <v>5.31</v>
          </cell>
          <cell r="F2031">
            <v>194680.46052631579</v>
          </cell>
          <cell r="G2031">
            <v>1033753.2453947368</v>
          </cell>
        </row>
        <row r="2032">
          <cell r="A2032" t="str">
            <v>D3.1684</v>
          </cell>
          <cell r="C2032" t="str">
            <v>Lắp đặt sứ chuỗi sứ đỡ hình V cho dây dẫn, chuỗi =&lt; 2x18 bát, Chiều cao lắp đặt sứ =&lt; 100m</v>
          </cell>
          <cell r="D2032" t="str">
            <v>chuỗi</v>
          </cell>
          <cell r="H2032">
            <v>4788</v>
          </cell>
          <cell r="I2032">
            <v>1189497.6138157896</v>
          </cell>
        </row>
        <row r="2033">
          <cell r="C2033" t="str">
            <v>Vật liệu</v>
          </cell>
          <cell r="G2033">
            <v>4788</v>
          </cell>
        </row>
        <row r="2034">
          <cell r="B2034">
            <v>9</v>
          </cell>
          <cell r="C2034" t="str">
            <v>+ Giẻ lau</v>
          </cell>
          <cell r="D2034" t="str">
            <v>Kg</v>
          </cell>
          <cell r="E2034">
            <v>7.1999999999999995E-2</v>
          </cell>
          <cell r="F2034">
            <v>9500</v>
          </cell>
          <cell r="G2034">
            <v>684</v>
          </cell>
        </row>
        <row r="2035">
          <cell r="B2035">
            <v>1</v>
          </cell>
          <cell r="C2035" t="str">
            <v>+ Cồn công nghiệp</v>
          </cell>
          <cell r="D2035" t="str">
            <v>kg</v>
          </cell>
          <cell r="E2035">
            <v>0.432</v>
          </cell>
          <cell r="F2035">
            <v>9500</v>
          </cell>
          <cell r="G2035">
            <v>4104</v>
          </cell>
        </row>
        <row r="2036">
          <cell r="C2036" t="str">
            <v>Nhân công</v>
          </cell>
          <cell r="G2036">
            <v>1189497.6138157896</v>
          </cell>
        </row>
        <row r="2037">
          <cell r="B2037" t="str">
            <v>NC1407</v>
          </cell>
          <cell r="C2037" t="str">
            <v>+ Nhân công bậc 4,0/7</v>
          </cell>
          <cell r="D2037" t="str">
            <v>Công</v>
          </cell>
          <cell r="E2037">
            <v>6.11</v>
          </cell>
          <cell r="F2037">
            <v>194680.46052631579</v>
          </cell>
          <cell r="G2037">
            <v>1189497.6138157896</v>
          </cell>
        </row>
        <row r="2038">
          <cell r="A2038" t="str">
            <v>D3.1615</v>
          </cell>
          <cell r="C2038" t="str">
            <v>Lắp đặt sứ chuỗi sứ đỡ hình V cho dây dẫn, chuỗi =&lt; 2x21 bát, Chiều cao lắp đặt sứ =&lt; 20m</v>
          </cell>
          <cell r="D2038" t="str">
            <v>chuỗi</v>
          </cell>
          <cell r="H2038">
            <v>5643</v>
          </cell>
          <cell r="I2038">
            <v>669700.78421052627</v>
          </cell>
        </row>
        <row r="2039">
          <cell r="C2039" t="str">
            <v>Vật liệu</v>
          </cell>
          <cell r="G2039">
            <v>5643</v>
          </cell>
        </row>
        <row r="2040">
          <cell r="B2040">
            <v>9</v>
          </cell>
          <cell r="C2040" t="str">
            <v>+ Giẻ lau</v>
          </cell>
          <cell r="D2040" t="str">
            <v>Kg</v>
          </cell>
          <cell r="E2040">
            <v>7.1999999999999995E-2</v>
          </cell>
          <cell r="F2040">
            <v>9500</v>
          </cell>
          <cell r="G2040">
            <v>684</v>
          </cell>
        </row>
        <row r="2041">
          <cell r="B2041">
            <v>1</v>
          </cell>
          <cell r="C2041" t="str">
            <v>+ Cồn công nghiệp</v>
          </cell>
          <cell r="D2041" t="str">
            <v>kg</v>
          </cell>
          <cell r="E2041">
            <v>0.52200000000000002</v>
          </cell>
          <cell r="F2041">
            <v>9500</v>
          </cell>
          <cell r="G2041">
            <v>4959</v>
          </cell>
        </row>
        <row r="2042">
          <cell r="C2042" t="str">
            <v>Nhân công</v>
          </cell>
          <cell r="G2042">
            <v>669700.78421052627</v>
          </cell>
        </row>
        <row r="2043">
          <cell r="B2043" t="str">
            <v>NC1407</v>
          </cell>
          <cell r="C2043" t="str">
            <v>+ Nhân công bậc 4,0/7</v>
          </cell>
          <cell r="D2043" t="str">
            <v>Công</v>
          </cell>
          <cell r="E2043">
            <v>3.44</v>
          </cell>
          <cell r="F2043">
            <v>194680.46052631579</v>
          </cell>
          <cell r="G2043">
            <v>669700.78421052627</v>
          </cell>
        </row>
        <row r="2044">
          <cell r="A2044" t="str">
            <v>D3.16245</v>
          </cell>
          <cell r="C2044" t="str">
            <v>Lắp đặt sứ chuỗi sứ đỡ hình V cho dây dẫn, chuỗi =&lt; 2x21 bát, Chiều cao lắp đặt sứ =&lt; 30m</v>
          </cell>
          <cell r="D2044" t="str">
            <v>chuỗi</v>
          </cell>
          <cell r="H2044">
            <v>5643</v>
          </cell>
          <cell r="I2044">
            <v>706690.07171052624</v>
          </cell>
        </row>
        <row r="2045">
          <cell r="C2045" t="str">
            <v>Vật liệu</v>
          </cell>
          <cell r="G2045">
            <v>5643</v>
          </cell>
        </row>
        <row r="2046">
          <cell r="B2046">
            <v>9</v>
          </cell>
          <cell r="C2046" t="str">
            <v>+ Giẻ lau</v>
          </cell>
          <cell r="D2046" t="str">
            <v>Kg</v>
          </cell>
          <cell r="E2046">
            <v>7.1999999999999995E-2</v>
          </cell>
          <cell r="F2046">
            <v>9500</v>
          </cell>
          <cell r="G2046">
            <v>684</v>
          </cell>
        </row>
        <row r="2047">
          <cell r="B2047">
            <v>1</v>
          </cell>
          <cell r="C2047" t="str">
            <v>+ Cồn công nghiệp</v>
          </cell>
          <cell r="D2047" t="str">
            <v>kg</v>
          </cell>
          <cell r="E2047">
            <v>0.52200000000000002</v>
          </cell>
          <cell r="F2047">
            <v>9500</v>
          </cell>
          <cell r="G2047">
            <v>4959</v>
          </cell>
        </row>
        <row r="2048">
          <cell r="C2048" t="str">
            <v>Nhân công</v>
          </cell>
          <cell r="G2048">
            <v>706690.07171052624</v>
          </cell>
        </row>
        <row r="2049">
          <cell r="B2049" t="str">
            <v>NC1407</v>
          </cell>
          <cell r="C2049" t="str">
            <v>+ Nhân công bậc 4,0/7</v>
          </cell>
          <cell r="D2049" t="str">
            <v>Công</v>
          </cell>
          <cell r="E2049">
            <v>3.63</v>
          </cell>
          <cell r="F2049">
            <v>194680.46052631579</v>
          </cell>
          <cell r="G2049">
            <v>706690.07171052624</v>
          </cell>
        </row>
        <row r="2050">
          <cell r="A2050" t="str">
            <v>D3.1635</v>
          </cell>
          <cell r="C2050" t="str">
            <v>Lắp đặt sứ chuỗi sứ đỡ hình V cho dây dẫn, chuỗi =&lt; 2x21 bát, Chiều cao lắp đặt sứ =&lt; 40m</v>
          </cell>
          <cell r="D2050" t="str">
            <v>chuỗi</v>
          </cell>
          <cell r="H2050">
            <v>5643</v>
          </cell>
          <cell r="I2050">
            <v>768987.81907894742</v>
          </cell>
        </row>
        <row r="2051">
          <cell r="C2051" t="str">
            <v>Vật liệu</v>
          </cell>
          <cell r="G2051">
            <v>5643</v>
          </cell>
        </row>
        <row r="2052">
          <cell r="B2052">
            <v>9</v>
          </cell>
          <cell r="C2052" t="str">
            <v>+ Giẻ lau</v>
          </cell>
          <cell r="D2052" t="str">
            <v>Kg</v>
          </cell>
          <cell r="E2052">
            <v>7.1999999999999995E-2</v>
          </cell>
          <cell r="F2052">
            <v>9500</v>
          </cell>
          <cell r="G2052">
            <v>684</v>
          </cell>
        </row>
        <row r="2053">
          <cell r="B2053">
            <v>1</v>
          </cell>
          <cell r="C2053" t="str">
            <v>+ Cồn công nghiệp</v>
          </cell>
          <cell r="D2053" t="str">
            <v>kg</v>
          </cell>
          <cell r="E2053">
            <v>0.52200000000000002</v>
          </cell>
          <cell r="F2053">
            <v>9500</v>
          </cell>
          <cell r="G2053">
            <v>4959</v>
          </cell>
        </row>
        <row r="2054">
          <cell r="C2054" t="str">
            <v>Nhân công</v>
          </cell>
          <cell r="G2054">
            <v>768987.81907894742</v>
          </cell>
        </row>
        <row r="2055">
          <cell r="B2055" t="str">
            <v>NC1407</v>
          </cell>
          <cell r="C2055" t="str">
            <v>+ Nhân công bậc 4,0/7</v>
          </cell>
          <cell r="D2055" t="str">
            <v>Công</v>
          </cell>
          <cell r="E2055">
            <v>3.95</v>
          </cell>
          <cell r="F2055">
            <v>194680.46052631579</v>
          </cell>
          <cell r="G2055">
            <v>768987.81907894742</v>
          </cell>
        </row>
        <row r="2056">
          <cell r="A2056" t="str">
            <v>D3.1645</v>
          </cell>
          <cell r="C2056" t="str">
            <v>Lắp đặt sứ chuỗi sứ đỡ hình V cho dây dẫn, chuỗi =&lt; 2x21 bát, Chiều cao lắp đặt sứ =&lt; 50m</v>
          </cell>
          <cell r="D2056" t="str">
            <v>chuỗi</v>
          </cell>
          <cell r="H2056">
            <v>5643</v>
          </cell>
          <cell r="I2056">
            <v>883849.29078947369</v>
          </cell>
        </row>
        <row r="2057">
          <cell r="C2057" t="str">
            <v>Vật liệu</v>
          </cell>
          <cell r="G2057">
            <v>5643</v>
          </cell>
        </row>
        <row r="2058">
          <cell r="B2058">
            <v>9</v>
          </cell>
          <cell r="C2058" t="str">
            <v>+ Giẻ lau</v>
          </cell>
          <cell r="D2058" t="str">
            <v>Kg</v>
          </cell>
          <cell r="E2058">
            <v>7.1999999999999995E-2</v>
          </cell>
          <cell r="F2058">
            <v>9500</v>
          </cell>
          <cell r="G2058">
            <v>684</v>
          </cell>
        </row>
        <row r="2059">
          <cell r="B2059">
            <v>1</v>
          </cell>
          <cell r="C2059" t="str">
            <v>+ Cồn công nghiệp</v>
          </cell>
          <cell r="D2059" t="str">
            <v>kg</v>
          </cell>
          <cell r="E2059">
            <v>0.52200000000000002</v>
          </cell>
          <cell r="F2059">
            <v>9500</v>
          </cell>
          <cell r="G2059">
            <v>4959</v>
          </cell>
        </row>
        <row r="2060">
          <cell r="C2060" t="str">
            <v>Nhân công</v>
          </cell>
          <cell r="G2060">
            <v>883849.29078947369</v>
          </cell>
        </row>
        <row r="2061">
          <cell r="B2061" t="str">
            <v>NC1407</v>
          </cell>
          <cell r="C2061" t="str">
            <v>+ Nhân công bậc 4,0/7</v>
          </cell>
          <cell r="D2061" t="str">
            <v>Công</v>
          </cell>
          <cell r="E2061">
            <v>4.54</v>
          </cell>
          <cell r="F2061">
            <v>194680.46052631579</v>
          </cell>
          <cell r="G2061">
            <v>883849.29078947369</v>
          </cell>
        </row>
        <row r="2062">
          <cell r="A2062" t="str">
            <v>D3.1655</v>
          </cell>
          <cell r="C2062" t="str">
            <v>Lắp đặt sứ chuỗi sứ đỡ hình V cho dây dẫn, chuỗi =&lt; 2x21 bát, Chiều cao lắp đặt sứ =&lt; 60m</v>
          </cell>
          <cell r="D2062" t="str">
            <v>chuỗi</v>
          </cell>
          <cell r="H2062">
            <v>5643</v>
          </cell>
          <cell r="I2062">
            <v>981189.52105263155</v>
          </cell>
        </row>
        <row r="2063">
          <cell r="C2063" t="str">
            <v>Vật liệu</v>
          </cell>
          <cell r="G2063">
            <v>5643</v>
          </cell>
        </row>
        <row r="2064">
          <cell r="B2064">
            <v>9</v>
          </cell>
          <cell r="C2064" t="str">
            <v>+ Giẻ lau</v>
          </cell>
          <cell r="D2064" t="str">
            <v>Kg</v>
          </cell>
          <cell r="E2064">
            <v>7.1999999999999995E-2</v>
          </cell>
          <cell r="F2064">
            <v>9500</v>
          </cell>
          <cell r="G2064">
            <v>684</v>
          </cell>
        </row>
        <row r="2065">
          <cell r="B2065">
            <v>1</v>
          </cell>
          <cell r="C2065" t="str">
            <v>+ Cồn công nghiệp</v>
          </cell>
          <cell r="D2065" t="str">
            <v>kg</v>
          </cell>
          <cell r="E2065">
            <v>0.52200000000000002</v>
          </cell>
          <cell r="F2065">
            <v>9500</v>
          </cell>
          <cell r="G2065">
            <v>4959</v>
          </cell>
        </row>
        <row r="2066">
          <cell r="C2066" t="str">
            <v>Nhân công</v>
          </cell>
          <cell r="G2066">
            <v>981189.52105263155</v>
          </cell>
        </row>
        <row r="2067">
          <cell r="B2067" t="str">
            <v>NC1407</v>
          </cell>
          <cell r="C2067" t="str">
            <v>+ Nhân công bậc 4,0/7</v>
          </cell>
          <cell r="D2067" t="str">
            <v>Công</v>
          </cell>
          <cell r="E2067">
            <v>5.04</v>
          </cell>
          <cell r="F2067">
            <v>194680.46052631579</v>
          </cell>
          <cell r="G2067">
            <v>981189.52105263155</v>
          </cell>
        </row>
        <row r="2068">
          <cell r="A2068" t="str">
            <v>D3.1665</v>
          </cell>
          <cell r="C2068" t="str">
            <v>Lắp đặt sứ chuỗi sứ đỡ hình V cho dây dẫn, chuỗi =&lt; 2x21 bát, Chiều cao lắp đặt sứ =&lt; 70m</v>
          </cell>
          <cell r="D2068" t="str">
            <v>chuỗi</v>
          </cell>
          <cell r="H2068">
            <v>5643</v>
          </cell>
          <cell r="I2068">
            <v>1078529.7513157895</v>
          </cell>
        </row>
        <row r="2069">
          <cell r="C2069" t="str">
            <v>Vật liệu</v>
          </cell>
          <cell r="G2069">
            <v>5643</v>
          </cell>
        </row>
        <row r="2070">
          <cell r="B2070">
            <v>9</v>
          </cell>
          <cell r="C2070" t="str">
            <v>+ Giẻ lau</v>
          </cell>
          <cell r="D2070" t="str">
            <v>Kg</v>
          </cell>
          <cell r="E2070">
            <v>7.1999999999999995E-2</v>
          </cell>
          <cell r="F2070">
            <v>9500</v>
          </cell>
          <cell r="G2070">
            <v>684</v>
          </cell>
        </row>
        <row r="2071">
          <cell r="B2071">
            <v>1</v>
          </cell>
          <cell r="C2071" t="str">
            <v>+ Cồn công nghiệp</v>
          </cell>
          <cell r="D2071" t="str">
            <v>kg</v>
          </cell>
          <cell r="E2071">
            <v>0.52200000000000002</v>
          </cell>
          <cell r="F2071">
            <v>9500</v>
          </cell>
          <cell r="G2071">
            <v>4959</v>
          </cell>
        </row>
        <row r="2072">
          <cell r="C2072" t="str">
            <v>Nhân công</v>
          </cell>
          <cell r="G2072">
            <v>1078529.7513157895</v>
          </cell>
        </row>
        <row r="2073">
          <cell r="B2073" t="str">
            <v>NC1407</v>
          </cell>
          <cell r="C2073" t="str">
            <v>+ Nhân công bậc 4,0/7</v>
          </cell>
          <cell r="D2073" t="str">
            <v>Công</v>
          </cell>
          <cell r="E2073">
            <v>5.54</v>
          </cell>
          <cell r="F2073">
            <v>194680.46052631579</v>
          </cell>
          <cell r="G2073">
            <v>1078529.7513157895</v>
          </cell>
        </row>
        <row r="2074">
          <cell r="A2074" t="str">
            <v>D3.1675</v>
          </cell>
          <cell r="C2074" t="str">
            <v>Lắp đặt sứ chuỗi sứ đỡ hình V cho dây dẫn, chuỗi =&lt; 2x21 bát, Chiều cao lắp đặt sứ =&lt; 85m</v>
          </cell>
          <cell r="D2074" t="str">
            <v>chuỗi</v>
          </cell>
          <cell r="H2074">
            <v>5643</v>
          </cell>
          <cell r="I2074">
            <v>1242061.3381578948</v>
          </cell>
        </row>
        <row r="2075">
          <cell r="C2075" t="str">
            <v>Vật liệu</v>
          </cell>
          <cell r="G2075">
            <v>5643</v>
          </cell>
        </row>
        <row r="2076">
          <cell r="B2076">
            <v>9</v>
          </cell>
          <cell r="C2076" t="str">
            <v>+ Giẻ lau</v>
          </cell>
          <cell r="D2076" t="str">
            <v>Kg</v>
          </cell>
          <cell r="E2076">
            <v>7.1999999999999995E-2</v>
          </cell>
          <cell r="F2076">
            <v>9500</v>
          </cell>
          <cell r="G2076">
            <v>684</v>
          </cell>
        </row>
        <row r="2077">
          <cell r="B2077">
            <v>1</v>
          </cell>
          <cell r="C2077" t="str">
            <v>+ Cồn công nghiệp</v>
          </cell>
          <cell r="D2077" t="str">
            <v>kg</v>
          </cell>
          <cell r="E2077">
            <v>0.52200000000000002</v>
          </cell>
          <cell r="F2077">
            <v>9500</v>
          </cell>
          <cell r="G2077">
            <v>4959</v>
          </cell>
        </row>
        <row r="2078">
          <cell r="C2078" t="str">
            <v>Nhân công</v>
          </cell>
          <cell r="G2078">
            <v>1242061.3381578948</v>
          </cell>
        </row>
        <row r="2079">
          <cell r="B2079" t="str">
            <v>NC1407</v>
          </cell>
          <cell r="C2079" t="str">
            <v>+ Nhân công bậc 4,0/7</v>
          </cell>
          <cell r="D2079" t="str">
            <v>Công</v>
          </cell>
          <cell r="E2079">
            <v>6.38</v>
          </cell>
          <cell r="F2079">
            <v>194680.46052631579</v>
          </cell>
          <cell r="G2079">
            <v>1242061.3381578948</v>
          </cell>
        </row>
        <row r="2080">
          <cell r="A2080" t="str">
            <v>D3.1685</v>
          </cell>
          <cell r="C2080" t="str">
            <v>Lắp đặt sứ chuỗi sứ đỡ hình V cho dây dẫn, chuỗi =&lt; 2x21 bát, Chiều cao lắp đặt sứ =&lt; 100m</v>
          </cell>
          <cell r="D2080" t="str">
            <v>chuỗi</v>
          </cell>
          <cell r="H2080">
            <v>5643</v>
          </cell>
          <cell r="I2080">
            <v>1430901.3848684209</v>
          </cell>
        </row>
        <row r="2081">
          <cell r="C2081" t="str">
            <v>Vật liệu</v>
          </cell>
          <cell r="G2081">
            <v>5643</v>
          </cell>
        </row>
        <row r="2082">
          <cell r="B2082">
            <v>9</v>
          </cell>
          <cell r="C2082" t="str">
            <v>+ Giẻ lau</v>
          </cell>
          <cell r="D2082" t="str">
            <v>Kg</v>
          </cell>
          <cell r="E2082">
            <v>7.1999999999999995E-2</v>
          </cell>
          <cell r="F2082">
            <v>9500</v>
          </cell>
          <cell r="G2082">
            <v>684</v>
          </cell>
        </row>
        <row r="2083">
          <cell r="B2083">
            <v>1</v>
          </cell>
          <cell r="C2083" t="str">
            <v>+ Cồn công nghiệp</v>
          </cell>
          <cell r="D2083" t="str">
            <v>kg</v>
          </cell>
          <cell r="E2083">
            <v>0.52200000000000002</v>
          </cell>
          <cell r="F2083">
            <v>9500</v>
          </cell>
          <cell r="G2083">
            <v>4959</v>
          </cell>
        </row>
        <row r="2084">
          <cell r="C2084" t="str">
            <v>Nhân công</v>
          </cell>
          <cell r="G2084">
            <v>1430901.3848684209</v>
          </cell>
        </row>
        <row r="2085">
          <cell r="B2085" t="str">
            <v>NC1407</v>
          </cell>
          <cell r="C2085" t="str">
            <v>+ Nhân công bậc 4,0/7</v>
          </cell>
          <cell r="D2085" t="str">
            <v>Công</v>
          </cell>
          <cell r="E2085">
            <v>7.35</v>
          </cell>
          <cell r="F2085">
            <v>194680.46052631579</v>
          </cell>
          <cell r="G2085">
            <v>1430901.3848684209</v>
          </cell>
        </row>
        <row r="2086">
          <cell r="A2086" t="str">
            <v>D3.1616</v>
          </cell>
          <cell r="C2086" t="str">
            <v>Lắp đặt sứ chuỗi sứ đỡ hình V cho dây dẫn, chuỗi &gt; 2x21 bát, Chiều cao lắp đặt sứ =&lt; 20m</v>
          </cell>
          <cell r="D2086" t="str">
            <v>chuỗi</v>
          </cell>
          <cell r="H2086">
            <v>6669</v>
          </cell>
          <cell r="I2086">
            <v>805977.10657894728</v>
          </cell>
        </row>
        <row r="2087">
          <cell r="C2087" t="str">
            <v>Vật liệu</v>
          </cell>
          <cell r="G2087">
            <v>6669</v>
          </cell>
        </row>
        <row r="2088">
          <cell r="B2088">
            <v>9</v>
          </cell>
          <cell r="C2088" t="str">
            <v>+ Giẻ lau</v>
          </cell>
          <cell r="D2088" t="str">
            <v>Kg</v>
          </cell>
          <cell r="E2088">
            <v>7.1999999999999995E-2</v>
          </cell>
          <cell r="F2088">
            <v>9500</v>
          </cell>
          <cell r="G2088">
            <v>684</v>
          </cell>
        </row>
        <row r="2089">
          <cell r="B2089">
            <v>1</v>
          </cell>
          <cell r="C2089" t="str">
            <v>+ Cồn công nghiệp</v>
          </cell>
          <cell r="D2089" t="str">
            <v>kg</v>
          </cell>
          <cell r="E2089">
            <v>0.63</v>
          </cell>
          <cell r="F2089">
            <v>9500</v>
          </cell>
          <cell r="G2089">
            <v>5985</v>
          </cell>
        </row>
        <row r="2090">
          <cell r="C2090" t="str">
            <v>Nhân công</v>
          </cell>
          <cell r="G2090">
            <v>805977.10657894728</v>
          </cell>
        </row>
        <row r="2091">
          <cell r="B2091" t="str">
            <v>NC1407</v>
          </cell>
          <cell r="C2091" t="str">
            <v>+ Nhân công bậc 4,0/7</v>
          </cell>
          <cell r="D2091" t="str">
            <v>Công</v>
          </cell>
          <cell r="E2091">
            <v>4.1399999999999997</v>
          </cell>
          <cell r="F2091">
            <v>194680.46052631579</v>
          </cell>
          <cell r="G2091">
            <v>805977.10657894728</v>
          </cell>
        </row>
        <row r="2092">
          <cell r="A2092" t="str">
            <v>D3.16246</v>
          </cell>
          <cell r="C2092" t="str">
            <v>Lắp đặt sứ chuỗi sứ đỡ hình V cho dây dẫn, chuỗi &gt; 2x21 bát, Chiều cao lắp đặt sứ =&lt; 30m</v>
          </cell>
          <cell r="D2092" t="str">
            <v>chuỗi</v>
          </cell>
          <cell r="H2092">
            <v>6669</v>
          </cell>
          <cell r="I2092">
            <v>850753.61250000005</v>
          </cell>
        </row>
        <row r="2093">
          <cell r="C2093" t="str">
            <v>Vật liệu</v>
          </cell>
          <cell r="G2093">
            <v>6669</v>
          </cell>
        </row>
        <row r="2094">
          <cell r="B2094">
            <v>9</v>
          </cell>
          <cell r="C2094" t="str">
            <v>+ Giẻ lau</v>
          </cell>
          <cell r="D2094" t="str">
            <v>Kg</v>
          </cell>
          <cell r="E2094">
            <v>7.1999999999999995E-2</v>
          </cell>
          <cell r="F2094">
            <v>9500</v>
          </cell>
          <cell r="G2094">
            <v>684</v>
          </cell>
        </row>
        <row r="2095">
          <cell r="B2095">
            <v>1</v>
          </cell>
          <cell r="C2095" t="str">
            <v>+ Cồn công nghiệp</v>
          </cell>
          <cell r="D2095" t="str">
            <v>kg</v>
          </cell>
          <cell r="E2095">
            <v>0.63</v>
          </cell>
          <cell r="F2095">
            <v>9500</v>
          </cell>
          <cell r="G2095">
            <v>5985</v>
          </cell>
        </row>
        <row r="2096">
          <cell r="C2096" t="str">
            <v>Nhân công</v>
          </cell>
          <cell r="G2096">
            <v>850753.61250000005</v>
          </cell>
        </row>
        <row r="2097">
          <cell r="B2097" t="str">
            <v>NC1407</v>
          </cell>
          <cell r="C2097" t="str">
            <v>+ Nhân công bậc 4,0/7</v>
          </cell>
          <cell r="D2097" t="str">
            <v>Công</v>
          </cell>
          <cell r="E2097">
            <v>4.37</v>
          </cell>
          <cell r="F2097">
            <v>194680.46052631579</v>
          </cell>
          <cell r="G2097">
            <v>850753.61250000005</v>
          </cell>
        </row>
        <row r="2098">
          <cell r="A2098" t="str">
            <v>D3.1636</v>
          </cell>
          <cell r="C2098" t="str">
            <v>Lắp đặt sứ chuỗi sứ đỡ hình V cho dây dẫn, chuỗi &gt; 2x21 bát, Chiều cao lắp đặt sứ =&lt; 40m</v>
          </cell>
          <cell r="D2098" t="str">
            <v>chuỗi</v>
          </cell>
          <cell r="H2098">
            <v>6669</v>
          </cell>
          <cell r="I2098">
            <v>924732.1875</v>
          </cell>
        </row>
        <row r="2099">
          <cell r="C2099" t="str">
            <v>Vật liệu</v>
          </cell>
          <cell r="G2099">
            <v>6669</v>
          </cell>
        </row>
        <row r="2100">
          <cell r="B2100">
            <v>9</v>
          </cell>
          <cell r="C2100" t="str">
            <v>+ Giẻ lau</v>
          </cell>
          <cell r="D2100" t="str">
            <v>Kg</v>
          </cell>
          <cell r="E2100">
            <v>7.1999999999999995E-2</v>
          </cell>
          <cell r="F2100">
            <v>9500</v>
          </cell>
          <cell r="G2100">
            <v>684</v>
          </cell>
        </row>
        <row r="2101">
          <cell r="B2101">
            <v>1</v>
          </cell>
          <cell r="C2101" t="str">
            <v>+ Cồn công nghiệp</v>
          </cell>
          <cell r="D2101" t="str">
            <v>kg</v>
          </cell>
          <cell r="E2101">
            <v>0.63</v>
          </cell>
          <cell r="F2101">
            <v>9500</v>
          </cell>
          <cell r="G2101">
            <v>5985</v>
          </cell>
        </row>
        <row r="2102">
          <cell r="C2102" t="str">
            <v>Nhân công</v>
          </cell>
          <cell r="G2102">
            <v>924732.1875</v>
          </cell>
        </row>
        <row r="2103">
          <cell r="B2103" t="str">
            <v>NC1407</v>
          </cell>
          <cell r="C2103" t="str">
            <v>+ Nhân công bậc 4,0/7</v>
          </cell>
          <cell r="D2103" t="str">
            <v>Công</v>
          </cell>
          <cell r="E2103">
            <v>4.75</v>
          </cell>
          <cell r="F2103">
            <v>194680.46052631579</v>
          </cell>
          <cell r="G2103">
            <v>924732.1875</v>
          </cell>
        </row>
        <row r="2104">
          <cell r="A2104" t="str">
            <v>D3.16456</v>
          </cell>
          <cell r="C2104" t="str">
            <v>Lắp đặt sứ chuỗi sứ đỡ hình V cho dây dẫn, chuỗi &gt; 2x21 bát, Chiều cao lắp đặt sứ =&lt; 50m</v>
          </cell>
          <cell r="D2104" t="str">
            <v>chuỗi</v>
          </cell>
          <cell r="H2104">
            <v>6669</v>
          </cell>
          <cell r="I2104">
            <v>1059061.7052631578</v>
          </cell>
        </row>
        <row r="2105">
          <cell r="C2105" t="str">
            <v>Vật liệu</v>
          </cell>
          <cell r="G2105">
            <v>6669</v>
          </cell>
        </row>
        <row r="2106">
          <cell r="B2106">
            <v>9</v>
          </cell>
          <cell r="C2106" t="str">
            <v>+ Giẻ lau</v>
          </cell>
          <cell r="D2106" t="str">
            <v>Kg</v>
          </cell>
          <cell r="E2106">
            <v>7.1999999999999995E-2</v>
          </cell>
          <cell r="F2106">
            <v>9500</v>
          </cell>
          <cell r="G2106">
            <v>684</v>
          </cell>
        </row>
        <row r="2107">
          <cell r="B2107">
            <v>1</v>
          </cell>
          <cell r="C2107" t="str">
            <v>+ Cồn công nghiệp</v>
          </cell>
          <cell r="D2107" t="str">
            <v>kg</v>
          </cell>
          <cell r="E2107">
            <v>0.63</v>
          </cell>
          <cell r="F2107">
            <v>9500</v>
          </cell>
          <cell r="G2107">
            <v>5985</v>
          </cell>
        </row>
        <row r="2108">
          <cell r="C2108" t="str">
            <v>Nhân công</v>
          </cell>
          <cell r="G2108">
            <v>1059061.7052631578</v>
          </cell>
        </row>
        <row r="2109">
          <cell r="B2109" t="str">
            <v>NC1407</v>
          </cell>
          <cell r="C2109" t="str">
            <v>+ Nhân công bậc 4,0/7</v>
          </cell>
          <cell r="D2109" t="str">
            <v>Công</v>
          </cell>
          <cell r="E2109">
            <v>5.44</v>
          </cell>
          <cell r="F2109">
            <v>194680.46052631579</v>
          </cell>
          <cell r="G2109">
            <v>1059061.7052631578</v>
          </cell>
        </row>
        <row r="2110">
          <cell r="A2110" t="str">
            <v>D3.1656</v>
          </cell>
          <cell r="C2110" t="str">
            <v>Lắp đặt sứ chuỗi sứ đỡ hình V cho dây dẫn, chuỗi &gt; 2x21 bát, Chiều cao lắp đặt sứ =&lt; 60m</v>
          </cell>
          <cell r="D2110" t="str">
            <v>chuỗi</v>
          </cell>
          <cell r="H2110">
            <v>6669</v>
          </cell>
          <cell r="I2110">
            <v>1177816.7861842106</v>
          </cell>
        </row>
        <row r="2111">
          <cell r="C2111" t="str">
            <v>Vật liệu</v>
          </cell>
          <cell r="G2111">
            <v>6669</v>
          </cell>
        </row>
        <row r="2112">
          <cell r="B2112">
            <v>9</v>
          </cell>
          <cell r="C2112" t="str">
            <v>+ Giẻ lau</v>
          </cell>
          <cell r="D2112" t="str">
            <v>Kg</v>
          </cell>
          <cell r="E2112">
            <v>7.1999999999999995E-2</v>
          </cell>
          <cell r="F2112">
            <v>9500</v>
          </cell>
          <cell r="G2112">
            <v>684</v>
          </cell>
        </row>
        <row r="2113">
          <cell r="B2113">
            <v>1</v>
          </cell>
          <cell r="C2113" t="str">
            <v>+ Cồn công nghiệp</v>
          </cell>
          <cell r="D2113" t="str">
            <v>kg</v>
          </cell>
          <cell r="E2113">
            <v>0.63</v>
          </cell>
          <cell r="F2113">
            <v>9500</v>
          </cell>
          <cell r="G2113">
            <v>5985</v>
          </cell>
        </row>
        <row r="2114">
          <cell r="C2114" t="str">
            <v>Nhân công</v>
          </cell>
          <cell r="G2114">
            <v>1177816.7861842106</v>
          </cell>
        </row>
        <row r="2115">
          <cell r="B2115" t="str">
            <v>NC1407</v>
          </cell>
          <cell r="C2115" t="str">
            <v>+ Nhân công bậc 4,0/7</v>
          </cell>
          <cell r="D2115" t="str">
            <v>Công</v>
          </cell>
          <cell r="E2115">
            <v>6.05</v>
          </cell>
          <cell r="F2115">
            <v>194680.46052631579</v>
          </cell>
          <cell r="G2115">
            <v>1177816.7861842106</v>
          </cell>
        </row>
        <row r="2116">
          <cell r="A2116" t="str">
            <v>D3.1666</v>
          </cell>
          <cell r="C2116" t="str">
            <v>Lắp đặt sứ chuỗi sứ đỡ hình V cho dây dẫn, chuỗi &gt; 2x21 bát, Chiều cao lắp đặt sứ =&lt; 70m</v>
          </cell>
          <cell r="D2116" t="str">
            <v>chuỗi</v>
          </cell>
          <cell r="H2116">
            <v>6669</v>
          </cell>
          <cell r="I2116">
            <v>1296571.8671052631</v>
          </cell>
        </row>
        <row r="2117">
          <cell r="C2117" t="str">
            <v>Vật liệu</v>
          </cell>
          <cell r="G2117">
            <v>6669</v>
          </cell>
        </row>
        <row r="2118">
          <cell r="B2118">
            <v>9</v>
          </cell>
          <cell r="C2118" t="str">
            <v>+ Giẻ lau</v>
          </cell>
          <cell r="D2118" t="str">
            <v>Kg</v>
          </cell>
          <cell r="E2118">
            <v>7.1999999999999995E-2</v>
          </cell>
          <cell r="F2118">
            <v>9500</v>
          </cell>
          <cell r="G2118">
            <v>684</v>
          </cell>
        </row>
        <row r="2119">
          <cell r="B2119">
            <v>1</v>
          </cell>
          <cell r="C2119" t="str">
            <v>+ Cồn công nghiệp</v>
          </cell>
          <cell r="D2119" t="str">
            <v>kg</v>
          </cell>
          <cell r="E2119">
            <v>0.63</v>
          </cell>
          <cell r="F2119">
            <v>9500</v>
          </cell>
          <cell r="G2119">
            <v>5985</v>
          </cell>
        </row>
        <row r="2120">
          <cell r="C2120" t="str">
            <v>Nhân công</v>
          </cell>
          <cell r="G2120">
            <v>1296571.8671052631</v>
          </cell>
        </row>
        <row r="2121">
          <cell r="B2121" t="str">
            <v>NC1407</v>
          </cell>
          <cell r="C2121" t="str">
            <v>+ Nhân công bậc 4,0/7</v>
          </cell>
          <cell r="D2121" t="str">
            <v>Công</v>
          </cell>
          <cell r="E2121">
            <v>6.66</v>
          </cell>
          <cell r="F2121">
            <v>194680.46052631579</v>
          </cell>
          <cell r="G2121">
            <v>1296571.8671052631</v>
          </cell>
        </row>
        <row r="2122">
          <cell r="A2122" t="str">
            <v>D3.1676</v>
          </cell>
          <cell r="C2122" t="str">
            <v>Lắp đặt sứ chuỗi sứ đỡ hình V cho dây dẫn, chuỗi &gt; 2x21 bát, Chiều cao lắp đặt sứ =&lt; 85m</v>
          </cell>
          <cell r="D2122" t="str">
            <v>chuỗi</v>
          </cell>
          <cell r="H2122">
            <v>6669</v>
          </cell>
          <cell r="I2122">
            <v>1491252.327631579</v>
          </cell>
        </row>
        <row r="2123">
          <cell r="C2123" t="str">
            <v>Vật liệu</v>
          </cell>
          <cell r="G2123">
            <v>6669</v>
          </cell>
        </row>
        <row r="2124">
          <cell r="B2124">
            <v>9</v>
          </cell>
          <cell r="C2124" t="str">
            <v>+ Giẻ lau</v>
          </cell>
          <cell r="D2124" t="str">
            <v>Kg</v>
          </cell>
          <cell r="E2124">
            <v>7.1999999999999995E-2</v>
          </cell>
          <cell r="F2124">
            <v>9500</v>
          </cell>
          <cell r="G2124">
            <v>684</v>
          </cell>
        </row>
        <row r="2125">
          <cell r="B2125">
            <v>1</v>
          </cell>
          <cell r="C2125" t="str">
            <v>+ Cồn công nghiệp</v>
          </cell>
          <cell r="D2125" t="str">
            <v>kg</v>
          </cell>
          <cell r="E2125">
            <v>0.63</v>
          </cell>
          <cell r="F2125">
            <v>9500</v>
          </cell>
          <cell r="G2125">
            <v>5985</v>
          </cell>
        </row>
        <row r="2126">
          <cell r="C2126" t="str">
            <v>Nhân công</v>
          </cell>
          <cell r="G2126">
            <v>1491252.327631579</v>
          </cell>
        </row>
        <row r="2127">
          <cell r="B2127" t="str">
            <v>NC1407</v>
          </cell>
          <cell r="C2127" t="str">
            <v>+ Nhân công bậc 4,0/7</v>
          </cell>
          <cell r="D2127" t="str">
            <v>Công</v>
          </cell>
          <cell r="E2127">
            <v>7.66</v>
          </cell>
          <cell r="F2127">
            <v>194680.46052631579</v>
          </cell>
          <cell r="G2127">
            <v>1491252.327631579</v>
          </cell>
        </row>
        <row r="2128">
          <cell r="A2128" t="str">
            <v>D3.1686</v>
          </cell>
          <cell r="C2128" t="str">
            <v>Lắp đặt sứ chuỗi sứ đỡ hình V cho dây dẫn, chuỗi &gt; 2x21 bát, Chiều cao lắp đặt sứ =&lt; 100m</v>
          </cell>
          <cell r="D2128" t="str">
            <v>chuỗi</v>
          </cell>
          <cell r="H2128">
            <v>6669</v>
          </cell>
          <cell r="I2128">
            <v>1717081.6618421052</v>
          </cell>
        </row>
        <row r="2129">
          <cell r="C2129" t="str">
            <v>Vật liệu</v>
          </cell>
          <cell r="G2129">
            <v>6669</v>
          </cell>
        </row>
        <row r="2130">
          <cell r="B2130">
            <v>9</v>
          </cell>
          <cell r="C2130" t="str">
            <v>+ Giẻ lau</v>
          </cell>
          <cell r="D2130" t="str">
            <v>Kg</v>
          </cell>
          <cell r="E2130">
            <v>7.1999999999999995E-2</v>
          </cell>
          <cell r="F2130">
            <v>9500</v>
          </cell>
          <cell r="G2130">
            <v>684</v>
          </cell>
        </row>
        <row r="2131">
          <cell r="B2131">
            <v>1</v>
          </cell>
          <cell r="C2131" t="str">
            <v>+ Cồn công nghiệp</v>
          </cell>
          <cell r="D2131" t="str">
            <v>kg</v>
          </cell>
          <cell r="E2131">
            <v>0.63</v>
          </cell>
          <cell r="F2131">
            <v>9500</v>
          </cell>
          <cell r="G2131">
            <v>5985</v>
          </cell>
        </row>
        <row r="2132">
          <cell r="C2132" t="str">
            <v>Nhân công</v>
          </cell>
          <cell r="G2132">
            <v>1717081.6618421052</v>
          </cell>
        </row>
        <row r="2133">
          <cell r="B2133" t="str">
            <v>NC1407</v>
          </cell>
          <cell r="C2133" t="str">
            <v>+ Nhân công bậc 4,0/7</v>
          </cell>
          <cell r="D2133" t="str">
            <v>Công</v>
          </cell>
          <cell r="E2133">
            <v>8.82</v>
          </cell>
          <cell r="F2133">
            <v>194680.46052631579</v>
          </cell>
          <cell r="G2133">
            <v>1717081.6618421052</v>
          </cell>
        </row>
        <row r="2134">
          <cell r="A2134" t="str">
            <v>D3.1711</v>
          </cell>
          <cell r="C2134" t="str">
            <v>Lắp đặt sứ chuỗi néo dây dẫn, chuỗi =&lt; 2 bát, Chiều cao lắp đặt sứ =&lt; 20m</v>
          </cell>
          <cell r="D2134" t="str">
            <v>chuỗi</v>
          </cell>
          <cell r="H2134">
            <v>570</v>
          </cell>
          <cell r="I2134">
            <v>36989.287499999999</v>
          </cell>
        </row>
        <row r="2135">
          <cell r="C2135" t="str">
            <v>Vật liệu</v>
          </cell>
          <cell r="G2135">
            <v>570</v>
          </cell>
        </row>
        <row r="2136">
          <cell r="B2136">
            <v>9</v>
          </cell>
          <cell r="C2136" t="str">
            <v>+ Giẻ lau</v>
          </cell>
          <cell r="D2136" t="str">
            <v>Kg</v>
          </cell>
          <cell r="E2136">
            <v>0.01</v>
          </cell>
          <cell r="F2136">
            <v>9500</v>
          </cell>
          <cell r="G2136">
            <v>95</v>
          </cell>
        </row>
        <row r="2137">
          <cell r="B2137">
            <v>1</v>
          </cell>
          <cell r="C2137" t="str">
            <v>+ Cồn công nghiệp</v>
          </cell>
          <cell r="D2137" t="str">
            <v>kg</v>
          </cell>
          <cell r="E2137">
            <v>0.05</v>
          </cell>
          <cell r="F2137">
            <v>9500</v>
          </cell>
          <cell r="G2137">
            <v>475</v>
          </cell>
        </row>
        <row r="2138">
          <cell r="C2138" t="str">
            <v>Nhân công</v>
          </cell>
          <cell r="G2138">
            <v>36989.287499999999</v>
          </cell>
        </row>
        <row r="2139">
          <cell r="B2139" t="str">
            <v>NC1407</v>
          </cell>
          <cell r="C2139" t="str">
            <v>+ Nhân công bậc 4,0/7</v>
          </cell>
          <cell r="D2139" t="str">
            <v>Công</v>
          </cell>
          <cell r="E2139">
            <v>0.19</v>
          </cell>
          <cell r="F2139">
            <v>194680.46052631579</v>
          </cell>
          <cell r="G2139">
            <v>36989.287499999999</v>
          </cell>
        </row>
        <row r="2140">
          <cell r="A2140" t="str">
            <v>D3.1721</v>
          </cell>
          <cell r="C2140" t="str">
            <v>Lắp đặt sứ chuỗi néo dây dẫn, chuỗi =&lt; 2 bát, Chiều cao lắp đặt sứ =&lt; 30m</v>
          </cell>
          <cell r="D2140" t="str">
            <v>chuỗi</v>
          </cell>
          <cell r="H2140">
            <v>570</v>
          </cell>
          <cell r="I2140">
            <v>46723.310526315785</v>
          </cell>
        </row>
        <row r="2141">
          <cell r="C2141" t="str">
            <v>Vật liệu</v>
          </cell>
          <cell r="G2141">
            <v>570</v>
          </cell>
        </row>
        <row r="2142">
          <cell r="B2142">
            <v>9</v>
          </cell>
          <cell r="C2142" t="str">
            <v>+ Giẻ lau</v>
          </cell>
          <cell r="D2142" t="str">
            <v>Kg</v>
          </cell>
          <cell r="E2142">
            <v>0.01</v>
          </cell>
          <cell r="F2142">
            <v>9500</v>
          </cell>
          <cell r="G2142">
            <v>95</v>
          </cell>
        </row>
        <row r="2143">
          <cell r="B2143">
            <v>1</v>
          </cell>
          <cell r="C2143" t="str">
            <v>+ Cồn công nghiệp</v>
          </cell>
          <cell r="D2143" t="str">
            <v>kg</v>
          </cell>
          <cell r="E2143">
            <v>0.05</v>
          </cell>
          <cell r="F2143">
            <v>9500</v>
          </cell>
          <cell r="G2143">
            <v>475</v>
          </cell>
        </row>
        <row r="2144">
          <cell r="C2144" t="str">
            <v>Nhân công</v>
          </cell>
          <cell r="G2144">
            <v>46723.310526315785</v>
          </cell>
        </row>
        <row r="2145">
          <cell r="B2145" t="str">
            <v>NC1407</v>
          </cell>
          <cell r="C2145" t="str">
            <v>+ Nhân công bậc 4,0/7</v>
          </cell>
          <cell r="D2145" t="str">
            <v>Công</v>
          </cell>
          <cell r="E2145">
            <v>0.24</v>
          </cell>
          <cell r="F2145">
            <v>194680.46052631579</v>
          </cell>
          <cell r="G2145">
            <v>46723.310526315785</v>
          </cell>
        </row>
        <row r="2146">
          <cell r="A2146" t="str">
            <v>D3.1731</v>
          </cell>
          <cell r="C2146" t="str">
            <v>Lắp đặt sứ chuỗi néo dây dẫn, chuỗi =&lt; 2 bát, Chiều cao lắp đặt sứ =&lt; 40m</v>
          </cell>
          <cell r="D2146" t="str">
            <v>chuỗi</v>
          </cell>
          <cell r="H2146">
            <v>570</v>
          </cell>
          <cell r="I2146">
            <v>58404.138157894733</v>
          </cell>
        </row>
        <row r="2147">
          <cell r="C2147" t="str">
            <v>Vật liệu</v>
          </cell>
          <cell r="G2147">
            <v>570</v>
          </cell>
        </row>
        <row r="2148">
          <cell r="B2148">
            <v>9</v>
          </cell>
          <cell r="C2148" t="str">
            <v>+ Giẻ lau</v>
          </cell>
          <cell r="D2148" t="str">
            <v>Kg</v>
          </cell>
          <cell r="E2148">
            <v>0.01</v>
          </cell>
          <cell r="F2148">
            <v>9500</v>
          </cell>
          <cell r="G2148">
            <v>95</v>
          </cell>
        </row>
        <row r="2149">
          <cell r="B2149">
            <v>1</v>
          </cell>
          <cell r="C2149" t="str">
            <v>+ Cồn công nghiệp</v>
          </cell>
          <cell r="D2149" t="str">
            <v>kg</v>
          </cell>
          <cell r="E2149">
            <v>0.05</v>
          </cell>
          <cell r="F2149">
            <v>9500</v>
          </cell>
          <cell r="G2149">
            <v>475</v>
          </cell>
        </row>
        <row r="2150">
          <cell r="C2150" t="str">
            <v>Nhân công</v>
          </cell>
          <cell r="G2150">
            <v>58404.138157894733</v>
          </cell>
        </row>
        <row r="2151">
          <cell r="B2151" t="str">
            <v>NC1407</v>
          </cell>
          <cell r="C2151" t="str">
            <v>+ Nhân công bậc 4,0/7</v>
          </cell>
          <cell r="D2151" t="str">
            <v>Công</v>
          </cell>
          <cell r="E2151">
            <v>0.3</v>
          </cell>
          <cell r="F2151">
            <v>194680.46052631579</v>
          </cell>
          <cell r="G2151">
            <v>58404.138157894733</v>
          </cell>
        </row>
        <row r="2152">
          <cell r="A2152" t="str">
            <v>D3.1741</v>
          </cell>
          <cell r="C2152" t="str">
            <v>Lắp đặt sứ chuỗi néo dây dẫn, chuỗi =&lt; 2 bát, Chiều cao lắp đặt sứ =&lt; 50m</v>
          </cell>
          <cell r="D2152" t="str">
            <v>chuỗi</v>
          </cell>
          <cell r="H2152">
            <v>570</v>
          </cell>
          <cell r="I2152">
            <v>68138.161184210519</v>
          </cell>
        </row>
        <row r="2153">
          <cell r="C2153" t="str">
            <v>Vật liệu</v>
          </cell>
          <cell r="G2153">
            <v>570</v>
          </cell>
        </row>
        <row r="2154">
          <cell r="B2154">
            <v>9</v>
          </cell>
          <cell r="C2154" t="str">
            <v>+ Giẻ lau</v>
          </cell>
          <cell r="D2154" t="str">
            <v>Kg</v>
          </cell>
          <cell r="E2154">
            <v>0.01</v>
          </cell>
          <cell r="F2154">
            <v>9500</v>
          </cell>
          <cell r="G2154">
            <v>95</v>
          </cell>
        </row>
        <row r="2155">
          <cell r="B2155">
            <v>1</v>
          </cell>
          <cell r="C2155" t="str">
            <v>+ Cồn công nghiệp</v>
          </cell>
          <cell r="D2155" t="str">
            <v>kg</v>
          </cell>
          <cell r="E2155">
            <v>0.05</v>
          </cell>
          <cell r="F2155">
            <v>9500</v>
          </cell>
          <cell r="G2155">
            <v>475</v>
          </cell>
        </row>
        <row r="2156">
          <cell r="C2156" t="str">
            <v>Nhân công</v>
          </cell>
          <cell r="G2156">
            <v>68138.161184210519</v>
          </cell>
        </row>
        <row r="2157">
          <cell r="B2157" t="str">
            <v>NC1407</v>
          </cell>
          <cell r="C2157" t="str">
            <v>+ Nhân công bậc 4,0/7</v>
          </cell>
          <cell r="D2157" t="str">
            <v>Công</v>
          </cell>
          <cell r="E2157">
            <v>0.35</v>
          </cell>
          <cell r="F2157">
            <v>194680.46052631579</v>
          </cell>
          <cell r="G2157">
            <v>68138.161184210519</v>
          </cell>
        </row>
        <row r="2158">
          <cell r="A2158" t="str">
            <v>D3.1751</v>
          </cell>
          <cell r="C2158" t="str">
            <v>Lắp đặt sứ chuỗi néo dây dẫn, chuỗi =&lt; 2 bát, Chiều cao lắp đặt sứ =&lt; 60m</v>
          </cell>
          <cell r="D2158" t="str">
            <v>chuỗi</v>
          </cell>
          <cell r="H2158">
            <v>570</v>
          </cell>
          <cell r="I2158">
            <v>79818.988815789475</v>
          </cell>
        </row>
        <row r="2159">
          <cell r="C2159" t="str">
            <v>Vật liệu</v>
          </cell>
          <cell r="G2159">
            <v>570</v>
          </cell>
        </row>
        <row r="2160">
          <cell r="B2160">
            <v>9</v>
          </cell>
          <cell r="C2160" t="str">
            <v>+ Giẻ lau</v>
          </cell>
          <cell r="D2160" t="str">
            <v>Kg</v>
          </cell>
          <cell r="E2160">
            <v>0.01</v>
          </cell>
          <cell r="F2160">
            <v>9500</v>
          </cell>
          <cell r="G2160">
            <v>95</v>
          </cell>
        </row>
        <row r="2161">
          <cell r="B2161">
            <v>1</v>
          </cell>
          <cell r="C2161" t="str">
            <v>+ Cồn công nghiệp</v>
          </cell>
          <cell r="D2161" t="str">
            <v>kg</v>
          </cell>
          <cell r="E2161">
            <v>0.05</v>
          </cell>
          <cell r="F2161">
            <v>9500</v>
          </cell>
          <cell r="G2161">
            <v>475</v>
          </cell>
        </row>
        <row r="2162">
          <cell r="C2162" t="str">
            <v>Nhân công</v>
          </cell>
          <cell r="G2162">
            <v>79818.988815789475</v>
          </cell>
        </row>
        <row r="2163">
          <cell r="B2163" t="str">
            <v>NC1407</v>
          </cell>
          <cell r="C2163" t="str">
            <v>+ Nhân công bậc 4,0/7</v>
          </cell>
          <cell r="D2163" t="str">
            <v>Công</v>
          </cell>
          <cell r="E2163">
            <v>0.41</v>
          </cell>
          <cell r="F2163">
            <v>194680.46052631579</v>
          </cell>
          <cell r="G2163">
            <v>79818.988815789475</v>
          </cell>
        </row>
        <row r="2164">
          <cell r="A2164" t="str">
            <v>D3.1761</v>
          </cell>
          <cell r="C2164" t="str">
            <v>Lắp đặt sứ chuỗi néo dây dẫn, chuỗi =&lt; 2 bát, Chiều cao lắp đặt sứ =&lt; 70m</v>
          </cell>
          <cell r="D2164" t="str">
            <v>chuỗi</v>
          </cell>
          <cell r="H2164">
            <v>570</v>
          </cell>
          <cell r="I2164">
            <v>87606.207236842107</v>
          </cell>
        </row>
        <row r="2165">
          <cell r="C2165" t="str">
            <v>Vật liệu</v>
          </cell>
          <cell r="G2165">
            <v>570</v>
          </cell>
        </row>
        <row r="2166">
          <cell r="B2166">
            <v>9</v>
          </cell>
          <cell r="C2166" t="str">
            <v>+ Giẻ lau</v>
          </cell>
          <cell r="D2166" t="str">
            <v>Kg</v>
          </cell>
          <cell r="E2166">
            <v>0.01</v>
          </cell>
          <cell r="F2166">
            <v>9500</v>
          </cell>
          <cell r="G2166">
            <v>95</v>
          </cell>
        </row>
        <row r="2167">
          <cell r="B2167">
            <v>1</v>
          </cell>
          <cell r="C2167" t="str">
            <v>+ Cồn công nghiệp</v>
          </cell>
          <cell r="D2167" t="str">
            <v>kg</v>
          </cell>
          <cell r="E2167">
            <v>0.05</v>
          </cell>
          <cell r="F2167">
            <v>9500</v>
          </cell>
          <cell r="G2167">
            <v>475</v>
          </cell>
        </row>
        <row r="2168">
          <cell r="C2168" t="str">
            <v>Nhân công</v>
          </cell>
          <cell r="G2168">
            <v>87606.207236842107</v>
          </cell>
        </row>
        <row r="2169">
          <cell r="B2169" t="str">
            <v>NC1407</v>
          </cell>
          <cell r="C2169" t="str">
            <v>+ Nhân công bậc 4,0/7</v>
          </cell>
          <cell r="D2169" t="str">
            <v>Công</v>
          </cell>
          <cell r="E2169">
            <v>0.45</v>
          </cell>
          <cell r="F2169">
            <v>194680.46052631579</v>
          </cell>
          <cell r="G2169">
            <v>87606.207236842107</v>
          </cell>
        </row>
        <row r="2170">
          <cell r="A2170" t="str">
            <v>D3.1771</v>
          </cell>
          <cell r="C2170" t="str">
            <v>Lắp đặt sứ chuỗi néo dây dẫn, chuỗi =&lt; 2 bát, Chiều cao lắp đặt sứ =&lt; 85m</v>
          </cell>
          <cell r="D2170" t="str">
            <v>chuỗi</v>
          </cell>
          <cell r="H2170">
            <v>570</v>
          </cell>
          <cell r="I2170">
            <v>101233.83947368422</v>
          </cell>
        </row>
        <row r="2171">
          <cell r="C2171" t="str">
            <v>Vật liệu</v>
          </cell>
          <cell r="G2171">
            <v>570</v>
          </cell>
        </row>
        <row r="2172">
          <cell r="B2172">
            <v>9</v>
          </cell>
          <cell r="C2172" t="str">
            <v>+ Giẻ lau</v>
          </cell>
          <cell r="D2172" t="str">
            <v>Kg</v>
          </cell>
          <cell r="E2172">
            <v>0.01</v>
          </cell>
          <cell r="F2172">
            <v>9500</v>
          </cell>
          <cell r="G2172">
            <v>95</v>
          </cell>
        </row>
        <row r="2173">
          <cell r="B2173">
            <v>1</v>
          </cell>
          <cell r="C2173" t="str">
            <v>+ Cồn công nghiệp</v>
          </cell>
          <cell r="D2173" t="str">
            <v>kg</v>
          </cell>
          <cell r="E2173">
            <v>0.05</v>
          </cell>
          <cell r="F2173">
            <v>9500</v>
          </cell>
          <cell r="G2173">
            <v>475</v>
          </cell>
        </row>
        <row r="2174">
          <cell r="C2174" t="str">
            <v>Nhân công</v>
          </cell>
          <cell r="G2174">
            <v>101233.83947368422</v>
          </cell>
        </row>
        <row r="2175">
          <cell r="B2175" t="str">
            <v>NC1407</v>
          </cell>
          <cell r="C2175" t="str">
            <v>+ Nhân công bậc 4,0/7</v>
          </cell>
          <cell r="D2175" t="str">
            <v>Công</v>
          </cell>
          <cell r="E2175">
            <v>0.52</v>
          </cell>
          <cell r="F2175">
            <v>194680.46052631579</v>
          </cell>
          <cell r="G2175">
            <v>101233.83947368422</v>
          </cell>
        </row>
        <row r="2176">
          <cell r="A2176" t="str">
            <v>D3.1781</v>
          </cell>
          <cell r="C2176" t="str">
            <v>Lắp đặt sứ chuỗi néo dây dẫn, chuỗi =&lt; 2 bát, Chiều cao lắp đặt sứ =&lt; 100m</v>
          </cell>
          <cell r="D2176" t="str">
            <v>chuỗi</v>
          </cell>
          <cell r="H2176">
            <v>570</v>
          </cell>
          <cell r="I2176">
            <v>116808.27631578947</v>
          </cell>
        </row>
        <row r="2177">
          <cell r="C2177" t="str">
            <v>Vật liệu</v>
          </cell>
          <cell r="G2177">
            <v>570</v>
          </cell>
        </row>
        <row r="2178">
          <cell r="B2178">
            <v>9</v>
          </cell>
          <cell r="C2178" t="str">
            <v>+ Giẻ lau</v>
          </cell>
          <cell r="D2178" t="str">
            <v>Kg</v>
          </cell>
          <cell r="E2178">
            <v>0.01</v>
          </cell>
          <cell r="F2178">
            <v>9500</v>
          </cell>
          <cell r="G2178">
            <v>95</v>
          </cell>
        </row>
        <row r="2179">
          <cell r="B2179">
            <v>1</v>
          </cell>
          <cell r="C2179" t="str">
            <v>+ Cồn công nghiệp</v>
          </cell>
          <cell r="D2179" t="str">
            <v>kg</v>
          </cell>
          <cell r="E2179">
            <v>0.05</v>
          </cell>
          <cell r="F2179">
            <v>9500</v>
          </cell>
          <cell r="G2179">
            <v>475</v>
          </cell>
        </row>
        <row r="2180">
          <cell r="C2180" t="str">
            <v>Nhân công</v>
          </cell>
          <cell r="G2180">
            <v>116808.27631578947</v>
          </cell>
        </row>
        <row r="2181">
          <cell r="B2181" t="str">
            <v>NC1407</v>
          </cell>
          <cell r="C2181" t="str">
            <v>+ Nhân công bậc 4,0/7</v>
          </cell>
          <cell r="D2181" t="str">
            <v>Công</v>
          </cell>
          <cell r="E2181">
            <v>0.6</v>
          </cell>
          <cell r="F2181">
            <v>194680.46052631579</v>
          </cell>
          <cell r="G2181">
            <v>116808.27631578947</v>
          </cell>
        </row>
        <row r="2182">
          <cell r="A2182" t="str">
            <v>D3.1712</v>
          </cell>
          <cell r="C2182" t="str">
            <v>Lắp đặt sứ chuỗi néo dây dẫn, chuỗi =&lt; 5 bát, Chiều cao lắp đặt sứ =&lt; 20m</v>
          </cell>
          <cell r="D2182" t="str">
            <v>chuỗi</v>
          </cell>
          <cell r="H2182">
            <v>902.5</v>
          </cell>
          <cell r="I2182">
            <v>87606.207236842107</v>
          </cell>
        </row>
        <row r="2183">
          <cell r="C2183" t="str">
            <v>Vật liệu</v>
          </cell>
          <cell r="G2183">
            <v>902.5</v>
          </cell>
        </row>
        <row r="2184">
          <cell r="B2184">
            <v>9</v>
          </cell>
          <cell r="C2184" t="str">
            <v>+ Giẻ lau</v>
          </cell>
          <cell r="D2184" t="str">
            <v>Kg</v>
          </cell>
          <cell r="E2184">
            <v>0.02</v>
          </cell>
          <cell r="F2184">
            <v>9500</v>
          </cell>
          <cell r="G2184">
            <v>190</v>
          </cell>
        </row>
        <row r="2185">
          <cell r="B2185">
            <v>1</v>
          </cell>
          <cell r="C2185" t="str">
            <v>+ Cồn công nghiệp</v>
          </cell>
          <cell r="D2185" t="str">
            <v>kg</v>
          </cell>
          <cell r="E2185">
            <v>7.4999999999999997E-2</v>
          </cell>
          <cell r="F2185">
            <v>9500</v>
          </cell>
          <cell r="G2185">
            <v>712.5</v>
          </cell>
        </row>
        <row r="2186">
          <cell r="C2186" t="str">
            <v>Nhân công</v>
          </cell>
          <cell r="G2186">
            <v>87606.207236842107</v>
          </cell>
        </row>
        <row r="2187">
          <cell r="B2187" t="str">
            <v>NC1407</v>
          </cell>
          <cell r="C2187" t="str">
            <v>+ Nhân công bậc 4,0/7</v>
          </cell>
          <cell r="D2187" t="str">
            <v>Công</v>
          </cell>
          <cell r="E2187">
            <v>0.45</v>
          </cell>
          <cell r="F2187">
            <v>194680.46052631579</v>
          </cell>
          <cell r="G2187">
            <v>87606.207236842107</v>
          </cell>
        </row>
        <row r="2188">
          <cell r="A2188" t="str">
            <v>D3.1722</v>
          </cell>
          <cell r="C2188" t="str">
            <v>Lắp đặt sứ chuỗi néo dây dẫn, chuỗi =&lt; 5 bát, Chiều cao lắp đặt sứ =&lt; 30m</v>
          </cell>
          <cell r="D2188" t="str">
            <v>chuỗi</v>
          </cell>
          <cell r="H2188">
            <v>902.5</v>
          </cell>
          <cell r="I2188">
            <v>91499.816447368416</v>
          </cell>
        </row>
        <row r="2189">
          <cell r="C2189" t="str">
            <v>Vật liệu</v>
          </cell>
          <cell r="G2189">
            <v>902.5</v>
          </cell>
        </row>
        <row r="2190">
          <cell r="B2190">
            <v>9</v>
          </cell>
          <cell r="C2190" t="str">
            <v>+ Giẻ lau</v>
          </cell>
          <cell r="D2190" t="str">
            <v>Kg</v>
          </cell>
          <cell r="E2190">
            <v>0.02</v>
          </cell>
          <cell r="F2190">
            <v>9500</v>
          </cell>
          <cell r="G2190">
            <v>190</v>
          </cell>
        </row>
        <row r="2191">
          <cell r="B2191">
            <v>1</v>
          </cell>
          <cell r="C2191" t="str">
            <v>+ Cồn công nghiệp</v>
          </cell>
          <cell r="D2191" t="str">
            <v>kg</v>
          </cell>
          <cell r="E2191">
            <v>7.4999999999999997E-2</v>
          </cell>
          <cell r="F2191">
            <v>9500</v>
          </cell>
          <cell r="G2191">
            <v>712.5</v>
          </cell>
        </row>
        <row r="2192">
          <cell r="C2192" t="str">
            <v>Nhân công</v>
          </cell>
          <cell r="G2192">
            <v>91499.816447368416</v>
          </cell>
        </row>
        <row r="2193">
          <cell r="B2193" t="str">
            <v>NC1407</v>
          </cell>
          <cell r="C2193" t="str">
            <v>+ Nhân công bậc 4,0/7</v>
          </cell>
          <cell r="D2193" t="str">
            <v>Công</v>
          </cell>
          <cell r="E2193">
            <v>0.47</v>
          </cell>
          <cell r="F2193">
            <v>194680.46052631579</v>
          </cell>
          <cell r="G2193">
            <v>91499.816447368416</v>
          </cell>
        </row>
        <row r="2194">
          <cell r="A2194" t="str">
            <v>D3.1732</v>
          </cell>
          <cell r="C2194" t="str">
            <v>Lắp đặt sứ chuỗi néo dây dẫn, chuỗi =&lt; 5 bát, Chiều cao lắp đặt sứ =&lt; 40m</v>
          </cell>
          <cell r="D2194" t="str">
            <v>chuỗi</v>
          </cell>
          <cell r="H2194">
            <v>902.5</v>
          </cell>
          <cell r="I2194">
            <v>103180.64407894737</v>
          </cell>
        </row>
        <row r="2195">
          <cell r="C2195" t="str">
            <v>Vật liệu</v>
          </cell>
          <cell r="G2195">
            <v>902.5</v>
          </cell>
        </row>
        <row r="2196">
          <cell r="B2196">
            <v>9</v>
          </cell>
          <cell r="C2196" t="str">
            <v>+ Giẻ lau</v>
          </cell>
          <cell r="D2196" t="str">
            <v>Kg</v>
          </cell>
          <cell r="E2196">
            <v>0.02</v>
          </cell>
          <cell r="F2196">
            <v>9500</v>
          </cell>
          <cell r="G2196">
            <v>190</v>
          </cell>
        </row>
        <row r="2197">
          <cell r="B2197">
            <v>1</v>
          </cell>
          <cell r="C2197" t="str">
            <v>+ Cồn công nghiệp</v>
          </cell>
          <cell r="D2197" t="str">
            <v>kg</v>
          </cell>
          <cell r="E2197">
            <v>7.4999999999999997E-2</v>
          </cell>
          <cell r="F2197">
            <v>9500</v>
          </cell>
          <cell r="G2197">
            <v>712.5</v>
          </cell>
        </row>
        <row r="2198">
          <cell r="C2198" t="str">
            <v>Nhân công</v>
          </cell>
          <cell r="G2198">
            <v>103180.64407894737</v>
          </cell>
        </row>
        <row r="2199">
          <cell r="B2199" t="str">
            <v>NC1407</v>
          </cell>
          <cell r="C2199" t="str">
            <v>+ Nhân công bậc 4,0/7</v>
          </cell>
          <cell r="D2199" t="str">
            <v>Công</v>
          </cell>
          <cell r="E2199">
            <v>0.53</v>
          </cell>
          <cell r="F2199">
            <v>194680.46052631579</v>
          </cell>
          <cell r="G2199">
            <v>103180.64407894737</v>
          </cell>
        </row>
        <row r="2200">
          <cell r="A2200" t="str">
            <v>D3.1742</v>
          </cell>
          <cell r="C2200" t="str">
            <v>Lắp đặt sứ chuỗi néo dây dẫn, chuỗi =&lt; 5 bát, Chiều cao lắp đặt sứ =&lt; 50m</v>
          </cell>
          <cell r="D2200" t="str">
            <v>chuỗi</v>
          </cell>
          <cell r="H2200">
            <v>902.5</v>
          </cell>
          <cell r="I2200">
            <v>116808.27631578947</v>
          </cell>
        </row>
        <row r="2201">
          <cell r="C2201" t="str">
            <v>Vật liệu</v>
          </cell>
          <cell r="G2201">
            <v>902.5</v>
          </cell>
        </row>
        <row r="2202">
          <cell r="B2202">
            <v>9</v>
          </cell>
          <cell r="C2202" t="str">
            <v>+ Giẻ lau</v>
          </cell>
          <cell r="D2202" t="str">
            <v>Kg</v>
          </cell>
          <cell r="E2202">
            <v>0.02</v>
          </cell>
          <cell r="F2202">
            <v>9500</v>
          </cell>
          <cell r="G2202">
            <v>190</v>
          </cell>
        </row>
        <row r="2203">
          <cell r="B2203">
            <v>1</v>
          </cell>
          <cell r="C2203" t="str">
            <v>+ Cồn công nghiệp</v>
          </cell>
          <cell r="D2203" t="str">
            <v>kg</v>
          </cell>
          <cell r="E2203">
            <v>7.4999999999999997E-2</v>
          </cell>
          <cell r="F2203">
            <v>9500</v>
          </cell>
          <cell r="G2203">
            <v>712.5</v>
          </cell>
        </row>
        <row r="2204">
          <cell r="C2204" t="str">
            <v>Nhân công</v>
          </cell>
          <cell r="G2204">
            <v>116808.27631578947</v>
          </cell>
        </row>
        <row r="2205">
          <cell r="B2205" t="str">
            <v>NC1407</v>
          </cell>
          <cell r="C2205" t="str">
            <v>+ Nhân công bậc 4,0/7</v>
          </cell>
          <cell r="D2205" t="str">
            <v>Công</v>
          </cell>
          <cell r="E2205">
            <v>0.6</v>
          </cell>
          <cell r="F2205">
            <v>194680.46052631579</v>
          </cell>
          <cell r="G2205">
            <v>116808.27631578947</v>
          </cell>
        </row>
        <row r="2206">
          <cell r="A2206" t="str">
            <v>D3.1752</v>
          </cell>
          <cell r="C2206" t="str">
            <v>Lắp đặt sứ chuỗi néo dây dẫn, chuỗi =&lt; 5 bát, Chiều cao lắp đặt sứ =&lt; 60m</v>
          </cell>
          <cell r="D2206" t="str">
            <v>chuỗi</v>
          </cell>
          <cell r="H2206">
            <v>902.5</v>
          </cell>
          <cell r="I2206">
            <v>128489.10394736842</v>
          </cell>
        </row>
        <row r="2207">
          <cell r="C2207" t="str">
            <v>Vật liệu</v>
          </cell>
          <cell r="G2207">
            <v>902.5</v>
          </cell>
        </row>
        <row r="2208">
          <cell r="B2208">
            <v>9</v>
          </cell>
          <cell r="C2208" t="str">
            <v>+ Giẻ lau</v>
          </cell>
          <cell r="D2208" t="str">
            <v>Kg</v>
          </cell>
          <cell r="E2208">
            <v>0.02</v>
          </cell>
          <cell r="F2208">
            <v>9500</v>
          </cell>
          <cell r="G2208">
            <v>190</v>
          </cell>
        </row>
        <row r="2209">
          <cell r="B2209">
            <v>1</v>
          </cell>
          <cell r="C2209" t="str">
            <v>+ Cồn công nghiệp</v>
          </cell>
          <cell r="D2209" t="str">
            <v>kg</v>
          </cell>
          <cell r="E2209">
            <v>7.4999999999999997E-2</v>
          </cell>
          <cell r="F2209">
            <v>9500</v>
          </cell>
          <cell r="G2209">
            <v>712.5</v>
          </cell>
        </row>
        <row r="2210">
          <cell r="C2210" t="str">
            <v>Nhân công</v>
          </cell>
          <cell r="G2210">
            <v>128489.10394736842</v>
          </cell>
        </row>
        <row r="2211">
          <cell r="B2211" t="str">
            <v>NC1407</v>
          </cell>
          <cell r="C2211" t="str">
            <v>+ Nhân công bậc 4,0/7</v>
          </cell>
          <cell r="D2211" t="str">
            <v>Công</v>
          </cell>
          <cell r="E2211">
            <v>0.66</v>
          </cell>
          <cell r="F2211">
            <v>194680.46052631579</v>
          </cell>
          <cell r="G2211">
            <v>128489.10394736842</v>
          </cell>
        </row>
        <row r="2212">
          <cell r="A2212" t="str">
            <v>D3.1762</v>
          </cell>
          <cell r="C2212" t="str">
            <v>Lắp đặt sứ chuỗi néo dây dẫn, chuỗi =&lt; 5 bát, Chiều cao lắp đặt sứ =&lt; 70m</v>
          </cell>
          <cell r="D2212" t="str">
            <v>chuỗi</v>
          </cell>
          <cell r="H2212">
            <v>902.5</v>
          </cell>
          <cell r="I2212">
            <v>142116.73618421052</v>
          </cell>
        </row>
        <row r="2213">
          <cell r="C2213" t="str">
            <v>Vật liệu</v>
          </cell>
          <cell r="G2213">
            <v>902.5</v>
          </cell>
        </row>
        <row r="2214">
          <cell r="B2214">
            <v>9</v>
          </cell>
          <cell r="C2214" t="str">
            <v>+ Giẻ lau</v>
          </cell>
          <cell r="D2214" t="str">
            <v>Kg</v>
          </cell>
          <cell r="E2214">
            <v>0.02</v>
          </cell>
          <cell r="F2214">
            <v>9500</v>
          </cell>
          <cell r="G2214">
            <v>190</v>
          </cell>
        </row>
        <row r="2215">
          <cell r="B2215">
            <v>1</v>
          </cell>
          <cell r="C2215" t="str">
            <v>+ Cồn công nghiệp</v>
          </cell>
          <cell r="D2215" t="str">
            <v>kg</v>
          </cell>
          <cell r="E2215">
            <v>7.4999999999999997E-2</v>
          </cell>
          <cell r="F2215">
            <v>9500</v>
          </cell>
          <cell r="G2215">
            <v>712.5</v>
          </cell>
        </row>
        <row r="2216">
          <cell r="C2216" t="str">
            <v>Nhân công</v>
          </cell>
          <cell r="G2216">
            <v>142116.73618421052</v>
          </cell>
        </row>
        <row r="2217">
          <cell r="B2217" t="str">
            <v>NC1407</v>
          </cell>
          <cell r="C2217" t="str">
            <v>+ Nhân công bậc 4,0/7</v>
          </cell>
          <cell r="D2217" t="str">
            <v>Công</v>
          </cell>
          <cell r="E2217">
            <v>0.73</v>
          </cell>
          <cell r="F2217">
            <v>194680.46052631579</v>
          </cell>
          <cell r="G2217">
            <v>142116.73618421052</v>
          </cell>
        </row>
        <row r="2218">
          <cell r="A2218" t="str">
            <v>D3.1772</v>
          </cell>
          <cell r="C2218" t="str">
            <v>Lắp đặt sứ chuỗi néo dây dẫn, chuỗi =&lt; 5 bát, Chiều cao lắp đặt sứ =&lt; 85m</v>
          </cell>
          <cell r="D2218" t="str">
            <v>chuỗi</v>
          </cell>
          <cell r="H2218">
            <v>902.5</v>
          </cell>
          <cell r="I2218">
            <v>163531.58684210526</v>
          </cell>
        </row>
        <row r="2219">
          <cell r="C2219" t="str">
            <v>Vật liệu</v>
          </cell>
          <cell r="G2219">
            <v>902.5</v>
          </cell>
        </row>
        <row r="2220">
          <cell r="B2220">
            <v>9</v>
          </cell>
          <cell r="C2220" t="str">
            <v>+ Giẻ lau</v>
          </cell>
          <cell r="D2220" t="str">
            <v>Kg</v>
          </cell>
          <cell r="E2220">
            <v>0.02</v>
          </cell>
          <cell r="F2220">
            <v>9500</v>
          </cell>
          <cell r="G2220">
            <v>190</v>
          </cell>
        </row>
        <row r="2221">
          <cell r="B2221">
            <v>1</v>
          </cell>
          <cell r="C2221" t="str">
            <v>+ Cồn công nghiệp</v>
          </cell>
          <cell r="D2221" t="str">
            <v>kg</v>
          </cell>
          <cell r="E2221">
            <v>7.4999999999999997E-2</v>
          </cell>
          <cell r="F2221">
            <v>9500</v>
          </cell>
          <cell r="G2221">
            <v>712.5</v>
          </cell>
        </row>
        <row r="2222">
          <cell r="C2222" t="str">
            <v>Nhân công</v>
          </cell>
          <cell r="G2222">
            <v>163531.58684210526</v>
          </cell>
        </row>
        <row r="2223">
          <cell r="B2223" t="str">
            <v>NC1407</v>
          </cell>
          <cell r="C2223" t="str">
            <v>+ Nhân công bậc 4,0/7</v>
          </cell>
          <cell r="D2223" t="str">
            <v>Công</v>
          </cell>
          <cell r="E2223">
            <v>0.84</v>
          </cell>
          <cell r="F2223">
            <v>194680.46052631579</v>
          </cell>
          <cell r="G2223">
            <v>163531.58684210526</v>
          </cell>
        </row>
        <row r="2224">
          <cell r="A2224" t="str">
            <v>D3.1782</v>
          </cell>
          <cell r="C2224" t="str">
            <v>Lắp đặt sứ chuỗi néo dây dẫn, chuỗi =&lt; 5 bát, Chiều cao lắp đặt sứ =&lt; 100m</v>
          </cell>
          <cell r="D2224" t="str">
            <v>chuỗi</v>
          </cell>
          <cell r="H2224">
            <v>902.5</v>
          </cell>
          <cell r="I2224">
            <v>188840.04671052631</v>
          </cell>
        </row>
        <row r="2225">
          <cell r="C2225" t="str">
            <v>Vật liệu</v>
          </cell>
          <cell r="G2225">
            <v>902.5</v>
          </cell>
        </row>
        <row r="2226">
          <cell r="B2226">
            <v>9</v>
          </cell>
          <cell r="C2226" t="str">
            <v>+ Giẻ lau</v>
          </cell>
          <cell r="D2226" t="str">
            <v>Kg</v>
          </cell>
          <cell r="E2226">
            <v>0.02</v>
          </cell>
          <cell r="F2226">
            <v>9500</v>
          </cell>
          <cell r="G2226">
            <v>190</v>
          </cell>
        </row>
        <row r="2227">
          <cell r="B2227">
            <v>1</v>
          </cell>
          <cell r="C2227" t="str">
            <v>+ Cồn công nghiệp</v>
          </cell>
          <cell r="D2227" t="str">
            <v>kg</v>
          </cell>
          <cell r="E2227">
            <v>7.4999999999999997E-2</v>
          </cell>
          <cell r="F2227">
            <v>9500</v>
          </cell>
          <cell r="G2227">
            <v>712.5</v>
          </cell>
        </row>
        <row r="2228">
          <cell r="C2228" t="str">
            <v>Nhân công</v>
          </cell>
          <cell r="G2228">
            <v>188840.04671052631</v>
          </cell>
        </row>
        <row r="2229">
          <cell r="B2229" t="str">
            <v>NC1407</v>
          </cell>
          <cell r="C2229" t="str">
            <v>+ Nhân công bậc 4,0/7</v>
          </cell>
          <cell r="D2229" t="str">
            <v>Công</v>
          </cell>
          <cell r="E2229">
            <v>0.97</v>
          </cell>
          <cell r="F2229">
            <v>194680.46052631579</v>
          </cell>
          <cell r="G2229">
            <v>188840.04671052631</v>
          </cell>
        </row>
        <row r="2230">
          <cell r="A2230" t="str">
            <v>D3.1713</v>
          </cell>
          <cell r="C2230" t="str">
            <v>Lắp đặt sứ chuỗi néo dây dẫn, chuỗi =&lt; 8 bát, Chiều cao lắp đặt sứ =&lt; 20m</v>
          </cell>
          <cell r="D2230" t="str">
            <v>chuỗi</v>
          </cell>
          <cell r="H2230">
            <v>1425</v>
          </cell>
          <cell r="I2230">
            <v>138223.12697368421</v>
          </cell>
        </row>
        <row r="2231">
          <cell r="C2231" t="str">
            <v>Vật liệu</v>
          </cell>
          <cell r="G2231">
            <v>1425</v>
          </cell>
        </row>
        <row r="2232">
          <cell r="B2232">
            <v>9</v>
          </cell>
          <cell r="C2232" t="str">
            <v>+ Giẻ lau</v>
          </cell>
          <cell r="D2232" t="str">
            <v>Kg</v>
          </cell>
          <cell r="E2232">
            <v>0.03</v>
          </cell>
          <cell r="F2232">
            <v>9500</v>
          </cell>
          <cell r="G2232">
            <v>285</v>
          </cell>
        </row>
        <row r="2233">
          <cell r="B2233">
            <v>1</v>
          </cell>
          <cell r="C2233" t="str">
            <v>+ Cồn công nghiệp</v>
          </cell>
          <cell r="D2233" t="str">
            <v>kg</v>
          </cell>
          <cell r="E2233">
            <v>0.12</v>
          </cell>
          <cell r="F2233">
            <v>9500</v>
          </cell>
          <cell r="G2233">
            <v>1140</v>
          </cell>
        </row>
        <row r="2234">
          <cell r="C2234" t="str">
            <v>Nhân công</v>
          </cell>
          <cell r="G2234">
            <v>138223.12697368421</v>
          </cell>
        </row>
        <row r="2235">
          <cell r="B2235" t="str">
            <v>NC1407</v>
          </cell>
          <cell r="C2235" t="str">
            <v>+ Nhân công bậc 4,0/7</v>
          </cell>
          <cell r="D2235" t="str">
            <v>Công</v>
          </cell>
          <cell r="E2235">
            <v>0.71</v>
          </cell>
          <cell r="F2235">
            <v>194680.46052631579</v>
          </cell>
          <cell r="G2235">
            <v>138223.12697368421</v>
          </cell>
        </row>
        <row r="2236">
          <cell r="A2236" t="str">
            <v>D3.1723</v>
          </cell>
          <cell r="C2236" t="str">
            <v>Lắp đặt sứ chuỗi néo dây dẫn, chuỗi =&lt; 8 bát, Chiều cao lắp đặt sứ =&lt; 30m</v>
          </cell>
          <cell r="D2236" t="str">
            <v>chuỗi</v>
          </cell>
          <cell r="H2236">
            <v>1425</v>
          </cell>
          <cell r="I2236">
            <v>146010.34539473685</v>
          </cell>
        </row>
        <row r="2237">
          <cell r="C2237" t="str">
            <v>Vật liệu</v>
          </cell>
          <cell r="G2237">
            <v>1425</v>
          </cell>
        </row>
        <row r="2238">
          <cell r="B2238">
            <v>9</v>
          </cell>
          <cell r="C2238" t="str">
            <v>+ Giẻ lau</v>
          </cell>
          <cell r="D2238" t="str">
            <v>Kg</v>
          </cell>
          <cell r="E2238">
            <v>0.03</v>
          </cell>
          <cell r="F2238">
            <v>9500</v>
          </cell>
          <cell r="G2238">
            <v>285</v>
          </cell>
        </row>
        <row r="2239">
          <cell r="B2239">
            <v>1</v>
          </cell>
          <cell r="C2239" t="str">
            <v>+ Cồn công nghiệp</v>
          </cell>
          <cell r="D2239" t="str">
            <v>kg</v>
          </cell>
          <cell r="E2239">
            <v>0.12</v>
          </cell>
          <cell r="F2239">
            <v>9500</v>
          </cell>
          <cell r="G2239">
            <v>1140</v>
          </cell>
        </row>
        <row r="2240">
          <cell r="C2240" t="str">
            <v>Nhân công</v>
          </cell>
          <cell r="G2240">
            <v>146010.34539473685</v>
          </cell>
        </row>
        <row r="2241">
          <cell r="B2241" t="str">
            <v>NC1407</v>
          </cell>
          <cell r="C2241" t="str">
            <v>+ Nhân công bậc 4,0/7</v>
          </cell>
          <cell r="D2241" t="str">
            <v>Công</v>
          </cell>
          <cell r="E2241">
            <v>0.75</v>
          </cell>
          <cell r="F2241">
            <v>194680.46052631579</v>
          </cell>
          <cell r="G2241">
            <v>146010.34539473685</v>
          </cell>
        </row>
        <row r="2242">
          <cell r="A2242" t="str">
            <v>D3.1733</v>
          </cell>
          <cell r="C2242" t="str">
            <v>Lắp đặt sứ chuỗi néo dây dẫn, chuỗi =&lt; 8 bát, Chiều cao lắp đặt sứ =&lt; 40m</v>
          </cell>
          <cell r="D2242" t="str">
            <v>chuỗi</v>
          </cell>
          <cell r="H2242">
            <v>1425</v>
          </cell>
          <cell r="I2242">
            <v>165478.39144736843</v>
          </cell>
        </row>
        <row r="2243">
          <cell r="C2243" t="str">
            <v>Vật liệu</v>
          </cell>
          <cell r="G2243">
            <v>1425</v>
          </cell>
        </row>
        <row r="2244">
          <cell r="B2244">
            <v>9</v>
          </cell>
          <cell r="C2244" t="str">
            <v>+ Giẻ lau</v>
          </cell>
          <cell r="D2244" t="str">
            <v>Kg</v>
          </cell>
          <cell r="E2244">
            <v>0.03</v>
          </cell>
          <cell r="F2244">
            <v>9500</v>
          </cell>
          <cell r="G2244">
            <v>285</v>
          </cell>
        </row>
        <row r="2245">
          <cell r="B2245">
            <v>1</v>
          </cell>
          <cell r="C2245" t="str">
            <v>+ Cồn công nghiệp</v>
          </cell>
          <cell r="D2245" t="str">
            <v>kg</v>
          </cell>
          <cell r="E2245">
            <v>0.12</v>
          </cell>
          <cell r="F2245">
            <v>9500</v>
          </cell>
          <cell r="G2245">
            <v>1140</v>
          </cell>
        </row>
        <row r="2246">
          <cell r="C2246" t="str">
            <v>Nhân công</v>
          </cell>
          <cell r="G2246">
            <v>165478.39144736843</v>
          </cell>
        </row>
        <row r="2247">
          <cell r="B2247" t="str">
            <v>NC1407</v>
          </cell>
          <cell r="C2247" t="str">
            <v>+ Nhân công bậc 4,0/7</v>
          </cell>
          <cell r="D2247" t="str">
            <v>Công</v>
          </cell>
          <cell r="E2247">
            <v>0.85</v>
          </cell>
          <cell r="F2247">
            <v>194680.46052631579</v>
          </cell>
          <cell r="G2247">
            <v>165478.39144736843</v>
          </cell>
        </row>
        <row r="2248">
          <cell r="A2248" t="str">
            <v>D3.1743</v>
          </cell>
          <cell r="C2248" t="str">
            <v>Lắp đặt sứ chuỗi néo dây dẫn, chuỗi =&lt; 8 bát, Chiều cao lắp đặt sứ =&lt; 50m</v>
          </cell>
          <cell r="D2248" t="str">
            <v>chuỗi</v>
          </cell>
          <cell r="H2248">
            <v>1425</v>
          </cell>
          <cell r="I2248">
            <v>184946.4375</v>
          </cell>
        </row>
        <row r="2249">
          <cell r="C2249" t="str">
            <v>Vật liệu</v>
          </cell>
          <cell r="G2249">
            <v>1425</v>
          </cell>
        </row>
        <row r="2250">
          <cell r="B2250">
            <v>9</v>
          </cell>
          <cell r="C2250" t="str">
            <v>+ Giẻ lau</v>
          </cell>
          <cell r="D2250" t="str">
            <v>Kg</v>
          </cell>
          <cell r="E2250">
            <v>0.03</v>
          </cell>
          <cell r="F2250">
            <v>9500</v>
          </cell>
          <cell r="G2250">
            <v>285</v>
          </cell>
        </row>
        <row r="2251">
          <cell r="B2251">
            <v>1</v>
          </cell>
          <cell r="C2251" t="str">
            <v>+ Cồn công nghiệp</v>
          </cell>
          <cell r="D2251" t="str">
            <v>kg</v>
          </cell>
          <cell r="E2251">
            <v>0.12</v>
          </cell>
          <cell r="F2251">
            <v>9500</v>
          </cell>
          <cell r="G2251">
            <v>1140</v>
          </cell>
        </row>
        <row r="2252">
          <cell r="C2252" t="str">
            <v>Nhân công</v>
          </cell>
          <cell r="G2252">
            <v>184946.4375</v>
          </cell>
        </row>
        <row r="2253">
          <cell r="B2253" t="str">
            <v>NC1407</v>
          </cell>
          <cell r="C2253" t="str">
            <v>+ Nhân công bậc 4,0/7</v>
          </cell>
          <cell r="D2253" t="str">
            <v>Công</v>
          </cell>
          <cell r="E2253">
            <v>0.95</v>
          </cell>
          <cell r="F2253">
            <v>194680.46052631579</v>
          </cell>
          <cell r="G2253">
            <v>184946.4375</v>
          </cell>
        </row>
        <row r="2254">
          <cell r="A2254" t="str">
            <v>D3.1753</v>
          </cell>
          <cell r="C2254" t="str">
            <v>Lắp đặt sứ chuỗi néo dây dẫn, chuỗi =&lt; 8 bát, Chiều cao lắp đặt sứ =&lt; 60m</v>
          </cell>
          <cell r="D2254" t="str">
            <v>chuỗi</v>
          </cell>
          <cell r="H2254">
            <v>1425</v>
          </cell>
          <cell r="I2254">
            <v>204414.48355263157</v>
          </cell>
        </row>
        <row r="2255">
          <cell r="C2255" t="str">
            <v>Vật liệu</v>
          </cell>
          <cell r="G2255">
            <v>1425</v>
          </cell>
        </row>
        <row r="2256">
          <cell r="B2256">
            <v>9</v>
          </cell>
          <cell r="C2256" t="str">
            <v>+ Giẻ lau</v>
          </cell>
          <cell r="D2256" t="str">
            <v>Kg</v>
          </cell>
          <cell r="E2256">
            <v>0.03</v>
          </cell>
          <cell r="F2256">
            <v>9500</v>
          </cell>
          <cell r="G2256">
            <v>285</v>
          </cell>
        </row>
        <row r="2257">
          <cell r="B2257">
            <v>1</v>
          </cell>
          <cell r="C2257" t="str">
            <v>+ Cồn công nghiệp</v>
          </cell>
          <cell r="D2257" t="str">
            <v>kg</v>
          </cell>
          <cell r="E2257">
            <v>0.12</v>
          </cell>
          <cell r="F2257">
            <v>9500</v>
          </cell>
          <cell r="G2257">
            <v>1140</v>
          </cell>
        </row>
        <row r="2258">
          <cell r="C2258" t="str">
            <v>Nhân công</v>
          </cell>
          <cell r="G2258">
            <v>204414.48355263157</v>
          </cell>
        </row>
        <row r="2259">
          <cell r="B2259" t="str">
            <v>NC1407</v>
          </cell>
          <cell r="C2259" t="str">
            <v>+ Nhân công bậc 4,0/7</v>
          </cell>
          <cell r="D2259" t="str">
            <v>Công</v>
          </cell>
          <cell r="E2259">
            <v>1.05</v>
          </cell>
          <cell r="F2259">
            <v>194680.46052631579</v>
          </cell>
          <cell r="G2259">
            <v>204414.48355263157</v>
          </cell>
        </row>
        <row r="2260">
          <cell r="A2260" t="str">
            <v>D3.1763</v>
          </cell>
          <cell r="C2260" t="str">
            <v>Lắp đặt sứ chuỗi néo dây dẫn, chuỗi =&lt; 8 bát, Chiều cao lắp đặt sứ =&lt; 70m</v>
          </cell>
          <cell r="D2260" t="str">
            <v>chuỗi</v>
          </cell>
          <cell r="H2260">
            <v>1425</v>
          </cell>
          <cell r="I2260">
            <v>225829.33421052629</v>
          </cell>
        </row>
        <row r="2261">
          <cell r="C2261" t="str">
            <v>Vật liệu</v>
          </cell>
          <cell r="G2261">
            <v>1425</v>
          </cell>
        </row>
        <row r="2262">
          <cell r="B2262">
            <v>9</v>
          </cell>
          <cell r="C2262" t="str">
            <v>+ Giẻ lau</v>
          </cell>
          <cell r="D2262" t="str">
            <v>Kg</v>
          </cell>
          <cell r="E2262">
            <v>0.03</v>
          </cell>
          <cell r="F2262">
            <v>9500</v>
          </cell>
          <cell r="G2262">
            <v>285</v>
          </cell>
        </row>
        <row r="2263">
          <cell r="B2263">
            <v>1</v>
          </cell>
          <cell r="C2263" t="str">
            <v>+ Cồn công nghiệp</v>
          </cell>
          <cell r="D2263" t="str">
            <v>kg</v>
          </cell>
          <cell r="E2263">
            <v>0.12</v>
          </cell>
          <cell r="F2263">
            <v>9500</v>
          </cell>
          <cell r="G2263">
            <v>1140</v>
          </cell>
        </row>
        <row r="2264">
          <cell r="C2264" t="str">
            <v>Nhân công</v>
          </cell>
          <cell r="G2264">
            <v>225829.33421052629</v>
          </cell>
        </row>
        <row r="2265">
          <cell r="B2265" t="str">
            <v>NC1407</v>
          </cell>
          <cell r="C2265" t="str">
            <v>+ Nhân công bậc 4,0/7</v>
          </cell>
          <cell r="D2265" t="str">
            <v>Công</v>
          </cell>
          <cell r="E2265">
            <v>1.1599999999999999</v>
          </cell>
          <cell r="F2265">
            <v>194680.46052631579</v>
          </cell>
          <cell r="G2265">
            <v>225829.33421052629</v>
          </cell>
        </row>
        <row r="2266">
          <cell r="A2266" t="str">
            <v>D3.1773</v>
          </cell>
          <cell r="C2266" t="str">
            <v>Lắp đặt sứ chuỗi néo dây dẫn, chuỗi =&lt; 8 bát, Chiều cao lắp đặt sứ =&lt; 85m</v>
          </cell>
          <cell r="D2266" t="str">
            <v>chuỗi</v>
          </cell>
          <cell r="H2266">
            <v>1425</v>
          </cell>
          <cell r="I2266">
            <v>258925.01250000001</v>
          </cell>
        </row>
        <row r="2267">
          <cell r="C2267" t="str">
            <v>Vật liệu</v>
          </cell>
          <cell r="G2267">
            <v>1425</v>
          </cell>
        </row>
        <row r="2268">
          <cell r="B2268">
            <v>9</v>
          </cell>
          <cell r="C2268" t="str">
            <v>+ Giẻ lau</v>
          </cell>
          <cell r="D2268" t="str">
            <v>Kg</v>
          </cell>
          <cell r="E2268">
            <v>0.03</v>
          </cell>
          <cell r="F2268">
            <v>9500</v>
          </cell>
          <cell r="G2268">
            <v>285</v>
          </cell>
        </row>
        <row r="2269">
          <cell r="B2269">
            <v>1</v>
          </cell>
          <cell r="C2269" t="str">
            <v>+ Cồn công nghiệp</v>
          </cell>
          <cell r="D2269" t="str">
            <v>kg</v>
          </cell>
          <cell r="E2269">
            <v>0.12</v>
          </cell>
          <cell r="F2269">
            <v>9500</v>
          </cell>
          <cell r="G2269">
            <v>1140</v>
          </cell>
        </row>
        <row r="2270">
          <cell r="C2270" t="str">
            <v>Nhân công</v>
          </cell>
          <cell r="G2270">
            <v>258925.01250000001</v>
          </cell>
        </row>
        <row r="2271">
          <cell r="B2271" t="str">
            <v>NC1407</v>
          </cell>
          <cell r="C2271" t="str">
            <v>+ Nhân công bậc 4,0/7</v>
          </cell>
          <cell r="D2271" t="str">
            <v>Công</v>
          </cell>
          <cell r="E2271">
            <v>1.33</v>
          </cell>
          <cell r="F2271">
            <v>194680.46052631579</v>
          </cell>
          <cell r="G2271">
            <v>258925.01250000001</v>
          </cell>
        </row>
        <row r="2272">
          <cell r="A2272" t="str">
            <v>D3.1783</v>
          </cell>
          <cell r="C2272" t="str">
            <v>Lắp đặt sứ chuỗi néo dây dẫn, chuỗi =&lt; 8 bát, Chiều cao lắp đặt sứ =&lt; 100m</v>
          </cell>
          <cell r="D2272" t="str">
            <v>chuỗi</v>
          </cell>
          <cell r="H2272">
            <v>1425</v>
          </cell>
          <cell r="I2272">
            <v>297861.10460526316</v>
          </cell>
        </row>
        <row r="2273">
          <cell r="C2273" t="str">
            <v>Vật liệu</v>
          </cell>
          <cell r="G2273">
            <v>1425</v>
          </cell>
        </row>
        <row r="2274">
          <cell r="B2274">
            <v>9</v>
          </cell>
          <cell r="C2274" t="str">
            <v>+ Giẻ lau</v>
          </cell>
          <cell r="D2274" t="str">
            <v>Kg</v>
          </cell>
          <cell r="E2274">
            <v>0.03</v>
          </cell>
          <cell r="F2274">
            <v>9500</v>
          </cell>
          <cell r="G2274">
            <v>285</v>
          </cell>
        </row>
        <row r="2275">
          <cell r="B2275">
            <v>1</v>
          </cell>
          <cell r="C2275" t="str">
            <v>+ Cồn công nghiệp</v>
          </cell>
          <cell r="D2275" t="str">
            <v>kg</v>
          </cell>
          <cell r="E2275">
            <v>0.12</v>
          </cell>
          <cell r="F2275">
            <v>9500</v>
          </cell>
          <cell r="G2275">
            <v>1140</v>
          </cell>
        </row>
        <row r="2276">
          <cell r="C2276" t="str">
            <v>Nhân công</v>
          </cell>
          <cell r="G2276">
            <v>297861.10460526316</v>
          </cell>
        </row>
        <row r="2277">
          <cell r="B2277" t="str">
            <v>NC1407</v>
          </cell>
          <cell r="C2277" t="str">
            <v>+ Nhân công bậc 4,0/7</v>
          </cell>
          <cell r="D2277" t="str">
            <v>Công</v>
          </cell>
          <cell r="E2277">
            <v>1.53</v>
          </cell>
          <cell r="F2277">
            <v>194680.46052631579</v>
          </cell>
          <cell r="G2277">
            <v>297861.10460526316</v>
          </cell>
        </row>
        <row r="2278">
          <cell r="A2278" t="str">
            <v>D3.1714</v>
          </cell>
          <cell r="C2278" t="str">
            <v>Lắp đặt sứ chuỗi néo dây dẫn, chuỗi =&lt; 11 bát, Chiều cao lắp đặt sứ =&lt; 20m</v>
          </cell>
          <cell r="D2278" t="str">
            <v>chuỗi</v>
          </cell>
          <cell r="H2278">
            <v>1852.5</v>
          </cell>
          <cell r="I2278">
            <v>196627.26513157896</v>
          </cell>
        </row>
        <row r="2279">
          <cell r="C2279" t="str">
            <v>Vật liệu</v>
          </cell>
          <cell r="G2279">
            <v>1852.5</v>
          </cell>
        </row>
        <row r="2280">
          <cell r="B2280">
            <v>9</v>
          </cell>
          <cell r="C2280" t="str">
            <v>+ Giẻ lau</v>
          </cell>
          <cell r="D2280" t="str">
            <v>Kg</v>
          </cell>
          <cell r="E2280">
            <v>0.03</v>
          </cell>
          <cell r="F2280">
            <v>9500</v>
          </cell>
          <cell r="G2280">
            <v>285</v>
          </cell>
        </row>
        <row r="2281">
          <cell r="B2281">
            <v>1</v>
          </cell>
          <cell r="C2281" t="str">
            <v>+ Cồn công nghiệp</v>
          </cell>
          <cell r="D2281" t="str">
            <v>kg</v>
          </cell>
          <cell r="E2281">
            <v>0.16500000000000001</v>
          </cell>
          <cell r="F2281">
            <v>9500</v>
          </cell>
          <cell r="G2281">
            <v>1567.5</v>
          </cell>
        </row>
        <row r="2282">
          <cell r="C2282" t="str">
            <v>Nhân công</v>
          </cell>
          <cell r="G2282">
            <v>196627.26513157896</v>
          </cell>
        </row>
        <row r="2283">
          <cell r="B2283" t="str">
            <v>NC1407</v>
          </cell>
          <cell r="C2283" t="str">
            <v>+ Nhân công bậc 4,0/7</v>
          </cell>
          <cell r="D2283" t="str">
            <v>Công</v>
          </cell>
          <cell r="E2283">
            <v>1.01</v>
          </cell>
          <cell r="F2283">
            <v>194680.46052631579</v>
          </cell>
          <cell r="G2283">
            <v>196627.26513157896</v>
          </cell>
        </row>
        <row r="2284">
          <cell r="A2284" t="str">
            <v>D3.1724</v>
          </cell>
          <cell r="C2284" t="str">
            <v>Lắp đặt sứ chuỗi néo dây dẫn, chuỗi =&lt; 11 bát, Chiều cao lắp đặt sứ =&lt; 30m</v>
          </cell>
          <cell r="D2284" t="str">
            <v>chuỗi</v>
          </cell>
          <cell r="H2284">
            <v>1852.5</v>
          </cell>
          <cell r="I2284">
            <v>208308.09276315791</v>
          </cell>
        </row>
        <row r="2285">
          <cell r="C2285" t="str">
            <v>Vật liệu</v>
          </cell>
          <cell r="G2285">
            <v>1852.5</v>
          </cell>
        </row>
        <row r="2286">
          <cell r="B2286">
            <v>9</v>
          </cell>
          <cell r="C2286" t="str">
            <v>+ Giẻ lau</v>
          </cell>
          <cell r="D2286" t="str">
            <v>Kg</v>
          </cell>
          <cell r="E2286">
            <v>0.03</v>
          </cell>
          <cell r="F2286">
            <v>9500</v>
          </cell>
          <cell r="G2286">
            <v>285</v>
          </cell>
        </row>
        <row r="2287">
          <cell r="B2287">
            <v>1</v>
          </cell>
          <cell r="C2287" t="str">
            <v>+ Cồn công nghiệp</v>
          </cell>
          <cell r="D2287" t="str">
            <v>kg</v>
          </cell>
          <cell r="E2287">
            <v>0.16500000000000001</v>
          </cell>
          <cell r="F2287">
            <v>9500</v>
          </cell>
          <cell r="G2287">
            <v>1567.5</v>
          </cell>
        </row>
        <row r="2288">
          <cell r="C2288" t="str">
            <v>Nhân công</v>
          </cell>
          <cell r="G2288">
            <v>208308.09276315791</v>
          </cell>
        </row>
        <row r="2289">
          <cell r="B2289" t="str">
            <v>NC1407</v>
          </cell>
          <cell r="C2289" t="str">
            <v>+ Nhân công bậc 4,0/7</v>
          </cell>
          <cell r="D2289" t="str">
            <v>Công</v>
          </cell>
          <cell r="E2289">
            <v>1.07</v>
          </cell>
          <cell r="F2289">
            <v>194680.46052631579</v>
          </cell>
          <cell r="G2289">
            <v>208308.09276315791</v>
          </cell>
        </row>
        <row r="2290">
          <cell r="A2290" t="str">
            <v>D3.1734</v>
          </cell>
          <cell r="C2290" t="str">
            <v>Lắp đặt sứ chuỗi néo dây dẫn, chuỗi =&lt; 11 bát, Chiều cao lắp đặt sứ =&lt; 40m</v>
          </cell>
          <cell r="D2290" t="str">
            <v>chuỗi</v>
          </cell>
          <cell r="H2290">
            <v>1852.5</v>
          </cell>
          <cell r="I2290">
            <v>235563.3572368421</v>
          </cell>
        </row>
        <row r="2291">
          <cell r="C2291" t="str">
            <v>Vật liệu</v>
          </cell>
          <cell r="G2291">
            <v>1852.5</v>
          </cell>
        </row>
        <row r="2292">
          <cell r="B2292">
            <v>9</v>
          </cell>
          <cell r="C2292" t="str">
            <v>+ Giẻ lau</v>
          </cell>
          <cell r="D2292" t="str">
            <v>Kg</v>
          </cell>
          <cell r="E2292">
            <v>0.03</v>
          </cell>
          <cell r="F2292">
            <v>9500</v>
          </cell>
          <cell r="G2292">
            <v>285</v>
          </cell>
        </row>
        <row r="2293">
          <cell r="B2293">
            <v>1</v>
          </cell>
          <cell r="C2293" t="str">
            <v>+ Cồn công nghiệp</v>
          </cell>
          <cell r="D2293" t="str">
            <v>kg</v>
          </cell>
          <cell r="E2293">
            <v>0.16500000000000001</v>
          </cell>
          <cell r="F2293">
            <v>9500</v>
          </cell>
          <cell r="G2293">
            <v>1567.5</v>
          </cell>
        </row>
        <row r="2294">
          <cell r="C2294" t="str">
            <v>Nhân công</v>
          </cell>
          <cell r="G2294">
            <v>235563.3572368421</v>
          </cell>
        </row>
        <row r="2295">
          <cell r="B2295" t="str">
            <v>NC1407</v>
          </cell>
          <cell r="C2295" t="str">
            <v>+ Nhân công bậc 4,0/7</v>
          </cell>
          <cell r="D2295" t="str">
            <v>Công</v>
          </cell>
          <cell r="E2295">
            <v>1.21</v>
          </cell>
          <cell r="F2295">
            <v>194680.46052631579</v>
          </cell>
          <cell r="G2295">
            <v>235563.3572368421</v>
          </cell>
        </row>
        <row r="2296">
          <cell r="A2296" t="str">
            <v>D3.1744</v>
          </cell>
          <cell r="C2296" t="str">
            <v>Lắp đặt sứ chuỗi néo dây dẫn, chuỗi =&lt; 11 bát, Chiều cao lắp đặt sứ =&lt; 50m</v>
          </cell>
          <cell r="D2296" t="str">
            <v>chuỗi</v>
          </cell>
          <cell r="H2296">
            <v>1852.5</v>
          </cell>
          <cell r="I2296">
            <v>262818.62171052635</v>
          </cell>
        </row>
        <row r="2297">
          <cell r="C2297" t="str">
            <v>Vật liệu</v>
          </cell>
          <cell r="G2297">
            <v>1852.5</v>
          </cell>
        </row>
        <row r="2298">
          <cell r="B2298">
            <v>9</v>
          </cell>
          <cell r="C2298" t="str">
            <v>+ Giẻ lau</v>
          </cell>
          <cell r="D2298" t="str">
            <v>Kg</v>
          </cell>
          <cell r="E2298">
            <v>0.03</v>
          </cell>
          <cell r="F2298">
            <v>9500</v>
          </cell>
          <cell r="G2298">
            <v>285</v>
          </cell>
        </row>
        <row r="2299">
          <cell r="B2299">
            <v>1</v>
          </cell>
          <cell r="C2299" t="str">
            <v>+ Cồn công nghiệp</v>
          </cell>
          <cell r="D2299" t="str">
            <v>kg</v>
          </cell>
          <cell r="E2299">
            <v>0.16500000000000001</v>
          </cell>
          <cell r="F2299">
            <v>9500</v>
          </cell>
          <cell r="G2299">
            <v>1567.5</v>
          </cell>
        </row>
        <row r="2300">
          <cell r="C2300" t="str">
            <v>Nhân công</v>
          </cell>
          <cell r="G2300">
            <v>262818.62171052635</v>
          </cell>
        </row>
        <row r="2301">
          <cell r="B2301" t="str">
            <v>NC1407</v>
          </cell>
          <cell r="C2301" t="str">
            <v>+ Nhân công bậc 4,0/7</v>
          </cell>
          <cell r="D2301" t="str">
            <v>Công</v>
          </cell>
          <cell r="E2301">
            <v>1.35</v>
          </cell>
          <cell r="F2301">
            <v>194680.46052631579</v>
          </cell>
          <cell r="G2301">
            <v>262818.62171052635</v>
          </cell>
        </row>
        <row r="2302">
          <cell r="A2302" t="str">
            <v>D3.1754</v>
          </cell>
          <cell r="C2302" t="str">
            <v>Lắp đặt sứ chuỗi néo dây dẫn, chuỗi =&lt; 11 bát, Chiều cao lắp đặt sứ =&lt; 60m</v>
          </cell>
          <cell r="D2302" t="str">
            <v>chuỗi</v>
          </cell>
          <cell r="H2302">
            <v>1852.5</v>
          </cell>
          <cell r="I2302">
            <v>288127.08157894737</v>
          </cell>
        </row>
        <row r="2303">
          <cell r="C2303" t="str">
            <v>Vật liệu</v>
          </cell>
          <cell r="G2303">
            <v>1852.5</v>
          </cell>
        </row>
        <row r="2304">
          <cell r="B2304">
            <v>9</v>
          </cell>
          <cell r="C2304" t="str">
            <v>+ Giẻ lau</v>
          </cell>
          <cell r="D2304" t="str">
            <v>Kg</v>
          </cell>
          <cell r="E2304">
            <v>0.03</v>
          </cell>
          <cell r="F2304">
            <v>9500</v>
          </cell>
          <cell r="G2304">
            <v>285</v>
          </cell>
        </row>
        <row r="2305">
          <cell r="B2305">
            <v>1</v>
          </cell>
          <cell r="C2305" t="str">
            <v>+ Cồn công nghiệp</v>
          </cell>
          <cell r="D2305" t="str">
            <v>kg</v>
          </cell>
          <cell r="E2305">
            <v>0.16500000000000001</v>
          </cell>
          <cell r="F2305">
            <v>9500</v>
          </cell>
          <cell r="G2305">
            <v>1567.5</v>
          </cell>
        </row>
        <row r="2306">
          <cell r="C2306" t="str">
            <v>Nhân công</v>
          </cell>
          <cell r="G2306">
            <v>288127.08157894737</v>
          </cell>
        </row>
        <row r="2307">
          <cell r="B2307" t="str">
            <v>NC1407</v>
          </cell>
          <cell r="C2307" t="str">
            <v>+ Nhân công bậc 4,0/7</v>
          </cell>
          <cell r="D2307" t="str">
            <v>Công</v>
          </cell>
          <cell r="E2307">
            <v>1.48</v>
          </cell>
          <cell r="F2307">
            <v>194680.46052631579</v>
          </cell>
          <cell r="G2307">
            <v>288127.08157894737</v>
          </cell>
        </row>
        <row r="2308">
          <cell r="A2308" t="str">
            <v>D3.1764</v>
          </cell>
          <cell r="C2308" t="str">
            <v>Lắp đặt sứ chuỗi néo dây dẫn, chuỗi =&lt; 11 bát, Chiều cao lắp đặt sứ =&lt; 70m</v>
          </cell>
          <cell r="D2308" t="str">
            <v>chuỗi</v>
          </cell>
          <cell r="H2308">
            <v>1852.5</v>
          </cell>
          <cell r="I2308">
            <v>317329.15065789473</v>
          </cell>
        </row>
        <row r="2309">
          <cell r="C2309" t="str">
            <v>Vật liệu</v>
          </cell>
          <cell r="G2309">
            <v>1852.5</v>
          </cell>
        </row>
        <row r="2310">
          <cell r="B2310">
            <v>9</v>
          </cell>
          <cell r="C2310" t="str">
            <v>+ Giẻ lau</v>
          </cell>
          <cell r="D2310" t="str">
            <v>Kg</v>
          </cell>
          <cell r="E2310">
            <v>0.03</v>
          </cell>
          <cell r="F2310">
            <v>9500</v>
          </cell>
          <cell r="G2310">
            <v>285</v>
          </cell>
        </row>
        <row r="2311">
          <cell r="B2311">
            <v>1</v>
          </cell>
          <cell r="C2311" t="str">
            <v>+ Cồn công nghiệp</v>
          </cell>
          <cell r="D2311" t="str">
            <v>kg</v>
          </cell>
          <cell r="E2311">
            <v>0.16500000000000001</v>
          </cell>
          <cell r="F2311">
            <v>9500</v>
          </cell>
          <cell r="G2311">
            <v>1567.5</v>
          </cell>
        </row>
        <row r="2312">
          <cell r="C2312" t="str">
            <v>Nhân công</v>
          </cell>
          <cell r="G2312">
            <v>317329.15065789473</v>
          </cell>
        </row>
        <row r="2313">
          <cell r="B2313" t="str">
            <v>NC1407</v>
          </cell>
          <cell r="C2313" t="str">
            <v>+ Nhân công bậc 4,0/7</v>
          </cell>
          <cell r="D2313" t="str">
            <v>Công</v>
          </cell>
          <cell r="E2313">
            <v>1.63</v>
          </cell>
          <cell r="F2313">
            <v>194680.46052631579</v>
          </cell>
          <cell r="G2313">
            <v>317329.15065789473</v>
          </cell>
        </row>
        <row r="2314">
          <cell r="A2314" t="str">
            <v>D3.1774</v>
          </cell>
          <cell r="C2314" t="str">
            <v>Lắp đặt sứ chuỗi néo dây dẫn, chuỗi =&lt; 11 bát, Chiều cao lắp đặt sứ =&lt; 85m</v>
          </cell>
          <cell r="D2314" t="str">
            <v>chuỗi</v>
          </cell>
          <cell r="H2314">
            <v>1852.5</v>
          </cell>
          <cell r="I2314">
            <v>364052.46118421055</v>
          </cell>
        </row>
        <row r="2315">
          <cell r="C2315" t="str">
            <v>Vật liệu</v>
          </cell>
          <cell r="G2315">
            <v>1852.5</v>
          </cell>
        </row>
        <row r="2316">
          <cell r="B2316">
            <v>9</v>
          </cell>
          <cell r="C2316" t="str">
            <v>+ Giẻ lau</v>
          </cell>
          <cell r="D2316" t="str">
            <v>Kg</v>
          </cell>
          <cell r="E2316">
            <v>0.03</v>
          </cell>
          <cell r="F2316">
            <v>9500</v>
          </cell>
          <cell r="G2316">
            <v>285</v>
          </cell>
        </row>
        <row r="2317">
          <cell r="B2317">
            <v>1</v>
          </cell>
          <cell r="C2317" t="str">
            <v>+ Cồn công nghiệp</v>
          </cell>
          <cell r="D2317" t="str">
            <v>kg</v>
          </cell>
          <cell r="E2317">
            <v>0.16500000000000001</v>
          </cell>
          <cell r="F2317">
            <v>9500</v>
          </cell>
          <cell r="G2317">
            <v>1567.5</v>
          </cell>
        </row>
        <row r="2318">
          <cell r="C2318" t="str">
            <v>Nhân công</v>
          </cell>
          <cell r="G2318">
            <v>364052.46118421055</v>
          </cell>
        </row>
        <row r="2319">
          <cell r="B2319" t="str">
            <v>NC1407</v>
          </cell>
          <cell r="C2319" t="str">
            <v>+ Nhân công bậc 4,0/7</v>
          </cell>
          <cell r="D2319" t="str">
            <v>Công</v>
          </cell>
          <cell r="E2319">
            <v>1.87</v>
          </cell>
          <cell r="F2319">
            <v>194680.46052631579</v>
          </cell>
          <cell r="G2319">
            <v>364052.46118421055</v>
          </cell>
        </row>
        <row r="2320">
          <cell r="A2320" t="str">
            <v>D3.1784</v>
          </cell>
          <cell r="C2320" t="str">
            <v>Lắp đặt sứ chuỗi néo dây dẫn, chuỗi =&lt; 11 bát, Chiều cao lắp đặt sứ =&lt; 100m</v>
          </cell>
          <cell r="D2320" t="str">
            <v>chuỗi</v>
          </cell>
          <cell r="H2320">
            <v>1852.5</v>
          </cell>
          <cell r="I2320">
            <v>418562.99013157893</v>
          </cell>
        </row>
        <row r="2321">
          <cell r="C2321" t="str">
            <v>Vật liệu</v>
          </cell>
          <cell r="G2321">
            <v>1852.5</v>
          </cell>
        </row>
        <row r="2322">
          <cell r="B2322">
            <v>9</v>
          </cell>
          <cell r="C2322" t="str">
            <v>+ Giẻ lau</v>
          </cell>
          <cell r="D2322" t="str">
            <v>Kg</v>
          </cell>
          <cell r="E2322">
            <v>0.03</v>
          </cell>
          <cell r="F2322">
            <v>9500</v>
          </cell>
          <cell r="G2322">
            <v>285</v>
          </cell>
        </row>
        <row r="2323">
          <cell r="B2323">
            <v>1</v>
          </cell>
          <cell r="C2323" t="str">
            <v>+ Cồn công nghiệp</v>
          </cell>
          <cell r="D2323" t="str">
            <v>kg</v>
          </cell>
          <cell r="E2323">
            <v>0.16500000000000001</v>
          </cell>
          <cell r="F2323">
            <v>9500</v>
          </cell>
          <cell r="G2323">
            <v>1567.5</v>
          </cell>
        </row>
        <row r="2324">
          <cell r="C2324" t="str">
            <v>Nhân công</v>
          </cell>
          <cell r="G2324">
            <v>418562.99013157893</v>
          </cell>
        </row>
        <row r="2325">
          <cell r="B2325" t="str">
            <v>NC1407</v>
          </cell>
          <cell r="C2325" t="str">
            <v>+ Nhân công bậc 4,0/7</v>
          </cell>
          <cell r="D2325" t="str">
            <v>Công</v>
          </cell>
          <cell r="E2325">
            <v>2.15</v>
          </cell>
          <cell r="F2325">
            <v>194680.46052631579</v>
          </cell>
          <cell r="G2325">
            <v>418562.99013157893</v>
          </cell>
        </row>
        <row r="2326">
          <cell r="A2326" t="str">
            <v>D3.1715</v>
          </cell>
          <cell r="C2326" t="str">
            <v>Lắp đặt sứ chuỗi néo dây dẫn, chuỗi =&lt; 14 bát, Chiều cao lắp đặt sứ =&lt; 20m</v>
          </cell>
          <cell r="D2326" t="str">
            <v>chuỗi</v>
          </cell>
          <cell r="H2326">
            <v>2185</v>
          </cell>
          <cell r="I2326">
            <v>249190.98947368423</v>
          </cell>
        </row>
        <row r="2327">
          <cell r="C2327" t="str">
            <v>Vật liệu</v>
          </cell>
          <cell r="G2327">
            <v>2185</v>
          </cell>
        </row>
        <row r="2328">
          <cell r="B2328">
            <v>9</v>
          </cell>
          <cell r="C2328" t="str">
            <v>+ Giẻ lau</v>
          </cell>
          <cell r="D2328" t="str">
            <v>Kg</v>
          </cell>
          <cell r="E2328">
            <v>0.03</v>
          </cell>
          <cell r="F2328">
            <v>9500</v>
          </cell>
          <cell r="G2328">
            <v>285</v>
          </cell>
        </row>
        <row r="2329">
          <cell r="B2329">
            <v>1</v>
          </cell>
          <cell r="C2329" t="str">
            <v>+ Cồn công nghiệp</v>
          </cell>
          <cell r="D2329" t="str">
            <v>kg</v>
          </cell>
          <cell r="E2329">
            <v>0.2</v>
          </cell>
          <cell r="F2329">
            <v>9500</v>
          </cell>
          <cell r="G2329">
            <v>1900</v>
          </cell>
        </row>
        <row r="2330">
          <cell r="C2330" t="str">
            <v>Nhân công</v>
          </cell>
          <cell r="G2330">
            <v>249190.98947368423</v>
          </cell>
        </row>
        <row r="2331">
          <cell r="B2331" t="str">
            <v>NC1407</v>
          </cell>
          <cell r="C2331" t="str">
            <v>+ Nhân công bậc 4,0/7</v>
          </cell>
          <cell r="D2331" t="str">
            <v>Công</v>
          </cell>
          <cell r="E2331">
            <v>1.28</v>
          </cell>
          <cell r="F2331">
            <v>194680.46052631579</v>
          </cell>
          <cell r="G2331">
            <v>249190.98947368423</v>
          </cell>
        </row>
        <row r="2332">
          <cell r="A2332" t="str">
            <v>D3.1725</v>
          </cell>
          <cell r="C2332" t="str">
            <v>Lắp đặt sứ chuỗi néo dây dẫn, chuỗi =&lt; 14 bát, Chiều cao lắp đặt sứ =&lt; 30m</v>
          </cell>
          <cell r="D2332" t="str">
            <v>chuỗi</v>
          </cell>
          <cell r="H2332">
            <v>2185</v>
          </cell>
          <cell r="I2332">
            <v>262818.62171052635</v>
          </cell>
        </row>
        <row r="2333">
          <cell r="C2333" t="str">
            <v>Vật liệu</v>
          </cell>
          <cell r="G2333">
            <v>2185</v>
          </cell>
        </row>
        <row r="2334">
          <cell r="B2334">
            <v>9</v>
          </cell>
          <cell r="C2334" t="str">
            <v>+ Giẻ lau</v>
          </cell>
          <cell r="D2334" t="str">
            <v>Kg</v>
          </cell>
          <cell r="E2334">
            <v>0.03</v>
          </cell>
          <cell r="F2334">
            <v>9500</v>
          </cell>
          <cell r="G2334">
            <v>285</v>
          </cell>
        </row>
        <row r="2335">
          <cell r="B2335">
            <v>1</v>
          </cell>
          <cell r="C2335" t="str">
            <v>+ Cồn công nghiệp</v>
          </cell>
          <cell r="D2335" t="str">
            <v>kg</v>
          </cell>
          <cell r="E2335">
            <v>0.2</v>
          </cell>
          <cell r="F2335">
            <v>9500</v>
          </cell>
          <cell r="G2335">
            <v>1900</v>
          </cell>
        </row>
        <row r="2336">
          <cell r="C2336" t="str">
            <v>Nhân công</v>
          </cell>
          <cell r="G2336">
            <v>262818.62171052635</v>
          </cell>
        </row>
        <row r="2337">
          <cell r="B2337" t="str">
            <v>NC1407</v>
          </cell>
          <cell r="C2337" t="str">
            <v>+ Nhân công bậc 4,0/7</v>
          </cell>
          <cell r="D2337" t="str">
            <v>Công</v>
          </cell>
          <cell r="E2337">
            <v>1.35</v>
          </cell>
          <cell r="F2337">
            <v>194680.46052631579</v>
          </cell>
          <cell r="G2337">
            <v>262818.62171052635</v>
          </cell>
        </row>
        <row r="2338">
          <cell r="A2338" t="str">
            <v>D3.1735</v>
          </cell>
          <cell r="C2338" t="str">
            <v>Lắp đặt sứ chuỗi néo dây dẫn, chuỗi =&lt; 14 bát, Chiều cao lắp đặt sứ =&lt; 40m</v>
          </cell>
          <cell r="D2338" t="str">
            <v>chuỗi</v>
          </cell>
          <cell r="H2338">
            <v>2185</v>
          </cell>
          <cell r="I2338">
            <v>297861.10460526316</v>
          </cell>
        </row>
        <row r="2339">
          <cell r="C2339" t="str">
            <v>Vật liệu</v>
          </cell>
          <cell r="G2339">
            <v>2185</v>
          </cell>
        </row>
        <row r="2340">
          <cell r="B2340">
            <v>9</v>
          </cell>
          <cell r="C2340" t="str">
            <v>+ Giẻ lau</v>
          </cell>
          <cell r="D2340" t="str">
            <v>Kg</v>
          </cell>
          <cell r="E2340">
            <v>0.03</v>
          </cell>
          <cell r="F2340">
            <v>9500</v>
          </cell>
          <cell r="G2340">
            <v>285</v>
          </cell>
        </row>
        <row r="2341">
          <cell r="B2341">
            <v>1</v>
          </cell>
          <cell r="C2341" t="str">
            <v>+ Cồn công nghiệp</v>
          </cell>
          <cell r="D2341" t="str">
            <v>kg</v>
          </cell>
          <cell r="E2341">
            <v>0.2</v>
          </cell>
          <cell r="F2341">
            <v>9500</v>
          </cell>
          <cell r="G2341">
            <v>1900</v>
          </cell>
        </row>
        <row r="2342">
          <cell r="C2342" t="str">
            <v>Nhân công</v>
          </cell>
          <cell r="G2342">
            <v>297861.10460526316</v>
          </cell>
        </row>
        <row r="2343">
          <cell r="B2343" t="str">
            <v>NC1407</v>
          </cell>
          <cell r="C2343" t="str">
            <v>+ Nhân công bậc 4,0/7</v>
          </cell>
          <cell r="D2343" t="str">
            <v>Công</v>
          </cell>
          <cell r="E2343">
            <v>1.53</v>
          </cell>
          <cell r="F2343">
            <v>194680.46052631579</v>
          </cell>
          <cell r="G2343">
            <v>297861.10460526316</v>
          </cell>
        </row>
        <row r="2344">
          <cell r="A2344" t="str">
            <v>D3.1745</v>
          </cell>
          <cell r="C2344" t="str">
            <v>Lắp đặt sứ chuỗi néo dây dẫn, chuỗi =&lt; 14 bát, Chiều cao lắp đặt sứ =&lt; 50m</v>
          </cell>
          <cell r="D2344" t="str">
            <v>chuỗi</v>
          </cell>
          <cell r="H2344">
            <v>2185</v>
          </cell>
          <cell r="I2344">
            <v>332903.58749999997</v>
          </cell>
        </row>
        <row r="2345">
          <cell r="C2345" t="str">
            <v>Vật liệu</v>
          </cell>
          <cell r="G2345">
            <v>2185</v>
          </cell>
        </row>
        <row r="2346">
          <cell r="B2346">
            <v>9</v>
          </cell>
          <cell r="C2346" t="str">
            <v>+ Giẻ lau</v>
          </cell>
          <cell r="D2346" t="str">
            <v>Kg</v>
          </cell>
          <cell r="E2346">
            <v>0.03</v>
          </cell>
          <cell r="F2346">
            <v>9500</v>
          </cell>
          <cell r="G2346">
            <v>285</v>
          </cell>
        </row>
        <row r="2347">
          <cell r="B2347">
            <v>1</v>
          </cell>
          <cell r="C2347" t="str">
            <v>+ Cồn công nghiệp</v>
          </cell>
          <cell r="D2347" t="str">
            <v>kg</v>
          </cell>
          <cell r="E2347">
            <v>0.2</v>
          </cell>
          <cell r="F2347">
            <v>9500</v>
          </cell>
          <cell r="G2347">
            <v>1900</v>
          </cell>
        </row>
        <row r="2348">
          <cell r="C2348" t="str">
            <v>Nhân công</v>
          </cell>
          <cell r="G2348">
            <v>332903.58749999997</v>
          </cell>
        </row>
        <row r="2349">
          <cell r="B2349" t="str">
            <v>NC1407</v>
          </cell>
          <cell r="C2349" t="str">
            <v>+ Nhân công bậc 4,0/7</v>
          </cell>
          <cell r="D2349" t="str">
            <v>Công</v>
          </cell>
          <cell r="E2349">
            <v>1.71</v>
          </cell>
          <cell r="F2349">
            <v>194680.46052631579</v>
          </cell>
          <cell r="G2349">
            <v>332903.58749999997</v>
          </cell>
        </row>
        <row r="2350">
          <cell r="A2350" t="str">
            <v>D3.1755</v>
          </cell>
          <cell r="C2350" t="str">
            <v>Lắp đặt sứ chuỗi néo dây dẫn, chuỗi =&lt; 14 bát, Chiều cao lắp đặt sứ =&lt; 60m</v>
          </cell>
          <cell r="D2350" t="str">
            <v>chuỗi</v>
          </cell>
          <cell r="H2350">
            <v>2185</v>
          </cell>
          <cell r="I2350">
            <v>365999.26578947366</v>
          </cell>
        </row>
        <row r="2351">
          <cell r="C2351" t="str">
            <v>Vật liệu</v>
          </cell>
          <cell r="G2351">
            <v>2185</v>
          </cell>
        </row>
        <row r="2352">
          <cell r="B2352">
            <v>9</v>
          </cell>
          <cell r="C2352" t="str">
            <v>+ Giẻ lau</v>
          </cell>
          <cell r="D2352" t="str">
            <v>Kg</v>
          </cell>
          <cell r="E2352">
            <v>0.03</v>
          </cell>
          <cell r="F2352">
            <v>9500</v>
          </cell>
          <cell r="G2352">
            <v>285</v>
          </cell>
        </row>
        <row r="2353">
          <cell r="B2353">
            <v>1</v>
          </cell>
          <cell r="C2353" t="str">
            <v>+ Cồn công nghiệp</v>
          </cell>
          <cell r="D2353" t="str">
            <v>kg</v>
          </cell>
          <cell r="E2353">
            <v>0.2</v>
          </cell>
          <cell r="F2353">
            <v>9500</v>
          </cell>
          <cell r="G2353">
            <v>1900</v>
          </cell>
        </row>
        <row r="2354">
          <cell r="C2354" t="str">
            <v>Nhân công</v>
          </cell>
          <cell r="G2354">
            <v>365999.26578947366</v>
          </cell>
        </row>
        <row r="2355">
          <cell r="B2355" t="str">
            <v>NC1407</v>
          </cell>
          <cell r="C2355" t="str">
            <v>+ Nhân công bậc 4,0/7</v>
          </cell>
          <cell r="D2355" t="str">
            <v>Công</v>
          </cell>
          <cell r="E2355">
            <v>1.88</v>
          </cell>
          <cell r="F2355">
            <v>194680.46052631579</v>
          </cell>
          <cell r="G2355">
            <v>365999.26578947366</v>
          </cell>
        </row>
        <row r="2356">
          <cell r="A2356" t="str">
            <v>D3.1765</v>
          </cell>
          <cell r="C2356" t="str">
            <v>Lắp đặt sứ chuỗi néo dây dẫn, chuỗi =&lt; 14 bát, Chiều cao lắp đặt sứ =&lt; 70m</v>
          </cell>
          <cell r="D2356" t="str">
            <v>chuỗi</v>
          </cell>
          <cell r="H2356">
            <v>2185</v>
          </cell>
          <cell r="I2356">
            <v>402988.55328947364</v>
          </cell>
        </row>
        <row r="2357">
          <cell r="C2357" t="str">
            <v>Vật liệu</v>
          </cell>
          <cell r="G2357">
            <v>2185</v>
          </cell>
        </row>
        <row r="2358">
          <cell r="B2358">
            <v>9</v>
          </cell>
          <cell r="C2358" t="str">
            <v>+ Giẻ lau</v>
          </cell>
          <cell r="D2358" t="str">
            <v>Kg</v>
          </cell>
          <cell r="E2358">
            <v>0.03</v>
          </cell>
          <cell r="F2358">
            <v>9500</v>
          </cell>
          <cell r="G2358">
            <v>285</v>
          </cell>
        </row>
        <row r="2359">
          <cell r="B2359">
            <v>1</v>
          </cell>
          <cell r="C2359" t="str">
            <v>+ Cồn công nghiệp</v>
          </cell>
          <cell r="D2359" t="str">
            <v>kg</v>
          </cell>
          <cell r="E2359">
            <v>0.2</v>
          </cell>
          <cell r="F2359">
            <v>9500</v>
          </cell>
          <cell r="G2359">
            <v>1900</v>
          </cell>
        </row>
        <row r="2360">
          <cell r="C2360" t="str">
            <v>Nhân công</v>
          </cell>
          <cell r="G2360">
            <v>402988.55328947364</v>
          </cell>
        </row>
        <row r="2361">
          <cell r="B2361" t="str">
            <v>NC1407</v>
          </cell>
          <cell r="C2361" t="str">
            <v>+ Nhân công bậc 4,0/7</v>
          </cell>
          <cell r="D2361" t="str">
            <v>Công</v>
          </cell>
          <cell r="E2361">
            <v>2.0699999999999998</v>
          </cell>
          <cell r="F2361">
            <v>194680.46052631579</v>
          </cell>
          <cell r="G2361">
            <v>402988.55328947364</v>
          </cell>
        </row>
        <row r="2362">
          <cell r="A2362" t="str">
            <v>D3.1775</v>
          </cell>
          <cell r="C2362" t="str">
            <v>Lắp đặt sứ chuỗi néo dây dẫn, chuỗi =&lt; 14 bát, Chiều cao lắp đặt sứ =&lt; 85m</v>
          </cell>
          <cell r="D2362" t="str">
            <v>chuỗi</v>
          </cell>
          <cell r="H2362">
            <v>2185</v>
          </cell>
          <cell r="I2362">
            <v>463339.49605263153</v>
          </cell>
        </row>
        <row r="2363">
          <cell r="C2363" t="str">
            <v>Vật liệu</v>
          </cell>
          <cell r="G2363">
            <v>2185</v>
          </cell>
        </row>
        <row r="2364">
          <cell r="B2364">
            <v>9</v>
          </cell>
          <cell r="C2364" t="str">
            <v>+ Giẻ lau</v>
          </cell>
          <cell r="D2364" t="str">
            <v>Kg</v>
          </cell>
          <cell r="E2364">
            <v>0.03</v>
          </cell>
          <cell r="F2364">
            <v>9500</v>
          </cell>
          <cell r="G2364">
            <v>285</v>
          </cell>
        </row>
        <row r="2365">
          <cell r="B2365">
            <v>1</v>
          </cell>
          <cell r="C2365" t="str">
            <v>+ Cồn công nghiệp</v>
          </cell>
          <cell r="D2365" t="str">
            <v>kg</v>
          </cell>
          <cell r="E2365">
            <v>0.2</v>
          </cell>
          <cell r="F2365">
            <v>9500</v>
          </cell>
          <cell r="G2365">
            <v>1900</v>
          </cell>
        </row>
        <row r="2366">
          <cell r="C2366" t="str">
            <v>Nhân công</v>
          </cell>
          <cell r="G2366">
            <v>463339.49605263153</v>
          </cell>
        </row>
        <row r="2367">
          <cell r="B2367" t="str">
            <v>NC1407</v>
          </cell>
          <cell r="C2367" t="str">
            <v>+ Nhân công bậc 4,0/7</v>
          </cell>
          <cell r="D2367" t="str">
            <v>Công</v>
          </cell>
          <cell r="E2367">
            <v>2.38</v>
          </cell>
          <cell r="F2367">
            <v>194680.46052631579</v>
          </cell>
          <cell r="G2367">
            <v>463339.49605263153</v>
          </cell>
        </row>
        <row r="2368">
          <cell r="A2368" t="str">
            <v>D3.1785</v>
          </cell>
          <cell r="C2368" t="str">
            <v>Lắp đặt sứ chuỗi néo dây dẫn, chuỗi =&lt; 14 bát, Chiều cao lắp đặt sứ =&lt; 100m</v>
          </cell>
          <cell r="D2368" t="str">
            <v>chuỗi</v>
          </cell>
          <cell r="H2368">
            <v>2185</v>
          </cell>
          <cell r="I2368">
            <v>533424.46184210526</v>
          </cell>
        </row>
        <row r="2369">
          <cell r="C2369" t="str">
            <v>Vật liệu</v>
          </cell>
          <cell r="G2369">
            <v>2185</v>
          </cell>
        </row>
        <row r="2370">
          <cell r="B2370">
            <v>9</v>
          </cell>
          <cell r="C2370" t="str">
            <v>+ Giẻ lau</v>
          </cell>
          <cell r="D2370" t="str">
            <v>Kg</v>
          </cell>
          <cell r="E2370">
            <v>0.03</v>
          </cell>
          <cell r="F2370">
            <v>9500</v>
          </cell>
          <cell r="G2370">
            <v>285</v>
          </cell>
        </row>
        <row r="2371">
          <cell r="B2371">
            <v>1</v>
          </cell>
          <cell r="C2371" t="str">
            <v>+ Cồn công nghiệp</v>
          </cell>
          <cell r="D2371" t="str">
            <v>kg</v>
          </cell>
          <cell r="E2371">
            <v>0.2</v>
          </cell>
          <cell r="F2371">
            <v>9500</v>
          </cell>
          <cell r="G2371">
            <v>1900</v>
          </cell>
        </row>
        <row r="2372">
          <cell r="C2372" t="str">
            <v>Nhân công</v>
          </cell>
          <cell r="G2372">
            <v>533424.46184210526</v>
          </cell>
        </row>
        <row r="2373">
          <cell r="B2373" t="str">
            <v>NC1407</v>
          </cell>
          <cell r="C2373" t="str">
            <v>+ Nhân công bậc 4,0/7</v>
          </cell>
          <cell r="D2373" t="str">
            <v>Công</v>
          </cell>
          <cell r="E2373">
            <v>2.74</v>
          </cell>
          <cell r="F2373">
            <v>194680.46052631579</v>
          </cell>
          <cell r="G2373">
            <v>533424.46184210526</v>
          </cell>
        </row>
        <row r="2374">
          <cell r="A2374" t="str">
            <v>D3.1716</v>
          </cell>
          <cell r="C2374" t="str">
            <v>Lắp đặt sứ chuỗi néo dây dẫn, chuỗi =&lt; 18 bát, Chiều cao lắp đặt sứ =&lt; 20m</v>
          </cell>
          <cell r="D2374" t="str">
            <v>chuỗi</v>
          </cell>
          <cell r="H2374">
            <v>2660</v>
          </cell>
          <cell r="I2374">
            <v>299807.90921052633</v>
          </cell>
        </row>
        <row r="2375">
          <cell r="C2375" t="str">
            <v>Vật liệu</v>
          </cell>
          <cell r="G2375">
            <v>2660</v>
          </cell>
        </row>
        <row r="2376">
          <cell r="B2376">
            <v>9</v>
          </cell>
          <cell r="C2376" t="str">
            <v>+ Giẻ lau</v>
          </cell>
          <cell r="D2376" t="str">
            <v>Kg</v>
          </cell>
          <cell r="E2376">
            <v>0.04</v>
          </cell>
          <cell r="F2376">
            <v>9500</v>
          </cell>
          <cell r="G2376">
            <v>380</v>
          </cell>
        </row>
        <row r="2377">
          <cell r="B2377">
            <v>1</v>
          </cell>
          <cell r="C2377" t="str">
            <v>+ Cồn công nghiệp</v>
          </cell>
          <cell r="D2377" t="str">
            <v>kg</v>
          </cell>
          <cell r="E2377">
            <v>0.24</v>
          </cell>
          <cell r="F2377">
            <v>9500</v>
          </cell>
          <cell r="G2377">
            <v>2280</v>
          </cell>
        </row>
        <row r="2378">
          <cell r="C2378" t="str">
            <v>Nhân công</v>
          </cell>
          <cell r="G2378">
            <v>299807.90921052633</v>
          </cell>
        </row>
        <row r="2379">
          <cell r="B2379" t="str">
            <v>NC1407</v>
          </cell>
          <cell r="C2379" t="str">
            <v>+ Nhân công bậc 4,0/7</v>
          </cell>
          <cell r="D2379" t="str">
            <v>Công</v>
          </cell>
          <cell r="E2379">
            <v>1.54</v>
          </cell>
          <cell r="F2379">
            <v>194680.46052631579</v>
          </cell>
          <cell r="G2379">
            <v>299807.90921052633</v>
          </cell>
        </row>
        <row r="2380">
          <cell r="A2380" t="str">
            <v>D3.1726</v>
          </cell>
          <cell r="C2380" t="str">
            <v>Lắp đặt sứ chuỗi néo dây dẫn, chuỗi =&lt; 18 bát, Chiều cao lắp đặt sứ =&lt; 30m</v>
          </cell>
          <cell r="D2380" t="str">
            <v>chuỗi</v>
          </cell>
          <cell r="H2380">
            <v>2660</v>
          </cell>
          <cell r="I2380">
            <v>315382.34605263162</v>
          </cell>
        </row>
        <row r="2381">
          <cell r="C2381" t="str">
            <v>Vật liệu</v>
          </cell>
          <cell r="G2381">
            <v>2660</v>
          </cell>
        </row>
        <row r="2382">
          <cell r="B2382">
            <v>9</v>
          </cell>
          <cell r="C2382" t="str">
            <v>+ Giẻ lau</v>
          </cell>
          <cell r="D2382" t="str">
            <v>Kg</v>
          </cell>
          <cell r="E2382">
            <v>0.04</v>
          </cell>
          <cell r="F2382">
            <v>9500</v>
          </cell>
          <cell r="G2382">
            <v>380</v>
          </cell>
        </row>
        <row r="2383">
          <cell r="B2383">
            <v>1</v>
          </cell>
          <cell r="C2383" t="str">
            <v>+ Cồn công nghiệp</v>
          </cell>
          <cell r="D2383" t="str">
            <v>kg</v>
          </cell>
          <cell r="E2383">
            <v>0.24</v>
          </cell>
          <cell r="F2383">
            <v>9500</v>
          </cell>
          <cell r="G2383">
            <v>2280</v>
          </cell>
        </row>
        <row r="2384">
          <cell r="C2384" t="str">
            <v>Nhân công</v>
          </cell>
          <cell r="G2384">
            <v>315382.34605263162</v>
          </cell>
        </row>
        <row r="2385">
          <cell r="B2385" t="str">
            <v>NC1407</v>
          </cell>
          <cell r="C2385" t="str">
            <v>+ Nhân công bậc 4,0/7</v>
          </cell>
          <cell r="D2385" t="str">
            <v>Công</v>
          </cell>
          <cell r="E2385">
            <v>1.62</v>
          </cell>
          <cell r="F2385">
            <v>194680.46052631579</v>
          </cell>
          <cell r="G2385">
            <v>315382.34605263162</v>
          </cell>
        </row>
        <row r="2386">
          <cell r="A2386" t="str">
            <v>D3.1736</v>
          </cell>
          <cell r="C2386" t="str">
            <v>Lắp đặt sứ chuỗi néo dây dẫn, chuỗi =&lt; 18 bát, Chiều cao lắp đặt sứ =&lt; 40m</v>
          </cell>
          <cell r="D2386" t="str">
            <v>chuỗi</v>
          </cell>
          <cell r="H2386">
            <v>2660</v>
          </cell>
          <cell r="I2386">
            <v>358212.04736842104</v>
          </cell>
        </row>
        <row r="2387">
          <cell r="C2387" t="str">
            <v>Vật liệu</v>
          </cell>
          <cell r="G2387">
            <v>2660</v>
          </cell>
        </row>
        <row r="2388">
          <cell r="B2388">
            <v>9</v>
          </cell>
          <cell r="C2388" t="str">
            <v>+ Giẻ lau</v>
          </cell>
          <cell r="D2388" t="str">
            <v>Kg</v>
          </cell>
          <cell r="E2388">
            <v>0.04</v>
          </cell>
          <cell r="F2388">
            <v>9500</v>
          </cell>
          <cell r="G2388">
            <v>380</v>
          </cell>
        </row>
        <row r="2389">
          <cell r="B2389">
            <v>1</v>
          </cell>
          <cell r="C2389" t="str">
            <v>+ Cồn công nghiệp</v>
          </cell>
          <cell r="D2389" t="str">
            <v>kg</v>
          </cell>
          <cell r="E2389">
            <v>0.24</v>
          </cell>
          <cell r="F2389">
            <v>9500</v>
          </cell>
          <cell r="G2389">
            <v>2280</v>
          </cell>
        </row>
        <row r="2390">
          <cell r="C2390" t="str">
            <v>Nhân công</v>
          </cell>
          <cell r="G2390">
            <v>358212.04736842104</v>
          </cell>
        </row>
        <row r="2391">
          <cell r="B2391" t="str">
            <v>NC1407</v>
          </cell>
          <cell r="C2391" t="str">
            <v>+ Nhân công bậc 4,0/7</v>
          </cell>
          <cell r="D2391" t="str">
            <v>Công</v>
          </cell>
          <cell r="E2391">
            <v>1.84</v>
          </cell>
          <cell r="F2391">
            <v>194680.46052631579</v>
          </cell>
          <cell r="G2391">
            <v>358212.04736842104</v>
          </cell>
        </row>
        <row r="2392">
          <cell r="A2392" t="str">
            <v>D3.1746</v>
          </cell>
          <cell r="C2392" t="str">
            <v>Lắp đặt sứ chuỗi néo dây dẫn, chuỗi =&lt; 18 bát, Chiều cao lắp đặt sứ =&lt; 50m</v>
          </cell>
          <cell r="D2392" t="str">
            <v>chuỗi</v>
          </cell>
          <cell r="H2392">
            <v>2660</v>
          </cell>
          <cell r="I2392">
            <v>399094.9440789473</v>
          </cell>
        </row>
        <row r="2393">
          <cell r="C2393" t="str">
            <v>Vật liệu</v>
          </cell>
          <cell r="G2393">
            <v>2660</v>
          </cell>
        </row>
        <row r="2394">
          <cell r="B2394">
            <v>9</v>
          </cell>
          <cell r="C2394" t="str">
            <v>+ Giẻ lau</v>
          </cell>
          <cell r="D2394" t="str">
            <v>Kg</v>
          </cell>
          <cell r="E2394">
            <v>0.04</v>
          </cell>
          <cell r="F2394">
            <v>9500</v>
          </cell>
          <cell r="G2394">
            <v>380</v>
          </cell>
        </row>
        <row r="2395">
          <cell r="B2395">
            <v>1</v>
          </cell>
          <cell r="C2395" t="str">
            <v>+ Cồn công nghiệp</v>
          </cell>
          <cell r="D2395" t="str">
            <v>kg</v>
          </cell>
          <cell r="E2395">
            <v>0.24</v>
          </cell>
          <cell r="F2395">
            <v>9500</v>
          </cell>
          <cell r="G2395">
            <v>2280</v>
          </cell>
        </row>
        <row r="2396">
          <cell r="C2396" t="str">
            <v>Nhân công</v>
          </cell>
          <cell r="G2396">
            <v>399094.9440789473</v>
          </cell>
        </row>
        <row r="2397">
          <cell r="B2397" t="str">
            <v>NC1407</v>
          </cell>
          <cell r="C2397" t="str">
            <v>+ Nhân công bậc 4,0/7</v>
          </cell>
          <cell r="D2397" t="str">
            <v>Công</v>
          </cell>
          <cell r="E2397">
            <v>2.0499999999999998</v>
          </cell>
          <cell r="F2397">
            <v>194680.46052631579</v>
          </cell>
          <cell r="G2397">
            <v>399094.9440789473</v>
          </cell>
        </row>
        <row r="2398">
          <cell r="A2398" t="str">
            <v>D3.1756</v>
          </cell>
          <cell r="C2398" t="str">
            <v>Lắp đặt sứ chuỗi néo dây dẫn, chuỗi =&lt; 18 bát, Chiều cao lắp đặt sứ =&lt; 60m</v>
          </cell>
          <cell r="D2398" t="str">
            <v>chuỗi</v>
          </cell>
          <cell r="H2398">
            <v>2660</v>
          </cell>
          <cell r="I2398">
            <v>506169.19736842107</v>
          </cell>
        </row>
        <row r="2399">
          <cell r="C2399" t="str">
            <v>Vật liệu</v>
          </cell>
          <cell r="G2399">
            <v>2660</v>
          </cell>
        </row>
        <row r="2400">
          <cell r="B2400">
            <v>9</v>
          </cell>
          <cell r="C2400" t="str">
            <v>+ Giẻ lau</v>
          </cell>
          <cell r="D2400" t="str">
            <v>Kg</v>
          </cell>
          <cell r="E2400">
            <v>0.04</v>
          </cell>
          <cell r="F2400">
            <v>9500</v>
          </cell>
          <cell r="G2400">
            <v>380</v>
          </cell>
        </row>
        <row r="2401">
          <cell r="B2401">
            <v>1</v>
          </cell>
          <cell r="C2401" t="str">
            <v>+ Cồn công nghiệp</v>
          </cell>
          <cell r="D2401" t="str">
            <v>kg</v>
          </cell>
          <cell r="E2401">
            <v>0.24</v>
          </cell>
          <cell r="F2401">
            <v>9500</v>
          </cell>
          <cell r="G2401">
            <v>2280</v>
          </cell>
        </row>
        <row r="2402">
          <cell r="C2402" t="str">
            <v>Nhân công</v>
          </cell>
          <cell r="G2402">
            <v>506169.19736842107</v>
          </cell>
        </row>
        <row r="2403">
          <cell r="B2403" t="str">
            <v>NC1407</v>
          </cell>
          <cell r="C2403" t="str">
            <v>+ Nhân công bậc 4,0/7</v>
          </cell>
          <cell r="D2403" t="str">
            <v>Công</v>
          </cell>
          <cell r="E2403">
            <v>2.6</v>
          </cell>
          <cell r="F2403">
            <v>194680.46052631579</v>
          </cell>
          <cell r="G2403">
            <v>506169.19736842107</v>
          </cell>
        </row>
        <row r="2404">
          <cell r="A2404" t="str">
            <v>D3.1766</v>
          </cell>
          <cell r="C2404" t="str">
            <v>Lắp đặt sứ chuỗi néo dây dẫn, chuỗi =&lt; 18 bát, Chiều cao lắp đặt sứ =&lt; 70m</v>
          </cell>
          <cell r="D2404" t="str">
            <v>chuỗi</v>
          </cell>
          <cell r="H2404">
            <v>2660</v>
          </cell>
          <cell r="I2404">
            <v>556786.11710526317</v>
          </cell>
        </row>
        <row r="2405">
          <cell r="C2405" t="str">
            <v>Vật liệu</v>
          </cell>
          <cell r="G2405">
            <v>2660</v>
          </cell>
        </row>
        <row r="2406">
          <cell r="B2406">
            <v>9</v>
          </cell>
          <cell r="C2406" t="str">
            <v>+ Giẻ lau</v>
          </cell>
          <cell r="D2406" t="str">
            <v>Kg</v>
          </cell>
          <cell r="E2406">
            <v>0.04</v>
          </cell>
          <cell r="F2406">
            <v>9500</v>
          </cell>
          <cell r="G2406">
            <v>380</v>
          </cell>
        </row>
        <row r="2407">
          <cell r="B2407">
            <v>1</v>
          </cell>
          <cell r="C2407" t="str">
            <v>+ Cồn công nghiệp</v>
          </cell>
          <cell r="D2407" t="str">
            <v>kg</v>
          </cell>
          <cell r="E2407">
            <v>0.24</v>
          </cell>
          <cell r="F2407">
            <v>9500</v>
          </cell>
          <cell r="G2407">
            <v>2280</v>
          </cell>
        </row>
        <row r="2408">
          <cell r="C2408" t="str">
            <v>Nhân công</v>
          </cell>
          <cell r="G2408">
            <v>556786.11710526317</v>
          </cell>
        </row>
        <row r="2409">
          <cell r="B2409" t="str">
            <v>NC1407</v>
          </cell>
          <cell r="C2409" t="str">
            <v>+ Nhân công bậc 4,0/7</v>
          </cell>
          <cell r="D2409" t="str">
            <v>Công</v>
          </cell>
          <cell r="E2409">
            <v>2.86</v>
          </cell>
          <cell r="F2409">
            <v>194680.46052631579</v>
          </cell>
          <cell r="G2409">
            <v>556786.11710526317</v>
          </cell>
        </row>
        <row r="2410">
          <cell r="A2410" t="str">
            <v>D3.1776</v>
          </cell>
          <cell r="C2410" t="str">
            <v>Lắp đặt sứ chuỗi néo dây dẫn, chuỗi =&lt; 18 bát, Chiều cao lắp đặt sứ =&lt; 85m</v>
          </cell>
          <cell r="D2410" t="str">
            <v>chuỗi</v>
          </cell>
          <cell r="H2410">
            <v>2660</v>
          </cell>
          <cell r="I2410">
            <v>640498.71513157897</v>
          </cell>
        </row>
        <row r="2411">
          <cell r="C2411" t="str">
            <v>Vật liệu</v>
          </cell>
          <cell r="G2411">
            <v>2660</v>
          </cell>
        </row>
        <row r="2412">
          <cell r="B2412">
            <v>9</v>
          </cell>
          <cell r="C2412" t="str">
            <v>+ Giẻ lau</v>
          </cell>
          <cell r="D2412" t="str">
            <v>Kg</v>
          </cell>
          <cell r="E2412">
            <v>0.04</v>
          </cell>
          <cell r="F2412">
            <v>9500</v>
          </cell>
          <cell r="G2412">
            <v>380</v>
          </cell>
        </row>
        <row r="2413">
          <cell r="B2413">
            <v>1</v>
          </cell>
          <cell r="C2413" t="str">
            <v>+ Cồn công nghiệp</v>
          </cell>
          <cell r="D2413" t="str">
            <v>kg</v>
          </cell>
          <cell r="E2413">
            <v>0.24</v>
          </cell>
          <cell r="F2413">
            <v>9500</v>
          </cell>
          <cell r="G2413">
            <v>2280</v>
          </cell>
        </row>
        <row r="2414">
          <cell r="C2414" t="str">
            <v>Nhân công</v>
          </cell>
          <cell r="G2414">
            <v>640498.71513157897</v>
          </cell>
        </row>
        <row r="2415">
          <cell r="B2415" t="str">
            <v>NC1407</v>
          </cell>
          <cell r="C2415" t="str">
            <v>+ Nhân công bậc 4,0/7</v>
          </cell>
          <cell r="D2415" t="str">
            <v>Công</v>
          </cell>
          <cell r="E2415">
            <v>3.29</v>
          </cell>
          <cell r="F2415">
            <v>194680.46052631579</v>
          </cell>
          <cell r="G2415">
            <v>640498.71513157897</v>
          </cell>
        </row>
        <row r="2416">
          <cell r="A2416" t="str">
            <v>D3.1786</v>
          </cell>
          <cell r="C2416" t="str">
            <v>Lắp đặt sứ chuỗi néo dây dẫn, chuỗi =&lt; 18 bát, Chiều cao lắp đặt sứ =&lt; 100m</v>
          </cell>
          <cell r="D2416" t="str">
            <v>chuỗi</v>
          </cell>
          <cell r="H2416">
            <v>2660</v>
          </cell>
          <cell r="I2416">
            <v>735892.14078947366</v>
          </cell>
        </row>
        <row r="2417">
          <cell r="C2417" t="str">
            <v>Vật liệu</v>
          </cell>
          <cell r="G2417">
            <v>2660</v>
          </cell>
        </row>
        <row r="2418">
          <cell r="B2418">
            <v>9</v>
          </cell>
          <cell r="C2418" t="str">
            <v>+ Giẻ lau</v>
          </cell>
          <cell r="D2418" t="str">
            <v>Kg</v>
          </cell>
          <cell r="E2418">
            <v>0.04</v>
          </cell>
          <cell r="F2418">
            <v>9500</v>
          </cell>
          <cell r="G2418">
            <v>380</v>
          </cell>
        </row>
        <row r="2419">
          <cell r="B2419">
            <v>1</v>
          </cell>
          <cell r="C2419" t="str">
            <v>+ Cồn công nghiệp</v>
          </cell>
          <cell r="D2419" t="str">
            <v>kg</v>
          </cell>
          <cell r="E2419">
            <v>0.24</v>
          </cell>
          <cell r="F2419">
            <v>9500</v>
          </cell>
          <cell r="G2419">
            <v>2280</v>
          </cell>
        </row>
        <row r="2420">
          <cell r="C2420" t="str">
            <v>Nhân công</v>
          </cell>
          <cell r="G2420">
            <v>735892.14078947366</v>
          </cell>
        </row>
        <row r="2421">
          <cell r="B2421" t="str">
            <v>NC1407</v>
          </cell>
          <cell r="C2421" t="str">
            <v>+ Nhân công bậc 4,0/7</v>
          </cell>
          <cell r="D2421" t="str">
            <v>Công</v>
          </cell>
          <cell r="E2421">
            <v>3.78</v>
          </cell>
          <cell r="F2421">
            <v>194680.46052631579</v>
          </cell>
          <cell r="G2421">
            <v>735892.14078947366</v>
          </cell>
        </row>
        <row r="2422">
          <cell r="A2422" t="str">
            <v>D3.1717</v>
          </cell>
          <cell r="C2422" t="str">
            <v>Lắp đặt sứ chuỗi néo dây dẫn, chuỗi  =&lt; 21 bát, Chiều cao lắp đặt sứ =&lt; 20m</v>
          </cell>
          <cell r="D2422" t="str">
            <v>chuỗi</v>
          </cell>
          <cell r="H2422">
            <v>3135</v>
          </cell>
          <cell r="I2422">
            <v>360158.85197368421</v>
          </cell>
        </row>
        <row r="2423">
          <cell r="C2423" t="str">
            <v>Vật liệu</v>
          </cell>
          <cell r="G2423">
            <v>3135</v>
          </cell>
        </row>
        <row r="2424">
          <cell r="B2424">
            <v>9</v>
          </cell>
          <cell r="C2424" t="str">
            <v>+ Giẻ lau</v>
          </cell>
          <cell r="D2424" t="str">
            <v>Kg</v>
          </cell>
          <cell r="E2424">
            <v>0.04</v>
          </cell>
          <cell r="F2424">
            <v>9500</v>
          </cell>
          <cell r="G2424">
            <v>380</v>
          </cell>
        </row>
        <row r="2425">
          <cell r="B2425">
            <v>1</v>
          </cell>
          <cell r="C2425" t="str">
            <v>+ Cồn công nghiệp</v>
          </cell>
          <cell r="D2425" t="str">
            <v>kg</v>
          </cell>
          <cell r="E2425">
            <v>0.28999999999999998</v>
          </cell>
          <cell r="F2425">
            <v>9500</v>
          </cell>
          <cell r="G2425">
            <v>2755</v>
          </cell>
        </row>
        <row r="2426">
          <cell r="C2426" t="str">
            <v>Nhân công</v>
          </cell>
          <cell r="G2426">
            <v>360158.85197368421</v>
          </cell>
        </row>
        <row r="2427">
          <cell r="B2427" t="str">
            <v>NC1407</v>
          </cell>
          <cell r="C2427" t="str">
            <v>+ Nhân công bậc 4,0/7</v>
          </cell>
          <cell r="D2427" t="str">
            <v>Công</v>
          </cell>
          <cell r="E2427">
            <v>1.85</v>
          </cell>
          <cell r="F2427">
            <v>194680.46052631579</v>
          </cell>
          <cell r="G2427">
            <v>360158.85197368421</v>
          </cell>
        </row>
        <row r="2428">
          <cell r="A2428" t="str">
            <v>D3.1727</v>
          </cell>
          <cell r="C2428" t="str">
            <v>Lắp đặt sứ chuỗi néo dây dẫn, chuỗi  =&lt; 21 bát, Chiều cao lắp đặt sứ =&lt; 30m</v>
          </cell>
          <cell r="D2428" t="str">
            <v>chuỗi</v>
          </cell>
          <cell r="H2428">
            <v>3135</v>
          </cell>
          <cell r="I2428">
            <v>377680.09342105262</v>
          </cell>
        </row>
        <row r="2429">
          <cell r="C2429" t="str">
            <v>Vật liệu</v>
          </cell>
          <cell r="G2429">
            <v>3135</v>
          </cell>
        </row>
        <row r="2430">
          <cell r="B2430">
            <v>9</v>
          </cell>
          <cell r="C2430" t="str">
            <v>+ Giẻ lau</v>
          </cell>
          <cell r="D2430" t="str">
            <v>Kg</v>
          </cell>
          <cell r="E2430">
            <v>0.04</v>
          </cell>
          <cell r="F2430">
            <v>9500</v>
          </cell>
          <cell r="G2430">
            <v>380</v>
          </cell>
        </row>
        <row r="2431">
          <cell r="B2431">
            <v>1</v>
          </cell>
          <cell r="C2431" t="str">
            <v>+ Cồn công nghiệp</v>
          </cell>
          <cell r="D2431" t="str">
            <v>kg</v>
          </cell>
          <cell r="E2431">
            <v>0.28999999999999998</v>
          </cell>
          <cell r="F2431">
            <v>9500</v>
          </cell>
          <cell r="G2431">
            <v>2755</v>
          </cell>
        </row>
        <row r="2432">
          <cell r="C2432" t="str">
            <v>Nhân công</v>
          </cell>
          <cell r="G2432">
            <v>377680.09342105262</v>
          </cell>
        </row>
        <row r="2433">
          <cell r="B2433" t="str">
            <v>NC1407</v>
          </cell>
          <cell r="C2433" t="str">
            <v>+ Nhân công bậc 4,0/7</v>
          </cell>
          <cell r="D2433" t="str">
            <v>Công</v>
          </cell>
          <cell r="E2433">
            <v>1.94</v>
          </cell>
          <cell r="F2433">
            <v>194680.46052631579</v>
          </cell>
          <cell r="G2433">
            <v>377680.09342105262</v>
          </cell>
        </row>
        <row r="2434">
          <cell r="A2434" t="str">
            <v>D3.17367</v>
          </cell>
          <cell r="C2434" t="str">
            <v>Lắp đặt sứ chuỗi néo dây dẫn, chuỗi  =&lt; 21 bát, Chiều cao lắp đặt sứ =&lt; 40m</v>
          </cell>
          <cell r="D2434" t="str">
            <v>chuỗi</v>
          </cell>
          <cell r="H2434">
            <v>3135</v>
          </cell>
          <cell r="I2434">
            <v>430243.81776315789</v>
          </cell>
        </row>
        <row r="2435">
          <cell r="C2435" t="str">
            <v>Vật liệu</v>
          </cell>
          <cell r="G2435">
            <v>3135</v>
          </cell>
        </row>
        <row r="2436">
          <cell r="B2436">
            <v>9</v>
          </cell>
          <cell r="C2436" t="str">
            <v>+ Giẻ lau</v>
          </cell>
          <cell r="D2436" t="str">
            <v>Kg</v>
          </cell>
          <cell r="E2436">
            <v>0.04</v>
          </cell>
          <cell r="F2436">
            <v>9500</v>
          </cell>
          <cell r="G2436">
            <v>380</v>
          </cell>
        </row>
        <row r="2437">
          <cell r="B2437">
            <v>1</v>
          </cell>
          <cell r="C2437" t="str">
            <v>+ Cồn công nghiệp</v>
          </cell>
          <cell r="D2437" t="str">
            <v>kg</v>
          </cell>
          <cell r="E2437">
            <v>0.28999999999999998</v>
          </cell>
          <cell r="F2437">
            <v>9500</v>
          </cell>
          <cell r="G2437">
            <v>2755</v>
          </cell>
        </row>
        <row r="2438">
          <cell r="C2438" t="str">
            <v>Nhân công</v>
          </cell>
          <cell r="G2438">
            <v>430243.81776315789</v>
          </cell>
        </row>
        <row r="2439">
          <cell r="B2439" t="str">
            <v>NC1407</v>
          </cell>
          <cell r="C2439" t="str">
            <v>+ Nhân công bậc 4,0/7</v>
          </cell>
          <cell r="D2439" t="str">
            <v>Công</v>
          </cell>
          <cell r="E2439">
            <v>2.21</v>
          </cell>
          <cell r="F2439">
            <v>194680.46052631579</v>
          </cell>
          <cell r="G2439">
            <v>430243.81776315789</v>
          </cell>
        </row>
        <row r="2440">
          <cell r="A2440" t="str">
            <v>D3.1747</v>
          </cell>
          <cell r="C2440" t="str">
            <v>Lắp đặt sứ chuỗi néo dây dẫn, chuỗi  =&lt; 21 bát, Chiều cao lắp đặt sứ =&lt; 50m</v>
          </cell>
          <cell r="D2440" t="str">
            <v>chuỗi</v>
          </cell>
          <cell r="H2440">
            <v>3135</v>
          </cell>
          <cell r="I2440">
            <v>478913.93289473682</v>
          </cell>
        </row>
        <row r="2441">
          <cell r="C2441" t="str">
            <v>Vật liệu</v>
          </cell>
          <cell r="G2441">
            <v>3135</v>
          </cell>
        </row>
        <row r="2442">
          <cell r="B2442">
            <v>9</v>
          </cell>
          <cell r="C2442" t="str">
            <v>+ Giẻ lau</v>
          </cell>
          <cell r="D2442" t="str">
            <v>Kg</v>
          </cell>
          <cell r="E2442">
            <v>0.04</v>
          </cell>
          <cell r="F2442">
            <v>9500</v>
          </cell>
          <cell r="G2442">
            <v>380</v>
          </cell>
        </row>
        <row r="2443">
          <cell r="B2443">
            <v>1</v>
          </cell>
          <cell r="C2443" t="str">
            <v>+ Cồn công nghiệp</v>
          </cell>
          <cell r="D2443" t="str">
            <v>kg</v>
          </cell>
          <cell r="E2443">
            <v>0.28999999999999998</v>
          </cell>
          <cell r="F2443">
            <v>9500</v>
          </cell>
          <cell r="G2443">
            <v>2755</v>
          </cell>
        </row>
        <row r="2444">
          <cell r="C2444" t="str">
            <v>Nhân công</v>
          </cell>
          <cell r="G2444">
            <v>478913.93289473682</v>
          </cell>
        </row>
        <row r="2445">
          <cell r="B2445" t="str">
            <v>NC1407</v>
          </cell>
          <cell r="C2445" t="str">
            <v>+ Nhân công bậc 4,0/7</v>
          </cell>
          <cell r="D2445" t="str">
            <v>Công</v>
          </cell>
          <cell r="E2445">
            <v>2.46</v>
          </cell>
          <cell r="F2445">
            <v>194680.46052631579</v>
          </cell>
          <cell r="G2445">
            <v>478913.93289473682</v>
          </cell>
        </row>
        <row r="2446">
          <cell r="A2446" t="str">
            <v>D3.1757</v>
          </cell>
          <cell r="C2446" t="str">
            <v>Lắp đặt sứ chuỗi néo dây dẫn, chuỗi  =&lt; 21 bát, Chiều cao lắp đặt sứ =&lt; 60m</v>
          </cell>
          <cell r="D2446" t="str">
            <v>chuỗi</v>
          </cell>
          <cell r="H2446">
            <v>3135</v>
          </cell>
          <cell r="I2446">
            <v>527584.04802631575</v>
          </cell>
        </row>
        <row r="2447">
          <cell r="C2447" t="str">
            <v>Vật liệu</v>
          </cell>
          <cell r="G2447">
            <v>3135</v>
          </cell>
        </row>
        <row r="2448">
          <cell r="B2448">
            <v>9</v>
          </cell>
          <cell r="C2448" t="str">
            <v>+ Giẻ lau</v>
          </cell>
          <cell r="D2448" t="str">
            <v>Kg</v>
          </cell>
          <cell r="E2448">
            <v>0.04</v>
          </cell>
          <cell r="F2448">
            <v>9500</v>
          </cell>
          <cell r="G2448">
            <v>380</v>
          </cell>
        </row>
        <row r="2449">
          <cell r="B2449">
            <v>1</v>
          </cell>
          <cell r="C2449" t="str">
            <v>+ Cồn công nghiệp</v>
          </cell>
          <cell r="D2449" t="str">
            <v>kg</v>
          </cell>
          <cell r="E2449">
            <v>0.28999999999999998</v>
          </cell>
          <cell r="F2449">
            <v>9500</v>
          </cell>
          <cell r="G2449">
            <v>2755</v>
          </cell>
        </row>
        <row r="2450">
          <cell r="C2450" t="str">
            <v>Nhân công</v>
          </cell>
          <cell r="G2450">
            <v>527584.04802631575</v>
          </cell>
        </row>
        <row r="2451">
          <cell r="B2451" t="str">
            <v>NC1407</v>
          </cell>
          <cell r="C2451" t="str">
            <v>+ Nhân công bậc 4,0/7</v>
          </cell>
          <cell r="D2451" t="str">
            <v>Công</v>
          </cell>
          <cell r="E2451">
            <v>2.71</v>
          </cell>
          <cell r="F2451">
            <v>194680.46052631579</v>
          </cell>
          <cell r="G2451">
            <v>527584.04802631575</v>
          </cell>
        </row>
        <row r="2452">
          <cell r="A2452" t="str">
            <v>D3.17667</v>
          </cell>
          <cell r="C2452" t="str">
            <v>Lắp đặt sứ chuỗi néo dây dẫn, chuỗi  =&lt; 21 bát, Chiều cao lắp đặt sứ =&lt; 60m</v>
          </cell>
          <cell r="D2452" t="str">
            <v>chuỗi</v>
          </cell>
          <cell r="H2452">
            <v>3135</v>
          </cell>
          <cell r="I2452">
            <v>580147.77236842108</v>
          </cell>
        </row>
        <row r="2453">
          <cell r="C2453" t="str">
            <v>Vật liệu</v>
          </cell>
          <cell r="G2453">
            <v>3135</v>
          </cell>
        </row>
        <row r="2454">
          <cell r="B2454">
            <v>9</v>
          </cell>
          <cell r="C2454" t="str">
            <v>+ Giẻ lau</v>
          </cell>
          <cell r="D2454" t="str">
            <v>Kg</v>
          </cell>
          <cell r="E2454">
            <v>0.04</v>
          </cell>
          <cell r="F2454">
            <v>9500</v>
          </cell>
          <cell r="G2454">
            <v>380</v>
          </cell>
        </row>
        <row r="2455">
          <cell r="B2455">
            <v>1</v>
          </cell>
          <cell r="C2455" t="str">
            <v>+ Cồn công nghiệp</v>
          </cell>
          <cell r="D2455" t="str">
            <v>kg</v>
          </cell>
          <cell r="E2455">
            <v>0.28999999999999998</v>
          </cell>
          <cell r="F2455">
            <v>9500</v>
          </cell>
          <cell r="G2455">
            <v>2755</v>
          </cell>
        </row>
        <row r="2456">
          <cell r="C2456" t="str">
            <v>Nhân công</v>
          </cell>
          <cell r="G2456">
            <v>580147.77236842108</v>
          </cell>
        </row>
        <row r="2457">
          <cell r="B2457" t="str">
            <v>NC1407</v>
          </cell>
          <cell r="C2457" t="str">
            <v>+ Nhân công bậc 4,0/7</v>
          </cell>
          <cell r="D2457" t="str">
            <v>Công</v>
          </cell>
          <cell r="E2457">
            <v>2.98</v>
          </cell>
          <cell r="F2457">
            <v>194680.46052631579</v>
          </cell>
          <cell r="G2457">
            <v>580147.77236842108</v>
          </cell>
        </row>
        <row r="2458">
          <cell r="A2458" t="str">
            <v>D3.1777</v>
          </cell>
          <cell r="C2458" t="str">
            <v>Lắp đặt sứ chuỗi néo dây dẫn, chuỗi  =&lt; 21 bát, Chiều cao lắp đặt sứ =&lt; 85m</v>
          </cell>
          <cell r="D2458" t="str">
            <v>chuỗi</v>
          </cell>
          <cell r="H2458">
            <v>3135</v>
          </cell>
          <cell r="I2458">
            <v>667753.97960526322</v>
          </cell>
        </row>
        <row r="2459">
          <cell r="C2459" t="str">
            <v>Vật liệu</v>
          </cell>
          <cell r="G2459">
            <v>3135</v>
          </cell>
        </row>
        <row r="2460">
          <cell r="B2460">
            <v>9</v>
          </cell>
          <cell r="C2460" t="str">
            <v>+ Giẻ lau</v>
          </cell>
          <cell r="D2460" t="str">
            <v>Kg</v>
          </cell>
          <cell r="E2460">
            <v>0.04</v>
          </cell>
          <cell r="F2460">
            <v>9500</v>
          </cell>
          <cell r="G2460">
            <v>380</v>
          </cell>
        </row>
        <row r="2461">
          <cell r="B2461">
            <v>1</v>
          </cell>
          <cell r="C2461" t="str">
            <v>+ Cồn công nghiệp</v>
          </cell>
          <cell r="D2461" t="str">
            <v>kg</v>
          </cell>
          <cell r="E2461">
            <v>0.28999999999999998</v>
          </cell>
          <cell r="F2461">
            <v>9500</v>
          </cell>
          <cell r="G2461">
            <v>2755</v>
          </cell>
        </row>
        <row r="2462">
          <cell r="C2462" t="str">
            <v>Nhân công</v>
          </cell>
          <cell r="G2462">
            <v>667753.97960526322</v>
          </cell>
        </row>
        <row r="2463">
          <cell r="B2463" t="str">
            <v>NC1407</v>
          </cell>
          <cell r="C2463" t="str">
            <v>+ Nhân công bậc 4,0/7</v>
          </cell>
          <cell r="D2463" t="str">
            <v>Công</v>
          </cell>
          <cell r="E2463">
            <v>3.43</v>
          </cell>
          <cell r="F2463">
            <v>194680.46052631579</v>
          </cell>
          <cell r="G2463">
            <v>667753.97960526322</v>
          </cell>
        </row>
        <row r="2464">
          <cell r="A2464" t="str">
            <v>D3.1787</v>
          </cell>
          <cell r="C2464" t="str">
            <v>Lắp đặt sứ chuỗi néo dây dẫn, chuỗi  =&lt; 21 bát, Chiều cao lắp đặt sứ =&lt; 100m</v>
          </cell>
          <cell r="D2464" t="str">
            <v>chuỗi</v>
          </cell>
          <cell r="H2464">
            <v>3135</v>
          </cell>
          <cell r="I2464">
            <v>767041.01447368413</v>
          </cell>
        </row>
        <row r="2465">
          <cell r="C2465" t="str">
            <v>Vật liệu</v>
          </cell>
          <cell r="G2465">
            <v>3135</v>
          </cell>
        </row>
        <row r="2466">
          <cell r="B2466">
            <v>9</v>
          </cell>
          <cell r="C2466" t="str">
            <v>+ Giẻ lau</v>
          </cell>
          <cell r="D2466" t="str">
            <v>Kg</v>
          </cell>
          <cell r="E2466">
            <v>0.04</v>
          </cell>
          <cell r="F2466">
            <v>9500</v>
          </cell>
          <cell r="G2466">
            <v>380</v>
          </cell>
        </row>
        <row r="2467">
          <cell r="B2467">
            <v>1</v>
          </cell>
          <cell r="C2467" t="str">
            <v>+ Cồn công nghiệp</v>
          </cell>
          <cell r="D2467" t="str">
            <v>kg</v>
          </cell>
          <cell r="E2467">
            <v>0.28999999999999998</v>
          </cell>
          <cell r="F2467">
            <v>9500</v>
          </cell>
          <cell r="G2467">
            <v>2755</v>
          </cell>
        </row>
        <row r="2468">
          <cell r="C2468" t="str">
            <v>Nhân công</v>
          </cell>
          <cell r="G2468">
            <v>767041.01447368413</v>
          </cell>
        </row>
        <row r="2469">
          <cell r="B2469" t="str">
            <v>NC1407</v>
          </cell>
          <cell r="C2469" t="str">
            <v>+ Nhân công bậc 4,0/7</v>
          </cell>
          <cell r="D2469" t="str">
            <v>Công</v>
          </cell>
          <cell r="E2469">
            <v>3.94</v>
          </cell>
          <cell r="F2469">
            <v>194680.46052631579</v>
          </cell>
          <cell r="G2469">
            <v>767041.01447368413</v>
          </cell>
        </row>
        <row r="2470">
          <cell r="A2470" t="str">
            <v>D3.1718</v>
          </cell>
          <cell r="C2470" t="str">
            <v>Lắp đặt sứ chuỗi néo dây dẫn, chuỗi  &gt; 21 bát, Chiều cao lắp đặt sứ =&lt; 20m</v>
          </cell>
          <cell r="D2470" t="str">
            <v>chuỗi</v>
          </cell>
          <cell r="H2470">
            <v>3705</v>
          </cell>
          <cell r="I2470">
            <v>432190.62236842106</v>
          </cell>
        </row>
        <row r="2471">
          <cell r="C2471" t="str">
            <v>Vật liệu</v>
          </cell>
          <cell r="G2471">
            <v>3705</v>
          </cell>
        </row>
        <row r="2472">
          <cell r="B2472">
            <v>9</v>
          </cell>
          <cell r="C2472" t="str">
            <v>+ Giẻ lau</v>
          </cell>
          <cell r="D2472" t="str">
            <v>Kg</v>
          </cell>
          <cell r="E2472">
            <v>0.04</v>
          </cell>
          <cell r="F2472">
            <v>9500</v>
          </cell>
          <cell r="G2472">
            <v>380</v>
          </cell>
        </row>
        <row r="2473">
          <cell r="B2473">
            <v>1</v>
          </cell>
          <cell r="C2473" t="str">
            <v>+ Cồn công nghiệp</v>
          </cell>
          <cell r="D2473" t="str">
            <v>kg</v>
          </cell>
          <cell r="E2473">
            <v>0.35</v>
          </cell>
          <cell r="F2473">
            <v>9500</v>
          </cell>
          <cell r="G2473">
            <v>3325</v>
          </cell>
        </row>
        <row r="2474">
          <cell r="C2474" t="str">
            <v>Nhân công</v>
          </cell>
          <cell r="G2474">
            <v>432190.62236842106</v>
          </cell>
        </row>
        <row r="2475">
          <cell r="B2475" t="str">
            <v>NC1407</v>
          </cell>
          <cell r="C2475" t="str">
            <v>+ Nhân công bậc 4,0/7</v>
          </cell>
          <cell r="D2475" t="str">
            <v>Công</v>
          </cell>
          <cell r="E2475">
            <v>2.2200000000000002</v>
          </cell>
          <cell r="F2475">
            <v>194680.46052631579</v>
          </cell>
          <cell r="G2475">
            <v>432190.62236842106</v>
          </cell>
        </row>
        <row r="2476">
          <cell r="A2476" t="str">
            <v>D3.1728</v>
          </cell>
          <cell r="C2476" t="str">
            <v>Lắp đặt sứ chuỗi néo dây dẫn, chuỗi  &gt; 21 bát, Chiều cao lắp đặt sứ =&lt; 30m</v>
          </cell>
          <cell r="D2476" t="str">
            <v>chuỗi</v>
          </cell>
          <cell r="H2476">
            <v>3705</v>
          </cell>
          <cell r="I2476">
            <v>453605.4730263158</v>
          </cell>
        </row>
        <row r="2477">
          <cell r="C2477" t="str">
            <v>Vật liệu</v>
          </cell>
          <cell r="G2477">
            <v>3705</v>
          </cell>
        </row>
        <row r="2478">
          <cell r="B2478">
            <v>9</v>
          </cell>
          <cell r="C2478" t="str">
            <v>+ Giẻ lau</v>
          </cell>
          <cell r="D2478" t="str">
            <v>Kg</v>
          </cell>
          <cell r="E2478">
            <v>0.04</v>
          </cell>
          <cell r="F2478">
            <v>9500</v>
          </cell>
          <cell r="G2478">
            <v>380</v>
          </cell>
        </row>
        <row r="2479">
          <cell r="B2479">
            <v>1</v>
          </cell>
          <cell r="C2479" t="str">
            <v>+ Cồn công nghiệp</v>
          </cell>
          <cell r="D2479" t="str">
            <v>kg</v>
          </cell>
          <cell r="E2479">
            <v>0.35</v>
          </cell>
          <cell r="F2479">
            <v>9500</v>
          </cell>
          <cell r="G2479">
            <v>3325</v>
          </cell>
        </row>
        <row r="2480">
          <cell r="C2480" t="str">
            <v>Nhân công</v>
          </cell>
          <cell r="G2480">
            <v>453605.4730263158</v>
          </cell>
        </row>
        <row r="2481">
          <cell r="B2481" t="str">
            <v>NC1407</v>
          </cell>
          <cell r="C2481" t="str">
            <v>+ Nhân công bậc 4,0/7</v>
          </cell>
          <cell r="D2481" t="str">
            <v>Công</v>
          </cell>
          <cell r="E2481">
            <v>2.33</v>
          </cell>
          <cell r="F2481">
            <v>194680.46052631579</v>
          </cell>
          <cell r="G2481">
            <v>453605.4730263158</v>
          </cell>
        </row>
        <row r="2482">
          <cell r="A2482" t="str">
            <v>D3.17368</v>
          </cell>
          <cell r="C2482" t="str">
            <v>Lắp đặt sứ chuỗi néo dây dẫn, chuỗi  &gt; 21 bát, Chiều cao lắp đặt sứ =&lt; 40m</v>
          </cell>
          <cell r="D2482" t="str">
            <v>chuỗi</v>
          </cell>
          <cell r="H2482">
            <v>3705</v>
          </cell>
          <cell r="I2482">
            <v>515903.2203947368</v>
          </cell>
        </row>
        <row r="2483">
          <cell r="C2483" t="str">
            <v>Vật liệu</v>
          </cell>
          <cell r="G2483">
            <v>3705</v>
          </cell>
        </row>
        <row r="2484">
          <cell r="B2484">
            <v>9</v>
          </cell>
          <cell r="C2484" t="str">
            <v>+ Giẻ lau</v>
          </cell>
          <cell r="D2484" t="str">
            <v>Kg</v>
          </cell>
          <cell r="E2484">
            <v>0.04</v>
          </cell>
          <cell r="F2484">
            <v>9500</v>
          </cell>
          <cell r="G2484">
            <v>380</v>
          </cell>
        </row>
        <row r="2485">
          <cell r="B2485">
            <v>1</v>
          </cell>
          <cell r="C2485" t="str">
            <v>+ Cồn công nghiệp</v>
          </cell>
          <cell r="D2485" t="str">
            <v>kg</v>
          </cell>
          <cell r="E2485">
            <v>0.35</v>
          </cell>
          <cell r="F2485">
            <v>9500</v>
          </cell>
          <cell r="G2485">
            <v>3325</v>
          </cell>
        </row>
        <row r="2486">
          <cell r="C2486" t="str">
            <v>Nhân công</v>
          </cell>
          <cell r="G2486">
            <v>515903.2203947368</v>
          </cell>
        </row>
        <row r="2487">
          <cell r="B2487" t="str">
            <v>NC1407</v>
          </cell>
          <cell r="C2487" t="str">
            <v>+ Nhân công bậc 4,0/7</v>
          </cell>
          <cell r="D2487" t="str">
            <v>Công</v>
          </cell>
          <cell r="E2487">
            <v>2.65</v>
          </cell>
          <cell r="F2487">
            <v>194680.46052631579</v>
          </cell>
          <cell r="G2487">
            <v>515903.2203947368</v>
          </cell>
        </row>
        <row r="2488">
          <cell r="A2488" t="str">
            <v>D3.1748</v>
          </cell>
          <cell r="C2488" t="str">
            <v>Lắp đặt sứ chuỗi néo dây dẫn, chuỗi  &gt; 21 bát, Chiều cao lắp đặt sứ =&lt; 50m</v>
          </cell>
          <cell r="D2488" t="str">
            <v>chuỗi</v>
          </cell>
          <cell r="H2488">
            <v>3705</v>
          </cell>
          <cell r="I2488">
            <v>574307.35855263157</v>
          </cell>
        </row>
        <row r="2489">
          <cell r="C2489" t="str">
            <v>Vật liệu</v>
          </cell>
          <cell r="G2489">
            <v>3705</v>
          </cell>
        </row>
        <row r="2490">
          <cell r="B2490">
            <v>9</v>
          </cell>
          <cell r="C2490" t="str">
            <v>+ Giẻ lau</v>
          </cell>
          <cell r="D2490" t="str">
            <v>Kg</v>
          </cell>
          <cell r="E2490">
            <v>0.04</v>
          </cell>
          <cell r="F2490">
            <v>9500</v>
          </cell>
          <cell r="G2490">
            <v>380</v>
          </cell>
        </row>
        <row r="2491">
          <cell r="B2491">
            <v>1</v>
          </cell>
          <cell r="C2491" t="str">
            <v>+ Cồn công nghiệp</v>
          </cell>
          <cell r="D2491" t="str">
            <v>kg</v>
          </cell>
          <cell r="E2491">
            <v>0.35</v>
          </cell>
          <cell r="F2491">
            <v>9500</v>
          </cell>
          <cell r="G2491">
            <v>3325</v>
          </cell>
        </row>
        <row r="2492">
          <cell r="C2492" t="str">
            <v>Nhân công</v>
          </cell>
          <cell r="G2492">
            <v>574307.35855263157</v>
          </cell>
        </row>
        <row r="2493">
          <cell r="B2493" t="str">
            <v>NC1407</v>
          </cell>
          <cell r="C2493" t="str">
            <v>+ Nhân công bậc 4,0/7</v>
          </cell>
          <cell r="D2493" t="str">
            <v>Công</v>
          </cell>
          <cell r="E2493">
            <v>2.95</v>
          </cell>
          <cell r="F2493">
            <v>194680.46052631579</v>
          </cell>
          <cell r="G2493">
            <v>574307.35855263157</v>
          </cell>
        </row>
        <row r="2494">
          <cell r="A2494" t="str">
            <v>D3.1758</v>
          </cell>
          <cell r="C2494" t="str">
            <v>Lắp đặt sứ chuỗi néo dây dẫn, chuỗi  &gt; 21 bát, Chiều cao lắp đặt sứ =&lt; 60m</v>
          </cell>
          <cell r="D2494" t="str">
            <v>chuỗi</v>
          </cell>
          <cell r="H2494">
            <v>3705</v>
          </cell>
          <cell r="I2494">
            <v>632711.49671052629</v>
          </cell>
        </row>
        <row r="2495">
          <cell r="C2495" t="str">
            <v>Vật liệu</v>
          </cell>
          <cell r="G2495">
            <v>3705</v>
          </cell>
        </row>
        <row r="2496">
          <cell r="B2496">
            <v>9</v>
          </cell>
          <cell r="C2496" t="str">
            <v>+ Giẻ lau</v>
          </cell>
          <cell r="D2496" t="str">
            <v>Kg</v>
          </cell>
          <cell r="E2496">
            <v>0.04</v>
          </cell>
          <cell r="F2496">
            <v>9500</v>
          </cell>
          <cell r="G2496">
            <v>380</v>
          </cell>
        </row>
        <row r="2497">
          <cell r="B2497">
            <v>1</v>
          </cell>
          <cell r="C2497" t="str">
            <v>+ Cồn công nghiệp</v>
          </cell>
          <cell r="D2497" t="str">
            <v>kg</v>
          </cell>
          <cell r="E2497">
            <v>0.35</v>
          </cell>
          <cell r="F2497">
            <v>9500</v>
          </cell>
          <cell r="G2497">
            <v>3325</v>
          </cell>
        </row>
        <row r="2498">
          <cell r="C2498" t="str">
            <v>Nhân công</v>
          </cell>
          <cell r="G2498">
            <v>632711.49671052629</v>
          </cell>
        </row>
        <row r="2499">
          <cell r="B2499" t="str">
            <v>NC1407</v>
          </cell>
          <cell r="C2499" t="str">
            <v>+ Nhân công bậc 4,0/7</v>
          </cell>
          <cell r="D2499" t="str">
            <v>Công</v>
          </cell>
          <cell r="E2499">
            <v>3.25</v>
          </cell>
          <cell r="F2499">
            <v>194680.46052631579</v>
          </cell>
          <cell r="G2499">
            <v>632711.49671052629</v>
          </cell>
        </row>
        <row r="2500">
          <cell r="A2500" t="str">
            <v>D3.17668</v>
          </cell>
          <cell r="C2500" t="str">
            <v>Lắp đặt sứ chuỗi néo dây dẫn, chuỗi  &gt; 21 bát, Chiều cao lắp đặt sứ =&lt; 60m</v>
          </cell>
          <cell r="D2500" t="str">
            <v>chuỗi</v>
          </cell>
          <cell r="H2500">
            <v>3705</v>
          </cell>
          <cell r="I2500">
            <v>696956.04868421052</v>
          </cell>
        </row>
        <row r="2501">
          <cell r="C2501" t="str">
            <v>Vật liệu</v>
          </cell>
          <cell r="G2501">
            <v>3705</v>
          </cell>
        </row>
        <row r="2502">
          <cell r="B2502">
            <v>9</v>
          </cell>
          <cell r="C2502" t="str">
            <v>+ Giẻ lau</v>
          </cell>
          <cell r="D2502" t="str">
            <v>Kg</v>
          </cell>
          <cell r="E2502">
            <v>0.04</v>
          </cell>
          <cell r="F2502">
            <v>9500</v>
          </cell>
          <cell r="G2502">
            <v>380</v>
          </cell>
        </row>
        <row r="2503">
          <cell r="B2503">
            <v>1</v>
          </cell>
          <cell r="C2503" t="str">
            <v>+ Cồn công nghiệp</v>
          </cell>
          <cell r="D2503" t="str">
            <v>kg</v>
          </cell>
          <cell r="E2503">
            <v>0.35</v>
          </cell>
          <cell r="F2503">
            <v>9500</v>
          </cell>
          <cell r="G2503">
            <v>3325</v>
          </cell>
        </row>
        <row r="2504">
          <cell r="C2504" t="str">
            <v>Nhân công</v>
          </cell>
          <cell r="G2504">
            <v>696956.04868421052</v>
          </cell>
        </row>
        <row r="2505">
          <cell r="B2505" t="str">
            <v>NC1407</v>
          </cell>
          <cell r="C2505" t="str">
            <v>+ Nhân công bậc 4,0/7</v>
          </cell>
          <cell r="D2505" t="str">
            <v>Công</v>
          </cell>
          <cell r="E2505">
            <v>3.58</v>
          </cell>
          <cell r="F2505">
            <v>194680.46052631579</v>
          </cell>
          <cell r="G2505">
            <v>696956.04868421052</v>
          </cell>
        </row>
        <row r="2506">
          <cell r="A2506" t="str">
            <v>D3.1778</v>
          </cell>
          <cell r="C2506" t="str">
            <v>Lắp đặt sứ chuỗi néo dây dẫn, chuỗi  &gt; 21 bát, Chiều cao lắp đặt sứ =&lt; 85m</v>
          </cell>
          <cell r="D2506" t="str">
            <v>chuỗi</v>
          </cell>
          <cell r="H2506">
            <v>3705</v>
          </cell>
          <cell r="I2506">
            <v>802083.49736842106</v>
          </cell>
        </row>
        <row r="2507">
          <cell r="C2507" t="str">
            <v>Vật liệu</v>
          </cell>
          <cell r="G2507">
            <v>3705</v>
          </cell>
        </row>
        <row r="2508">
          <cell r="B2508">
            <v>9</v>
          </cell>
          <cell r="C2508" t="str">
            <v>+ Giẻ lau</v>
          </cell>
          <cell r="D2508" t="str">
            <v>Kg</v>
          </cell>
          <cell r="E2508">
            <v>0.04</v>
          </cell>
          <cell r="F2508">
            <v>9500</v>
          </cell>
          <cell r="G2508">
            <v>380</v>
          </cell>
        </row>
        <row r="2509">
          <cell r="B2509">
            <v>1</v>
          </cell>
          <cell r="C2509" t="str">
            <v>+ Cồn công nghiệp</v>
          </cell>
          <cell r="D2509" t="str">
            <v>kg</v>
          </cell>
          <cell r="E2509">
            <v>0.35</v>
          </cell>
          <cell r="F2509">
            <v>9500</v>
          </cell>
          <cell r="G2509">
            <v>3325</v>
          </cell>
        </row>
        <row r="2510">
          <cell r="C2510" t="str">
            <v>Nhân công</v>
          </cell>
          <cell r="G2510">
            <v>802083.49736842106</v>
          </cell>
        </row>
        <row r="2511">
          <cell r="B2511" t="str">
            <v>NC1407</v>
          </cell>
          <cell r="C2511" t="str">
            <v>+ Nhân công bậc 4,0/7</v>
          </cell>
          <cell r="D2511" t="str">
            <v>Công</v>
          </cell>
          <cell r="E2511">
            <v>4.12</v>
          </cell>
          <cell r="F2511">
            <v>194680.46052631579</v>
          </cell>
          <cell r="G2511">
            <v>802083.49736842106</v>
          </cell>
        </row>
        <row r="2512">
          <cell r="A2512" t="str">
            <v>D3.1788</v>
          </cell>
          <cell r="C2512" t="str">
            <v>Lắp đặt sứ chuỗi néo dây dẫn, chuỗi  &gt; 21 bát, Chiều cao lắp đặt sứ =&lt; 100m</v>
          </cell>
          <cell r="D2512" t="str">
            <v>chuỗi</v>
          </cell>
          <cell r="H2512">
            <v>3705</v>
          </cell>
          <cell r="I2512">
            <v>870221.6585526315</v>
          </cell>
        </row>
        <row r="2513">
          <cell r="C2513" t="str">
            <v>Vật liệu</v>
          </cell>
          <cell r="G2513">
            <v>3705</v>
          </cell>
        </row>
        <row r="2514">
          <cell r="B2514">
            <v>9</v>
          </cell>
          <cell r="C2514" t="str">
            <v>+ Giẻ lau</v>
          </cell>
          <cell r="D2514" t="str">
            <v>Kg</v>
          </cell>
          <cell r="E2514">
            <v>0.04</v>
          </cell>
          <cell r="F2514">
            <v>9500</v>
          </cell>
          <cell r="G2514">
            <v>380</v>
          </cell>
        </row>
        <row r="2515">
          <cell r="B2515">
            <v>1</v>
          </cell>
          <cell r="C2515" t="str">
            <v>+ Cồn công nghiệp</v>
          </cell>
          <cell r="D2515" t="str">
            <v>kg</v>
          </cell>
          <cell r="E2515">
            <v>0.35</v>
          </cell>
          <cell r="F2515">
            <v>9500</v>
          </cell>
          <cell r="G2515">
            <v>3325</v>
          </cell>
        </row>
        <row r="2516">
          <cell r="C2516" t="str">
            <v>Nhân công</v>
          </cell>
          <cell r="G2516">
            <v>870221.6585526315</v>
          </cell>
        </row>
        <row r="2517">
          <cell r="B2517" t="str">
            <v>NC1407</v>
          </cell>
          <cell r="C2517" t="str">
            <v>+ Nhân công bậc 4,0/7</v>
          </cell>
          <cell r="D2517" t="str">
            <v>Công</v>
          </cell>
          <cell r="E2517">
            <v>4.47</v>
          </cell>
          <cell r="F2517">
            <v>194680.46052631579</v>
          </cell>
          <cell r="G2517">
            <v>870221.6585526315</v>
          </cell>
        </row>
        <row r="2518">
          <cell r="A2518" t="str">
            <v>D3.1811</v>
          </cell>
          <cell r="C2518" t="str">
            <v>Lắp đặt sứ chuỗi néo kép dây dẫn, chuỗi =&lt; 2x2 bát, Chiều cao lắp đặt sứ =&lt; 2x20m</v>
          </cell>
          <cell r="D2518" t="str">
            <v>chuỗi</v>
          </cell>
          <cell r="H2518">
            <v>570</v>
          </cell>
          <cell r="I2518">
            <v>73978.574999999997</v>
          </cell>
        </row>
        <row r="2519">
          <cell r="C2519" t="str">
            <v>Vật liệu</v>
          </cell>
          <cell r="G2519">
            <v>570</v>
          </cell>
        </row>
        <row r="2520">
          <cell r="B2520">
            <v>9</v>
          </cell>
          <cell r="C2520" t="str">
            <v>+ Giẻ lau</v>
          </cell>
          <cell r="D2520" t="str">
            <v>Kg</v>
          </cell>
          <cell r="E2520">
            <v>0.01</v>
          </cell>
          <cell r="F2520">
            <v>9500</v>
          </cell>
          <cell r="G2520">
            <v>95</v>
          </cell>
        </row>
        <row r="2521">
          <cell r="B2521">
            <v>1</v>
          </cell>
          <cell r="C2521" t="str">
            <v>+ Cồn công nghiệp</v>
          </cell>
          <cell r="D2521" t="str">
            <v>kg</v>
          </cell>
          <cell r="E2521">
            <v>0.05</v>
          </cell>
          <cell r="F2521">
            <v>9500</v>
          </cell>
          <cell r="G2521">
            <v>475</v>
          </cell>
        </row>
        <row r="2522">
          <cell r="C2522" t="str">
            <v>Nhân công</v>
          </cell>
          <cell r="G2522">
            <v>73978.574999999997</v>
          </cell>
        </row>
        <row r="2523">
          <cell r="B2523" t="str">
            <v>NC1407</v>
          </cell>
          <cell r="C2523" t="str">
            <v>+ Nhân công bậc 4,0/7</v>
          </cell>
          <cell r="D2523" t="str">
            <v>Công</v>
          </cell>
          <cell r="E2523">
            <v>0.38</v>
          </cell>
          <cell r="F2523">
            <v>194680.46052631579</v>
          </cell>
          <cell r="G2523">
            <v>73978.574999999997</v>
          </cell>
        </row>
        <row r="2524">
          <cell r="A2524" t="str">
            <v>D3.1821</v>
          </cell>
          <cell r="C2524" t="str">
            <v>Lắp đặt sứ chuỗi néo kép dây dẫn, chuỗi =&lt; 2x2 bát, Chiều cao lắp đặt sứ =&lt; 30m</v>
          </cell>
          <cell r="D2524" t="str">
            <v>chuỗi</v>
          </cell>
          <cell r="H2524">
            <v>570</v>
          </cell>
          <cell r="I2524">
            <v>93446.62105263157</v>
          </cell>
        </row>
        <row r="2525">
          <cell r="C2525" t="str">
            <v>Vật liệu</v>
          </cell>
          <cell r="G2525">
            <v>570</v>
          </cell>
        </row>
        <row r="2526">
          <cell r="B2526">
            <v>9</v>
          </cell>
          <cell r="C2526" t="str">
            <v>+ Giẻ lau</v>
          </cell>
          <cell r="D2526" t="str">
            <v>Kg</v>
          </cell>
          <cell r="E2526">
            <v>0.01</v>
          </cell>
          <cell r="F2526">
            <v>9500</v>
          </cell>
          <cell r="G2526">
            <v>95</v>
          </cell>
        </row>
        <row r="2527">
          <cell r="B2527">
            <v>1</v>
          </cell>
          <cell r="C2527" t="str">
            <v>+ Cồn công nghiệp</v>
          </cell>
          <cell r="D2527" t="str">
            <v>kg</v>
          </cell>
          <cell r="E2527">
            <v>0.05</v>
          </cell>
          <cell r="F2527">
            <v>9500</v>
          </cell>
          <cell r="G2527">
            <v>475</v>
          </cell>
        </row>
        <row r="2528">
          <cell r="C2528" t="str">
            <v>Nhân công</v>
          </cell>
          <cell r="G2528">
            <v>93446.62105263157</v>
          </cell>
        </row>
        <row r="2529">
          <cell r="B2529" t="str">
            <v>NC1407</v>
          </cell>
          <cell r="C2529" t="str">
            <v>+ Nhân công bậc 4,0/7</v>
          </cell>
          <cell r="D2529" t="str">
            <v>Công</v>
          </cell>
          <cell r="E2529">
            <v>0.48</v>
          </cell>
          <cell r="F2529">
            <v>194680.46052631579</v>
          </cell>
          <cell r="G2529">
            <v>93446.62105263157</v>
          </cell>
        </row>
        <row r="2530">
          <cell r="A2530" t="str">
            <v>D3.1831</v>
          </cell>
          <cell r="C2530" t="str">
            <v>Lắp đặt sứ chuỗi néo kép dây dẫn, chuỗi =&lt; 2x2 bát, Chiều cao lắp đặt sứ =&lt; 40m</v>
          </cell>
          <cell r="D2530" t="str">
            <v>chuỗi</v>
          </cell>
          <cell r="H2530">
            <v>570</v>
          </cell>
          <cell r="I2530">
            <v>114861.47171052631</v>
          </cell>
        </row>
        <row r="2531">
          <cell r="C2531" t="str">
            <v>Vật liệu</v>
          </cell>
          <cell r="G2531">
            <v>570</v>
          </cell>
        </row>
        <row r="2532">
          <cell r="B2532">
            <v>9</v>
          </cell>
          <cell r="C2532" t="str">
            <v>+ Giẻ lau</v>
          </cell>
          <cell r="D2532" t="str">
            <v>Kg</v>
          </cell>
          <cell r="E2532">
            <v>0.01</v>
          </cell>
          <cell r="F2532">
            <v>9500</v>
          </cell>
          <cell r="G2532">
            <v>95</v>
          </cell>
        </row>
        <row r="2533">
          <cell r="B2533">
            <v>1</v>
          </cell>
          <cell r="C2533" t="str">
            <v>+ Cồn công nghiệp</v>
          </cell>
          <cell r="D2533" t="str">
            <v>kg</v>
          </cell>
          <cell r="E2533">
            <v>0.05</v>
          </cell>
          <cell r="F2533">
            <v>9500</v>
          </cell>
          <cell r="G2533">
            <v>475</v>
          </cell>
        </row>
        <row r="2534">
          <cell r="C2534" t="str">
            <v>Nhân công</v>
          </cell>
          <cell r="G2534">
            <v>114861.47171052631</v>
          </cell>
        </row>
        <row r="2535">
          <cell r="B2535" t="str">
            <v>NC1407</v>
          </cell>
          <cell r="C2535" t="str">
            <v>+ Nhân công bậc 4,0/7</v>
          </cell>
          <cell r="D2535" t="str">
            <v>Công</v>
          </cell>
          <cell r="E2535">
            <v>0.59</v>
          </cell>
          <cell r="F2535">
            <v>194680.46052631579</v>
          </cell>
          <cell r="G2535">
            <v>114861.47171052631</v>
          </cell>
        </row>
        <row r="2536">
          <cell r="A2536" t="str">
            <v>D3.1841</v>
          </cell>
          <cell r="C2536" t="str">
            <v>Lắp đặt sứ chuỗi néo kép dây dẫn, chuỗi =&lt; 2x2 bát, Chiều cao lắp đặt sứ =&lt; 50m</v>
          </cell>
          <cell r="D2536" t="str">
            <v>chuỗi</v>
          </cell>
          <cell r="H2536">
            <v>570</v>
          </cell>
          <cell r="I2536">
            <v>134329.51776315787</v>
          </cell>
        </row>
        <row r="2537">
          <cell r="C2537" t="str">
            <v>Vật liệu</v>
          </cell>
          <cell r="G2537">
            <v>570</v>
          </cell>
        </row>
        <row r="2538">
          <cell r="B2538">
            <v>9</v>
          </cell>
          <cell r="C2538" t="str">
            <v>+ Giẻ lau</v>
          </cell>
          <cell r="D2538" t="str">
            <v>Kg</v>
          </cell>
          <cell r="E2538">
            <v>0.01</v>
          </cell>
          <cell r="F2538">
            <v>9500</v>
          </cell>
          <cell r="G2538">
            <v>95</v>
          </cell>
        </row>
        <row r="2539">
          <cell r="B2539">
            <v>1</v>
          </cell>
          <cell r="C2539" t="str">
            <v>+ Cồn công nghiệp</v>
          </cell>
          <cell r="D2539" t="str">
            <v>kg</v>
          </cell>
          <cell r="E2539">
            <v>0.05</v>
          </cell>
          <cell r="F2539">
            <v>9500</v>
          </cell>
          <cell r="G2539">
            <v>475</v>
          </cell>
        </row>
        <row r="2540">
          <cell r="C2540" t="str">
            <v>Nhân công</v>
          </cell>
          <cell r="G2540">
            <v>134329.51776315787</v>
          </cell>
        </row>
        <row r="2541">
          <cell r="B2541" t="str">
            <v>NC1407</v>
          </cell>
          <cell r="C2541" t="str">
            <v>+ Nhân công bậc 4,0/7</v>
          </cell>
          <cell r="D2541" t="str">
            <v>Công</v>
          </cell>
          <cell r="E2541">
            <v>0.69</v>
          </cell>
          <cell r="F2541">
            <v>194680.46052631579</v>
          </cell>
          <cell r="G2541">
            <v>134329.51776315787</v>
          </cell>
          <cell r="H2541">
            <v>0</v>
          </cell>
        </row>
        <row r="2542">
          <cell r="A2542" t="str">
            <v>D3.1851</v>
          </cell>
          <cell r="C2542" t="str">
            <v>Lắp đặt sứ chuỗi néo kép dây dẫn, chuỗi =&lt; 2x2 bát, Chiều cao lắp đặt sứ =&lt; 60m</v>
          </cell>
          <cell r="D2542" t="str">
            <v>chuỗi</v>
          </cell>
          <cell r="I2542">
            <v>157691.17302631581</v>
          </cell>
        </row>
        <row r="2543">
          <cell r="C2543" t="str">
            <v>Vật liệu</v>
          </cell>
          <cell r="G2543">
            <v>570</v>
          </cell>
        </row>
        <row r="2544">
          <cell r="B2544">
            <v>9</v>
          </cell>
          <cell r="C2544" t="str">
            <v>+ Giẻ lau</v>
          </cell>
          <cell r="D2544" t="str">
            <v>Kg</v>
          </cell>
          <cell r="E2544">
            <v>0.01</v>
          </cell>
          <cell r="F2544">
            <v>9500</v>
          </cell>
          <cell r="G2544">
            <v>95</v>
          </cell>
        </row>
        <row r="2545">
          <cell r="B2545">
            <v>1</v>
          </cell>
          <cell r="C2545" t="str">
            <v>+ Cồn công nghiệp</v>
          </cell>
          <cell r="D2545" t="str">
            <v>kg</v>
          </cell>
          <cell r="E2545">
            <v>0.05</v>
          </cell>
          <cell r="F2545">
            <v>9500</v>
          </cell>
          <cell r="G2545">
            <v>475</v>
          </cell>
        </row>
        <row r="2546">
          <cell r="C2546" t="str">
            <v>Nhân công</v>
          </cell>
          <cell r="G2546">
            <v>157691.17302631581</v>
          </cell>
        </row>
        <row r="2547">
          <cell r="B2547" t="str">
            <v>NC1407</v>
          </cell>
          <cell r="C2547" t="str">
            <v>+ Nhân công bậc 4,0/7</v>
          </cell>
          <cell r="D2547" t="str">
            <v>Công</v>
          </cell>
          <cell r="E2547">
            <v>0.81</v>
          </cell>
          <cell r="F2547">
            <v>194680.46052631579</v>
          </cell>
          <cell r="G2547">
            <v>157691.17302631581</v>
          </cell>
        </row>
        <row r="2548">
          <cell r="A2548" t="str">
            <v>D3.1861</v>
          </cell>
          <cell r="C2548" t="str">
            <v>Lắp đặt sứ chuỗi néo kép dây dẫn, chuỗi =&lt; 2x2 bát, Chiều cao lắp đặt sứ =&lt; 70m</v>
          </cell>
          <cell r="D2548" t="str">
            <v>chuỗi</v>
          </cell>
          <cell r="H2548">
            <v>570</v>
          </cell>
          <cell r="I2548">
            <v>173265.60986842104</v>
          </cell>
        </row>
        <row r="2549">
          <cell r="C2549" t="str">
            <v>Vật liệu</v>
          </cell>
          <cell r="G2549">
            <v>570</v>
          </cell>
        </row>
        <row r="2550">
          <cell r="B2550">
            <v>9</v>
          </cell>
          <cell r="C2550" t="str">
            <v>+ Giẻ lau</v>
          </cell>
          <cell r="D2550" t="str">
            <v>Kg</v>
          </cell>
          <cell r="E2550">
            <v>0.01</v>
          </cell>
          <cell r="F2550">
            <v>9500</v>
          </cell>
          <cell r="G2550">
            <v>95</v>
          </cell>
        </row>
        <row r="2551">
          <cell r="B2551">
            <v>1</v>
          </cell>
          <cell r="C2551" t="str">
            <v>+ Cồn công nghiệp</v>
          </cell>
          <cell r="D2551" t="str">
            <v>kg</v>
          </cell>
          <cell r="E2551">
            <v>0.05</v>
          </cell>
          <cell r="F2551">
            <v>9500</v>
          </cell>
          <cell r="G2551">
            <v>475</v>
          </cell>
        </row>
        <row r="2552">
          <cell r="C2552" t="str">
            <v>Nhân công</v>
          </cell>
          <cell r="G2552">
            <v>173265.60986842104</v>
          </cell>
        </row>
        <row r="2553">
          <cell r="B2553" t="str">
            <v>NC1407</v>
          </cell>
          <cell r="C2553" t="str">
            <v>+ Nhân công bậc 4,0/7</v>
          </cell>
          <cell r="D2553" t="str">
            <v>Công</v>
          </cell>
          <cell r="E2553">
            <v>0.89</v>
          </cell>
          <cell r="F2553">
            <v>194680.46052631579</v>
          </cell>
          <cell r="G2553">
            <v>173265.60986842104</v>
          </cell>
        </row>
        <row r="2554">
          <cell r="A2554" t="str">
            <v>D3.1871</v>
          </cell>
          <cell r="C2554" t="str">
            <v>Lắp đặt sứ chuỗi néo kép dây dẫn, chuỗi =&lt; 2x2 bát, Chiều cao lắp đặt sứ =&lt; 85m</v>
          </cell>
          <cell r="D2554" t="str">
            <v>chuỗi</v>
          </cell>
          <cell r="H2554">
            <v>570</v>
          </cell>
          <cell r="I2554">
            <v>200520.87434210526</v>
          </cell>
        </row>
        <row r="2555">
          <cell r="C2555" t="str">
            <v>Vật liệu</v>
          </cell>
          <cell r="G2555">
            <v>570</v>
          </cell>
        </row>
        <row r="2556">
          <cell r="B2556">
            <v>9</v>
          </cell>
          <cell r="C2556" t="str">
            <v>+ Giẻ lau</v>
          </cell>
          <cell r="D2556" t="str">
            <v>Kg</v>
          </cell>
          <cell r="E2556">
            <v>0.01</v>
          </cell>
          <cell r="F2556">
            <v>9500</v>
          </cell>
          <cell r="G2556">
            <v>95</v>
          </cell>
        </row>
        <row r="2557">
          <cell r="B2557">
            <v>1</v>
          </cell>
          <cell r="C2557" t="str">
            <v>+ Cồn công nghiệp</v>
          </cell>
          <cell r="D2557" t="str">
            <v>kg</v>
          </cell>
          <cell r="E2557">
            <v>0.05</v>
          </cell>
          <cell r="F2557">
            <v>9500</v>
          </cell>
          <cell r="G2557">
            <v>475</v>
          </cell>
        </row>
        <row r="2558">
          <cell r="C2558" t="str">
            <v>Nhân công</v>
          </cell>
          <cell r="G2558">
            <v>200520.87434210526</v>
          </cell>
        </row>
        <row r="2559">
          <cell r="B2559" t="str">
            <v>NC1407</v>
          </cell>
          <cell r="C2559" t="str">
            <v>+ Nhân công bậc 4,0/7</v>
          </cell>
          <cell r="D2559" t="str">
            <v>Công</v>
          </cell>
          <cell r="E2559">
            <v>1.03</v>
          </cell>
          <cell r="F2559">
            <v>194680.46052631579</v>
          </cell>
          <cell r="G2559">
            <v>200520.87434210526</v>
          </cell>
        </row>
        <row r="2560">
          <cell r="A2560" t="str">
            <v>D3.1881</v>
          </cell>
          <cell r="C2560" t="str">
            <v>Lắp đặt sứ chuỗi néo kép dây dẫn, chuỗi =&lt; 2x2 bát, Chiều cao lắp đặt sứ =&lt; 100m</v>
          </cell>
          <cell r="D2560" t="str">
            <v>chuỗi</v>
          </cell>
          <cell r="H2560">
            <v>570</v>
          </cell>
          <cell r="I2560">
            <v>231669.74802631576</v>
          </cell>
        </row>
        <row r="2561">
          <cell r="C2561" t="str">
            <v>Vật liệu</v>
          </cell>
          <cell r="G2561">
            <v>570</v>
          </cell>
        </row>
        <row r="2562">
          <cell r="B2562">
            <v>9</v>
          </cell>
          <cell r="C2562" t="str">
            <v>+ Giẻ lau</v>
          </cell>
          <cell r="D2562" t="str">
            <v>Kg</v>
          </cell>
          <cell r="E2562">
            <v>0.01</v>
          </cell>
          <cell r="F2562">
            <v>9500</v>
          </cell>
          <cell r="G2562">
            <v>95</v>
          </cell>
        </row>
        <row r="2563">
          <cell r="B2563">
            <v>1</v>
          </cell>
          <cell r="C2563" t="str">
            <v>+ Cồn công nghiệp</v>
          </cell>
          <cell r="D2563" t="str">
            <v>kg</v>
          </cell>
          <cell r="E2563">
            <v>0.05</v>
          </cell>
          <cell r="F2563">
            <v>9500</v>
          </cell>
          <cell r="G2563">
            <v>475</v>
          </cell>
        </row>
        <row r="2564">
          <cell r="C2564" t="str">
            <v>Nhân công</v>
          </cell>
          <cell r="G2564">
            <v>231669.74802631576</v>
          </cell>
        </row>
        <row r="2565">
          <cell r="B2565" t="str">
            <v>NC1407</v>
          </cell>
          <cell r="C2565" t="str">
            <v>+ Nhân công bậc 4,0/7</v>
          </cell>
          <cell r="D2565" t="str">
            <v>Công</v>
          </cell>
          <cell r="E2565">
            <v>1.19</v>
          </cell>
          <cell r="F2565">
            <v>194680.46052631579</v>
          </cell>
          <cell r="G2565">
            <v>231669.74802631576</v>
          </cell>
        </row>
        <row r="2566">
          <cell r="A2566" t="str">
            <v>D3.1812</v>
          </cell>
          <cell r="C2566" t="str">
            <v>Lắp đặt sứ chuỗi néo kép dây dẫn, chuỗi =&lt; 2x5 bát, Chiều cao lắp đặt sứ =&lt; 20m</v>
          </cell>
          <cell r="D2566" t="str">
            <v>chuỗi</v>
          </cell>
          <cell r="H2566">
            <v>902.5</v>
          </cell>
          <cell r="I2566">
            <v>173265.60986842104</v>
          </cell>
        </row>
        <row r="2567">
          <cell r="C2567" t="str">
            <v>Vật liệu</v>
          </cell>
          <cell r="G2567">
            <v>902.5</v>
          </cell>
        </row>
        <row r="2568">
          <cell r="B2568">
            <v>9</v>
          </cell>
          <cell r="C2568" t="str">
            <v>+ Giẻ lau</v>
          </cell>
          <cell r="D2568" t="str">
            <v>Kg</v>
          </cell>
          <cell r="E2568">
            <v>0.02</v>
          </cell>
          <cell r="F2568">
            <v>9500</v>
          </cell>
          <cell r="G2568">
            <v>190</v>
          </cell>
        </row>
        <row r="2569">
          <cell r="B2569">
            <v>1</v>
          </cell>
          <cell r="C2569" t="str">
            <v>+ Cồn công nghiệp</v>
          </cell>
          <cell r="D2569" t="str">
            <v>kg</v>
          </cell>
          <cell r="E2569">
            <v>7.4999999999999997E-2</v>
          </cell>
          <cell r="F2569">
            <v>9500</v>
          </cell>
          <cell r="G2569">
            <v>712.5</v>
          </cell>
        </row>
        <row r="2570">
          <cell r="C2570" t="str">
            <v>Nhân công</v>
          </cell>
          <cell r="G2570">
            <v>173265.60986842104</v>
          </cell>
        </row>
        <row r="2571">
          <cell r="B2571" t="str">
            <v>NC1407</v>
          </cell>
          <cell r="C2571" t="str">
            <v>+ Nhân công bậc 4,0/7</v>
          </cell>
          <cell r="D2571" t="str">
            <v>Công</v>
          </cell>
          <cell r="E2571">
            <v>0.89</v>
          </cell>
          <cell r="F2571">
            <v>194680.46052631579</v>
          </cell>
          <cell r="G2571">
            <v>173265.60986842104</v>
          </cell>
        </row>
        <row r="2572">
          <cell r="A2572" t="str">
            <v>D3.1822</v>
          </cell>
          <cell r="C2572" t="str">
            <v>Lắp đặt sứ chuỗi néo kép dây dẫn, chuỗi =&lt; 2x5 bát, Chiều cao lắp đặt sứ =&lt; 30m</v>
          </cell>
          <cell r="D2572" t="str">
            <v>chuỗi</v>
          </cell>
          <cell r="H2572">
            <v>902.5</v>
          </cell>
          <cell r="I2572">
            <v>181052.82828947369</v>
          </cell>
        </row>
        <row r="2573">
          <cell r="C2573" t="str">
            <v>Vật liệu</v>
          </cell>
          <cell r="G2573">
            <v>902.5</v>
          </cell>
        </row>
        <row r="2574">
          <cell r="B2574">
            <v>9</v>
          </cell>
          <cell r="C2574" t="str">
            <v>+ Giẻ lau</v>
          </cell>
          <cell r="D2574" t="str">
            <v>Kg</v>
          </cell>
          <cell r="E2574">
            <v>0.02</v>
          </cell>
          <cell r="F2574">
            <v>9500</v>
          </cell>
          <cell r="G2574">
            <v>190</v>
          </cell>
        </row>
        <row r="2575">
          <cell r="B2575">
            <v>1</v>
          </cell>
          <cell r="C2575" t="str">
            <v>+ Cồn công nghiệp</v>
          </cell>
          <cell r="D2575" t="str">
            <v>kg</v>
          </cell>
          <cell r="E2575">
            <v>7.4999999999999997E-2</v>
          </cell>
          <cell r="F2575">
            <v>9500</v>
          </cell>
          <cell r="G2575">
            <v>712.5</v>
          </cell>
        </row>
        <row r="2576">
          <cell r="C2576" t="str">
            <v>Nhân công</v>
          </cell>
          <cell r="G2576">
            <v>181052.82828947369</v>
          </cell>
        </row>
        <row r="2577">
          <cell r="B2577" t="str">
            <v>NC1407</v>
          </cell>
          <cell r="C2577" t="str">
            <v>+ Nhân công bậc 4,0/7</v>
          </cell>
          <cell r="D2577" t="str">
            <v>Công</v>
          </cell>
          <cell r="E2577">
            <v>0.93</v>
          </cell>
          <cell r="F2577">
            <v>194680.46052631579</v>
          </cell>
          <cell r="G2577">
            <v>181052.82828947369</v>
          </cell>
        </row>
        <row r="2578">
          <cell r="A2578" t="str">
            <v>D3.1832</v>
          </cell>
          <cell r="C2578" t="str">
            <v>Lắp đặt sứ chuỗi néo kép dây dẫn, chuỗi =&lt; 2x5 bát, Chiều cao lắp đặt sứ =&lt; 40m</v>
          </cell>
          <cell r="D2578" t="str">
            <v>chuỗi</v>
          </cell>
          <cell r="H2578">
            <v>902.5</v>
          </cell>
          <cell r="I2578">
            <v>204414.48355263157</v>
          </cell>
        </row>
        <row r="2579">
          <cell r="C2579" t="str">
            <v>Vật liệu</v>
          </cell>
          <cell r="G2579">
            <v>902.5</v>
          </cell>
        </row>
        <row r="2580">
          <cell r="B2580">
            <v>9</v>
          </cell>
          <cell r="C2580" t="str">
            <v>+ Giẻ lau</v>
          </cell>
          <cell r="D2580" t="str">
            <v>Kg</v>
          </cell>
          <cell r="E2580">
            <v>0.02</v>
          </cell>
          <cell r="F2580">
            <v>9500</v>
          </cell>
          <cell r="G2580">
            <v>190</v>
          </cell>
        </row>
        <row r="2581">
          <cell r="B2581">
            <v>1</v>
          </cell>
          <cell r="C2581" t="str">
            <v>+ Cồn công nghiệp</v>
          </cell>
          <cell r="D2581" t="str">
            <v>kg</v>
          </cell>
          <cell r="E2581">
            <v>7.4999999999999997E-2</v>
          </cell>
          <cell r="F2581">
            <v>9500</v>
          </cell>
          <cell r="G2581">
            <v>712.5</v>
          </cell>
        </row>
        <row r="2582">
          <cell r="C2582" t="str">
            <v>Nhân công</v>
          </cell>
          <cell r="G2582">
            <v>204414.48355263157</v>
          </cell>
        </row>
        <row r="2583">
          <cell r="B2583" t="str">
            <v>NC1407</v>
          </cell>
          <cell r="C2583" t="str">
            <v>+ Nhân công bậc 4,0/7</v>
          </cell>
          <cell r="D2583" t="str">
            <v>Công</v>
          </cell>
          <cell r="E2583">
            <v>1.05</v>
          </cell>
          <cell r="F2583">
            <v>194680.46052631579</v>
          </cell>
          <cell r="G2583">
            <v>204414.48355263157</v>
          </cell>
        </row>
        <row r="2584">
          <cell r="A2584" t="str">
            <v>D3.1842</v>
          </cell>
          <cell r="C2584" t="str">
            <v>Lắp đặt sứ chuỗi néo kép dây dẫn, chuỗi =&lt; 2x5 bát, Chiều cao lắp đặt sứ =&lt; 2x50m</v>
          </cell>
          <cell r="D2584" t="str">
            <v>chuỗi</v>
          </cell>
          <cell r="H2584">
            <v>902.5</v>
          </cell>
          <cell r="I2584">
            <v>231669.74802631576</v>
          </cell>
        </row>
        <row r="2585">
          <cell r="C2585" t="str">
            <v>Vật liệu</v>
          </cell>
          <cell r="G2585">
            <v>902.5</v>
          </cell>
        </row>
        <row r="2586">
          <cell r="B2586">
            <v>9</v>
          </cell>
          <cell r="C2586" t="str">
            <v>+ Giẻ lau</v>
          </cell>
          <cell r="D2586" t="str">
            <v>Kg</v>
          </cell>
          <cell r="E2586">
            <v>0.02</v>
          </cell>
          <cell r="F2586">
            <v>9500</v>
          </cell>
          <cell r="G2586">
            <v>190</v>
          </cell>
        </row>
        <row r="2587">
          <cell r="B2587">
            <v>1</v>
          </cell>
          <cell r="C2587" t="str">
            <v>+ Cồn công nghiệp</v>
          </cell>
          <cell r="D2587" t="str">
            <v>kg</v>
          </cell>
          <cell r="E2587">
            <v>7.4999999999999997E-2</v>
          </cell>
          <cell r="F2587">
            <v>9500</v>
          </cell>
          <cell r="G2587">
            <v>712.5</v>
          </cell>
        </row>
        <row r="2588">
          <cell r="C2588" t="str">
            <v>Nhân công</v>
          </cell>
          <cell r="G2588">
            <v>231669.74802631576</v>
          </cell>
        </row>
        <row r="2589">
          <cell r="B2589" t="str">
            <v>NC1407</v>
          </cell>
          <cell r="C2589" t="str">
            <v>+ Nhân công bậc 4,0/7</v>
          </cell>
          <cell r="D2589" t="str">
            <v>Công</v>
          </cell>
          <cell r="E2589">
            <v>1.19</v>
          </cell>
          <cell r="F2589">
            <v>194680.46052631579</v>
          </cell>
          <cell r="G2589">
            <v>231669.74802631576</v>
          </cell>
        </row>
        <row r="2590">
          <cell r="A2590" t="str">
            <v>D3.1852</v>
          </cell>
          <cell r="C2590" t="str">
            <v>Lắp đặt sứ chuỗi néo kép dây dẫn, chuỗi =&lt; 2x5 bát, Chiều cao lắp đặt sứ =&lt; 60m</v>
          </cell>
          <cell r="D2590" t="str">
            <v>chuỗi</v>
          </cell>
          <cell r="H2590">
            <v>902.5</v>
          </cell>
          <cell r="I2590">
            <v>255031.4032894737</v>
          </cell>
        </row>
        <row r="2591">
          <cell r="C2591" t="str">
            <v>Vật liệu</v>
          </cell>
          <cell r="G2591">
            <v>902.5</v>
          </cell>
        </row>
        <row r="2592">
          <cell r="B2592">
            <v>9</v>
          </cell>
          <cell r="C2592" t="str">
            <v>+ Giẻ lau</v>
          </cell>
          <cell r="D2592" t="str">
            <v>Kg</v>
          </cell>
          <cell r="E2592">
            <v>0.02</v>
          </cell>
          <cell r="F2592">
            <v>9500</v>
          </cell>
          <cell r="G2592">
            <v>190</v>
          </cell>
        </row>
        <row r="2593">
          <cell r="B2593">
            <v>1</v>
          </cell>
          <cell r="C2593" t="str">
            <v>+ Cồn công nghiệp</v>
          </cell>
          <cell r="D2593" t="str">
            <v>kg</v>
          </cell>
          <cell r="E2593">
            <v>7.4999999999999997E-2</v>
          </cell>
          <cell r="F2593">
            <v>9500</v>
          </cell>
          <cell r="G2593">
            <v>712.5</v>
          </cell>
        </row>
        <row r="2594">
          <cell r="C2594" t="str">
            <v>Nhân công</v>
          </cell>
          <cell r="G2594">
            <v>255031.4032894737</v>
          </cell>
        </row>
        <row r="2595">
          <cell r="B2595" t="str">
            <v>NC1407</v>
          </cell>
          <cell r="C2595" t="str">
            <v>+ Nhân công bậc 4,0/7</v>
          </cell>
          <cell r="D2595" t="str">
            <v>Công</v>
          </cell>
          <cell r="E2595">
            <v>1.31</v>
          </cell>
          <cell r="F2595">
            <v>194680.46052631579</v>
          </cell>
          <cell r="G2595">
            <v>255031.4032894737</v>
          </cell>
        </row>
        <row r="2596">
          <cell r="A2596" t="str">
            <v>D3.1862</v>
          </cell>
          <cell r="C2596" t="str">
            <v>Lắp đặt sứ chuỗi néo kép dây dẫn, chuỗi =&lt; 2x5 bát, Chiều cao lắp đặt sứ =&lt; 70m</v>
          </cell>
          <cell r="D2596" t="str">
            <v>chuỗi</v>
          </cell>
          <cell r="H2596">
            <v>902.5</v>
          </cell>
          <cell r="I2596">
            <v>282286.66776315786</v>
          </cell>
        </row>
        <row r="2597">
          <cell r="C2597" t="str">
            <v>Vật liệu</v>
          </cell>
          <cell r="G2597">
            <v>902.5</v>
          </cell>
        </row>
        <row r="2598">
          <cell r="B2598">
            <v>9</v>
          </cell>
          <cell r="C2598" t="str">
            <v>+ Giẻ lau</v>
          </cell>
          <cell r="D2598" t="str">
            <v>Kg</v>
          </cell>
          <cell r="E2598">
            <v>0.02</v>
          </cell>
          <cell r="F2598">
            <v>9500</v>
          </cell>
          <cell r="G2598">
            <v>190</v>
          </cell>
        </row>
        <row r="2599">
          <cell r="B2599">
            <v>1</v>
          </cell>
          <cell r="C2599" t="str">
            <v>+ Cồn công nghiệp</v>
          </cell>
          <cell r="D2599" t="str">
            <v>kg</v>
          </cell>
          <cell r="E2599">
            <v>7.4999999999999997E-2</v>
          </cell>
          <cell r="F2599">
            <v>9500</v>
          </cell>
          <cell r="G2599">
            <v>712.5</v>
          </cell>
        </row>
        <row r="2600">
          <cell r="C2600" t="str">
            <v>Nhân công</v>
          </cell>
          <cell r="G2600">
            <v>282286.66776315786</v>
          </cell>
        </row>
        <row r="2601">
          <cell r="B2601" t="str">
            <v>NC1407</v>
          </cell>
          <cell r="C2601" t="str">
            <v>+ Nhân công bậc 4,0/7</v>
          </cell>
          <cell r="D2601" t="str">
            <v>Công</v>
          </cell>
          <cell r="E2601">
            <v>1.45</v>
          </cell>
          <cell r="F2601">
            <v>194680.46052631579</v>
          </cell>
          <cell r="G2601">
            <v>282286.66776315786</v>
          </cell>
        </row>
        <row r="2602">
          <cell r="A2602" t="str">
            <v>D3.1872</v>
          </cell>
          <cell r="C2602" t="str">
            <v>Lắp đặt sứ chuỗi néo kép dây dẫn, chuỗi =&lt; 2x5 bát, Chiều cao lắp đặt sứ =&lt; 85m</v>
          </cell>
          <cell r="D2602" t="str">
            <v>chuỗi</v>
          </cell>
          <cell r="H2602">
            <v>902.5</v>
          </cell>
          <cell r="I2602">
            <v>323169.56447368418</v>
          </cell>
        </row>
        <row r="2603">
          <cell r="C2603" t="str">
            <v>Vật liệu</v>
          </cell>
          <cell r="G2603">
            <v>902.5</v>
          </cell>
        </row>
        <row r="2604">
          <cell r="B2604">
            <v>9</v>
          </cell>
          <cell r="C2604" t="str">
            <v>+ Giẻ lau</v>
          </cell>
          <cell r="D2604" t="str">
            <v>Kg</v>
          </cell>
          <cell r="E2604">
            <v>0.02</v>
          </cell>
          <cell r="F2604">
            <v>9500</v>
          </cell>
          <cell r="G2604">
            <v>190</v>
          </cell>
        </row>
        <row r="2605">
          <cell r="B2605">
            <v>1</v>
          </cell>
          <cell r="C2605" t="str">
            <v>+ Cồn công nghiệp</v>
          </cell>
          <cell r="D2605" t="str">
            <v>kg</v>
          </cell>
          <cell r="E2605">
            <v>7.4999999999999997E-2</v>
          </cell>
          <cell r="F2605">
            <v>9500</v>
          </cell>
          <cell r="G2605">
            <v>712.5</v>
          </cell>
        </row>
        <row r="2606">
          <cell r="C2606" t="str">
            <v>Nhân công</v>
          </cell>
          <cell r="G2606">
            <v>323169.56447368418</v>
          </cell>
        </row>
        <row r="2607">
          <cell r="B2607" t="str">
            <v>NC1407</v>
          </cell>
          <cell r="C2607" t="str">
            <v>+ Nhân công bậc 4,0/7</v>
          </cell>
          <cell r="D2607" t="str">
            <v>Công</v>
          </cell>
          <cell r="E2607">
            <v>1.66</v>
          </cell>
          <cell r="F2607">
            <v>194680.46052631579</v>
          </cell>
          <cell r="G2607">
            <v>323169.56447368418</v>
          </cell>
        </row>
        <row r="2608">
          <cell r="A2608" t="str">
            <v>D3.1882</v>
          </cell>
          <cell r="C2608" t="str">
            <v>Lắp đặt sứ chuỗi néo kép dây dẫn, chuỗi =&lt; 2x5 bát, Chiều cao lắp đặt sứ =&lt; 100m</v>
          </cell>
          <cell r="D2608" t="str">
            <v>chuỗi</v>
          </cell>
          <cell r="H2608">
            <v>902.5</v>
          </cell>
          <cell r="I2608">
            <v>373786.48421052628</v>
          </cell>
        </row>
        <row r="2609">
          <cell r="C2609" t="str">
            <v>Vật liệu</v>
          </cell>
          <cell r="G2609">
            <v>902.5</v>
          </cell>
        </row>
        <row r="2610">
          <cell r="B2610">
            <v>9</v>
          </cell>
          <cell r="C2610" t="str">
            <v>+ Giẻ lau</v>
          </cell>
          <cell r="D2610" t="str">
            <v>Kg</v>
          </cell>
          <cell r="E2610">
            <v>0.02</v>
          </cell>
          <cell r="F2610">
            <v>9500</v>
          </cell>
          <cell r="G2610">
            <v>190</v>
          </cell>
        </row>
        <row r="2611">
          <cell r="B2611">
            <v>1</v>
          </cell>
          <cell r="C2611" t="str">
            <v>+ Cồn công nghiệp</v>
          </cell>
          <cell r="D2611" t="str">
            <v>kg</v>
          </cell>
          <cell r="E2611">
            <v>7.4999999999999997E-2</v>
          </cell>
          <cell r="F2611">
            <v>9500</v>
          </cell>
          <cell r="G2611">
            <v>712.5</v>
          </cell>
        </row>
        <row r="2612">
          <cell r="C2612" t="str">
            <v>Nhân công</v>
          </cell>
          <cell r="G2612">
            <v>373786.48421052628</v>
          </cell>
        </row>
        <row r="2613">
          <cell r="B2613" t="str">
            <v>NC1407</v>
          </cell>
          <cell r="C2613" t="str">
            <v>+ Nhân công bậc 4,0/7</v>
          </cell>
          <cell r="D2613" t="str">
            <v>Công</v>
          </cell>
          <cell r="E2613">
            <v>1.92</v>
          </cell>
          <cell r="F2613">
            <v>194680.46052631579</v>
          </cell>
          <cell r="G2613">
            <v>373786.48421052628</v>
          </cell>
        </row>
        <row r="2614">
          <cell r="A2614" t="str">
            <v>D3.1813</v>
          </cell>
          <cell r="C2614" t="str">
            <v>Lắp đặt sứ chuỗi néo kép dây dẫn, chuỗi =&lt; 2x8 bát, Chiều cao lắp đặt sứ =&lt; 20m</v>
          </cell>
          <cell r="D2614" t="str">
            <v>chuỗi</v>
          </cell>
          <cell r="H2614">
            <v>1425</v>
          </cell>
          <cell r="I2614">
            <v>274499.44934210525</v>
          </cell>
        </row>
        <row r="2615">
          <cell r="C2615" t="str">
            <v>Vật liệu</v>
          </cell>
          <cell r="G2615">
            <v>1425</v>
          </cell>
        </row>
        <row r="2616">
          <cell r="B2616">
            <v>9</v>
          </cell>
          <cell r="C2616" t="str">
            <v>+ Giẻ lau</v>
          </cell>
          <cell r="D2616" t="str">
            <v>Kg</v>
          </cell>
          <cell r="E2616">
            <v>0.03</v>
          </cell>
          <cell r="F2616">
            <v>9500</v>
          </cell>
          <cell r="G2616">
            <v>285</v>
          </cell>
        </row>
        <row r="2617">
          <cell r="B2617">
            <v>1</v>
          </cell>
          <cell r="C2617" t="str">
            <v>+ Cồn công nghiệp</v>
          </cell>
          <cell r="D2617" t="str">
            <v>kg</v>
          </cell>
          <cell r="E2617">
            <v>0.12</v>
          </cell>
          <cell r="F2617">
            <v>9500</v>
          </cell>
          <cell r="G2617">
            <v>1140</v>
          </cell>
        </row>
        <row r="2618">
          <cell r="C2618" t="str">
            <v>Nhân công</v>
          </cell>
          <cell r="G2618">
            <v>274499.44934210525</v>
          </cell>
        </row>
        <row r="2619">
          <cell r="B2619" t="str">
            <v>NC1407</v>
          </cell>
          <cell r="C2619" t="str">
            <v>+ Nhân công bậc 4,0/7</v>
          </cell>
          <cell r="D2619" t="str">
            <v>Công</v>
          </cell>
          <cell r="E2619">
            <v>1.41</v>
          </cell>
          <cell r="F2619">
            <v>194680.46052631579</v>
          </cell>
          <cell r="G2619">
            <v>274499.44934210525</v>
          </cell>
        </row>
        <row r="2620">
          <cell r="A2620" t="str">
            <v>D3.18223</v>
          </cell>
          <cell r="C2620" t="str">
            <v>Lắp đặt sứ chuỗi néo kép dây dẫn, chuỗi =&lt; 2x8 bát, Chiều cao lắp đặt sứ =&lt; 30m</v>
          </cell>
          <cell r="D2620" t="str">
            <v>chuỗi</v>
          </cell>
          <cell r="H2620">
            <v>1425</v>
          </cell>
          <cell r="I2620">
            <v>290073.88618421054</v>
          </cell>
        </row>
        <row r="2621">
          <cell r="C2621" t="str">
            <v>Vật liệu</v>
          </cell>
          <cell r="G2621">
            <v>1425</v>
          </cell>
        </row>
        <row r="2622">
          <cell r="B2622">
            <v>9</v>
          </cell>
          <cell r="C2622" t="str">
            <v>+ Giẻ lau</v>
          </cell>
          <cell r="D2622" t="str">
            <v>Kg</v>
          </cell>
          <cell r="E2622">
            <v>0.03</v>
          </cell>
          <cell r="F2622">
            <v>9500</v>
          </cell>
          <cell r="G2622">
            <v>285</v>
          </cell>
        </row>
        <row r="2623">
          <cell r="B2623">
            <v>1</v>
          </cell>
          <cell r="C2623" t="str">
            <v>+ Cồn công nghiệp</v>
          </cell>
          <cell r="D2623" t="str">
            <v>kg</v>
          </cell>
          <cell r="E2623">
            <v>0.12</v>
          </cell>
          <cell r="F2623">
            <v>9500</v>
          </cell>
          <cell r="G2623">
            <v>1140</v>
          </cell>
        </row>
        <row r="2624">
          <cell r="C2624" t="str">
            <v>Nhân công</v>
          </cell>
          <cell r="G2624">
            <v>290073.88618421054</v>
          </cell>
        </row>
        <row r="2625">
          <cell r="B2625" t="str">
            <v>NC1407</v>
          </cell>
          <cell r="C2625" t="str">
            <v>+ Nhân công bậc 4,0/7</v>
          </cell>
          <cell r="D2625" t="str">
            <v>Công</v>
          </cell>
          <cell r="E2625">
            <v>1.49</v>
          </cell>
          <cell r="F2625">
            <v>194680.46052631579</v>
          </cell>
          <cell r="G2625">
            <v>290073.88618421054</v>
          </cell>
        </row>
        <row r="2626">
          <cell r="A2626" t="str">
            <v>D3.1833</v>
          </cell>
          <cell r="C2626" t="str">
            <v>Lắp đặt sứ chuỗi néo kép dây dẫn, chuỗi =&lt; 2x8 bát, Chiều cao lắp đặt sứ =&lt; 40m</v>
          </cell>
          <cell r="D2626" t="str">
            <v>chuỗi</v>
          </cell>
          <cell r="H2626">
            <v>1425</v>
          </cell>
          <cell r="I2626">
            <v>327063.17368421052</v>
          </cell>
        </row>
        <row r="2627">
          <cell r="C2627" t="str">
            <v>Vật liệu</v>
          </cell>
          <cell r="G2627">
            <v>1425</v>
          </cell>
        </row>
        <row r="2628">
          <cell r="B2628">
            <v>9</v>
          </cell>
          <cell r="C2628" t="str">
            <v>+ Giẻ lau</v>
          </cell>
          <cell r="D2628" t="str">
            <v>Kg</v>
          </cell>
          <cell r="E2628">
            <v>0.03</v>
          </cell>
          <cell r="F2628">
            <v>9500</v>
          </cell>
          <cell r="G2628">
            <v>285</v>
          </cell>
        </row>
        <row r="2629">
          <cell r="B2629">
            <v>1</v>
          </cell>
          <cell r="C2629" t="str">
            <v>+ Cồn công nghiệp</v>
          </cell>
          <cell r="D2629" t="str">
            <v>kg</v>
          </cell>
          <cell r="E2629">
            <v>0.12</v>
          </cell>
          <cell r="F2629">
            <v>9500</v>
          </cell>
          <cell r="G2629">
            <v>1140</v>
          </cell>
        </row>
        <row r="2630">
          <cell r="C2630" t="str">
            <v>Nhân công</v>
          </cell>
          <cell r="G2630">
            <v>327063.17368421052</v>
          </cell>
        </row>
        <row r="2631">
          <cell r="B2631" t="str">
            <v>NC1407</v>
          </cell>
          <cell r="C2631" t="str">
            <v>+ Nhân công bậc 4,0/7</v>
          </cell>
          <cell r="D2631" t="str">
            <v>Công</v>
          </cell>
          <cell r="E2631">
            <v>1.68</v>
          </cell>
          <cell r="F2631">
            <v>194680.46052631579</v>
          </cell>
          <cell r="G2631">
            <v>327063.17368421052</v>
          </cell>
        </row>
        <row r="2632">
          <cell r="A2632" t="str">
            <v>D3.1843</v>
          </cell>
          <cell r="C2632" t="str">
            <v>Lắp đặt sứ chuỗi néo kép dây dẫn, chuỗi =&lt; 2x8 bát, Chiều cao lắp đặt sứ =&lt; 50m</v>
          </cell>
          <cell r="D2632" t="str">
            <v>chuỗi</v>
          </cell>
          <cell r="H2632">
            <v>1425</v>
          </cell>
          <cell r="I2632">
            <v>365999.26578947366</v>
          </cell>
        </row>
        <row r="2633">
          <cell r="C2633" t="str">
            <v>Vật liệu</v>
          </cell>
          <cell r="G2633">
            <v>1425</v>
          </cell>
        </row>
        <row r="2634">
          <cell r="B2634">
            <v>9</v>
          </cell>
          <cell r="C2634" t="str">
            <v>+ Giẻ lau</v>
          </cell>
          <cell r="D2634" t="str">
            <v>Kg</v>
          </cell>
          <cell r="E2634">
            <v>0.03</v>
          </cell>
          <cell r="F2634">
            <v>9500</v>
          </cell>
          <cell r="G2634">
            <v>285</v>
          </cell>
        </row>
        <row r="2635">
          <cell r="B2635">
            <v>1</v>
          </cell>
          <cell r="C2635" t="str">
            <v>+ Cồn công nghiệp</v>
          </cell>
          <cell r="D2635" t="str">
            <v>kg</v>
          </cell>
          <cell r="E2635">
            <v>0.12</v>
          </cell>
          <cell r="F2635">
            <v>9500</v>
          </cell>
          <cell r="G2635">
            <v>1140</v>
          </cell>
        </row>
        <row r="2636">
          <cell r="C2636" t="str">
            <v>Nhân công</v>
          </cell>
          <cell r="G2636">
            <v>365999.26578947366</v>
          </cell>
        </row>
        <row r="2637">
          <cell r="B2637" t="str">
            <v>NC1407</v>
          </cell>
          <cell r="C2637" t="str">
            <v>+ Nhân công bậc 4,0/7</v>
          </cell>
          <cell r="D2637" t="str">
            <v>Công</v>
          </cell>
          <cell r="E2637">
            <v>1.88</v>
          </cell>
          <cell r="F2637">
            <v>194680.46052631579</v>
          </cell>
          <cell r="G2637">
            <v>365999.26578947366</v>
          </cell>
        </row>
        <row r="2638">
          <cell r="A2638" t="str">
            <v>D3.1853</v>
          </cell>
          <cell r="C2638" t="str">
            <v>Lắp đặt sứ chuỗi néo kép dây dẫn, chuỗi =&lt; 2x8 bát, Chiều cao lắp đặt sứ =&lt; 60m</v>
          </cell>
          <cell r="D2638" t="str">
            <v>chuỗi</v>
          </cell>
          <cell r="H2638">
            <v>1425</v>
          </cell>
          <cell r="I2638">
            <v>404935.35789473687</v>
          </cell>
        </row>
        <row r="2639">
          <cell r="C2639" t="str">
            <v>Vật liệu</v>
          </cell>
          <cell r="G2639">
            <v>1425</v>
          </cell>
        </row>
        <row r="2640">
          <cell r="B2640">
            <v>9</v>
          </cell>
          <cell r="C2640" t="str">
            <v>+ Giẻ lau</v>
          </cell>
          <cell r="D2640" t="str">
            <v>Kg</v>
          </cell>
          <cell r="E2640">
            <v>0.03</v>
          </cell>
          <cell r="F2640">
            <v>9500</v>
          </cell>
          <cell r="G2640">
            <v>285</v>
          </cell>
        </row>
        <row r="2641">
          <cell r="B2641">
            <v>1</v>
          </cell>
          <cell r="C2641" t="str">
            <v>+ Cồn công nghiệp</v>
          </cell>
          <cell r="D2641" t="str">
            <v>kg</v>
          </cell>
          <cell r="E2641">
            <v>0.12</v>
          </cell>
          <cell r="F2641">
            <v>9500</v>
          </cell>
          <cell r="G2641">
            <v>1140</v>
          </cell>
        </row>
        <row r="2642">
          <cell r="C2642" t="str">
            <v>Nhân công</v>
          </cell>
          <cell r="G2642">
            <v>404935.35789473687</v>
          </cell>
        </row>
        <row r="2643">
          <cell r="B2643" t="str">
            <v>NC1407</v>
          </cell>
          <cell r="C2643" t="str">
            <v>+ Nhân công bậc 4,0/7</v>
          </cell>
          <cell r="D2643" t="str">
            <v>Công</v>
          </cell>
          <cell r="E2643">
            <v>2.08</v>
          </cell>
          <cell r="F2643">
            <v>194680.46052631579</v>
          </cell>
          <cell r="G2643">
            <v>404935.35789473687</v>
          </cell>
        </row>
        <row r="2644">
          <cell r="A2644" t="str">
            <v>D3.1863</v>
          </cell>
          <cell r="C2644" t="str">
            <v>Lắp đặt sứ chuỗi néo kép dây dẫn, chuỗi =&lt; 2x8 bát, Chiều cao lắp đặt sứ =&lt; 70m</v>
          </cell>
          <cell r="D2644" t="str">
            <v>chuỗi</v>
          </cell>
          <cell r="H2644">
            <v>1425</v>
          </cell>
          <cell r="I2644">
            <v>447765.05921052629</v>
          </cell>
        </row>
        <row r="2645">
          <cell r="C2645" t="str">
            <v>Vật liệu</v>
          </cell>
          <cell r="G2645">
            <v>1425</v>
          </cell>
        </row>
        <row r="2646">
          <cell r="B2646">
            <v>9</v>
          </cell>
          <cell r="C2646" t="str">
            <v>+ Giẻ lau</v>
          </cell>
          <cell r="D2646" t="str">
            <v>Kg</v>
          </cell>
          <cell r="E2646">
            <v>0.03</v>
          </cell>
          <cell r="F2646">
            <v>9500</v>
          </cell>
          <cell r="G2646">
            <v>285</v>
          </cell>
        </row>
        <row r="2647">
          <cell r="B2647">
            <v>1</v>
          </cell>
          <cell r="C2647" t="str">
            <v>+ Cồn công nghiệp</v>
          </cell>
          <cell r="D2647" t="str">
            <v>kg</v>
          </cell>
          <cell r="E2647">
            <v>0.12</v>
          </cell>
          <cell r="F2647">
            <v>9500</v>
          </cell>
          <cell r="G2647">
            <v>1140</v>
          </cell>
        </row>
        <row r="2648">
          <cell r="C2648" t="str">
            <v>Nhân công</v>
          </cell>
          <cell r="G2648">
            <v>447765.05921052629</v>
          </cell>
        </row>
        <row r="2649">
          <cell r="B2649" t="str">
            <v>NC1407</v>
          </cell>
          <cell r="C2649" t="str">
            <v>+ Nhân công bậc 4,0/7</v>
          </cell>
          <cell r="D2649" t="str">
            <v>Công</v>
          </cell>
          <cell r="E2649">
            <v>2.2999999999999998</v>
          </cell>
          <cell r="F2649">
            <v>194680.46052631579</v>
          </cell>
          <cell r="G2649">
            <v>447765.05921052629</v>
          </cell>
        </row>
        <row r="2650">
          <cell r="A2650" t="str">
            <v>D3.1873</v>
          </cell>
          <cell r="C2650" t="str">
            <v>Lắp đặt sứ chuỗi néo kép dây dẫn, chuỗi =&lt; 2x8 bát, Chiều cao lắp đặt sứ =&lt; 2x85m</v>
          </cell>
          <cell r="D2650" t="str">
            <v>chuỗi</v>
          </cell>
          <cell r="H2650">
            <v>1425</v>
          </cell>
          <cell r="I2650">
            <v>512009.61118421052</v>
          </cell>
        </row>
        <row r="2651">
          <cell r="C2651" t="str">
            <v>Vật liệu</v>
          </cell>
          <cell r="G2651">
            <v>1425</v>
          </cell>
        </row>
        <row r="2652">
          <cell r="B2652">
            <v>9</v>
          </cell>
          <cell r="C2652" t="str">
            <v>+ Giẻ lau</v>
          </cell>
          <cell r="D2652" t="str">
            <v>Kg</v>
          </cell>
          <cell r="E2652">
            <v>0.03</v>
          </cell>
          <cell r="F2652">
            <v>9500</v>
          </cell>
          <cell r="G2652">
            <v>285</v>
          </cell>
        </row>
        <row r="2653">
          <cell r="B2653">
            <v>1</v>
          </cell>
          <cell r="C2653" t="str">
            <v>+ Cồn công nghiệp</v>
          </cell>
          <cell r="D2653" t="str">
            <v>kg</v>
          </cell>
          <cell r="E2653">
            <v>0.12</v>
          </cell>
          <cell r="F2653">
            <v>9500</v>
          </cell>
          <cell r="G2653">
            <v>1140</v>
          </cell>
        </row>
        <row r="2654">
          <cell r="C2654" t="str">
            <v>Nhân công</v>
          </cell>
          <cell r="G2654">
            <v>512009.61118421052</v>
          </cell>
        </row>
        <row r="2655">
          <cell r="B2655" t="str">
            <v>NC1407</v>
          </cell>
          <cell r="C2655" t="str">
            <v>+ Nhân công bậc 4,0/7</v>
          </cell>
          <cell r="D2655" t="str">
            <v>Công</v>
          </cell>
          <cell r="E2655">
            <v>2.63</v>
          </cell>
          <cell r="F2655">
            <v>194680.46052631579</v>
          </cell>
          <cell r="G2655">
            <v>512009.61118421052</v>
          </cell>
        </row>
        <row r="2656">
          <cell r="A2656" t="str">
            <v>D3.1883</v>
          </cell>
          <cell r="C2656" t="str">
            <v>Lắp đặt sứ chuỗi néo kép dây dẫn, chuỗi =&lt; 2x8 bát, Chiều cao lắp đặt sứ =&lt; 100m</v>
          </cell>
          <cell r="D2656" t="str">
            <v>chuỗi</v>
          </cell>
          <cell r="H2656">
            <v>1425</v>
          </cell>
          <cell r="I2656">
            <v>589881.79539473681</v>
          </cell>
        </row>
        <row r="2657">
          <cell r="C2657" t="str">
            <v>Vật liệu</v>
          </cell>
          <cell r="G2657">
            <v>1425</v>
          </cell>
        </row>
        <row r="2658">
          <cell r="B2658">
            <v>9</v>
          </cell>
          <cell r="C2658" t="str">
            <v>+ Giẻ lau</v>
          </cell>
          <cell r="D2658" t="str">
            <v>Kg</v>
          </cell>
          <cell r="E2658">
            <v>0.03</v>
          </cell>
          <cell r="F2658">
            <v>9500</v>
          </cell>
          <cell r="G2658">
            <v>285</v>
          </cell>
        </row>
        <row r="2659">
          <cell r="B2659">
            <v>1</v>
          </cell>
          <cell r="C2659" t="str">
            <v>+ Cồn công nghiệp</v>
          </cell>
          <cell r="D2659" t="str">
            <v>kg</v>
          </cell>
          <cell r="E2659">
            <v>0.12</v>
          </cell>
          <cell r="F2659">
            <v>9500</v>
          </cell>
          <cell r="G2659">
            <v>1140</v>
          </cell>
        </row>
        <row r="2660">
          <cell r="C2660" t="str">
            <v>Nhân công</v>
          </cell>
          <cell r="G2660">
            <v>589881.79539473681</v>
          </cell>
        </row>
        <row r="2661">
          <cell r="B2661" t="str">
            <v>NC1407</v>
          </cell>
          <cell r="C2661" t="str">
            <v>+ Nhân công bậc 4,0/7</v>
          </cell>
          <cell r="D2661" t="str">
            <v>Công</v>
          </cell>
          <cell r="E2661">
            <v>3.03</v>
          </cell>
          <cell r="F2661">
            <v>194680.46052631579</v>
          </cell>
          <cell r="G2661">
            <v>589881.79539473681</v>
          </cell>
        </row>
        <row r="2662">
          <cell r="A2662" t="str">
            <v>D3.1814</v>
          </cell>
          <cell r="C2662" t="str">
            <v>Lắp đặt sứ chuỗi néo kép dây dẫn, chuỗi =&lt; 2x11 bát, Chiều cao lắp đặt sứ =&lt; 20m</v>
          </cell>
          <cell r="D2662" t="str">
            <v>chuỗi</v>
          </cell>
          <cell r="H2662">
            <v>1852.5</v>
          </cell>
          <cell r="I2662">
            <v>389360.92105263157</v>
          </cell>
        </row>
        <row r="2663">
          <cell r="C2663" t="str">
            <v>Vật liệu</v>
          </cell>
          <cell r="G2663">
            <v>1852.5</v>
          </cell>
        </row>
        <row r="2664">
          <cell r="B2664">
            <v>9</v>
          </cell>
          <cell r="C2664" t="str">
            <v>+ Giẻ lau</v>
          </cell>
          <cell r="D2664" t="str">
            <v>Kg</v>
          </cell>
          <cell r="E2664">
            <v>0.03</v>
          </cell>
          <cell r="F2664">
            <v>9500</v>
          </cell>
          <cell r="G2664">
            <v>285</v>
          </cell>
        </row>
        <row r="2665">
          <cell r="B2665">
            <v>1</v>
          </cell>
          <cell r="C2665" t="str">
            <v>+ Cồn công nghiệp</v>
          </cell>
          <cell r="D2665" t="str">
            <v>kg</v>
          </cell>
          <cell r="E2665">
            <v>0.16500000000000001</v>
          </cell>
          <cell r="F2665">
            <v>9500</v>
          </cell>
          <cell r="G2665">
            <v>1567.5</v>
          </cell>
        </row>
        <row r="2666">
          <cell r="C2666" t="str">
            <v>Nhân công</v>
          </cell>
          <cell r="G2666">
            <v>389360.92105263157</v>
          </cell>
        </row>
        <row r="2667">
          <cell r="B2667" t="str">
            <v>NC1407</v>
          </cell>
          <cell r="C2667" t="str">
            <v>+ Nhân công bậc 4,0/7</v>
          </cell>
          <cell r="D2667" t="str">
            <v>Công</v>
          </cell>
          <cell r="E2667">
            <v>2</v>
          </cell>
          <cell r="F2667">
            <v>194680.46052631579</v>
          </cell>
          <cell r="G2667">
            <v>389360.92105263157</v>
          </cell>
        </row>
        <row r="2668">
          <cell r="A2668" t="str">
            <v>D3.1824</v>
          </cell>
          <cell r="C2668" t="str">
            <v>Lắp đặt sứ chuỗi néo kép dây dẫn, chuỗi =&lt; 2x11 bát, Chiều cao lắp đặt sứ =&lt; 30m</v>
          </cell>
          <cell r="D2668" t="str">
            <v>chuỗi</v>
          </cell>
          <cell r="H2668">
            <v>1852.5</v>
          </cell>
          <cell r="I2668">
            <v>412722.57631578948</v>
          </cell>
        </row>
        <row r="2669">
          <cell r="C2669" t="str">
            <v>Vật liệu</v>
          </cell>
          <cell r="G2669">
            <v>1852.5</v>
          </cell>
        </row>
        <row r="2670">
          <cell r="B2670">
            <v>9</v>
          </cell>
          <cell r="C2670" t="str">
            <v>+ Giẻ lau</v>
          </cell>
          <cell r="D2670" t="str">
            <v>Kg</v>
          </cell>
          <cell r="E2670">
            <v>0.03</v>
          </cell>
          <cell r="F2670">
            <v>9500</v>
          </cell>
          <cell r="G2670">
            <v>285</v>
          </cell>
        </row>
        <row r="2671">
          <cell r="B2671">
            <v>1</v>
          </cell>
          <cell r="C2671" t="str">
            <v>+ Cồn công nghiệp</v>
          </cell>
          <cell r="D2671" t="str">
            <v>kg</v>
          </cell>
          <cell r="E2671">
            <v>0.16500000000000001</v>
          </cell>
          <cell r="F2671">
            <v>9500</v>
          </cell>
          <cell r="G2671">
            <v>1567.5</v>
          </cell>
        </row>
        <row r="2672">
          <cell r="C2672" t="str">
            <v>Nhân công</v>
          </cell>
          <cell r="G2672">
            <v>412722.57631578948</v>
          </cell>
        </row>
        <row r="2673">
          <cell r="B2673" t="str">
            <v>NC1407</v>
          </cell>
          <cell r="C2673" t="str">
            <v>+ Nhân công bậc 4,0/7</v>
          </cell>
          <cell r="D2673" t="str">
            <v>Công</v>
          </cell>
          <cell r="E2673">
            <v>2.12</v>
          </cell>
          <cell r="F2673">
            <v>194680.46052631579</v>
          </cell>
          <cell r="G2673">
            <v>412722.57631578948</v>
          </cell>
        </row>
        <row r="2674">
          <cell r="A2674" t="str">
            <v>D3.1834</v>
          </cell>
          <cell r="C2674" t="str">
            <v>Lắp đặt sứ chuỗi néo kép dây dẫn, chuỗi =&lt; 2x11 bát, Chiều cao lắp đặt sứ =&lt; 40m</v>
          </cell>
          <cell r="D2674" t="str">
            <v>chuỗi</v>
          </cell>
          <cell r="H2674">
            <v>1852.5</v>
          </cell>
          <cell r="I2674">
            <v>467233.10526315786</v>
          </cell>
        </row>
        <row r="2675">
          <cell r="C2675" t="str">
            <v>Vật liệu</v>
          </cell>
          <cell r="G2675">
            <v>1852.5</v>
          </cell>
        </row>
        <row r="2676">
          <cell r="B2676">
            <v>9</v>
          </cell>
          <cell r="C2676" t="str">
            <v>+ Giẻ lau</v>
          </cell>
          <cell r="D2676" t="str">
            <v>Kg</v>
          </cell>
          <cell r="E2676">
            <v>0.03</v>
          </cell>
          <cell r="F2676">
            <v>9500</v>
          </cell>
          <cell r="G2676">
            <v>285</v>
          </cell>
        </row>
        <row r="2677">
          <cell r="B2677">
            <v>1</v>
          </cell>
          <cell r="C2677" t="str">
            <v>+ Cồn công nghiệp</v>
          </cell>
          <cell r="D2677" t="str">
            <v>kg</v>
          </cell>
          <cell r="E2677">
            <v>0.16500000000000001</v>
          </cell>
          <cell r="F2677">
            <v>9500</v>
          </cell>
          <cell r="G2677">
            <v>1567.5</v>
          </cell>
        </row>
        <row r="2678">
          <cell r="C2678" t="str">
            <v>Nhân công</v>
          </cell>
          <cell r="G2678">
            <v>467233.10526315786</v>
          </cell>
        </row>
        <row r="2679">
          <cell r="B2679" t="str">
            <v>NC1407</v>
          </cell>
          <cell r="C2679" t="str">
            <v>+ Nhân công bậc 4,0/7</v>
          </cell>
          <cell r="D2679" t="str">
            <v>Công</v>
          </cell>
          <cell r="E2679">
            <v>2.4</v>
          </cell>
          <cell r="F2679">
            <v>194680.46052631579</v>
          </cell>
          <cell r="G2679">
            <v>467233.10526315786</v>
          </cell>
        </row>
        <row r="2680">
          <cell r="A2680" t="str">
            <v>D3.1844</v>
          </cell>
          <cell r="C2680" t="str">
            <v>Lắp đặt sứ chuỗi néo kép dây dẫn, chuỗi =&lt; 2x11 bát, Chiều cao lắp đặt sứ =&lt; 50m</v>
          </cell>
          <cell r="D2680" t="str">
            <v>chuỗi</v>
          </cell>
          <cell r="H2680">
            <v>1852.5</v>
          </cell>
          <cell r="I2680">
            <v>519796.82960526313</v>
          </cell>
        </row>
        <row r="2681">
          <cell r="C2681" t="str">
            <v>Vật liệu</v>
          </cell>
          <cell r="G2681">
            <v>1852.5</v>
          </cell>
        </row>
        <row r="2682">
          <cell r="B2682">
            <v>9</v>
          </cell>
          <cell r="C2682" t="str">
            <v>+ Giẻ lau</v>
          </cell>
          <cell r="D2682" t="str">
            <v>Kg</v>
          </cell>
          <cell r="E2682">
            <v>0.03</v>
          </cell>
          <cell r="F2682">
            <v>9500</v>
          </cell>
          <cell r="G2682">
            <v>285</v>
          </cell>
        </row>
        <row r="2683">
          <cell r="B2683">
            <v>1</v>
          </cell>
          <cell r="C2683" t="str">
            <v>+ Cồn công nghiệp</v>
          </cell>
          <cell r="D2683" t="str">
            <v>kg</v>
          </cell>
          <cell r="E2683">
            <v>0.16500000000000001</v>
          </cell>
          <cell r="F2683">
            <v>9500</v>
          </cell>
          <cell r="G2683">
            <v>1567.5</v>
          </cell>
        </row>
        <row r="2684">
          <cell r="C2684" t="str">
            <v>Nhân công</v>
          </cell>
          <cell r="G2684">
            <v>519796.82960526313</v>
          </cell>
        </row>
        <row r="2685">
          <cell r="B2685" t="str">
            <v>NC1407</v>
          </cell>
          <cell r="C2685" t="str">
            <v>+ Nhân công bậc 4,0/7</v>
          </cell>
          <cell r="D2685" t="str">
            <v>Công</v>
          </cell>
          <cell r="E2685">
            <v>2.67</v>
          </cell>
          <cell r="F2685">
            <v>194680.46052631579</v>
          </cell>
          <cell r="G2685">
            <v>519796.82960526313</v>
          </cell>
        </row>
        <row r="2686">
          <cell r="A2686" t="str">
            <v>D3.1854</v>
          </cell>
          <cell r="C2686" t="str">
            <v>Lắp đặt sứ chuỗi néo kép dây dẫn, chuỗi =&lt; 2x11 bát, Chiều cao lắp đặt sứ =&lt; 60m</v>
          </cell>
          <cell r="D2686" t="str">
            <v>chuỗi</v>
          </cell>
          <cell r="H2686">
            <v>1852.5</v>
          </cell>
          <cell r="I2686">
            <v>570413.74934210523</v>
          </cell>
        </row>
        <row r="2687">
          <cell r="C2687" t="str">
            <v>Vật liệu</v>
          </cell>
          <cell r="G2687">
            <v>1852.5</v>
          </cell>
        </row>
        <row r="2688">
          <cell r="B2688">
            <v>9</v>
          </cell>
          <cell r="C2688" t="str">
            <v>+ Giẻ lau</v>
          </cell>
          <cell r="D2688" t="str">
            <v>Kg</v>
          </cell>
          <cell r="E2688">
            <v>0.03</v>
          </cell>
          <cell r="F2688">
            <v>9500</v>
          </cell>
          <cell r="G2688">
            <v>285</v>
          </cell>
        </row>
        <row r="2689">
          <cell r="B2689">
            <v>1</v>
          </cell>
          <cell r="C2689" t="str">
            <v>+ Cồn công nghiệp</v>
          </cell>
          <cell r="D2689" t="str">
            <v>kg</v>
          </cell>
          <cell r="E2689">
            <v>0.16500000000000001</v>
          </cell>
          <cell r="F2689">
            <v>9500</v>
          </cell>
          <cell r="G2689">
            <v>1567.5</v>
          </cell>
        </row>
        <row r="2690">
          <cell r="C2690" t="str">
            <v>Nhân công</v>
          </cell>
          <cell r="G2690">
            <v>570413.74934210523</v>
          </cell>
        </row>
        <row r="2691">
          <cell r="B2691" t="str">
            <v>NC1407</v>
          </cell>
          <cell r="C2691" t="str">
            <v>+ Nhân công bậc 4,0/7</v>
          </cell>
          <cell r="D2691" t="str">
            <v>Công</v>
          </cell>
          <cell r="E2691">
            <v>2.93</v>
          </cell>
          <cell r="F2691">
            <v>194680.46052631579</v>
          </cell>
          <cell r="G2691">
            <v>570413.74934210523</v>
          </cell>
        </row>
        <row r="2692">
          <cell r="A2692" t="str">
            <v>D3.1864</v>
          </cell>
          <cell r="C2692" t="str">
            <v>Lắp đặt sứ chuỗi néo kép dây dẫn, chuỗi =&lt; 2x11 bát, Chiều cao lắp đặt sứ =&lt; 70m</v>
          </cell>
          <cell r="D2692" t="str">
            <v>chuỗi</v>
          </cell>
          <cell r="H2692">
            <v>1852.5</v>
          </cell>
          <cell r="I2692">
            <v>628817.88749999995</v>
          </cell>
        </row>
        <row r="2693">
          <cell r="C2693" t="str">
            <v>Vật liệu</v>
          </cell>
          <cell r="G2693">
            <v>1852.5</v>
          </cell>
        </row>
        <row r="2694">
          <cell r="B2694">
            <v>9</v>
          </cell>
          <cell r="C2694" t="str">
            <v>+ Giẻ lau</v>
          </cell>
          <cell r="D2694" t="str">
            <v>Kg</v>
          </cell>
          <cell r="E2694">
            <v>0.03</v>
          </cell>
          <cell r="F2694">
            <v>9500</v>
          </cell>
          <cell r="G2694">
            <v>285</v>
          </cell>
        </row>
        <row r="2695">
          <cell r="B2695">
            <v>1</v>
          </cell>
          <cell r="C2695" t="str">
            <v>+ Cồn công nghiệp</v>
          </cell>
          <cell r="D2695" t="str">
            <v>kg</v>
          </cell>
          <cell r="E2695">
            <v>0.16500000000000001</v>
          </cell>
          <cell r="F2695">
            <v>9500</v>
          </cell>
          <cell r="G2695">
            <v>1567.5</v>
          </cell>
        </row>
        <row r="2696">
          <cell r="C2696" t="str">
            <v>Nhân công</v>
          </cell>
          <cell r="G2696">
            <v>628817.88749999995</v>
          </cell>
        </row>
        <row r="2697">
          <cell r="B2697" t="str">
            <v>NC1407</v>
          </cell>
          <cell r="C2697" t="str">
            <v>+ Nhân công bậc 4,0/7</v>
          </cell>
          <cell r="D2697" t="str">
            <v>Công</v>
          </cell>
          <cell r="E2697">
            <v>3.23</v>
          </cell>
          <cell r="F2697">
            <v>194680.46052631579</v>
          </cell>
          <cell r="G2697">
            <v>628817.88749999995</v>
          </cell>
        </row>
        <row r="2698">
          <cell r="A2698" t="str">
            <v>D3.1874</v>
          </cell>
          <cell r="C2698" t="str">
            <v>Lắp đặt sứ chuỗi néo kép dây dẫn, chuỗi =&lt; 2x11 bát, Chiều cao lắp đặt sứ =&lt; 85m</v>
          </cell>
          <cell r="D2698" t="str">
            <v>chuỗi</v>
          </cell>
          <cell r="H2698">
            <v>1852.5</v>
          </cell>
          <cell r="I2698">
            <v>720317.70394736843</v>
          </cell>
        </row>
        <row r="2699">
          <cell r="C2699" t="str">
            <v>Vật liệu</v>
          </cell>
          <cell r="G2699">
            <v>1852.5</v>
          </cell>
        </row>
        <row r="2700">
          <cell r="B2700">
            <v>9</v>
          </cell>
          <cell r="C2700" t="str">
            <v>+ Giẻ lau</v>
          </cell>
          <cell r="D2700" t="str">
            <v>Kg</v>
          </cell>
          <cell r="E2700">
            <v>0.03</v>
          </cell>
          <cell r="F2700">
            <v>9500</v>
          </cell>
          <cell r="G2700">
            <v>285</v>
          </cell>
        </row>
        <row r="2701">
          <cell r="B2701">
            <v>1</v>
          </cell>
          <cell r="C2701" t="str">
            <v>+ Cồn công nghiệp</v>
          </cell>
          <cell r="D2701" t="str">
            <v>kg</v>
          </cell>
          <cell r="E2701">
            <v>0.16500000000000001</v>
          </cell>
          <cell r="F2701">
            <v>9500</v>
          </cell>
          <cell r="G2701">
            <v>1567.5</v>
          </cell>
        </row>
        <row r="2702">
          <cell r="C2702" t="str">
            <v>Nhân công</v>
          </cell>
          <cell r="G2702">
            <v>720317.70394736843</v>
          </cell>
        </row>
        <row r="2703">
          <cell r="B2703" t="str">
            <v>NC1407</v>
          </cell>
          <cell r="C2703" t="str">
            <v>+ Nhân công bậc 4,0/7</v>
          </cell>
          <cell r="D2703" t="str">
            <v>Công</v>
          </cell>
          <cell r="E2703">
            <v>3.7</v>
          </cell>
          <cell r="F2703">
            <v>194680.46052631579</v>
          </cell>
          <cell r="G2703">
            <v>720317.70394736843</v>
          </cell>
        </row>
        <row r="2704">
          <cell r="A2704" t="str">
            <v>D3.1884</v>
          </cell>
          <cell r="C2704" t="str">
            <v>Lắp đặt sứ chuỗi néo kép dây dẫn, chuỗi =&lt; 2x11 bát, Chiều cao lắp đặt sứ =&lt; 100m</v>
          </cell>
          <cell r="D2704" t="str">
            <v>chuỗi</v>
          </cell>
          <cell r="H2704">
            <v>1852.5</v>
          </cell>
          <cell r="I2704">
            <v>829338.76184210519</v>
          </cell>
        </row>
        <row r="2705">
          <cell r="C2705" t="str">
            <v>Vật liệu</v>
          </cell>
          <cell r="G2705">
            <v>1852.5</v>
          </cell>
        </row>
        <row r="2706">
          <cell r="B2706">
            <v>9</v>
          </cell>
          <cell r="C2706" t="str">
            <v>+ Giẻ lau</v>
          </cell>
          <cell r="D2706" t="str">
            <v>Kg</v>
          </cell>
          <cell r="E2706">
            <v>0.03</v>
          </cell>
          <cell r="F2706">
            <v>9500</v>
          </cell>
          <cell r="G2706">
            <v>285</v>
          </cell>
        </row>
        <row r="2707">
          <cell r="B2707">
            <v>1</v>
          </cell>
          <cell r="C2707" t="str">
            <v>+ Cồn công nghiệp</v>
          </cell>
          <cell r="D2707" t="str">
            <v>kg</v>
          </cell>
          <cell r="E2707">
            <v>0.16500000000000001</v>
          </cell>
          <cell r="F2707">
            <v>9500</v>
          </cell>
          <cell r="G2707">
            <v>1567.5</v>
          </cell>
        </row>
        <row r="2708">
          <cell r="C2708" t="str">
            <v>Nhân công</v>
          </cell>
          <cell r="G2708">
            <v>829338.76184210519</v>
          </cell>
        </row>
        <row r="2709">
          <cell r="B2709" t="str">
            <v>NC1407</v>
          </cell>
          <cell r="C2709" t="str">
            <v>+ Nhân công bậc 4,0/7</v>
          </cell>
          <cell r="D2709" t="str">
            <v>Công</v>
          </cell>
          <cell r="E2709">
            <v>4.26</v>
          </cell>
          <cell r="F2709">
            <v>194680.46052631579</v>
          </cell>
          <cell r="G2709">
            <v>829338.76184210519</v>
          </cell>
        </row>
        <row r="2710">
          <cell r="A2710" t="str">
            <v>D3.1815</v>
          </cell>
          <cell r="C2710" t="str">
            <v>Lắp đặt sứ chuỗi néo kép dây dẫn, chuỗi =&lt; 2x14 bát, Chiều cao lắp đặt sứ =&lt; 20m</v>
          </cell>
          <cell r="D2710" t="str">
            <v>chuỗi</v>
          </cell>
          <cell r="H2710">
            <v>2185</v>
          </cell>
          <cell r="I2710">
            <v>492541.56513157889</v>
          </cell>
        </row>
        <row r="2711">
          <cell r="C2711" t="str">
            <v>Vật liệu</v>
          </cell>
          <cell r="G2711">
            <v>2185</v>
          </cell>
        </row>
        <row r="2712">
          <cell r="B2712">
            <v>9</v>
          </cell>
          <cell r="C2712" t="str">
            <v>+ Giẻ lau</v>
          </cell>
          <cell r="D2712" t="str">
            <v>Kg</v>
          </cell>
          <cell r="E2712">
            <v>0.03</v>
          </cell>
          <cell r="F2712">
            <v>9500</v>
          </cell>
          <cell r="G2712">
            <v>285</v>
          </cell>
        </row>
        <row r="2713">
          <cell r="B2713">
            <v>1</v>
          </cell>
          <cell r="C2713" t="str">
            <v>+ Cồn công nghiệp</v>
          </cell>
          <cell r="D2713" t="str">
            <v>kg</v>
          </cell>
          <cell r="E2713">
            <v>0.2</v>
          </cell>
          <cell r="F2713">
            <v>9500</v>
          </cell>
          <cell r="G2713">
            <v>1900</v>
          </cell>
        </row>
        <row r="2714">
          <cell r="C2714" t="str">
            <v>Nhân công</v>
          </cell>
          <cell r="G2714">
            <v>492541.56513157889</v>
          </cell>
        </row>
        <row r="2715">
          <cell r="B2715" t="str">
            <v>NC1407</v>
          </cell>
          <cell r="C2715" t="str">
            <v>+ Nhân công bậc 4,0/7</v>
          </cell>
          <cell r="D2715" t="str">
            <v>Công</v>
          </cell>
          <cell r="E2715">
            <v>2.5299999999999998</v>
          </cell>
          <cell r="F2715">
            <v>194680.46052631579</v>
          </cell>
          <cell r="G2715">
            <v>492541.56513157889</v>
          </cell>
        </row>
        <row r="2716">
          <cell r="A2716" t="str">
            <v>D3.1825</v>
          </cell>
          <cell r="C2716" t="str">
            <v>Lắp đặt sứ chuỗi néo kép dây dẫn, chuỗi =&lt; 2x14 bát, Chiều cao lắp đặt sứ =&lt; 30m</v>
          </cell>
          <cell r="D2716" t="str">
            <v>chuỗi</v>
          </cell>
          <cell r="H2716">
            <v>2185</v>
          </cell>
          <cell r="I2716">
            <v>519796.82960526313</v>
          </cell>
        </row>
        <row r="2717">
          <cell r="C2717" t="str">
            <v>Vật liệu</v>
          </cell>
          <cell r="G2717">
            <v>2185</v>
          </cell>
        </row>
        <row r="2718">
          <cell r="B2718">
            <v>9</v>
          </cell>
          <cell r="C2718" t="str">
            <v>+ Giẻ lau</v>
          </cell>
          <cell r="D2718" t="str">
            <v>Kg</v>
          </cell>
          <cell r="E2718">
            <v>0.03</v>
          </cell>
          <cell r="F2718">
            <v>9500</v>
          </cell>
          <cell r="G2718">
            <v>285</v>
          </cell>
        </row>
        <row r="2719">
          <cell r="B2719">
            <v>1</v>
          </cell>
          <cell r="C2719" t="str">
            <v>+ Cồn công nghiệp</v>
          </cell>
          <cell r="D2719" t="str">
            <v>kg</v>
          </cell>
          <cell r="E2719">
            <v>0.2</v>
          </cell>
          <cell r="F2719">
            <v>9500</v>
          </cell>
          <cell r="G2719">
            <v>1900</v>
          </cell>
        </row>
        <row r="2720">
          <cell r="C2720" t="str">
            <v>Nhân công</v>
          </cell>
          <cell r="G2720">
            <v>519796.82960526313</v>
          </cell>
        </row>
        <row r="2721">
          <cell r="B2721" t="str">
            <v>NC1407</v>
          </cell>
          <cell r="C2721" t="str">
            <v>+ Nhân công bậc 4,0/7</v>
          </cell>
          <cell r="D2721" t="str">
            <v>Công</v>
          </cell>
          <cell r="E2721">
            <v>2.67</v>
          </cell>
          <cell r="F2721">
            <v>194680.46052631579</v>
          </cell>
          <cell r="G2721">
            <v>519796.82960526313</v>
          </cell>
        </row>
        <row r="2722">
          <cell r="A2722" t="str">
            <v>D3.1835</v>
          </cell>
          <cell r="C2722" t="str">
            <v>Lắp đặt sứ chuỗi néo kép dây dẫn, chuỗi =&lt; 2x14 bát, Chiều cao lắp đặt sứ =&lt; 40m</v>
          </cell>
          <cell r="D2722" t="str">
            <v>chuỗi</v>
          </cell>
          <cell r="H2722">
            <v>2185</v>
          </cell>
          <cell r="I2722">
            <v>589881.79539473681</v>
          </cell>
        </row>
        <row r="2723">
          <cell r="C2723" t="str">
            <v>Vật liệu</v>
          </cell>
          <cell r="G2723">
            <v>2185</v>
          </cell>
        </row>
        <row r="2724">
          <cell r="B2724">
            <v>9</v>
          </cell>
          <cell r="C2724" t="str">
            <v>+ Giẻ lau</v>
          </cell>
          <cell r="D2724" t="str">
            <v>Kg</v>
          </cell>
          <cell r="E2724">
            <v>0.03</v>
          </cell>
          <cell r="F2724">
            <v>9500</v>
          </cell>
          <cell r="G2724">
            <v>285</v>
          </cell>
        </row>
        <row r="2725">
          <cell r="B2725">
            <v>1</v>
          </cell>
          <cell r="C2725" t="str">
            <v>+ Cồn công nghiệp</v>
          </cell>
          <cell r="D2725" t="str">
            <v>kg</v>
          </cell>
          <cell r="E2725">
            <v>0.2</v>
          </cell>
          <cell r="F2725">
            <v>9500</v>
          </cell>
          <cell r="G2725">
            <v>1900</v>
          </cell>
        </row>
        <row r="2726">
          <cell r="C2726" t="str">
            <v>Nhân công</v>
          </cell>
          <cell r="G2726">
            <v>589881.79539473681</v>
          </cell>
        </row>
        <row r="2727">
          <cell r="B2727" t="str">
            <v>NC1407</v>
          </cell>
          <cell r="C2727" t="str">
            <v>+ Nhân công bậc 4,0/7</v>
          </cell>
          <cell r="D2727" t="str">
            <v>Công</v>
          </cell>
          <cell r="E2727">
            <v>3.03</v>
          </cell>
          <cell r="F2727">
            <v>194680.46052631579</v>
          </cell>
          <cell r="G2727">
            <v>589881.79539473681</v>
          </cell>
        </row>
        <row r="2728">
          <cell r="A2728" t="str">
            <v>D3.1845</v>
          </cell>
          <cell r="C2728" t="str">
            <v>Lắp đặt sứ chuỗi néo kép dây dẫn, chuỗi =&lt; 2x14 bát, Chiều cao lắp đặt sứ =&lt; 50m</v>
          </cell>
          <cell r="D2728" t="str">
            <v>chuỗi</v>
          </cell>
          <cell r="H2728">
            <v>2185</v>
          </cell>
          <cell r="I2728">
            <v>659966.76118421054</v>
          </cell>
        </row>
        <row r="2729">
          <cell r="C2729" t="str">
            <v>Vật liệu</v>
          </cell>
          <cell r="G2729">
            <v>2185</v>
          </cell>
        </row>
        <row r="2730">
          <cell r="B2730">
            <v>9</v>
          </cell>
          <cell r="C2730" t="str">
            <v>+ Giẻ lau</v>
          </cell>
          <cell r="D2730" t="str">
            <v>Kg</v>
          </cell>
          <cell r="E2730">
            <v>0.03</v>
          </cell>
          <cell r="F2730">
            <v>9500</v>
          </cell>
          <cell r="G2730">
            <v>285</v>
          </cell>
        </row>
        <row r="2731">
          <cell r="B2731">
            <v>1</v>
          </cell>
          <cell r="C2731" t="str">
            <v>+ Cồn công nghiệp</v>
          </cell>
          <cell r="D2731" t="str">
            <v>kg</v>
          </cell>
          <cell r="E2731">
            <v>0.2</v>
          </cell>
          <cell r="F2731">
            <v>9500</v>
          </cell>
          <cell r="G2731">
            <v>1900</v>
          </cell>
        </row>
        <row r="2732">
          <cell r="C2732" t="str">
            <v>Nhân công</v>
          </cell>
          <cell r="G2732">
            <v>659966.76118421054</v>
          </cell>
        </row>
        <row r="2733">
          <cell r="B2733" t="str">
            <v>NC1407</v>
          </cell>
          <cell r="C2733" t="str">
            <v>+ Nhân công bậc 4,0/7</v>
          </cell>
          <cell r="D2733" t="str">
            <v>Công</v>
          </cell>
          <cell r="E2733">
            <v>3.39</v>
          </cell>
          <cell r="F2733">
            <v>194680.46052631579</v>
          </cell>
          <cell r="G2733">
            <v>659966.76118421054</v>
          </cell>
        </row>
        <row r="2734">
          <cell r="A2734" t="str">
            <v>D3.1855</v>
          </cell>
          <cell r="C2734" t="str">
            <v>Lắp đặt sứ chuỗi néo kép dây dẫn, chuỗi =&lt; 2x14 bát, Chiều cao lắp đặt sứ =&lt; 60m</v>
          </cell>
          <cell r="D2734" t="str">
            <v>chuỗi</v>
          </cell>
          <cell r="H2734">
            <v>2185</v>
          </cell>
          <cell r="I2734">
            <v>724211.31315789477</v>
          </cell>
        </row>
        <row r="2735">
          <cell r="C2735" t="str">
            <v>Vật liệu</v>
          </cell>
          <cell r="G2735">
            <v>2185</v>
          </cell>
        </row>
        <row r="2736">
          <cell r="B2736">
            <v>9</v>
          </cell>
          <cell r="C2736" t="str">
            <v>+ Giẻ lau</v>
          </cell>
          <cell r="D2736" t="str">
            <v>Kg</v>
          </cell>
          <cell r="E2736">
            <v>0.03</v>
          </cell>
          <cell r="F2736">
            <v>9500</v>
          </cell>
          <cell r="G2736">
            <v>285</v>
          </cell>
        </row>
        <row r="2737">
          <cell r="B2737">
            <v>1</v>
          </cell>
          <cell r="C2737" t="str">
            <v>+ Cồn công nghiệp</v>
          </cell>
          <cell r="D2737" t="str">
            <v>kg</v>
          </cell>
          <cell r="E2737">
            <v>0.2</v>
          </cell>
          <cell r="F2737">
            <v>9500</v>
          </cell>
          <cell r="G2737">
            <v>1900</v>
          </cell>
        </row>
        <row r="2738">
          <cell r="C2738" t="str">
            <v>Nhân công</v>
          </cell>
          <cell r="G2738">
            <v>724211.31315789477</v>
          </cell>
        </row>
        <row r="2739">
          <cell r="B2739" t="str">
            <v>NC1407</v>
          </cell>
          <cell r="C2739" t="str">
            <v>+ Nhân công bậc 4,0/7</v>
          </cell>
          <cell r="D2739" t="str">
            <v>Công</v>
          </cell>
          <cell r="E2739">
            <v>3.72</v>
          </cell>
          <cell r="F2739">
            <v>194680.46052631579</v>
          </cell>
          <cell r="G2739">
            <v>724211.31315789477</v>
          </cell>
        </row>
        <row r="2740">
          <cell r="A2740" t="str">
            <v>D3.1865</v>
          </cell>
          <cell r="C2740" t="str">
            <v>Lắp đặt sứ chuỗi néo kép dây dẫn, chuỗi =&lt; 2x14 bát, Chiều cao lắp đặt sứ =&lt; 70m</v>
          </cell>
          <cell r="D2740" t="str">
            <v>chuỗi</v>
          </cell>
          <cell r="H2740">
            <v>2185</v>
          </cell>
          <cell r="I2740">
            <v>798189.8881578946</v>
          </cell>
        </row>
        <row r="2741">
          <cell r="C2741" t="str">
            <v>Vật liệu</v>
          </cell>
          <cell r="G2741">
            <v>2185</v>
          </cell>
        </row>
        <row r="2742">
          <cell r="B2742">
            <v>9</v>
          </cell>
          <cell r="C2742" t="str">
            <v>+ Giẻ lau</v>
          </cell>
          <cell r="D2742" t="str">
            <v>Kg</v>
          </cell>
          <cell r="E2742">
            <v>0.03</v>
          </cell>
          <cell r="F2742">
            <v>9500</v>
          </cell>
          <cell r="G2742">
            <v>285</v>
          </cell>
        </row>
        <row r="2743">
          <cell r="B2743">
            <v>1</v>
          </cell>
          <cell r="C2743" t="str">
            <v>+ Cồn công nghiệp</v>
          </cell>
          <cell r="D2743" t="str">
            <v>kg</v>
          </cell>
          <cell r="E2743">
            <v>0.2</v>
          </cell>
          <cell r="F2743">
            <v>9500</v>
          </cell>
          <cell r="G2743">
            <v>1900</v>
          </cell>
        </row>
        <row r="2744">
          <cell r="C2744" t="str">
            <v>Nhân công</v>
          </cell>
          <cell r="G2744">
            <v>798189.8881578946</v>
          </cell>
        </row>
        <row r="2745">
          <cell r="B2745" t="str">
            <v>NC1407</v>
          </cell>
          <cell r="C2745" t="str">
            <v>+ Nhân công bậc 4,0/7</v>
          </cell>
          <cell r="D2745" t="str">
            <v>Công</v>
          </cell>
          <cell r="E2745">
            <v>4.0999999999999996</v>
          </cell>
          <cell r="F2745">
            <v>194680.46052631579</v>
          </cell>
          <cell r="G2745">
            <v>798189.8881578946</v>
          </cell>
        </row>
        <row r="2746">
          <cell r="A2746" t="str">
            <v>D3.1875</v>
          </cell>
          <cell r="C2746" t="str">
            <v>Lắp đặt sứ chuỗi néo kép dây dẫn, chuỗi =&lt; 2x14 bát, Chiều cao lắp đặt sứ =&lt; 85m</v>
          </cell>
          <cell r="D2746" t="str">
            <v>chuỗi</v>
          </cell>
          <cell r="H2746">
            <v>2185</v>
          </cell>
          <cell r="I2746">
            <v>916944.96907894732</v>
          </cell>
        </row>
        <row r="2747">
          <cell r="C2747" t="str">
            <v>Vật liệu</v>
          </cell>
          <cell r="G2747">
            <v>2185</v>
          </cell>
        </row>
        <row r="2748">
          <cell r="B2748">
            <v>9</v>
          </cell>
          <cell r="C2748" t="str">
            <v>+ Giẻ lau</v>
          </cell>
          <cell r="D2748" t="str">
            <v>Kg</v>
          </cell>
          <cell r="E2748">
            <v>0.03</v>
          </cell>
          <cell r="F2748">
            <v>9500</v>
          </cell>
          <cell r="G2748">
            <v>285</v>
          </cell>
        </row>
        <row r="2749">
          <cell r="B2749">
            <v>1</v>
          </cell>
          <cell r="C2749" t="str">
            <v>+ Cồn công nghiệp</v>
          </cell>
          <cell r="D2749" t="str">
            <v>kg</v>
          </cell>
          <cell r="E2749">
            <v>0.2</v>
          </cell>
          <cell r="F2749">
            <v>9500</v>
          </cell>
          <cell r="G2749">
            <v>1900</v>
          </cell>
        </row>
        <row r="2750">
          <cell r="C2750" t="str">
            <v>Nhân công</v>
          </cell>
          <cell r="G2750">
            <v>916944.96907894732</v>
          </cell>
        </row>
        <row r="2751">
          <cell r="B2751" t="str">
            <v>NC1407</v>
          </cell>
          <cell r="C2751" t="str">
            <v>+ Nhân công bậc 4,0/7</v>
          </cell>
          <cell r="D2751" t="str">
            <v>Công</v>
          </cell>
          <cell r="E2751">
            <v>4.71</v>
          </cell>
          <cell r="F2751">
            <v>194680.46052631579</v>
          </cell>
          <cell r="G2751">
            <v>916944.96907894732</v>
          </cell>
        </row>
        <row r="2752">
          <cell r="A2752" t="str">
            <v>D3.1885</v>
          </cell>
          <cell r="C2752" t="str">
            <v>Lắp đặt sứ chuỗi néo kép dây dẫn, chuỗi =&lt; 2x14 bát, Chiều cao lắp đặt sứ =&lt; 100m</v>
          </cell>
          <cell r="D2752" t="str">
            <v>chuỗi</v>
          </cell>
          <cell r="H2752">
            <v>2185</v>
          </cell>
          <cell r="I2752">
            <v>1057114.9006578946</v>
          </cell>
        </row>
        <row r="2753">
          <cell r="C2753" t="str">
            <v>Vật liệu</v>
          </cell>
          <cell r="G2753">
            <v>2185</v>
          </cell>
        </row>
        <row r="2754">
          <cell r="B2754">
            <v>9</v>
          </cell>
          <cell r="C2754" t="str">
            <v>+ Giẻ lau</v>
          </cell>
          <cell r="D2754" t="str">
            <v>Kg</v>
          </cell>
          <cell r="E2754">
            <v>0.03</v>
          </cell>
          <cell r="F2754">
            <v>9500</v>
          </cell>
          <cell r="G2754">
            <v>285</v>
          </cell>
        </row>
        <row r="2755">
          <cell r="B2755">
            <v>1</v>
          </cell>
          <cell r="C2755" t="str">
            <v>+ Cồn công nghiệp</v>
          </cell>
          <cell r="D2755" t="str">
            <v>kg</v>
          </cell>
          <cell r="E2755">
            <v>0.2</v>
          </cell>
          <cell r="F2755">
            <v>9500</v>
          </cell>
          <cell r="G2755">
            <v>1900</v>
          </cell>
        </row>
        <row r="2756">
          <cell r="C2756" t="str">
            <v>Nhân công</v>
          </cell>
          <cell r="G2756">
            <v>1057114.9006578946</v>
          </cell>
        </row>
        <row r="2757">
          <cell r="B2757" t="str">
            <v>NC1407</v>
          </cell>
          <cell r="C2757" t="str">
            <v>+ Nhân công bậc 4,0/7</v>
          </cell>
          <cell r="D2757" t="str">
            <v>Công</v>
          </cell>
          <cell r="E2757">
            <v>5.43</v>
          </cell>
          <cell r="F2757">
            <v>194680.46052631579</v>
          </cell>
          <cell r="G2757">
            <v>1057114.9006578946</v>
          </cell>
        </row>
        <row r="2758">
          <cell r="A2758" t="str">
            <v>D3.1816</v>
          </cell>
          <cell r="C2758" t="str">
            <v>Lắp đặt sứ chuỗi néo kép dây dẫn, chuỗi =&lt; 2x18 bát, Chiều cao lắp đặt sứ =&lt; 20m</v>
          </cell>
          <cell r="D2758" t="str">
            <v>chuỗi</v>
          </cell>
          <cell r="H2758">
            <v>2660</v>
          </cell>
          <cell r="I2758">
            <v>593775.40460526315</v>
          </cell>
        </row>
        <row r="2759">
          <cell r="C2759" t="str">
            <v>Vật liệu</v>
          </cell>
          <cell r="G2759">
            <v>2660</v>
          </cell>
        </row>
        <row r="2760">
          <cell r="B2760">
            <v>9</v>
          </cell>
          <cell r="C2760" t="str">
            <v>+ Giẻ lau</v>
          </cell>
          <cell r="D2760" t="str">
            <v>Kg</v>
          </cell>
          <cell r="E2760">
            <v>0.04</v>
          </cell>
          <cell r="F2760">
            <v>9500</v>
          </cell>
          <cell r="G2760">
            <v>380</v>
          </cell>
        </row>
        <row r="2761">
          <cell r="B2761">
            <v>1</v>
          </cell>
          <cell r="C2761" t="str">
            <v>+ Cồn công nghiệp</v>
          </cell>
          <cell r="D2761" t="str">
            <v>kg</v>
          </cell>
          <cell r="E2761">
            <v>0.24</v>
          </cell>
          <cell r="F2761">
            <v>9500</v>
          </cell>
          <cell r="G2761">
            <v>2280</v>
          </cell>
        </row>
        <row r="2762">
          <cell r="C2762" t="str">
            <v>Nhân công</v>
          </cell>
          <cell r="G2762">
            <v>593775.40460526315</v>
          </cell>
        </row>
        <row r="2763">
          <cell r="B2763" t="str">
            <v>NC1407</v>
          </cell>
          <cell r="C2763" t="str">
            <v>+ Nhân công bậc 4,0/7</v>
          </cell>
          <cell r="D2763" t="str">
            <v>Công</v>
          </cell>
          <cell r="E2763">
            <v>3.05</v>
          </cell>
          <cell r="F2763">
            <v>194680.46052631579</v>
          </cell>
          <cell r="G2763">
            <v>593775.40460526315</v>
          </cell>
        </row>
        <row r="2764">
          <cell r="A2764" t="str">
            <v>D3.1826</v>
          </cell>
          <cell r="C2764" t="str">
            <v>Lắp đặt sứ chuỗi néo kép dây dẫn, chuỗi =&lt; 2x18 bát, Chiều cao lắp đặt sứ =&lt; 30m</v>
          </cell>
          <cell r="D2764" t="str">
            <v>chuỗi</v>
          </cell>
          <cell r="H2764">
            <v>2660</v>
          </cell>
          <cell r="I2764">
            <v>624924.27828947362</v>
          </cell>
        </row>
        <row r="2765">
          <cell r="C2765" t="str">
            <v>Vật liệu</v>
          </cell>
          <cell r="G2765">
            <v>2660</v>
          </cell>
        </row>
        <row r="2766">
          <cell r="B2766">
            <v>9</v>
          </cell>
          <cell r="C2766" t="str">
            <v>+ Giẻ lau</v>
          </cell>
          <cell r="D2766" t="str">
            <v>Kg</v>
          </cell>
          <cell r="E2766">
            <v>0.04</v>
          </cell>
          <cell r="F2766">
            <v>9500</v>
          </cell>
          <cell r="G2766">
            <v>380</v>
          </cell>
        </row>
        <row r="2767">
          <cell r="B2767">
            <v>1</v>
          </cell>
          <cell r="C2767" t="str">
            <v>+ Cồn công nghiệp</v>
          </cell>
          <cell r="D2767" t="str">
            <v>kg</v>
          </cell>
          <cell r="E2767">
            <v>0.24</v>
          </cell>
          <cell r="F2767">
            <v>9500</v>
          </cell>
          <cell r="G2767">
            <v>2280</v>
          </cell>
        </row>
        <row r="2768">
          <cell r="C2768" t="str">
            <v>Nhân công</v>
          </cell>
          <cell r="G2768">
            <v>624924.27828947362</v>
          </cell>
        </row>
        <row r="2769">
          <cell r="B2769" t="str">
            <v>NC1407</v>
          </cell>
          <cell r="C2769" t="str">
            <v>+ Nhân công bậc 4,0/7</v>
          </cell>
          <cell r="D2769" t="str">
            <v>Công</v>
          </cell>
          <cell r="E2769">
            <v>3.21</v>
          </cell>
          <cell r="F2769">
            <v>194680.46052631579</v>
          </cell>
          <cell r="G2769">
            <v>624924.27828947362</v>
          </cell>
        </row>
        <row r="2770">
          <cell r="A2770" t="str">
            <v>D3.1836</v>
          </cell>
          <cell r="C2770" t="str">
            <v>Lắp đặt sứ chuỗi néo kép dây dẫn, chuỗi =&lt; 2x18 bát, Chiều cao lắp đặt sứ =&lt; 40m</v>
          </cell>
          <cell r="D2770" t="str">
            <v>chuỗi</v>
          </cell>
          <cell r="H2770">
            <v>2660</v>
          </cell>
          <cell r="I2770">
            <v>708636.87631578953</v>
          </cell>
        </row>
        <row r="2771">
          <cell r="C2771" t="str">
            <v>Vật liệu</v>
          </cell>
          <cell r="G2771">
            <v>2660</v>
          </cell>
        </row>
        <row r="2772">
          <cell r="B2772">
            <v>9</v>
          </cell>
          <cell r="C2772" t="str">
            <v>+ Giẻ lau</v>
          </cell>
          <cell r="D2772" t="str">
            <v>Kg</v>
          </cell>
          <cell r="E2772">
            <v>0.04</v>
          </cell>
          <cell r="F2772">
            <v>9500</v>
          </cell>
          <cell r="G2772">
            <v>380</v>
          </cell>
        </row>
        <row r="2773">
          <cell r="B2773">
            <v>1</v>
          </cell>
          <cell r="C2773" t="str">
            <v>+ Cồn công nghiệp</v>
          </cell>
          <cell r="D2773" t="str">
            <v>kg</v>
          </cell>
          <cell r="E2773">
            <v>0.24</v>
          </cell>
          <cell r="F2773">
            <v>9500</v>
          </cell>
          <cell r="G2773">
            <v>2280</v>
          </cell>
        </row>
        <row r="2774">
          <cell r="C2774" t="str">
            <v>Nhân công</v>
          </cell>
          <cell r="G2774">
            <v>708636.87631578953</v>
          </cell>
        </row>
        <row r="2775">
          <cell r="B2775" t="str">
            <v>NC1407</v>
          </cell>
          <cell r="C2775" t="str">
            <v>+ Nhân công bậc 4,0/7</v>
          </cell>
          <cell r="D2775" t="str">
            <v>Công</v>
          </cell>
          <cell r="E2775">
            <v>3.64</v>
          </cell>
          <cell r="F2775">
            <v>194680.46052631579</v>
          </cell>
          <cell r="G2775">
            <v>708636.87631578953</v>
          </cell>
        </row>
        <row r="2776">
          <cell r="A2776" t="str">
            <v>D3.1846</v>
          </cell>
          <cell r="C2776" t="str">
            <v>Lắp đặt sứ chuỗi néo kép dây dẫn, chuỗi =&lt; 2x18 bát, Chiều cao lắp đặt sứ =&lt; 50m</v>
          </cell>
          <cell r="D2776" t="str">
            <v>chuỗi</v>
          </cell>
          <cell r="H2776">
            <v>2660</v>
          </cell>
          <cell r="I2776">
            <v>790402.66973684204</v>
          </cell>
        </row>
        <row r="2777">
          <cell r="C2777" t="str">
            <v>Vật liệu</v>
          </cell>
          <cell r="G2777">
            <v>2660</v>
          </cell>
        </row>
        <row r="2778">
          <cell r="B2778">
            <v>9</v>
          </cell>
          <cell r="C2778" t="str">
            <v>+ Giẻ lau</v>
          </cell>
          <cell r="D2778" t="str">
            <v>Kg</v>
          </cell>
          <cell r="E2778">
            <v>0.04</v>
          </cell>
          <cell r="F2778">
            <v>9500</v>
          </cell>
          <cell r="G2778">
            <v>380</v>
          </cell>
        </row>
        <row r="2779">
          <cell r="B2779">
            <v>1</v>
          </cell>
          <cell r="C2779" t="str">
            <v>+ Cồn công nghiệp</v>
          </cell>
          <cell r="D2779" t="str">
            <v>kg</v>
          </cell>
          <cell r="E2779">
            <v>0.24</v>
          </cell>
          <cell r="F2779">
            <v>9500</v>
          </cell>
          <cell r="G2779">
            <v>2280</v>
          </cell>
        </row>
        <row r="2780">
          <cell r="C2780" t="str">
            <v>Nhân công</v>
          </cell>
          <cell r="G2780">
            <v>790402.66973684204</v>
          </cell>
        </row>
        <row r="2781">
          <cell r="B2781" t="str">
            <v>NC1407</v>
          </cell>
          <cell r="C2781" t="str">
            <v>+ Nhân công bậc 4,0/7</v>
          </cell>
          <cell r="D2781" t="str">
            <v>Công</v>
          </cell>
          <cell r="E2781">
            <v>4.0599999999999996</v>
          </cell>
          <cell r="F2781">
            <v>194680.46052631579</v>
          </cell>
          <cell r="G2781">
            <v>790402.66973684204</v>
          </cell>
        </row>
        <row r="2782">
          <cell r="A2782" t="str">
            <v>D3.1856</v>
          </cell>
          <cell r="C2782" t="str">
            <v>Lắp đặt sứ chuỗi néo kép dây dẫn, chuỗi =&lt; 2x18 bát, Chiều cao lắp đặt sứ =&lt; 60m</v>
          </cell>
          <cell r="D2782" t="str">
            <v>chuỗi</v>
          </cell>
          <cell r="H2782">
            <v>2660</v>
          </cell>
          <cell r="I2782">
            <v>1002604.3717105264</v>
          </cell>
        </row>
        <row r="2783">
          <cell r="C2783" t="str">
            <v>Vật liệu</v>
          </cell>
          <cell r="G2783">
            <v>2660</v>
          </cell>
        </row>
        <row r="2784">
          <cell r="B2784">
            <v>9</v>
          </cell>
          <cell r="C2784" t="str">
            <v>+ Giẻ lau</v>
          </cell>
          <cell r="D2784" t="str">
            <v>Kg</v>
          </cell>
          <cell r="E2784">
            <v>0.04</v>
          </cell>
          <cell r="F2784">
            <v>9500</v>
          </cell>
          <cell r="G2784">
            <v>380</v>
          </cell>
        </row>
        <row r="2785">
          <cell r="B2785">
            <v>1</v>
          </cell>
          <cell r="C2785" t="str">
            <v>+ Cồn công nghiệp</v>
          </cell>
          <cell r="D2785" t="str">
            <v>kg</v>
          </cell>
          <cell r="E2785">
            <v>0.24</v>
          </cell>
          <cell r="F2785">
            <v>9500</v>
          </cell>
          <cell r="G2785">
            <v>2280</v>
          </cell>
        </row>
        <row r="2786">
          <cell r="C2786" t="str">
            <v>Nhân công</v>
          </cell>
          <cell r="G2786">
            <v>1002604.3717105264</v>
          </cell>
        </row>
        <row r="2787">
          <cell r="B2787" t="str">
            <v>NC1407</v>
          </cell>
          <cell r="C2787" t="str">
            <v>+ Nhân công bậc 4,0/7</v>
          </cell>
          <cell r="D2787" t="str">
            <v>Công</v>
          </cell>
          <cell r="E2787">
            <v>5.15</v>
          </cell>
          <cell r="F2787">
            <v>194680.46052631579</v>
          </cell>
          <cell r="G2787">
            <v>1002604.3717105264</v>
          </cell>
        </row>
        <row r="2788">
          <cell r="A2788" t="str">
            <v>D3.1866</v>
          </cell>
          <cell r="C2788" t="str">
            <v>Lắp đặt sứ chuỗi néo kép dây dẫn, chuỗi =&lt; 2x18 bát, Chiều cao lắp đặt sứ =&lt; 70m</v>
          </cell>
          <cell r="D2788" t="str">
            <v>chuỗi</v>
          </cell>
          <cell r="H2788">
            <v>2660</v>
          </cell>
          <cell r="I2788">
            <v>1101891.4065789473</v>
          </cell>
        </row>
        <row r="2789">
          <cell r="C2789" t="str">
            <v>Vật liệu</v>
          </cell>
          <cell r="G2789">
            <v>2660</v>
          </cell>
        </row>
        <row r="2790">
          <cell r="B2790">
            <v>9</v>
          </cell>
          <cell r="C2790" t="str">
            <v>+ Giẻ lau</v>
          </cell>
          <cell r="D2790" t="str">
            <v>Kg</v>
          </cell>
          <cell r="E2790">
            <v>0.04</v>
          </cell>
          <cell r="F2790">
            <v>9500</v>
          </cell>
          <cell r="G2790">
            <v>380</v>
          </cell>
        </row>
        <row r="2791">
          <cell r="B2791">
            <v>1</v>
          </cell>
          <cell r="C2791" t="str">
            <v>+ Cồn công nghiệp</v>
          </cell>
          <cell r="D2791" t="str">
            <v>kg</v>
          </cell>
          <cell r="E2791">
            <v>0.24</v>
          </cell>
          <cell r="F2791">
            <v>9500</v>
          </cell>
          <cell r="G2791">
            <v>2280</v>
          </cell>
        </row>
        <row r="2792">
          <cell r="C2792" t="str">
            <v>Nhân công</v>
          </cell>
          <cell r="G2792">
            <v>1101891.4065789473</v>
          </cell>
        </row>
        <row r="2793">
          <cell r="B2793" t="str">
            <v>NC1407</v>
          </cell>
          <cell r="C2793" t="str">
            <v>+ Nhân công bậc 4,0/7</v>
          </cell>
          <cell r="D2793" t="str">
            <v>Công</v>
          </cell>
          <cell r="E2793">
            <v>5.66</v>
          </cell>
          <cell r="F2793">
            <v>194680.46052631579</v>
          </cell>
          <cell r="G2793">
            <v>1101891.4065789473</v>
          </cell>
        </row>
        <row r="2794">
          <cell r="A2794" t="str">
            <v>D3.1876</v>
          </cell>
          <cell r="C2794" t="str">
            <v>Lắp đặt sứ chuỗi néo kép dây dẫn, chuỗi =&lt; 2x18 bát, Chiều cao lắp đặt sứ =&lt; 85m</v>
          </cell>
          <cell r="D2794" t="str">
            <v>chuỗi</v>
          </cell>
          <cell r="H2794">
            <v>2660</v>
          </cell>
          <cell r="I2794">
            <v>1267369.7980263156</v>
          </cell>
        </row>
        <row r="2795">
          <cell r="C2795" t="str">
            <v>Vật liệu</v>
          </cell>
          <cell r="G2795">
            <v>2660</v>
          </cell>
        </row>
        <row r="2796">
          <cell r="B2796">
            <v>9</v>
          </cell>
          <cell r="C2796" t="str">
            <v>+ Giẻ lau</v>
          </cell>
          <cell r="D2796" t="str">
            <v>Kg</v>
          </cell>
          <cell r="E2796">
            <v>0.04</v>
          </cell>
          <cell r="F2796">
            <v>9500</v>
          </cell>
          <cell r="G2796">
            <v>380</v>
          </cell>
        </row>
        <row r="2797">
          <cell r="B2797">
            <v>1</v>
          </cell>
          <cell r="C2797" t="str">
            <v>+ Cồn công nghiệp</v>
          </cell>
          <cell r="D2797" t="str">
            <v>kg</v>
          </cell>
          <cell r="E2797">
            <v>0.24</v>
          </cell>
          <cell r="F2797">
            <v>9500</v>
          </cell>
          <cell r="G2797">
            <v>2280</v>
          </cell>
        </row>
        <row r="2798">
          <cell r="C2798" t="str">
            <v>Nhân công</v>
          </cell>
          <cell r="G2798">
            <v>1267369.7980263156</v>
          </cell>
        </row>
        <row r="2799">
          <cell r="B2799" t="str">
            <v>NC1407</v>
          </cell>
          <cell r="C2799" t="str">
            <v>+ Nhân công bậc 4,0/7</v>
          </cell>
          <cell r="D2799" t="str">
            <v>Công</v>
          </cell>
          <cell r="E2799">
            <v>6.51</v>
          </cell>
          <cell r="F2799">
            <v>194680.46052631579</v>
          </cell>
          <cell r="G2799">
            <v>1267369.7980263156</v>
          </cell>
        </row>
        <row r="2800">
          <cell r="A2800" t="str">
            <v>D3.1886</v>
          </cell>
          <cell r="C2800" t="str">
            <v>Lắp đặt sứ chuỗi néo kép dây dẫn, chuỗi =&lt; 2x18 bát, Chiều cao lắp đặt sứ =&lt; 100m</v>
          </cell>
          <cell r="D2800" t="str">
            <v>chuỗi</v>
          </cell>
          <cell r="H2800">
            <v>2660</v>
          </cell>
          <cell r="I2800">
            <v>1456209.8447368422</v>
          </cell>
        </row>
        <row r="2801">
          <cell r="C2801" t="str">
            <v>Vật liệu</v>
          </cell>
          <cell r="G2801">
            <v>2660</v>
          </cell>
        </row>
        <row r="2802">
          <cell r="B2802">
            <v>9</v>
          </cell>
          <cell r="C2802" t="str">
            <v>+ Giẻ lau</v>
          </cell>
          <cell r="D2802" t="str">
            <v>Kg</v>
          </cell>
          <cell r="E2802">
            <v>0.04</v>
          </cell>
          <cell r="F2802">
            <v>9500</v>
          </cell>
          <cell r="G2802">
            <v>380</v>
          </cell>
        </row>
        <row r="2803">
          <cell r="B2803">
            <v>1</v>
          </cell>
          <cell r="C2803" t="str">
            <v>+ Cồn công nghiệp</v>
          </cell>
          <cell r="D2803" t="str">
            <v>kg</v>
          </cell>
          <cell r="E2803">
            <v>0.24</v>
          </cell>
          <cell r="F2803">
            <v>9500</v>
          </cell>
          <cell r="G2803">
            <v>2280</v>
          </cell>
        </row>
        <row r="2804">
          <cell r="C2804" t="str">
            <v>Nhân công</v>
          </cell>
          <cell r="G2804">
            <v>1456209.8447368422</v>
          </cell>
        </row>
        <row r="2805">
          <cell r="B2805" t="str">
            <v>NC1407</v>
          </cell>
          <cell r="C2805" t="str">
            <v>+ Nhân công bậc 4,0/7</v>
          </cell>
          <cell r="D2805" t="str">
            <v>Công</v>
          </cell>
          <cell r="E2805">
            <v>7.48</v>
          </cell>
          <cell r="F2805">
            <v>194680.46052631579</v>
          </cell>
          <cell r="G2805">
            <v>1456209.8447368422</v>
          </cell>
        </row>
        <row r="2806">
          <cell r="A2806" t="str">
            <v>D3.1817</v>
          </cell>
          <cell r="C2806" t="str">
            <v>Lắp đặt sứ chuỗi néo kép dây dẫn, chuỗi  =&lt; 2x21 bát, Chiều cao lắp đặt sứ =&lt; 20m</v>
          </cell>
          <cell r="D2806" t="str">
            <v>chuỗi</v>
          </cell>
          <cell r="H2806">
            <v>3135</v>
          </cell>
          <cell r="I2806">
            <v>712530.48552631575</v>
          </cell>
        </row>
        <row r="2807">
          <cell r="C2807" t="str">
            <v>Vật liệu</v>
          </cell>
          <cell r="G2807">
            <v>3135</v>
          </cell>
        </row>
        <row r="2808">
          <cell r="B2808">
            <v>9</v>
          </cell>
          <cell r="C2808" t="str">
            <v>+ Giẻ lau</v>
          </cell>
          <cell r="D2808" t="str">
            <v>Kg</v>
          </cell>
          <cell r="E2808">
            <v>0.04</v>
          </cell>
          <cell r="F2808">
            <v>9500</v>
          </cell>
          <cell r="G2808">
            <v>380</v>
          </cell>
        </row>
        <row r="2809">
          <cell r="B2809">
            <v>1</v>
          </cell>
          <cell r="C2809" t="str">
            <v>+ Cồn công nghiệp</v>
          </cell>
          <cell r="D2809" t="str">
            <v>kg</v>
          </cell>
          <cell r="E2809">
            <v>0.28999999999999998</v>
          </cell>
          <cell r="F2809">
            <v>9500</v>
          </cell>
          <cell r="G2809">
            <v>2755</v>
          </cell>
        </row>
        <row r="2810">
          <cell r="C2810" t="str">
            <v>Nhân công</v>
          </cell>
          <cell r="G2810">
            <v>712530.48552631575</v>
          </cell>
        </row>
        <row r="2811">
          <cell r="B2811" t="str">
            <v>NC1407</v>
          </cell>
          <cell r="C2811" t="str">
            <v>+ Nhân công bậc 4,0/7</v>
          </cell>
          <cell r="D2811" t="str">
            <v>Công</v>
          </cell>
          <cell r="E2811">
            <v>3.66</v>
          </cell>
          <cell r="F2811">
            <v>194680.46052631579</v>
          </cell>
          <cell r="G2811">
            <v>712530.48552631575</v>
          </cell>
        </row>
        <row r="2812">
          <cell r="A2812" t="str">
            <v>D3.1827</v>
          </cell>
          <cell r="C2812" t="str">
            <v>Lắp đặt sứ chuỗi néo kép dây dẫn, chuỗi  =&lt; 2x21 bát, Chiều cao lắp đặt sứ =&lt; 30m</v>
          </cell>
          <cell r="D2812" t="str">
            <v>chuỗi</v>
          </cell>
          <cell r="H2812">
            <v>3135</v>
          </cell>
          <cell r="I2812">
            <v>747572.96842105256</v>
          </cell>
        </row>
        <row r="2813">
          <cell r="C2813" t="str">
            <v>Vật liệu</v>
          </cell>
          <cell r="G2813">
            <v>3135</v>
          </cell>
        </row>
        <row r="2814">
          <cell r="B2814">
            <v>9</v>
          </cell>
          <cell r="C2814" t="str">
            <v>+ Giẻ lau</v>
          </cell>
          <cell r="D2814" t="str">
            <v>Kg</v>
          </cell>
          <cell r="E2814">
            <v>0.04</v>
          </cell>
          <cell r="F2814">
            <v>9500</v>
          </cell>
          <cell r="G2814">
            <v>380</v>
          </cell>
        </row>
        <row r="2815">
          <cell r="B2815">
            <v>1</v>
          </cell>
          <cell r="C2815" t="str">
            <v>+ Cồn công nghiệp</v>
          </cell>
          <cell r="D2815" t="str">
            <v>kg</v>
          </cell>
          <cell r="E2815">
            <v>0.28999999999999998</v>
          </cell>
          <cell r="F2815">
            <v>9500</v>
          </cell>
          <cell r="G2815">
            <v>2755</v>
          </cell>
        </row>
        <row r="2816">
          <cell r="C2816" t="str">
            <v>Nhân công</v>
          </cell>
          <cell r="G2816">
            <v>747572.96842105256</v>
          </cell>
        </row>
        <row r="2817">
          <cell r="B2817" t="str">
            <v>NC1407</v>
          </cell>
          <cell r="C2817" t="str">
            <v>+ Nhân công bậc 4,0/7</v>
          </cell>
          <cell r="D2817" t="str">
            <v>Công</v>
          </cell>
          <cell r="E2817">
            <v>3.84</v>
          </cell>
          <cell r="F2817">
            <v>194680.46052631579</v>
          </cell>
          <cell r="G2817">
            <v>747572.96842105256</v>
          </cell>
        </row>
        <row r="2818">
          <cell r="A2818" t="str">
            <v>D3.1837</v>
          </cell>
          <cell r="C2818" t="str">
            <v>Lắp đặt sứ chuỗi néo kép dây dẫn, chuỗi  =&lt; 2x21 bát, Chiều cao lắp đặt sứ =&lt; 40m</v>
          </cell>
          <cell r="D2818" t="str">
            <v>chuỗi</v>
          </cell>
          <cell r="H2818">
            <v>3135</v>
          </cell>
          <cell r="I2818">
            <v>852700.4171052631</v>
          </cell>
        </row>
        <row r="2819">
          <cell r="C2819" t="str">
            <v>Vật liệu</v>
          </cell>
          <cell r="G2819">
            <v>3135</v>
          </cell>
        </row>
        <row r="2820">
          <cell r="B2820">
            <v>9</v>
          </cell>
          <cell r="C2820" t="str">
            <v>+ Giẻ lau</v>
          </cell>
          <cell r="D2820" t="str">
            <v>Kg</v>
          </cell>
          <cell r="E2820">
            <v>0.04</v>
          </cell>
          <cell r="F2820">
            <v>9500</v>
          </cell>
          <cell r="G2820">
            <v>380</v>
          </cell>
        </row>
        <row r="2821">
          <cell r="B2821">
            <v>1</v>
          </cell>
          <cell r="C2821" t="str">
            <v>+ Cồn công nghiệp</v>
          </cell>
          <cell r="D2821" t="str">
            <v>kg</v>
          </cell>
          <cell r="E2821">
            <v>0.28999999999999998</v>
          </cell>
          <cell r="F2821">
            <v>9500</v>
          </cell>
          <cell r="G2821">
            <v>2755</v>
          </cell>
        </row>
        <row r="2822">
          <cell r="C2822" t="str">
            <v>Nhân công</v>
          </cell>
          <cell r="G2822">
            <v>852700.4171052631</v>
          </cell>
        </row>
        <row r="2823">
          <cell r="B2823" t="str">
            <v>NC1407</v>
          </cell>
          <cell r="C2823" t="str">
            <v>+ Nhân công bậc 4,0/7</v>
          </cell>
          <cell r="D2823" t="str">
            <v>Công</v>
          </cell>
          <cell r="E2823">
            <v>4.38</v>
          </cell>
          <cell r="F2823">
            <v>194680.46052631579</v>
          </cell>
          <cell r="G2823">
            <v>852700.4171052631</v>
          </cell>
        </row>
        <row r="2824">
          <cell r="A2824" t="str">
            <v>D3.1847</v>
          </cell>
          <cell r="C2824" t="str">
            <v>Lắp đặt sứ chuỗi néo kép dây dẫn, chuỗi  =&lt; 2x21 bát, Chiều cao lắp đặt sứ =&lt; 50m</v>
          </cell>
          <cell r="D2824" t="str">
            <v>chuỗi</v>
          </cell>
          <cell r="H2824">
            <v>3135</v>
          </cell>
          <cell r="I2824">
            <v>948093.84276315791</v>
          </cell>
        </row>
        <row r="2825">
          <cell r="C2825" t="str">
            <v>Vật liệu</v>
          </cell>
          <cell r="G2825">
            <v>3135</v>
          </cell>
        </row>
        <row r="2826">
          <cell r="B2826">
            <v>9</v>
          </cell>
          <cell r="C2826" t="str">
            <v>+ Giẻ lau</v>
          </cell>
          <cell r="D2826" t="str">
            <v>Kg</v>
          </cell>
          <cell r="E2826">
            <v>0.04</v>
          </cell>
          <cell r="F2826">
            <v>9500</v>
          </cell>
          <cell r="G2826">
            <v>380</v>
          </cell>
        </row>
        <row r="2827">
          <cell r="B2827">
            <v>1</v>
          </cell>
          <cell r="C2827" t="str">
            <v>+ Cồn công nghiệp</v>
          </cell>
          <cell r="D2827" t="str">
            <v>kg</v>
          </cell>
          <cell r="E2827">
            <v>0.28999999999999998</v>
          </cell>
          <cell r="F2827">
            <v>9500</v>
          </cell>
          <cell r="G2827">
            <v>2755</v>
          </cell>
        </row>
        <row r="2828">
          <cell r="C2828" t="str">
            <v>Nhân công</v>
          </cell>
          <cell r="G2828">
            <v>948093.84276315791</v>
          </cell>
        </row>
        <row r="2829">
          <cell r="B2829" t="str">
            <v>NC1407</v>
          </cell>
          <cell r="C2829" t="str">
            <v>+ Nhân công bậc 4,0/7</v>
          </cell>
          <cell r="D2829" t="str">
            <v>Công</v>
          </cell>
          <cell r="E2829">
            <v>4.87</v>
          </cell>
          <cell r="F2829">
            <v>194680.46052631579</v>
          </cell>
          <cell r="G2829">
            <v>948093.84276315791</v>
          </cell>
        </row>
        <row r="2830">
          <cell r="A2830" t="str">
            <v>D3.1857</v>
          </cell>
          <cell r="C2830" t="str">
            <v>Lắp đặt sứ chuỗi néo kép dây dẫn, chuỗi  =&lt; 2x21 bát, Chiều cao lắp đặt sứ =&lt; 60m</v>
          </cell>
          <cell r="D2830" t="str">
            <v>chuỗi</v>
          </cell>
          <cell r="H2830">
            <v>3135</v>
          </cell>
          <cell r="I2830">
            <v>1045434.0730263158</v>
          </cell>
        </row>
        <row r="2831">
          <cell r="C2831" t="str">
            <v>Vật liệu</v>
          </cell>
          <cell r="G2831">
            <v>3135</v>
          </cell>
        </row>
        <row r="2832">
          <cell r="B2832">
            <v>9</v>
          </cell>
          <cell r="C2832" t="str">
            <v>+ Giẻ lau</v>
          </cell>
          <cell r="D2832" t="str">
            <v>Kg</v>
          </cell>
          <cell r="E2832">
            <v>0.04</v>
          </cell>
          <cell r="F2832">
            <v>9500</v>
          </cell>
          <cell r="G2832">
            <v>380</v>
          </cell>
        </row>
        <row r="2833">
          <cell r="B2833">
            <v>1</v>
          </cell>
          <cell r="C2833" t="str">
            <v>+ Cồn công nghiệp</v>
          </cell>
          <cell r="D2833" t="str">
            <v>kg</v>
          </cell>
          <cell r="E2833">
            <v>0.28999999999999998</v>
          </cell>
          <cell r="F2833">
            <v>9500</v>
          </cell>
          <cell r="G2833">
            <v>2755</v>
          </cell>
        </row>
        <row r="2834">
          <cell r="C2834" t="str">
            <v>Nhân công</v>
          </cell>
          <cell r="G2834">
            <v>1045434.0730263158</v>
          </cell>
        </row>
        <row r="2835">
          <cell r="B2835" t="str">
            <v>NC1407</v>
          </cell>
          <cell r="C2835" t="str">
            <v>+ Nhân công bậc 4,0/7</v>
          </cell>
          <cell r="D2835" t="str">
            <v>Công</v>
          </cell>
          <cell r="E2835">
            <v>5.37</v>
          </cell>
          <cell r="F2835">
            <v>194680.46052631579</v>
          </cell>
          <cell r="G2835">
            <v>1045434.0730263158</v>
          </cell>
        </row>
        <row r="2836">
          <cell r="A2836" t="str">
            <v>D3.1867</v>
          </cell>
          <cell r="C2836" t="str">
            <v>Lắp đặt sứ chuỗi néo kép dây dẫn, chuỗi  =&lt; 2x21 bát, Chiều cao lắp đặt sứ =&lt; 60m</v>
          </cell>
          <cell r="D2836" t="str">
            <v>chuỗi</v>
          </cell>
          <cell r="H2836">
            <v>3135</v>
          </cell>
          <cell r="I2836">
            <v>1148614.7171052631</v>
          </cell>
        </row>
        <row r="2837">
          <cell r="C2837" t="str">
            <v>Vật liệu</v>
          </cell>
          <cell r="G2837">
            <v>3135</v>
          </cell>
        </row>
        <row r="2838">
          <cell r="B2838">
            <v>9</v>
          </cell>
          <cell r="C2838" t="str">
            <v>+ Giẻ lau</v>
          </cell>
          <cell r="D2838" t="str">
            <v>Kg</v>
          </cell>
          <cell r="E2838">
            <v>0.04</v>
          </cell>
          <cell r="F2838">
            <v>9500</v>
          </cell>
          <cell r="G2838">
            <v>380</v>
          </cell>
        </row>
        <row r="2839">
          <cell r="B2839">
            <v>1</v>
          </cell>
          <cell r="C2839" t="str">
            <v>+ Cồn công nghiệp</v>
          </cell>
          <cell r="D2839" t="str">
            <v>kg</v>
          </cell>
          <cell r="E2839">
            <v>0.28999999999999998</v>
          </cell>
          <cell r="F2839">
            <v>9500</v>
          </cell>
          <cell r="G2839">
            <v>2755</v>
          </cell>
        </row>
        <row r="2840">
          <cell r="C2840" t="str">
            <v>Nhân công</v>
          </cell>
          <cell r="G2840">
            <v>1148614.7171052631</v>
          </cell>
        </row>
        <row r="2841">
          <cell r="B2841" t="str">
            <v>NC1407</v>
          </cell>
          <cell r="C2841" t="str">
            <v>+ Nhân công bậc 4,0/7</v>
          </cell>
          <cell r="D2841" t="str">
            <v>Công</v>
          </cell>
          <cell r="E2841">
            <v>5.9</v>
          </cell>
          <cell r="F2841">
            <v>194680.46052631579</v>
          </cell>
          <cell r="G2841">
            <v>1148614.7171052631</v>
          </cell>
        </row>
        <row r="2842">
          <cell r="A2842" t="str">
            <v>D3.1877</v>
          </cell>
          <cell r="C2842" t="str">
            <v>Lắp đặt sứ chuỗi néo kép dây dẫn, chuỗi  =&lt; 2x21 bát, Chiều cao lắp đặt sứ =&lt; 85m</v>
          </cell>
          <cell r="D2842" t="str">
            <v>chuỗi</v>
          </cell>
          <cell r="H2842">
            <v>3135</v>
          </cell>
          <cell r="I2842">
            <v>1321880.3269736841</v>
          </cell>
        </row>
        <row r="2843">
          <cell r="C2843" t="str">
            <v>Vật liệu</v>
          </cell>
          <cell r="G2843">
            <v>3135</v>
          </cell>
        </row>
        <row r="2844">
          <cell r="B2844">
            <v>9</v>
          </cell>
          <cell r="C2844" t="str">
            <v>+ Giẻ lau</v>
          </cell>
          <cell r="D2844" t="str">
            <v>Kg</v>
          </cell>
          <cell r="E2844">
            <v>0.04</v>
          </cell>
          <cell r="F2844">
            <v>9500</v>
          </cell>
          <cell r="G2844">
            <v>380</v>
          </cell>
        </row>
        <row r="2845">
          <cell r="B2845">
            <v>1</v>
          </cell>
          <cell r="C2845" t="str">
            <v>+ Cồn công nghiệp</v>
          </cell>
          <cell r="D2845" t="str">
            <v>kg</v>
          </cell>
          <cell r="E2845">
            <v>0.28999999999999998</v>
          </cell>
          <cell r="F2845">
            <v>9500</v>
          </cell>
          <cell r="G2845">
            <v>2755</v>
          </cell>
        </row>
        <row r="2846">
          <cell r="C2846" t="str">
            <v>Nhân công</v>
          </cell>
          <cell r="G2846">
            <v>1321880.3269736841</v>
          </cell>
        </row>
        <row r="2847">
          <cell r="B2847" t="str">
            <v>NC1407</v>
          </cell>
          <cell r="C2847" t="str">
            <v>+ Nhân công bậc 4,0/7</v>
          </cell>
          <cell r="D2847" t="str">
            <v>Công</v>
          </cell>
          <cell r="E2847">
            <v>6.79</v>
          </cell>
          <cell r="F2847">
            <v>194680.46052631579</v>
          </cell>
          <cell r="G2847">
            <v>1321880.3269736841</v>
          </cell>
        </row>
        <row r="2848">
          <cell r="A2848" t="str">
            <v>D3.1887</v>
          </cell>
          <cell r="C2848" t="str">
            <v>Lắp đặt sứ chuỗi néo kép dây dẫn, chuỗi  =&lt; 2x21 bát, Chiều cao lắp đặt sứ =&lt; 100m</v>
          </cell>
          <cell r="D2848" t="str">
            <v>chuỗi</v>
          </cell>
          <cell r="H2848">
            <v>3135</v>
          </cell>
          <cell r="I2848">
            <v>1518507.5921052631</v>
          </cell>
        </row>
        <row r="2849">
          <cell r="C2849" t="str">
            <v>Vật liệu</v>
          </cell>
          <cell r="G2849">
            <v>3135</v>
          </cell>
        </row>
        <row r="2850">
          <cell r="B2850">
            <v>9</v>
          </cell>
          <cell r="C2850" t="str">
            <v>+ Giẻ lau</v>
          </cell>
          <cell r="D2850" t="str">
            <v>Kg</v>
          </cell>
          <cell r="E2850">
            <v>0.04</v>
          </cell>
          <cell r="F2850">
            <v>9500</v>
          </cell>
          <cell r="G2850">
            <v>380</v>
          </cell>
        </row>
        <row r="2851">
          <cell r="B2851">
            <v>1</v>
          </cell>
          <cell r="C2851" t="str">
            <v>+ Cồn công nghiệp</v>
          </cell>
          <cell r="D2851" t="str">
            <v>kg</v>
          </cell>
          <cell r="E2851">
            <v>0.28999999999999998</v>
          </cell>
          <cell r="F2851">
            <v>9500</v>
          </cell>
          <cell r="G2851">
            <v>2755</v>
          </cell>
        </row>
        <row r="2852">
          <cell r="C2852" t="str">
            <v>Nhân công</v>
          </cell>
          <cell r="G2852">
            <v>1518507.5921052631</v>
          </cell>
        </row>
        <row r="2853">
          <cell r="B2853" t="str">
            <v>NC1407</v>
          </cell>
          <cell r="C2853" t="str">
            <v>+ Nhân công bậc 4,0/7</v>
          </cell>
          <cell r="D2853" t="str">
            <v>Công</v>
          </cell>
          <cell r="E2853">
            <v>7.8</v>
          </cell>
          <cell r="F2853">
            <v>194680.46052631579</v>
          </cell>
          <cell r="G2853">
            <v>1518507.5921052631</v>
          </cell>
        </row>
        <row r="2854">
          <cell r="A2854" t="str">
            <v>D3.1818</v>
          </cell>
          <cell r="C2854" t="str">
            <v>Lắp đặt sứ chuỗi néo kép dây dẫn, chuỗi  &gt; 2x21 bát, Chiều cao lắp đặt sứ =&lt; 20m</v>
          </cell>
          <cell r="D2854" t="str">
            <v>chuỗi</v>
          </cell>
          <cell r="H2854">
            <v>3705</v>
          </cell>
          <cell r="I2854">
            <v>856594.02631578955</v>
          </cell>
        </row>
        <row r="2855">
          <cell r="C2855" t="str">
            <v>Vật liệu</v>
          </cell>
          <cell r="G2855">
            <v>3705</v>
          </cell>
        </row>
        <row r="2856">
          <cell r="B2856">
            <v>9</v>
          </cell>
          <cell r="C2856" t="str">
            <v>+ Giẻ lau</v>
          </cell>
          <cell r="D2856" t="str">
            <v>Kg</v>
          </cell>
          <cell r="E2856">
            <v>0.04</v>
          </cell>
          <cell r="F2856">
            <v>9500</v>
          </cell>
          <cell r="G2856">
            <v>380</v>
          </cell>
        </row>
        <row r="2857">
          <cell r="B2857">
            <v>1</v>
          </cell>
          <cell r="C2857" t="str">
            <v>+ Cồn công nghiệp</v>
          </cell>
          <cell r="D2857" t="str">
            <v>kg</v>
          </cell>
          <cell r="E2857">
            <v>0.35</v>
          </cell>
          <cell r="F2857">
            <v>9500</v>
          </cell>
          <cell r="G2857">
            <v>3325</v>
          </cell>
        </row>
        <row r="2858">
          <cell r="C2858" t="str">
            <v>Nhân công</v>
          </cell>
          <cell r="G2858">
            <v>856594.02631578955</v>
          </cell>
        </row>
        <row r="2859">
          <cell r="B2859" t="str">
            <v>NC1407</v>
          </cell>
          <cell r="C2859" t="str">
            <v>+ Nhân công bậc 4,0/7</v>
          </cell>
          <cell r="D2859" t="str">
            <v>Công</v>
          </cell>
          <cell r="E2859">
            <v>4.4000000000000004</v>
          </cell>
          <cell r="F2859">
            <v>194680.46052631579</v>
          </cell>
          <cell r="G2859">
            <v>856594.02631578955</v>
          </cell>
        </row>
        <row r="2860">
          <cell r="A2860" t="str">
            <v>D3.1828</v>
          </cell>
          <cell r="C2860" t="str">
            <v>Lắp đặt sứ chuỗi néo kép dây dẫn, chuỗi  &gt; 2x21 bát, Chiều cao lắp đặt sứ =&lt; 30m</v>
          </cell>
          <cell r="D2860" t="str">
            <v>chuỗi</v>
          </cell>
          <cell r="H2860">
            <v>3705</v>
          </cell>
          <cell r="I2860">
            <v>897476.92302631587</v>
          </cell>
        </row>
        <row r="2861">
          <cell r="C2861" t="str">
            <v>Vật liệu</v>
          </cell>
          <cell r="G2861">
            <v>3705</v>
          </cell>
        </row>
        <row r="2862">
          <cell r="B2862">
            <v>9</v>
          </cell>
          <cell r="C2862" t="str">
            <v>+ Giẻ lau</v>
          </cell>
          <cell r="D2862" t="str">
            <v>Kg</v>
          </cell>
          <cell r="E2862">
            <v>0.04</v>
          </cell>
          <cell r="F2862">
            <v>9500</v>
          </cell>
          <cell r="G2862">
            <v>380</v>
          </cell>
        </row>
        <row r="2863">
          <cell r="B2863">
            <v>1</v>
          </cell>
          <cell r="C2863" t="str">
            <v>+ Cồn công nghiệp</v>
          </cell>
          <cell r="D2863" t="str">
            <v>kg</v>
          </cell>
          <cell r="E2863">
            <v>0.35</v>
          </cell>
          <cell r="F2863">
            <v>9500</v>
          </cell>
          <cell r="G2863">
            <v>3325</v>
          </cell>
        </row>
        <row r="2864">
          <cell r="C2864" t="str">
            <v>Nhân công</v>
          </cell>
          <cell r="G2864">
            <v>897476.92302631587</v>
          </cell>
        </row>
        <row r="2865">
          <cell r="B2865" t="str">
            <v>NC1407</v>
          </cell>
          <cell r="C2865" t="str">
            <v>+ Nhân công bậc 4,0/7</v>
          </cell>
          <cell r="D2865" t="str">
            <v>Công</v>
          </cell>
          <cell r="E2865">
            <v>4.6100000000000003</v>
          </cell>
          <cell r="F2865">
            <v>194680.46052631579</v>
          </cell>
          <cell r="G2865">
            <v>897476.92302631587</v>
          </cell>
        </row>
        <row r="2866">
          <cell r="A2866" t="str">
            <v>D3.1838</v>
          </cell>
          <cell r="C2866" t="str">
            <v>Lắp đặt sứ chuỗi néo kép dây dẫn, chuỗi  &gt; 2x21 bát, Chiều cao lắp đặt sứ =&lt; 40m</v>
          </cell>
          <cell r="D2866" t="str">
            <v>chuỗi</v>
          </cell>
          <cell r="H2866">
            <v>3705</v>
          </cell>
          <cell r="I2866">
            <v>1022072.4177631579</v>
          </cell>
        </row>
        <row r="2867">
          <cell r="C2867" t="str">
            <v>Vật liệu</v>
          </cell>
          <cell r="G2867">
            <v>3705</v>
          </cell>
        </row>
        <row r="2868">
          <cell r="B2868">
            <v>9</v>
          </cell>
          <cell r="C2868" t="str">
            <v>+ Giẻ lau</v>
          </cell>
          <cell r="D2868" t="str">
            <v>Kg</v>
          </cell>
          <cell r="E2868">
            <v>0.04</v>
          </cell>
          <cell r="F2868">
            <v>9500</v>
          </cell>
          <cell r="G2868">
            <v>380</v>
          </cell>
        </row>
        <row r="2869">
          <cell r="B2869">
            <v>1</v>
          </cell>
          <cell r="C2869" t="str">
            <v>+ Cồn công nghiệp</v>
          </cell>
          <cell r="D2869" t="str">
            <v>kg</v>
          </cell>
          <cell r="E2869">
            <v>0.35</v>
          </cell>
          <cell r="F2869">
            <v>9500</v>
          </cell>
          <cell r="G2869">
            <v>3325</v>
          </cell>
        </row>
        <row r="2870">
          <cell r="C2870" t="str">
            <v>Nhân công</v>
          </cell>
          <cell r="G2870">
            <v>1022072.4177631579</v>
          </cell>
        </row>
        <row r="2871">
          <cell r="B2871" t="str">
            <v>NC1407</v>
          </cell>
          <cell r="C2871" t="str">
            <v>+ Nhân công bậc 4,0/7</v>
          </cell>
          <cell r="D2871" t="str">
            <v>Công</v>
          </cell>
          <cell r="E2871">
            <v>5.25</v>
          </cell>
          <cell r="F2871">
            <v>194680.46052631579</v>
          </cell>
          <cell r="G2871">
            <v>1022072.4177631579</v>
          </cell>
        </row>
        <row r="2872">
          <cell r="A2872" t="str">
            <v>D3.1848</v>
          </cell>
          <cell r="C2872" t="str">
            <v>Lắp đặt sứ chuỗi néo kép dây dẫn, chuỗi  &gt; 2x21 bát, Chiều cao lắp đặt sứ =&lt; 50m</v>
          </cell>
          <cell r="D2872" t="str">
            <v>chuỗi</v>
          </cell>
          <cell r="H2872">
            <v>3705</v>
          </cell>
          <cell r="I2872">
            <v>1136933.8894736841</v>
          </cell>
        </row>
        <row r="2873">
          <cell r="C2873" t="str">
            <v>Vật liệu</v>
          </cell>
          <cell r="G2873">
            <v>3705</v>
          </cell>
        </row>
        <row r="2874">
          <cell r="B2874">
            <v>9</v>
          </cell>
          <cell r="C2874" t="str">
            <v>+ Giẻ lau</v>
          </cell>
          <cell r="D2874" t="str">
            <v>Kg</v>
          </cell>
          <cell r="E2874">
            <v>0.04</v>
          </cell>
          <cell r="F2874">
            <v>9500</v>
          </cell>
          <cell r="G2874">
            <v>380</v>
          </cell>
        </row>
        <row r="2875">
          <cell r="B2875">
            <v>1</v>
          </cell>
          <cell r="C2875" t="str">
            <v>+ Cồn công nghiệp</v>
          </cell>
          <cell r="D2875" t="str">
            <v>kg</v>
          </cell>
          <cell r="E2875">
            <v>0.35</v>
          </cell>
          <cell r="F2875">
            <v>9500</v>
          </cell>
          <cell r="G2875">
            <v>3325</v>
          </cell>
        </row>
        <row r="2876">
          <cell r="C2876" t="str">
            <v>Nhân công</v>
          </cell>
          <cell r="G2876">
            <v>1136933.8894736841</v>
          </cell>
        </row>
        <row r="2877">
          <cell r="B2877" t="str">
            <v>NC1407</v>
          </cell>
          <cell r="C2877" t="str">
            <v>+ Nhân công bậc 4,0/7</v>
          </cell>
          <cell r="D2877" t="str">
            <v>Công</v>
          </cell>
          <cell r="E2877">
            <v>5.84</v>
          </cell>
          <cell r="F2877">
            <v>194680.46052631579</v>
          </cell>
          <cell r="G2877">
            <v>1136933.8894736841</v>
          </cell>
        </row>
        <row r="2878">
          <cell r="A2878" t="str">
            <v>D3.1858</v>
          </cell>
          <cell r="C2878" t="str">
            <v>Lắp đặt sứ chuỗi néo kép dây dẫn, chuỗi  &gt; 2x21 bát, Chiều cao lắp đặt sứ =&lt; 60m</v>
          </cell>
          <cell r="D2878" t="str">
            <v>chuỗi</v>
          </cell>
          <cell r="H2878">
            <v>3705</v>
          </cell>
          <cell r="I2878">
            <v>1253742.1657894738</v>
          </cell>
        </row>
        <row r="2879">
          <cell r="C2879" t="str">
            <v>Vật liệu</v>
          </cell>
          <cell r="G2879">
            <v>3705</v>
          </cell>
        </row>
        <row r="2880">
          <cell r="B2880">
            <v>9</v>
          </cell>
          <cell r="C2880" t="str">
            <v>+ Giẻ lau</v>
          </cell>
          <cell r="D2880" t="str">
            <v>Kg</v>
          </cell>
          <cell r="E2880">
            <v>0.04</v>
          </cell>
          <cell r="F2880">
            <v>9500</v>
          </cell>
          <cell r="G2880">
            <v>380</v>
          </cell>
        </row>
        <row r="2881">
          <cell r="B2881">
            <v>1</v>
          </cell>
          <cell r="C2881" t="str">
            <v>+ Cồn công nghiệp</v>
          </cell>
          <cell r="D2881" t="str">
            <v>kg</v>
          </cell>
          <cell r="E2881">
            <v>0.35</v>
          </cell>
          <cell r="F2881">
            <v>9500</v>
          </cell>
          <cell r="G2881">
            <v>3325</v>
          </cell>
        </row>
        <row r="2882">
          <cell r="C2882" t="str">
            <v>Nhân công</v>
          </cell>
          <cell r="G2882">
            <v>1253742.1657894738</v>
          </cell>
        </row>
        <row r="2883">
          <cell r="B2883" t="str">
            <v>NC1407</v>
          </cell>
          <cell r="C2883" t="str">
            <v>+ Nhân công bậc 4,0/7</v>
          </cell>
          <cell r="D2883" t="str">
            <v>Công</v>
          </cell>
          <cell r="E2883">
            <v>6.44</v>
          </cell>
          <cell r="F2883">
            <v>194680.46052631579</v>
          </cell>
          <cell r="G2883">
            <v>1253742.1657894738</v>
          </cell>
        </row>
        <row r="2884">
          <cell r="A2884" t="str">
            <v>D3.1868</v>
          </cell>
          <cell r="C2884" t="str">
            <v>Lắp đặt sứ chuỗi néo kép dây dẫn, chuỗi  &gt; 2x21 bát, Chiều cao lắp đặt sứ =&lt; 60m</v>
          </cell>
          <cell r="D2884" t="str">
            <v>chuỗi</v>
          </cell>
          <cell r="H2884">
            <v>3705</v>
          </cell>
          <cell r="I2884">
            <v>1380284.465131579</v>
          </cell>
        </row>
        <row r="2885">
          <cell r="C2885" t="str">
            <v>Vật liệu</v>
          </cell>
          <cell r="G2885">
            <v>3705</v>
          </cell>
        </row>
        <row r="2886">
          <cell r="B2886">
            <v>9</v>
          </cell>
          <cell r="C2886" t="str">
            <v>+ Giẻ lau</v>
          </cell>
          <cell r="D2886" t="str">
            <v>Kg</v>
          </cell>
          <cell r="E2886">
            <v>0.04</v>
          </cell>
          <cell r="F2886">
            <v>9500</v>
          </cell>
          <cell r="G2886">
            <v>380</v>
          </cell>
        </row>
        <row r="2887">
          <cell r="B2887">
            <v>1</v>
          </cell>
          <cell r="C2887" t="str">
            <v>+ Cồn công nghiệp</v>
          </cell>
          <cell r="D2887" t="str">
            <v>kg</v>
          </cell>
          <cell r="E2887">
            <v>0.35</v>
          </cell>
          <cell r="F2887">
            <v>9500</v>
          </cell>
          <cell r="G2887">
            <v>3325</v>
          </cell>
        </row>
        <row r="2888">
          <cell r="C2888" t="str">
            <v>Nhân công</v>
          </cell>
          <cell r="G2888">
            <v>1380284.465131579</v>
          </cell>
        </row>
        <row r="2889">
          <cell r="B2889" t="str">
            <v>NC1407</v>
          </cell>
          <cell r="C2889" t="str">
            <v>+ Nhân công bậc 4,0/7</v>
          </cell>
          <cell r="D2889" t="str">
            <v>Công</v>
          </cell>
          <cell r="E2889">
            <v>7.09</v>
          </cell>
          <cell r="F2889">
            <v>194680.46052631579</v>
          </cell>
          <cell r="G2889">
            <v>1380284.465131579</v>
          </cell>
        </row>
        <row r="2890">
          <cell r="A2890" t="str">
            <v>D3.1878</v>
          </cell>
          <cell r="C2890" t="str">
            <v>Lắp đặt sứ chuỗi néo kép dây dẫn, chuỗi  &gt; 2x21 bát, Chiều cao lắp đặt sứ =&lt; 85m</v>
          </cell>
          <cell r="D2890" t="str">
            <v>chuỗi</v>
          </cell>
          <cell r="H2890">
            <v>3705</v>
          </cell>
          <cell r="I2890">
            <v>1588592.5578947368</v>
          </cell>
        </row>
        <row r="2891">
          <cell r="C2891" t="str">
            <v>Vật liệu</v>
          </cell>
          <cell r="G2891">
            <v>3705</v>
          </cell>
        </row>
        <row r="2892">
          <cell r="B2892">
            <v>9</v>
          </cell>
          <cell r="C2892" t="str">
            <v>+ Giẻ lau</v>
          </cell>
          <cell r="D2892" t="str">
            <v>Kg</v>
          </cell>
          <cell r="E2892">
            <v>0.04</v>
          </cell>
          <cell r="F2892">
            <v>9500</v>
          </cell>
          <cell r="G2892">
            <v>380</v>
          </cell>
        </row>
        <row r="2893">
          <cell r="B2893">
            <v>1</v>
          </cell>
          <cell r="C2893" t="str">
            <v>+ Cồn công nghiệp</v>
          </cell>
          <cell r="D2893" t="str">
            <v>kg</v>
          </cell>
          <cell r="E2893">
            <v>0.35</v>
          </cell>
          <cell r="F2893">
            <v>9500</v>
          </cell>
          <cell r="G2893">
            <v>3325</v>
          </cell>
        </row>
        <row r="2894">
          <cell r="C2894" t="str">
            <v>Nhân công</v>
          </cell>
          <cell r="G2894">
            <v>1588592.5578947368</v>
          </cell>
        </row>
        <row r="2895">
          <cell r="B2895" t="str">
            <v>NC1407</v>
          </cell>
          <cell r="C2895" t="str">
            <v>+ Nhân công bậc 4,0/7</v>
          </cell>
          <cell r="D2895" t="str">
            <v>Công</v>
          </cell>
          <cell r="E2895">
            <v>8.16</v>
          </cell>
          <cell r="F2895">
            <v>194680.46052631579</v>
          </cell>
          <cell r="G2895">
            <v>1588592.5578947368</v>
          </cell>
        </row>
        <row r="2896">
          <cell r="A2896" t="str">
            <v>D3.1888</v>
          </cell>
          <cell r="C2896" t="str">
            <v>Lắp đặt sứ chuỗi néo kép dây dẫn, chuỗi  &gt; 2x21 bát, Chiều cao lắp đặt sứ =&lt; 100m</v>
          </cell>
          <cell r="D2896" t="str">
            <v>chuỗi</v>
          </cell>
          <cell r="H2896">
            <v>3705</v>
          </cell>
          <cell r="I2896">
            <v>1828049.5243421053</v>
          </cell>
        </row>
        <row r="2897">
          <cell r="C2897" t="str">
            <v>Vật liệu</v>
          </cell>
          <cell r="G2897">
            <v>3705</v>
          </cell>
        </row>
        <row r="2898">
          <cell r="B2898">
            <v>9</v>
          </cell>
          <cell r="C2898" t="str">
            <v>+ Giẻ lau</v>
          </cell>
          <cell r="D2898" t="str">
            <v>Kg</v>
          </cell>
          <cell r="E2898">
            <v>0.04</v>
          </cell>
          <cell r="F2898">
            <v>9500</v>
          </cell>
          <cell r="G2898">
            <v>380</v>
          </cell>
        </row>
        <row r="2899">
          <cell r="B2899">
            <v>1</v>
          </cell>
          <cell r="C2899" t="str">
            <v>+ Cồn công nghiệp</v>
          </cell>
          <cell r="D2899" t="str">
            <v>kg</v>
          </cell>
          <cell r="E2899">
            <v>0.35</v>
          </cell>
          <cell r="F2899">
            <v>9500</v>
          </cell>
          <cell r="G2899">
            <v>3325</v>
          </cell>
        </row>
        <row r="2900">
          <cell r="C2900" t="str">
            <v>Nhân công</v>
          </cell>
          <cell r="G2900">
            <v>1828049.5243421053</v>
          </cell>
        </row>
        <row r="2901">
          <cell r="B2901" t="str">
            <v>NC1407</v>
          </cell>
          <cell r="C2901" t="str">
            <v>+ Nhân công bậc 4,0/7</v>
          </cell>
          <cell r="D2901" t="str">
            <v>Công</v>
          </cell>
          <cell r="E2901">
            <v>9.39</v>
          </cell>
          <cell r="F2901">
            <v>194680.46052631579</v>
          </cell>
          <cell r="G2901">
            <v>1828049.5243421053</v>
          </cell>
        </row>
        <row r="2902">
          <cell r="A2902" t="str">
            <v>D3.1911</v>
          </cell>
          <cell r="C2902" t="str">
            <v>Lắp đặt sứ chuỗi đảo pha dây dẫn, chuỗi =&lt; 8 bát, Chiều cao lắp đặt sứ =&lt; 80m</v>
          </cell>
          <cell r="D2902" t="str">
            <v>chuỗi</v>
          </cell>
          <cell r="H2902">
            <v>1425</v>
          </cell>
          <cell r="I2902">
            <v>130435.90855263159</v>
          </cell>
        </row>
        <row r="2903">
          <cell r="C2903" t="str">
            <v>Vật liệu</v>
          </cell>
          <cell r="G2903">
            <v>1425</v>
          </cell>
        </row>
        <row r="2904">
          <cell r="B2904">
            <v>9</v>
          </cell>
          <cell r="C2904" t="str">
            <v>+ Giẻ lau</v>
          </cell>
          <cell r="D2904" t="str">
            <v>Kg</v>
          </cell>
          <cell r="E2904">
            <v>0.03</v>
          </cell>
          <cell r="F2904">
            <v>9500</v>
          </cell>
          <cell r="G2904">
            <v>285</v>
          </cell>
        </row>
        <row r="2905">
          <cell r="B2905">
            <v>1</v>
          </cell>
          <cell r="C2905" t="str">
            <v>+ Cồn công nghiệp</v>
          </cell>
          <cell r="D2905" t="str">
            <v>kg</v>
          </cell>
          <cell r="E2905">
            <v>0.12</v>
          </cell>
          <cell r="F2905">
            <v>9500</v>
          </cell>
          <cell r="G2905">
            <v>1140</v>
          </cell>
        </row>
        <row r="2906">
          <cell r="C2906" t="str">
            <v>Nhân công</v>
          </cell>
          <cell r="G2906">
            <v>130435.90855263159</v>
          </cell>
        </row>
        <row r="2907">
          <cell r="B2907" t="str">
            <v>NC1407</v>
          </cell>
          <cell r="C2907" t="str">
            <v>+ Nhân công bậc 4,0/7</v>
          </cell>
          <cell r="D2907" t="str">
            <v>Công</v>
          </cell>
          <cell r="E2907">
            <v>0.67</v>
          </cell>
          <cell r="F2907">
            <v>194680.46052631579</v>
          </cell>
          <cell r="G2907">
            <v>130435.90855263159</v>
          </cell>
        </row>
        <row r="2908">
          <cell r="A2908" t="str">
            <v>D3.1921</v>
          </cell>
          <cell r="C2908" t="str">
            <v>Lắp đặt sứ chuỗi đảo pha dây dẫn, chuỗi =&lt; 8 bát, Chiều cao lắp đặt sứ =&lt; 30m</v>
          </cell>
          <cell r="D2908" t="str">
            <v>chuỗi</v>
          </cell>
          <cell r="H2908">
            <v>1425</v>
          </cell>
          <cell r="I2908">
            <v>136276.32236842104</v>
          </cell>
        </row>
        <row r="2909">
          <cell r="C2909" t="str">
            <v>Vật liệu</v>
          </cell>
          <cell r="G2909">
            <v>1425</v>
          </cell>
        </row>
        <row r="2910">
          <cell r="B2910">
            <v>9</v>
          </cell>
          <cell r="C2910" t="str">
            <v>+ Giẻ lau</v>
          </cell>
          <cell r="D2910" t="str">
            <v>Kg</v>
          </cell>
          <cell r="E2910">
            <v>0.03</v>
          </cell>
          <cell r="F2910">
            <v>9500</v>
          </cell>
          <cell r="G2910">
            <v>285</v>
          </cell>
        </row>
        <row r="2911">
          <cell r="B2911">
            <v>1</v>
          </cell>
          <cell r="C2911" t="str">
            <v>+ Cồn công nghiệp</v>
          </cell>
          <cell r="D2911" t="str">
            <v>kg</v>
          </cell>
          <cell r="E2911">
            <v>0.12</v>
          </cell>
          <cell r="F2911">
            <v>9500</v>
          </cell>
          <cell r="G2911">
            <v>1140</v>
          </cell>
        </row>
        <row r="2912">
          <cell r="C2912" t="str">
            <v>Nhân công</v>
          </cell>
          <cell r="G2912">
            <v>136276.32236842104</v>
          </cell>
        </row>
        <row r="2913">
          <cell r="B2913" t="str">
            <v>NC1407</v>
          </cell>
          <cell r="C2913" t="str">
            <v>+ Nhân công bậc 4,0/7</v>
          </cell>
          <cell r="D2913" t="str">
            <v>Công</v>
          </cell>
          <cell r="E2913">
            <v>0.7</v>
          </cell>
          <cell r="F2913">
            <v>194680.46052631579</v>
          </cell>
          <cell r="G2913">
            <v>136276.32236842104</v>
          </cell>
        </row>
        <row r="2914">
          <cell r="A2914" t="str">
            <v>D3.1931</v>
          </cell>
          <cell r="C2914" t="str">
            <v>Lắp đặt sứ chuỗi đảo pha dây dẫn, chuỗi =&lt; 8 bát, Chiều cao lắp đặt sứ =&lt; 40m</v>
          </cell>
          <cell r="D2914" t="str">
            <v>chuỗi</v>
          </cell>
          <cell r="H2914">
            <v>1425</v>
          </cell>
          <cell r="I2914">
            <v>149903.95460526316</v>
          </cell>
        </row>
        <row r="2915">
          <cell r="C2915" t="str">
            <v>Vật liệu</v>
          </cell>
          <cell r="G2915">
            <v>1425</v>
          </cell>
        </row>
        <row r="2916">
          <cell r="B2916">
            <v>9</v>
          </cell>
          <cell r="C2916" t="str">
            <v>+ Giẻ lau</v>
          </cell>
          <cell r="D2916" t="str">
            <v>Kg</v>
          </cell>
          <cell r="E2916">
            <v>0.03</v>
          </cell>
          <cell r="F2916">
            <v>9500</v>
          </cell>
          <cell r="G2916">
            <v>285</v>
          </cell>
        </row>
        <row r="2917">
          <cell r="B2917">
            <v>1</v>
          </cell>
          <cell r="C2917" t="str">
            <v>+ Cồn công nghiệp</v>
          </cell>
          <cell r="D2917" t="str">
            <v>kg</v>
          </cell>
          <cell r="E2917">
            <v>0.12</v>
          </cell>
          <cell r="F2917">
            <v>9500</v>
          </cell>
          <cell r="G2917">
            <v>1140</v>
          </cell>
        </row>
        <row r="2918">
          <cell r="C2918" t="str">
            <v>Nhân công</v>
          </cell>
          <cell r="G2918">
            <v>149903.95460526316</v>
          </cell>
        </row>
        <row r="2919">
          <cell r="B2919" t="str">
            <v>NC1407</v>
          </cell>
          <cell r="C2919" t="str">
            <v>+ Nhân công bậc 4,0/7</v>
          </cell>
          <cell r="D2919" t="str">
            <v>Công</v>
          </cell>
          <cell r="E2919">
            <v>0.77</v>
          </cell>
          <cell r="F2919">
            <v>194680.46052631579</v>
          </cell>
          <cell r="G2919">
            <v>149903.95460526316</v>
          </cell>
        </row>
        <row r="2920">
          <cell r="A2920" t="str">
            <v>D3.1912</v>
          </cell>
          <cell r="C2920" t="str">
            <v>Lắp đặt sứ chuỗi đảo pha dây dẫn, chuỗi =&lt; 11 bát, Chiều cao lắp đặt sứ =&lt; 50m</v>
          </cell>
          <cell r="D2920" t="str">
            <v>chuỗi</v>
          </cell>
          <cell r="H2920">
            <v>1852.5</v>
          </cell>
          <cell r="I2920">
            <v>184946.4375</v>
          </cell>
        </row>
        <row r="2921">
          <cell r="C2921" t="str">
            <v>Vật liệu</v>
          </cell>
          <cell r="G2921">
            <v>1852.5</v>
          </cell>
        </row>
        <row r="2922">
          <cell r="B2922">
            <v>9</v>
          </cell>
          <cell r="C2922" t="str">
            <v>+ Giẻ lau</v>
          </cell>
          <cell r="D2922" t="str">
            <v>Kg</v>
          </cell>
          <cell r="E2922">
            <v>0.03</v>
          </cell>
          <cell r="F2922">
            <v>9500</v>
          </cell>
          <cell r="G2922">
            <v>285</v>
          </cell>
        </row>
        <row r="2923">
          <cell r="B2923">
            <v>1</v>
          </cell>
          <cell r="C2923" t="str">
            <v>+ Cồn công nghiệp</v>
          </cell>
          <cell r="D2923" t="str">
            <v>kg</v>
          </cell>
          <cell r="E2923">
            <v>0.16500000000000001</v>
          </cell>
          <cell r="F2923">
            <v>9500</v>
          </cell>
          <cell r="G2923">
            <v>1567.5</v>
          </cell>
        </row>
        <row r="2924">
          <cell r="C2924" t="str">
            <v>Nhân công</v>
          </cell>
          <cell r="G2924">
            <v>184946.4375</v>
          </cell>
        </row>
        <row r="2925">
          <cell r="B2925" t="str">
            <v>NC1407</v>
          </cell>
          <cell r="C2925" t="str">
            <v>+ Nhân công bậc 4,0/7</v>
          </cell>
          <cell r="D2925" t="str">
            <v>Công</v>
          </cell>
          <cell r="E2925">
            <v>0.95</v>
          </cell>
          <cell r="F2925">
            <v>194680.46052631579</v>
          </cell>
          <cell r="G2925">
            <v>184946.4375</v>
          </cell>
        </row>
        <row r="2926">
          <cell r="A2926" t="str">
            <v>D3.1922</v>
          </cell>
          <cell r="C2926" t="str">
            <v>Lắp đặt sứ chuỗi đảo pha dây dẫn, chuỗi =&lt; 11 bát, Chiều cao lắp đặt sứ =&lt; 60m</v>
          </cell>
          <cell r="D2926" t="str">
            <v>chuỗi</v>
          </cell>
          <cell r="H2926">
            <v>1852.5</v>
          </cell>
          <cell r="I2926">
            <v>194680.46052631579</v>
          </cell>
        </row>
        <row r="2927">
          <cell r="C2927" t="str">
            <v>Vật liệu</v>
          </cell>
          <cell r="G2927">
            <v>1852.5</v>
          </cell>
        </row>
        <row r="2928">
          <cell r="B2928">
            <v>9</v>
          </cell>
          <cell r="C2928" t="str">
            <v>+ Giẻ lau</v>
          </cell>
          <cell r="D2928" t="str">
            <v>Kg</v>
          </cell>
          <cell r="E2928">
            <v>0.03</v>
          </cell>
          <cell r="F2928">
            <v>9500</v>
          </cell>
          <cell r="G2928">
            <v>285</v>
          </cell>
        </row>
        <row r="2929">
          <cell r="B2929">
            <v>1</v>
          </cell>
          <cell r="C2929" t="str">
            <v>+ Cồn công nghiệp</v>
          </cell>
          <cell r="D2929" t="str">
            <v>kg</v>
          </cell>
          <cell r="E2929">
            <v>0.16500000000000001</v>
          </cell>
          <cell r="F2929">
            <v>9500</v>
          </cell>
          <cell r="G2929">
            <v>1567.5</v>
          </cell>
        </row>
        <row r="2930">
          <cell r="C2930" t="str">
            <v>Nhân công</v>
          </cell>
          <cell r="G2930">
            <v>194680.46052631579</v>
          </cell>
        </row>
        <row r="2931">
          <cell r="B2931" t="str">
            <v>NC1407</v>
          </cell>
          <cell r="C2931" t="str">
            <v>+ Nhân công bậc 4,0/7</v>
          </cell>
          <cell r="D2931" t="str">
            <v>Công</v>
          </cell>
          <cell r="E2931">
            <v>1</v>
          </cell>
          <cell r="F2931">
            <v>194680.46052631579</v>
          </cell>
          <cell r="G2931">
            <v>194680.46052631579</v>
          </cell>
        </row>
        <row r="2932">
          <cell r="A2932" t="str">
            <v>D3.1932</v>
          </cell>
          <cell r="C2932" t="str">
            <v>Lắp đặt sứ chuỗi đảo pha dây dẫn, chuỗi =&lt; 11 bát, Chiều cao lắp đặt sứ =&lt; 70m</v>
          </cell>
          <cell r="D2932" t="str">
            <v>chuỗi</v>
          </cell>
          <cell r="H2932">
            <v>1852.5</v>
          </cell>
          <cell r="I2932">
            <v>212201.70197368422</v>
          </cell>
        </row>
        <row r="2933">
          <cell r="C2933" t="str">
            <v>Vật liệu</v>
          </cell>
          <cell r="G2933">
            <v>1852.5</v>
          </cell>
        </row>
        <row r="2934">
          <cell r="B2934">
            <v>9</v>
          </cell>
          <cell r="C2934" t="str">
            <v>+ Giẻ lau</v>
          </cell>
          <cell r="D2934" t="str">
            <v>Kg</v>
          </cell>
          <cell r="E2934">
            <v>0.03</v>
          </cell>
          <cell r="F2934">
            <v>9500</v>
          </cell>
          <cell r="G2934">
            <v>285</v>
          </cell>
        </row>
        <row r="2935">
          <cell r="B2935">
            <v>1</v>
          </cell>
          <cell r="C2935" t="str">
            <v>+ Cồn công nghiệp</v>
          </cell>
          <cell r="D2935" t="str">
            <v>kg</v>
          </cell>
          <cell r="E2935">
            <v>0.16500000000000001</v>
          </cell>
          <cell r="F2935">
            <v>9500</v>
          </cell>
          <cell r="G2935">
            <v>1567.5</v>
          </cell>
        </row>
        <row r="2936">
          <cell r="C2936" t="str">
            <v>Nhân công</v>
          </cell>
          <cell r="G2936">
            <v>212201.70197368422</v>
          </cell>
        </row>
        <row r="2937">
          <cell r="B2937" t="str">
            <v>NC1407</v>
          </cell>
          <cell r="C2937" t="str">
            <v>+ Nhân công bậc 4,0/7</v>
          </cell>
          <cell r="D2937" t="str">
            <v>Công</v>
          </cell>
          <cell r="E2937">
            <v>1.0900000000000001</v>
          </cell>
          <cell r="F2937">
            <v>194680.46052631579</v>
          </cell>
          <cell r="G2937">
            <v>212201.70197368422</v>
          </cell>
        </row>
        <row r="2938">
          <cell r="A2938" t="str">
            <v>D3.1913</v>
          </cell>
          <cell r="C2938" t="str">
            <v>Lắp đặt sứ chuỗi đảo pha dây dẫn, chuỗi =&lt; 14 bát, Chiều cao lắp đặt sứ =&lt; 85m</v>
          </cell>
          <cell r="D2938" t="str">
            <v>chuỗi</v>
          </cell>
          <cell r="H2938">
            <v>2185</v>
          </cell>
          <cell r="I2938">
            <v>233616.55263157893</v>
          </cell>
        </row>
        <row r="2939">
          <cell r="C2939" t="str">
            <v>Vật liệu</v>
          </cell>
          <cell r="G2939">
            <v>2185</v>
          </cell>
        </row>
        <row r="2940">
          <cell r="B2940">
            <v>9</v>
          </cell>
          <cell r="C2940" t="str">
            <v>+ Giẻ lau</v>
          </cell>
          <cell r="D2940" t="str">
            <v>Kg</v>
          </cell>
          <cell r="E2940">
            <v>0.03</v>
          </cell>
          <cell r="F2940">
            <v>9500</v>
          </cell>
          <cell r="G2940">
            <v>285</v>
          </cell>
        </row>
        <row r="2941">
          <cell r="B2941">
            <v>1</v>
          </cell>
          <cell r="C2941" t="str">
            <v>+ Cồn công nghiệp</v>
          </cell>
          <cell r="D2941" t="str">
            <v>kg</v>
          </cell>
          <cell r="E2941">
            <v>0.2</v>
          </cell>
          <cell r="F2941">
            <v>9500</v>
          </cell>
          <cell r="G2941">
            <v>1900</v>
          </cell>
        </row>
        <row r="2942">
          <cell r="C2942" t="str">
            <v>Nhân công</v>
          </cell>
          <cell r="G2942">
            <v>233616.55263157893</v>
          </cell>
        </row>
        <row r="2943">
          <cell r="B2943" t="str">
            <v>NC1407</v>
          </cell>
          <cell r="C2943" t="str">
            <v>+ Nhân công bậc 4,0/7</v>
          </cell>
          <cell r="D2943" t="str">
            <v>Công</v>
          </cell>
          <cell r="E2943">
            <v>1.2</v>
          </cell>
          <cell r="F2943">
            <v>194680.46052631579</v>
          </cell>
          <cell r="G2943">
            <v>233616.55263157893</v>
          </cell>
        </row>
        <row r="2944">
          <cell r="A2944" t="str">
            <v>D3.1923</v>
          </cell>
          <cell r="C2944" t="str">
            <v>Lắp đặt sứ chuỗi đảo pha dây dẫn, chuỗi =&lt; 14 bát, Chiều cao lắp đặt sứ =&lt; 100m</v>
          </cell>
          <cell r="D2944" t="str">
            <v>chuỗi</v>
          </cell>
          <cell r="H2944">
            <v>2185</v>
          </cell>
          <cell r="I2944">
            <v>245297.38026315789</v>
          </cell>
        </row>
        <row r="2945">
          <cell r="C2945" t="str">
            <v>Vật liệu</v>
          </cell>
          <cell r="G2945">
            <v>2185</v>
          </cell>
        </row>
        <row r="2946">
          <cell r="B2946">
            <v>9</v>
          </cell>
          <cell r="C2946" t="str">
            <v>+ Giẻ lau</v>
          </cell>
          <cell r="D2946" t="str">
            <v>Kg</v>
          </cell>
          <cell r="E2946">
            <v>0.03</v>
          </cell>
          <cell r="F2946">
            <v>9500</v>
          </cell>
          <cell r="G2946">
            <v>285</v>
          </cell>
        </row>
        <row r="2947">
          <cell r="B2947">
            <v>1</v>
          </cell>
          <cell r="C2947" t="str">
            <v>+ Cồn công nghiệp</v>
          </cell>
          <cell r="D2947" t="str">
            <v>kg</v>
          </cell>
          <cell r="E2947">
            <v>0.2</v>
          </cell>
          <cell r="F2947">
            <v>9500</v>
          </cell>
          <cell r="G2947">
            <v>1900</v>
          </cell>
        </row>
        <row r="2948">
          <cell r="C2948" t="str">
            <v>Nhân công</v>
          </cell>
          <cell r="G2948">
            <v>245297.38026315789</v>
          </cell>
        </row>
        <row r="2949">
          <cell r="B2949" t="str">
            <v>NC1407</v>
          </cell>
          <cell r="C2949" t="str">
            <v>+ Nhân công bậc 4,0/7</v>
          </cell>
          <cell r="D2949" t="str">
            <v>Công</v>
          </cell>
          <cell r="E2949">
            <v>1.26</v>
          </cell>
          <cell r="F2949">
            <v>194680.46052631579</v>
          </cell>
          <cell r="G2949">
            <v>245297.38026315789</v>
          </cell>
        </row>
        <row r="2950">
          <cell r="A2950" t="str">
            <v>D3.1933</v>
          </cell>
          <cell r="C2950" t="str">
            <v>Lắp đặt sứ chuỗi đảo pha dây dẫn, chuỗi =&lt; 14 bát, Chiều cao lắp đặt sứ =&lt; 20m</v>
          </cell>
          <cell r="D2950" t="str">
            <v>chuỗi</v>
          </cell>
          <cell r="H2950">
            <v>2185</v>
          </cell>
          <cell r="I2950">
            <v>268659.03552631574</v>
          </cell>
        </row>
        <row r="2951">
          <cell r="C2951" t="str">
            <v>Vật liệu</v>
          </cell>
          <cell r="G2951">
            <v>2185</v>
          </cell>
        </row>
        <row r="2952">
          <cell r="B2952">
            <v>9</v>
          </cell>
          <cell r="C2952" t="str">
            <v>+ Giẻ lau</v>
          </cell>
          <cell r="D2952" t="str">
            <v>Kg</v>
          </cell>
          <cell r="E2952">
            <v>0.03</v>
          </cell>
          <cell r="F2952">
            <v>9500</v>
          </cell>
          <cell r="G2952">
            <v>285</v>
          </cell>
        </row>
        <row r="2953">
          <cell r="B2953">
            <v>1</v>
          </cell>
          <cell r="C2953" t="str">
            <v>+ Cồn công nghiệp</v>
          </cell>
          <cell r="D2953" t="str">
            <v>kg</v>
          </cell>
          <cell r="E2953">
            <v>0.2</v>
          </cell>
          <cell r="F2953">
            <v>9500</v>
          </cell>
          <cell r="G2953">
            <v>1900</v>
          </cell>
        </row>
        <row r="2954">
          <cell r="C2954" t="str">
            <v>Nhân công</v>
          </cell>
          <cell r="G2954">
            <v>268659.03552631574</v>
          </cell>
        </row>
        <row r="2955">
          <cell r="B2955" t="str">
            <v>NC1407</v>
          </cell>
          <cell r="C2955" t="str">
            <v>+ Nhân công bậc 4,0/7</v>
          </cell>
          <cell r="D2955" t="str">
            <v>Công</v>
          </cell>
          <cell r="E2955">
            <v>1.38</v>
          </cell>
          <cell r="F2955">
            <v>194680.46052631579</v>
          </cell>
          <cell r="G2955">
            <v>268659.03552631574</v>
          </cell>
        </row>
        <row r="2956">
          <cell r="A2956" t="str">
            <v>D3.1914</v>
          </cell>
          <cell r="C2956" t="str">
            <v>Lắp đặt sứ chuỗi đảo pha dây dẫn, chuỗi =&lt; 18 bát, Chiều cao lắp đặt sứ =&lt; 30m</v>
          </cell>
          <cell r="D2956" t="str">
            <v>chuỗi</v>
          </cell>
          <cell r="H2956">
            <v>2660</v>
          </cell>
          <cell r="I2956">
            <v>280339.8631578947</v>
          </cell>
        </row>
        <row r="2957">
          <cell r="C2957" t="str">
            <v>Vật liệu</v>
          </cell>
          <cell r="G2957">
            <v>2660</v>
          </cell>
        </row>
        <row r="2958">
          <cell r="B2958">
            <v>9</v>
          </cell>
          <cell r="C2958" t="str">
            <v>+ Giẻ lau</v>
          </cell>
          <cell r="D2958" t="str">
            <v>Kg</v>
          </cell>
          <cell r="E2958">
            <v>0.04</v>
          </cell>
          <cell r="F2958">
            <v>9500</v>
          </cell>
          <cell r="G2958">
            <v>380</v>
          </cell>
        </row>
        <row r="2959">
          <cell r="B2959">
            <v>1</v>
          </cell>
          <cell r="C2959" t="str">
            <v>+ Cồn công nghiệp</v>
          </cell>
          <cell r="D2959" t="str">
            <v>kg</v>
          </cell>
          <cell r="E2959">
            <v>0.24</v>
          </cell>
          <cell r="F2959">
            <v>9500</v>
          </cell>
          <cell r="G2959">
            <v>2280</v>
          </cell>
        </row>
        <row r="2960">
          <cell r="C2960" t="str">
            <v>Nhân công</v>
          </cell>
          <cell r="G2960">
            <v>280339.8631578947</v>
          </cell>
        </row>
        <row r="2961">
          <cell r="B2961" t="str">
            <v>NC1407</v>
          </cell>
          <cell r="C2961" t="str">
            <v>+ Nhân công bậc 4,0/7</v>
          </cell>
          <cell r="D2961" t="str">
            <v>Công</v>
          </cell>
          <cell r="E2961">
            <v>1.44</v>
          </cell>
          <cell r="F2961">
            <v>194680.46052631579</v>
          </cell>
          <cell r="G2961">
            <v>280339.8631578947</v>
          </cell>
        </row>
        <row r="2962">
          <cell r="A2962" t="str">
            <v>D3.1924</v>
          </cell>
          <cell r="C2962" t="str">
            <v>Lắp đặt sứ chuỗi đảo pha dây dẫn, chuỗi =&lt; 18 bát, Chiều cao lắp đặt sứ =&lt; 40m</v>
          </cell>
          <cell r="D2962" t="str">
            <v>chuỗi</v>
          </cell>
          <cell r="H2962">
            <v>2660</v>
          </cell>
          <cell r="I2962">
            <v>293967.49539473682</v>
          </cell>
        </row>
        <row r="2963">
          <cell r="C2963" t="str">
            <v>Vật liệu</v>
          </cell>
          <cell r="G2963">
            <v>2660</v>
          </cell>
        </row>
        <row r="2964">
          <cell r="B2964">
            <v>9</v>
          </cell>
          <cell r="C2964" t="str">
            <v>+ Giẻ lau</v>
          </cell>
          <cell r="D2964" t="str">
            <v>Kg</v>
          </cell>
          <cell r="E2964">
            <v>0.04</v>
          </cell>
          <cell r="F2964">
            <v>9500</v>
          </cell>
          <cell r="G2964">
            <v>380</v>
          </cell>
        </row>
        <row r="2965">
          <cell r="B2965">
            <v>1</v>
          </cell>
          <cell r="C2965" t="str">
            <v>+ Cồn công nghiệp</v>
          </cell>
          <cell r="D2965" t="str">
            <v>kg</v>
          </cell>
          <cell r="E2965">
            <v>0.24</v>
          </cell>
          <cell r="F2965">
            <v>9500</v>
          </cell>
          <cell r="G2965">
            <v>2280</v>
          </cell>
        </row>
        <row r="2966">
          <cell r="C2966" t="str">
            <v>Nhân công</v>
          </cell>
          <cell r="G2966">
            <v>293967.49539473682</v>
          </cell>
        </row>
        <row r="2967">
          <cell r="B2967" t="str">
            <v>NC1407</v>
          </cell>
          <cell r="C2967" t="str">
            <v>+ Nhân công bậc 4,0/7</v>
          </cell>
          <cell r="D2967" t="str">
            <v>Công</v>
          </cell>
          <cell r="E2967">
            <v>1.51</v>
          </cell>
          <cell r="F2967">
            <v>194680.46052631579</v>
          </cell>
          <cell r="G2967">
            <v>293967.49539473682</v>
          </cell>
        </row>
        <row r="2968">
          <cell r="A2968" t="str">
            <v>D3.1934</v>
          </cell>
          <cell r="C2968" t="str">
            <v>Lắp đặt sứ chuỗi đảo pha dây dẫn, chuỗi =&lt; 18 bát, Chiều cao lắp đặt sứ =&lt; 180m</v>
          </cell>
          <cell r="D2968" t="str">
            <v>chuỗi</v>
          </cell>
          <cell r="H2968">
            <v>2660</v>
          </cell>
          <cell r="I2968">
            <v>321222.75986842101</v>
          </cell>
        </row>
        <row r="2969">
          <cell r="C2969" t="str">
            <v>Vật liệu</v>
          </cell>
          <cell r="G2969">
            <v>2660</v>
          </cell>
        </row>
        <row r="2970">
          <cell r="B2970">
            <v>9</v>
          </cell>
          <cell r="C2970" t="str">
            <v>+ Giẻ lau</v>
          </cell>
          <cell r="D2970" t="str">
            <v>Kg</v>
          </cell>
          <cell r="E2970">
            <v>0.04</v>
          </cell>
          <cell r="F2970">
            <v>9500</v>
          </cell>
          <cell r="G2970">
            <v>380</v>
          </cell>
        </row>
        <row r="2971">
          <cell r="B2971">
            <v>1</v>
          </cell>
          <cell r="C2971" t="str">
            <v>+ Cồn công nghiệp</v>
          </cell>
          <cell r="D2971" t="str">
            <v>kg</v>
          </cell>
          <cell r="E2971">
            <v>0.24</v>
          </cell>
          <cell r="F2971">
            <v>9500</v>
          </cell>
          <cell r="G2971">
            <v>2280</v>
          </cell>
        </row>
        <row r="2972">
          <cell r="C2972" t="str">
            <v>Nhân công</v>
          </cell>
          <cell r="G2972">
            <v>321222.75986842101</v>
          </cell>
        </row>
        <row r="2973">
          <cell r="B2973" t="str">
            <v>NC1407</v>
          </cell>
          <cell r="C2973" t="str">
            <v>+ Nhân công bậc 4,0/7</v>
          </cell>
          <cell r="D2973" t="str">
            <v>Công</v>
          </cell>
          <cell r="E2973">
            <v>1.65</v>
          </cell>
          <cell r="F2973">
            <v>194680.46052631579</v>
          </cell>
          <cell r="G2973">
            <v>321222.75986842101</v>
          </cell>
        </row>
        <row r="2974">
          <cell r="A2974" t="str">
            <v>D3.1915</v>
          </cell>
          <cell r="C2974" t="str">
            <v>Lắp đặt sứ chuỗi đảo pha dây dẫn, chuỗi =&lt; 21 bát, Chiều cao lắp đặt sứ =&lt; 60m</v>
          </cell>
          <cell r="D2974" t="str">
            <v>chuỗi</v>
          </cell>
          <cell r="H2974">
            <v>3135</v>
          </cell>
          <cell r="I2974">
            <v>334850.39210526313</v>
          </cell>
        </row>
        <row r="2975">
          <cell r="C2975" t="str">
            <v>Vật liệu</v>
          </cell>
          <cell r="G2975">
            <v>3135</v>
          </cell>
        </row>
        <row r="2976">
          <cell r="B2976">
            <v>9</v>
          </cell>
          <cell r="C2976" t="str">
            <v>+ Giẻ lau</v>
          </cell>
          <cell r="D2976" t="str">
            <v>Kg</v>
          </cell>
          <cell r="E2976">
            <v>0.04</v>
          </cell>
          <cell r="F2976">
            <v>9500</v>
          </cell>
          <cell r="G2976">
            <v>380</v>
          </cell>
        </row>
        <row r="2977">
          <cell r="B2977">
            <v>1</v>
          </cell>
          <cell r="C2977" t="str">
            <v>+ Cồn công nghiệp</v>
          </cell>
          <cell r="D2977" t="str">
            <v>kg</v>
          </cell>
          <cell r="E2977">
            <v>0.28999999999999998</v>
          </cell>
          <cell r="F2977">
            <v>9500</v>
          </cell>
          <cell r="G2977">
            <v>2755</v>
          </cell>
        </row>
        <row r="2978">
          <cell r="C2978" t="str">
            <v>Nhân công</v>
          </cell>
          <cell r="G2978">
            <v>334850.39210526313</v>
          </cell>
        </row>
        <row r="2979">
          <cell r="B2979" t="str">
            <v>NC1407</v>
          </cell>
          <cell r="C2979" t="str">
            <v>+ Nhân công bậc 4,0/7</v>
          </cell>
          <cell r="D2979" t="str">
            <v>Công</v>
          </cell>
          <cell r="E2979">
            <v>1.72</v>
          </cell>
          <cell r="F2979">
            <v>194680.46052631579</v>
          </cell>
          <cell r="G2979">
            <v>334850.39210526313</v>
          </cell>
        </row>
        <row r="2980">
          <cell r="A2980" t="str">
            <v>D3.1925</v>
          </cell>
          <cell r="C2980" t="str">
            <v>Lắp đặt sứ chuỗi đảo pha dây dẫn, chuỗi =&lt; 21 bát, Chiều cao lắp đặt sứ =&lt; 70m</v>
          </cell>
          <cell r="D2980" t="str">
            <v>chuỗi</v>
          </cell>
          <cell r="H2980">
            <v>3135</v>
          </cell>
          <cell r="I2980">
            <v>354318.43815789477</v>
          </cell>
        </row>
        <row r="2981">
          <cell r="C2981" t="str">
            <v>Vật liệu</v>
          </cell>
          <cell r="G2981">
            <v>3135</v>
          </cell>
        </row>
        <row r="2982">
          <cell r="B2982">
            <v>9</v>
          </cell>
          <cell r="C2982" t="str">
            <v>+ Giẻ lau</v>
          </cell>
          <cell r="D2982" t="str">
            <v>Kg</v>
          </cell>
          <cell r="E2982">
            <v>0.04</v>
          </cell>
          <cell r="F2982">
            <v>9500</v>
          </cell>
          <cell r="G2982">
            <v>380</v>
          </cell>
        </row>
        <row r="2983">
          <cell r="B2983">
            <v>1</v>
          </cell>
          <cell r="C2983" t="str">
            <v>+ Cồn công nghiệp</v>
          </cell>
          <cell r="D2983" t="str">
            <v>kg</v>
          </cell>
          <cell r="E2983">
            <v>0.28999999999999998</v>
          </cell>
          <cell r="F2983">
            <v>9500</v>
          </cell>
          <cell r="G2983">
            <v>2755</v>
          </cell>
        </row>
        <row r="2984">
          <cell r="C2984" t="str">
            <v>Nhân công</v>
          </cell>
          <cell r="G2984">
            <v>354318.43815789477</v>
          </cell>
        </row>
        <row r="2985">
          <cell r="B2985" t="str">
            <v>NC1407</v>
          </cell>
          <cell r="C2985" t="str">
            <v>+ Nhân công bậc 4,0/7</v>
          </cell>
          <cell r="D2985" t="str">
            <v>Công</v>
          </cell>
          <cell r="E2985">
            <v>1.82</v>
          </cell>
          <cell r="F2985">
            <v>194680.46052631579</v>
          </cell>
          <cell r="G2985">
            <v>354318.43815789477</v>
          </cell>
        </row>
        <row r="2986">
          <cell r="A2986" t="str">
            <v>D3.1935</v>
          </cell>
          <cell r="C2986" t="str">
            <v>Lắp đặt sứ chuỗi đảo pha dây dẫn, chuỗi =&lt; 21 bát, Chiều cao lắp đặt sứ =&lt; 85m</v>
          </cell>
          <cell r="D2986" t="str">
            <v>chuỗi</v>
          </cell>
          <cell r="H2986">
            <v>3135</v>
          </cell>
          <cell r="I2986">
            <v>383520.50723684207</v>
          </cell>
        </row>
        <row r="2987">
          <cell r="C2987" t="str">
            <v>Vật liệu</v>
          </cell>
          <cell r="G2987">
            <v>3135</v>
          </cell>
        </row>
        <row r="2988">
          <cell r="B2988">
            <v>9</v>
          </cell>
          <cell r="C2988" t="str">
            <v>+ Giẻ lau</v>
          </cell>
          <cell r="D2988" t="str">
            <v>Kg</v>
          </cell>
          <cell r="E2988">
            <v>0.04</v>
          </cell>
          <cell r="F2988">
            <v>9500</v>
          </cell>
          <cell r="G2988">
            <v>380</v>
          </cell>
        </row>
        <row r="2989">
          <cell r="B2989">
            <v>1</v>
          </cell>
          <cell r="C2989" t="str">
            <v>+ Cồn công nghiệp</v>
          </cell>
          <cell r="D2989" t="str">
            <v>kg</v>
          </cell>
          <cell r="E2989">
            <v>0.28999999999999998</v>
          </cell>
          <cell r="F2989">
            <v>9500</v>
          </cell>
          <cell r="G2989">
            <v>2755</v>
          </cell>
        </row>
        <row r="2990">
          <cell r="C2990" t="str">
            <v>Nhân công</v>
          </cell>
          <cell r="G2990">
            <v>383520.50723684207</v>
          </cell>
        </row>
        <row r="2991">
          <cell r="B2991" t="str">
            <v>NC1407</v>
          </cell>
          <cell r="C2991" t="str">
            <v>+ Nhân công bậc 4,0/7</v>
          </cell>
          <cell r="D2991" t="str">
            <v>Công</v>
          </cell>
          <cell r="E2991">
            <v>1.97</v>
          </cell>
          <cell r="F2991">
            <v>194680.46052631579</v>
          </cell>
          <cell r="G2991">
            <v>383520.50723684207</v>
          </cell>
        </row>
        <row r="2992">
          <cell r="A2992" t="str">
            <v>D3.1916</v>
          </cell>
          <cell r="C2992" t="str">
            <v>Lắp đặt sứ chuỗi đảo pha dây dẫn, chuỗi &gt; 21 bát, Chiều cao lắp đặt sứ =&lt; 100m</v>
          </cell>
          <cell r="D2992" t="str">
            <v>chuỗi</v>
          </cell>
          <cell r="H2992">
            <v>3705</v>
          </cell>
          <cell r="I2992">
            <v>402988.55328947364</v>
          </cell>
        </row>
        <row r="2993">
          <cell r="C2993" t="str">
            <v>Vật liệu</v>
          </cell>
          <cell r="G2993">
            <v>3705</v>
          </cell>
        </row>
        <row r="2994">
          <cell r="B2994">
            <v>9</v>
          </cell>
          <cell r="C2994" t="str">
            <v>+ Giẻ lau</v>
          </cell>
          <cell r="D2994" t="str">
            <v>Kg</v>
          </cell>
          <cell r="E2994">
            <v>0.04</v>
          </cell>
          <cell r="F2994">
            <v>9500</v>
          </cell>
          <cell r="G2994">
            <v>380</v>
          </cell>
        </row>
        <row r="2995">
          <cell r="B2995">
            <v>1</v>
          </cell>
          <cell r="C2995" t="str">
            <v>+ Cồn công nghiệp</v>
          </cell>
          <cell r="D2995" t="str">
            <v>kg</v>
          </cell>
          <cell r="E2995">
            <v>0.35</v>
          </cell>
          <cell r="F2995">
            <v>9500</v>
          </cell>
          <cell r="G2995">
            <v>3325</v>
          </cell>
        </row>
        <row r="2996">
          <cell r="C2996" t="str">
            <v>Nhân công</v>
          </cell>
          <cell r="G2996">
            <v>402988.55328947364</v>
          </cell>
        </row>
        <row r="2997">
          <cell r="B2997" t="str">
            <v>NC1407</v>
          </cell>
          <cell r="C2997" t="str">
            <v>+ Nhân công bậc 4,0/7</v>
          </cell>
          <cell r="D2997" t="str">
            <v>Công</v>
          </cell>
          <cell r="E2997">
            <v>2.0699999999999998</v>
          </cell>
          <cell r="F2997">
            <v>194680.46052631579</v>
          </cell>
          <cell r="G2997">
            <v>402988.55328947364</v>
          </cell>
        </row>
        <row r="2998">
          <cell r="A2998" t="str">
            <v>D3.1926</v>
          </cell>
          <cell r="C2998" t="str">
            <v>Lắp đặt sứ chuỗi đảo pha dây dẫn, chuỗi &gt; 21 bát, Chiều cao lắp đặt sứ =&lt; 20m</v>
          </cell>
          <cell r="D2998" t="str">
            <v>chuỗi</v>
          </cell>
          <cell r="H2998">
            <v>3705</v>
          </cell>
          <cell r="I2998">
            <v>424403.40394736844</v>
          </cell>
        </row>
        <row r="2999">
          <cell r="C2999" t="str">
            <v>Vật liệu</v>
          </cell>
          <cell r="G2999">
            <v>3705</v>
          </cell>
        </row>
        <row r="3000">
          <cell r="B3000">
            <v>9</v>
          </cell>
          <cell r="C3000" t="str">
            <v>+ Giẻ lau</v>
          </cell>
          <cell r="D3000" t="str">
            <v>Kg</v>
          </cell>
          <cell r="E3000">
            <v>0.04</v>
          </cell>
          <cell r="F3000">
            <v>9500</v>
          </cell>
          <cell r="G3000">
            <v>380</v>
          </cell>
        </row>
        <row r="3001">
          <cell r="B3001">
            <v>1</v>
          </cell>
          <cell r="C3001" t="str">
            <v>+ Cồn công nghiệp</v>
          </cell>
          <cell r="D3001" t="str">
            <v>kg</v>
          </cell>
          <cell r="E3001">
            <v>0.35</v>
          </cell>
          <cell r="F3001">
            <v>9500</v>
          </cell>
          <cell r="G3001">
            <v>3325</v>
          </cell>
        </row>
        <row r="3002">
          <cell r="C3002" t="str">
            <v>Nhân công</v>
          </cell>
          <cell r="G3002">
            <v>424403.40394736844</v>
          </cell>
        </row>
        <row r="3003">
          <cell r="B3003" t="str">
            <v>NC1407</v>
          </cell>
          <cell r="C3003" t="str">
            <v>+ Nhân công bậc 4,0/7</v>
          </cell>
          <cell r="D3003" t="str">
            <v>Công</v>
          </cell>
          <cell r="E3003">
            <v>2.1800000000000002</v>
          </cell>
          <cell r="F3003">
            <v>194680.46052631579</v>
          </cell>
          <cell r="G3003">
            <v>424403.40394736844</v>
          </cell>
        </row>
        <row r="3004">
          <cell r="A3004" t="str">
            <v>D3.1936</v>
          </cell>
          <cell r="C3004" t="str">
            <v>Lắp đặt sứ chuỗi đảo pha dây dẫn, chuỗi &gt; 21 bát, Chiều cao lắp đặt sứ =&lt; 30m</v>
          </cell>
          <cell r="D3004" t="str">
            <v>chuỗi</v>
          </cell>
          <cell r="H3004">
            <v>3705</v>
          </cell>
          <cell r="I3004">
            <v>461392.69144736842</v>
          </cell>
        </row>
        <row r="3005">
          <cell r="C3005" t="str">
            <v>Vật liệu</v>
          </cell>
          <cell r="G3005">
            <v>3705</v>
          </cell>
        </row>
        <row r="3006">
          <cell r="B3006">
            <v>9</v>
          </cell>
          <cell r="C3006" t="str">
            <v>+ Giẻ lau</v>
          </cell>
          <cell r="D3006" t="str">
            <v>Kg</v>
          </cell>
          <cell r="E3006">
            <v>0.04</v>
          </cell>
          <cell r="F3006">
            <v>9500</v>
          </cell>
          <cell r="G3006">
            <v>380</v>
          </cell>
        </row>
        <row r="3007">
          <cell r="B3007">
            <v>1</v>
          </cell>
          <cell r="C3007" t="str">
            <v>+ Cồn công nghiệp</v>
          </cell>
          <cell r="D3007" t="str">
            <v>kg</v>
          </cell>
          <cell r="E3007">
            <v>0.35</v>
          </cell>
          <cell r="F3007">
            <v>9500</v>
          </cell>
          <cell r="G3007">
            <v>3325</v>
          </cell>
        </row>
        <row r="3008">
          <cell r="C3008" t="str">
            <v>Nhân công</v>
          </cell>
          <cell r="G3008">
            <v>461392.69144736842</v>
          </cell>
        </row>
        <row r="3009">
          <cell r="B3009" t="str">
            <v>NC1407</v>
          </cell>
          <cell r="C3009" t="str">
            <v>+ Nhân công bậc 4,0/7</v>
          </cell>
          <cell r="D3009" t="str">
            <v>Công</v>
          </cell>
          <cell r="E3009">
            <v>2.37</v>
          </cell>
          <cell r="F3009">
            <v>194680.46052631579</v>
          </cell>
          <cell r="G3009">
            <v>461392.69144736842</v>
          </cell>
        </row>
        <row r="3010">
          <cell r="A3010" t="str">
            <v>D3.2111</v>
          </cell>
          <cell r="C3010" t="str">
            <v>Lắp đặt cách điện POLIME đứng trung thế và hạ thế dưới đất loại 6 đến 10Kv, Cột tròn</v>
          </cell>
          <cell r="D3010" t="str">
            <v>bộ chuỗi</v>
          </cell>
          <cell r="H3010">
            <v>8075</v>
          </cell>
          <cell r="I3010">
            <v>118755.08092105262</v>
          </cell>
        </row>
        <row r="3011">
          <cell r="C3011" t="str">
            <v>Vật liệu</v>
          </cell>
          <cell r="G3011">
            <v>8075</v>
          </cell>
        </row>
        <row r="3012">
          <cell r="B3012">
            <v>9</v>
          </cell>
          <cell r="C3012" t="str">
            <v>+ Giẻ lau</v>
          </cell>
          <cell r="D3012" t="str">
            <v>Kg</v>
          </cell>
          <cell r="E3012">
            <v>0.7</v>
          </cell>
          <cell r="F3012">
            <v>9500</v>
          </cell>
          <cell r="G3012">
            <v>6650</v>
          </cell>
        </row>
        <row r="3013">
          <cell r="B3013">
            <v>1</v>
          </cell>
          <cell r="C3013" t="str">
            <v>+ Cồn công nghiệp</v>
          </cell>
          <cell r="D3013" t="str">
            <v>kg</v>
          </cell>
          <cell r="E3013">
            <v>0.15</v>
          </cell>
          <cell r="F3013">
            <v>9500</v>
          </cell>
          <cell r="G3013">
            <v>1425</v>
          </cell>
        </row>
        <row r="3014">
          <cell r="C3014" t="str">
            <v>Nhân công</v>
          </cell>
          <cell r="G3014">
            <v>118755.08092105262</v>
          </cell>
        </row>
        <row r="3015">
          <cell r="B3015" t="str">
            <v>NC1407</v>
          </cell>
          <cell r="C3015" t="str">
            <v>+ Nhân công bậc 3,5/7</v>
          </cell>
          <cell r="D3015" t="str">
            <v>Công</v>
          </cell>
          <cell r="E3015">
            <v>0.61</v>
          </cell>
          <cell r="F3015">
            <v>194680.46052631579</v>
          </cell>
          <cell r="G3015">
            <v>118755.08092105262</v>
          </cell>
        </row>
        <row r="3016">
          <cell r="A3016" t="str">
            <v>D3.2112</v>
          </cell>
          <cell r="C3016" t="str">
            <v>Lắp đặt cách điện POLIME đứng  trung thế và hạ thế dưới đất loại 15 đến 22Kv,  Cột tròn</v>
          </cell>
          <cell r="D3016" t="str">
            <v>bộ chuỗi</v>
          </cell>
          <cell r="H3016">
            <v>8075</v>
          </cell>
          <cell r="I3016">
            <v>165478.39144736843</v>
          </cell>
        </row>
        <row r="3017">
          <cell r="C3017" t="str">
            <v>Vật liệu</v>
          </cell>
          <cell r="G3017">
            <v>8075</v>
          </cell>
        </row>
        <row r="3018">
          <cell r="B3018">
            <v>9</v>
          </cell>
          <cell r="C3018" t="str">
            <v>+ Giẻ lau</v>
          </cell>
          <cell r="D3018" t="str">
            <v>Kg</v>
          </cell>
          <cell r="E3018">
            <v>0.7</v>
          </cell>
          <cell r="F3018">
            <v>9500</v>
          </cell>
          <cell r="G3018">
            <v>6650</v>
          </cell>
        </row>
        <row r="3019">
          <cell r="B3019">
            <v>1</v>
          </cell>
          <cell r="C3019" t="str">
            <v>+ Cồn công nghiệp</v>
          </cell>
          <cell r="D3019" t="str">
            <v>kg</v>
          </cell>
          <cell r="E3019">
            <v>0.15</v>
          </cell>
          <cell r="F3019">
            <v>9500</v>
          </cell>
          <cell r="G3019">
            <v>1425</v>
          </cell>
        </row>
        <row r="3020">
          <cell r="C3020" t="str">
            <v>Nhân công</v>
          </cell>
          <cell r="G3020">
            <v>165478.39144736843</v>
          </cell>
        </row>
        <row r="3021">
          <cell r="B3021" t="str">
            <v>NC1407</v>
          </cell>
          <cell r="C3021" t="str">
            <v>+ Nhân công bậc 3,5/7</v>
          </cell>
          <cell r="D3021" t="str">
            <v>Công</v>
          </cell>
          <cell r="E3021">
            <v>0.85</v>
          </cell>
          <cell r="F3021">
            <v>194680.46052631579</v>
          </cell>
          <cell r="G3021">
            <v>165478.39144736843</v>
          </cell>
        </row>
        <row r="3022">
          <cell r="A3022" t="str">
            <v>D3.2113</v>
          </cell>
          <cell r="C3022" t="str">
            <v>Lắp đặt cách điện POLIME đứng  trung thế và hạ thếdưới đất loại 35Kv,  Cột tròn</v>
          </cell>
          <cell r="D3022" t="str">
            <v>bộ chuỗi</v>
          </cell>
          <cell r="H3022">
            <v>8075</v>
          </cell>
          <cell r="I3022">
            <v>208308.09276315791</v>
          </cell>
        </row>
        <row r="3023">
          <cell r="C3023" t="str">
            <v>Vật liệu</v>
          </cell>
          <cell r="G3023">
            <v>8075</v>
          </cell>
        </row>
        <row r="3024">
          <cell r="B3024">
            <v>9</v>
          </cell>
          <cell r="C3024" t="str">
            <v>+ Giẻ lau</v>
          </cell>
          <cell r="D3024" t="str">
            <v>Kg</v>
          </cell>
          <cell r="E3024">
            <v>0.7</v>
          </cell>
          <cell r="F3024">
            <v>9500</v>
          </cell>
          <cell r="G3024">
            <v>6650</v>
          </cell>
        </row>
        <row r="3025">
          <cell r="B3025">
            <v>1</v>
          </cell>
          <cell r="C3025" t="str">
            <v>+ Cồn công nghiệp</v>
          </cell>
          <cell r="D3025" t="str">
            <v>kg</v>
          </cell>
          <cell r="E3025">
            <v>0.15</v>
          </cell>
          <cell r="F3025">
            <v>9500</v>
          </cell>
          <cell r="G3025">
            <v>1425</v>
          </cell>
        </row>
        <row r="3026">
          <cell r="C3026" t="str">
            <v>Nhân công</v>
          </cell>
          <cell r="G3026">
            <v>208308.09276315791</v>
          </cell>
        </row>
        <row r="3027">
          <cell r="B3027" t="str">
            <v>NC1407</v>
          </cell>
          <cell r="C3027" t="str">
            <v>+ Nhân công bậc 3,5/7</v>
          </cell>
          <cell r="D3027" t="str">
            <v>Công</v>
          </cell>
          <cell r="E3027">
            <v>1.07</v>
          </cell>
          <cell r="F3027">
            <v>194680.46052631579</v>
          </cell>
          <cell r="G3027">
            <v>208308.09276315791</v>
          </cell>
        </row>
        <row r="3028">
          <cell r="A3028" t="str">
            <v>D3.2114</v>
          </cell>
          <cell r="C3028" t="str">
            <v>Lắp đặt cách điện POLIME đứng trung thế và hạ thế trên cột loại 6 đến 10Kv, Cột tròn</v>
          </cell>
          <cell r="D3028" t="str">
            <v>bộ chuỗi</v>
          </cell>
          <cell r="H3028">
            <v>8075</v>
          </cell>
          <cell r="I3028">
            <v>179106.02368421052</v>
          </cell>
        </row>
        <row r="3029">
          <cell r="C3029" t="str">
            <v>Vật liệu</v>
          </cell>
          <cell r="G3029">
            <v>8075</v>
          </cell>
        </row>
        <row r="3030">
          <cell r="B3030">
            <v>9</v>
          </cell>
          <cell r="C3030" t="str">
            <v>+ Giẻ lau</v>
          </cell>
          <cell r="D3030" t="str">
            <v>Kg</v>
          </cell>
          <cell r="E3030">
            <v>0.7</v>
          </cell>
          <cell r="F3030">
            <v>9500</v>
          </cell>
          <cell r="G3030">
            <v>6650</v>
          </cell>
        </row>
        <row r="3031">
          <cell r="B3031">
            <v>1</v>
          </cell>
          <cell r="C3031" t="str">
            <v>+ Cồn công nghiệp</v>
          </cell>
          <cell r="D3031" t="str">
            <v>kg</v>
          </cell>
          <cell r="E3031">
            <v>0.15</v>
          </cell>
          <cell r="F3031">
            <v>9500</v>
          </cell>
          <cell r="G3031">
            <v>1425</v>
          </cell>
        </row>
        <row r="3032">
          <cell r="C3032" t="str">
            <v>Nhân công</v>
          </cell>
          <cell r="G3032">
            <v>179106.02368421052</v>
          </cell>
        </row>
        <row r="3033">
          <cell r="B3033" t="str">
            <v>NC1407</v>
          </cell>
          <cell r="C3033" t="str">
            <v>+ Nhân công bậc 3,5/7</v>
          </cell>
          <cell r="D3033" t="str">
            <v>Công</v>
          </cell>
          <cell r="E3033">
            <v>0.92</v>
          </cell>
          <cell r="F3033">
            <v>194680.46052631579</v>
          </cell>
          <cell r="G3033">
            <v>179106.02368421052</v>
          </cell>
        </row>
        <row r="3034">
          <cell r="A3034" t="str">
            <v>D3.2115</v>
          </cell>
          <cell r="C3034" t="str">
            <v>Lắp đặt cách điện POLIME đứng trung thế và hạ thế trên cột loại 15 đến 22Kv,  Cột tròn</v>
          </cell>
          <cell r="D3034" t="str">
            <v>bộ chuỗi</v>
          </cell>
          <cell r="H3034">
            <v>8075</v>
          </cell>
          <cell r="I3034">
            <v>245297.38026315789</v>
          </cell>
        </row>
        <row r="3035">
          <cell r="C3035" t="str">
            <v>Vật liệu</v>
          </cell>
          <cell r="G3035">
            <v>8075</v>
          </cell>
        </row>
        <row r="3036">
          <cell r="B3036">
            <v>9</v>
          </cell>
          <cell r="C3036" t="str">
            <v>+ Giẻ lau</v>
          </cell>
          <cell r="D3036" t="str">
            <v>Kg</v>
          </cell>
          <cell r="E3036">
            <v>0.7</v>
          </cell>
          <cell r="F3036">
            <v>9500</v>
          </cell>
          <cell r="G3036">
            <v>6650</v>
          </cell>
        </row>
        <row r="3037">
          <cell r="B3037">
            <v>1</v>
          </cell>
          <cell r="C3037" t="str">
            <v>+ Cồn công nghiệp</v>
          </cell>
          <cell r="D3037" t="str">
            <v>kg</v>
          </cell>
          <cell r="E3037">
            <v>0.15</v>
          </cell>
          <cell r="F3037">
            <v>9500</v>
          </cell>
          <cell r="G3037">
            <v>1425</v>
          </cell>
        </row>
        <row r="3038">
          <cell r="C3038" t="str">
            <v>Nhân công</v>
          </cell>
          <cell r="G3038">
            <v>245297.38026315789</v>
          </cell>
        </row>
        <row r="3039">
          <cell r="B3039" t="str">
            <v>NC1407</v>
          </cell>
          <cell r="C3039" t="str">
            <v>+ Nhân công bậc 3,5/7</v>
          </cell>
          <cell r="D3039" t="str">
            <v>Công</v>
          </cell>
          <cell r="E3039">
            <v>1.26</v>
          </cell>
          <cell r="F3039">
            <v>194680.46052631579</v>
          </cell>
          <cell r="G3039">
            <v>245297.38026315789</v>
          </cell>
        </row>
        <row r="3040">
          <cell r="A3040" t="str">
            <v>D3.2116</v>
          </cell>
          <cell r="C3040" t="str">
            <v>Lắp đặt cách điện POLIME đứng trung thế và hạ thế trên cột loại 35Kv,  Cột tròn</v>
          </cell>
          <cell r="D3040" t="str">
            <v>bộ chuỗi</v>
          </cell>
          <cell r="H3040">
            <v>8075</v>
          </cell>
          <cell r="I3040">
            <v>313435.54144736845</v>
          </cell>
        </row>
        <row r="3041">
          <cell r="C3041" t="str">
            <v>Vật liệu</v>
          </cell>
          <cell r="G3041">
            <v>8075</v>
          </cell>
        </row>
        <row r="3042">
          <cell r="B3042">
            <v>9</v>
          </cell>
          <cell r="C3042" t="str">
            <v>+ Giẻ lau</v>
          </cell>
          <cell r="D3042" t="str">
            <v>Kg</v>
          </cell>
          <cell r="E3042">
            <v>0.7</v>
          </cell>
          <cell r="F3042">
            <v>9500</v>
          </cell>
          <cell r="G3042">
            <v>6650</v>
          </cell>
        </row>
        <row r="3043">
          <cell r="B3043">
            <v>1</v>
          </cell>
          <cell r="C3043" t="str">
            <v>+ Cồn công nghiệp</v>
          </cell>
          <cell r="D3043" t="str">
            <v>kg</v>
          </cell>
          <cell r="E3043">
            <v>0.15</v>
          </cell>
          <cell r="F3043">
            <v>9500</v>
          </cell>
          <cell r="G3043">
            <v>1425</v>
          </cell>
        </row>
        <row r="3044">
          <cell r="C3044" t="str">
            <v>Nhân công</v>
          </cell>
          <cell r="G3044">
            <v>313435.54144736845</v>
          </cell>
        </row>
        <row r="3045">
          <cell r="B3045" t="str">
            <v>NC1407</v>
          </cell>
          <cell r="C3045" t="str">
            <v>+ Nhân công bậc 3,5/7</v>
          </cell>
          <cell r="D3045" t="str">
            <v>Công</v>
          </cell>
          <cell r="E3045">
            <v>1.61</v>
          </cell>
          <cell r="F3045">
            <v>194680.46052631579</v>
          </cell>
          <cell r="G3045">
            <v>313435.54144736845</v>
          </cell>
        </row>
        <row r="3046">
          <cell r="A3046" t="str">
            <v>D3.2121</v>
          </cell>
          <cell r="C3046" t="str">
            <v>Lắp đặt cách điện POLIME đứng trung thế và hạ thế dưới đất loại 6 đến 10Kv, Cột vuông</v>
          </cell>
          <cell r="D3046" t="str">
            <v>bộ chuỗi</v>
          </cell>
          <cell r="H3046">
            <v>8075</v>
          </cell>
          <cell r="I3046">
            <v>95393.425657894739</v>
          </cell>
        </row>
        <row r="3047">
          <cell r="C3047" t="str">
            <v>Vật liệu</v>
          </cell>
          <cell r="G3047">
            <v>8075</v>
          </cell>
        </row>
        <row r="3048">
          <cell r="B3048">
            <v>9</v>
          </cell>
          <cell r="C3048" t="str">
            <v>+ Giẻ lau</v>
          </cell>
          <cell r="D3048" t="str">
            <v>Kg</v>
          </cell>
          <cell r="E3048">
            <v>0.7</v>
          </cell>
          <cell r="F3048">
            <v>9500</v>
          </cell>
          <cell r="G3048">
            <v>6650</v>
          </cell>
        </row>
        <row r="3049">
          <cell r="B3049">
            <v>1</v>
          </cell>
          <cell r="C3049" t="str">
            <v>+ Cồn công nghiệp</v>
          </cell>
          <cell r="D3049" t="str">
            <v>kg</v>
          </cell>
          <cell r="E3049">
            <v>0.15</v>
          </cell>
          <cell r="F3049">
            <v>9500</v>
          </cell>
          <cell r="G3049">
            <v>1425</v>
          </cell>
        </row>
        <row r="3050">
          <cell r="C3050" t="str">
            <v>Nhân công</v>
          </cell>
          <cell r="G3050">
            <v>95393.425657894739</v>
          </cell>
        </row>
        <row r="3051">
          <cell r="B3051" t="str">
            <v>NC1407</v>
          </cell>
          <cell r="C3051" t="str">
            <v>+ Nhân công bậc 3,5/7</v>
          </cell>
          <cell r="D3051" t="str">
            <v>Công</v>
          </cell>
          <cell r="E3051">
            <v>0.49</v>
          </cell>
          <cell r="F3051">
            <v>194680.46052631579</v>
          </cell>
          <cell r="G3051">
            <v>95393.425657894739</v>
          </cell>
        </row>
        <row r="3052">
          <cell r="A3052" t="str">
            <v>D3.2122</v>
          </cell>
          <cell r="C3052" t="str">
            <v>Lắp đặt cách điện POLIME đứng  trung thế và hạ thế dưới đất loại 15 đến 22Kv,  Cột vuông</v>
          </cell>
          <cell r="D3052" t="str">
            <v>bộ chuỗi</v>
          </cell>
          <cell r="H3052">
            <v>8075</v>
          </cell>
          <cell r="I3052">
            <v>149903.95460526316</v>
          </cell>
        </row>
        <row r="3053">
          <cell r="C3053" t="str">
            <v>Vật liệu</v>
          </cell>
          <cell r="G3053">
            <v>8075</v>
          </cell>
        </row>
        <row r="3054">
          <cell r="B3054">
            <v>9</v>
          </cell>
          <cell r="C3054" t="str">
            <v>+ Giẻ lau</v>
          </cell>
          <cell r="D3054" t="str">
            <v>Kg</v>
          </cell>
          <cell r="E3054">
            <v>0.7</v>
          </cell>
          <cell r="F3054">
            <v>9500</v>
          </cell>
          <cell r="G3054">
            <v>6650</v>
          </cell>
        </row>
        <row r="3055">
          <cell r="B3055">
            <v>1</v>
          </cell>
          <cell r="C3055" t="str">
            <v>+ Cồn công nghiệp</v>
          </cell>
          <cell r="D3055" t="str">
            <v>kg</v>
          </cell>
          <cell r="E3055">
            <v>0.15</v>
          </cell>
          <cell r="F3055">
            <v>9500</v>
          </cell>
          <cell r="G3055">
            <v>1425</v>
          </cell>
        </row>
        <row r="3056">
          <cell r="C3056" t="str">
            <v>Nhân công</v>
          </cell>
          <cell r="G3056">
            <v>149903.95460526316</v>
          </cell>
        </row>
        <row r="3057">
          <cell r="B3057" t="str">
            <v>NC1407</v>
          </cell>
          <cell r="C3057" t="str">
            <v>+ Nhân công bậc 3,5/7</v>
          </cell>
          <cell r="D3057" t="str">
            <v>Công</v>
          </cell>
          <cell r="E3057">
            <v>0.77</v>
          </cell>
          <cell r="F3057">
            <v>194680.46052631579</v>
          </cell>
          <cell r="G3057">
            <v>149903.95460526316</v>
          </cell>
        </row>
        <row r="3058">
          <cell r="A3058" t="str">
            <v>D3.2123</v>
          </cell>
          <cell r="C3058" t="str">
            <v>Lắp đặt cách điện POLIME đứng  trung thế và hạ thếdưới đất loại 35Kv,  Cột vuông</v>
          </cell>
          <cell r="D3058" t="str">
            <v>bộ chuỗi</v>
          </cell>
          <cell r="H3058">
            <v>8075</v>
          </cell>
          <cell r="I3058">
            <v>167425.19605263157</v>
          </cell>
        </row>
        <row r="3059">
          <cell r="C3059" t="str">
            <v>Vật liệu</v>
          </cell>
          <cell r="G3059">
            <v>8075</v>
          </cell>
        </row>
        <row r="3060">
          <cell r="B3060">
            <v>9</v>
          </cell>
          <cell r="C3060" t="str">
            <v>+ Giẻ lau</v>
          </cell>
          <cell r="D3060" t="str">
            <v>Kg</v>
          </cell>
          <cell r="E3060">
            <v>0.7</v>
          </cell>
          <cell r="F3060">
            <v>9500</v>
          </cell>
          <cell r="G3060">
            <v>6650</v>
          </cell>
        </row>
        <row r="3061">
          <cell r="B3061">
            <v>1</v>
          </cell>
          <cell r="C3061" t="str">
            <v>+ Cồn công nghiệp</v>
          </cell>
          <cell r="D3061" t="str">
            <v>kg</v>
          </cell>
          <cell r="E3061">
            <v>0.15</v>
          </cell>
          <cell r="F3061">
            <v>9500</v>
          </cell>
          <cell r="G3061">
            <v>1425</v>
          </cell>
        </row>
        <row r="3062">
          <cell r="C3062" t="str">
            <v>Nhân công</v>
          </cell>
          <cell r="G3062">
            <v>167425.19605263157</v>
          </cell>
        </row>
        <row r="3063">
          <cell r="B3063" t="str">
            <v>NC1407</v>
          </cell>
          <cell r="C3063" t="str">
            <v>+ Nhân công bậc 3,5/7</v>
          </cell>
          <cell r="D3063" t="str">
            <v>Công</v>
          </cell>
          <cell r="E3063">
            <v>0.86</v>
          </cell>
          <cell r="F3063">
            <v>194680.46052631579</v>
          </cell>
          <cell r="G3063">
            <v>167425.19605263157</v>
          </cell>
        </row>
        <row r="3064">
          <cell r="A3064" t="str">
            <v>D3.2124</v>
          </cell>
          <cell r="C3064" t="str">
            <v>Lắp đặt cách điện POLIME đứng trung thế và hạ thế trên cột loại 6 đến 10Kv, Cột vuông</v>
          </cell>
          <cell r="D3064" t="str">
            <v>bộ chuỗi</v>
          </cell>
          <cell r="H3064">
            <v>8075</v>
          </cell>
          <cell r="I3064">
            <v>124595.49473684211</v>
          </cell>
        </row>
        <row r="3065">
          <cell r="C3065" t="str">
            <v>Vật liệu</v>
          </cell>
          <cell r="G3065">
            <v>8075</v>
          </cell>
        </row>
        <row r="3066">
          <cell r="B3066">
            <v>9</v>
          </cell>
          <cell r="C3066" t="str">
            <v>+ Giẻ lau</v>
          </cell>
          <cell r="D3066" t="str">
            <v>Kg</v>
          </cell>
          <cell r="E3066">
            <v>0.7</v>
          </cell>
          <cell r="F3066">
            <v>9500</v>
          </cell>
          <cell r="G3066">
            <v>6650</v>
          </cell>
        </row>
        <row r="3067">
          <cell r="B3067">
            <v>1</v>
          </cell>
          <cell r="C3067" t="str">
            <v>+ Cồn công nghiệp</v>
          </cell>
          <cell r="D3067" t="str">
            <v>kg</v>
          </cell>
          <cell r="E3067">
            <v>0.15</v>
          </cell>
          <cell r="F3067">
            <v>9500</v>
          </cell>
          <cell r="G3067">
            <v>1425</v>
          </cell>
        </row>
        <row r="3068">
          <cell r="C3068" t="str">
            <v>Nhân công</v>
          </cell>
          <cell r="G3068">
            <v>124595.49473684211</v>
          </cell>
        </row>
        <row r="3069">
          <cell r="B3069" t="str">
            <v>NC1407</v>
          </cell>
          <cell r="C3069" t="str">
            <v>+ Nhân công bậc 3,5/7</v>
          </cell>
          <cell r="D3069" t="str">
            <v>Công</v>
          </cell>
          <cell r="E3069">
            <v>0.64</v>
          </cell>
          <cell r="F3069">
            <v>194680.46052631579</v>
          </cell>
          <cell r="G3069">
            <v>124595.49473684211</v>
          </cell>
        </row>
        <row r="3070">
          <cell r="A3070" t="str">
            <v>D3.2125</v>
          </cell>
          <cell r="C3070" t="str">
            <v>Lắp đặt cách điện POLIME đứng trung thế và hạ thế trên cột loại 15 đến 22Kv,  Cột vuông</v>
          </cell>
          <cell r="D3070" t="str">
            <v>bộ chuỗi</v>
          </cell>
          <cell r="H3070">
            <v>8075</v>
          </cell>
          <cell r="I3070">
            <v>169372.00065789474</v>
          </cell>
        </row>
        <row r="3071">
          <cell r="C3071" t="str">
            <v>Vật liệu</v>
          </cell>
          <cell r="G3071">
            <v>8075</v>
          </cell>
        </row>
        <row r="3072">
          <cell r="B3072">
            <v>9</v>
          </cell>
          <cell r="C3072" t="str">
            <v>+ Giẻ lau</v>
          </cell>
          <cell r="D3072" t="str">
            <v>Kg</v>
          </cell>
          <cell r="E3072">
            <v>0.7</v>
          </cell>
          <cell r="F3072">
            <v>9500</v>
          </cell>
          <cell r="G3072">
            <v>6650</v>
          </cell>
        </row>
        <row r="3073">
          <cell r="B3073">
            <v>1</v>
          </cell>
          <cell r="C3073" t="str">
            <v>+ Cồn công nghiệp</v>
          </cell>
          <cell r="D3073" t="str">
            <v>kg</v>
          </cell>
          <cell r="E3073">
            <v>0.15</v>
          </cell>
          <cell r="F3073">
            <v>9500</v>
          </cell>
          <cell r="G3073">
            <v>1425</v>
          </cell>
        </row>
        <row r="3074">
          <cell r="C3074" t="str">
            <v>Nhân công</v>
          </cell>
          <cell r="G3074">
            <v>169372.00065789474</v>
          </cell>
        </row>
        <row r="3075">
          <cell r="B3075" t="str">
            <v>NC1407</v>
          </cell>
          <cell r="C3075" t="str">
            <v>+ Nhân công bậc 3,5/7</v>
          </cell>
          <cell r="D3075" t="str">
            <v>Công</v>
          </cell>
          <cell r="E3075">
            <v>0.87</v>
          </cell>
          <cell r="F3075">
            <v>194680.46052631579</v>
          </cell>
          <cell r="G3075">
            <v>169372.00065789474</v>
          </cell>
        </row>
        <row r="3076">
          <cell r="A3076" t="str">
            <v>D3.2126</v>
          </cell>
          <cell r="C3076" t="str">
            <v>Lắp đặt cách điện POLIME đứng trung thế và hạ thế trên cột loại 35Kv,  Cột vuông</v>
          </cell>
          <cell r="D3076" t="str">
            <v>bộ chuỗi</v>
          </cell>
          <cell r="H3076">
            <v>8075</v>
          </cell>
          <cell r="I3076">
            <v>216095.31118421053</v>
          </cell>
        </row>
        <row r="3077">
          <cell r="C3077" t="str">
            <v>Vật liệu</v>
          </cell>
          <cell r="G3077">
            <v>8075</v>
          </cell>
        </row>
        <row r="3078">
          <cell r="B3078">
            <v>9</v>
          </cell>
          <cell r="C3078" t="str">
            <v>+ Giẻ lau</v>
          </cell>
          <cell r="D3078" t="str">
            <v>Kg</v>
          </cell>
          <cell r="E3078">
            <v>0.7</v>
          </cell>
          <cell r="F3078">
            <v>9500</v>
          </cell>
          <cell r="G3078">
            <v>6650</v>
          </cell>
        </row>
        <row r="3079">
          <cell r="B3079">
            <v>1</v>
          </cell>
          <cell r="C3079" t="str">
            <v>+ Cồn công nghiệp</v>
          </cell>
          <cell r="D3079" t="str">
            <v>kg</v>
          </cell>
          <cell r="E3079">
            <v>0.15</v>
          </cell>
          <cell r="F3079">
            <v>9500</v>
          </cell>
          <cell r="G3079">
            <v>1425</v>
          </cell>
        </row>
        <row r="3080">
          <cell r="C3080" t="str">
            <v>Nhân công</v>
          </cell>
          <cell r="G3080">
            <v>216095.31118421053</v>
          </cell>
        </row>
        <row r="3081">
          <cell r="B3081" t="str">
            <v>NC1407</v>
          </cell>
          <cell r="C3081" t="str">
            <v>+ Nhân công bậc 3,5/7</v>
          </cell>
          <cell r="D3081" t="str">
            <v>Công</v>
          </cell>
          <cell r="E3081">
            <v>1.1100000000000001</v>
          </cell>
          <cell r="F3081">
            <v>194680.46052631579</v>
          </cell>
          <cell r="G3081">
            <v>216095.31118421053</v>
          </cell>
        </row>
        <row r="3082">
          <cell r="A3082" t="str">
            <v>D3.2211</v>
          </cell>
          <cell r="C3082" t="str">
            <v>Lắp đặt cách điện POLIME đỡ đơn cho dây dẫn loại 35Kv, chiều cao lắp chuỗi =&lt;20m</v>
          </cell>
          <cell r="D3082" t="str">
            <v>bộ</v>
          </cell>
          <cell r="H3082">
            <v>902.5</v>
          </cell>
          <cell r="I3082">
            <v>43608.423157894737</v>
          </cell>
        </row>
        <row r="3083">
          <cell r="C3083" t="str">
            <v>Vật liệu</v>
          </cell>
          <cell r="G3083">
            <v>902.5</v>
          </cell>
        </row>
        <row r="3084">
          <cell r="B3084">
            <v>9</v>
          </cell>
          <cell r="C3084" t="str">
            <v>+ Giẻ lau</v>
          </cell>
          <cell r="D3084" t="str">
            <v>Kg</v>
          </cell>
          <cell r="E3084">
            <v>0.02</v>
          </cell>
          <cell r="F3084">
            <v>9500</v>
          </cell>
          <cell r="G3084">
            <v>190</v>
          </cell>
        </row>
        <row r="3085">
          <cell r="B3085">
            <v>1</v>
          </cell>
          <cell r="C3085" t="str">
            <v>+ Cồn công nghiệp</v>
          </cell>
          <cell r="D3085" t="str">
            <v>kg</v>
          </cell>
          <cell r="E3085">
            <v>7.4999999999999997E-2</v>
          </cell>
          <cell r="F3085">
            <v>9500</v>
          </cell>
          <cell r="G3085">
            <v>712.5</v>
          </cell>
        </row>
        <row r="3086">
          <cell r="C3086" t="str">
            <v>Nhân công</v>
          </cell>
          <cell r="G3086">
            <v>43608.423157894737</v>
          </cell>
        </row>
        <row r="3087">
          <cell r="B3087" t="str">
            <v>NC1407</v>
          </cell>
          <cell r="C3087" t="str">
            <v>+ Nhân công bậc 4,0/7</v>
          </cell>
          <cell r="D3087" t="str">
            <v>Công</v>
          </cell>
          <cell r="E3087">
            <v>0.224</v>
          </cell>
          <cell r="F3087">
            <v>194680.46052631579</v>
          </cell>
          <cell r="G3087">
            <v>43608.423157894737</v>
          </cell>
        </row>
        <row r="3088">
          <cell r="A3088" t="str">
            <v>D3.2212</v>
          </cell>
          <cell r="C3088" t="str">
            <v>Lắp đặt cách điện POLIME đỡ đơn cho dây dẫn loại 35Kv, chiều cao lắp chuỗi =&lt;30m</v>
          </cell>
          <cell r="D3088" t="str">
            <v>bộ</v>
          </cell>
          <cell r="H3088">
            <v>902.5</v>
          </cell>
          <cell r="I3088">
            <v>45749.908223684208</v>
          </cell>
        </row>
        <row r="3089">
          <cell r="C3089" t="str">
            <v>Vật liệu</v>
          </cell>
          <cell r="G3089">
            <v>902.5</v>
          </cell>
        </row>
        <row r="3090">
          <cell r="B3090">
            <v>9</v>
          </cell>
          <cell r="C3090" t="str">
            <v>+ Giẻ lau</v>
          </cell>
          <cell r="D3090" t="str">
            <v>Kg</v>
          </cell>
          <cell r="E3090">
            <v>0.02</v>
          </cell>
          <cell r="F3090">
            <v>9500</v>
          </cell>
          <cell r="G3090">
            <v>190</v>
          </cell>
        </row>
        <row r="3091">
          <cell r="B3091">
            <v>1</v>
          </cell>
          <cell r="C3091" t="str">
            <v>+ Cồn công nghiệp</v>
          </cell>
          <cell r="D3091" t="str">
            <v>kg</v>
          </cell>
          <cell r="E3091">
            <v>7.4999999999999997E-2</v>
          </cell>
          <cell r="F3091">
            <v>9500</v>
          </cell>
          <cell r="G3091">
            <v>712.5</v>
          </cell>
        </row>
        <row r="3092">
          <cell r="C3092" t="str">
            <v>Nhân công</v>
          </cell>
          <cell r="G3092">
            <v>45749.908223684208</v>
          </cell>
        </row>
        <row r="3093">
          <cell r="B3093" t="str">
            <v>NC1407</v>
          </cell>
          <cell r="C3093" t="str">
            <v>+ Nhân công bậc 4,0/7</v>
          </cell>
          <cell r="D3093" t="str">
            <v>Công</v>
          </cell>
          <cell r="E3093">
            <v>0.23499999999999999</v>
          </cell>
          <cell r="F3093">
            <v>194680.46052631579</v>
          </cell>
          <cell r="G3093">
            <v>45749.908223684208</v>
          </cell>
        </row>
        <row r="3094">
          <cell r="A3094" t="str">
            <v>D3.2213</v>
          </cell>
          <cell r="C3094" t="str">
            <v>Lắp đặt cách điện POLIME đỡ đơn cho dây dẫn loại 35Kv, chiều cao lắp chuỗi =&lt;40m</v>
          </cell>
          <cell r="D3094" t="str">
            <v>bộ</v>
          </cell>
          <cell r="H3094">
            <v>902.5</v>
          </cell>
          <cell r="I3094">
            <v>50227.558815789474</v>
          </cell>
        </row>
        <row r="3095">
          <cell r="C3095" t="str">
            <v>Vật liệu</v>
          </cell>
          <cell r="G3095">
            <v>902.5</v>
          </cell>
        </row>
        <row r="3096">
          <cell r="B3096">
            <v>9</v>
          </cell>
          <cell r="C3096" t="str">
            <v>+ Giẻ lau</v>
          </cell>
          <cell r="D3096" t="str">
            <v>Kg</v>
          </cell>
          <cell r="E3096">
            <v>0.02</v>
          </cell>
          <cell r="F3096">
            <v>9500</v>
          </cell>
          <cell r="G3096">
            <v>190</v>
          </cell>
        </row>
        <row r="3097">
          <cell r="B3097">
            <v>1</v>
          </cell>
          <cell r="C3097" t="str">
            <v>+ Cồn công nghiệp</v>
          </cell>
          <cell r="D3097" t="str">
            <v>kg</v>
          </cell>
          <cell r="E3097">
            <v>7.4999999999999997E-2</v>
          </cell>
          <cell r="F3097">
            <v>9500</v>
          </cell>
          <cell r="G3097">
            <v>712.5</v>
          </cell>
        </row>
        <row r="3098">
          <cell r="C3098" t="str">
            <v>Nhân công</v>
          </cell>
          <cell r="G3098">
            <v>50227.558815789474</v>
          </cell>
        </row>
        <row r="3099">
          <cell r="B3099" t="str">
            <v>NC1407</v>
          </cell>
          <cell r="C3099" t="str">
            <v>+ Nhân công bậc 4,0/7</v>
          </cell>
          <cell r="D3099" t="str">
            <v>Công</v>
          </cell>
          <cell r="E3099">
            <v>0.25800000000000001</v>
          </cell>
          <cell r="F3099">
            <v>194680.46052631579</v>
          </cell>
          <cell r="G3099">
            <v>50227.558815789474</v>
          </cell>
        </row>
        <row r="3100">
          <cell r="A3100" t="str">
            <v>D3.2221</v>
          </cell>
          <cell r="C3100" t="str">
            <v>Lắp đặt cách điện POLIME đỡ đơn cho dây dẫn loại 110Kv, chiều cao lắp chuỗi =&lt;20m</v>
          </cell>
          <cell r="D3100" t="str">
            <v>bộ</v>
          </cell>
          <cell r="H3100">
            <v>1852.5</v>
          </cell>
          <cell r="I3100">
            <v>98118.952105263161</v>
          </cell>
        </row>
        <row r="3101">
          <cell r="C3101" t="str">
            <v>Vật liệu</v>
          </cell>
          <cell r="G3101">
            <v>1852.5</v>
          </cell>
        </row>
        <row r="3102">
          <cell r="B3102">
            <v>9</v>
          </cell>
          <cell r="C3102" t="str">
            <v>+ Giẻ lau</v>
          </cell>
          <cell r="D3102" t="str">
            <v>Kg</v>
          </cell>
          <cell r="E3102">
            <v>0.03</v>
          </cell>
          <cell r="F3102">
            <v>9500</v>
          </cell>
          <cell r="G3102">
            <v>285</v>
          </cell>
        </row>
        <row r="3103">
          <cell r="B3103">
            <v>1</v>
          </cell>
          <cell r="C3103" t="str">
            <v>+ Cồn công nghiệp</v>
          </cell>
          <cell r="D3103" t="str">
            <v>kg</v>
          </cell>
          <cell r="E3103">
            <v>0.16500000000000001</v>
          </cell>
          <cell r="F3103">
            <v>9500</v>
          </cell>
          <cell r="G3103">
            <v>1567.5</v>
          </cell>
        </row>
        <row r="3104">
          <cell r="C3104" t="str">
            <v>Nhân công</v>
          </cell>
          <cell r="G3104">
            <v>98118.952105263161</v>
          </cell>
        </row>
        <row r="3105">
          <cell r="B3105" t="str">
            <v>NC1407</v>
          </cell>
          <cell r="C3105" t="str">
            <v>+ Nhân công bậc 4,0/7</v>
          </cell>
          <cell r="D3105" t="str">
            <v>Công</v>
          </cell>
          <cell r="E3105">
            <v>0.504</v>
          </cell>
          <cell r="F3105">
            <v>194680.46052631579</v>
          </cell>
          <cell r="G3105">
            <v>98118.952105263161</v>
          </cell>
        </row>
        <row r="3106">
          <cell r="A3106" t="str">
            <v>D3.2222</v>
          </cell>
          <cell r="C3106" t="str">
            <v>Lắp đặt cách điện POLIME đỡ đơn cho dây dẫn loại 110Kv, chiều cao lắp chuỗi =&lt;30m</v>
          </cell>
          <cell r="D3106" t="str">
            <v>bộ</v>
          </cell>
          <cell r="H3106">
            <v>1852.5</v>
          </cell>
          <cell r="I3106">
            <v>103570.005</v>
          </cell>
        </row>
        <row r="3107">
          <cell r="C3107" t="str">
            <v>Vật liệu</v>
          </cell>
          <cell r="G3107">
            <v>1852.5</v>
          </cell>
        </row>
        <row r="3108">
          <cell r="B3108">
            <v>9</v>
          </cell>
          <cell r="C3108" t="str">
            <v>+ Giẻ lau</v>
          </cell>
          <cell r="D3108" t="str">
            <v>Kg</v>
          </cell>
          <cell r="E3108">
            <v>0.03</v>
          </cell>
          <cell r="F3108">
            <v>9500</v>
          </cell>
          <cell r="G3108">
            <v>285</v>
          </cell>
        </row>
        <row r="3109">
          <cell r="B3109">
            <v>1</v>
          </cell>
          <cell r="C3109" t="str">
            <v>+ Cồn công nghiệp</v>
          </cell>
          <cell r="D3109" t="str">
            <v>kg</v>
          </cell>
          <cell r="E3109">
            <v>0.16500000000000001</v>
          </cell>
          <cell r="F3109">
            <v>9500</v>
          </cell>
          <cell r="G3109">
            <v>1567.5</v>
          </cell>
        </row>
        <row r="3110">
          <cell r="C3110" t="str">
            <v>Nhân công</v>
          </cell>
          <cell r="G3110">
            <v>103570.005</v>
          </cell>
        </row>
        <row r="3111">
          <cell r="B3111" t="str">
            <v>NC1407</v>
          </cell>
          <cell r="C3111" t="str">
            <v>+ Nhân công bậc 4,0/7</v>
          </cell>
          <cell r="D3111" t="str">
            <v>Công</v>
          </cell>
          <cell r="E3111">
            <v>0.53200000000000003</v>
          </cell>
          <cell r="F3111">
            <v>194680.46052631579</v>
          </cell>
          <cell r="G3111">
            <v>103570.005</v>
          </cell>
        </row>
        <row r="3112">
          <cell r="A3112" t="str">
            <v>D3.2223</v>
          </cell>
          <cell r="C3112" t="str">
            <v>Lắp đặt cách điện POLIME đỡ đơn cho dây dẫn loại 110Kv, chiều cao lắp chuỗi =&lt;40m</v>
          </cell>
          <cell r="D3112" t="str">
            <v>bộ</v>
          </cell>
          <cell r="H3112">
            <v>1852.5</v>
          </cell>
          <cell r="I3112">
            <v>113304.02802631578</v>
          </cell>
        </row>
        <row r="3113">
          <cell r="C3113" t="str">
            <v>Vật liệu</v>
          </cell>
          <cell r="G3113">
            <v>1852.5</v>
          </cell>
        </row>
        <row r="3114">
          <cell r="B3114">
            <v>9</v>
          </cell>
          <cell r="C3114" t="str">
            <v>+ Giẻ lau</v>
          </cell>
          <cell r="D3114" t="str">
            <v>Kg</v>
          </cell>
          <cell r="E3114">
            <v>0.03</v>
          </cell>
          <cell r="F3114">
            <v>9500</v>
          </cell>
          <cell r="G3114">
            <v>285</v>
          </cell>
        </row>
        <row r="3115">
          <cell r="B3115">
            <v>1</v>
          </cell>
          <cell r="C3115" t="str">
            <v>+ Cồn công nghiệp</v>
          </cell>
          <cell r="D3115" t="str">
            <v>kg</v>
          </cell>
          <cell r="E3115">
            <v>0.16500000000000001</v>
          </cell>
          <cell r="F3115">
            <v>9500</v>
          </cell>
          <cell r="G3115">
            <v>1567.5</v>
          </cell>
        </row>
        <row r="3116">
          <cell r="C3116" t="str">
            <v>Nhân công</v>
          </cell>
          <cell r="G3116">
            <v>113304.02802631578</v>
          </cell>
        </row>
        <row r="3117">
          <cell r="B3117" t="str">
            <v>NC1407</v>
          </cell>
          <cell r="C3117" t="str">
            <v>+ Nhân công bậc 4,0/7</v>
          </cell>
          <cell r="D3117" t="str">
            <v>Công</v>
          </cell>
          <cell r="E3117">
            <v>0.58199999999999996</v>
          </cell>
          <cell r="F3117">
            <v>194680.46052631579</v>
          </cell>
          <cell r="G3117">
            <v>113304.02802631578</v>
          </cell>
        </row>
        <row r="3118">
          <cell r="A3118" t="str">
            <v>D3.2224</v>
          </cell>
          <cell r="C3118" t="str">
            <v>Lắp đặt cách điện POLIME đỡ đơn cho dây dẫn loại 110Kv, chiều cao lắp chuỗi =&lt;50m</v>
          </cell>
          <cell r="D3118" t="str">
            <v>bộ</v>
          </cell>
          <cell r="H3118">
            <v>1852.5</v>
          </cell>
          <cell r="I3118">
            <v>130825.26947368421</v>
          </cell>
        </row>
        <row r="3119">
          <cell r="C3119" t="str">
            <v>Vật liệu</v>
          </cell>
          <cell r="G3119">
            <v>1852.5</v>
          </cell>
        </row>
        <row r="3120">
          <cell r="B3120">
            <v>9</v>
          </cell>
          <cell r="C3120" t="str">
            <v>+ Giẻ lau</v>
          </cell>
          <cell r="D3120" t="str">
            <v>Kg</v>
          </cell>
          <cell r="E3120">
            <v>0.03</v>
          </cell>
          <cell r="F3120">
            <v>9500</v>
          </cell>
          <cell r="G3120">
            <v>285</v>
          </cell>
        </row>
        <row r="3121">
          <cell r="B3121">
            <v>1</v>
          </cell>
          <cell r="C3121" t="str">
            <v>+ Cồn công nghiệp</v>
          </cell>
          <cell r="D3121" t="str">
            <v>kg</v>
          </cell>
          <cell r="E3121">
            <v>0.16500000000000001</v>
          </cell>
          <cell r="F3121">
            <v>9500</v>
          </cell>
          <cell r="G3121">
            <v>1567.5</v>
          </cell>
        </row>
        <row r="3122">
          <cell r="C3122" t="str">
            <v>Nhân công</v>
          </cell>
          <cell r="G3122">
            <v>130825.26947368421</v>
          </cell>
        </row>
        <row r="3123">
          <cell r="B3123" t="str">
            <v>NC1407</v>
          </cell>
          <cell r="C3123" t="str">
            <v>+ Nhân công bậc 4,0/7</v>
          </cell>
          <cell r="D3123" t="str">
            <v>Công</v>
          </cell>
          <cell r="E3123">
            <v>0.67200000000000004</v>
          </cell>
          <cell r="F3123">
            <v>194680.46052631579</v>
          </cell>
          <cell r="G3123">
            <v>130825.26947368421</v>
          </cell>
        </row>
        <row r="3124">
          <cell r="A3124" t="str">
            <v>D3.2225</v>
          </cell>
          <cell r="C3124" t="str">
            <v>Lắp đặt cách điện POLIME đỡ đơn cho dây dẫn loại 110Kv, chiều cao lắp chuỗi =&lt;60m</v>
          </cell>
          <cell r="D3124" t="str">
            <v>bộ</v>
          </cell>
          <cell r="H3124">
            <v>1852.5</v>
          </cell>
          <cell r="I3124">
            <v>143868.86032894737</v>
          </cell>
        </row>
        <row r="3125">
          <cell r="C3125" t="str">
            <v>Vật liệu</v>
          </cell>
          <cell r="G3125">
            <v>1852.5</v>
          </cell>
        </row>
        <row r="3126">
          <cell r="B3126">
            <v>9</v>
          </cell>
          <cell r="C3126" t="str">
            <v>+ Giẻ lau</v>
          </cell>
          <cell r="D3126" t="str">
            <v>Kg</v>
          </cell>
          <cell r="E3126">
            <v>0.03</v>
          </cell>
          <cell r="F3126">
            <v>9500</v>
          </cell>
          <cell r="G3126">
            <v>285</v>
          </cell>
        </row>
        <row r="3127">
          <cell r="B3127">
            <v>1</v>
          </cell>
          <cell r="C3127" t="str">
            <v>+ Cồn công nghiệp</v>
          </cell>
          <cell r="D3127" t="str">
            <v>kg</v>
          </cell>
          <cell r="E3127">
            <v>0.16500000000000001</v>
          </cell>
          <cell r="F3127">
            <v>9500</v>
          </cell>
          <cell r="G3127">
            <v>1567.5</v>
          </cell>
        </row>
        <row r="3128">
          <cell r="C3128" t="str">
            <v>Nhân công</v>
          </cell>
          <cell r="G3128">
            <v>143868.86032894737</v>
          </cell>
        </row>
        <row r="3129">
          <cell r="B3129" t="str">
            <v>NC1407</v>
          </cell>
          <cell r="C3129" t="str">
            <v>+ Nhân công bậc 4,0/7</v>
          </cell>
          <cell r="D3129" t="str">
            <v>Công</v>
          </cell>
          <cell r="E3129">
            <v>0.73899999999999999</v>
          </cell>
          <cell r="F3129">
            <v>194680.46052631579</v>
          </cell>
          <cell r="G3129">
            <v>143868.86032894737</v>
          </cell>
        </row>
        <row r="3130">
          <cell r="A3130" t="str">
            <v>D3.2226</v>
          </cell>
          <cell r="C3130" t="str">
            <v>Lắp đặt cách điện POLIME đỡ đơn cho dây dẫn loại 110Kv, chiều cao lắp chuỗi =&lt;70m</v>
          </cell>
          <cell r="D3130" t="str">
            <v>bộ</v>
          </cell>
          <cell r="H3130">
            <v>1852.5</v>
          </cell>
          <cell r="I3130">
            <v>158275.21440789473</v>
          </cell>
        </row>
        <row r="3131">
          <cell r="C3131" t="str">
            <v>Vật liệu</v>
          </cell>
          <cell r="G3131">
            <v>1852.5</v>
          </cell>
        </row>
        <row r="3132">
          <cell r="B3132">
            <v>9</v>
          </cell>
          <cell r="C3132" t="str">
            <v>+ Giẻ lau</v>
          </cell>
          <cell r="D3132" t="str">
            <v>Kg</v>
          </cell>
          <cell r="E3132">
            <v>0.03</v>
          </cell>
          <cell r="F3132">
            <v>9500</v>
          </cell>
          <cell r="G3132">
            <v>285</v>
          </cell>
        </row>
        <row r="3133">
          <cell r="B3133">
            <v>1</v>
          </cell>
          <cell r="C3133" t="str">
            <v>+ Cồn công nghiệp</v>
          </cell>
          <cell r="D3133" t="str">
            <v>kg</v>
          </cell>
          <cell r="E3133">
            <v>0.16500000000000001</v>
          </cell>
          <cell r="F3133">
            <v>9500</v>
          </cell>
          <cell r="G3133">
            <v>1567.5</v>
          </cell>
        </row>
        <row r="3134">
          <cell r="C3134" t="str">
            <v>Nhân công</v>
          </cell>
          <cell r="G3134">
            <v>158275.21440789473</v>
          </cell>
        </row>
        <row r="3135">
          <cell r="B3135" t="str">
            <v>NC1407</v>
          </cell>
          <cell r="C3135" t="str">
            <v>+ Nhân công bậc 4,0/7</v>
          </cell>
          <cell r="D3135" t="str">
            <v>Công</v>
          </cell>
          <cell r="E3135">
            <v>0.81299999999999994</v>
          </cell>
          <cell r="F3135">
            <v>194680.46052631579</v>
          </cell>
          <cell r="G3135">
            <v>158275.21440789473</v>
          </cell>
        </row>
        <row r="3136">
          <cell r="A3136" t="str">
            <v>D3.2227</v>
          </cell>
          <cell r="C3136" t="str">
            <v>Lắp đặt cách điện POLIME đỡ đơn cho dây dẫn loại 110Kv, chiều cao lắp chuỗi &gt;70m</v>
          </cell>
          <cell r="D3136" t="str">
            <v>bộ</v>
          </cell>
          <cell r="H3136">
            <v>1852.5</v>
          </cell>
          <cell r="I3136">
            <v>174044.33171052631</v>
          </cell>
        </row>
        <row r="3137">
          <cell r="C3137" t="str">
            <v>Vật liệu</v>
          </cell>
          <cell r="G3137">
            <v>1852.5</v>
          </cell>
        </row>
        <row r="3138">
          <cell r="B3138">
            <v>9</v>
          </cell>
          <cell r="C3138" t="str">
            <v>+ Giẻ lau</v>
          </cell>
          <cell r="D3138" t="str">
            <v>Kg</v>
          </cell>
          <cell r="E3138">
            <v>0.03</v>
          </cell>
          <cell r="F3138">
            <v>9500</v>
          </cell>
          <cell r="G3138">
            <v>285</v>
          </cell>
        </row>
        <row r="3139">
          <cell r="B3139">
            <v>1</v>
          </cell>
          <cell r="C3139" t="str">
            <v>+ Cồn công nghiệp</v>
          </cell>
          <cell r="D3139" t="str">
            <v>kg</v>
          </cell>
          <cell r="E3139">
            <v>0.16500000000000001</v>
          </cell>
          <cell r="F3139">
            <v>9500</v>
          </cell>
          <cell r="G3139">
            <v>1567.5</v>
          </cell>
        </row>
        <row r="3140">
          <cell r="C3140" t="str">
            <v>Nhân công</v>
          </cell>
          <cell r="G3140">
            <v>174044.33171052631</v>
          </cell>
        </row>
        <row r="3141">
          <cell r="B3141" t="str">
            <v>NC1407</v>
          </cell>
          <cell r="C3141" t="str">
            <v>+ Nhân công bậc 4,0/7</v>
          </cell>
          <cell r="D3141" t="str">
            <v>Công</v>
          </cell>
          <cell r="E3141">
            <v>0.89400000000000002</v>
          </cell>
          <cell r="F3141">
            <v>194680.46052631579</v>
          </cell>
          <cell r="G3141">
            <v>174044.33171052631</v>
          </cell>
        </row>
        <row r="3142">
          <cell r="A3142" t="str">
            <v>D3.2231</v>
          </cell>
          <cell r="C3142" t="str">
            <v>Lắp đặt cách điện POLIME đỡ đơn cho dây dẫn loại 220Kv, chiều cao lắp chuỗi =&lt;20m</v>
          </cell>
          <cell r="D3142" t="str">
            <v>bộ</v>
          </cell>
          <cell r="H3142">
            <v>2660</v>
          </cell>
          <cell r="I3142">
            <v>149319.91322368421</v>
          </cell>
        </row>
        <row r="3143">
          <cell r="C3143" t="str">
            <v>Vật liệu</v>
          </cell>
          <cell r="G3143">
            <v>2660</v>
          </cell>
        </row>
        <row r="3144">
          <cell r="B3144">
            <v>9</v>
          </cell>
          <cell r="C3144" t="str">
            <v>+ Giẻ lau</v>
          </cell>
          <cell r="D3144" t="str">
            <v>Kg</v>
          </cell>
          <cell r="E3144">
            <v>0.04</v>
          </cell>
          <cell r="F3144">
            <v>9500</v>
          </cell>
          <cell r="G3144">
            <v>380</v>
          </cell>
        </row>
        <row r="3145">
          <cell r="B3145">
            <v>1</v>
          </cell>
          <cell r="C3145" t="str">
            <v>+ Cồn công nghiệp</v>
          </cell>
          <cell r="D3145" t="str">
            <v>kg</v>
          </cell>
          <cell r="E3145">
            <v>0.24</v>
          </cell>
          <cell r="F3145">
            <v>9500</v>
          </cell>
          <cell r="G3145">
            <v>2280</v>
          </cell>
        </row>
        <row r="3146">
          <cell r="C3146" t="str">
            <v>Nhân công</v>
          </cell>
          <cell r="G3146">
            <v>149319.91322368421</v>
          </cell>
        </row>
        <row r="3147">
          <cell r="B3147" t="str">
            <v>NC1407</v>
          </cell>
          <cell r="C3147" t="str">
            <v>+ Nhân công bậc 4,0/7</v>
          </cell>
          <cell r="D3147" t="str">
            <v>Công</v>
          </cell>
          <cell r="E3147">
            <v>0.76700000000000002</v>
          </cell>
          <cell r="F3147">
            <v>194680.46052631579</v>
          </cell>
          <cell r="G3147">
            <v>149319.91322368421</v>
          </cell>
        </row>
        <row r="3148">
          <cell r="A3148" t="str">
            <v>D3.2232</v>
          </cell>
          <cell r="C3148" t="str">
            <v>Lắp đặt cách điện POLIME đỡ đơn cho dây dẫn loại 220Kv, chiều cao lắp chuỗi =&lt;30m</v>
          </cell>
          <cell r="D3148" t="str">
            <v>bộ</v>
          </cell>
          <cell r="H3148">
            <v>2660</v>
          </cell>
          <cell r="I3148">
            <v>156912.45118421054</v>
          </cell>
        </row>
        <row r="3149">
          <cell r="C3149" t="str">
            <v>Vật liệu</v>
          </cell>
          <cell r="G3149">
            <v>2660</v>
          </cell>
        </row>
        <row r="3150">
          <cell r="B3150">
            <v>9</v>
          </cell>
          <cell r="C3150" t="str">
            <v>+ Giẻ lau</v>
          </cell>
          <cell r="D3150" t="str">
            <v>Kg</v>
          </cell>
          <cell r="E3150">
            <v>0.04</v>
          </cell>
          <cell r="F3150">
            <v>9500</v>
          </cell>
          <cell r="G3150">
            <v>380</v>
          </cell>
        </row>
        <row r="3151">
          <cell r="B3151">
            <v>1</v>
          </cell>
          <cell r="C3151" t="str">
            <v>+ Cồn công nghiệp</v>
          </cell>
          <cell r="D3151" t="str">
            <v>kg</v>
          </cell>
          <cell r="E3151">
            <v>0.24</v>
          </cell>
          <cell r="F3151">
            <v>9500</v>
          </cell>
          <cell r="G3151">
            <v>2280</v>
          </cell>
        </row>
        <row r="3152">
          <cell r="C3152" t="str">
            <v>Nhân công</v>
          </cell>
          <cell r="G3152">
            <v>156912.45118421054</v>
          </cell>
        </row>
        <row r="3153">
          <cell r="B3153" t="str">
            <v>NC1407</v>
          </cell>
          <cell r="C3153" t="str">
            <v>+ Nhân công bậc 4,0/7</v>
          </cell>
          <cell r="D3153" t="str">
            <v>Công</v>
          </cell>
          <cell r="E3153">
            <v>0.80600000000000005</v>
          </cell>
          <cell r="F3153">
            <v>194680.46052631579</v>
          </cell>
          <cell r="G3153">
            <v>156912.45118421054</v>
          </cell>
        </row>
        <row r="3154">
          <cell r="A3154" t="str">
            <v>D3.2233</v>
          </cell>
          <cell r="C3154" t="str">
            <v>Lắp đặt cách điện POLIME đỡ đơn cho dây dẫn loại 220Kv, chiều cao lắp chuỗi =&lt;40m</v>
          </cell>
          <cell r="D3154" t="str">
            <v>bộ</v>
          </cell>
          <cell r="H3154">
            <v>2660</v>
          </cell>
          <cell r="I3154">
            <v>171124.12480263159</v>
          </cell>
        </row>
        <row r="3155">
          <cell r="C3155" t="str">
            <v>Vật liệu</v>
          </cell>
          <cell r="G3155">
            <v>2660</v>
          </cell>
        </row>
        <row r="3156">
          <cell r="B3156">
            <v>9</v>
          </cell>
          <cell r="C3156" t="str">
            <v>+ Giẻ lau</v>
          </cell>
          <cell r="D3156" t="str">
            <v>Kg</v>
          </cell>
          <cell r="E3156">
            <v>0.04</v>
          </cell>
          <cell r="F3156">
            <v>9500</v>
          </cell>
          <cell r="G3156">
            <v>380</v>
          </cell>
        </row>
        <row r="3157">
          <cell r="B3157">
            <v>1</v>
          </cell>
          <cell r="C3157" t="str">
            <v>+ Cồn công nghiệp</v>
          </cell>
          <cell r="D3157" t="str">
            <v>kg</v>
          </cell>
          <cell r="E3157">
            <v>0.24</v>
          </cell>
          <cell r="F3157">
            <v>9500</v>
          </cell>
          <cell r="G3157">
            <v>2280</v>
          </cell>
        </row>
        <row r="3158">
          <cell r="C3158" t="str">
            <v>Nhân công</v>
          </cell>
          <cell r="G3158">
            <v>171124.12480263159</v>
          </cell>
        </row>
        <row r="3159">
          <cell r="B3159" t="str">
            <v>NC1407</v>
          </cell>
          <cell r="C3159" t="str">
            <v>+ Nhân công bậc 4,0/7</v>
          </cell>
          <cell r="D3159" t="str">
            <v>Công</v>
          </cell>
          <cell r="E3159">
            <v>0.879</v>
          </cell>
          <cell r="F3159">
            <v>194680.46052631579</v>
          </cell>
          <cell r="G3159">
            <v>171124.12480263159</v>
          </cell>
        </row>
        <row r="3160">
          <cell r="A3160" t="str">
            <v>D3.2234</v>
          </cell>
          <cell r="C3160" t="str">
            <v>Lắp đặt cách điện POLIME đỡ đơn cho dây dẫn loại 220Kv, chiều cao lắp chuỗi =&lt;50m</v>
          </cell>
          <cell r="D3160" t="str">
            <v>bộ</v>
          </cell>
          <cell r="H3160">
            <v>2660</v>
          </cell>
          <cell r="I3160">
            <v>196237.90421052632</v>
          </cell>
        </row>
        <row r="3161">
          <cell r="C3161" t="str">
            <v>Vật liệu</v>
          </cell>
          <cell r="G3161">
            <v>2660</v>
          </cell>
        </row>
        <row r="3162">
          <cell r="B3162">
            <v>9</v>
          </cell>
          <cell r="C3162" t="str">
            <v>+ Giẻ lau</v>
          </cell>
          <cell r="D3162" t="str">
            <v>Kg</v>
          </cell>
          <cell r="E3162">
            <v>0.04</v>
          </cell>
          <cell r="F3162">
            <v>9500</v>
          </cell>
          <cell r="G3162">
            <v>380</v>
          </cell>
        </row>
        <row r="3163">
          <cell r="B3163">
            <v>1</v>
          </cell>
          <cell r="C3163" t="str">
            <v>+ Cồn công nghiệp</v>
          </cell>
          <cell r="D3163" t="str">
            <v>kg</v>
          </cell>
          <cell r="E3163">
            <v>0.24</v>
          </cell>
          <cell r="F3163">
            <v>9500</v>
          </cell>
          <cell r="G3163">
            <v>2280</v>
          </cell>
        </row>
        <row r="3164">
          <cell r="C3164" t="str">
            <v>Nhân công</v>
          </cell>
          <cell r="G3164">
            <v>196237.90421052632</v>
          </cell>
        </row>
        <row r="3165">
          <cell r="B3165" t="str">
            <v>NC1407</v>
          </cell>
          <cell r="C3165" t="str">
            <v>+ Nhân công bậc 4,0/7</v>
          </cell>
          <cell r="D3165" t="str">
            <v>Công</v>
          </cell>
          <cell r="E3165">
            <v>1.008</v>
          </cell>
          <cell r="F3165">
            <v>194680.46052631579</v>
          </cell>
          <cell r="G3165">
            <v>196237.90421052632</v>
          </cell>
        </row>
        <row r="3166">
          <cell r="A3166" t="str">
            <v>D3.2235</v>
          </cell>
          <cell r="C3166" t="str">
            <v>Lắp đặt cách điện POLIME đỡ đơn cho dây dẫn loại 220Kv, chiều cao lắp chuỗi =&lt;60m</v>
          </cell>
          <cell r="D3166" t="str">
            <v>bộ</v>
          </cell>
          <cell r="H3166">
            <v>2660</v>
          </cell>
          <cell r="I3166">
            <v>218042.1157894737</v>
          </cell>
        </row>
        <row r="3167">
          <cell r="C3167" t="str">
            <v>Vật liệu</v>
          </cell>
          <cell r="G3167">
            <v>2660</v>
          </cell>
        </row>
        <row r="3168">
          <cell r="B3168">
            <v>9</v>
          </cell>
          <cell r="C3168" t="str">
            <v>+ Giẻ lau</v>
          </cell>
          <cell r="D3168" t="str">
            <v>Kg</v>
          </cell>
          <cell r="E3168">
            <v>0.04</v>
          </cell>
          <cell r="F3168">
            <v>9500</v>
          </cell>
          <cell r="G3168">
            <v>380</v>
          </cell>
        </row>
        <row r="3169">
          <cell r="B3169">
            <v>1</v>
          </cell>
          <cell r="C3169" t="str">
            <v>+ Cồn công nghiệp</v>
          </cell>
          <cell r="D3169" t="str">
            <v>kg</v>
          </cell>
          <cell r="E3169">
            <v>0.24</v>
          </cell>
          <cell r="F3169">
            <v>9500</v>
          </cell>
          <cell r="G3169">
            <v>2280</v>
          </cell>
        </row>
        <row r="3170">
          <cell r="C3170" t="str">
            <v>Nhân công</v>
          </cell>
          <cell r="G3170">
            <v>218042.1157894737</v>
          </cell>
        </row>
        <row r="3171">
          <cell r="B3171" t="str">
            <v>NC1407</v>
          </cell>
          <cell r="C3171" t="str">
            <v>+ Nhân công bậc 4,0/7</v>
          </cell>
          <cell r="D3171" t="str">
            <v>Công</v>
          </cell>
          <cell r="E3171">
            <v>1.1200000000000001</v>
          </cell>
          <cell r="F3171">
            <v>194680.46052631579</v>
          </cell>
          <cell r="G3171">
            <v>218042.1157894737</v>
          </cell>
        </row>
        <row r="3172">
          <cell r="A3172" t="str">
            <v>D3.2236</v>
          </cell>
          <cell r="C3172" t="str">
            <v>Lắp đặt cách điện POLIME đỡ đơn cho dây dẫn loại 220Kv, chiều cao lắp chuỗi =&lt;70m</v>
          </cell>
          <cell r="D3172" t="str">
            <v>bộ</v>
          </cell>
          <cell r="H3172">
            <v>2660</v>
          </cell>
          <cell r="I3172">
            <v>239846.32736842104</v>
          </cell>
        </row>
        <row r="3173">
          <cell r="C3173" t="str">
            <v>Vật liệu</v>
          </cell>
          <cell r="G3173">
            <v>2660</v>
          </cell>
        </row>
        <row r="3174">
          <cell r="B3174">
            <v>9</v>
          </cell>
          <cell r="C3174" t="str">
            <v>+ Giẻ lau</v>
          </cell>
          <cell r="D3174" t="str">
            <v>Kg</v>
          </cell>
          <cell r="E3174">
            <v>0.04</v>
          </cell>
          <cell r="F3174">
            <v>9500</v>
          </cell>
          <cell r="G3174">
            <v>380</v>
          </cell>
        </row>
        <row r="3175">
          <cell r="B3175">
            <v>1</v>
          </cell>
          <cell r="C3175" t="str">
            <v>+ Cồn công nghiệp</v>
          </cell>
          <cell r="D3175" t="str">
            <v>kg</v>
          </cell>
          <cell r="E3175">
            <v>0.24</v>
          </cell>
          <cell r="F3175">
            <v>9500</v>
          </cell>
          <cell r="G3175">
            <v>2280</v>
          </cell>
        </row>
        <row r="3176">
          <cell r="C3176" t="str">
            <v>Nhân công</v>
          </cell>
          <cell r="G3176">
            <v>239846.32736842104</v>
          </cell>
        </row>
        <row r="3177">
          <cell r="B3177" t="str">
            <v>NC1407</v>
          </cell>
          <cell r="C3177" t="str">
            <v>+ Nhân công bậc 4,0/7</v>
          </cell>
          <cell r="D3177" t="str">
            <v>Công</v>
          </cell>
          <cell r="E3177">
            <v>1.232</v>
          </cell>
          <cell r="F3177">
            <v>194680.46052631579</v>
          </cell>
          <cell r="G3177">
            <v>239846.32736842104</v>
          </cell>
        </row>
        <row r="3178">
          <cell r="A3178" t="str">
            <v>D3.2237</v>
          </cell>
          <cell r="C3178" t="str">
            <v>Lắp đặt cách điện POLIME đỡ đơn cho dây dẫn loại 220Kv, chiều cao lắp chuỗi &gt;70m</v>
          </cell>
          <cell r="D3178" t="str">
            <v>bộ</v>
          </cell>
          <cell r="H3178">
            <v>2660</v>
          </cell>
          <cell r="I3178">
            <v>263792.02401315788</v>
          </cell>
        </row>
        <row r="3179">
          <cell r="C3179" t="str">
            <v>Vật liệu</v>
          </cell>
          <cell r="G3179">
            <v>2660</v>
          </cell>
        </row>
        <row r="3180">
          <cell r="B3180">
            <v>9</v>
          </cell>
          <cell r="C3180" t="str">
            <v>+ Giẻ lau</v>
          </cell>
          <cell r="D3180" t="str">
            <v>Kg</v>
          </cell>
          <cell r="E3180">
            <v>0.04</v>
          </cell>
          <cell r="F3180">
            <v>9500</v>
          </cell>
          <cell r="G3180">
            <v>380</v>
          </cell>
        </row>
        <row r="3181">
          <cell r="B3181">
            <v>1</v>
          </cell>
          <cell r="C3181" t="str">
            <v>+ Cồn công nghiệp</v>
          </cell>
          <cell r="D3181" t="str">
            <v>kg</v>
          </cell>
          <cell r="E3181">
            <v>0.24</v>
          </cell>
          <cell r="F3181">
            <v>9500</v>
          </cell>
          <cell r="G3181">
            <v>2280</v>
          </cell>
        </row>
        <row r="3182">
          <cell r="C3182" t="str">
            <v>Nhân công</v>
          </cell>
          <cell r="G3182">
            <v>263792.02401315788</v>
          </cell>
        </row>
        <row r="3183">
          <cell r="B3183" t="str">
            <v>NC1407</v>
          </cell>
          <cell r="C3183" t="str">
            <v>+ Nhân công bậc 4,0/7</v>
          </cell>
          <cell r="D3183" t="str">
            <v>Công</v>
          </cell>
          <cell r="E3183">
            <v>1.355</v>
          </cell>
          <cell r="F3183">
            <v>194680.46052631579</v>
          </cell>
          <cell r="G3183">
            <v>263792.02401315788</v>
          </cell>
        </row>
        <row r="3184">
          <cell r="A3184" t="str">
            <v>D3.2311</v>
          </cell>
          <cell r="C3184" t="str">
            <v>Lắp đặt cách điện POLIME đỡ đơn cho dây lèo loại 35Kv, chiều cao lắp chuỗi =&lt;20m</v>
          </cell>
          <cell r="D3184" t="str">
            <v>bộ</v>
          </cell>
          <cell r="H3184">
            <v>902.5</v>
          </cell>
          <cell r="I3184">
            <v>39325.453026315794</v>
          </cell>
        </row>
        <row r="3185">
          <cell r="C3185" t="str">
            <v>Vật liệu</v>
          </cell>
          <cell r="G3185">
            <v>902.5</v>
          </cell>
        </row>
        <row r="3186">
          <cell r="B3186">
            <v>9</v>
          </cell>
          <cell r="C3186" t="str">
            <v>+ Giẻ lau</v>
          </cell>
          <cell r="D3186" t="str">
            <v>Kg</v>
          </cell>
          <cell r="E3186">
            <v>0.02</v>
          </cell>
          <cell r="F3186">
            <v>9500</v>
          </cell>
          <cell r="G3186">
            <v>190</v>
          </cell>
        </row>
        <row r="3187">
          <cell r="B3187">
            <v>1</v>
          </cell>
          <cell r="C3187" t="str">
            <v>+ Cồn công nghiệp</v>
          </cell>
          <cell r="D3187" t="str">
            <v>kg</v>
          </cell>
          <cell r="E3187">
            <v>7.4999999999999997E-2</v>
          </cell>
          <cell r="F3187">
            <v>9500</v>
          </cell>
          <cell r="G3187">
            <v>712.5</v>
          </cell>
        </row>
        <row r="3188">
          <cell r="C3188" t="str">
            <v>Nhân công</v>
          </cell>
          <cell r="G3188">
            <v>39325.453026315794</v>
          </cell>
        </row>
        <row r="3189">
          <cell r="B3189" t="str">
            <v>NC1407</v>
          </cell>
          <cell r="C3189" t="str">
            <v>+ Nhân công bậc 4,0/7</v>
          </cell>
          <cell r="D3189" t="str">
            <v>Công</v>
          </cell>
          <cell r="E3189">
            <v>0.20200000000000001</v>
          </cell>
          <cell r="F3189">
            <v>194680.46052631579</v>
          </cell>
          <cell r="G3189">
            <v>39325.453026315794</v>
          </cell>
        </row>
        <row r="3190">
          <cell r="A3190" t="str">
            <v>D3.2312</v>
          </cell>
          <cell r="C3190" t="str">
            <v>Lắp đặt cách điện POLIME đỡ đơn cho dây lèo loại 35Kv, chiều cao lắp chuỗi =&lt;30m</v>
          </cell>
          <cell r="D3190" t="str">
            <v>bộ</v>
          </cell>
          <cell r="H3190">
            <v>902.5</v>
          </cell>
          <cell r="I3190">
            <v>41272.257631578948</v>
          </cell>
        </row>
        <row r="3191">
          <cell r="C3191" t="str">
            <v>Vật liệu</v>
          </cell>
          <cell r="G3191">
            <v>902.5</v>
          </cell>
        </row>
        <row r="3192">
          <cell r="B3192">
            <v>9</v>
          </cell>
          <cell r="C3192" t="str">
            <v>+ Giẻ lau</v>
          </cell>
          <cell r="D3192" t="str">
            <v>Kg</v>
          </cell>
          <cell r="E3192">
            <v>0.02</v>
          </cell>
          <cell r="F3192">
            <v>9500</v>
          </cell>
          <cell r="G3192">
            <v>190</v>
          </cell>
        </row>
        <row r="3193">
          <cell r="B3193">
            <v>1</v>
          </cell>
          <cell r="C3193" t="str">
            <v>+ Cồn công nghiệp</v>
          </cell>
          <cell r="D3193" t="str">
            <v>kg</v>
          </cell>
          <cell r="E3193">
            <v>7.4999999999999997E-2</v>
          </cell>
          <cell r="F3193">
            <v>9500</v>
          </cell>
          <cell r="G3193">
            <v>712.5</v>
          </cell>
        </row>
        <row r="3194">
          <cell r="C3194" t="str">
            <v>Nhân công</v>
          </cell>
          <cell r="G3194">
            <v>41272.257631578948</v>
          </cell>
        </row>
        <row r="3195">
          <cell r="B3195" t="str">
            <v>NC1407</v>
          </cell>
          <cell r="C3195" t="str">
            <v>+ Nhân công bậc 4,0/7</v>
          </cell>
          <cell r="D3195" t="str">
            <v>Công</v>
          </cell>
          <cell r="E3195">
            <v>0.21199999999999999</v>
          </cell>
          <cell r="F3195">
            <v>194680.46052631579</v>
          </cell>
          <cell r="G3195">
            <v>41272.257631578948</v>
          </cell>
        </row>
        <row r="3196">
          <cell r="A3196" t="str">
            <v>D3.2313</v>
          </cell>
          <cell r="C3196" t="str">
            <v>Lắp đặt cách điện POLIME đỡ đơn cho dây lèo loại 35Kv, chiều cao lắp chuỗi =&lt;40m</v>
          </cell>
          <cell r="D3196" t="str">
            <v>bộ</v>
          </cell>
          <cell r="H3196">
            <v>902.5</v>
          </cell>
          <cell r="I3196">
            <v>45165.866842105264</v>
          </cell>
        </row>
        <row r="3197">
          <cell r="C3197" t="str">
            <v>Vật liệu</v>
          </cell>
          <cell r="G3197">
            <v>902.5</v>
          </cell>
        </row>
        <row r="3198">
          <cell r="B3198">
            <v>9</v>
          </cell>
          <cell r="C3198" t="str">
            <v>+ Giẻ lau</v>
          </cell>
          <cell r="D3198" t="str">
            <v>Kg</v>
          </cell>
          <cell r="E3198">
            <v>0.02</v>
          </cell>
          <cell r="F3198">
            <v>9500</v>
          </cell>
          <cell r="G3198">
            <v>190</v>
          </cell>
        </row>
        <row r="3199">
          <cell r="B3199">
            <v>1</v>
          </cell>
          <cell r="C3199" t="str">
            <v>+ Cồn công nghiệp</v>
          </cell>
          <cell r="D3199" t="str">
            <v>kg</v>
          </cell>
          <cell r="E3199">
            <v>7.4999999999999997E-2</v>
          </cell>
          <cell r="F3199">
            <v>9500</v>
          </cell>
          <cell r="G3199">
            <v>712.5</v>
          </cell>
        </row>
        <row r="3200">
          <cell r="C3200" t="str">
            <v>Nhân công</v>
          </cell>
          <cell r="G3200">
            <v>45165.866842105264</v>
          </cell>
        </row>
        <row r="3201">
          <cell r="B3201" t="str">
            <v>NC1407</v>
          </cell>
          <cell r="C3201" t="str">
            <v>+ Nhân công bậc 4,0/7</v>
          </cell>
          <cell r="D3201" t="str">
            <v>Công</v>
          </cell>
          <cell r="E3201">
            <v>0.23200000000000001</v>
          </cell>
          <cell r="F3201">
            <v>194680.46052631579</v>
          </cell>
          <cell r="G3201">
            <v>45165.866842105264</v>
          </cell>
        </row>
        <row r="3202">
          <cell r="A3202" t="str">
            <v>D3.2321</v>
          </cell>
          <cell r="C3202" t="str">
            <v>Lắp đặt cách điện POLIME đỡ đơn cho dây lèo loại 110Kv, chiều cao lắp chuỗi =&lt;20m</v>
          </cell>
          <cell r="D3202" t="str">
            <v>bộ</v>
          </cell>
          <cell r="H3202">
            <v>1852.5</v>
          </cell>
          <cell r="I3202">
            <v>88384.929078947374</v>
          </cell>
        </row>
        <row r="3203">
          <cell r="C3203" t="str">
            <v>Vật liệu</v>
          </cell>
          <cell r="G3203">
            <v>1852.5</v>
          </cell>
        </row>
        <row r="3204">
          <cell r="B3204">
            <v>9</v>
          </cell>
          <cell r="C3204" t="str">
            <v>+ Giẻ lau</v>
          </cell>
          <cell r="D3204" t="str">
            <v>Kg</v>
          </cell>
          <cell r="E3204">
            <v>0.03</v>
          </cell>
          <cell r="F3204">
            <v>9500</v>
          </cell>
          <cell r="G3204">
            <v>285</v>
          </cell>
        </row>
        <row r="3205">
          <cell r="B3205">
            <v>1</v>
          </cell>
          <cell r="C3205" t="str">
            <v>+ Cồn công nghiệp</v>
          </cell>
          <cell r="D3205" t="str">
            <v>kg</v>
          </cell>
          <cell r="E3205">
            <v>0.16500000000000001</v>
          </cell>
          <cell r="F3205">
            <v>9500</v>
          </cell>
          <cell r="G3205">
            <v>1567.5</v>
          </cell>
        </row>
        <row r="3206">
          <cell r="C3206" t="str">
            <v>Nhân công</v>
          </cell>
          <cell r="G3206">
            <v>88384.929078947374</v>
          </cell>
        </row>
        <row r="3207">
          <cell r="B3207" t="str">
            <v>NC1407</v>
          </cell>
          <cell r="C3207" t="str">
            <v>+ Nhân công bậc 4,0/7</v>
          </cell>
          <cell r="D3207" t="str">
            <v>Công</v>
          </cell>
          <cell r="E3207">
            <v>0.45400000000000001</v>
          </cell>
          <cell r="F3207">
            <v>194680.46052631579</v>
          </cell>
          <cell r="G3207">
            <v>88384.929078947374</v>
          </cell>
        </row>
        <row r="3208">
          <cell r="A3208" t="str">
            <v>D3.2322</v>
          </cell>
          <cell r="C3208" t="str">
            <v>Lắp đặt cách điện POLIME đỡ đơn cho dây lèo loại 110Kv, chiều cao lắp chuỗi =&lt;30m</v>
          </cell>
          <cell r="D3208" t="str">
            <v>bộ</v>
          </cell>
          <cell r="H3208">
            <v>1852.5</v>
          </cell>
          <cell r="I3208">
            <v>93251.940592105253</v>
          </cell>
        </row>
        <row r="3209">
          <cell r="C3209" t="str">
            <v>Vật liệu</v>
          </cell>
          <cell r="G3209">
            <v>1852.5</v>
          </cell>
        </row>
        <row r="3210">
          <cell r="B3210">
            <v>9</v>
          </cell>
          <cell r="C3210" t="str">
            <v>+ Giẻ lau</v>
          </cell>
          <cell r="D3210" t="str">
            <v>Kg</v>
          </cell>
          <cell r="E3210">
            <v>0.03</v>
          </cell>
          <cell r="F3210">
            <v>9500</v>
          </cell>
          <cell r="G3210">
            <v>285</v>
          </cell>
        </row>
        <row r="3211">
          <cell r="B3211">
            <v>1</v>
          </cell>
          <cell r="C3211" t="str">
            <v>+ Cồn công nghiệp</v>
          </cell>
          <cell r="D3211" t="str">
            <v>kg</v>
          </cell>
          <cell r="E3211">
            <v>0.16500000000000001</v>
          </cell>
          <cell r="F3211">
            <v>9500</v>
          </cell>
          <cell r="G3211">
            <v>1567.5</v>
          </cell>
        </row>
        <row r="3212">
          <cell r="C3212" t="str">
            <v>Nhân công</v>
          </cell>
          <cell r="G3212">
            <v>93251.940592105253</v>
          </cell>
        </row>
        <row r="3213">
          <cell r="B3213" t="str">
            <v>NC1407</v>
          </cell>
          <cell r="C3213" t="str">
            <v>+ Nhân công bậc 4,0/7</v>
          </cell>
          <cell r="D3213" t="str">
            <v>Công</v>
          </cell>
          <cell r="E3213">
            <v>0.47899999999999998</v>
          </cell>
          <cell r="F3213">
            <v>194680.46052631579</v>
          </cell>
          <cell r="G3213">
            <v>93251.940592105253</v>
          </cell>
        </row>
        <row r="3214">
          <cell r="A3214" t="str">
            <v>D3.2323</v>
          </cell>
          <cell r="C3214" t="str">
            <v>Lắp đặt cách điện POLIME đỡ đơn cho dây lèo loại 110Kv, chiều cao lắp chuỗi =&lt;40m</v>
          </cell>
          <cell r="D3214" t="str">
            <v>bộ</v>
          </cell>
          <cell r="H3214">
            <v>1852.5</v>
          </cell>
          <cell r="I3214">
            <v>102012.56131578947</v>
          </cell>
        </row>
        <row r="3215">
          <cell r="C3215" t="str">
            <v>Vật liệu</v>
          </cell>
          <cell r="G3215">
            <v>1852.5</v>
          </cell>
        </row>
        <row r="3216">
          <cell r="B3216">
            <v>9</v>
          </cell>
          <cell r="C3216" t="str">
            <v>+ Giẻ lau</v>
          </cell>
          <cell r="D3216" t="str">
            <v>Kg</v>
          </cell>
          <cell r="E3216">
            <v>0.03</v>
          </cell>
          <cell r="F3216">
            <v>9500</v>
          </cell>
          <cell r="G3216">
            <v>285</v>
          </cell>
        </row>
        <row r="3217">
          <cell r="B3217">
            <v>1</v>
          </cell>
          <cell r="C3217" t="str">
            <v>+ Cồn công nghiệp</v>
          </cell>
          <cell r="D3217" t="str">
            <v>kg</v>
          </cell>
          <cell r="E3217">
            <v>0.16500000000000001</v>
          </cell>
          <cell r="F3217">
            <v>9500</v>
          </cell>
          <cell r="G3217">
            <v>1567.5</v>
          </cell>
        </row>
        <row r="3218">
          <cell r="C3218" t="str">
            <v>Nhân công</v>
          </cell>
          <cell r="G3218">
            <v>102012.56131578947</v>
          </cell>
        </row>
        <row r="3219">
          <cell r="B3219" t="str">
            <v>NC1407</v>
          </cell>
          <cell r="C3219" t="str">
            <v>+ Nhân công bậc 4,0/7</v>
          </cell>
          <cell r="D3219" t="str">
            <v>Công</v>
          </cell>
          <cell r="E3219">
            <v>0.52400000000000002</v>
          </cell>
          <cell r="F3219">
            <v>194680.46052631579</v>
          </cell>
          <cell r="G3219">
            <v>102012.56131578947</v>
          </cell>
        </row>
        <row r="3220">
          <cell r="A3220" t="str">
            <v>D3.2324</v>
          </cell>
          <cell r="C3220" t="str">
            <v>Lắp đặt cách điện POLIME đỡ đơn cho dây lèo loại 110Kv, chiều cao lắp chuỗi =&lt;50m</v>
          </cell>
          <cell r="D3220" t="str">
            <v>bộ</v>
          </cell>
          <cell r="H3220">
            <v>1852.5</v>
          </cell>
          <cell r="I3220">
            <v>117781.67861842105</v>
          </cell>
        </row>
        <row r="3221">
          <cell r="C3221" t="str">
            <v>Vật liệu</v>
          </cell>
          <cell r="G3221">
            <v>1852.5</v>
          </cell>
        </row>
        <row r="3222">
          <cell r="B3222">
            <v>9</v>
          </cell>
          <cell r="C3222" t="str">
            <v>+ Giẻ lau</v>
          </cell>
          <cell r="D3222" t="str">
            <v>Kg</v>
          </cell>
          <cell r="E3222">
            <v>0.03</v>
          </cell>
          <cell r="F3222">
            <v>9500</v>
          </cell>
          <cell r="G3222">
            <v>285</v>
          </cell>
        </row>
        <row r="3223">
          <cell r="B3223">
            <v>1</v>
          </cell>
          <cell r="C3223" t="str">
            <v>+ Cồn công nghiệp</v>
          </cell>
          <cell r="D3223" t="str">
            <v>kg</v>
          </cell>
          <cell r="E3223">
            <v>0.16500000000000001</v>
          </cell>
          <cell r="F3223">
            <v>9500</v>
          </cell>
          <cell r="G3223">
            <v>1567.5</v>
          </cell>
        </row>
        <row r="3224">
          <cell r="C3224" t="str">
            <v>Nhân công</v>
          </cell>
          <cell r="G3224">
            <v>117781.67861842105</v>
          </cell>
        </row>
        <row r="3225">
          <cell r="B3225" t="str">
            <v>NC1407</v>
          </cell>
          <cell r="C3225" t="str">
            <v>+ Nhân công bậc 4,0/7</v>
          </cell>
          <cell r="D3225" t="str">
            <v>Công</v>
          </cell>
          <cell r="E3225">
            <v>0.60499999999999998</v>
          </cell>
          <cell r="F3225">
            <v>194680.46052631579</v>
          </cell>
          <cell r="G3225">
            <v>117781.67861842105</v>
          </cell>
        </row>
        <row r="3226">
          <cell r="A3226" t="str">
            <v>D3.2325</v>
          </cell>
          <cell r="C3226" t="str">
            <v>Lắp đặt cách điện POLIME đỡ đơn cho dây lèo loại 110Kv, chiều cao lắp chuỗi =&lt;60m</v>
          </cell>
          <cell r="D3226" t="str">
            <v>bộ</v>
          </cell>
          <cell r="H3226">
            <v>1852.5</v>
          </cell>
          <cell r="I3226">
            <v>129462.50625000001</v>
          </cell>
        </row>
        <row r="3227">
          <cell r="C3227" t="str">
            <v>Vật liệu</v>
          </cell>
          <cell r="G3227">
            <v>1852.5</v>
          </cell>
        </row>
        <row r="3228">
          <cell r="B3228">
            <v>9</v>
          </cell>
          <cell r="C3228" t="str">
            <v>+ Giẻ lau</v>
          </cell>
          <cell r="D3228" t="str">
            <v>Kg</v>
          </cell>
          <cell r="E3228">
            <v>0.03</v>
          </cell>
          <cell r="F3228">
            <v>9500</v>
          </cell>
          <cell r="G3228">
            <v>285</v>
          </cell>
        </row>
        <row r="3229">
          <cell r="B3229">
            <v>1</v>
          </cell>
          <cell r="C3229" t="str">
            <v>+ Cồn công nghiệp</v>
          </cell>
          <cell r="D3229" t="str">
            <v>kg</v>
          </cell>
          <cell r="E3229">
            <v>0.16500000000000001</v>
          </cell>
          <cell r="F3229">
            <v>9500</v>
          </cell>
          <cell r="G3229">
            <v>1567.5</v>
          </cell>
        </row>
        <row r="3230">
          <cell r="C3230" t="str">
            <v>Nhân công</v>
          </cell>
          <cell r="G3230">
            <v>129462.50625000001</v>
          </cell>
        </row>
        <row r="3231">
          <cell r="B3231" t="str">
            <v>NC1407</v>
          </cell>
          <cell r="C3231" t="str">
            <v>+ Nhân công bậc 4,0/7</v>
          </cell>
          <cell r="D3231" t="str">
            <v>Công</v>
          </cell>
          <cell r="E3231">
            <v>0.66500000000000004</v>
          </cell>
          <cell r="F3231">
            <v>194680.46052631579</v>
          </cell>
          <cell r="G3231">
            <v>129462.50625000001</v>
          </cell>
        </row>
        <row r="3232">
          <cell r="A3232" t="str">
            <v>D3.2326</v>
          </cell>
          <cell r="C3232" t="str">
            <v>Lắp đặt cách điện POLIME đỡ đơn cho dây lèo loại 110Kv, chiều cao lắp chuỗi =&lt;70m</v>
          </cell>
          <cell r="D3232" t="str">
            <v>bộ</v>
          </cell>
          <cell r="H3232">
            <v>1852.5</v>
          </cell>
          <cell r="I3232">
            <v>142506.09710526315</v>
          </cell>
        </row>
        <row r="3233">
          <cell r="C3233" t="str">
            <v>Vật liệu</v>
          </cell>
          <cell r="G3233">
            <v>1852.5</v>
          </cell>
        </row>
        <row r="3234">
          <cell r="B3234">
            <v>9</v>
          </cell>
          <cell r="C3234" t="str">
            <v>+ Giẻ lau</v>
          </cell>
          <cell r="D3234" t="str">
            <v>Kg</v>
          </cell>
          <cell r="E3234">
            <v>0.03</v>
          </cell>
          <cell r="F3234">
            <v>9500</v>
          </cell>
          <cell r="G3234">
            <v>285</v>
          </cell>
        </row>
        <row r="3235">
          <cell r="B3235">
            <v>1</v>
          </cell>
          <cell r="C3235" t="str">
            <v>+ Cồn công nghiệp</v>
          </cell>
          <cell r="D3235" t="str">
            <v>kg</v>
          </cell>
          <cell r="E3235">
            <v>0.16500000000000001</v>
          </cell>
          <cell r="F3235">
            <v>9500</v>
          </cell>
          <cell r="G3235">
            <v>1567.5</v>
          </cell>
        </row>
        <row r="3236">
          <cell r="C3236" t="str">
            <v>Nhân công</v>
          </cell>
          <cell r="G3236">
            <v>142506.09710526315</v>
          </cell>
        </row>
        <row r="3237">
          <cell r="B3237" t="str">
            <v>NC1407</v>
          </cell>
          <cell r="C3237" t="str">
            <v>+ Nhân công bậc 4,0/7</v>
          </cell>
          <cell r="D3237" t="str">
            <v>Công</v>
          </cell>
          <cell r="E3237">
            <v>0.73199999999999998</v>
          </cell>
          <cell r="F3237">
            <v>194680.46052631579</v>
          </cell>
          <cell r="G3237">
            <v>142506.09710526315</v>
          </cell>
        </row>
        <row r="3238">
          <cell r="A3238" t="str">
            <v>D3.2327</v>
          </cell>
          <cell r="C3238" t="str">
            <v>Lắp đặt cách điện POLIME đỡ đơn cho dây lèo loại 110Kv, chiều cao lắp chuỗi &gt;70m</v>
          </cell>
          <cell r="D3238" t="str">
            <v>bộ</v>
          </cell>
          <cell r="H3238">
            <v>1852.5</v>
          </cell>
          <cell r="I3238">
            <v>156717.77072368423</v>
          </cell>
        </row>
        <row r="3239">
          <cell r="C3239" t="str">
            <v>Vật liệu</v>
          </cell>
          <cell r="G3239">
            <v>1852.5</v>
          </cell>
        </row>
        <row r="3240">
          <cell r="B3240">
            <v>9</v>
          </cell>
          <cell r="C3240" t="str">
            <v>+ Giẻ lau</v>
          </cell>
          <cell r="D3240" t="str">
            <v>Kg</v>
          </cell>
          <cell r="E3240">
            <v>0.03</v>
          </cell>
          <cell r="F3240">
            <v>9500</v>
          </cell>
          <cell r="G3240">
            <v>285</v>
          </cell>
        </row>
        <row r="3241">
          <cell r="B3241">
            <v>1</v>
          </cell>
          <cell r="C3241" t="str">
            <v>+ Cồn công nghiệp</v>
          </cell>
          <cell r="D3241" t="str">
            <v>kg</v>
          </cell>
          <cell r="E3241">
            <v>0.16500000000000001</v>
          </cell>
          <cell r="F3241">
            <v>9500</v>
          </cell>
          <cell r="G3241">
            <v>1567.5</v>
          </cell>
        </row>
        <row r="3242">
          <cell r="C3242" t="str">
            <v>Nhân công</v>
          </cell>
          <cell r="G3242">
            <v>156717.77072368423</v>
          </cell>
        </row>
        <row r="3243">
          <cell r="B3243" t="str">
            <v>NC1407</v>
          </cell>
          <cell r="C3243" t="str">
            <v>+ Nhân công bậc 4,0/7</v>
          </cell>
          <cell r="D3243" t="str">
            <v>Công</v>
          </cell>
          <cell r="E3243">
            <v>0.80500000000000005</v>
          </cell>
          <cell r="F3243">
            <v>194680.46052631579</v>
          </cell>
          <cell r="G3243">
            <v>156717.77072368423</v>
          </cell>
        </row>
        <row r="3244">
          <cell r="A3244" t="str">
            <v>D3.2331</v>
          </cell>
          <cell r="C3244" t="str">
            <v>Lắp đặt cách điện POLIME đỡ đơn cho dây lèo loại 220Kv, chiều cao lắp chuỗi =&lt;20m</v>
          </cell>
          <cell r="D3244" t="str">
            <v>bộ</v>
          </cell>
          <cell r="H3244">
            <v>2660</v>
          </cell>
          <cell r="I3244">
            <v>134329.51776315787</v>
          </cell>
        </row>
        <row r="3245">
          <cell r="C3245" t="str">
            <v>Vật liệu</v>
          </cell>
          <cell r="G3245">
            <v>2660</v>
          </cell>
        </row>
        <row r="3246">
          <cell r="B3246">
            <v>9</v>
          </cell>
          <cell r="C3246" t="str">
            <v>+ Giẻ lau</v>
          </cell>
          <cell r="D3246" t="str">
            <v>Kg</v>
          </cell>
          <cell r="E3246">
            <v>0.04</v>
          </cell>
          <cell r="F3246">
            <v>9500</v>
          </cell>
          <cell r="G3246">
            <v>380</v>
          </cell>
        </row>
        <row r="3247">
          <cell r="B3247">
            <v>1</v>
          </cell>
          <cell r="C3247" t="str">
            <v>+ Cồn công nghiệp</v>
          </cell>
          <cell r="D3247" t="str">
            <v>kg</v>
          </cell>
          <cell r="E3247">
            <v>0.24</v>
          </cell>
          <cell r="F3247">
            <v>9500</v>
          </cell>
          <cell r="G3247">
            <v>2280</v>
          </cell>
        </row>
        <row r="3248">
          <cell r="C3248" t="str">
            <v>Nhân công</v>
          </cell>
          <cell r="G3248">
            <v>134329.51776315787</v>
          </cell>
        </row>
        <row r="3249">
          <cell r="B3249" t="str">
            <v>NC1407</v>
          </cell>
          <cell r="C3249" t="str">
            <v>+ Nhân công bậc 4,0/7</v>
          </cell>
          <cell r="D3249" t="str">
            <v>Công</v>
          </cell>
          <cell r="E3249">
            <v>0.69</v>
          </cell>
          <cell r="F3249">
            <v>194680.46052631579</v>
          </cell>
          <cell r="G3249">
            <v>134329.51776315787</v>
          </cell>
        </row>
        <row r="3250">
          <cell r="A3250" t="str">
            <v>D3.2332</v>
          </cell>
          <cell r="C3250" t="str">
            <v>Lắp đặt cách điện POLIME đỡ đơn cho dây lèo loại 220Kv, chiều cao lắp chuỗi =&lt;30m</v>
          </cell>
          <cell r="D3250" t="str">
            <v>bộ</v>
          </cell>
          <cell r="H3250">
            <v>2660</v>
          </cell>
          <cell r="I3250">
            <v>141338.01434210525</v>
          </cell>
        </row>
        <row r="3251">
          <cell r="C3251" t="str">
            <v>Vật liệu</v>
          </cell>
          <cell r="G3251">
            <v>2660</v>
          </cell>
        </row>
        <row r="3252">
          <cell r="B3252">
            <v>9</v>
          </cell>
          <cell r="C3252" t="str">
            <v>+ Giẻ lau</v>
          </cell>
          <cell r="D3252" t="str">
            <v>Kg</v>
          </cell>
          <cell r="E3252">
            <v>0.04</v>
          </cell>
          <cell r="F3252">
            <v>9500</v>
          </cell>
          <cell r="G3252">
            <v>380</v>
          </cell>
        </row>
        <row r="3253">
          <cell r="B3253">
            <v>1</v>
          </cell>
          <cell r="C3253" t="str">
            <v>+ Cồn công nghiệp</v>
          </cell>
          <cell r="D3253" t="str">
            <v>kg</v>
          </cell>
          <cell r="E3253">
            <v>0.24</v>
          </cell>
          <cell r="F3253">
            <v>9500</v>
          </cell>
          <cell r="G3253">
            <v>2280</v>
          </cell>
        </row>
        <row r="3254">
          <cell r="C3254" t="str">
            <v>Nhân công</v>
          </cell>
          <cell r="G3254">
            <v>141338.01434210525</v>
          </cell>
        </row>
        <row r="3255">
          <cell r="B3255" t="str">
            <v>NC1407</v>
          </cell>
          <cell r="C3255" t="str">
            <v>+ Nhân công bậc 4,0/7</v>
          </cell>
          <cell r="D3255" t="str">
            <v>Công</v>
          </cell>
          <cell r="E3255">
            <v>0.72599999999999998</v>
          </cell>
          <cell r="F3255">
            <v>194680.46052631579</v>
          </cell>
          <cell r="G3255">
            <v>141338.01434210525</v>
          </cell>
        </row>
        <row r="3256">
          <cell r="A3256" t="str">
            <v>D3.2333</v>
          </cell>
          <cell r="C3256" t="str">
            <v>Lắp đặt cách điện POLIME đỡ đơn cho dây lèo loại 220Kv, chiều cao lắp chuỗi =&lt;40m</v>
          </cell>
          <cell r="D3256" t="str">
            <v>bộ</v>
          </cell>
          <cell r="H3256">
            <v>2660</v>
          </cell>
          <cell r="I3256">
            <v>153992.24427631579</v>
          </cell>
        </row>
        <row r="3257">
          <cell r="C3257" t="str">
            <v>Vật liệu</v>
          </cell>
          <cell r="G3257">
            <v>2660</v>
          </cell>
        </row>
        <row r="3258">
          <cell r="B3258">
            <v>9</v>
          </cell>
          <cell r="C3258" t="str">
            <v>+ Giẻ lau</v>
          </cell>
          <cell r="D3258" t="str">
            <v>Kg</v>
          </cell>
          <cell r="E3258">
            <v>0.04</v>
          </cell>
          <cell r="F3258">
            <v>9500</v>
          </cell>
          <cell r="G3258">
            <v>380</v>
          </cell>
        </row>
        <row r="3259">
          <cell r="B3259">
            <v>1</v>
          </cell>
          <cell r="C3259" t="str">
            <v>+ Cồn công nghiệp</v>
          </cell>
          <cell r="D3259" t="str">
            <v>kg</v>
          </cell>
          <cell r="E3259">
            <v>0.24</v>
          </cell>
          <cell r="F3259">
            <v>9500</v>
          </cell>
          <cell r="G3259">
            <v>2280</v>
          </cell>
        </row>
        <row r="3260">
          <cell r="C3260" t="str">
            <v>Nhân công</v>
          </cell>
          <cell r="G3260">
            <v>153992.24427631579</v>
          </cell>
        </row>
        <row r="3261">
          <cell r="B3261" t="str">
            <v>NC1407</v>
          </cell>
          <cell r="C3261" t="str">
            <v>+ Nhân công bậc 4,0/7</v>
          </cell>
          <cell r="D3261" t="str">
            <v>Công</v>
          </cell>
          <cell r="E3261">
            <v>0.79100000000000004</v>
          </cell>
          <cell r="F3261">
            <v>194680.46052631579</v>
          </cell>
          <cell r="G3261">
            <v>153992.24427631579</v>
          </cell>
        </row>
        <row r="3262">
          <cell r="A3262" t="str">
            <v>D3.2334</v>
          </cell>
          <cell r="C3262" t="str">
            <v>Lắp đặt cách điện POLIME đỡ đơn cho dây lèo loại 220Kv, chiều cao lắp chuỗi =&lt;50m</v>
          </cell>
          <cell r="D3262" t="str">
            <v>bộ</v>
          </cell>
          <cell r="H3262">
            <v>2660</v>
          </cell>
          <cell r="I3262">
            <v>176575.17769736843</v>
          </cell>
        </row>
        <row r="3263">
          <cell r="C3263" t="str">
            <v>Vật liệu</v>
          </cell>
          <cell r="G3263">
            <v>2660</v>
          </cell>
        </row>
        <row r="3264">
          <cell r="B3264">
            <v>9</v>
          </cell>
          <cell r="C3264" t="str">
            <v>+ Giẻ lau</v>
          </cell>
          <cell r="D3264" t="str">
            <v>Kg</v>
          </cell>
          <cell r="E3264">
            <v>0.04</v>
          </cell>
          <cell r="F3264">
            <v>9500</v>
          </cell>
          <cell r="G3264">
            <v>380</v>
          </cell>
        </row>
        <row r="3265">
          <cell r="B3265">
            <v>1</v>
          </cell>
          <cell r="C3265" t="str">
            <v>+ Cồn công nghiệp</v>
          </cell>
          <cell r="D3265" t="str">
            <v>kg</v>
          </cell>
          <cell r="E3265">
            <v>0.24</v>
          </cell>
          <cell r="F3265">
            <v>9500</v>
          </cell>
          <cell r="G3265">
            <v>2280</v>
          </cell>
        </row>
        <row r="3266">
          <cell r="C3266" t="str">
            <v>Nhân công</v>
          </cell>
          <cell r="G3266">
            <v>176575.17769736843</v>
          </cell>
        </row>
        <row r="3267">
          <cell r="B3267" t="str">
            <v>NC1407</v>
          </cell>
          <cell r="C3267" t="str">
            <v>+ Nhân công bậc 4,0/7</v>
          </cell>
          <cell r="D3267" t="str">
            <v>Công</v>
          </cell>
          <cell r="E3267">
            <v>0.90700000000000003</v>
          </cell>
          <cell r="F3267">
            <v>194680.46052631579</v>
          </cell>
          <cell r="G3267">
            <v>176575.17769736843</v>
          </cell>
        </row>
        <row r="3268">
          <cell r="A3268" t="str">
            <v>D3.2335</v>
          </cell>
          <cell r="C3268" t="str">
            <v>Lắp đặt cách điện POLIME đỡ đơn cho dây lèo loại 220Kv, chiều cao lắp chuỗi =&lt;60m</v>
          </cell>
          <cell r="D3268" t="str">
            <v>bộ</v>
          </cell>
          <cell r="H3268">
            <v>2660</v>
          </cell>
          <cell r="I3268">
            <v>196237.90421052632</v>
          </cell>
        </row>
        <row r="3269">
          <cell r="C3269" t="str">
            <v>Vật liệu</v>
          </cell>
          <cell r="G3269">
            <v>2660</v>
          </cell>
        </row>
        <row r="3270">
          <cell r="B3270">
            <v>9</v>
          </cell>
          <cell r="C3270" t="str">
            <v>+ Giẻ lau</v>
          </cell>
          <cell r="D3270" t="str">
            <v>Kg</v>
          </cell>
          <cell r="E3270">
            <v>0.04</v>
          </cell>
          <cell r="F3270">
            <v>9500</v>
          </cell>
          <cell r="G3270">
            <v>380</v>
          </cell>
        </row>
        <row r="3271">
          <cell r="B3271">
            <v>1</v>
          </cell>
          <cell r="C3271" t="str">
            <v>+ Cồn công nghiệp</v>
          </cell>
          <cell r="D3271" t="str">
            <v>kg</v>
          </cell>
          <cell r="E3271">
            <v>0.24</v>
          </cell>
          <cell r="F3271">
            <v>9500</v>
          </cell>
          <cell r="G3271">
            <v>2280</v>
          </cell>
        </row>
        <row r="3272">
          <cell r="C3272" t="str">
            <v>Nhân công</v>
          </cell>
          <cell r="G3272">
            <v>196237.90421052632</v>
          </cell>
        </row>
        <row r="3273">
          <cell r="B3273" t="str">
            <v>NC1407</v>
          </cell>
          <cell r="C3273" t="str">
            <v>+ Nhân công bậc 4,0/7</v>
          </cell>
          <cell r="D3273" t="str">
            <v>Công</v>
          </cell>
          <cell r="E3273">
            <v>1.008</v>
          </cell>
          <cell r="F3273">
            <v>194680.46052631579</v>
          </cell>
          <cell r="G3273">
            <v>196237.90421052632</v>
          </cell>
        </row>
        <row r="3274">
          <cell r="A3274" t="str">
            <v>D3.2336</v>
          </cell>
          <cell r="C3274" t="str">
            <v>Lắp đặt cách điện POLIME đỡ đơn cho dây lèo loại 220Kv, chiều cao lắp chuỗi =&lt;70m</v>
          </cell>
          <cell r="D3274" t="str">
            <v>bộ</v>
          </cell>
          <cell r="H3274">
            <v>2660</v>
          </cell>
          <cell r="I3274">
            <v>215900.63072368421</v>
          </cell>
        </row>
        <row r="3275">
          <cell r="C3275" t="str">
            <v>Vật liệu</v>
          </cell>
          <cell r="G3275">
            <v>2660</v>
          </cell>
        </row>
        <row r="3276">
          <cell r="B3276">
            <v>9</v>
          </cell>
          <cell r="C3276" t="str">
            <v>+ Giẻ lau</v>
          </cell>
          <cell r="D3276" t="str">
            <v>Kg</v>
          </cell>
          <cell r="E3276">
            <v>0.04</v>
          </cell>
          <cell r="F3276">
            <v>9500</v>
          </cell>
          <cell r="G3276">
            <v>380</v>
          </cell>
        </row>
        <row r="3277">
          <cell r="B3277">
            <v>1</v>
          </cell>
          <cell r="C3277" t="str">
            <v>+ Cồn công nghiệp</v>
          </cell>
          <cell r="D3277" t="str">
            <v>kg</v>
          </cell>
          <cell r="E3277">
            <v>0.24</v>
          </cell>
          <cell r="F3277">
            <v>9500</v>
          </cell>
          <cell r="G3277">
            <v>2280</v>
          </cell>
        </row>
        <row r="3278">
          <cell r="C3278" t="str">
            <v>Nhân công</v>
          </cell>
          <cell r="G3278">
            <v>215900.63072368421</v>
          </cell>
        </row>
        <row r="3279">
          <cell r="B3279" t="str">
            <v>NC1407</v>
          </cell>
          <cell r="C3279" t="str">
            <v>+ Nhân công bậc 4,0/7</v>
          </cell>
          <cell r="D3279" t="str">
            <v>Công</v>
          </cell>
          <cell r="E3279">
            <v>1.109</v>
          </cell>
          <cell r="F3279">
            <v>194680.46052631579</v>
          </cell>
          <cell r="G3279">
            <v>215900.63072368421</v>
          </cell>
        </row>
        <row r="3280">
          <cell r="A3280" t="str">
            <v>D3.2337</v>
          </cell>
          <cell r="C3280" t="str">
            <v>Lắp đặt cách điện POLIME đỡ đơn cho dây lèo loại 220Kv, chiều cao lắp chuỗi &gt;70m</v>
          </cell>
          <cell r="D3280" t="str">
            <v>bộ</v>
          </cell>
          <cell r="H3280">
            <v>2660</v>
          </cell>
          <cell r="I3280">
            <v>237510.16184210524</v>
          </cell>
        </row>
        <row r="3281">
          <cell r="C3281" t="str">
            <v>Vật liệu</v>
          </cell>
          <cell r="G3281">
            <v>2660</v>
          </cell>
        </row>
        <row r="3282">
          <cell r="B3282">
            <v>9</v>
          </cell>
          <cell r="C3282" t="str">
            <v>+ Giẻ lau</v>
          </cell>
          <cell r="D3282" t="str">
            <v>Kg</v>
          </cell>
          <cell r="E3282">
            <v>0.04</v>
          </cell>
          <cell r="F3282">
            <v>9500</v>
          </cell>
          <cell r="G3282">
            <v>380</v>
          </cell>
        </row>
        <row r="3283">
          <cell r="B3283">
            <v>1</v>
          </cell>
          <cell r="C3283" t="str">
            <v>+ Cồn công nghiệp</v>
          </cell>
          <cell r="D3283" t="str">
            <v>kg</v>
          </cell>
          <cell r="E3283">
            <v>0.24</v>
          </cell>
          <cell r="F3283">
            <v>9500</v>
          </cell>
          <cell r="G3283">
            <v>2280</v>
          </cell>
        </row>
        <row r="3284">
          <cell r="C3284" t="str">
            <v>Nhân công</v>
          </cell>
          <cell r="G3284">
            <v>237510.16184210524</v>
          </cell>
        </row>
        <row r="3285">
          <cell r="B3285" t="str">
            <v>NC1407</v>
          </cell>
          <cell r="C3285" t="str">
            <v>+ Nhân công bậc 4,0/7</v>
          </cell>
          <cell r="D3285" t="str">
            <v>Công</v>
          </cell>
          <cell r="E3285">
            <v>1.22</v>
          </cell>
          <cell r="F3285">
            <v>194680.46052631579</v>
          </cell>
          <cell r="G3285">
            <v>237510.16184210524</v>
          </cell>
        </row>
        <row r="3286">
          <cell r="A3286" t="str">
            <v>D3.2411</v>
          </cell>
          <cell r="C3286" t="str">
            <v>Lắp đặt cách điện POLIME néo đơn cho dây dẫn loại 35Kv, chiều cao lắp chuỗi =&lt;20m</v>
          </cell>
          <cell r="D3286" t="str">
            <v>bộ</v>
          </cell>
          <cell r="H3286">
            <v>902.5</v>
          </cell>
          <cell r="I3286">
            <v>49059.47605263158</v>
          </cell>
        </row>
        <row r="3287">
          <cell r="C3287" t="str">
            <v>Vật liệu</v>
          </cell>
          <cell r="G3287">
            <v>902.5</v>
          </cell>
        </row>
        <row r="3288">
          <cell r="B3288">
            <v>9</v>
          </cell>
          <cell r="C3288" t="str">
            <v>+ Giẻ lau</v>
          </cell>
          <cell r="D3288" t="str">
            <v>Kg</v>
          </cell>
          <cell r="E3288">
            <v>0.02</v>
          </cell>
          <cell r="F3288">
            <v>9500</v>
          </cell>
          <cell r="G3288">
            <v>190</v>
          </cell>
        </row>
        <row r="3289">
          <cell r="B3289">
            <v>1</v>
          </cell>
          <cell r="C3289" t="str">
            <v>+ Cồn công nghiệp</v>
          </cell>
          <cell r="D3289" t="str">
            <v>kg</v>
          </cell>
          <cell r="E3289">
            <v>7.4999999999999997E-2</v>
          </cell>
          <cell r="F3289">
            <v>9500</v>
          </cell>
          <cell r="G3289">
            <v>712.5</v>
          </cell>
        </row>
        <row r="3290">
          <cell r="C3290" t="str">
            <v>Nhân công</v>
          </cell>
          <cell r="G3290">
            <v>49059.47605263158</v>
          </cell>
        </row>
        <row r="3291">
          <cell r="B3291" t="str">
            <v>NC1407</v>
          </cell>
          <cell r="C3291" t="str">
            <v>+ Nhân công bậc 4,0/7</v>
          </cell>
          <cell r="D3291" t="str">
            <v>Công</v>
          </cell>
          <cell r="E3291">
            <v>0.252</v>
          </cell>
          <cell r="F3291">
            <v>194680.46052631579</v>
          </cell>
          <cell r="G3291">
            <v>49059.47605263158</v>
          </cell>
        </row>
        <row r="3292">
          <cell r="A3292" t="str">
            <v>D3.2412</v>
          </cell>
          <cell r="C3292" t="str">
            <v>Lắp đặt cách điện POLIME néo đơn cho dây dẫn loại 35Kv, chiều cao lắp chuỗi =&lt;30m</v>
          </cell>
          <cell r="D3292" t="str">
            <v>bộ</v>
          </cell>
          <cell r="H3292">
            <v>902.5</v>
          </cell>
          <cell r="I3292">
            <v>51200.961118421052</v>
          </cell>
        </row>
        <row r="3293">
          <cell r="C3293" t="str">
            <v>Vật liệu</v>
          </cell>
          <cell r="G3293">
            <v>902.5</v>
          </cell>
        </row>
        <row r="3294">
          <cell r="B3294">
            <v>9</v>
          </cell>
          <cell r="C3294" t="str">
            <v>+ Giẻ lau</v>
          </cell>
          <cell r="D3294" t="str">
            <v>Kg</v>
          </cell>
          <cell r="E3294">
            <v>0.02</v>
          </cell>
          <cell r="F3294">
            <v>9500</v>
          </cell>
          <cell r="G3294">
            <v>190</v>
          </cell>
        </row>
        <row r="3295">
          <cell r="B3295">
            <v>1</v>
          </cell>
          <cell r="C3295" t="str">
            <v>+ Cồn công nghiệp</v>
          </cell>
          <cell r="D3295" t="str">
            <v>kg</v>
          </cell>
          <cell r="E3295">
            <v>7.4999999999999997E-2</v>
          </cell>
          <cell r="F3295">
            <v>9500</v>
          </cell>
          <cell r="G3295">
            <v>712.5</v>
          </cell>
        </row>
        <row r="3296">
          <cell r="C3296" t="str">
            <v>Nhân công</v>
          </cell>
          <cell r="G3296">
            <v>51200.961118421052</v>
          </cell>
        </row>
        <row r="3297">
          <cell r="B3297" t="str">
            <v>NC1407</v>
          </cell>
          <cell r="C3297" t="str">
            <v>+ Nhân công bậc 4,0/7</v>
          </cell>
          <cell r="D3297" t="str">
            <v>Công</v>
          </cell>
          <cell r="E3297">
            <v>0.26300000000000001</v>
          </cell>
          <cell r="F3297">
            <v>194680.46052631579</v>
          </cell>
          <cell r="G3297">
            <v>51200.961118421052</v>
          </cell>
        </row>
        <row r="3298">
          <cell r="A3298" t="str">
            <v>D3.2413</v>
          </cell>
          <cell r="C3298" t="str">
            <v>Lắp đặt cách điện POLIME néo đơn cho dây dẫn loại 35Kv, chiều cao lắp chuỗi =&lt;40m</v>
          </cell>
          <cell r="D3298" t="str">
            <v>bộ</v>
          </cell>
          <cell r="H3298">
            <v>902.5</v>
          </cell>
          <cell r="I3298">
            <v>57820.096776315782</v>
          </cell>
        </row>
        <row r="3299">
          <cell r="C3299" t="str">
            <v>Vật liệu</v>
          </cell>
          <cell r="G3299">
            <v>902.5</v>
          </cell>
        </row>
        <row r="3300">
          <cell r="B3300">
            <v>9</v>
          </cell>
          <cell r="C3300" t="str">
            <v>+ Giẻ lau</v>
          </cell>
          <cell r="D3300" t="str">
            <v>Kg</v>
          </cell>
          <cell r="E3300">
            <v>0.02</v>
          </cell>
          <cell r="F3300">
            <v>9500</v>
          </cell>
          <cell r="G3300">
            <v>190</v>
          </cell>
        </row>
        <row r="3301">
          <cell r="B3301">
            <v>1</v>
          </cell>
          <cell r="C3301" t="str">
            <v>+ Cồn công nghiệp</v>
          </cell>
          <cell r="D3301" t="str">
            <v>kg</v>
          </cell>
          <cell r="E3301">
            <v>7.4999999999999997E-2</v>
          </cell>
          <cell r="F3301">
            <v>9500</v>
          </cell>
          <cell r="G3301">
            <v>712.5</v>
          </cell>
        </row>
        <row r="3302">
          <cell r="C3302" t="str">
            <v>Nhân công</v>
          </cell>
          <cell r="G3302">
            <v>57820.096776315782</v>
          </cell>
        </row>
        <row r="3303">
          <cell r="B3303" t="str">
            <v>NC1407</v>
          </cell>
          <cell r="C3303" t="str">
            <v>+ Nhân công bậc 4,0/7</v>
          </cell>
          <cell r="D3303" t="str">
            <v>Công</v>
          </cell>
          <cell r="E3303">
            <v>0.29699999999999999</v>
          </cell>
          <cell r="F3303">
            <v>194680.46052631579</v>
          </cell>
          <cell r="G3303">
            <v>57820.096776315782</v>
          </cell>
        </row>
        <row r="3304">
          <cell r="A3304" t="str">
            <v>D3.2421</v>
          </cell>
          <cell r="C3304" t="str">
            <v>Lắp đặt cách điện POLIME néo đơn cho dây dẫn loại 110Kv, chiều cao lắp chuỗi =&lt;20m</v>
          </cell>
          <cell r="D3304" t="str">
            <v>bộ</v>
          </cell>
          <cell r="H3304">
            <v>1852.5</v>
          </cell>
          <cell r="I3304">
            <v>110189.14065789472</v>
          </cell>
        </row>
        <row r="3305">
          <cell r="C3305" t="str">
            <v>Vật liệu</v>
          </cell>
          <cell r="G3305">
            <v>1852.5</v>
          </cell>
        </row>
        <row r="3306">
          <cell r="B3306">
            <v>9</v>
          </cell>
          <cell r="C3306" t="str">
            <v>+ Giẻ lau</v>
          </cell>
          <cell r="D3306" t="str">
            <v>Kg</v>
          </cell>
          <cell r="E3306">
            <v>0.03</v>
          </cell>
          <cell r="F3306">
            <v>9500</v>
          </cell>
          <cell r="G3306">
            <v>285</v>
          </cell>
        </row>
        <row r="3307">
          <cell r="B3307">
            <v>1</v>
          </cell>
          <cell r="C3307" t="str">
            <v>+ Cồn công nghiệp</v>
          </cell>
          <cell r="D3307" t="str">
            <v>kg</v>
          </cell>
          <cell r="E3307">
            <v>0.16500000000000001</v>
          </cell>
          <cell r="F3307">
            <v>9500</v>
          </cell>
          <cell r="G3307">
            <v>1567.5</v>
          </cell>
        </row>
        <row r="3308">
          <cell r="C3308" t="str">
            <v>Nhân công</v>
          </cell>
          <cell r="G3308">
            <v>110189.14065789472</v>
          </cell>
        </row>
        <row r="3309">
          <cell r="B3309" t="str">
            <v>NC1407</v>
          </cell>
          <cell r="C3309" t="str">
            <v>+ Nhân công bậc 4,0/7</v>
          </cell>
          <cell r="D3309" t="str">
            <v>Công</v>
          </cell>
          <cell r="E3309">
            <v>0.56599999999999995</v>
          </cell>
          <cell r="F3309">
            <v>194680.46052631579</v>
          </cell>
          <cell r="G3309">
            <v>110189.14065789472</v>
          </cell>
        </row>
        <row r="3310">
          <cell r="A3310" t="str">
            <v>D3.2422</v>
          </cell>
          <cell r="C3310" t="str">
            <v>Lắp đặt cách điện POLIME néo đơn cho dây dẫn loại 110Kv, chiều cao lắp chuỗi =&lt;30m</v>
          </cell>
          <cell r="D3310" t="str">
            <v>bộ</v>
          </cell>
          <cell r="H3310">
            <v>1852.5</v>
          </cell>
          <cell r="I3310">
            <v>116613.59585526315</v>
          </cell>
        </row>
        <row r="3311">
          <cell r="C3311" t="str">
            <v>Vật liệu</v>
          </cell>
          <cell r="G3311">
            <v>1852.5</v>
          </cell>
        </row>
        <row r="3312">
          <cell r="B3312">
            <v>9</v>
          </cell>
          <cell r="C3312" t="str">
            <v>+ Giẻ lau</v>
          </cell>
          <cell r="D3312" t="str">
            <v>Kg</v>
          </cell>
          <cell r="E3312">
            <v>0.03</v>
          </cell>
          <cell r="F3312">
            <v>9500</v>
          </cell>
          <cell r="G3312">
            <v>285</v>
          </cell>
        </row>
        <row r="3313">
          <cell r="B3313">
            <v>1</v>
          </cell>
          <cell r="C3313" t="str">
            <v>+ Cồn công nghiệp</v>
          </cell>
          <cell r="D3313" t="str">
            <v>kg</v>
          </cell>
          <cell r="E3313">
            <v>0.16500000000000001</v>
          </cell>
          <cell r="F3313">
            <v>9500</v>
          </cell>
          <cell r="G3313">
            <v>1567.5</v>
          </cell>
        </row>
        <row r="3314">
          <cell r="C3314" t="str">
            <v>Nhân công</v>
          </cell>
          <cell r="G3314">
            <v>116613.59585526315</v>
          </cell>
        </row>
        <row r="3315">
          <cell r="B3315" t="str">
            <v>NC1407</v>
          </cell>
          <cell r="C3315" t="str">
            <v>+ Nhân công bậc 4,0/7</v>
          </cell>
          <cell r="D3315" t="str">
            <v>Công</v>
          </cell>
          <cell r="E3315">
            <v>0.59899999999999998</v>
          </cell>
          <cell r="F3315">
            <v>194680.46052631579</v>
          </cell>
          <cell r="G3315">
            <v>116613.59585526315</v>
          </cell>
        </row>
        <row r="3316">
          <cell r="A3316" t="str">
            <v>D3.2423</v>
          </cell>
          <cell r="C3316" t="str">
            <v>Lắp đặt cách điện POLIME néo đơn cho dây dẫn loại 110Kv, chiều cao lắp chuỗi =&lt;40m</v>
          </cell>
          <cell r="D3316" t="str">
            <v>bộ</v>
          </cell>
          <cell r="H3316">
            <v>1852.5</v>
          </cell>
          <cell r="I3316">
            <v>131993.35223684213</v>
          </cell>
        </row>
        <row r="3317">
          <cell r="C3317" t="str">
            <v>Vật liệu</v>
          </cell>
          <cell r="G3317">
            <v>1852.5</v>
          </cell>
        </row>
        <row r="3318">
          <cell r="B3318">
            <v>9</v>
          </cell>
          <cell r="C3318" t="str">
            <v>+ Giẻ lau</v>
          </cell>
          <cell r="D3318" t="str">
            <v>Kg</v>
          </cell>
          <cell r="E3318">
            <v>0.03</v>
          </cell>
          <cell r="F3318">
            <v>9500</v>
          </cell>
          <cell r="G3318">
            <v>285</v>
          </cell>
        </row>
        <row r="3319">
          <cell r="B3319">
            <v>1</v>
          </cell>
          <cell r="C3319" t="str">
            <v>+ Cồn công nghiệp</v>
          </cell>
          <cell r="D3319" t="str">
            <v>kg</v>
          </cell>
          <cell r="E3319">
            <v>0.16500000000000001</v>
          </cell>
          <cell r="F3319">
            <v>9500</v>
          </cell>
          <cell r="G3319">
            <v>1567.5</v>
          </cell>
        </row>
        <row r="3320">
          <cell r="C3320" t="str">
            <v>Nhân công</v>
          </cell>
          <cell r="G3320">
            <v>131993.35223684213</v>
          </cell>
        </row>
        <row r="3321">
          <cell r="B3321" t="str">
            <v>NC1407</v>
          </cell>
          <cell r="C3321" t="str">
            <v>+ Nhân công bậc 4,0/7</v>
          </cell>
          <cell r="D3321" t="str">
            <v>Công</v>
          </cell>
          <cell r="E3321">
            <v>0.67800000000000005</v>
          </cell>
          <cell r="F3321">
            <v>194680.46052631579</v>
          </cell>
          <cell r="G3321">
            <v>131993.35223684213</v>
          </cell>
        </row>
        <row r="3322">
          <cell r="A3322" t="str">
            <v>D3.2424</v>
          </cell>
          <cell r="C3322" t="str">
            <v>Lắp đặt cách điện POLIME néo đơn cho dây dẫn loại 110Kv, chiều cao lắp chuỗi =&lt;50m</v>
          </cell>
          <cell r="D3322" t="str">
            <v>bộ</v>
          </cell>
          <cell r="H3322">
            <v>1852.5</v>
          </cell>
          <cell r="I3322">
            <v>147178.42815789473</v>
          </cell>
        </row>
        <row r="3323">
          <cell r="C3323" t="str">
            <v>Vật liệu</v>
          </cell>
          <cell r="G3323">
            <v>1852.5</v>
          </cell>
        </row>
        <row r="3324">
          <cell r="B3324">
            <v>9</v>
          </cell>
          <cell r="C3324" t="str">
            <v>+ Giẻ lau</v>
          </cell>
          <cell r="D3324" t="str">
            <v>Kg</v>
          </cell>
          <cell r="E3324">
            <v>0.03</v>
          </cell>
          <cell r="F3324">
            <v>9500</v>
          </cell>
          <cell r="G3324">
            <v>285</v>
          </cell>
        </row>
        <row r="3325">
          <cell r="B3325">
            <v>1</v>
          </cell>
          <cell r="C3325" t="str">
            <v>+ Cồn công nghiệp</v>
          </cell>
          <cell r="D3325" t="str">
            <v>kg</v>
          </cell>
          <cell r="E3325">
            <v>0.16500000000000001</v>
          </cell>
          <cell r="F3325">
            <v>9500</v>
          </cell>
          <cell r="G3325">
            <v>1567.5</v>
          </cell>
        </row>
        <row r="3326">
          <cell r="C3326" t="str">
            <v>Nhân công</v>
          </cell>
          <cell r="G3326">
            <v>147178.42815789473</v>
          </cell>
        </row>
        <row r="3327">
          <cell r="B3327" t="str">
            <v>NC1407</v>
          </cell>
          <cell r="C3327" t="str">
            <v>+ Nhân công bậc 4,0/7</v>
          </cell>
          <cell r="D3327" t="str">
            <v>Công</v>
          </cell>
          <cell r="E3327">
            <v>0.75600000000000001</v>
          </cell>
          <cell r="F3327">
            <v>194680.46052631579</v>
          </cell>
          <cell r="G3327">
            <v>147178.42815789473</v>
          </cell>
        </row>
        <row r="3328">
          <cell r="A3328" t="str">
            <v>D3.2425</v>
          </cell>
          <cell r="C3328" t="str">
            <v>Lắp đặt cách điện POLIME néo đơn cho dây dẫn loại 110Kv, chiều cao lắp chuỗi =&lt;60m</v>
          </cell>
          <cell r="D3328" t="str">
            <v>bộ</v>
          </cell>
          <cell r="H3328">
            <v>1852.5</v>
          </cell>
          <cell r="I3328">
            <v>161390.10177631577</v>
          </cell>
        </row>
        <row r="3329">
          <cell r="C3329" t="str">
            <v>Vật liệu</v>
          </cell>
          <cell r="G3329">
            <v>1852.5</v>
          </cell>
        </row>
        <row r="3330">
          <cell r="B3330">
            <v>9</v>
          </cell>
          <cell r="C3330" t="str">
            <v>+ Giẻ lau</v>
          </cell>
          <cell r="D3330" t="str">
            <v>Kg</v>
          </cell>
          <cell r="E3330">
            <v>0.03</v>
          </cell>
          <cell r="F3330">
            <v>9500</v>
          </cell>
          <cell r="G3330">
            <v>285</v>
          </cell>
        </row>
        <row r="3331">
          <cell r="B3331">
            <v>1</v>
          </cell>
          <cell r="C3331" t="str">
            <v>+ Cồn công nghiệp</v>
          </cell>
          <cell r="D3331" t="str">
            <v>kg</v>
          </cell>
          <cell r="E3331">
            <v>0.16500000000000001</v>
          </cell>
          <cell r="F3331">
            <v>9500</v>
          </cell>
          <cell r="G3331">
            <v>1567.5</v>
          </cell>
        </row>
        <row r="3332">
          <cell r="C3332" t="str">
            <v>Nhân công</v>
          </cell>
          <cell r="G3332">
            <v>161390.10177631577</v>
          </cell>
        </row>
        <row r="3333">
          <cell r="B3333" t="str">
            <v>NC1407</v>
          </cell>
          <cell r="C3333" t="str">
            <v>+ Nhân công bậc 4,0/7</v>
          </cell>
          <cell r="D3333" t="str">
            <v>Công</v>
          </cell>
          <cell r="E3333">
            <v>0.82899999999999996</v>
          </cell>
          <cell r="F3333">
            <v>194680.46052631579</v>
          </cell>
          <cell r="G3333">
            <v>161390.10177631577</v>
          </cell>
        </row>
        <row r="3334">
          <cell r="A3334" t="str">
            <v>D3.2426</v>
          </cell>
          <cell r="C3334" t="str">
            <v>Lắp đặt cách điện POLIME néo đơn cho dây dẫn loại 110Kv, chiều cao lắp chuỗi =&lt;70m</v>
          </cell>
          <cell r="D3334" t="str">
            <v>bộ</v>
          </cell>
          <cell r="H3334">
            <v>1852.5</v>
          </cell>
          <cell r="I3334">
            <v>177548.58000000002</v>
          </cell>
        </row>
        <row r="3335">
          <cell r="C3335" t="str">
            <v>Vật liệu</v>
          </cell>
          <cell r="G3335">
            <v>1852.5</v>
          </cell>
        </row>
        <row r="3336">
          <cell r="B3336">
            <v>9</v>
          </cell>
          <cell r="C3336" t="str">
            <v>+ Giẻ lau</v>
          </cell>
          <cell r="D3336" t="str">
            <v>Kg</v>
          </cell>
          <cell r="E3336">
            <v>0.03</v>
          </cell>
          <cell r="F3336">
            <v>9500</v>
          </cell>
          <cell r="G3336">
            <v>285</v>
          </cell>
        </row>
        <row r="3337">
          <cell r="B3337">
            <v>1</v>
          </cell>
          <cell r="C3337" t="str">
            <v>+ Cồn công nghiệp</v>
          </cell>
          <cell r="D3337" t="str">
            <v>kg</v>
          </cell>
          <cell r="E3337">
            <v>0.16500000000000001</v>
          </cell>
          <cell r="F3337">
            <v>9500</v>
          </cell>
          <cell r="G3337">
            <v>1567.5</v>
          </cell>
        </row>
        <row r="3338">
          <cell r="C3338" t="str">
            <v>Nhân công</v>
          </cell>
          <cell r="G3338">
            <v>177548.58000000002</v>
          </cell>
        </row>
        <row r="3339">
          <cell r="B3339" t="str">
            <v>NC1407</v>
          </cell>
          <cell r="C3339" t="str">
            <v>+ Nhân công bậc 4,0/7</v>
          </cell>
          <cell r="D3339" t="str">
            <v>Công</v>
          </cell>
          <cell r="E3339">
            <v>0.91200000000000003</v>
          </cell>
          <cell r="F3339">
            <v>194680.46052631579</v>
          </cell>
          <cell r="G3339">
            <v>177548.58000000002</v>
          </cell>
        </row>
        <row r="3340">
          <cell r="A3340" t="str">
            <v>D3.2427</v>
          </cell>
          <cell r="C3340" t="str">
            <v>Lắp đặt cách điện POLIME néo đơn cho dây dẫn loại 110Kv, chiều cao lắp chuỗi &gt;70m</v>
          </cell>
          <cell r="D3340" t="str">
            <v>bộ</v>
          </cell>
          <cell r="H3340">
            <v>1852.5</v>
          </cell>
          <cell r="I3340">
            <v>195264.50190789471</v>
          </cell>
        </row>
        <row r="3341">
          <cell r="C3341" t="str">
            <v>Vật liệu</v>
          </cell>
          <cell r="G3341">
            <v>1852.5</v>
          </cell>
        </row>
        <row r="3342">
          <cell r="B3342">
            <v>9</v>
          </cell>
          <cell r="C3342" t="str">
            <v>+ Giẻ lau</v>
          </cell>
          <cell r="D3342" t="str">
            <v>Kg</v>
          </cell>
          <cell r="E3342">
            <v>0.03</v>
          </cell>
          <cell r="F3342">
            <v>9500</v>
          </cell>
          <cell r="G3342">
            <v>285</v>
          </cell>
        </row>
        <row r="3343">
          <cell r="B3343">
            <v>1</v>
          </cell>
          <cell r="C3343" t="str">
            <v>+ Cồn công nghiệp</v>
          </cell>
          <cell r="D3343" t="str">
            <v>kg</v>
          </cell>
          <cell r="E3343">
            <v>0.16500000000000001</v>
          </cell>
          <cell r="F3343">
            <v>9500</v>
          </cell>
          <cell r="G3343">
            <v>1567.5</v>
          </cell>
        </row>
        <row r="3344">
          <cell r="C3344" t="str">
            <v>Nhân công</v>
          </cell>
          <cell r="G3344">
            <v>195264.50190789471</v>
          </cell>
        </row>
        <row r="3345">
          <cell r="B3345" t="str">
            <v>NC1407</v>
          </cell>
          <cell r="C3345" t="str">
            <v>+ Nhân công bậc 4,0/7</v>
          </cell>
          <cell r="D3345" t="str">
            <v>Công</v>
          </cell>
          <cell r="E3345">
            <v>1.0029999999999999</v>
          </cell>
          <cell r="F3345">
            <v>194680.46052631579</v>
          </cell>
          <cell r="G3345">
            <v>195264.50190789471</v>
          </cell>
        </row>
        <row r="3346">
          <cell r="A3346" t="str">
            <v>D3.2431</v>
          </cell>
          <cell r="C3346" t="str">
            <v>Lắp đặt cách điện POLIME néo đơn cho dây dẫn loại 220Kv, chiều cao lắp chuỗi =&lt;20m</v>
          </cell>
          <cell r="D3346" t="str">
            <v>bộ</v>
          </cell>
          <cell r="H3346">
            <v>2660</v>
          </cell>
          <cell r="I3346">
            <v>167814.5569736842</v>
          </cell>
        </row>
        <row r="3347">
          <cell r="C3347" t="str">
            <v>Vật liệu</v>
          </cell>
          <cell r="G3347">
            <v>2660</v>
          </cell>
        </row>
        <row r="3348">
          <cell r="B3348">
            <v>9</v>
          </cell>
          <cell r="C3348" t="str">
            <v>+ Giẻ lau</v>
          </cell>
          <cell r="D3348" t="str">
            <v>Kg</v>
          </cell>
          <cell r="E3348">
            <v>0.04</v>
          </cell>
          <cell r="F3348">
            <v>9500</v>
          </cell>
          <cell r="G3348">
            <v>380</v>
          </cell>
        </row>
        <row r="3349">
          <cell r="B3349">
            <v>1</v>
          </cell>
          <cell r="C3349" t="str">
            <v>+ Cồn công nghiệp</v>
          </cell>
          <cell r="D3349" t="str">
            <v>kg</v>
          </cell>
          <cell r="E3349">
            <v>0.24</v>
          </cell>
          <cell r="F3349">
            <v>9500</v>
          </cell>
          <cell r="G3349">
            <v>2280</v>
          </cell>
        </row>
        <row r="3350">
          <cell r="C3350" t="str">
            <v>Nhân công</v>
          </cell>
          <cell r="G3350">
            <v>167814.5569736842</v>
          </cell>
        </row>
        <row r="3351">
          <cell r="B3351" t="str">
            <v>NC1407</v>
          </cell>
          <cell r="C3351" t="str">
            <v>+ Nhân công bậc 4,0/7</v>
          </cell>
          <cell r="D3351" t="str">
            <v>Công</v>
          </cell>
          <cell r="E3351">
            <v>0.86199999999999999</v>
          </cell>
          <cell r="F3351">
            <v>194680.46052631579</v>
          </cell>
          <cell r="G3351">
            <v>167814.5569736842</v>
          </cell>
        </row>
        <row r="3352">
          <cell r="A3352" t="str">
            <v>D3.2432</v>
          </cell>
          <cell r="C3352" t="str">
            <v>Lắp đặt cách điện POLIME néo đơn cho dây dẫn loại 220Kv, chiều cao lắp chuỗi =&lt;30m</v>
          </cell>
          <cell r="D3352" t="str">
            <v>bộ</v>
          </cell>
          <cell r="H3352">
            <v>2660</v>
          </cell>
          <cell r="I3352">
            <v>176575.17769736843</v>
          </cell>
        </row>
        <row r="3353">
          <cell r="C3353" t="str">
            <v>Vật liệu</v>
          </cell>
          <cell r="G3353">
            <v>2660</v>
          </cell>
        </row>
        <row r="3354">
          <cell r="B3354">
            <v>9</v>
          </cell>
          <cell r="C3354" t="str">
            <v>+ Giẻ lau</v>
          </cell>
          <cell r="D3354" t="str">
            <v>Kg</v>
          </cell>
          <cell r="E3354">
            <v>0.04</v>
          </cell>
          <cell r="F3354">
            <v>9500</v>
          </cell>
          <cell r="G3354">
            <v>380</v>
          </cell>
        </row>
        <row r="3355">
          <cell r="B3355">
            <v>1</v>
          </cell>
          <cell r="C3355" t="str">
            <v>+ Cồn công nghiệp</v>
          </cell>
          <cell r="D3355" t="str">
            <v>kg</v>
          </cell>
          <cell r="E3355">
            <v>0.24</v>
          </cell>
          <cell r="F3355">
            <v>9500</v>
          </cell>
          <cell r="G3355">
            <v>2280</v>
          </cell>
        </row>
        <row r="3356">
          <cell r="C3356" t="str">
            <v>Nhân công</v>
          </cell>
          <cell r="G3356">
            <v>176575.17769736843</v>
          </cell>
        </row>
        <row r="3357">
          <cell r="B3357" t="str">
            <v>NC1407</v>
          </cell>
          <cell r="C3357" t="str">
            <v>+ Nhân công bậc 4,0/7</v>
          </cell>
          <cell r="D3357" t="str">
            <v>Công</v>
          </cell>
          <cell r="E3357">
            <v>0.90700000000000003</v>
          </cell>
          <cell r="F3357">
            <v>194680.46052631579</v>
          </cell>
          <cell r="G3357">
            <v>176575.17769736843</v>
          </cell>
        </row>
        <row r="3358">
          <cell r="A3358" t="str">
            <v>D3.2433</v>
          </cell>
          <cell r="C3358" t="str">
            <v>Lắp đặt cách điện POLIME néo đơn cho dây dẫn loại 220Kv, chiều cao lắp chuỗi =&lt;40m</v>
          </cell>
          <cell r="D3358" t="str">
            <v>bộ</v>
          </cell>
          <cell r="H3358">
            <v>2660</v>
          </cell>
          <cell r="I3358">
            <v>200520.87434210526</v>
          </cell>
        </row>
        <row r="3359">
          <cell r="C3359" t="str">
            <v>Vật liệu</v>
          </cell>
          <cell r="G3359">
            <v>2660</v>
          </cell>
        </row>
        <row r="3360">
          <cell r="B3360">
            <v>9</v>
          </cell>
          <cell r="C3360" t="str">
            <v>+ Giẻ lau</v>
          </cell>
          <cell r="D3360" t="str">
            <v>Kg</v>
          </cell>
          <cell r="E3360">
            <v>0.04</v>
          </cell>
          <cell r="F3360">
            <v>9500</v>
          </cell>
          <cell r="G3360">
            <v>380</v>
          </cell>
        </row>
        <row r="3361">
          <cell r="B3361">
            <v>1</v>
          </cell>
          <cell r="C3361" t="str">
            <v>+ Cồn công nghiệp</v>
          </cell>
          <cell r="D3361" t="str">
            <v>kg</v>
          </cell>
          <cell r="E3361">
            <v>0.24</v>
          </cell>
          <cell r="F3361">
            <v>9500</v>
          </cell>
          <cell r="G3361">
            <v>2280</v>
          </cell>
        </row>
        <row r="3362">
          <cell r="C3362" t="str">
            <v>Nhân công</v>
          </cell>
          <cell r="G3362">
            <v>200520.87434210526</v>
          </cell>
        </row>
        <row r="3363">
          <cell r="B3363" t="str">
            <v>NC1407</v>
          </cell>
          <cell r="C3363" t="str">
            <v>+ Nhân công bậc 4,0/7</v>
          </cell>
          <cell r="D3363" t="str">
            <v>Công</v>
          </cell>
          <cell r="E3363">
            <v>1.03</v>
          </cell>
          <cell r="F3363">
            <v>194680.46052631579</v>
          </cell>
          <cell r="G3363">
            <v>200520.87434210526</v>
          </cell>
        </row>
        <row r="3364">
          <cell r="A3364" t="str">
            <v>D3.2434</v>
          </cell>
          <cell r="C3364" t="str">
            <v>Lắp đặt cách điện POLIME néo đơn cho dây dẫn loại 220Kv, chiều cao lắp chuỗi =&lt;50m</v>
          </cell>
          <cell r="D3364" t="str">
            <v>bộ</v>
          </cell>
          <cell r="H3364">
            <v>2660</v>
          </cell>
          <cell r="I3364">
            <v>223493.16868421051</v>
          </cell>
        </row>
        <row r="3365">
          <cell r="C3365" t="str">
            <v>Vật liệu</v>
          </cell>
          <cell r="G3365">
            <v>2660</v>
          </cell>
        </row>
        <row r="3366">
          <cell r="B3366">
            <v>9</v>
          </cell>
          <cell r="C3366" t="str">
            <v>+ Giẻ lau</v>
          </cell>
          <cell r="D3366" t="str">
            <v>Kg</v>
          </cell>
          <cell r="E3366">
            <v>0.04</v>
          </cell>
          <cell r="F3366">
            <v>9500</v>
          </cell>
          <cell r="G3366">
            <v>380</v>
          </cell>
        </row>
        <row r="3367">
          <cell r="B3367">
            <v>1</v>
          </cell>
          <cell r="C3367" t="str">
            <v>+ Cồn công nghiệp</v>
          </cell>
          <cell r="D3367" t="str">
            <v>kg</v>
          </cell>
          <cell r="E3367">
            <v>0.24</v>
          </cell>
          <cell r="F3367">
            <v>9500</v>
          </cell>
          <cell r="G3367">
            <v>2280</v>
          </cell>
        </row>
        <row r="3368">
          <cell r="C3368" t="str">
            <v>Nhân công</v>
          </cell>
          <cell r="G3368">
            <v>223493.16868421051</v>
          </cell>
        </row>
        <row r="3369">
          <cell r="B3369" t="str">
            <v>NC1407</v>
          </cell>
          <cell r="C3369" t="str">
            <v>+ Nhân công bậc 4,0/7</v>
          </cell>
          <cell r="D3369" t="str">
            <v>Công</v>
          </cell>
          <cell r="E3369">
            <v>1.1479999999999999</v>
          </cell>
          <cell r="F3369">
            <v>194680.46052631579</v>
          </cell>
          <cell r="G3369">
            <v>223493.16868421051</v>
          </cell>
        </row>
        <row r="3370">
          <cell r="A3370" t="str">
            <v>D3.2435</v>
          </cell>
          <cell r="C3370" t="str">
            <v>Lắp đặt cách điện POLIME néo đơn cho dây dẫn loại 220Kv, chiều cao lắp chuỗi =&lt;60m</v>
          </cell>
          <cell r="D3370" t="str">
            <v>bộ</v>
          </cell>
          <cell r="H3370">
            <v>2660</v>
          </cell>
          <cell r="I3370">
            <v>283454.75052631577</v>
          </cell>
        </row>
        <row r="3371">
          <cell r="C3371" t="str">
            <v>Vật liệu</v>
          </cell>
          <cell r="G3371">
            <v>2660</v>
          </cell>
        </row>
        <row r="3372">
          <cell r="B3372">
            <v>9</v>
          </cell>
          <cell r="C3372" t="str">
            <v>+ Giẻ lau</v>
          </cell>
          <cell r="D3372" t="str">
            <v>Kg</v>
          </cell>
          <cell r="E3372">
            <v>0.04</v>
          </cell>
          <cell r="F3372">
            <v>9500</v>
          </cell>
          <cell r="G3372">
            <v>380</v>
          </cell>
        </row>
        <row r="3373">
          <cell r="B3373">
            <v>1</v>
          </cell>
          <cell r="C3373" t="str">
            <v>+ Cồn công nghiệp</v>
          </cell>
          <cell r="D3373" t="str">
            <v>kg</v>
          </cell>
          <cell r="E3373">
            <v>0.24</v>
          </cell>
          <cell r="F3373">
            <v>9500</v>
          </cell>
          <cell r="G3373">
            <v>2280</v>
          </cell>
        </row>
        <row r="3374">
          <cell r="C3374" t="str">
            <v>Nhân công</v>
          </cell>
          <cell r="G3374">
            <v>283454.75052631577</v>
          </cell>
        </row>
        <row r="3375">
          <cell r="B3375" t="str">
            <v>NC1407</v>
          </cell>
          <cell r="C3375" t="str">
            <v>+ Nhân công bậc 4,0/7</v>
          </cell>
          <cell r="D3375" t="str">
            <v>Công</v>
          </cell>
          <cell r="E3375">
            <v>1.456</v>
          </cell>
          <cell r="F3375">
            <v>194680.46052631579</v>
          </cell>
          <cell r="G3375">
            <v>283454.75052631577</v>
          </cell>
        </row>
        <row r="3376">
          <cell r="A3376" t="str">
            <v>D3.2436</v>
          </cell>
          <cell r="C3376" t="str">
            <v>Lắp đặt cách điện POLIME néo đơn cho dây dẫn loại 220Kv, chiều cao lắp chuỗi =&lt;70m</v>
          </cell>
          <cell r="D3376" t="str">
            <v>bộ</v>
          </cell>
          <cell r="H3376">
            <v>2660</v>
          </cell>
          <cell r="I3376">
            <v>311878.09776315792</v>
          </cell>
        </row>
        <row r="3377">
          <cell r="C3377" t="str">
            <v>Vật liệu</v>
          </cell>
          <cell r="G3377">
            <v>2660</v>
          </cell>
        </row>
        <row r="3378">
          <cell r="B3378">
            <v>9</v>
          </cell>
          <cell r="C3378" t="str">
            <v>+ Giẻ lau</v>
          </cell>
          <cell r="D3378" t="str">
            <v>Kg</v>
          </cell>
          <cell r="E3378">
            <v>0.04</v>
          </cell>
          <cell r="F3378">
            <v>9500</v>
          </cell>
          <cell r="G3378">
            <v>380</v>
          </cell>
        </row>
        <row r="3379">
          <cell r="B3379">
            <v>1</v>
          </cell>
          <cell r="C3379" t="str">
            <v>+ Cồn công nghiệp</v>
          </cell>
          <cell r="D3379" t="str">
            <v>kg</v>
          </cell>
          <cell r="E3379">
            <v>0.24</v>
          </cell>
          <cell r="F3379">
            <v>9500</v>
          </cell>
          <cell r="G3379">
            <v>2280</v>
          </cell>
        </row>
        <row r="3380">
          <cell r="C3380" t="str">
            <v>Nhân công</v>
          </cell>
          <cell r="G3380">
            <v>311878.09776315792</v>
          </cell>
        </row>
        <row r="3381">
          <cell r="B3381" t="str">
            <v>NC1407</v>
          </cell>
          <cell r="C3381" t="str">
            <v>+ Nhân công bậc 4,0/7</v>
          </cell>
          <cell r="D3381" t="str">
            <v>Công</v>
          </cell>
          <cell r="E3381">
            <v>1.6020000000000001</v>
          </cell>
          <cell r="F3381">
            <v>194680.46052631579</v>
          </cell>
          <cell r="G3381">
            <v>311878.09776315792</v>
          </cell>
        </row>
        <row r="3382">
          <cell r="A3382" t="str">
            <v>D3.2437</v>
          </cell>
          <cell r="C3382" t="str">
            <v>Lắp đặt cách điện POLIME néo đơn cho dây dẫn loại 220Kv, chiều cao lắp chuỗi &gt;70m</v>
          </cell>
          <cell r="D3382" t="str">
            <v>bộ</v>
          </cell>
          <cell r="H3382">
            <v>2660</v>
          </cell>
          <cell r="I3382">
            <v>343026.97144736844</v>
          </cell>
        </row>
        <row r="3383">
          <cell r="C3383" t="str">
            <v>Vật liệu</v>
          </cell>
          <cell r="G3383">
            <v>2660</v>
          </cell>
        </row>
        <row r="3384">
          <cell r="B3384">
            <v>9</v>
          </cell>
          <cell r="C3384" t="str">
            <v>+ Giẻ lau</v>
          </cell>
          <cell r="D3384" t="str">
            <v>Kg</v>
          </cell>
          <cell r="E3384">
            <v>0.04</v>
          </cell>
          <cell r="F3384">
            <v>9500</v>
          </cell>
          <cell r="G3384">
            <v>380</v>
          </cell>
        </row>
        <row r="3385">
          <cell r="B3385">
            <v>1</v>
          </cell>
          <cell r="C3385" t="str">
            <v>+ Cồn công nghiệp</v>
          </cell>
          <cell r="D3385" t="str">
            <v>kg</v>
          </cell>
          <cell r="E3385">
            <v>0.24</v>
          </cell>
          <cell r="F3385">
            <v>9500</v>
          </cell>
          <cell r="G3385">
            <v>2280</v>
          </cell>
        </row>
        <row r="3386">
          <cell r="C3386" t="str">
            <v>Nhân công</v>
          </cell>
          <cell r="G3386">
            <v>343026.97144736844</v>
          </cell>
        </row>
        <row r="3387">
          <cell r="B3387" t="str">
            <v>NC1407</v>
          </cell>
          <cell r="C3387" t="str">
            <v>+ Nhân công bậc 4,0/7</v>
          </cell>
          <cell r="D3387" t="str">
            <v>Công</v>
          </cell>
          <cell r="E3387">
            <v>1.762</v>
          </cell>
          <cell r="F3387">
            <v>194680.46052631579</v>
          </cell>
          <cell r="G3387">
            <v>343026.97144736844</v>
          </cell>
        </row>
        <row r="3388">
          <cell r="A3388" t="str">
            <v>D3.3011</v>
          </cell>
          <cell r="C3388" t="str">
            <v>Lắp chống rung, Chiều cao lắp đặt =&lt; 20m</v>
          </cell>
          <cell r="D3388" t="str">
            <v>bộ</v>
          </cell>
          <cell r="I3388">
            <v>70084.965789473674</v>
          </cell>
        </row>
        <row r="3389">
          <cell r="C3389" t="str">
            <v>Nhân công</v>
          </cell>
          <cell r="G3389">
            <v>70084.965789473674</v>
          </cell>
        </row>
        <row r="3390">
          <cell r="B3390" t="str">
            <v>NC1407</v>
          </cell>
          <cell r="C3390" t="str">
            <v>+ Nhân công bậc 4,0/7</v>
          </cell>
          <cell r="D3390" t="str">
            <v>Công</v>
          </cell>
          <cell r="E3390">
            <v>0.36</v>
          </cell>
          <cell r="F3390">
            <v>194680.46052631579</v>
          </cell>
          <cell r="G3390">
            <v>70084.965789473674</v>
          </cell>
        </row>
        <row r="3391">
          <cell r="A3391" t="str">
            <v>D3.3012</v>
          </cell>
          <cell r="C3391" t="str">
            <v>Lắp chống rung, Chiều cao lắp đặt =&lt; 30m</v>
          </cell>
          <cell r="D3391" t="str">
            <v>bộ</v>
          </cell>
          <cell r="I3391">
            <v>73978.574999999997</v>
          </cell>
        </row>
        <row r="3392">
          <cell r="C3392" t="str">
            <v>Nhân công</v>
          </cell>
          <cell r="G3392">
            <v>73978.574999999997</v>
          </cell>
        </row>
        <row r="3393">
          <cell r="B3393" t="str">
            <v>NC1407</v>
          </cell>
          <cell r="C3393" t="str">
            <v>+ Nhân công bậc 4,0/7</v>
          </cell>
          <cell r="D3393" t="str">
            <v>Công</v>
          </cell>
          <cell r="E3393">
            <v>0.38</v>
          </cell>
          <cell r="F3393">
            <v>194680.46052631579</v>
          </cell>
          <cell r="G3393">
            <v>73978.574999999997</v>
          </cell>
        </row>
        <row r="3394">
          <cell r="A3394" t="str">
            <v>D3.3013</v>
          </cell>
          <cell r="C3394" t="str">
            <v>Lắp chống rung, Chiều cao lắp đặt =&lt; 40m</v>
          </cell>
          <cell r="D3394" t="str">
            <v>bộ</v>
          </cell>
          <cell r="I3394">
            <v>83712.598026315783</v>
          </cell>
        </row>
        <row r="3395">
          <cell r="C3395" t="str">
            <v>Nhân công</v>
          </cell>
          <cell r="G3395">
            <v>83712.598026315783</v>
          </cell>
        </row>
        <row r="3396">
          <cell r="B3396" t="str">
            <v>NC1407</v>
          </cell>
          <cell r="C3396" t="str">
            <v>+ Nhân công bậc 4,0/7</v>
          </cell>
          <cell r="D3396" t="str">
            <v>Công</v>
          </cell>
          <cell r="E3396">
            <v>0.43</v>
          </cell>
          <cell r="F3396">
            <v>194680.46052631579</v>
          </cell>
          <cell r="G3396">
            <v>83712.598026315783</v>
          </cell>
        </row>
        <row r="3397">
          <cell r="A3397" t="str">
            <v>D3.3014</v>
          </cell>
          <cell r="C3397" t="str">
            <v>Lắp chống rung, Chiều cao lắp đặt =&lt; 50m</v>
          </cell>
          <cell r="D3397" t="str">
            <v>bộ</v>
          </cell>
          <cell r="I3397">
            <v>95393.425657894739</v>
          </cell>
        </row>
        <row r="3398">
          <cell r="C3398" t="str">
            <v>Nhân công</v>
          </cell>
          <cell r="G3398">
            <v>95393.425657894739</v>
          </cell>
        </row>
        <row r="3399">
          <cell r="B3399" t="str">
            <v>NC1407</v>
          </cell>
          <cell r="C3399" t="str">
            <v>+ Nhân công bậc 4,0/7</v>
          </cell>
          <cell r="D3399" t="str">
            <v>Công</v>
          </cell>
          <cell r="E3399">
            <v>0.49</v>
          </cell>
          <cell r="F3399">
            <v>194680.46052631579</v>
          </cell>
          <cell r="G3399">
            <v>95393.425657894739</v>
          </cell>
        </row>
        <row r="3400">
          <cell r="A3400" t="str">
            <v>D3.3015</v>
          </cell>
          <cell r="C3400" t="str">
            <v>Lắp chống rung, Chiều cao lắp đặt =&lt; 60m</v>
          </cell>
          <cell r="D3400" t="str">
            <v>bộ</v>
          </cell>
          <cell r="I3400">
            <v>105127.44868421053</v>
          </cell>
        </row>
        <row r="3401">
          <cell r="C3401" t="str">
            <v>Nhân công</v>
          </cell>
          <cell r="G3401">
            <v>105127.44868421053</v>
          </cell>
        </row>
        <row r="3402">
          <cell r="B3402" t="str">
            <v>NC1407</v>
          </cell>
          <cell r="C3402" t="str">
            <v>+ Nhân công bậc 4,0/7</v>
          </cell>
          <cell r="D3402" t="str">
            <v>Công</v>
          </cell>
          <cell r="E3402">
            <v>0.54</v>
          </cell>
          <cell r="F3402">
            <v>194680.46052631579</v>
          </cell>
          <cell r="G3402">
            <v>105127.44868421053</v>
          </cell>
        </row>
        <row r="3403">
          <cell r="A3403" t="str">
            <v>D3.3016</v>
          </cell>
          <cell r="C3403" t="str">
            <v>Lắp chống rung, Chiều cao lắp đặt =&lt; 70m</v>
          </cell>
          <cell r="D3403" t="str">
            <v>bộ</v>
          </cell>
          <cell r="I3403">
            <v>115640.19355263156</v>
          </cell>
        </row>
        <row r="3404">
          <cell r="C3404" t="str">
            <v>Nhân công</v>
          </cell>
          <cell r="G3404">
            <v>115640.19355263156</v>
          </cell>
        </row>
        <row r="3405">
          <cell r="B3405" t="str">
            <v>NC1407</v>
          </cell>
          <cell r="C3405" t="str">
            <v>+ Nhân công bậc 4,0/7</v>
          </cell>
          <cell r="D3405" t="str">
            <v>Công</v>
          </cell>
          <cell r="E3405">
            <v>0.59399999999999997</v>
          </cell>
          <cell r="F3405">
            <v>194680.46052631579</v>
          </cell>
          <cell r="G3405">
            <v>115640.19355263156</v>
          </cell>
        </row>
        <row r="3406">
          <cell r="A3406" t="str">
            <v>D3.3017</v>
          </cell>
          <cell r="C3406" t="str">
            <v>Lắp chống rung, Chiều cao lắp đặt =&lt; 85m</v>
          </cell>
          <cell r="D3406" t="str">
            <v>bộ</v>
          </cell>
          <cell r="I3406">
            <v>132986.22258552632</v>
          </cell>
        </row>
        <row r="3407">
          <cell r="C3407" t="str">
            <v>Nhân công</v>
          </cell>
          <cell r="G3407">
            <v>132986.22258552632</v>
          </cell>
        </row>
        <row r="3408">
          <cell r="B3408" t="str">
            <v>NC1407</v>
          </cell>
          <cell r="C3408" t="str">
            <v>+ Nhân công bậc 4,0/7</v>
          </cell>
          <cell r="D3408" t="str">
            <v>Công</v>
          </cell>
          <cell r="E3408">
            <v>0.68310000000000004</v>
          </cell>
          <cell r="F3408">
            <v>194680.46052631579</v>
          </cell>
          <cell r="G3408">
            <v>132986.22258552632</v>
          </cell>
        </row>
        <row r="3409">
          <cell r="A3409" t="str">
            <v>D3.3018</v>
          </cell>
          <cell r="C3409" t="str">
            <v>Lắp chống rung, Chiều cao lắp đặt =&lt; 100m</v>
          </cell>
          <cell r="D3409" t="str">
            <v>bộ</v>
          </cell>
          <cell r="I3409">
            <v>152921.50174342105</v>
          </cell>
        </row>
        <row r="3410">
          <cell r="C3410" t="str">
            <v>Nhân công</v>
          </cell>
          <cell r="G3410">
            <v>152921.50174342105</v>
          </cell>
        </row>
        <row r="3411">
          <cell r="B3411" t="str">
            <v>NC1407</v>
          </cell>
          <cell r="C3411" t="str">
            <v>+ Nhân công bậc 4,0/7</v>
          </cell>
          <cell r="D3411" t="str">
            <v>Công</v>
          </cell>
          <cell r="E3411">
            <v>0.78549999999999998</v>
          </cell>
          <cell r="F3411">
            <v>194680.46052631579</v>
          </cell>
          <cell r="G3411">
            <v>152921.50174342105</v>
          </cell>
        </row>
        <row r="3412">
          <cell r="A3412" t="str">
            <v>D3.3019</v>
          </cell>
          <cell r="C3412" t="str">
            <v>Lắp chống rung, Chiều cao lắp đặt &gt; 100m</v>
          </cell>
          <cell r="D3412" t="str">
            <v>bộ</v>
          </cell>
          <cell r="I3412">
            <v>175212.41447368421</v>
          </cell>
        </row>
        <row r="3413">
          <cell r="C3413" t="str">
            <v>Nhân công</v>
          </cell>
          <cell r="G3413">
            <v>175212.41447368421</v>
          </cell>
        </row>
        <row r="3414">
          <cell r="B3414" t="str">
            <v>NC1407</v>
          </cell>
          <cell r="C3414" t="str">
            <v>+ Nhân công bậc 4,0/7</v>
          </cell>
          <cell r="D3414" t="str">
            <v>Công</v>
          </cell>
          <cell r="E3414">
            <v>0.9</v>
          </cell>
          <cell r="F3414">
            <v>194680.46052631579</v>
          </cell>
          <cell r="G3414">
            <v>175212.41447368421</v>
          </cell>
        </row>
        <row r="3415">
          <cell r="A3415" t="str">
            <v>D3.3021</v>
          </cell>
          <cell r="C3415" t="str">
            <v>Lắp tạ bù 25kg, Chiều cao lắp đặt =&lt; 20m</v>
          </cell>
          <cell r="D3415" t="str">
            <v>bộ</v>
          </cell>
          <cell r="I3415">
            <v>60350.942763157895</v>
          </cell>
        </row>
        <row r="3416">
          <cell r="C3416" t="str">
            <v>Nhân công</v>
          </cell>
          <cell r="G3416">
            <v>60350.942763157895</v>
          </cell>
        </row>
        <row r="3417">
          <cell r="B3417" t="str">
            <v>NC1407</v>
          </cell>
          <cell r="C3417" t="str">
            <v>+ Nhân công bậc 4,0/7</v>
          </cell>
          <cell r="D3417" t="str">
            <v>Công</v>
          </cell>
          <cell r="E3417">
            <v>0.31</v>
          </cell>
          <cell r="F3417">
            <v>194680.46052631579</v>
          </cell>
          <cell r="G3417">
            <v>60350.942763157895</v>
          </cell>
        </row>
        <row r="3418">
          <cell r="A3418" t="str">
            <v>D3.3022</v>
          </cell>
          <cell r="C3418" t="str">
            <v>Lắp tạ bù 25kg, Chiều cao lắp đặt =&lt; 30m</v>
          </cell>
          <cell r="D3418" t="str">
            <v>bộ</v>
          </cell>
          <cell r="I3418">
            <v>62297.747368421056</v>
          </cell>
        </row>
        <row r="3419">
          <cell r="C3419" t="str">
            <v>Nhân công</v>
          </cell>
          <cell r="G3419">
            <v>62297.747368421056</v>
          </cell>
        </row>
        <row r="3420">
          <cell r="B3420" t="str">
            <v>NC1407</v>
          </cell>
          <cell r="C3420" t="str">
            <v>+ Nhân công bậc 4,0/7</v>
          </cell>
          <cell r="D3420" t="str">
            <v>Công</v>
          </cell>
          <cell r="E3420">
            <v>0.32</v>
          </cell>
          <cell r="F3420">
            <v>194680.46052631579</v>
          </cell>
          <cell r="G3420">
            <v>62297.747368421056</v>
          </cell>
        </row>
        <row r="3421">
          <cell r="A3421" t="str">
            <v>D3.3023</v>
          </cell>
          <cell r="C3421" t="str">
            <v>Lắp tạ bù 25kg, Chiều cao lắp đặt =&lt; 40m</v>
          </cell>
          <cell r="D3421" t="str">
            <v>bộ</v>
          </cell>
          <cell r="I3421">
            <v>70084.965789473674</v>
          </cell>
        </row>
        <row r="3422">
          <cell r="C3422" t="str">
            <v>Nhân công</v>
          </cell>
          <cell r="G3422">
            <v>70084.965789473674</v>
          </cell>
        </row>
        <row r="3423">
          <cell r="B3423" t="str">
            <v>NC1407</v>
          </cell>
          <cell r="C3423" t="str">
            <v>+ Nhân công bậc 4,0/7</v>
          </cell>
          <cell r="D3423" t="str">
            <v>Công</v>
          </cell>
          <cell r="E3423">
            <v>0.36</v>
          </cell>
          <cell r="F3423">
            <v>194680.46052631579</v>
          </cell>
          <cell r="G3423">
            <v>70084.965789473674</v>
          </cell>
        </row>
        <row r="3424">
          <cell r="A3424" t="str">
            <v>D3.3024</v>
          </cell>
          <cell r="C3424" t="str">
            <v>Lắp tạ bù 25kg, Chiều cao lắp đặt =&lt; 50m</v>
          </cell>
          <cell r="D3424" t="str">
            <v>bộ</v>
          </cell>
          <cell r="I3424">
            <v>79818.988815789475</v>
          </cell>
        </row>
        <row r="3425">
          <cell r="C3425" t="str">
            <v>Nhân công</v>
          </cell>
          <cell r="G3425">
            <v>79818.988815789475</v>
          </cell>
        </row>
        <row r="3426">
          <cell r="B3426" t="str">
            <v>NC1407</v>
          </cell>
          <cell r="C3426" t="str">
            <v>+ Nhân công bậc 4,0/7</v>
          </cell>
          <cell r="D3426" t="str">
            <v>Công</v>
          </cell>
          <cell r="E3426">
            <v>0.41</v>
          </cell>
          <cell r="F3426">
            <v>194680.46052631579</v>
          </cell>
          <cell r="G3426">
            <v>79818.988815789475</v>
          </cell>
        </row>
        <row r="3427">
          <cell r="A3427" t="str">
            <v>D3.3025</v>
          </cell>
          <cell r="C3427" t="str">
            <v>Lắp tạ bù 25kg, Chiều cao lắp đặt =&lt; 60m</v>
          </cell>
          <cell r="D3427" t="str">
            <v>bộ</v>
          </cell>
          <cell r="I3427">
            <v>87606.207236842107</v>
          </cell>
        </row>
        <row r="3428">
          <cell r="C3428" t="str">
            <v>Nhân công</v>
          </cell>
          <cell r="G3428">
            <v>87606.207236842107</v>
          </cell>
        </row>
        <row r="3429">
          <cell r="B3429" t="str">
            <v>NC1407</v>
          </cell>
          <cell r="C3429" t="str">
            <v>+ Nhân công bậc 4,0/7</v>
          </cell>
          <cell r="D3429" t="str">
            <v>Công</v>
          </cell>
          <cell r="E3429">
            <v>0.45</v>
          </cell>
          <cell r="F3429">
            <v>194680.46052631579</v>
          </cell>
          <cell r="G3429">
            <v>87606.207236842107</v>
          </cell>
        </row>
        <row r="3430">
          <cell r="A3430" t="str">
            <v>D3.3026</v>
          </cell>
          <cell r="C3430" t="str">
            <v>Lắp tạ bù 25kg, Chiều cao lắp đặt =&lt; 70m</v>
          </cell>
          <cell r="D3430" t="str">
            <v>bộ</v>
          </cell>
          <cell r="I3430">
            <v>96366.827960526309</v>
          </cell>
        </row>
        <row r="3431">
          <cell r="C3431" t="str">
            <v>Nhân công</v>
          </cell>
          <cell r="G3431">
            <v>96366.827960526309</v>
          </cell>
        </row>
        <row r="3432">
          <cell r="B3432" t="str">
            <v>NC1407</v>
          </cell>
          <cell r="C3432" t="str">
            <v>+ Nhân công bậc 4,0/7</v>
          </cell>
          <cell r="D3432" t="str">
            <v>Công</v>
          </cell>
          <cell r="E3432">
            <v>0.495</v>
          </cell>
          <cell r="F3432">
            <v>194680.46052631579</v>
          </cell>
          <cell r="G3432">
            <v>96366.827960526309</v>
          </cell>
        </row>
        <row r="3433">
          <cell r="A3433" t="str">
            <v>D3.3027</v>
          </cell>
          <cell r="C3433" t="str">
            <v>Lắp tạ bù 25kg, Chiều cao lắp đặt =&lt; 85m</v>
          </cell>
          <cell r="D3433" t="str">
            <v>bộ</v>
          </cell>
          <cell r="I3433">
            <v>110831.58617763159</v>
          </cell>
        </row>
        <row r="3434">
          <cell r="C3434" t="str">
            <v>Nhân công</v>
          </cell>
          <cell r="G3434">
            <v>110831.58617763159</v>
          </cell>
        </row>
        <row r="3435">
          <cell r="B3435" t="str">
            <v>NC1407</v>
          </cell>
          <cell r="C3435" t="str">
            <v>+ Nhân công bậc 4,0/7</v>
          </cell>
          <cell r="D3435" t="str">
            <v>Công</v>
          </cell>
          <cell r="E3435">
            <v>0.56930000000000003</v>
          </cell>
          <cell r="F3435">
            <v>194680.46052631579</v>
          </cell>
          <cell r="G3435">
            <v>110831.58617763159</v>
          </cell>
        </row>
        <row r="3436">
          <cell r="A3436" t="str">
            <v>D3.3028</v>
          </cell>
          <cell r="C3436" t="str">
            <v>Lắp tạ bù 25kg, Chiều cao lắp đặt =&lt; 100m</v>
          </cell>
          <cell r="D3436" t="str">
            <v>bộ</v>
          </cell>
          <cell r="I3436">
            <v>127398.89336842105</v>
          </cell>
        </row>
        <row r="3437">
          <cell r="C3437" t="str">
            <v>Nhân công</v>
          </cell>
          <cell r="G3437">
            <v>127398.89336842105</v>
          </cell>
        </row>
        <row r="3438">
          <cell r="B3438" t="str">
            <v>NC1407</v>
          </cell>
          <cell r="C3438" t="str">
            <v>+ Nhân công bậc 4,0/7</v>
          </cell>
          <cell r="D3438" t="str">
            <v>Công</v>
          </cell>
          <cell r="E3438">
            <v>0.65439999999999998</v>
          </cell>
          <cell r="F3438">
            <v>194680.46052631579</v>
          </cell>
          <cell r="G3438">
            <v>127398.89336842105</v>
          </cell>
        </row>
        <row r="3439">
          <cell r="A3439" t="str">
            <v>D3.3029</v>
          </cell>
          <cell r="C3439" t="str">
            <v>Lắp tạ bù 25kg, Chiều cao lắp đặt &gt; 100m</v>
          </cell>
          <cell r="D3439" t="str">
            <v>bộ</v>
          </cell>
          <cell r="I3439">
            <v>146419.1743618421</v>
          </cell>
        </row>
        <row r="3440">
          <cell r="C3440" t="str">
            <v>Nhân công</v>
          </cell>
          <cell r="G3440">
            <v>146419.1743618421</v>
          </cell>
        </row>
        <row r="3441">
          <cell r="B3441" t="str">
            <v>NC1407</v>
          </cell>
          <cell r="C3441" t="str">
            <v>+ Nhân công bậc 4,0/7</v>
          </cell>
          <cell r="D3441" t="str">
            <v>Công</v>
          </cell>
          <cell r="E3441">
            <v>0.75209999999999999</v>
          </cell>
          <cell r="F3441">
            <v>194680.46052631579</v>
          </cell>
          <cell r="G3441">
            <v>146419.1743618421</v>
          </cell>
        </row>
        <row r="3442">
          <cell r="A3442" t="str">
            <v>D3.3031</v>
          </cell>
          <cell r="C3442" t="str">
            <v>Lắp tạ bù 50kg, Chiều cao lắp đặt =&lt; 20m</v>
          </cell>
          <cell r="D3442" t="str">
            <v>bộ</v>
          </cell>
          <cell r="I3442">
            <v>93446.62105263157</v>
          </cell>
        </row>
        <row r="3443">
          <cell r="C3443" t="str">
            <v>Nhân công</v>
          </cell>
          <cell r="G3443">
            <v>93446.62105263157</v>
          </cell>
        </row>
        <row r="3444">
          <cell r="B3444" t="str">
            <v>NC1407</v>
          </cell>
          <cell r="C3444" t="str">
            <v>+ Nhân công bậc 4,0/7</v>
          </cell>
          <cell r="D3444" t="str">
            <v>Công</v>
          </cell>
          <cell r="E3444">
            <v>0.48</v>
          </cell>
          <cell r="F3444">
            <v>194680.46052631579</v>
          </cell>
          <cell r="G3444">
            <v>93446.62105263157</v>
          </cell>
        </row>
        <row r="3445">
          <cell r="A3445" t="str">
            <v>D3.3032</v>
          </cell>
          <cell r="C3445" t="str">
            <v>Lắp tạ bù 50kg, Chiều cao lắp đặt =&lt; 30m</v>
          </cell>
          <cell r="D3445" t="str">
            <v>bộ</v>
          </cell>
          <cell r="I3445">
            <v>97340.230263157893</v>
          </cell>
        </row>
        <row r="3446">
          <cell r="C3446" t="str">
            <v>Nhân công</v>
          </cell>
          <cell r="G3446">
            <v>97340.230263157893</v>
          </cell>
        </row>
        <row r="3447">
          <cell r="B3447" t="str">
            <v>NC1407</v>
          </cell>
          <cell r="C3447" t="str">
            <v>+ Nhân công bậc 4,0/7</v>
          </cell>
          <cell r="D3447" t="str">
            <v>Công</v>
          </cell>
          <cell r="E3447">
            <v>0.5</v>
          </cell>
          <cell r="F3447">
            <v>194680.46052631579</v>
          </cell>
          <cell r="G3447">
            <v>97340.230263157893</v>
          </cell>
        </row>
        <row r="3448">
          <cell r="A3448" t="str">
            <v>D3.3033</v>
          </cell>
          <cell r="C3448" t="str">
            <v>Lắp tạ bù 50kg, Chiều cao lắp đặt =&lt; 40m</v>
          </cell>
          <cell r="D3448" t="str">
            <v>bộ</v>
          </cell>
          <cell r="I3448">
            <v>109021.05789473685</v>
          </cell>
        </row>
        <row r="3449">
          <cell r="C3449" t="str">
            <v>Nhân công</v>
          </cell>
          <cell r="G3449">
            <v>109021.05789473685</v>
          </cell>
        </row>
        <row r="3450">
          <cell r="B3450" t="str">
            <v>NC1407</v>
          </cell>
          <cell r="C3450" t="str">
            <v>+ Nhân công bậc 4,0/7</v>
          </cell>
          <cell r="D3450" t="str">
            <v>Công</v>
          </cell>
          <cell r="E3450">
            <v>0.56000000000000005</v>
          </cell>
          <cell r="F3450">
            <v>194680.46052631579</v>
          </cell>
          <cell r="G3450">
            <v>109021.05789473685</v>
          </cell>
        </row>
        <row r="3451">
          <cell r="A3451" t="str">
            <v>D3.3034</v>
          </cell>
          <cell r="C3451" t="str">
            <v>Lắp tạ bù 50kg, Chiều cao lắp đặt =&lt; 50m</v>
          </cell>
          <cell r="D3451" t="str">
            <v>bộ</v>
          </cell>
          <cell r="I3451">
            <v>126542.29934210527</v>
          </cell>
        </row>
        <row r="3452">
          <cell r="C3452" t="str">
            <v>Nhân công</v>
          </cell>
          <cell r="G3452">
            <v>126542.29934210527</v>
          </cell>
        </row>
        <row r="3453">
          <cell r="B3453" t="str">
            <v>NC1407</v>
          </cell>
          <cell r="C3453" t="str">
            <v>+ Nhân công bậc 4,0/7</v>
          </cell>
          <cell r="D3453" t="str">
            <v>Công</v>
          </cell>
          <cell r="E3453">
            <v>0.65</v>
          </cell>
          <cell r="F3453">
            <v>194680.46052631579</v>
          </cell>
          <cell r="G3453">
            <v>126542.29934210527</v>
          </cell>
        </row>
        <row r="3454">
          <cell r="A3454" t="str">
            <v>D3.3035</v>
          </cell>
          <cell r="C3454" t="str">
            <v>Lắp tạ bù 50kg, Chiều cao lắp đặt =&lt; 60m</v>
          </cell>
          <cell r="D3454" t="str">
            <v>bộ</v>
          </cell>
          <cell r="I3454">
            <v>138223.12697368421</v>
          </cell>
        </row>
        <row r="3455">
          <cell r="C3455" t="str">
            <v>Nhân công</v>
          </cell>
          <cell r="G3455">
            <v>138223.12697368421</v>
          </cell>
        </row>
        <row r="3456">
          <cell r="B3456" t="str">
            <v>NC1407</v>
          </cell>
          <cell r="C3456" t="str">
            <v>+ Nhân công bậc 4,0/7</v>
          </cell>
          <cell r="D3456" t="str">
            <v>Công</v>
          </cell>
          <cell r="E3456">
            <v>0.71</v>
          </cell>
          <cell r="F3456">
            <v>194680.46052631579</v>
          </cell>
          <cell r="G3456">
            <v>138223.12697368421</v>
          </cell>
        </row>
        <row r="3457">
          <cell r="A3457" t="str">
            <v>D3.3036</v>
          </cell>
          <cell r="C3457" t="str">
            <v>Lắp tạ bù 50kg, Chiều cao lắp đặt =&lt; 70m</v>
          </cell>
          <cell r="D3457" t="str">
            <v>bộ</v>
          </cell>
          <cell r="I3457">
            <v>151850.75921052633</v>
          </cell>
        </row>
        <row r="3458">
          <cell r="C3458" t="str">
            <v>Nhân công</v>
          </cell>
          <cell r="G3458">
            <v>151850.75921052633</v>
          </cell>
        </row>
        <row r="3459">
          <cell r="B3459" t="str">
            <v>NC1407</v>
          </cell>
          <cell r="C3459" t="str">
            <v>+ Nhân công bậc 4,0/7</v>
          </cell>
          <cell r="D3459" t="str">
            <v>Công</v>
          </cell>
          <cell r="E3459">
            <v>0.78</v>
          </cell>
          <cell r="F3459">
            <v>194680.46052631579</v>
          </cell>
          <cell r="G3459">
            <v>151850.75921052633</v>
          </cell>
        </row>
        <row r="3460">
          <cell r="A3460" t="str">
            <v>D3.3037</v>
          </cell>
          <cell r="C3460" t="str">
            <v>Lắp tạ bù 50kg, Chiều cao lắp đặt =&lt; 85m</v>
          </cell>
          <cell r="D3460" t="str">
            <v>bộ</v>
          </cell>
          <cell r="I3460">
            <v>175212.41447368421</v>
          </cell>
        </row>
        <row r="3461">
          <cell r="C3461" t="str">
            <v>Nhân công</v>
          </cell>
          <cell r="G3461">
            <v>175212.41447368421</v>
          </cell>
        </row>
        <row r="3462">
          <cell r="B3462" t="str">
            <v>NC1407</v>
          </cell>
          <cell r="C3462" t="str">
            <v>+ Nhân công bậc 4,0/7</v>
          </cell>
          <cell r="D3462" t="str">
            <v>Công</v>
          </cell>
          <cell r="E3462">
            <v>0.9</v>
          </cell>
          <cell r="F3462">
            <v>194680.46052631579</v>
          </cell>
          <cell r="G3462">
            <v>175212.41447368421</v>
          </cell>
        </row>
        <row r="3463">
          <cell r="A3463" t="str">
            <v>D3.3038</v>
          </cell>
          <cell r="C3463" t="str">
            <v>Lắp tạ bù 50kg, Chiều cao lắp đặt =&lt; 100m</v>
          </cell>
          <cell r="D3463" t="str">
            <v>bộ</v>
          </cell>
          <cell r="I3463">
            <v>202467.67894736843</v>
          </cell>
        </row>
        <row r="3464">
          <cell r="C3464" t="str">
            <v>Nhân công</v>
          </cell>
          <cell r="G3464">
            <v>202467.67894736843</v>
          </cell>
        </row>
        <row r="3465">
          <cell r="B3465" t="str">
            <v>NC1407</v>
          </cell>
          <cell r="C3465" t="str">
            <v>+ Nhân công bậc 4,0/7</v>
          </cell>
          <cell r="D3465" t="str">
            <v>Công</v>
          </cell>
          <cell r="E3465">
            <v>1.04</v>
          </cell>
          <cell r="F3465">
            <v>194680.46052631579</v>
          </cell>
          <cell r="G3465">
            <v>202467.67894736843</v>
          </cell>
        </row>
        <row r="3466">
          <cell r="A3466" t="str">
            <v>D3.3039</v>
          </cell>
          <cell r="C3466" t="str">
            <v>Lắp tạ bù 50kg, Chiều cao lắp đặt &gt; 100m</v>
          </cell>
          <cell r="D3466" t="str">
            <v>bộ</v>
          </cell>
          <cell r="I3466">
            <v>233616.55263157893</v>
          </cell>
        </row>
        <row r="3467">
          <cell r="C3467" t="str">
            <v>Nhân công</v>
          </cell>
          <cell r="G3467">
            <v>233616.55263157893</v>
          </cell>
        </row>
        <row r="3468">
          <cell r="B3468" t="str">
            <v>NC1407</v>
          </cell>
          <cell r="C3468" t="str">
            <v>+ Nhân công bậc 4,0/7</v>
          </cell>
          <cell r="D3468" t="str">
            <v>Công</v>
          </cell>
          <cell r="E3468">
            <v>1.2</v>
          </cell>
          <cell r="F3468">
            <v>194680.46052631579</v>
          </cell>
          <cell r="G3468">
            <v>233616.55263157893</v>
          </cell>
        </row>
        <row r="3469">
          <cell r="A3469" t="str">
            <v>D3.3041</v>
          </cell>
          <cell r="C3469" t="str">
            <v>Lắp tạ bù 100kg, Chiều cao lắp đặt =&lt; 20m</v>
          </cell>
          <cell r="D3469" t="str">
            <v>bộ</v>
          </cell>
          <cell r="I3469">
            <v>116808.27631578947</v>
          </cell>
        </row>
        <row r="3470">
          <cell r="C3470" t="str">
            <v>Nhân công</v>
          </cell>
          <cell r="G3470">
            <v>116808.27631578947</v>
          </cell>
        </row>
        <row r="3471">
          <cell r="B3471" t="str">
            <v>NC1407</v>
          </cell>
          <cell r="C3471" t="str">
            <v>+ Nhân công bậc 4,0/7</v>
          </cell>
          <cell r="D3471" t="str">
            <v>Công</v>
          </cell>
          <cell r="E3471">
            <v>0.6</v>
          </cell>
          <cell r="F3471">
            <v>194680.46052631579</v>
          </cell>
          <cell r="G3471">
            <v>116808.27631578947</v>
          </cell>
        </row>
        <row r="3472">
          <cell r="A3472" t="str">
            <v>D3.3042</v>
          </cell>
          <cell r="C3472" t="str">
            <v>Lắp tạ bù 100kg, Chiều cao lắp đặt =&lt; 30m</v>
          </cell>
          <cell r="D3472" t="str">
            <v>bộ</v>
          </cell>
          <cell r="I3472">
            <v>122648.69013157894</v>
          </cell>
        </row>
        <row r="3473">
          <cell r="C3473" t="str">
            <v>Nhân công</v>
          </cell>
          <cell r="G3473">
            <v>122648.69013157894</v>
          </cell>
        </row>
        <row r="3474">
          <cell r="B3474" t="str">
            <v>NC1407</v>
          </cell>
          <cell r="C3474" t="str">
            <v>+ Nhân công bậc 4,0/7</v>
          </cell>
          <cell r="D3474" t="str">
            <v>Công</v>
          </cell>
          <cell r="E3474">
            <v>0.63</v>
          </cell>
          <cell r="F3474">
            <v>194680.46052631579</v>
          </cell>
          <cell r="G3474">
            <v>122648.69013157894</v>
          </cell>
        </row>
        <row r="3475">
          <cell r="A3475" t="str">
            <v>D3.3043</v>
          </cell>
          <cell r="C3475" t="str">
            <v>Lắp tạ bù 100kg, Chiều cao lắp đặt =&lt; 40m</v>
          </cell>
          <cell r="D3475" t="str">
            <v>bộ</v>
          </cell>
          <cell r="I3475">
            <v>138223.12697368421</v>
          </cell>
        </row>
        <row r="3476">
          <cell r="C3476" t="str">
            <v>Nhân công</v>
          </cell>
          <cell r="G3476">
            <v>138223.12697368421</v>
          </cell>
        </row>
        <row r="3477">
          <cell r="B3477" t="str">
            <v>NC1407</v>
          </cell>
          <cell r="C3477" t="str">
            <v>+ Nhân công bậc 4,0/7</v>
          </cell>
          <cell r="D3477" t="str">
            <v>Công</v>
          </cell>
          <cell r="E3477">
            <v>0.71</v>
          </cell>
          <cell r="F3477">
            <v>194680.46052631579</v>
          </cell>
          <cell r="G3477">
            <v>138223.12697368421</v>
          </cell>
        </row>
        <row r="3478">
          <cell r="A3478" t="str">
            <v>D3.3044</v>
          </cell>
          <cell r="C3478" t="str">
            <v>Lắp tạ bù 100kg, Chiều cao lắp đặt =&lt; 50m</v>
          </cell>
          <cell r="D3478" t="str">
            <v>bộ</v>
          </cell>
          <cell r="I3478">
            <v>157691.17302631581</v>
          </cell>
        </row>
        <row r="3479">
          <cell r="C3479" t="str">
            <v>Nhân công</v>
          </cell>
          <cell r="G3479">
            <v>157691.17302631581</v>
          </cell>
        </row>
        <row r="3480">
          <cell r="B3480" t="str">
            <v>NC1407</v>
          </cell>
          <cell r="C3480" t="str">
            <v>+ Nhân công bậc 4,0/7</v>
          </cell>
          <cell r="D3480" t="str">
            <v>Công</v>
          </cell>
          <cell r="E3480">
            <v>0.81</v>
          </cell>
          <cell r="F3480">
            <v>194680.46052631579</v>
          </cell>
          <cell r="G3480">
            <v>157691.17302631581</v>
          </cell>
        </row>
        <row r="3481">
          <cell r="A3481" t="str">
            <v>D3.3045</v>
          </cell>
          <cell r="C3481" t="str">
            <v>Lắp tạ bù 100kg, Chiều cao lắp đặt =&lt; 60m</v>
          </cell>
          <cell r="D3481" t="str">
            <v>bộ</v>
          </cell>
          <cell r="I3481">
            <v>173265.60986842104</v>
          </cell>
        </row>
        <row r="3482">
          <cell r="C3482" t="str">
            <v>Nhân công</v>
          </cell>
          <cell r="G3482">
            <v>173265.60986842104</v>
          </cell>
        </row>
        <row r="3483">
          <cell r="B3483" t="str">
            <v>NC1407</v>
          </cell>
          <cell r="C3483" t="str">
            <v>+ Nhân công bậc 4,0/7</v>
          </cell>
          <cell r="D3483" t="str">
            <v>Công</v>
          </cell>
          <cell r="E3483">
            <v>0.89</v>
          </cell>
          <cell r="F3483">
            <v>194680.46052631579</v>
          </cell>
          <cell r="G3483">
            <v>173265.60986842104</v>
          </cell>
        </row>
        <row r="3484">
          <cell r="A3484" t="str">
            <v>D3.3046</v>
          </cell>
          <cell r="C3484" t="str">
            <v>Lắp tạ bù 100kg, Chiều cao lắp đặt =&lt; 70m</v>
          </cell>
          <cell r="D3484" t="str">
            <v>bộ</v>
          </cell>
          <cell r="I3484">
            <v>190786.85131578948</v>
          </cell>
        </row>
        <row r="3485">
          <cell r="C3485" t="str">
            <v>Nhân công</v>
          </cell>
          <cell r="G3485">
            <v>190786.85131578948</v>
          </cell>
        </row>
        <row r="3486">
          <cell r="B3486" t="str">
            <v>NC1407</v>
          </cell>
          <cell r="C3486" t="str">
            <v>+ Nhân công bậc 4,0/7</v>
          </cell>
          <cell r="D3486" t="str">
            <v>Công</v>
          </cell>
          <cell r="E3486">
            <v>0.98</v>
          </cell>
          <cell r="F3486">
            <v>194680.46052631579</v>
          </cell>
          <cell r="G3486">
            <v>190786.85131578948</v>
          </cell>
        </row>
        <row r="3487">
          <cell r="A3487" t="str">
            <v>D3.3047</v>
          </cell>
          <cell r="C3487" t="str">
            <v>Lắp tạ bù 100kg, Chiều cao lắp đặt =&lt; 85m</v>
          </cell>
          <cell r="D3487" t="str">
            <v>bộ</v>
          </cell>
          <cell r="I3487">
            <v>219988.92039473681</v>
          </cell>
        </row>
        <row r="3488">
          <cell r="C3488" t="str">
            <v>Nhân công</v>
          </cell>
          <cell r="G3488">
            <v>219988.92039473681</v>
          </cell>
        </row>
        <row r="3489">
          <cell r="B3489" t="str">
            <v>NC1407</v>
          </cell>
          <cell r="C3489" t="str">
            <v>+ Nhân công bậc 4,0/7</v>
          </cell>
          <cell r="D3489" t="str">
            <v>Công</v>
          </cell>
          <cell r="E3489">
            <v>1.1299999999999999</v>
          </cell>
          <cell r="F3489">
            <v>194680.46052631579</v>
          </cell>
          <cell r="G3489">
            <v>219988.92039473681</v>
          </cell>
        </row>
        <row r="3490">
          <cell r="A3490" t="str">
            <v>D3.3048</v>
          </cell>
          <cell r="C3490" t="str">
            <v>Lắp tạ bù 100kg, Chiều cao lắp đặt =&lt; 100m</v>
          </cell>
          <cell r="D3490" t="str">
            <v>bộ</v>
          </cell>
          <cell r="I3490">
            <v>253084.59868421053</v>
          </cell>
        </row>
        <row r="3491">
          <cell r="C3491" t="str">
            <v>Nhân công</v>
          </cell>
          <cell r="G3491">
            <v>253084.59868421053</v>
          </cell>
        </row>
        <row r="3492">
          <cell r="B3492" t="str">
            <v>NC1407</v>
          </cell>
          <cell r="C3492" t="str">
            <v>+ Nhân công bậc 4,0/7</v>
          </cell>
          <cell r="D3492" t="str">
            <v>Công</v>
          </cell>
          <cell r="E3492">
            <v>1.3</v>
          </cell>
          <cell r="F3492">
            <v>194680.46052631579</v>
          </cell>
          <cell r="G3492">
            <v>253084.59868421053</v>
          </cell>
        </row>
        <row r="3493">
          <cell r="A3493" t="str">
            <v>D3.3049</v>
          </cell>
          <cell r="C3493" t="str">
            <v>Lắp tạ bù 100kg, Chiều cao lắp đặt &gt; 100m</v>
          </cell>
          <cell r="D3493" t="str">
            <v>bộ</v>
          </cell>
          <cell r="I3493">
            <v>292020.69078947371</v>
          </cell>
        </row>
        <row r="3494">
          <cell r="C3494" t="str">
            <v>Nhân công</v>
          </cell>
          <cell r="G3494">
            <v>292020.69078947371</v>
          </cell>
        </row>
        <row r="3495">
          <cell r="B3495" t="str">
            <v>NC1407</v>
          </cell>
          <cell r="C3495" t="str">
            <v>+ Nhân công bậc 4,0/7</v>
          </cell>
          <cell r="D3495" t="str">
            <v>Công</v>
          </cell>
          <cell r="E3495">
            <v>1.5</v>
          </cell>
          <cell r="F3495">
            <v>194680.46052631579</v>
          </cell>
          <cell r="G3495">
            <v>292020.69078947371</v>
          </cell>
        </row>
        <row r="3496">
          <cell r="A3496" t="str">
            <v>D3.3051</v>
          </cell>
          <cell r="C3496" t="str">
            <v>Lắp tạ bù 150kg, Chiều cao lắp đặt =&lt; 20m</v>
          </cell>
          <cell r="D3496" t="str">
            <v>bộ</v>
          </cell>
          <cell r="I3496">
            <v>227776.13881578945</v>
          </cell>
        </row>
        <row r="3497">
          <cell r="C3497" t="str">
            <v>Nhân công</v>
          </cell>
          <cell r="G3497">
            <v>227776.13881578945</v>
          </cell>
        </row>
        <row r="3498">
          <cell r="B3498" t="str">
            <v>NC1407</v>
          </cell>
          <cell r="C3498" t="str">
            <v>+ Nhân công bậc 4,0/7</v>
          </cell>
          <cell r="D3498" t="str">
            <v>Công</v>
          </cell>
          <cell r="E3498">
            <v>1.17</v>
          </cell>
          <cell r="F3498">
            <v>194680.46052631579</v>
          </cell>
          <cell r="G3498">
            <v>227776.13881578945</v>
          </cell>
        </row>
        <row r="3499">
          <cell r="A3499" t="str">
            <v>D3.3052</v>
          </cell>
          <cell r="C3499" t="str">
            <v>Lắp tạ bù 150kg, Chiều cao lắp đặt =&lt; 30m</v>
          </cell>
          <cell r="D3499" t="str">
            <v>bộ</v>
          </cell>
          <cell r="I3499">
            <v>239456.96644736841</v>
          </cell>
        </row>
        <row r="3500">
          <cell r="C3500" t="str">
            <v>Nhân công</v>
          </cell>
          <cell r="G3500">
            <v>239456.96644736841</v>
          </cell>
        </row>
        <row r="3501">
          <cell r="B3501" t="str">
            <v>NC1407</v>
          </cell>
          <cell r="C3501" t="str">
            <v>+ Nhân công bậc 4,0/7</v>
          </cell>
          <cell r="D3501" t="str">
            <v>Công</v>
          </cell>
          <cell r="E3501">
            <v>1.23</v>
          </cell>
          <cell r="F3501">
            <v>194680.46052631579</v>
          </cell>
          <cell r="G3501">
            <v>239456.96644736841</v>
          </cell>
        </row>
        <row r="3502">
          <cell r="A3502" t="str">
            <v>D3.3053</v>
          </cell>
          <cell r="C3502" t="str">
            <v>Lắp tạ bù 150kg, Chiều cao lắp đặt =&lt; 40m</v>
          </cell>
          <cell r="D3502" t="str">
            <v>bộ</v>
          </cell>
          <cell r="I3502">
            <v>268659.03552631574</v>
          </cell>
        </row>
        <row r="3503">
          <cell r="C3503" t="str">
            <v>Nhân công</v>
          </cell>
          <cell r="G3503">
            <v>268659.03552631574</v>
          </cell>
        </row>
        <row r="3504">
          <cell r="B3504" t="str">
            <v>NC1407</v>
          </cell>
          <cell r="C3504" t="str">
            <v>+ Nhân công bậc 4,0/7</v>
          </cell>
          <cell r="D3504" t="str">
            <v>Công</v>
          </cell>
          <cell r="E3504">
            <v>1.38</v>
          </cell>
          <cell r="F3504">
            <v>194680.46052631579</v>
          </cell>
          <cell r="G3504">
            <v>268659.03552631574</v>
          </cell>
        </row>
        <row r="3505">
          <cell r="A3505" t="str">
            <v>D3.3054</v>
          </cell>
          <cell r="C3505" t="str">
            <v>Lắp tạ bù 150kg, Chiều cao lắp đặt =&lt; 50m</v>
          </cell>
          <cell r="D3505" t="str">
            <v>bộ</v>
          </cell>
          <cell r="I3505">
            <v>301754.7138157895</v>
          </cell>
        </row>
        <row r="3506">
          <cell r="C3506" t="str">
            <v>Nhân công</v>
          </cell>
          <cell r="G3506">
            <v>301754.7138157895</v>
          </cell>
        </row>
        <row r="3507">
          <cell r="B3507" t="str">
            <v>NC1407</v>
          </cell>
          <cell r="C3507" t="str">
            <v>+ Nhân công bậc 4,0/7</v>
          </cell>
          <cell r="D3507" t="str">
            <v>Công</v>
          </cell>
          <cell r="E3507">
            <v>1.55</v>
          </cell>
          <cell r="F3507">
            <v>194680.46052631579</v>
          </cell>
          <cell r="G3507">
            <v>301754.7138157895</v>
          </cell>
        </row>
        <row r="3508">
          <cell r="A3508" t="str">
            <v>D3.3055</v>
          </cell>
          <cell r="C3508" t="str">
            <v>Lắp tạ bù 150kg, Chiều cao lắp đặt =&lt; 60m</v>
          </cell>
          <cell r="D3508" t="str">
            <v>bộ</v>
          </cell>
          <cell r="I3508">
            <v>358212.04736842104</v>
          </cell>
        </row>
        <row r="3509">
          <cell r="C3509" t="str">
            <v>Nhân công</v>
          </cell>
          <cell r="G3509">
            <v>358212.04736842104</v>
          </cell>
        </row>
        <row r="3510">
          <cell r="B3510" t="str">
            <v>NC1407</v>
          </cell>
          <cell r="C3510" t="str">
            <v>+ Nhân công bậc 4,0/7</v>
          </cell>
          <cell r="D3510" t="str">
            <v>Công</v>
          </cell>
          <cell r="E3510">
            <v>1.84</v>
          </cell>
          <cell r="F3510">
            <v>194680.46052631579</v>
          </cell>
          <cell r="G3510">
            <v>358212.04736842104</v>
          </cell>
        </row>
        <row r="3511">
          <cell r="A3511" t="str">
            <v>D3.3056</v>
          </cell>
          <cell r="C3511" t="str">
            <v>Lắp tạ bù 150kg, Chiều cao lắp đặt =&lt; 70m</v>
          </cell>
          <cell r="D3511" t="str">
            <v>bộ</v>
          </cell>
          <cell r="I3511">
            <v>393254.53026315791</v>
          </cell>
        </row>
        <row r="3512">
          <cell r="C3512" t="str">
            <v>Nhân công</v>
          </cell>
          <cell r="G3512">
            <v>393254.53026315791</v>
          </cell>
        </row>
        <row r="3513">
          <cell r="B3513" t="str">
            <v>NC1407</v>
          </cell>
          <cell r="C3513" t="str">
            <v>+ Nhân công bậc 4,0/7</v>
          </cell>
          <cell r="D3513" t="str">
            <v>Công</v>
          </cell>
          <cell r="E3513">
            <v>2.02</v>
          </cell>
          <cell r="F3513">
            <v>194680.46052631579</v>
          </cell>
          <cell r="G3513">
            <v>393254.53026315791</v>
          </cell>
        </row>
        <row r="3514">
          <cell r="A3514" t="str">
            <v>D3.3057</v>
          </cell>
          <cell r="C3514" t="str">
            <v>Lắp tạ bù 150kg, Chiều cao lắp đặt =&lt; 85m</v>
          </cell>
          <cell r="D3514" t="str">
            <v>bộ</v>
          </cell>
          <cell r="I3514">
            <v>451658.66842105257</v>
          </cell>
        </row>
        <row r="3515">
          <cell r="C3515" t="str">
            <v>Nhân công</v>
          </cell>
          <cell r="G3515">
            <v>451658.66842105257</v>
          </cell>
        </row>
        <row r="3516">
          <cell r="B3516" t="str">
            <v>NC1407</v>
          </cell>
          <cell r="C3516" t="str">
            <v>+ Nhân công bậc 4,0/7</v>
          </cell>
          <cell r="D3516" t="str">
            <v>Công</v>
          </cell>
          <cell r="E3516">
            <v>2.3199999999999998</v>
          </cell>
          <cell r="F3516">
            <v>194680.46052631579</v>
          </cell>
          <cell r="G3516">
            <v>451658.66842105257</v>
          </cell>
        </row>
        <row r="3517">
          <cell r="A3517" t="str">
            <v>D3.3058</v>
          </cell>
          <cell r="C3517" t="str">
            <v>Lắp tạ bù 150kg, Chiều cao lắp đặt =&lt; 100m</v>
          </cell>
          <cell r="D3517" t="str">
            <v>bộ</v>
          </cell>
          <cell r="I3517">
            <v>502275.58815789473</v>
          </cell>
        </row>
        <row r="3518">
          <cell r="C3518" t="str">
            <v>Nhân công</v>
          </cell>
          <cell r="G3518">
            <v>502275.58815789473</v>
          </cell>
        </row>
        <row r="3519">
          <cell r="B3519" t="str">
            <v>NC1407</v>
          </cell>
          <cell r="C3519" t="str">
            <v>+ Nhân công bậc 4,0/7</v>
          </cell>
          <cell r="D3519" t="str">
            <v>Công</v>
          </cell>
          <cell r="E3519">
            <v>2.58</v>
          </cell>
          <cell r="F3519">
            <v>194680.46052631579</v>
          </cell>
          <cell r="G3519">
            <v>502275.58815789473</v>
          </cell>
        </row>
        <row r="3520">
          <cell r="A3520" t="str">
            <v>D3.3059</v>
          </cell>
          <cell r="C3520" t="str">
            <v>Lắp tạ bù 150kg, Chiều cao lắp đặt &gt; 100m</v>
          </cell>
          <cell r="D3520" t="str">
            <v>bộ</v>
          </cell>
          <cell r="I3520">
            <v>560679.72631578939</v>
          </cell>
        </row>
        <row r="3521">
          <cell r="C3521" t="str">
            <v>Nhân công</v>
          </cell>
          <cell r="G3521">
            <v>560679.72631578939</v>
          </cell>
        </row>
        <row r="3522">
          <cell r="B3522" t="str">
            <v>NC1407</v>
          </cell>
          <cell r="C3522" t="str">
            <v>+ Nhân công bậc 4,0/7</v>
          </cell>
          <cell r="D3522" t="str">
            <v>Công</v>
          </cell>
          <cell r="E3522">
            <v>2.88</v>
          </cell>
          <cell r="F3522">
            <v>194680.46052631579</v>
          </cell>
          <cell r="G3522">
            <v>560679.72631578939</v>
          </cell>
        </row>
        <row r="3523">
          <cell r="A3523" t="str">
            <v>D3.3061</v>
          </cell>
          <cell r="C3523" t="str">
            <v>Lắp tạ bù 200kg, Chiều cao lắp đặt =&lt; 20m</v>
          </cell>
          <cell r="D3523" t="str">
            <v>bộ</v>
          </cell>
          <cell r="I3523">
            <v>336797.1967105263</v>
          </cell>
        </row>
        <row r="3524">
          <cell r="C3524" t="str">
            <v>Nhân công</v>
          </cell>
          <cell r="G3524">
            <v>336797.1967105263</v>
          </cell>
        </row>
        <row r="3525">
          <cell r="B3525" t="str">
            <v>NC1407</v>
          </cell>
          <cell r="C3525" t="str">
            <v>+ Nhân công bậc 4,0/7</v>
          </cell>
          <cell r="D3525" t="str">
            <v>Công</v>
          </cell>
          <cell r="E3525">
            <v>1.73</v>
          </cell>
          <cell r="F3525">
            <v>194680.46052631579</v>
          </cell>
          <cell r="G3525">
            <v>336797.1967105263</v>
          </cell>
        </row>
        <row r="3526">
          <cell r="A3526" t="str">
            <v>D3.3062</v>
          </cell>
          <cell r="C3526" t="str">
            <v>Lắp tạ bù 200kg, Chiều cao lắp đặt =&lt; 30m</v>
          </cell>
          <cell r="D3526" t="str">
            <v>bộ</v>
          </cell>
          <cell r="I3526">
            <v>354318.43815789477</v>
          </cell>
        </row>
        <row r="3527">
          <cell r="C3527" t="str">
            <v>Nhân công</v>
          </cell>
          <cell r="G3527">
            <v>354318.43815789477</v>
          </cell>
        </row>
        <row r="3528">
          <cell r="B3528" t="str">
            <v>NC1407</v>
          </cell>
          <cell r="C3528" t="str">
            <v>+ Nhân công bậc 4,0/7</v>
          </cell>
          <cell r="D3528" t="str">
            <v>Công</v>
          </cell>
          <cell r="E3528">
            <v>1.82</v>
          </cell>
          <cell r="F3528">
            <v>194680.46052631579</v>
          </cell>
          <cell r="G3528">
            <v>354318.43815789477</v>
          </cell>
        </row>
        <row r="3529">
          <cell r="A3529" t="str">
            <v>D3.3063</v>
          </cell>
          <cell r="C3529" t="str">
            <v>Lắp tạ bù 200kg, Chiều cao lắp đặt =&lt; 40m</v>
          </cell>
          <cell r="D3529" t="str">
            <v>bộ</v>
          </cell>
          <cell r="I3529">
            <v>397148.13947368419</v>
          </cell>
        </row>
        <row r="3530">
          <cell r="C3530" t="str">
            <v>Nhân công</v>
          </cell>
          <cell r="G3530">
            <v>397148.13947368419</v>
          </cell>
        </row>
        <row r="3531">
          <cell r="B3531" t="str">
            <v>NC1407</v>
          </cell>
          <cell r="C3531" t="str">
            <v>+ Nhân công bậc 4,0/7</v>
          </cell>
          <cell r="D3531" t="str">
            <v>Công</v>
          </cell>
          <cell r="E3531">
            <v>2.04</v>
          </cell>
          <cell r="F3531">
            <v>194680.46052631579</v>
          </cell>
          <cell r="G3531">
            <v>397148.13947368419</v>
          </cell>
        </row>
        <row r="3532">
          <cell r="A3532" t="str">
            <v>D3.3064</v>
          </cell>
          <cell r="C3532" t="str">
            <v>Lắp tạ bù 200kg, Chiều cao lắp đặt =&lt; 50m</v>
          </cell>
          <cell r="D3532" t="str">
            <v>bộ</v>
          </cell>
          <cell r="I3532">
            <v>445818.25460526318</v>
          </cell>
        </row>
        <row r="3533">
          <cell r="C3533" t="str">
            <v>Nhân công</v>
          </cell>
          <cell r="G3533">
            <v>445818.25460526318</v>
          </cell>
        </row>
        <row r="3534">
          <cell r="B3534" t="str">
            <v>NC1407</v>
          </cell>
          <cell r="C3534" t="str">
            <v>+ Nhân công bậc 4,0/7</v>
          </cell>
          <cell r="D3534" t="str">
            <v>Công</v>
          </cell>
          <cell r="E3534">
            <v>2.29</v>
          </cell>
          <cell r="F3534">
            <v>194680.46052631579</v>
          </cell>
          <cell r="G3534">
            <v>445818.25460526318</v>
          </cell>
        </row>
        <row r="3535">
          <cell r="A3535" t="str">
            <v>D3.3065</v>
          </cell>
          <cell r="C3535" t="str">
            <v>Lắp tạ bù 200kg, Chiều cao lắp đặt =&lt; 60m</v>
          </cell>
          <cell r="D3535" t="str">
            <v>bộ</v>
          </cell>
          <cell r="I3535">
            <v>541211.68026315782</v>
          </cell>
        </row>
        <row r="3536">
          <cell r="C3536" t="str">
            <v>Nhân công</v>
          </cell>
          <cell r="G3536">
            <v>541211.68026315782</v>
          </cell>
        </row>
        <row r="3537">
          <cell r="B3537" t="str">
            <v>NC1407</v>
          </cell>
          <cell r="C3537" t="str">
            <v>+ Nhân công bậc 4,0/7</v>
          </cell>
          <cell r="D3537" t="str">
            <v>Công</v>
          </cell>
          <cell r="E3537">
            <v>2.78</v>
          </cell>
          <cell r="F3537">
            <v>194680.46052631579</v>
          </cell>
          <cell r="G3537">
            <v>541211.68026315782</v>
          </cell>
        </row>
        <row r="3538">
          <cell r="A3538" t="str">
            <v>D3.3066</v>
          </cell>
          <cell r="C3538" t="str">
            <v>Lắp tạ bù 200kg, Chiều cao lắp đặt =&lt; 70m</v>
          </cell>
          <cell r="D3538" t="str">
            <v>bộ</v>
          </cell>
          <cell r="I3538">
            <v>595332.84828947368</v>
          </cell>
        </row>
        <row r="3539">
          <cell r="C3539" t="str">
            <v>Nhân công</v>
          </cell>
          <cell r="G3539">
            <v>595332.84828947368</v>
          </cell>
        </row>
        <row r="3540">
          <cell r="B3540" t="str">
            <v>NC1407</v>
          </cell>
          <cell r="C3540" t="str">
            <v>+ Nhân công bậc 4,0/7</v>
          </cell>
          <cell r="D3540" t="str">
            <v>Công</v>
          </cell>
          <cell r="E3540">
            <v>3.0579999999999998</v>
          </cell>
          <cell r="F3540">
            <v>194680.46052631579</v>
          </cell>
          <cell r="G3540">
            <v>595332.84828947368</v>
          </cell>
        </row>
        <row r="3541">
          <cell r="A3541" t="str">
            <v>D3.3067</v>
          </cell>
          <cell r="C3541" t="str">
            <v>Lắp tạ bù 200kg, Chiều cao lắp đặt =&lt; 85m</v>
          </cell>
          <cell r="D3541" t="str">
            <v>bộ</v>
          </cell>
          <cell r="I3541">
            <v>684691.17967105261</v>
          </cell>
        </row>
        <row r="3542">
          <cell r="C3542" t="str">
            <v>Nhân công</v>
          </cell>
          <cell r="G3542">
            <v>684691.17967105261</v>
          </cell>
        </row>
        <row r="3543">
          <cell r="B3543" t="str">
            <v>NC1407</v>
          </cell>
          <cell r="C3543" t="str">
            <v>+ Nhân công bậc 4,0/7</v>
          </cell>
          <cell r="D3543" t="str">
            <v>Công</v>
          </cell>
          <cell r="E3543">
            <v>3.5169999999999999</v>
          </cell>
          <cell r="F3543">
            <v>194680.46052631579</v>
          </cell>
          <cell r="G3543">
            <v>684691.17967105261</v>
          </cell>
        </row>
        <row r="3544">
          <cell r="A3544" t="str">
            <v>D3.3068</v>
          </cell>
          <cell r="C3544" t="str">
            <v>Lắp tạ bù 200kg, Chiều cao lắp đặt =&lt; 100m</v>
          </cell>
          <cell r="D3544" t="str">
            <v>bộ</v>
          </cell>
          <cell r="I3544">
            <v>753024.02131578943</v>
          </cell>
        </row>
        <row r="3545">
          <cell r="C3545" t="str">
            <v>Nhân công</v>
          </cell>
          <cell r="G3545">
            <v>753024.02131578943</v>
          </cell>
        </row>
        <row r="3546">
          <cell r="B3546" t="str">
            <v>NC1407</v>
          </cell>
          <cell r="C3546" t="str">
            <v>+ Nhân công bậc 4,0/7</v>
          </cell>
          <cell r="D3546" t="str">
            <v>Công</v>
          </cell>
          <cell r="E3546">
            <v>3.8679999999999999</v>
          </cell>
          <cell r="F3546">
            <v>194680.46052631579</v>
          </cell>
          <cell r="G3546">
            <v>753024.02131578943</v>
          </cell>
        </row>
        <row r="3547">
          <cell r="A3547" t="str">
            <v>D3.3069</v>
          </cell>
          <cell r="C3547" t="str">
            <v>Lắp tạ bù 200kg, Chiều cao lắp đặt &gt; 100m</v>
          </cell>
          <cell r="D3547" t="str">
            <v>bộ</v>
          </cell>
          <cell r="I3547">
            <v>829338.76184210519</v>
          </cell>
        </row>
        <row r="3548">
          <cell r="C3548" t="str">
            <v>Nhân công</v>
          </cell>
          <cell r="G3548">
            <v>829338.76184210519</v>
          </cell>
        </row>
        <row r="3549">
          <cell r="B3549" t="str">
            <v>NC1407</v>
          </cell>
          <cell r="C3549" t="str">
            <v>+ Nhân công bậc 4,0/7</v>
          </cell>
          <cell r="D3549" t="str">
            <v>Công</v>
          </cell>
          <cell r="E3549">
            <v>4.26</v>
          </cell>
          <cell r="F3549">
            <v>194680.46052631579</v>
          </cell>
          <cell r="G3549">
            <v>829338.76184210519</v>
          </cell>
        </row>
        <row r="3550">
          <cell r="A3550" t="str">
            <v>D3.3071</v>
          </cell>
          <cell r="C3550" t="str">
            <v>Lắp tạ bù 250kg, Chiều cao lắp đặt =&lt; 20m</v>
          </cell>
          <cell r="D3550" t="str">
            <v>bộ</v>
          </cell>
          <cell r="I3550">
            <v>428297.01315789478</v>
          </cell>
        </row>
        <row r="3551">
          <cell r="C3551" t="str">
            <v>Nhân công</v>
          </cell>
          <cell r="G3551">
            <v>428297.01315789478</v>
          </cell>
        </row>
        <row r="3552">
          <cell r="B3552" t="str">
            <v>NC1407</v>
          </cell>
          <cell r="C3552" t="str">
            <v>+ Nhân công bậc 4,0/7</v>
          </cell>
          <cell r="D3552" t="str">
            <v>Công</v>
          </cell>
          <cell r="E3552">
            <v>2.2000000000000002</v>
          </cell>
          <cell r="F3552">
            <v>194680.46052631579</v>
          </cell>
          <cell r="G3552">
            <v>428297.01315789478</v>
          </cell>
        </row>
        <row r="3553">
          <cell r="A3553" t="str">
            <v>D3.3072</v>
          </cell>
          <cell r="C3553" t="str">
            <v>Lắp tạ bù 250kg, Chiều cao lắp đặt =&lt; 30m</v>
          </cell>
          <cell r="D3553" t="str">
            <v>bộ</v>
          </cell>
          <cell r="I3553">
            <v>451658.66842105257</v>
          </cell>
        </row>
        <row r="3554">
          <cell r="C3554" t="str">
            <v>Nhân công</v>
          </cell>
          <cell r="G3554">
            <v>451658.66842105257</v>
          </cell>
        </row>
        <row r="3555">
          <cell r="B3555" t="str">
            <v>NC1407</v>
          </cell>
          <cell r="C3555" t="str">
            <v>+ Nhân công bậc 4,0/7</v>
          </cell>
          <cell r="D3555" t="str">
            <v>Công</v>
          </cell>
          <cell r="E3555">
            <v>2.3199999999999998</v>
          </cell>
          <cell r="F3555">
            <v>194680.46052631579</v>
          </cell>
          <cell r="G3555">
            <v>451658.66842105257</v>
          </cell>
        </row>
        <row r="3556">
          <cell r="A3556" t="str">
            <v>D3.3073</v>
          </cell>
          <cell r="C3556" t="str">
            <v>Lắp tạ bù 250kg, Chiều cao lắp đặt =&lt; 40m</v>
          </cell>
          <cell r="D3556" t="str">
            <v>bộ</v>
          </cell>
          <cell r="I3556">
            <v>490594.76052631577</v>
          </cell>
        </row>
        <row r="3557">
          <cell r="C3557" t="str">
            <v>Nhân công</v>
          </cell>
          <cell r="G3557">
            <v>490594.76052631577</v>
          </cell>
        </row>
        <row r="3558">
          <cell r="B3558" t="str">
            <v>NC1407</v>
          </cell>
          <cell r="C3558" t="str">
            <v>+ Nhân công bậc 4,0/7</v>
          </cell>
          <cell r="D3558" t="str">
            <v>Công</v>
          </cell>
          <cell r="E3558">
            <v>2.52</v>
          </cell>
          <cell r="F3558">
            <v>194680.46052631579</v>
          </cell>
          <cell r="G3558">
            <v>490594.76052631577</v>
          </cell>
        </row>
        <row r="3559">
          <cell r="A3559" t="str">
            <v>D3.3074</v>
          </cell>
          <cell r="C3559" t="str">
            <v>Lắp tạ bù 250kg, Chiều cao lắp đặt =&lt; 50m</v>
          </cell>
          <cell r="D3559" t="str">
            <v>bộ</v>
          </cell>
          <cell r="I3559">
            <v>550945.70328947366</v>
          </cell>
        </row>
        <row r="3560">
          <cell r="C3560" t="str">
            <v>Nhân công</v>
          </cell>
          <cell r="G3560">
            <v>550945.70328947366</v>
          </cell>
        </row>
        <row r="3561">
          <cell r="B3561" t="str">
            <v>NC1407</v>
          </cell>
          <cell r="C3561" t="str">
            <v>+ Nhân công bậc 4,0/7</v>
          </cell>
          <cell r="D3561" t="str">
            <v>Công</v>
          </cell>
          <cell r="E3561">
            <v>2.83</v>
          </cell>
          <cell r="F3561">
            <v>194680.46052631579</v>
          </cell>
          <cell r="G3561">
            <v>550945.70328947366</v>
          </cell>
        </row>
        <row r="3562">
          <cell r="A3562" t="str">
            <v>D3.3075</v>
          </cell>
          <cell r="C3562" t="str">
            <v>Lắp tạ bù 250kg, Chiều cao lắp đặt =&lt; 60m</v>
          </cell>
          <cell r="D3562" t="str">
            <v>bộ</v>
          </cell>
          <cell r="I3562">
            <v>669700.78421052627</v>
          </cell>
        </row>
        <row r="3563">
          <cell r="C3563" t="str">
            <v>Nhân công</v>
          </cell>
          <cell r="G3563">
            <v>669700.78421052627</v>
          </cell>
        </row>
        <row r="3564">
          <cell r="B3564" t="str">
            <v>NC1407</v>
          </cell>
          <cell r="C3564" t="str">
            <v>+ Nhân công bậc 4,0/7</v>
          </cell>
          <cell r="D3564" t="str">
            <v>Công</v>
          </cell>
          <cell r="E3564">
            <v>3.44</v>
          </cell>
          <cell r="F3564">
            <v>194680.46052631579</v>
          </cell>
          <cell r="G3564">
            <v>669700.78421052627</v>
          </cell>
        </row>
        <row r="3565">
          <cell r="A3565" t="str">
            <v>D3.3076</v>
          </cell>
          <cell r="C3565" t="str">
            <v>Lắp tạ bù 250kg, Chiều cao lắp đặt =&lt; 70m</v>
          </cell>
          <cell r="D3565" t="str">
            <v>bộ</v>
          </cell>
          <cell r="I3565">
            <v>716424.09473684209</v>
          </cell>
        </row>
        <row r="3566">
          <cell r="C3566" t="str">
            <v>Nhân công</v>
          </cell>
          <cell r="G3566">
            <v>716424.09473684209</v>
          </cell>
        </row>
        <row r="3567">
          <cell r="B3567" t="str">
            <v>NC1407</v>
          </cell>
          <cell r="C3567" t="str">
            <v>+ Nhân công bậc 4,0/7</v>
          </cell>
          <cell r="D3567" t="str">
            <v>Công</v>
          </cell>
          <cell r="E3567">
            <v>3.68</v>
          </cell>
          <cell r="F3567">
            <v>194680.46052631579</v>
          </cell>
          <cell r="G3567">
            <v>716424.09473684209</v>
          </cell>
        </row>
        <row r="3568">
          <cell r="A3568" t="str">
            <v>D3.3077</v>
          </cell>
          <cell r="C3568" t="str">
            <v>Lắp tạ bù 250kg, Chiều cao lắp đặt =&lt; 85m</v>
          </cell>
          <cell r="D3568" t="str">
            <v>bộ</v>
          </cell>
          <cell r="I3568">
            <v>831869.60782894725</v>
          </cell>
        </row>
        <row r="3569">
          <cell r="C3569" t="str">
            <v>Nhân công</v>
          </cell>
          <cell r="G3569">
            <v>831869.60782894725</v>
          </cell>
        </row>
        <row r="3570">
          <cell r="B3570" t="str">
            <v>NC1407</v>
          </cell>
          <cell r="C3570" t="str">
            <v>+ Nhân công bậc 4,0/7</v>
          </cell>
          <cell r="D3570" t="str">
            <v>Công</v>
          </cell>
          <cell r="E3570">
            <v>4.2729999999999997</v>
          </cell>
          <cell r="F3570">
            <v>194680.46052631579</v>
          </cell>
          <cell r="G3570">
            <v>831869.60782894725</v>
          </cell>
        </row>
        <row r="3571">
          <cell r="A3571" t="str">
            <v>D3.3078</v>
          </cell>
          <cell r="C3571" t="str">
            <v>Lắp tạ bù 250kg, Chiều cao lắp đặt =&lt; 100m</v>
          </cell>
          <cell r="D3571" t="str">
            <v>bộ</v>
          </cell>
          <cell r="I3571">
            <v>907210.9460526316</v>
          </cell>
        </row>
        <row r="3572">
          <cell r="C3572" t="str">
            <v>Nhân công</v>
          </cell>
          <cell r="G3572">
            <v>907210.9460526316</v>
          </cell>
        </row>
        <row r="3573">
          <cell r="B3573" t="str">
            <v>NC1407</v>
          </cell>
          <cell r="C3573" t="str">
            <v>+ Nhân công bậc 4,0/7</v>
          </cell>
          <cell r="D3573" t="str">
            <v>Công</v>
          </cell>
          <cell r="E3573">
            <v>4.66</v>
          </cell>
          <cell r="F3573">
            <v>194680.46052631579</v>
          </cell>
          <cell r="G3573">
            <v>907210.9460526316</v>
          </cell>
        </row>
        <row r="3574">
          <cell r="A3574" t="str">
            <v>D3.3079</v>
          </cell>
          <cell r="C3574" t="str">
            <v>Lắp tạ bù 250kg, Chiều cao lắp đặt &gt; 100m</v>
          </cell>
          <cell r="D3574" t="str">
            <v>bộ</v>
          </cell>
          <cell r="I3574">
            <v>998710.76249999995</v>
          </cell>
        </row>
        <row r="3575">
          <cell r="C3575" t="str">
            <v>Nhân công</v>
          </cell>
          <cell r="G3575">
            <v>998710.76249999995</v>
          </cell>
        </row>
        <row r="3576">
          <cell r="B3576" t="str">
            <v>NC1407</v>
          </cell>
          <cell r="C3576" t="str">
            <v>+ Nhân công bậc 4,0/7</v>
          </cell>
          <cell r="D3576" t="str">
            <v>Công</v>
          </cell>
          <cell r="E3576">
            <v>5.13</v>
          </cell>
          <cell r="F3576">
            <v>194680.46052631579</v>
          </cell>
          <cell r="G3576">
            <v>998710.76249999995</v>
          </cell>
        </row>
        <row r="3577">
          <cell r="A3577" t="str">
            <v>D3.3081</v>
          </cell>
          <cell r="C3577" t="str">
            <v>Lắp tạ bù 300kg, Chiều cao lắp đặt =&lt; 20m</v>
          </cell>
          <cell r="D3577" t="str">
            <v>bộ</v>
          </cell>
          <cell r="I3577">
            <v>521743.63421052636</v>
          </cell>
        </row>
        <row r="3578">
          <cell r="C3578" t="str">
            <v>Nhân công</v>
          </cell>
          <cell r="G3578">
            <v>521743.63421052636</v>
          </cell>
        </row>
        <row r="3579">
          <cell r="B3579" t="str">
            <v>NC1407</v>
          </cell>
          <cell r="C3579" t="str">
            <v>+ Nhân công bậc 4,0/7</v>
          </cell>
          <cell r="D3579" t="str">
            <v>Công</v>
          </cell>
          <cell r="E3579">
            <v>2.68</v>
          </cell>
          <cell r="F3579">
            <v>194680.46052631579</v>
          </cell>
          <cell r="G3579">
            <v>521743.63421052636</v>
          </cell>
        </row>
        <row r="3580">
          <cell r="A3580" t="str">
            <v>D3.3082</v>
          </cell>
          <cell r="C3580" t="str">
            <v>Lắp tạ bù 300kg, Chiều cao lắp đặt =&lt; 30m</v>
          </cell>
          <cell r="D3580" t="str">
            <v>bộ</v>
          </cell>
          <cell r="I3580">
            <v>547052.09407894732</v>
          </cell>
        </row>
        <row r="3581">
          <cell r="C3581" t="str">
            <v>Nhân công</v>
          </cell>
          <cell r="G3581">
            <v>547052.09407894732</v>
          </cell>
        </row>
        <row r="3582">
          <cell r="B3582" t="str">
            <v>NC1407</v>
          </cell>
          <cell r="C3582" t="str">
            <v>+ Nhân công bậc 4,0/7</v>
          </cell>
          <cell r="D3582" t="str">
            <v>Công</v>
          </cell>
          <cell r="E3582">
            <v>2.81</v>
          </cell>
          <cell r="F3582">
            <v>194680.46052631579</v>
          </cell>
          <cell r="G3582">
            <v>547052.09407894732</v>
          </cell>
        </row>
        <row r="3583">
          <cell r="A3583" t="str">
            <v>D3.3083</v>
          </cell>
          <cell r="C3583" t="str">
            <v>Lắp tạ bù 300kg, Chiều cao lắp đặt =&lt; 40m</v>
          </cell>
          <cell r="D3583" t="str">
            <v>bộ</v>
          </cell>
          <cell r="I3583">
            <v>582094.57697368425</v>
          </cell>
        </row>
        <row r="3584">
          <cell r="C3584" t="str">
            <v>Nhân công</v>
          </cell>
          <cell r="G3584">
            <v>582094.57697368425</v>
          </cell>
        </row>
        <row r="3585">
          <cell r="B3585" t="str">
            <v>NC1407</v>
          </cell>
          <cell r="C3585" t="str">
            <v>+ Nhân công bậc 4,0/7</v>
          </cell>
          <cell r="D3585" t="str">
            <v>Công</v>
          </cell>
          <cell r="E3585">
            <v>2.99</v>
          </cell>
          <cell r="F3585">
            <v>194680.46052631579</v>
          </cell>
          <cell r="G3585">
            <v>582094.57697368425</v>
          </cell>
        </row>
        <row r="3586">
          <cell r="A3586" t="str">
            <v>D3.3084</v>
          </cell>
          <cell r="C3586" t="str">
            <v>Lắp tạ bù 300kg, Chiều cao lắp đặt =&lt; 50m</v>
          </cell>
          <cell r="D3586" t="str">
            <v>bộ</v>
          </cell>
          <cell r="I3586">
            <v>654126.34736842103</v>
          </cell>
        </row>
        <row r="3587">
          <cell r="C3587" t="str">
            <v>Nhân công</v>
          </cell>
          <cell r="G3587">
            <v>654126.34736842103</v>
          </cell>
        </row>
        <row r="3588">
          <cell r="B3588" t="str">
            <v>NC1407</v>
          </cell>
          <cell r="C3588" t="str">
            <v>+ Nhân công bậc 4,0/7</v>
          </cell>
          <cell r="D3588" t="str">
            <v>Công</v>
          </cell>
          <cell r="E3588">
            <v>3.36</v>
          </cell>
          <cell r="F3588">
            <v>194680.46052631579</v>
          </cell>
          <cell r="G3588">
            <v>654126.34736842103</v>
          </cell>
        </row>
        <row r="3589">
          <cell r="A3589" t="str">
            <v>D3.3085</v>
          </cell>
          <cell r="C3589" t="str">
            <v>Lắp tạ bù 300kg, Chiều cao lắp đặt =&lt; 60m</v>
          </cell>
          <cell r="D3589" t="str">
            <v>bộ</v>
          </cell>
          <cell r="I3589">
            <v>798189.8881578946</v>
          </cell>
        </row>
        <row r="3590">
          <cell r="C3590" t="str">
            <v>Nhân công</v>
          </cell>
          <cell r="G3590">
            <v>798189.8881578946</v>
          </cell>
        </row>
        <row r="3591">
          <cell r="B3591" t="str">
            <v>NC1407</v>
          </cell>
          <cell r="C3591" t="str">
            <v>+ Nhân công bậc 4,0/7</v>
          </cell>
          <cell r="D3591" t="str">
            <v>Công</v>
          </cell>
          <cell r="E3591">
            <v>4.0999999999999996</v>
          </cell>
          <cell r="F3591">
            <v>194680.46052631579</v>
          </cell>
          <cell r="G3591">
            <v>798189.8881578946</v>
          </cell>
        </row>
        <row r="3592">
          <cell r="A3592" t="str">
            <v>D3.3086</v>
          </cell>
          <cell r="C3592" t="str">
            <v>Lắp tạ bù 300kg, Chiều cao lắp đặt =&lt; 70m</v>
          </cell>
          <cell r="D3592" t="str">
            <v>bộ</v>
          </cell>
          <cell r="I3592">
            <v>839072.78486842092</v>
          </cell>
        </row>
        <row r="3593">
          <cell r="C3593" t="str">
            <v>Nhân công</v>
          </cell>
          <cell r="G3593">
            <v>839072.78486842092</v>
          </cell>
        </row>
        <row r="3594">
          <cell r="B3594" t="str">
            <v>NC1407</v>
          </cell>
          <cell r="C3594" t="str">
            <v>+ Nhân công bậc 4,0/7</v>
          </cell>
          <cell r="D3594" t="str">
            <v>Công</v>
          </cell>
          <cell r="E3594">
            <v>4.3099999999999996</v>
          </cell>
          <cell r="F3594">
            <v>194680.46052631579</v>
          </cell>
          <cell r="G3594">
            <v>839072.78486842092</v>
          </cell>
        </row>
        <row r="3595">
          <cell r="A3595" t="str">
            <v>D3.3087</v>
          </cell>
          <cell r="C3595" t="str">
            <v>Lắp tạ bù 300kg, Chiều cao lắp đặt =&lt; 85m</v>
          </cell>
          <cell r="D3595" t="str">
            <v>bộ</v>
          </cell>
          <cell r="I3595">
            <v>965031.04282894731</v>
          </cell>
        </row>
        <row r="3596">
          <cell r="C3596" t="str">
            <v>Nhân công</v>
          </cell>
          <cell r="G3596">
            <v>965031.04282894731</v>
          </cell>
        </row>
        <row r="3597">
          <cell r="B3597" t="str">
            <v>NC1407</v>
          </cell>
          <cell r="C3597" t="str">
            <v>+ Nhân công bậc 4,0/7</v>
          </cell>
          <cell r="D3597" t="str">
            <v>Công</v>
          </cell>
          <cell r="E3597">
            <v>4.9569999999999999</v>
          </cell>
          <cell r="F3597">
            <v>194680.46052631579</v>
          </cell>
          <cell r="G3597">
            <v>965031.04282894731</v>
          </cell>
        </row>
        <row r="3598">
          <cell r="A3598" t="str">
            <v>D3.3088</v>
          </cell>
          <cell r="C3598" t="str">
            <v>Lắp tạ bù 300kg, Chiều cao lắp đặt =&lt; 100m</v>
          </cell>
          <cell r="D3598" t="str">
            <v>bộ</v>
          </cell>
          <cell r="I3598">
            <v>1061397.8707894736</v>
          </cell>
        </row>
        <row r="3599">
          <cell r="C3599" t="str">
            <v>Nhân công</v>
          </cell>
          <cell r="G3599">
            <v>1061397.8707894736</v>
          </cell>
        </row>
        <row r="3600">
          <cell r="B3600" t="str">
            <v>NC1407</v>
          </cell>
          <cell r="C3600" t="str">
            <v>+ Nhân công bậc 4,0/7</v>
          </cell>
          <cell r="D3600" t="str">
            <v>Công</v>
          </cell>
          <cell r="E3600">
            <v>5.452</v>
          </cell>
          <cell r="F3600">
            <v>194680.46052631579</v>
          </cell>
          <cell r="G3600">
            <v>1061397.8707894736</v>
          </cell>
        </row>
        <row r="3601">
          <cell r="A3601" t="str">
            <v>D3.3089</v>
          </cell>
          <cell r="C3601" t="str">
            <v>Lắp tạ bù 300kg, Chiều cao lắp đặt &gt; 100m</v>
          </cell>
          <cell r="D3601" t="str">
            <v>bộ</v>
          </cell>
          <cell r="I3601">
            <v>1168082.7631578948</v>
          </cell>
        </row>
        <row r="3602">
          <cell r="C3602" t="str">
            <v>Nhân công</v>
          </cell>
          <cell r="G3602">
            <v>1168082.7631578948</v>
          </cell>
        </row>
        <row r="3603">
          <cell r="B3603" t="str">
            <v>NC1407</v>
          </cell>
          <cell r="C3603" t="str">
            <v>+ Nhân công bậc 4,0/7</v>
          </cell>
          <cell r="D3603" t="str">
            <v>Công</v>
          </cell>
          <cell r="E3603">
            <v>6</v>
          </cell>
          <cell r="F3603">
            <v>194680.46052631579</v>
          </cell>
          <cell r="G3603">
            <v>1168082.7631578948</v>
          </cell>
        </row>
        <row r="3604">
          <cell r="A3604" t="str">
            <v>D3.3091</v>
          </cell>
          <cell r="C3604" t="str">
            <v>Lắp tạ bù 350kg, Chiều cao lắp đặt =&lt; 20m</v>
          </cell>
          <cell r="D3604" t="str">
            <v>bộ</v>
          </cell>
          <cell r="I3604">
            <v>605456.23223684204</v>
          </cell>
        </row>
        <row r="3605">
          <cell r="C3605" t="str">
            <v>Nhân công</v>
          </cell>
          <cell r="G3605">
            <v>605456.23223684204</v>
          </cell>
        </row>
        <row r="3606">
          <cell r="B3606" t="str">
            <v>NC1407</v>
          </cell>
          <cell r="C3606" t="str">
            <v>+ Nhân công bậc 4,0/7</v>
          </cell>
          <cell r="D3606" t="str">
            <v>Công</v>
          </cell>
          <cell r="E3606">
            <v>3.11</v>
          </cell>
          <cell r="F3606">
            <v>194680.46052631579</v>
          </cell>
          <cell r="G3606">
            <v>605456.23223684204</v>
          </cell>
        </row>
        <row r="3607">
          <cell r="A3607" t="str">
            <v>D3.3092</v>
          </cell>
          <cell r="C3607" t="str">
            <v>Lắp tạ bù 350kg, Chiều cao lắp đặt =&lt; 30m</v>
          </cell>
          <cell r="D3607" t="str">
            <v>bộ</v>
          </cell>
          <cell r="I3607">
            <v>634658.30131578946</v>
          </cell>
        </row>
        <row r="3608">
          <cell r="C3608" t="str">
            <v>Nhân công</v>
          </cell>
          <cell r="G3608">
            <v>634658.30131578946</v>
          </cell>
        </row>
        <row r="3609">
          <cell r="B3609" t="str">
            <v>NC1407</v>
          </cell>
          <cell r="C3609" t="str">
            <v>+ Nhân công bậc 4,0/7</v>
          </cell>
          <cell r="D3609" t="str">
            <v>Công</v>
          </cell>
          <cell r="E3609">
            <v>3.26</v>
          </cell>
          <cell r="F3609">
            <v>194680.46052631579</v>
          </cell>
          <cell r="G3609">
            <v>634658.30131578946</v>
          </cell>
        </row>
        <row r="3610">
          <cell r="A3610" t="str">
            <v>D3.3093</v>
          </cell>
          <cell r="C3610" t="str">
            <v>Lắp tạ bù 350kg, Chiều cao lắp đặt =&lt; 40m</v>
          </cell>
          <cell r="D3610" t="str">
            <v>bộ</v>
          </cell>
          <cell r="I3610">
            <v>677488.00263157894</v>
          </cell>
        </row>
        <row r="3611">
          <cell r="C3611" t="str">
            <v>Nhân công</v>
          </cell>
          <cell r="G3611">
            <v>677488.00263157894</v>
          </cell>
        </row>
        <row r="3612">
          <cell r="B3612" t="str">
            <v>NC1407</v>
          </cell>
          <cell r="C3612" t="str">
            <v>+ Nhân công bậc 4,0/7</v>
          </cell>
          <cell r="D3612" t="str">
            <v>Công</v>
          </cell>
          <cell r="E3612">
            <v>3.48</v>
          </cell>
          <cell r="F3612">
            <v>194680.46052631579</v>
          </cell>
          <cell r="G3612">
            <v>677488.00263157894</v>
          </cell>
        </row>
        <row r="3613">
          <cell r="A3613" t="str">
            <v>D3.3094</v>
          </cell>
          <cell r="C3613" t="str">
            <v>Lắp tạ bù 350kg, Chiều cao lắp đặt =&lt; 50m</v>
          </cell>
          <cell r="D3613" t="str">
            <v>bộ</v>
          </cell>
          <cell r="I3613">
            <v>758280.39375000005</v>
          </cell>
        </row>
        <row r="3614">
          <cell r="C3614" t="str">
            <v>Nhân công</v>
          </cell>
          <cell r="G3614">
            <v>758280.39375000005</v>
          </cell>
        </row>
        <row r="3615">
          <cell r="B3615" t="str">
            <v>NC1407</v>
          </cell>
          <cell r="C3615" t="str">
            <v>+ Nhân công bậc 4,0/7</v>
          </cell>
          <cell r="D3615" t="str">
            <v>Công</v>
          </cell>
          <cell r="E3615">
            <v>3.895</v>
          </cell>
          <cell r="F3615">
            <v>194680.46052631579</v>
          </cell>
          <cell r="G3615">
            <v>758280.39375000005</v>
          </cell>
        </row>
        <row r="3616">
          <cell r="A3616" t="str">
            <v>D3.3095</v>
          </cell>
          <cell r="C3616" t="str">
            <v>Lắp tạ bù 350kg, Chiều cao lắp đặt =&lt; 60m</v>
          </cell>
          <cell r="D3616" t="str">
            <v>bộ</v>
          </cell>
          <cell r="I3616">
            <v>838099.38256578939</v>
          </cell>
        </row>
        <row r="3617">
          <cell r="C3617" t="str">
            <v>Nhân công</v>
          </cell>
          <cell r="G3617">
            <v>838099.38256578939</v>
          </cell>
        </row>
        <row r="3618">
          <cell r="B3618" t="str">
            <v>NC1407</v>
          </cell>
          <cell r="C3618" t="str">
            <v>+ Nhân công bậc 4,0/7</v>
          </cell>
          <cell r="D3618" t="str">
            <v>Công</v>
          </cell>
          <cell r="E3618">
            <v>4.3049999999999997</v>
          </cell>
          <cell r="F3618">
            <v>194680.46052631579</v>
          </cell>
          <cell r="G3618">
            <v>838099.38256578939</v>
          </cell>
        </row>
        <row r="3619">
          <cell r="A3619" t="str">
            <v>D3.3096</v>
          </cell>
          <cell r="C3619" t="str">
            <v>Lắp tạ bù 350kg, Chiều cao lắp đặt =&lt; 70m</v>
          </cell>
          <cell r="D3619" t="str">
            <v>bộ</v>
          </cell>
          <cell r="I3619">
            <v>972428.90032894735</v>
          </cell>
        </row>
        <row r="3620">
          <cell r="C3620" t="str">
            <v>Nhân công</v>
          </cell>
          <cell r="G3620">
            <v>972428.90032894735</v>
          </cell>
        </row>
        <row r="3621">
          <cell r="B3621" t="str">
            <v>NC1407</v>
          </cell>
          <cell r="C3621" t="str">
            <v>+ Nhân công bậc 4,0/7</v>
          </cell>
          <cell r="D3621" t="str">
            <v>Công</v>
          </cell>
          <cell r="E3621">
            <v>4.9950000000000001</v>
          </cell>
          <cell r="F3621">
            <v>194680.46052631579</v>
          </cell>
          <cell r="G3621">
            <v>972428.90032894735</v>
          </cell>
        </row>
        <row r="3622">
          <cell r="A3622" t="str">
            <v>D3.3097</v>
          </cell>
          <cell r="C3622" t="str">
            <v>Lắp tạ bù 350kg, Chiều cao lắp đặt =&lt; 85m</v>
          </cell>
          <cell r="D3622" t="str">
            <v>bộ</v>
          </cell>
          <cell r="I3622">
            <v>1118244.5652631579</v>
          </cell>
        </row>
        <row r="3623">
          <cell r="C3623" t="str">
            <v>Nhân công</v>
          </cell>
          <cell r="G3623">
            <v>1118244.5652631579</v>
          </cell>
        </row>
        <row r="3624">
          <cell r="B3624" t="str">
            <v>NC1407</v>
          </cell>
          <cell r="C3624" t="str">
            <v>+ Nhân công bậc 4,0/7</v>
          </cell>
          <cell r="D3624" t="str">
            <v>Công</v>
          </cell>
          <cell r="E3624">
            <v>5.7439999999999998</v>
          </cell>
          <cell r="F3624">
            <v>194680.46052631579</v>
          </cell>
          <cell r="G3624">
            <v>1118244.5652631579</v>
          </cell>
        </row>
        <row r="3625">
          <cell r="A3625" t="str">
            <v>D3.3098</v>
          </cell>
          <cell r="C3625" t="str">
            <v>Lắp tạ bù 350kg, Chiều cao lắp đặt =&lt; 100m</v>
          </cell>
          <cell r="D3625" t="str">
            <v>bộ</v>
          </cell>
          <cell r="I3625">
            <v>1230185.8300657894</v>
          </cell>
        </row>
        <row r="3626">
          <cell r="C3626" t="str">
            <v>Nhân công</v>
          </cell>
          <cell r="G3626">
            <v>1230185.8300657894</v>
          </cell>
        </row>
        <row r="3627">
          <cell r="B3627" t="str">
            <v>NC1407</v>
          </cell>
          <cell r="C3627" t="str">
            <v>+ Nhân công bậc 4,0/7</v>
          </cell>
          <cell r="D3627" t="str">
            <v>Công</v>
          </cell>
          <cell r="E3627">
            <v>6.319</v>
          </cell>
          <cell r="F3627">
            <v>194680.46052631579</v>
          </cell>
          <cell r="G3627">
            <v>1230185.8300657894</v>
          </cell>
        </row>
        <row r="3628">
          <cell r="A3628" t="str">
            <v>D3.3099</v>
          </cell>
          <cell r="C3628" t="str">
            <v>Lắp tạ bù 350kg, Chiều cao lắp đặt &gt; 100m</v>
          </cell>
          <cell r="D3628" t="str">
            <v>bộ</v>
          </cell>
          <cell r="I3628">
            <v>1353029.2006578948</v>
          </cell>
        </row>
        <row r="3629">
          <cell r="C3629" t="str">
            <v>Nhân công</v>
          </cell>
          <cell r="G3629">
            <v>1353029.2006578948</v>
          </cell>
        </row>
        <row r="3630">
          <cell r="B3630" t="str">
            <v>NC1407</v>
          </cell>
          <cell r="C3630" t="str">
            <v>+ Nhân công bậc 4,0/7</v>
          </cell>
          <cell r="D3630" t="str">
            <v>Công</v>
          </cell>
          <cell r="E3630">
            <v>6.95</v>
          </cell>
          <cell r="F3630">
            <v>194680.46052631579</v>
          </cell>
          <cell r="G3630">
            <v>1353029.2006578948</v>
          </cell>
        </row>
        <row r="3631">
          <cell r="A3631" t="str">
            <v>D3.3101</v>
          </cell>
          <cell r="C3631" t="str">
            <v>Lắp tạ bù 400kg, Chiều cao lắp đặt =&lt; 20m</v>
          </cell>
          <cell r="D3631" t="str">
            <v>bộ</v>
          </cell>
          <cell r="I3631">
            <v>689168.83026315784</v>
          </cell>
        </row>
        <row r="3632">
          <cell r="C3632" t="str">
            <v>Nhân công</v>
          </cell>
          <cell r="G3632">
            <v>689168.83026315784</v>
          </cell>
        </row>
        <row r="3633">
          <cell r="B3633" t="str">
            <v>NC1407</v>
          </cell>
          <cell r="C3633" t="str">
            <v>+ Nhân công bậc 4,0/7</v>
          </cell>
          <cell r="D3633" t="str">
            <v>Công</v>
          </cell>
          <cell r="E3633">
            <v>3.54</v>
          </cell>
          <cell r="F3633">
            <v>194680.46052631579</v>
          </cell>
          <cell r="G3633">
            <v>689168.83026315784</v>
          </cell>
        </row>
        <row r="3634">
          <cell r="A3634" t="str">
            <v>D3.3102</v>
          </cell>
          <cell r="C3634" t="str">
            <v>Lắp tạ bù 400kg, Chiều cao lắp đặt =&lt; 30m</v>
          </cell>
          <cell r="D3634" t="str">
            <v>bộ</v>
          </cell>
          <cell r="I3634">
            <v>722264.5085526316</v>
          </cell>
        </row>
        <row r="3635">
          <cell r="C3635" t="str">
            <v>Nhân công</v>
          </cell>
          <cell r="G3635">
            <v>722264.5085526316</v>
          </cell>
        </row>
        <row r="3636">
          <cell r="B3636" t="str">
            <v>NC1407</v>
          </cell>
          <cell r="C3636" t="str">
            <v>+ Nhân công bậc 4,0/7</v>
          </cell>
          <cell r="D3636" t="str">
            <v>Công</v>
          </cell>
          <cell r="E3636">
            <v>3.71</v>
          </cell>
          <cell r="F3636">
            <v>194680.46052631579</v>
          </cell>
          <cell r="G3636">
            <v>722264.5085526316</v>
          </cell>
        </row>
        <row r="3637">
          <cell r="A3637" t="str">
            <v>D3.3103</v>
          </cell>
          <cell r="C3637" t="str">
            <v>Lắp tạ bù 400kg, Chiều cao lắp đặt =&lt; 40m</v>
          </cell>
          <cell r="D3637" t="str">
            <v>bộ</v>
          </cell>
          <cell r="I3637">
            <v>772881.42828947376</v>
          </cell>
        </row>
        <row r="3638">
          <cell r="C3638" t="str">
            <v>Nhân công</v>
          </cell>
          <cell r="G3638">
            <v>772881.42828947376</v>
          </cell>
        </row>
        <row r="3639">
          <cell r="B3639" t="str">
            <v>NC1407</v>
          </cell>
          <cell r="C3639" t="str">
            <v>+ Nhân công bậc 4,0/7</v>
          </cell>
          <cell r="D3639" t="str">
            <v>Công</v>
          </cell>
          <cell r="E3639">
            <v>3.97</v>
          </cell>
          <cell r="F3639">
            <v>194680.46052631579</v>
          </cell>
          <cell r="G3639">
            <v>772881.42828947376</v>
          </cell>
        </row>
        <row r="3640">
          <cell r="A3640" t="str">
            <v>D3.3104</v>
          </cell>
          <cell r="C3640" t="str">
            <v>Lắp tạ bù 400kg, Chiều cao lắp đặt =&lt; 50m</v>
          </cell>
          <cell r="D3640" t="str">
            <v>bộ</v>
          </cell>
          <cell r="I3640">
            <v>862434.44013157883</v>
          </cell>
        </row>
        <row r="3641">
          <cell r="C3641" t="str">
            <v>Nhân công</v>
          </cell>
          <cell r="G3641">
            <v>862434.44013157883</v>
          </cell>
        </row>
        <row r="3642">
          <cell r="B3642" t="str">
            <v>NC1407</v>
          </cell>
          <cell r="C3642" t="str">
            <v>+ Nhân công bậc 4,0/7</v>
          </cell>
          <cell r="D3642" t="str">
            <v>Công</v>
          </cell>
          <cell r="E3642">
            <v>4.43</v>
          </cell>
          <cell r="F3642">
            <v>194680.46052631579</v>
          </cell>
          <cell r="G3642">
            <v>862434.44013157883</v>
          </cell>
        </row>
        <row r="3643">
          <cell r="A3643" t="str">
            <v>D3.3105</v>
          </cell>
          <cell r="C3643" t="str">
            <v>Lắp tạ bù 400kg, Chiều cao lắp đặt =&lt; 60m</v>
          </cell>
          <cell r="D3643" t="str">
            <v>bộ</v>
          </cell>
          <cell r="I3643">
            <v>878008.87697368418</v>
          </cell>
        </row>
        <row r="3644">
          <cell r="C3644" t="str">
            <v>Nhân công</v>
          </cell>
          <cell r="G3644">
            <v>878008.87697368418</v>
          </cell>
        </row>
        <row r="3645">
          <cell r="B3645" t="str">
            <v>NC1407</v>
          </cell>
          <cell r="C3645" t="str">
            <v>+ Nhân công bậc 4,0/7</v>
          </cell>
          <cell r="D3645" t="str">
            <v>Công</v>
          </cell>
          <cell r="E3645">
            <v>4.51</v>
          </cell>
          <cell r="F3645">
            <v>194680.46052631579</v>
          </cell>
          <cell r="G3645">
            <v>878008.87697368418</v>
          </cell>
        </row>
        <row r="3646">
          <cell r="A3646" t="str">
            <v>D3.3106</v>
          </cell>
          <cell r="C3646" t="str">
            <v>Lắp tạ bù 400kg, Chiều cao lắp đặt =&lt; 70m</v>
          </cell>
          <cell r="D3646" t="str">
            <v>bộ</v>
          </cell>
          <cell r="I3646">
            <v>1105785.0157894737</v>
          </cell>
        </row>
        <row r="3647">
          <cell r="C3647" t="str">
            <v>Nhân công</v>
          </cell>
          <cell r="G3647">
            <v>1105785.0157894737</v>
          </cell>
        </row>
        <row r="3648">
          <cell r="B3648" t="str">
            <v>NC1407</v>
          </cell>
          <cell r="C3648" t="str">
            <v>+ Nhân công bậc 4,0/7</v>
          </cell>
          <cell r="D3648" t="str">
            <v>Công</v>
          </cell>
          <cell r="E3648">
            <v>5.68</v>
          </cell>
          <cell r="F3648">
            <v>194680.46052631579</v>
          </cell>
          <cell r="G3648">
            <v>1105785.0157894737</v>
          </cell>
        </row>
        <row r="3649">
          <cell r="A3649" t="str">
            <v>D3.3107</v>
          </cell>
          <cell r="C3649" t="str">
            <v>Lắp tạ bù 400kg, Chiều cao lắp đặt =&lt; 85m</v>
          </cell>
          <cell r="D3649" t="str">
            <v>bộ</v>
          </cell>
          <cell r="I3649">
            <v>1271652.7681578947</v>
          </cell>
        </row>
        <row r="3650">
          <cell r="C3650" t="str">
            <v>Nhân công</v>
          </cell>
          <cell r="G3650">
            <v>1271652.7681578947</v>
          </cell>
        </row>
        <row r="3651">
          <cell r="B3651" t="str">
            <v>NC1407</v>
          </cell>
          <cell r="C3651" t="str">
            <v>+ Nhân công bậc 4,0/7</v>
          </cell>
          <cell r="D3651" t="str">
            <v>Công</v>
          </cell>
          <cell r="E3651">
            <v>6.532</v>
          </cell>
          <cell r="F3651">
            <v>194680.46052631579</v>
          </cell>
          <cell r="G3651">
            <v>1271652.7681578947</v>
          </cell>
        </row>
        <row r="3652">
          <cell r="A3652" t="str">
            <v>D3.3108</v>
          </cell>
          <cell r="C3652" t="str">
            <v>Lắp tạ bù 400kg, Chiều cao lắp đặt =&lt; 100m</v>
          </cell>
          <cell r="D3652" t="str">
            <v>bộ</v>
          </cell>
          <cell r="I3652">
            <v>1398779.1088815788</v>
          </cell>
        </row>
        <row r="3653">
          <cell r="C3653" t="str">
            <v>Nhân công</v>
          </cell>
          <cell r="G3653">
            <v>1398779.1088815788</v>
          </cell>
        </row>
        <row r="3654">
          <cell r="B3654" t="str">
            <v>NC1407</v>
          </cell>
          <cell r="C3654" t="str">
            <v>+ Nhân công bậc 4,0/7</v>
          </cell>
          <cell r="D3654" t="str">
            <v>Công</v>
          </cell>
          <cell r="E3654">
            <v>7.1849999999999996</v>
          </cell>
          <cell r="F3654">
            <v>194680.46052631579</v>
          </cell>
          <cell r="G3654">
            <v>1398779.1088815788</v>
          </cell>
        </row>
        <row r="3655">
          <cell r="A3655" t="str">
            <v>D3.3109</v>
          </cell>
          <cell r="C3655" t="str">
            <v>Lắp tạ bù 400kg, Chiều cao lắp đặt &gt; 100m</v>
          </cell>
          <cell r="D3655" t="str">
            <v>bộ</v>
          </cell>
          <cell r="I3655">
            <v>1537975.6381578948</v>
          </cell>
        </row>
        <row r="3656">
          <cell r="C3656" t="str">
            <v>Nhân công</v>
          </cell>
          <cell r="G3656">
            <v>1537975.6381578948</v>
          </cell>
        </row>
        <row r="3657">
          <cell r="B3657" t="str">
            <v>NC1407</v>
          </cell>
          <cell r="C3657" t="str">
            <v>+ Nhân công bậc 4,0/7</v>
          </cell>
          <cell r="D3657" t="str">
            <v>Công</v>
          </cell>
          <cell r="E3657">
            <v>7.9</v>
          </cell>
          <cell r="F3657">
            <v>194680.46052631579</v>
          </cell>
          <cell r="G3657">
            <v>1537975.6381578948</v>
          </cell>
        </row>
        <row r="3658">
          <cell r="A3658" t="str">
            <v>D3.3111</v>
          </cell>
          <cell r="C3658" t="str">
            <v>Lắp tạ bù 500kg, Chiều cao lắp đặt =&lt; 20m</v>
          </cell>
          <cell r="D3658" t="str">
            <v>bộ</v>
          </cell>
          <cell r="I3658">
            <v>854647.22171052627</v>
          </cell>
        </row>
        <row r="3659">
          <cell r="C3659" t="str">
            <v>Nhân công</v>
          </cell>
          <cell r="G3659">
            <v>854647.22171052627</v>
          </cell>
        </row>
        <row r="3660">
          <cell r="B3660" t="str">
            <v>NC1407</v>
          </cell>
          <cell r="C3660" t="str">
            <v>+ Nhân công bậc 4,0/7</v>
          </cell>
          <cell r="D3660" t="str">
            <v>Công</v>
          </cell>
          <cell r="E3660">
            <v>4.3899999999999997</v>
          </cell>
          <cell r="F3660">
            <v>194680.46052631579</v>
          </cell>
          <cell r="G3660">
            <v>854647.22171052627</v>
          </cell>
        </row>
        <row r="3661">
          <cell r="A3661" t="str">
            <v>D3.3112</v>
          </cell>
          <cell r="C3661" t="str">
            <v>Lắp tạ bù 500kg, Chiều cao lắp đặt =&lt; 30m</v>
          </cell>
          <cell r="D3661" t="str">
            <v>bộ</v>
          </cell>
          <cell r="I3661">
            <v>895530.11842105258</v>
          </cell>
        </row>
        <row r="3662">
          <cell r="C3662" t="str">
            <v>Nhân công</v>
          </cell>
          <cell r="G3662">
            <v>895530.11842105258</v>
          </cell>
        </row>
        <row r="3663">
          <cell r="B3663" t="str">
            <v>NC1407</v>
          </cell>
          <cell r="C3663" t="str">
            <v>+ Nhân công bậc 4,0/7</v>
          </cell>
          <cell r="D3663" t="str">
            <v>Công</v>
          </cell>
          <cell r="E3663">
            <v>4.5999999999999996</v>
          </cell>
          <cell r="F3663">
            <v>194680.46052631579</v>
          </cell>
          <cell r="G3663">
            <v>895530.11842105258</v>
          </cell>
        </row>
        <row r="3664">
          <cell r="A3664" t="str">
            <v>D3.3113</v>
          </cell>
          <cell r="C3664" t="str">
            <v>Lắp tạ bù 500kg, Chiều cao lắp đặt =&lt; 40m</v>
          </cell>
          <cell r="D3664" t="str">
            <v>bộ</v>
          </cell>
          <cell r="I3664">
            <v>953934.25657894742</v>
          </cell>
        </row>
        <row r="3665">
          <cell r="C3665" t="str">
            <v>Nhân công</v>
          </cell>
          <cell r="G3665">
            <v>953934.25657894742</v>
          </cell>
        </row>
        <row r="3666">
          <cell r="B3666" t="str">
            <v>NC1407</v>
          </cell>
          <cell r="C3666" t="str">
            <v>+ Nhân công bậc 4,0/7</v>
          </cell>
          <cell r="D3666" t="str">
            <v>Công</v>
          </cell>
          <cell r="E3666">
            <v>4.9000000000000004</v>
          </cell>
          <cell r="F3666">
            <v>194680.46052631579</v>
          </cell>
          <cell r="G3666">
            <v>953934.25657894742</v>
          </cell>
        </row>
        <row r="3667">
          <cell r="A3667" t="str">
            <v>D3.3114</v>
          </cell>
          <cell r="C3667" t="str">
            <v>Lắp tạ bù 500kg, Chiều cao lắp đặt =&lt; 50m</v>
          </cell>
          <cell r="D3667" t="str">
            <v>bộ</v>
          </cell>
          <cell r="I3667">
            <v>1072689.3374999999</v>
          </cell>
        </row>
        <row r="3668">
          <cell r="C3668" t="str">
            <v>Nhân công</v>
          </cell>
          <cell r="G3668">
            <v>1072689.3374999999</v>
          </cell>
        </row>
        <row r="3669">
          <cell r="B3669" t="str">
            <v>NC1407</v>
          </cell>
          <cell r="C3669" t="str">
            <v>+ Nhân công bậc 4,0/7</v>
          </cell>
          <cell r="D3669" t="str">
            <v>Công</v>
          </cell>
          <cell r="E3669">
            <v>5.51</v>
          </cell>
          <cell r="F3669">
            <v>194680.46052631579</v>
          </cell>
          <cell r="G3669">
            <v>1072689.3374999999</v>
          </cell>
        </row>
        <row r="3670">
          <cell r="A3670" t="str">
            <v>D3.3115</v>
          </cell>
          <cell r="C3670" t="str">
            <v>Lắp tạ bù 500kg, Chiều cao lắp đặt =&lt; 60m</v>
          </cell>
          <cell r="D3670" t="str">
            <v>bộ</v>
          </cell>
          <cell r="I3670">
            <v>1308252.6947368421</v>
          </cell>
        </row>
        <row r="3671">
          <cell r="C3671" t="str">
            <v>Nhân công</v>
          </cell>
          <cell r="G3671">
            <v>1308252.6947368421</v>
          </cell>
        </row>
        <row r="3672">
          <cell r="B3672" t="str">
            <v>NC1407</v>
          </cell>
          <cell r="C3672" t="str">
            <v>+ Nhân công bậc 4,0/7</v>
          </cell>
          <cell r="D3672" t="str">
            <v>Công</v>
          </cell>
          <cell r="E3672">
            <v>6.72</v>
          </cell>
          <cell r="F3672">
            <v>194680.46052631579</v>
          </cell>
          <cell r="G3672">
            <v>1308252.6947368421</v>
          </cell>
        </row>
        <row r="3673">
          <cell r="A3673" t="str">
            <v>D3.3116</v>
          </cell>
          <cell r="C3673" t="str">
            <v>Lắp tạ bù 500kg, Chiều cao lắp đặt =&lt; 70m</v>
          </cell>
          <cell r="D3673" t="str">
            <v>bộ</v>
          </cell>
          <cell r="I3673">
            <v>1374444.0513157893</v>
          </cell>
        </row>
        <row r="3674">
          <cell r="C3674" t="str">
            <v>Nhân công</v>
          </cell>
          <cell r="G3674">
            <v>1374444.0513157893</v>
          </cell>
        </row>
        <row r="3675">
          <cell r="B3675" t="str">
            <v>NC1407</v>
          </cell>
          <cell r="C3675" t="str">
            <v>+ Nhân công bậc 4,0/7</v>
          </cell>
          <cell r="D3675" t="str">
            <v>Công</v>
          </cell>
          <cell r="E3675">
            <v>7.06</v>
          </cell>
          <cell r="F3675">
            <v>194680.46052631579</v>
          </cell>
          <cell r="G3675">
            <v>1374444.0513157893</v>
          </cell>
        </row>
        <row r="3676">
          <cell r="A3676" t="str">
            <v>D3.3117</v>
          </cell>
          <cell r="C3676" t="str">
            <v>Lắp tạ bù 500kg, Chiều cao lắp đặt =&lt; 85m</v>
          </cell>
          <cell r="D3676" t="str">
            <v>bộ</v>
          </cell>
          <cell r="I3676">
            <v>1580610.6590131577</v>
          </cell>
        </row>
        <row r="3677">
          <cell r="C3677" t="str">
            <v>Nhân công</v>
          </cell>
          <cell r="G3677">
            <v>1580610.6590131577</v>
          </cell>
        </row>
        <row r="3678">
          <cell r="B3678" t="str">
            <v>NC1407</v>
          </cell>
          <cell r="C3678" t="str">
            <v>+ Nhân công bậc 4,0/7</v>
          </cell>
          <cell r="D3678" t="str">
            <v>Công</v>
          </cell>
          <cell r="E3678">
            <v>8.1189999999999998</v>
          </cell>
          <cell r="F3678">
            <v>194680.46052631579</v>
          </cell>
          <cell r="G3678">
            <v>1580610.6590131577</v>
          </cell>
        </row>
        <row r="3679">
          <cell r="A3679" t="str">
            <v>D3.3118</v>
          </cell>
          <cell r="C3679" t="str">
            <v>Lắp tạ bù 500kg, Chiều cao lắp đặt =&lt; 100m</v>
          </cell>
          <cell r="D3679" t="str">
            <v>bộ</v>
          </cell>
          <cell r="I3679">
            <v>1738691.1929605261</v>
          </cell>
        </row>
        <row r="3680">
          <cell r="C3680" t="str">
            <v>Nhân công</v>
          </cell>
          <cell r="G3680">
            <v>1738691.1929605261</v>
          </cell>
        </row>
        <row r="3681">
          <cell r="B3681" t="str">
            <v>NC1407</v>
          </cell>
          <cell r="C3681" t="str">
            <v>+ Nhân công bậc 4,0/7</v>
          </cell>
          <cell r="D3681" t="str">
            <v>Công</v>
          </cell>
          <cell r="E3681">
            <v>8.9309999999999992</v>
          </cell>
          <cell r="F3681">
            <v>194680.46052631579</v>
          </cell>
          <cell r="G3681">
            <v>1738691.1929605261</v>
          </cell>
        </row>
        <row r="3682">
          <cell r="A3682" t="str">
            <v>D3.3119</v>
          </cell>
          <cell r="C3682" t="str">
            <v>Lắp tạ bù 500kg, Chiều cao lắp đặt &gt; 100m</v>
          </cell>
          <cell r="D3682" t="str">
            <v>bộ</v>
          </cell>
          <cell r="I3682">
            <v>1911762.1223684212</v>
          </cell>
        </row>
        <row r="3683">
          <cell r="C3683" t="str">
            <v>Nhân công</v>
          </cell>
          <cell r="G3683">
            <v>1911762.1223684212</v>
          </cell>
        </row>
        <row r="3684">
          <cell r="B3684" t="str">
            <v>NC1407</v>
          </cell>
          <cell r="C3684" t="str">
            <v>+ Nhân công bậc 4,0/7</v>
          </cell>
          <cell r="D3684" t="str">
            <v>Công</v>
          </cell>
          <cell r="E3684">
            <v>9.82</v>
          </cell>
          <cell r="F3684">
            <v>194680.46052631579</v>
          </cell>
          <cell r="G3684">
            <v>1911762.1223684212</v>
          </cell>
        </row>
        <row r="3685">
          <cell r="A3685" t="str">
            <v>D3.3121</v>
          </cell>
          <cell r="C3685" t="str">
            <v>Lắp tạ bù 600kg, Chiều cao lắp đặt =&lt; 20m</v>
          </cell>
          <cell r="D3685" t="str">
            <v>bộ</v>
          </cell>
          <cell r="I3685">
            <v>1022072.4177631579</v>
          </cell>
        </row>
        <row r="3686">
          <cell r="C3686" t="str">
            <v>Nhân công</v>
          </cell>
          <cell r="G3686">
            <v>1022072.4177631579</v>
          </cell>
        </row>
        <row r="3687">
          <cell r="B3687" t="str">
            <v>NC1407</v>
          </cell>
          <cell r="C3687" t="str">
            <v>+ Nhân công bậc 4,0/7</v>
          </cell>
          <cell r="D3687" t="str">
            <v>Công</v>
          </cell>
          <cell r="E3687">
            <v>5.25</v>
          </cell>
          <cell r="F3687">
            <v>194680.46052631579</v>
          </cell>
          <cell r="G3687">
            <v>1022072.4177631579</v>
          </cell>
        </row>
        <row r="3688">
          <cell r="A3688" t="str">
            <v>D3.3122</v>
          </cell>
          <cell r="C3688" t="str">
            <v>Lắp tạ bù 600kg, Chiều cao lắp đặt =&lt; 30m</v>
          </cell>
          <cell r="D3688" t="str">
            <v>bộ</v>
          </cell>
          <cell r="I3688">
            <v>1072689.3374999999</v>
          </cell>
        </row>
        <row r="3689">
          <cell r="C3689" t="str">
            <v>Nhân công</v>
          </cell>
          <cell r="G3689">
            <v>1072689.3374999999</v>
          </cell>
        </row>
        <row r="3690">
          <cell r="B3690" t="str">
            <v>NC1407</v>
          </cell>
          <cell r="C3690" t="str">
            <v>+ Nhân công bậc 4,0/7</v>
          </cell>
          <cell r="D3690" t="str">
            <v>Công</v>
          </cell>
          <cell r="E3690">
            <v>5.51</v>
          </cell>
          <cell r="F3690">
            <v>194680.46052631579</v>
          </cell>
          <cell r="G3690">
            <v>1072689.3374999999</v>
          </cell>
        </row>
        <row r="3691">
          <cell r="A3691" t="str">
            <v>D3.3123</v>
          </cell>
          <cell r="C3691" t="str">
            <v>Lắp tạ bù 600kg, Chiều cao lắp đặt =&lt; 40m</v>
          </cell>
          <cell r="D3691" t="str">
            <v>bộ</v>
          </cell>
          <cell r="I3691">
            <v>1142774.3032894738</v>
          </cell>
        </row>
        <row r="3692">
          <cell r="C3692" t="str">
            <v>Nhân công</v>
          </cell>
          <cell r="G3692">
            <v>1142774.3032894738</v>
          </cell>
        </row>
        <row r="3693">
          <cell r="B3693" t="str">
            <v>NC1407</v>
          </cell>
          <cell r="C3693" t="str">
            <v>+ Nhân công bậc 4,0/7</v>
          </cell>
          <cell r="D3693" t="str">
            <v>Công</v>
          </cell>
          <cell r="E3693">
            <v>5.87</v>
          </cell>
          <cell r="F3693">
            <v>194680.46052631579</v>
          </cell>
          <cell r="G3693">
            <v>1142774.3032894738</v>
          </cell>
        </row>
        <row r="3694">
          <cell r="A3694" t="str">
            <v>D3.3124</v>
          </cell>
          <cell r="C3694" t="str">
            <v>Lắp tạ bù 600kg, Chiều cao lắp đặt =&lt; 50m</v>
          </cell>
          <cell r="D3694" t="str">
            <v>bộ</v>
          </cell>
          <cell r="I3694">
            <v>1280997.4302631579</v>
          </cell>
        </row>
        <row r="3695">
          <cell r="C3695" t="str">
            <v>Nhân công</v>
          </cell>
          <cell r="G3695">
            <v>1280997.4302631579</v>
          </cell>
        </row>
        <row r="3696">
          <cell r="B3696" t="str">
            <v>NC1407</v>
          </cell>
          <cell r="C3696" t="str">
            <v>+ Nhân công bậc 4,0/7</v>
          </cell>
          <cell r="D3696" t="str">
            <v>Công</v>
          </cell>
          <cell r="E3696">
            <v>6.58</v>
          </cell>
          <cell r="F3696">
            <v>194680.46052631579</v>
          </cell>
          <cell r="G3696">
            <v>1280997.4302631579</v>
          </cell>
        </row>
        <row r="3697">
          <cell r="A3697" t="str">
            <v>D3.3125</v>
          </cell>
          <cell r="C3697" t="str">
            <v>Lắp tạ bù 600kg, Chiều cao lắp đặt =&lt; 60m</v>
          </cell>
          <cell r="D3697" t="str">
            <v>bộ</v>
          </cell>
          <cell r="I3697">
            <v>1561337.2934210526</v>
          </cell>
        </row>
        <row r="3698">
          <cell r="C3698" t="str">
            <v>Nhân công</v>
          </cell>
          <cell r="G3698">
            <v>1561337.2934210526</v>
          </cell>
        </row>
        <row r="3699">
          <cell r="B3699" t="str">
            <v>NC1407</v>
          </cell>
          <cell r="C3699" t="str">
            <v>+ Nhân công bậc 4,0/7</v>
          </cell>
          <cell r="D3699" t="str">
            <v>Công</v>
          </cell>
          <cell r="E3699">
            <v>8.02</v>
          </cell>
          <cell r="F3699">
            <v>194680.46052631579</v>
          </cell>
          <cell r="G3699">
            <v>1561337.2934210526</v>
          </cell>
        </row>
        <row r="3700">
          <cell r="A3700" t="str">
            <v>D3.3126</v>
          </cell>
          <cell r="C3700" t="str">
            <v>Lắp tạ bù 600kg, Chiều cao lắp đặt =&lt; 70m</v>
          </cell>
          <cell r="D3700" t="str">
            <v>bộ</v>
          </cell>
          <cell r="I3700">
            <v>1643103.086842105</v>
          </cell>
        </row>
        <row r="3701">
          <cell r="C3701" t="str">
            <v>Nhân công</v>
          </cell>
          <cell r="G3701">
            <v>1643103.086842105</v>
          </cell>
        </row>
        <row r="3702">
          <cell r="B3702" t="str">
            <v>NC1407</v>
          </cell>
          <cell r="C3702" t="str">
            <v>+ Nhân công bậc 4,0/7</v>
          </cell>
          <cell r="D3702" t="str">
            <v>Công</v>
          </cell>
          <cell r="E3702">
            <v>8.44</v>
          </cell>
          <cell r="F3702">
            <v>194680.46052631579</v>
          </cell>
          <cell r="G3702">
            <v>1643103.086842105</v>
          </cell>
        </row>
        <row r="3703">
          <cell r="A3703" t="str">
            <v>D3.3127</v>
          </cell>
          <cell r="C3703" t="str">
            <v>Lắp tạ bù 600kg, Chiều cao lắp đặt =&lt; 85m</v>
          </cell>
          <cell r="D3703" t="str">
            <v>bộ</v>
          </cell>
          <cell r="I3703">
            <v>1722922.0756578946</v>
          </cell>
        </row>
        <row r="3704">
          <cell r="C3704" t="str">
            <v>Nhân công</v>
          </cell>
          <cell r="G3704">
            <v>1722922.0756578946</v>
          </cell>
        </row>
        <row r="3705">
          <cell r="B3705" t="str">
            <v>NC1407</v>
          </cell>
          <cell r="C3705" t="str">
            <v>+ Nhân công bậc 4,0/7</v>
          </cell>
          <cell r="D3705" t="str">
            <v>Công</v>
          </cell>
          <cell r="E3705">
            <v>8.85</v>
          </cell>
          <cell r="F3705">
            <v>194680.46052631579</v>
          </cell>
          <cell r="G3705">
            <v>1722922.0756578946</v>
          </cell>
        </row>
        <row r="3706">
          <cell r="A3706" t="str">
            <v>D3.3128</v>
          </cell>
          <cell r="C3706" t="str">
            <v>Lắp tạ bù 600kg, Chiều cao lắp đặt =&lt; 100m</v>
          </cell>
          <cell r="D3706" t="str">
            <v>bộ</v>
          </cell>
          <cell r="I3706">
            <v>1808581.4782894736</v>
          </cell>
        </row>
        <row r="3707">
          <cell r="C3707" t="str">
            <v>Nhân công</v>
          </cell>
          <cell r="G3707">
            <v>1808581.4782894736</v>
          </cell>
        </row>
        <row r="3708">
          <cell r="B3708" t="str">
            <v>NC1407</v>
          </cell>
          <cell r="C3708" t="str">
            <v>+ Nhân công bậc 4,0/7</v>
          </cell>
          <cell r="D3708" t="str">
            <v>Công</v>
          </cell>
          <cell r="E3708">
            <v>9.2899999999999991</v>
          </cell>
          <cell r="F3708">
            <v>194680.46052631579</v>
          </cell>
          <cell r="G3708">
            <v>1808581.4782894736</v>
          </cell>
        </row>
        <row r="3709">
          <cell r="A3709" t="str">
            <v>D3.3129</v>
          </cell>
          <cell r="C3709" t="str">
            <v>Lắp tạ bù 600kg, Chiều cao lắp đặt &gt; 100m</v>
          </cell>
          <cell r="D3709" t="str">
            <v>bộ</v>
          </cell>
          <cell r="I3709">
            <v>2079187.3184210525</v>
          </cell>
        </row>
        <row r="3710">
          <cell r="C3710" t="str">
            <v>Nhân công</v>
          </cell>
          <cell r="G3710">
            <v>2079187.3184210525</v>
          </cell>
        </row>
        <row r="3711">
          <cell r="B3711" t="str">
            <v>NC1407</v>
          </cell>
          <cell r="C3711" t="str">
            <v>+ Nhân công bậc 4,0/7</v>
          </cell>
          <cell r="D3711" t="str">
            <v>Công</v>
          </cell>
          <cell r="E3711">
            <v>10.68</v>
          </cell>
          <cell r="F3711">
            <v>194680.46052631579</v>
          </cell>
          <cell r="G3711">
            <v>2079187.3184210525</v>
          </cell>
        </row>
        <row r="3712">
          <cell r="A3712" t="str">
            <v>D3.3131</v>
          </cell>
          <cell r="C3712" t="str">
            <v>Lắp tạ bù 700kg, Chiều cao lắp đặt =&lt; 20m</v>
          </cell>
          <cell r="D3712" t="str">
            <v>bộ</v>
          </cell>
          <cell r="I3712">
            <v>1187550.8092105263</v>
          </cell>
        </row>
        <row r="3713">
          <cell r="C3713" t="str">
            <v>Nhân công</v>
          </cell>
          <cell r="G3713">
            <v>1187550.8092105263</v>
          </cell>
        </row>
        <row r="3714">
          <cell r="B3714" t="str">
            <v>NC1407</v>
          </cell>
          <cell r="C3714" t="str">
            <v>+ Nhân công bậc 4,0/7</v>
          </cell>
          <cell r="D3714" t="str">
            <v>Công</v>
          </cell>
          <cell r="E3714">
            <v>6.1</v>
          </cell>
          <cell r="F3714">
            <v>194680.46052631579</v>
          </cell>
          <cell r="G3714">
            <v>1187550.8092105263</v>
          </cell>
        </row>
        <row r="3715">
          <cell r="A3715" t="str">
            <v>D3.3132</v>
          </cell>
          <cell r="C3715" t="str">
            <v>Lắp tạ bù 700kg, Chiều cao lắp đặt =&lt; 30m</v>
          </cell>
          <cell r="D3715" t="str">
            <v>bộ</v>
          </cell>
          <cell r="I3715">
            <v>1245954.9473684211</v>
          </cell>
        </row>
        <row r="3716">
          <cell r="C3716" t="str">
            <v>Nhân công</v>
          </cell>
          <cell r="G3716">
            <v>1245954.9473684211</v>
          </cell>
        </row>
        <row r="3717">
          <cell r="B3717" t="str">
            <v>NC1407</v>
          </cell>
          <cell r="C3717" t="str">
            <v>+ Nhân công bậc 4,0/7</v>
          </cell>
          <cell r="D3717" t="str">
            <v>Công</v>
          </cell>
          <cell r="E3717">
            <v>6.4</v>
          </cell>
          <cell r="F3717">
            <v>194680.46052631579</v>
          </cell>
          <cell r="G3717">
            <v>1245954.9473684211</v>
          </cell>
        </row>
        <row r="3718">
          <cell r="A3718" t="str">
            <v>D3.3133</v>
          </cell>
          <cell r="C3718" t="str">
            <v>Lắp tạ bù 700kg, Chiều cao lắp đặt =&lt; 40m</v>
          </cell>
          <cell r="D3718" t="str">
            <v>bộ</v>
          </cell>
          <cell r="I3718">
            <v>1329667.5453947368</v>
          </cell>
        </row>
        <row r="3719">
          <cell r="C3719" t="str">
            <v>Nhân công</v>
          </cell>
          <cell r="G3719">
            <v>1329667.5453947368</v>
          </cell>
        </row>
        <row r="3720">
          <cell r="B3720" t="str">
            <v>NC1407</v>
          </cell>
          <cell r="C3720" t="str">
            <v>+ Nhân công bậc 4,0/7</v>
          </cell>
          <cell r="D3720" t="str">
            <v>Công</v>
          </cell>
          <cell r="E3720">
            <v>6.83</v>
          </cell>
          <cell r="F3720">
            <v>194680.46052631579</v>
          </cell>
          <cell r="G3720">
            <v>1329667.5453947368</v>
          </cell>
        </row>
        <row r="3721">
          <cell r="A3721" t="str">
            <v>D3.3134</v>
          </cell>
          <cell r="C3721" t="str">
            <v>Lắp tạ bù 700kg, Chiều cao lắp đặt =&lt; 50m</v>
          </cell>
          <cell r="D3721" t="str">
            <v>bộ</v>
          </cell>
          <cell r="I3721">
            <v>1493199.1322368421</v>
          </cell>
        </row>
        <row r="3722">
          <cell r="C3722" t="str">
            <v>Nhân công</v>
          </cell>
          <cell r="G3722">
            <v>1493199.1322368421</v>
          </cell>
        </row>
        <row r="3723">
          <cell r="B3723" t="str">
            <v>NC1407</v>
          </cell>
          <cell r="C3723" t="str">
            <v>+ Nhân công bậc 4,0/7</v>
          </cell>
          <cell r="D3723" t="str">
            <v>Công</v>
          </cell>
          <cell r="E3723">
            <v>7.67</v>
          </cell>
          <cell r="F3723">
            <v>194680.46052631579</v>
          </cell>
          <cell r="G3723">
            <v>1493199.1322368421</v>
          </cell>
        </row>
        <row r="3724">
          <cell r="A3724" t="str">
            <v>D3.3135</v>
          </cell>
          <cell r="C3724" t="str">
            <v>Lắp tạ bù 700kg, Chiều cao lắp đặt =&lt; 60m</v>
          </cell>
          <cell r="D3724" t="str">
            <v>bộ</v>
          </cell>
          <cell r="I3724">
            <v>1816368.6967105262</v>
          </cell>
        </row>
        <row r="3725">
          <cell r="C3725" t="str">
            <v>Nhân công</v>
          </cell>
          <cell r="G3725">
            <v>1816368.6967105262</v>
          </cell>
        </row>
        <row r="3726">
          <cell r="B3726" t="str">
            <v>NC1407</v>
          </cell>
          <cell r="C3726" t="str">
            <v>+ Nhân công bậc 4,0/7</v>
          </cell>
          <cell r="D3726" t="str">
            <v>Công</v>
          </cell>
          <cell r="E3726">
            <v>9.33</v>
          </cell>
          <cell r="F3726">
            <v>194680.46052631579</v>
          </cell>
          <cell r="G3726">
            <v>1816368.6967105262</v>
          </cell>
        </row>
        <row r="3727">
          <cell r="A3727" t="str">
            <v>D3.3136</v>
          </cell>
          <cell r="C3727" t="str">
            <v>Lắp tạ bù 700kg, Chiều cao lắp đặt =&lt; 70m</v>
          </cell>
          <cell r="D3727" t="str">
            <v>bộ</v>
          </cell>
          <cell r="I3727">
            <v>1911762.1223684212</v>
          </cell>
        </row>
        <row r="3728">
          <cell r="C3728" t="str">
            <v>Nhân công</v>
          </cell>
          <cell r="G3728">
            <v>1911762.1223684212</v>
          </cell>
        </row>
        <row r="3729">
          <cell r="B3729" t="str">
            <v>NC1407</v>
          </cell>
          <cell r="C3729" t="str">
            <v>+ Nhân công bậc 4,0/7</v>
          </cell>
          <cell r="D3729" t="str">
            <v>Công</v>
          </cell>
          <cell r="E3729">
            <v>9.82</v>
          </cell>
          <cell r="F3729">
            <v>194680.46052631579</v>
          </cell>
          <cell r="G3729">
            <v>1911762.1223684212</v>
          </cell>
        </row>
        <row r="3730">
          <cell r="A3730" t="str">
            <v>D3.3137</v>
          </cell>
          <cell r="C3730" t="str">
            <v>Lắp tạ bù 700kg, Chiều cao lắp đặt =&lt; 85m</v>
          </cell>
          <cell r="D3730" t="str">
            <v>bộ</v>
          </cell>
          <cell r="I3730">
            <v>2003261.9388157893</v>
          </cell>
        </row>
        <row r="3731">
          <cell r="C3731" t="str">
            <v>Nhân công</v>
          </cell>
          <cell r="G3731">
            <v>2003261.9388157893</v>
          </cell>
        </row>
        <row r="3732">
          <cell r="B3732" t="str">
            <v>NC1407</v>
          </cell>
          <cell r="C3732" t="str">
            <v>+ Nhân công bậc 4,0/7</v>
          </cell>
          <cell r="D3732" t="str">
            <v>Công</v>
          </cell>
          <cell r="E3732">
            <v>10.29</v>
          </cell>
          <cell r="F3732">
            <v>194680.46052631579</v>
          </cell>
          <cell r="G3732">
            <v>2003261.9388157893</v>
          </cell>
        </row>
        <row r="3733">
          <cell r="A3733" t="str">
            <v>D3.3138</v>
          </cell>
          <cell r="C3733" t="str">
            <v>Lắp tạ bù 700kg, Chiều cao lắp đặt =&lt; 100m</v>
          </cell>
          <cell r="D3733" t="str">
            <v>bộ</v>
          </cell>
          <cell r="I3733">
            <v>2102548.9736842108</v>
          </cell>
        </row>
        <row r="3734">
          <cell r="C3734" t="str">
            <v>Nhân công</v>
          </cell>
          <cell r="G3734">
            <v>2102548.9736842108</v>
          </cell>
        </row>
        <row r="3735">
          <cell r="B3735" t="str">
            <v>NC1407</v>
          </cell>
          <cell r="C3735" t="str">
            <v>+ Nhân công bậc 4,0/7</v>
          </cell>
          <cell r="D3735" t="str">
            <v>Công</v>
          </cell>
          <cell r="E3735">
            <v>10.8</v>
          </cell>
          <cell r="F3735">
            <v>194680.46052631579</v>
          </cell>
          <cell r="G3735">
            <v>2102548.9736842108</v>
          </cell>
        </row>
        <row r="3736">
          <cell r="A3736" t="str">
            <v>D3.3139</v>
          </cell>
          <cell r="C3736" t="str">
            <v>Lắp tạ bù 700kg, Chiều cao lắp đặt &gt; 100m</v>
          </cell>
          <cell r="D3736" t="str">
            <v>bộ</v>
          </cell>
          <cell r="I3736">
            <v>2417931.3197368421</v>
          </cell>
        </row>
        <row r="3737">
          <cell r="C3737" t="str">
            <v>Nhân công</v>
          </cell>
          <cell r="G3737">
            <v>2417931.3197368421</v>
          </cell>
        </row>
        <row r="3738">
          <cell r="B3738" t="str">
            <v>NC1407</v>
          </cell>
          <cell r="C3738" t="str">
            <v>+ Nhân công bậc 4,0/7</v>
          </cell>
          <cell r="D3738" t="str">
            <v>Công</v>
          </cell>
          <cell r="E3738">
            <v>12.42</v>
          </cell>
          <cell r="F3738">
            <v>194680.46052631579</v>
          </cell>
          <cell r="G3738">
            <v>2417931.3197368421</v>
          </cell>
        </row>
        <row r="3739">
          <cell r="A3739" t="str">
            <v>D3.3141</v>
          </cell>
          <cell r="C3739" t="str">
            <v>Lắp tạ bù 800kg, Chiều cao lắp đặt =&lt; 20m</v>
          </cell>
          <cell r="D3739" t="str">
            <v>bộ</v>
          </cell>
          <cell r="I3739">
            <v>1354976.0052631579</v>
          </cell>
        </row>
        <row r="3740">
          <cell r="C3740" t="str">
            <v>Nhân công</v>
          </cell>
          <cell r="G3740">
            <v>1354976.0052631579</v>
          </cell>
        </row>
        <row r="3741">
          <cell r="B3741" t="str">
            <v>NC1407</v>
          </cell>
          <cell r="C3741" t="str">
            <v>+ Nhân công bậc 4,0/7</v>
          </cell>
          <cell r="D3741" t="str">
            <v>Công</v>
          </cell>
          <cell r="E3741">
            <v>6.96</v>
          </cell>
          <cell r="F3741">
            <v>194680.46052631579</v>
          </cell>
          <cell r="G3741">
            <v>1354976.0052631579</v>
          </cell>
        </row>
        <row r="3742">
          <cell r="A3742" t="str">
            <v>D3.3142</v>
          </cell>
          <cell r="C3742" t="str">
            <v>Lắp tạ bù 800kg, Chiều cao lắp đặt =&lt; 30m</v>
          </cell>
          <cell r="D3742" t="str">
            <v>bộ</v>
          </cell>
          <cell r="I3742">
            <v>1421167.3618421052</v>
          </cell>
        </row>
        <row r="3743">
          <cell r="C3743" t="str">
            <v>Nhân công</v>
          </cell>
          <cell r="G3743">
            <v>1421167.3618421052</v>
          </cell>
        </row>
        <row r="3744">
          <cell r="B3744" t="str">
            <v>NC1407</v>
          </cell>
          <cell r="C3744" t="str">
            <v>+ Nhân công bậc 4,0/7</v>
          </cell>
          <cell r="D3744" t="str">
            <v>Công</v>
          </cell>
          <cell r="E3744">
            <v>7.3</v>
          </cell>
          <cell r="F3744">
            <v>194680.46052631579</v>
          </cell>
          <cell r="G3744">
            <v>1421167.3618421052</v>
          </cell>
        </row>
        <row r="3745">
          <cell r="A3745" t="str">
            <v>D3.3143</v>
          </cell>
          <cell r="C3745" t="str">
            <v>Lắp tạ bù 800kg, Chiều cao lắp đặt =&lt; 40m</v>
          </cell>
          <cell r="D3745" t="str">
            <v>bộ</v>
          </cell>
          <cell r="I3745">
            <v>1514613.9828947368</v>
          </cell>
        </row>
        <row r="3746">
          <cell r="C3746" t="str">
            <v>Nhân công</v>
          </cell>
          <cell r="G3746">
            <v>1514613.9828947368</v>
          </cell>
        </row>
        <row r="3747">
          <cell r="B3747" t="str">
            <v>NC1407</v>
          </cell>
          <cell r="C3747" t="str">
            <v>+ Nhân công bậc 4,0/7</v>
          </cell>
          <cell r="D3747" t="str">
            <v>Công</v>
          </cell>
          <cell r="E3747">
            <v>7.78</v>
          </cell>
          <cell r="F3747">
            <v>194680.46052631579</v>
          </cell>
          <cell r="G3747">
            <v>1514613.9828947368</v>
          </cell>
        </row>
        <row r="3748">
          <cell r="A3748" t="str">
            <v>D3.3144</v>
          </cell>
          <cell r="C3748" t="str">
            <v>Lắp tạ bù 800kg, Chiều cao lắp đặt =&lt; 50m</v>
          </cell>
          <cell r="D3748" t="str">
            <v>bộ</v>
          </cell>
          <cell r="I3748">
            <v>1701507.2250000001</v>
          </cell>
        </row>
        <row r="3749">
          <cell r="C3749" t="str">
            <v>Nhân công</v>
          </cell>
          <cell r="G3749">
            <v>1701507.2250000001</v>
          </cell>
        </row>
        <row r="3750">
          <cell r="B3750" t="str">
            <v>NC1407</v>
          </cell>
          <cell r="C3750" t="str">
            <v>+ Nhân công bậc 4,0/7</v>
          </cell>
          <cell r="D3750" t="str">
            <v>Công</v>
          </cell>
          <cell r="E3750">
            <v>8.74</v>
          </cell>
          <cell r="F3750">
            <v>194680.46052631579</v>
          </cell>
          <cell r="G3750">
            <v>1701507.2250000001</v>
          </cell>
        </row>
        <row r="3751">
          <cell r="A3751" t="str">
            <v>D3.3145</v>
          </cell>
          <cell r="C3751" t="str">
            <v>Lắp tạ bù 800kg, Chiều cao lắp đặt =&lt; 60m</v>
          </cell>
          <cell r="D3751" t="str">
            <v>bộ</v>
          </cell>
          <cell r="I3751">
            <v>2073346.9046052631</v>
          </cell>
        </row>
        <row r="3752">
          <cell r="C3752" t="str">
            <v>Nhân công</v>
          </cell>
          <cell r="G3752">
            <v>2073346.9046052631</v>
          </cell>
        </row>
        <row r="3753">
          <cell r="B3753" t="str">
            <v>NC1407</v>
          </cell>
          <cell r="C3753" t="str">
            <v>+ Nhân công bậc 4,0/7</v>
          </cell>
          <cell r="D3753" t="str">
            <v>Công</v>
          </cell>
          <cell r="E3753">
            <v>10.65</v>
          </cell>
          <cell r="F3753">
            <v>194680.46052631579</v>
          </cell>
          <cell r="G3753">
            <v>2073346.9046052631</v>
          </cell>
        </row>
        <row r="3754">
          <cell r="A3754" t="str">
            <v>D3.3146</v>
          </cell>
          <cell r="C3754" t="str">
            <v>Lắp tạ bù 800kg, Chiều cao lắp đặt =&lt; 70m</v>
          </cell>
          <cell r="D3754" t="str">
            <v>bộ</v>
          </cell>
          <cell r="I3754">
            <v>2180421.1578947366</v>
          </cell>
        </row>
        <row r="3755">
          <cell r="C3755" t="str">
            <v>Nhân công</v>
          </cell>
          <cell r="G3755">
            <v>2180421.1578947366</v>
          </cell>
        </row>
        <row r="3756">
          <cell r="B3756" t="str">
            <v>NC1407</v>
          </cell>
          <cell r="C3756" t="str">
            <v>+ Nhân công bậc 4,0/7</v>
          </cell>
          <cell r="D3756" t="str">
            <v>Công</v>
          </cell>
          <cell r="E3756">
            <v>11.2</v>
          </cell>
          <cell r="F3756">
            <v>194680.46052631579</v>
          </cell>
          <cell r="G3756">
            <v>2180421.1578947366</v>
          </cell>
        </row>
        <row r="3757">
          <cell r="A3757" t="str">
            <v>D3.3147</v>
          </cell>
          <cell r="C3757" t="str">
            <v>Lắp tạ bù 800kg, Chiều cao lắp đặt =&lt; 85m</v>
          </cell>
          <cell r="D3757" t="str">
            <v>bộ</v>
          </cell>
          <cell r="I3757">
            <v>2285548.6065789475</v>
          </cell>
        </row>
        <row r="3758">
          <cell r="C3758" t="str">
            <v>Nhân công</v>
          </cell>
          <cell r="G3758">
            <v>2285548.6065789475</v>
          </cell>
        </row>
        <row r="3759">
          <cell r="B3759" t="str">
            <v>NC1407</v>
          </cell>
          <cell r="C3759" t="str">
            <v>+ Nhân công bậc 4,0/7</v>
          </cell>
          <cell r="D3759" t="str">
            <v>Công</v>
          </cell>
          <cell r="E3759">
            <v>11.74</v>
          </cell>
          <cell r="F3759">
            <v>194680.46052631579</v>
          </cell>
          <cell r="G3759">
            <v>2285548.6065789475</v>
          </cell>
        </row>
        <row r="3760">
          <cell r="A3760" t="str">
            <v>D3.3148</v>
          </cell>
          <cell r="C3760" t="str">
            <v>Lắp tạ bù 800kg, Chiều cao lắp đặt =&lt; 100m</v>
          </cell>
          <cell r="D3760" t="str">
            <v>bộ</v>
          </cell>
          <cell r="I3760">
            <v>2400410.0782894734</v>
          </cell>
        </row>
        <row r="3761">
          <cell r="C3761" t="str">
            <v>Nhân công</v>
          </cell>
          <cell r="G3761">
            <v>2400410.0782894734</v>
          </cell>
        </row>
        <row r="3762">
          <cell r="B3762" t="str">
            <v>NC1407</v>
          </cell>
          <cell r="C3762" t="str">
            <v>+ Nhân công bậc 4,0/7</v>
          </cell>
          <cell r="D3762" t="str">
            <v>Công</v>
          </cell>
          <cell r="E3762">
            <v>12.33</v>
          </cell>
          <cell r="F3762">
            <v>194680.46052631579</v>
          </cell>
          <cell r="G3762">
            <v>2400410.0782894734</v>
          </cell>
        </row>
        <row r="3763">
          <cell r="A3763" t="str">
            <v>D3.3149</v>
          </cell>
          <cell r="C3763" t="str">
            <v>Lắp tạ bù 800kg, Chiều cao lắp đặt &gt; 100m</v>
          </cell>
          <cell r="D3763" t="str">
            <v>bộ</v>
          </cell>
          <cell r="I3763">
            <v>2760568.9302631579</v>
          </cell>
        </row>
        <row r="3764">
          <cell r="C3764" t="str">
            <v>Nhân công</v>
          </cell>
          <cell r="G3764">
            <v>2760568.9302631579</v>
          </cell>
        </row>
        <row r="3765">
          <cell r="B3765" t="str">
            <v>NC1407</v>
          </cell>
          <cell r="C3765" t="str">
            <v>+ Nhân công bậc 4,0/7</v>
          </cell>
          <cell r="D3765" t="str">
            <v>Công</v>
          </cell>
          <cell r="E3765">
            <v>14.18</v>
          </cell>
          <cell r="F3765">
            <v>194680.46052631579</v>
          </cell>
          <cell r="G3765">
            <v>2760568.9302631579</v>
          </cell>
        </row>
        <row r="3766">
          <cell r="A3766" t="str">
            <v>D3.3151</v>
          </cell>
          <cell r="C3766" t="str">
            <v>Lắp tạ bù 900kg, Chiều cao lắp đặt =&lt; 20m</v>
          </cell>
          <cell r="D3766" t="str">
            <v>bộ</v>
          </cell>
          <cell r="I3766">
            <v>1522401.2013157895</v>
          </cell>
        </row>
        <row r="3767">
          <cell r="C3767" t="str">
            <v>Nhân công</v>
          </cell>
          <cell r="G3767">
            <v>1522401.2013157895</v>
          </cell>
        </row>
        <row r="3768">
          <cell r="B3768" t="str">
            <v>NC1407</v>
          </cell>
          <cell r="C3768" t="str">
            <v>+ Nhân công bậc 4,0/7</v>
          </cell>
          <cell r="D3768" t="str">
            <v>Công</v>
          </cell>
          <cell r="E3768">
            <v>7.82</v>
          </cell>
          <cell r="F3768">
            <v>194680.46052631579</v>
          </cell>
          <cell r="G3768">
            <v>1522401.2013157895</v>
          </cell>
        </row>
        <row r="3769">
          <cell r="A3769" t="str">
            <v>D3.3152</v>
          </cell>
          <cell r="C3769" t="str">
            <v>Lắp tạ bù 900kg, Chiều cao lắp đặt =&lt; 30m</v>
          </cell>
          <cell r="D3769" t="str">
            <v>bộ</v>
          </cell>
          <cell r="I3769">
            <v>1598326.5809210527</v>
          </cell>
        </row>
        <row r="3770">
          <cell r="C3770" t="str">
            <v>Nhân công</v>
          </cell>
          <cell r="G3770">
            <v>1598326.5809210527</v>
          </cell>
        </row>
        <row r="3771">
          <cell r="B3771" t="str">
            <v>NC1407</v>
          </cell>
          <cell r="C3771" t="str">
            <v>+ Nhân công bậc 4,0/7</v>
          </cell>
          <cell r="D3771" t="str">
            <v>Công</v>
          </cell>
          <cell r="E3771">
            <v>8.2100000000000009</v>
          </cell>
          <cell r="F3771">
            <v>194680.46052631579</v>
          </cell>
          <cell r="G3771">
            <v>1598326.5809210527</v>
          </cell>
        </row>
        <row r="3772">
          <cell r="A3772" t="str">
            <v>D3.3153</v>
          </cell>
          <cell r="C3772" t="str">
            <v>Lắp tạ bù 900kg, Chiều cao lắp đặt =&lt; 40m</v>
          </cell>
          <cell r="D3772" t="str">
            <v>bộ</v>
          </cell>
          <cell r="I3772">
            <v>1701507.2250000001</v>
          </cell>
        </row>
        <row r="3773">
          <cell r="C3773" t="str">
            <v>Nhân công</v>
          </cell>
          <cell r="G3773">
            <v>1701507.2250000001</v>
          </cell>
        </row>
        <row r="3774">
          <cell r="B3774" t="str">
            <v>NC1407</v>
          </cell>
          <cell r="C3774" t="str">
            <v>+ Nhân công bậc 4,0/7</v>
          </cell>
          <cell r="D3774" t="str">
            <v>Công</v>
          </cell>
          <cell r="E3774">
            <v>8.74</v>
          </cell>
          <cell r="F3774">
            <v>194680.46052631579</v>
          </cell>
          <cell r="G3774">
            <v>1701507.2250000001</v>
          </cell>
        </row>
        <row r="3775">
          <cell r="A3775" t="str">
            <v>D3.3154</v>
          </cell>
          <cell r="C3775" t="str">
            <v>Lắp tạ bù 900kg, Chiều cao lắp đặt =&lt; 50m</v>
          </cell>
          <cell r="D3775" t="str">
            <v>bộ</v>
          </cell>
          <cell r="I3775">
            <v>1806634.6736842103</v>
          </cell>
        </row>
        <row r="3776">
          <cell r="C3776" t="str">
            <v>Nhân công</v>
          </cell>
          <cell r="G3776">
            <v>1806634.6736842103</v>
          </cell>
        </row>
        <row r="3777">
          <cell r="B3777" t="str">
            <v>NC1407</v>
          </cell>
          <cell r="C3777" t="str">
            <v>+ Nhân công bậc 4,0/7</v>
          </cell>
          <cell r="D3777" t="str">
            <v>Công</v>
          </cell>
          <cell r="E3777">
            <v>9.2799999999999994</v>
          </cell>
          <cell r="F3777">
            <v>194680.46052631579</v>
          </cell>
          <cell r="G3777">
            <v>1806634.6736842103</v>
          </cell>
        </row>
        <row r="3778">
          <cell r="A3778" t="str">
            <v>D3.3155</v>
          </cell>
          <cell r="C3778" t="str">
            <v>Lắp tạ bù 900kg, Chiều cao lắp đặt =&lt; 60m</v>
          </cell>
          <cell r="D3778" t="str">
            <v>bộ</v>
          </cell>
          <cell r="I3778">
            <v>2328378.307894737</v>
          </cell>
        </row>
        <row r="3779">
          <cell r="C3779" t="str">
            <v>Nhân công</v>
          </cell>
          <cell r="G3779">
            <v>2328378.307894737</v>
          </cell>
        </row>
        <row r="3780">
          <cell r="B3780" t="str">
            <v>NC1407</v>
          </cell>
          <cell r="C3780" t="str">
            <v>+ Nhân công bậc 4,0/7</v>
          </cell>
          <cell r="D3780" t="str">
            <v>Công</v>
          </cell>
          <cell r="E3780">
            <v>11.96</v>
          </cell>
          <cell r="F3780">
            <v>194680.46052631579</v>
          </cell>
          <cell r="G3780">
            <v>2328378.307894737</v>
          </cell>
        </row>
        <row r="3781">
          <cell r="A3781" t="str">
            <v>D3.3156</v>
          </cell>
          <cell r="C3781" t="str">
            <v>Lắp tạ bù 900kg, Chiều cao lắp đặt =&lt; 70m</v>
          </cell>
          <cell r="D3781" t="str">
            <v>bộ</v>
          </cell>
          <cell r="I3781">
            <v>2433505.7565789474</v>
          </cell>
        </row>
        <row r="3782">
          <cell r="C3782" t="str">
            <v>Nhân công</v>
          </cell>
          <cell r="G3782">
            <v>2433505.7565789474</v>
          </cell>
        </row>
        <row r="3783">
          <cell r="B3783" t="str">
            <v>NC1407</v>
          </cell>
          <cell r="C3783" t="str">
            <v>+ Nhân công bậc 4,0/7</v>
          </cell>
          <cell r="D3783" t="str">
            <v>Công</v>
          </cell>
          <cell r="E3783">
            <v>12.5</v>
          </cell>
          <cell r="F3783">
            <v>194680.46052631579</v>
          </cell>
          <cell r="G3783">
            <v>2433505.7565789474</v>
          </cell>
        </row>
        <row r="3784">
          <cell r="A3784" t="str">
            <v>D3.3157</v>
          </cell>
          <cell r="C3784" t="str">
            <v>Lắp tạ bù 900kg, Chiều cao lắp đặt =&lt; 85m</v>
          </cell>
          <cell r="D3784" t="str">
            <v>bộ</v>
          </cell>
          <cell r="I3784">
            <v>2567835.2743421053</v>
          </cell>
        </row>
        <row r="3785">
          <cell r="C3785" t="str">
            <v>Nhân công</v>
          </cell>
          <cell r="G3785">
            <v>2567835.2743421053</v>
          </cell>
        </row>
        <row r="3786">
          <cell r="B3786" t="str">
            <v>NC1407</v>
          </cell>
          <cell r="C3786" t="str">
            <v>+ Nhân công bậc 4,0/7</v>
          </cell>
          <cell r="D3786" t="str">
            <v>Công</v>
          </cell>
          <cell r="E3786">
            <v>13.19</v>
          </cell>
          <cell r="F3786">
            <v>194680.46052631579</v>
          </cell>
          <cell r="G3786">
            <v>2567835.2743421053</v>
          </cell>
        </row>
        <row r="3787">
          <cell r="A3787" t="str">
            <v>D3.3158</v>
          </cell>
          <cell r="C3787" t="str">
            <v>Lắp tạ bù 900kg, Chiều cao lắp đặt =&lt; 100m</v>
          </cell>
          <cell r="D3787" t="str">
            <v>bộ</v>
          </cell>
          <cell r="I3787">
            <v>2696324.3782894737</v>
          </cell>
        </row>
        <row r="3788">
          <cell r="C3788" t="str">
            <v>Nhân công</v>
          </cell>
          <cell r="G3788">
            <v>2696324.3782894737</v>
          </cell>
        </row>
        <row r="3789">
          <cell r="B3789" t="str">
            <v>NC1407</v>
          </cell>
          <cell r="C3789" t="str">
            <v>+ Nhân công bậc 4,0/7</v>
          </cell>
          <cell r="D3789" t="str">
            <v>Công</v>
          </cell>
          <cell r="E3789">
            <v>13.85</v>
          </cell>
          <cell r="F3789">
            <v>194680.46052631579</v>
          </cell>
          <cell r="G3789">
            <v>2696324.3782894737</v>
          </cell>
        </row>
        <row r="3790">
          <cell r="A3790" t="str">
            <v>D3.3159</v>
          </cell>
          <cell r="C3790" t="str">
            <v>Lắp tạ bù 900kg, Chiều cao lắp đặt &gt; 100m</v>
          </cell>
          <cell r="D3790" t="str">
            <v>bộ</v>
          </cell>
          <cell r="I3790">
            <v>3101259.7361842105</v>
          </cell>
        </row>
        <row r="3791">
          <cell r="C3791" t="str">
            <v>Nhân công</v>
          </cell>
          <cell r="G3791">
            <v>3101259.7361842105</v>
          </cell>
        </row>
        <row r="3792">
          <cell r="B3792" t="str">
            <v>NC1407</v>
          </cell>
          <cell r="C3792" t="str">
            <v>+ Nhân công bậc 4,0/7</v>
          </cell>
          <cell r="D3792" t="str">
            <v>Công</v>
          </cell>
          <cell r="E3792">
            <v>15.93</v>
          </cell>
          <cell r="F3792">
            <v>194680.46052631579</v>
          </cell>
          <cell r="G3792">
            <v>3101259.7361842105</v>
          </cell>
        </row>
        <row r="3793">
          <cell r="A3793" t="str">
            <v>D3.3161</v>
          </cell>
          <cell r="C3793" t="str">
            <v>Lắp tạ bù 1000kg, Chiều cao lắp đặt =&lt; 20m</v>
          </cell>
          <cell r="D3793" t="str">
            <v>bộ</v>
          </cell>
          <cell r="I3793">
            <v>1687879.5927631578</v>
          </cell>
        </row>
        <row r="3794">
          <cell r="C3794" t="str">
            <v>Nhân công</v>
          </cell>
          <cell r="G3794">
            <v>1687879.5927631578</v>
          </cell>
        </row>
        <row r="3795">
          <cell r="B3795" t="str">
            <v>NC1407</v>
          </cell>
          <cell r="C3795" t="str">
            <v>+ Nhân công bậc 4,0/7</v>
          </cell>
          <cell r="D3795" t="str">
            <v>Công</v>
          </cell>
          <cell r="E3795">
            <v>8.67</v>
          </cell>
          <cell r="F3795">
            <v>194680.46052631579</v>
          </cell>
          <cell r="G3795">
            <v>1687879.5927631578</v>
          </cell>
        </row>
        <row r="3796">
          <cell r="A3796" t="str">
            <v>D3.3162</v>
          </cell>
          <cell r="C3796" t="str">
            <v>Lắp tạ bù 1000kg, Chiều cao lắp đặt =&lt; 30m</v>
          </cell>
          <cell r="D3796" t="str">
            <v>bộ</v>
          </cell>
          <cell r="I3796">
            <v>1771592.1907894735</v>
          </cell>
        </row>
        <row r="3797">
          <cell r="C3797" t="str">
            <v>Nhân công</v>
          </cell>
          <cell r="G3797">
            <v>1771592.1907894735</v>
          </cell>
        </row>
        <row r="3798">
          <cell r="B3798" t="str">
            <v>NC1407</v>
          </cell>
          <cell r="C3798" t="str">
            <v>+ Nhân công bậc 4,0/7</v>
          </cell>
          <cell r="D3798" t="str">
            <v>Công</v>
          </cell>
          <cell r="E3798">
            <v>9.1</v>
          </cell>
          <cell r="F3798">
            <v>194680.46052631579</v>
          </cell>
          <cell r="G3798">
            <v>1771592.1907894735</v>
          </cell>
        </row>
        <row r="3799">
          <cell r="A3799" t="str">
            <v>D3.3163</v>
          </cell>
          <cell r="C3799" t="str">
            <v>Lắp tạ bù 1000kg, Chiều cao lắp đặt =&lt; 40m</v>
          </cell>
          <cell r="D3799" t="str">
            <v>bộ</v>
          </cell>
          <cell r="I3799">
            <v>1886453.6624999999</v>
          </cell>
        </row>
        <row r="3800">
          <cell r="C3800" t="str">
            <v>Nhân công</v>
          </cell>
          <cell r="G3800">
            <v>1886453.6624999999</v>
          </cell>
        </row>
        <row r="3801">
          <cell r="B3801" t="str">
            <v>NC1407</v>
          </cell>
          <cell r="C3801" t="str">
            <v>+ Nhân công bậc 4,0/7</v>
          </cell>
          <cell r="D3801" t="str">
            <v>Công</v>
          </cell>
          <cell r="E3801">
            <v>9.69</v>
          </cell>
          <cell r="F3801">
            <v>194680.46052631579</v>
          </cell>
          <cell r="G3801">
            <v>1886453.6624999999</v>
          </cell>
        </row>
        <row r="3802">
          <cell r="A3802" t="str">
            <v>D3.3164</v>
          </cell>
          <cell r="C3802" t="str">
            <v>Lắp tạ bù 1000kg, Chiều cao lắp đặt =&lt; 50m</v>
          </cell>
          <cell r="D3802" t="str">
            <v>bộ</v>
          </cell>
          <cell r="I3802">
            <v>2120070.215131579</v>
          </cell>
        </row>
        <row r="3803">
          <cell r="C3803" t="str">
            <v>Nhân công</v>
          </cell>
          <cell r="G3803">
            <v>2120070.215131579</v>
          </cell>
        </row>
        <row r="3804">
          <cell r="B3804" t="str">
            <v>NC1407</v>
          </cell>
          <cell r="C3804" t="str">
            <v>+ Nhân công bậc 4,0/7</v>
          </cell>
          <cell r="D3804" t="str">
            <v>Công</v>
          </cell>
          <cell r="E3804">
            <v>10.89</v>
          </cell>
          <cell r="F3804">
            <v>194680.46052631579</v>
          </cell>
          <cell r="G3804">
            <v>2120070.215131579</v>
          </cell>
        </row>
        <row r="3805">
          <cell r="A3805" t="str">
            <v>D3.3165</v>
          </cell>
          <cell r="C3805" t="str">
            <v>Lắp tạ bù 1000kg, Chiều cao lắp đặt =&lt; 60m</v>
          </cell>
          <cell r="D3805" t="str">
            <v>bộ</v>
          </cell>
          <cell r="I3805">
            <v>2583409.7111842106</v>
          </cell>
        </row>
        <row r="3806">
          <cell r="C3806" t="str">
            <v>Nhân công</v>
          </cell>
          <cell r="G3806">
            <v>2583409.7111842106</v>
          </cell>
        </row>
        <row r="3807">
          <cell r="B3807" t="str">
            <v>NC1407</v>
          </cell>
          <cell r="C3807" t="str">
            <v>+ Nhân công bậc 4,0/7</v>
          </cell>
          <cell r="D3807" t="str">
            <v>Công</v>
          </cell>
          <cell r="E3807">
            <v>13.27</v>
          </cell>
          <cell r="F3807">
            <v>194680.46052631579</v>
          </cell>
          <cell r="G3807">
            <v>2583409.7111842106</v>
          </cell>
        </row>
        <row r="3808">
          <cell r="A3808" t="str">
            <v>D3.3166</v>
          </cell>
          <cell r="C3808" t="str">
            <v>Lắp tạ bù 1000kg, Chiều cao lắp đặt =&lt; 70m</v>
          </cell>
          <cell r="D3808" t="str">
            <v>bộ</v>
          </cell>
          <cell r="I3808">
            <v>2706058.4013157897</v>
          </cell>
        </row>
        <row r="3809">
          <cell r="C3809" t="str">
            <v>Nhân công</v>
          </cell>
          <cell r="G3809">
            <v>2706058.4013157897</v>
          </cell>
        </row>
        <row r="3810">
          <cell r="B3810" t="str">
            <v>NC1407</v>
          </cell>
          <cell r="C3810" t="str">
            <v>+ Nhân công bậc 4,0/7</v>
          </cell>
          <cell r="D3810" t="str">
            <v>Công</v>
          </cell>
          <cell r="E3810">
            <v>13.9</v>
          </cell>
          <cell r="F3810">
            <v>194680.46052631579</v>
          </cell>
          <cell r="G3810">
            <v>2706058.4013157897</v>
          </cell>
        </row>
        <row r="3811">
          <cell r="A3811" t="str">
            <v>D3.3167</v>
          </cell>
          <cell r="C3811" t="str">
            <v>Lắp tạ bù 1000kg, Chiều cao lắp đặt =&lt; 85m</v>
          </cell>
          <cell r="D3811" t="str">
            <v>bộ</v>
          </cell>
          <cell r="I3811">
            <v>2848175.1375000002</v>
          </cell>
        </row>
        <row r="3812">
          <cell r="C3812" t="str">
            <v>Nhân công</v>
          </cell>
          <cell r="G3812">
            <v>2848175.1375000002</v>
          </cell>
        </row>
        <row r="3813">
          <cell r="B3813" t="str">
            <v>NC1407</v>
          </cell>
          <cell r="C3813" t="str">
            <v>+ Nhân công bậc 4,0/7</v>
          </cell>
          <cell r="D3813" t="str">
            <v>Công</v>
          </cell>
          <cell r="E3813">
            <v>14.63</v>
          </cell>
          <cell r="F3813">
            <v>194680.46052631579</v>
          </cell>
          <cell r="G3813">
            <v>2848175.1375000002</v>
          </cell>
        </row>
        <row r="3814">
          <cell r="A3814" t="str">
            <v>D3.3168</v>
          </cell>
          <cell r="C3814" t="str">
            <v>Lắp tạ bù 1000kg, Chiều cao lắp đặt =&lt; 100m</v>
          </cell>
          <cell r="D3814" t="str">
            <v>bộ</v>
          </cell>
          <cell r="I3814">
            <v>2990291.8736842102</v>
          </cell>
        </row>
        <row r="3815">
          <cell r="C3815" t="str">
            <v>Nhân công</v>
          </cell>
          <cell r="G3815">
            <v>2990291.8736842102</v>
          </cell>
        </row>
        <row r="3816">
          <cell r="B3816" t="str">
            <v>NC1407</v>
          </cell>
          <cell r="C3816" t="str">
            <v>+ Nhân công bậc 4,0/7</v>
          </cell>
          <cell r="D3816" t="str">
            <v>Công</v>
          </cell>
          <cell r="E3816">
            <v>15.36</v>
          </cell>
          <cell r="F3816">
            <v>194680.46052631579</v>
          </cell>
          <cell r="G3816">
            <v>2990291.8736842102</v>
          </cell>
        </row>
        <row r="3817">
          <cell r="A3817" t="str">
            <v>D3.3169</v>
          </cell>
          <cell r="C3817" t="str">
            <v>Lắp tạ bù 1000kg, Chiều cao lắp đặt &gt; 100m</v>
          </cell>
          <cell r="D3817" t="str">
            <v>bộ</v>
          </cell>
          <cell r="I3817">
            <v>3438056.932894737</v>
          </cell>
        </row>
        <row r="3818">
          <cell r="C3818" t="str">
            <v>Nhân công</v>
          </cell>
          <cell r="G3818">
            <v>3438056.932894737</v>
          </cell>
        </row>
        <row r="3819">
          <cell r="B3819" t="str">
            <v>NC1407</v>
          </cell>
          <cell r="C3819" t="str">
            <v>+ Nhân công bậc 4,0/7</v>
          </cell>
          <cell r="D3819" t="str">
            <v>Công</v>
          </cell>
          <cell r="E3819">
            <v>17.66</v>
          </cell>
          <cell r="F3819">
            <v>194680.46052631579</v>
          </cell>
          <cell r="G3819">
            <v>3438056.932894737</v>
          </cell>
        </row>
        <row r="3820">
          <cell r="A3820" t="str">
            <v>D3.3171</v>
          </cell>
          <cell r="C3820" t="str">
            <v>Lắp tạ bù 1200kg, Chiều cao lắp đặt =&lt; 20m</v>
          </cell>
          <cell r="D3820" t="str">
            <v>bộ</v>
          </cell>
          <cell r="I3820">
            <v>1857251.5934210524</v>
          </cell>
        </row>
        <row r="3821">
          <cell r="C3821" t="str">
            <v>Nhân công</v>
          </cell>
          <cell r="G3821">
            <v>1857251.5934210524</v>
          </cell>
        </row>
        <row r="3822">
          <cell r="B3822" t="str">
            <v>NC1407</v>
          </cell>
          <cell r="C3822" t="str">
            <v>+ Nhân công bậc 4,0/7</v>
          </cell>
          <cell r="D3822" t="str">
            <v>Công</v>
          </cell>
          <cell r="E3822">
            <v>9.5399999999999991</v>
          </cell>
          <cell r="F3822">
            <v>194680.46052631579</v>
          </cell>
          <cell r="G3822">
            <v>1857251.5934210524</v>
          </cell>
        </row>
        <row r="3823">
          <cell r="A3823" t="str">
            <v>D3.3172</v>
          </cell>
          <cell r="C3823" t="str">
            <v>Lắp tạ bù 1200kg, Chiều cao lắp đặt =&lt; 30m</v>
          </cell>
          <cell r="D3823" t="str">
            <v>bộ</v>
          </cell>
          <cell r="I3823">
            <v>1948751.409868421</v>
          </cell>
        </row>
        <row r="3824">
          <cell r="C3824" t="str">
            <v>Nhân công</v>
          </cell>
          <cell r="G3824">
            <v>1948751.409868421</v>
          </cell>
        </row>
        <row r="3825">
          <cell r="B3825" t="str">
            <v>NC1407</v>
          </cell>
          <cell r="C3825" t="str">
            <v>+ Nhân công bậc 4,0/7</v>
          </cell>
          <cell r="D3825" t="str">
            <v>Công</v>
          </cell>
          <cell r="E3825">
            <v>10.01</v>
          </cell>
          <cell r="F3825">
            <v>194680.46052631579</v>
          </cell>
          <cell r="G3825">
            <v>1948751.409868421</v>
          </cell>
        </row>
        <row r="3826">
          <cell r="A3826" t="str">
            <v>D3.3173</v>
          </cell>
          <cell r="C3826" t="str">
            <v>Lắp tạ bù 1200kg, Chiều cao lắp đặt =&lt; 40m</v>
          </cell>
          <cell r="D3826" t="str">
            <v>bộ</v>
          </cell>
          <cell r="I3826">
            <v>2260240.1467105262</v>
          </cell>
        </row>
        <row r="3827">
          <cell r="C3827" t="str">
            <v>Nhân công</v>
          </cell>
          <cell r="G3827">
            <v>2260240.1467105262</v>
          </cell>
        </row>
        <row r="3828">
          <cell r="B3828" t="str">
            <v>NC1407</v>
          </cell>
          <cell r="C3828" t="str">
            <v>+ Nhân công bậc 4,0/7</v>
          </cell>
          <cell r="D3828" t="str">
            <v>Công</v>
          </cell>
          <cell r="E3828">
            <v>11.61</v>
          </cell>
          <cell r="F3828">
            <v>194680.46052631579</v>
          </cell>
          <cell r="G3828">
            <v>2260240.1467105262</v>
          </cell>
        </row>
        <row r="3829">
          <cell r="A3829" t="str">
            <v>D3.3174</v>
          </cell>
          <cell r="C3829" t="str">
            <v>Lắp tạ bù 1200kg, Chiều cao lắp đặt =&lt; 50m</v>
          </cell>
          <cell r="D3829" t="str">
            <v>bộ</v>
          </cell>
          <cell r="I3829">
            <v>2538633.2052631578</v>
          </cell>
        </row>
        <row r="3830">
          <cell r="C3830" t="str">
            <v>Nhân công</v>
          </cell>
          <cell r="G3830">
            <v>2538633.2052631578</v>
          </cell>
        </row>
        <row r="3831">
          <cell r="B3831" t="str">
            <v>NC1407</v>
          </cell>
          <cell r="C3831" t="str">
            <v>+ Nhân công bậc 4,0/7</v>
          </cell>
          <cell r="D3831" t="str">
            <v>Công</v>
          </cell>
          <cell r="E3831">
            <v>13.04</v>
          </cell>
          <cell r="F3831">
            <v>194680.46052631579</v>
          </cell>
          <cell r="G3831">
            <v>2538633.2052631578</v>
          </cell>
        </row>
        <row r="3832">
          <cell r="A3832" t="str">
            <v>D3.3175</v>
          </cell>
          <cell r="C3832" t="str">
            <v>Lắp tạ bù 1200kg, Chiều cao lắp đặt =&lt; 60m</v>
          </cell>
          <cell r="D3832" t="str">
            <v>bộ</v>
          </cell>
          <cell r="I3832">
            <v>3093472.5177631578</v>
          </cell>
        </row>
        <row r="3833">
          <cell r="C3833" t="str">
            <v>Nhân công</v>
          </cell>
          <cell r="G3833">
            <v>3093472.5177631578</v>
          </cell>
        </row>
        <row r="3834">
          <cell r="B3834" t="str">
            <v>NC1407</v>
          </cell>
          <cell r="C3834" t="str">
            <v>+ Nhân công bậc 4,0/7</v>
          </cell>
          <cell r="D3834" t="str">
            <v>Công</v>
          </cell>
          <cell r="E3834">
            <v>15.89</v>
          </cell>
          <cell r="F3834">
            <v>194680.46052631579</v>
          </cell>
          <cell r="G3834">
            <v>3093472.5177631578</v>
          </cell>
        </row>
        <row r="3835">
          <cell r="A3835" t="str">
            <v>D3.3176</v>
          </cell>
          <cell r="C3835" t="str">
            <v>Lắp tạ bù 1200kg, Chiều cao lắp đặt =&lt; 70m</v>
          </cell>
          <cell r="D3835" t="str">
            <v>bộ</v>
          </cell>
          <cell r="I3835">
            <v>3251163.6907894737</v>
          </cell>
        </row>
        <row r="3836">
          <cell r="C3836" t="str">
            <v>Nhân công</v>
          </cell>
          <cell r="G3836">
            <v>3251163.6907894737</v>
          </cell>
        </row>
        <row r="3837">
          <cell r="B3837" t="str">
            <v>NC1407</v>
          </cell>
          <cell r="C3837" t="str">
            <v>+ Nhân công bậc 4,0/7</v>
          </cell>
          <cell r="D3837" t="str">
            <v>Công</v>
          </cell>
          <cell r="E3837">
            <v>16.7</v>
          </cell>
          <cell r="F3837">
            <v>194680.46052631579</v>
          </cell>
          <cell r="G3837">
            <v>3251163.6907894737</v>
          </cell>
        </row>
        <row r="3838">
          <cell r="A3838" t="str">
            <v>D3.3177</v>
          </cell>
          <cell r="C3838" t="str">
            <v>Lắp tạ bù 1200kg, Chiều cao lắp đặt =&lt; 85m</v>
          </cell>
          <cell r="D3838" t="str">
            <v>bộ</v>
          </cell>
          <cell r="I3838">
            <v>3817683.8309210525</v>
          </cell>
        </row>
        <row r="3839">
          <cell r="C3839" t="str">
            <v>Nhân công</v>
          </cell>
          <cell r="G3839">
            <v>3817683.8309210525</v>
          </cell>
        </row>
        <row r="3840">
          <cell r="B3840" t="str">
            <v>NC1407</v>
          </cell>
          <cell r="C3840" t="str">
            <v>+ Nhân công bậc 4,0/7</v>
          </cell>
          <cell r="D3840" t="str">
            <v>Công</v>
          </cell>
          <cell r="E3840">
            <v>19.61</v>
          </cell>
          <cell r="F3840">
            <v>194680.46052631579</v>
          </cell>
          <cell r="G3840">
            <v>3817683.8309210525</v>
          </cell>
        </row>
        <row r="3841">
          <cell r="A3841" t="str">
            <v>D3.3178</v>
          </cell>
          <cell r="C3841" t="str">
            <v>Lắp tạ bù 1200kg, Chiều cao lắp đặt =&lt; 100m</v>
          </cell>
          <cell r="D3841" t="str">
            <v>bộ</v>
          </cell>
          <cell r="I3841">
            <v>4008470.6822368419</v>
          </cell>
        </row>
        <row r="3842">
          <cell r="C3842" t="str">
            <v>Nhân công</v>
          </cell>
          <cell r="G3842">
            <v>4008470.6822368419</v>
          </cell>
        </row>
        <row r="3843">
          <cell r="B3843" t="str">
            <v>NC1407</v>
          </cell>
          <cell r="C3843" t="str">
            <v>+ Nhân công bậc 4,0/7</v>
          </cell>
          <cell r="D3843" t="str">
            <v>Công</v>
          </cell>
          <cell r="E3843">
            <v>20.59</v>
          </cell>
          <cell r="F3843">
            <v>194680.46052631579</v>
          </cell>
          <cell r="G3843">
            <v>4008470.6822368419</v>
          </cell>
        </row>
        <row r="3844">
          <cell r="A3844" t="str">
            <v>D3.3179</v>
          </cell>
          <cell r="C3844" t="str">
            <v>Lắp tạ bù 1200kg, Chiều cao lắp đặt &gt; 100m</v>
          </cell>
          <cell r="D3844" t="str">
            <v>bộ</v>
          </cell>
          <cell r="I3844">
            <v>4610033.3052631579</v>
          </cell>
        </row>
        <row r="3845">
          <cell r="C3845" t="str">
            <v>Nhân công</v>
          </cell>
          <cell r="G3845">
            <v>4610033.3052631579</v>
          </cell>
        </row>
        <row r="3846">
          <cell r="B3846" t="str">
            <v>NC1407</v>
          </cell>
          <cell r="C3846" t="str">
            <v>+ Nhân công bậc 4,0/7</v>
          </cell>
          <cell r="D3846" t="str">
            <v>Công</v>
          </cell>
          <cell r="E3846">
            <v>23.68</v>
          </cell>
          <cell r="F3846">
            <v>194680.46052631579</v>
          </cell>
          <cell r="G3846">
            <v>4610033.3052631579</v>
          </cell>
        </row>
        <row r="3847">
          <cell r="A3847" t="str">
            <v>D3.3184</v>
          </cell>
          <cell r="C3847" t="str">
            <v>Lắp đèn tín hiệu trên cột, Chiều cao lắp đặt =&lt; 50m</v>
          </cell>
          <cell r="D3847" t="str">
            <v>bộ</v>
          </cell>
          <cell r="I3847">
            <v>486701.15131578944</v>
          </cell>
        </row>
        <row r="3848">
          <cell r="C3848" t="str">
            <v>Nhân công</v>
          </cell>
          <cell r="G3848">
            <v>486701.15131578944</v>
          </cell>
        </row>
        <row r="3849">
          <cell r="B3849" t="str">
            <v>NC1407</v>
          </cell>
          <cell r="C3849" t="str">
            <v>+ Nhân công bậc 4,0/7</v>
          </cell>
          <cell r="D3849" t="str">
            <v>Công</v>
          </cell>
          <cell r="E3849">
            <v>2.5</v>
          </cell>
          <cell r="F3849">
            <v>194680.46052631579</v>
          </cell>
          <cell r="G3849">
            <v>486701.15131578944</v>
          </cell>
        </row>
        <row r="3850">
          <cell r="A3850" t="str">
            <v>D3.3185</v>
          </cell>
          <cell r="C3850" t="str">
            <v>Lắp đèn tín hiệu trên cột, Chiều cao lắp đặt =&lt; 60m</v>
          </cell>
          <cell r="D3850" t="str">
            <v>bộ</v>
          </cell>
          <cell r="I3850">
            <v>535371.26644736843</v>
          </cell>
        </row>
        <row r="3851">
          <cell r="C3851" t="str">
            <v>Nhân công</v>
          </cell>
          <cell r="G3851">
            <v>535371.26644736843</v>
          </cell>
        </row>
        <row r="3852">
          <cell r="B3852" t="str">
            <v>NC1407</v>
          </cell>
          <cell r="C3852" t="str">
            <v>+ Nhân công bậc 4,0/7</v>
          </cell>
          <cell r="D3852" t="str">
            <v>Công</v>
          </cell>
          <cell r="E3852">
            <v>2.75</v>
          </cell>
          <cell r="F3852">
            <v>194680.46052631579</v>
          </cell>
          <cell r="G3852">
            <v>535371.26644736843</v>
          </cell>
        </row>
        <row r="3853">
          <cell r="A3853" t="str">
            <v>D3.3186</v>
          </cell>
          <cell r="C3853" t="str">
            <v>Lắp đèn tín hiệu trên cột, Chiều cao lắp đặt =&lt; 70m</v>
          </cell>
          <cell r="D3853" t="str">
            <v>bộ</v>
          </cell>
          <cell r="I3853">
            <v>737838.94539473683</v>
          </cell>
        </row>
        <row r="3854">
          <cell r="C3854" t="str">
            <v>Nhân công</v>
          </cell>
          <cell r="G3854">
            <v>737838.94539473683</v>
          </cell>
        </row>
        <row r="3855">
          <cell r="B3855" t="str">
            <v>NC1407</v>
          </cell>
          <cell r="C3855" t="str">
            <v>+ Nhân công bậc 4,0/7</v>
          </cell>
          <cell r="D3855" t="str">
            <v>Công</v>
          </cell>
          <cell r="E3855">
            <v>3.79</v>
          </cell>
          <cell r="F3855">
            <v>194680.46052631579</v>
          </cell>
          <cell r="G3855">
            <v>737838.94539473683</v>
          </cell>
        </row>
        <row r="3856">
          <cell r="A3856" t="str">
            <v>D3.3187</v>
          </cell>
          <cell r="C3856" t="str">
            <v>Lắp đèn tín hiệu trên cột, Chiều cao lắp đặt =&lt; 85m</v>
          </cell>
          <cell r="D3856" t="str">
            <v>bộ</v>
          </cell>
          <cell r="I3856">
            <v>1018178.8085526316</v>
          </cell>
        </row>
        <row r="3857">
          <cell r="C3857" t="str">
            <v>Nhân công</v>
          </cell>
          <cell r="G3857">
            <v>1018178.8085526316</v>
          </cell>
        </row>
        <row r="3858">
          <cell r="B3858" t="str">
            <v>NC1407</v>
          </cell>
          <cell r="C3858" t="str">
            <v>+ Nhân công bậc 4,0/7</v>
          </cell>
          <cell r="D3858" t="str">
            <v>Công</v>
          </cell>
          <cell r="E3858">
            <v>5.23</v>
          </cell>
          <cell r="F3858">
            <v>194680.46052631579</v>
          </cell>
          <cell r="G3858">
            <v>1018178.8085526316</v>
          </cell>
        </row>
        <row r="3859">
          <cell r="A3859" t="str">
            <v>D3.3188</v>
          </cell>
          <cell r="C3859" t="str">
            <v>Lắp đèn tín hiệu trên cột, Chiều cao lắp đặt =&lt; 100m</v>
          </cell>
          <cell r="D3859" t="str">
            <v>bộ</v>
          </cell>
          <cell r="I3859">
            <v>1068795.7282894738</v>
          </cell>
        </row>
        <row r="3860">
          <cell r="C3860" t="str">
            <v>Nhân công</v>
          </cell>
          <cell r="G3860">
            <v>1068795.7282894738</v>
          </cell>
        </row>
        <row r="3861">
          <cell r="B3861" t="str">
            <v>NC1407</v>
          </cell>
          <cell r="C3861" t="str">
            <v>+ Nhân công bậc 4,0/7</v>
          </cell>
          <cell r="D3861" t="str">
            <v>Công</v>
          </cell>
          <cell r="E3861">
            <v>5.49</v>
          </cell>
          <cell r="F3861">
            <v>194680.46052631579</v>
          </cell>
          <cell r="G3861">
            <v>1068795.7282894738</v>
          </cell>
        </row>
        <row r="3862">
          <cell r="A3862" t="str">
            <v>D3.3189</v>
          </cell>
          <cell r="C3862" t="str">
            <v>Lắp đèn tín hiệu trên cột, Chiều cao lắp đặt &gt; 100m</v>
          </cell>
          <cell r="D3862" t="str">
            <v>bộ</v>
          </cell>
          <cell r="I3862">
            <v>1175869.9815789473</v>
          </cell>
        </row>
        <row r="3863">
          <cell r="C3863" t="str">
            <v>Nhân công</v>
          </cell>
          <cell r="G3863">
            <v>1175869.9815789473</v>
          </cell>
        </row>
        <row r="3864">
          <cell r="B3864" t="str">
            <v>NC1407</v>
          </cell>
          <cell r="C3864" t="str">
            <v>+ Nhân công bậc 4,0/7</v>
          </cell>
          <cell r="D3864" t="str">
            <v>Công</v>
          </cell>
          <cell r="E3864">
            <v>6.04</v>
          </cell>
          <cell r="F3864">
            <v>194680.46052631579</v>
          </cell>
          <cell r="G3864">
            <v>1175869.9815789473</v>
          </cell>
        </row>
        <row r="3865">
          <cell r="A3865" t="str">
            <v>D3.3191</v>
          </cell>
          <cell r="C3865" t="str">
            <v>Lắp vòng gai bảo vệ, Chiều cao lắp đặt =&lt; 20m</v>
          </cell>
          <cell r="D3865" t="str">
            <v>bộ</v>
          </cell>
          <cell r="I3865">
            <v>85659.402631578952</v>
          </cell>
        </row>
        <row r="3866">
          <cell r="C3866" t="str">
            <v>Nhân công</v>
          </cell>
          <cell r="G3866">
            <v>85659.402631578952</v>
          </cell>
        </row>
        <row r="3867">
          <cell r="B3867" t="str">
            <v>NC1407</v>
          </cell>
          <cell r="C3867" t="str">
            <v>+ Nhân công bậc 4,0/7</v>
          </cell>
          <cell r="D3867" t="str">
            <v>Công</v>
          </cell>
          <cell r="E3867">
            <v>0.44</v>
          </cell>
          <cell r="F3867">
            <v>194680.46052631579</v>
          </cell>
          <cell r="G3867">
            <v>85659.402631578952</v>
          </cell>
        </row>
        <row r="3868">
          <cell r="A3868" t="str">
            <v>D3.3201</v>
          </cell>
          <cell r="C3868" t="str">
            <v>Lắp đặt biển cấm,Chiều cao lắp đặt =&lt; 20m</v>
          </cell>
          <cell r="D3868" t="str">
            <v>bộ</v>
          </cell>
          <cell r="I3868">
            <v>38936.09210526316</v>
          </cell>
        </row>
        <row r="3869">
          <cell r="C3869" t="str">
            <v>Nhân công</v>
          </cell>
          <cell r="G3869">
            <v>38936.09210526316</v>
          </cell>
        </row>
        <row r="3870">
          <cell r="B3870" t="str">
            <v>NC1407</v>
          </cell>
          <cell r="C3870" t="str">
            <v>+ Nhân công bậc 4,0/7</v>
          </cell>
          <cell r="D3870" t="str">
            <v>Công</v>
          </cell>
          <cell r="E3870">
            <v>0.2</v>
          </cell>
          <cell r="F3870">
            <v>194680.46052631579</v>
          </cell>
          <cell r="G3870">
            <v>38936.09210526316</v>
          </cell>
        </row>
        <row r="3871">
          <cell r="A3871" t="str">
            <v>D3.3211</v>
          </cell>
          <cell r="C3871" t="str">
            <v>Lắp mỏ phóng, Chiều cao lắp đặt =&lt; 20m</v>
          </cell>
          <cell r="D3871" t="str">
            <v>bộ</v>
          </cell>
          <cell r="I3871">
            <v>97340.230263157893</v>
          </cell>
        </row>
        <row r="3872">
          <cell r="C3872" t="str">
            <v>Nhân công</v>
          </cell>
          <cell r="G3872">
            <v>97340.230263157893</v>
          </cell>
        </row>
        <row r="3873">
          <cell r="B3873" t="str">
            <v>NC1407</v>
          </cell>
          <cell r="C3873" t="str">
            <v>+ Nhân công bậc 4,0/7</v>
          </cell>
          <cell r="D3873" t="str">
            <v>Công</v>
          </cell>
          <cell r="E3873">
            <v>0.5</v>
          </cell>
          <cell r="F3873">
            <v>194680.46052631579</v>
          </cell>
          <cell r="G3873">
            <v>97340.230263157893</v>
          </cell>
        </row>
        <row r="3874">
          <cell r="A3874" t="str">
            <v>D3.3212</v>
          </cell>
          <cell r="C3874" t="str">
            <v>Lắp mỏ phóng, Chiều cao lắp đặt =&lt; 30m</v>
          </cell>
          <cell r="D3874" t="str">
            <v>bộ</v>
          </cell>
          <cell r="I3874">
            <v>107074.25328947369</v>
          </cell>
        </row>
        <row r="3875">
          <cell r="C3875" t="str">
            <v>Nhân công</v>
          </cell>
          <cell r="G3875">
            <v>107074.25328947369</v>
          </cell>
        </row>
        <row r="3876">
          <cell r="B3876" t="str">
            <v>NC1407</v>
          </cell>
          <cell r="C3876" t="str">
            <v>+ Nhân công bậc 4,0/7</v>
          </cell>
          <cell r="D3876" t="str">
            <v>Công</v>
          </cell>
          <cell r="E3876">
            <v>0.55000000000000004</v>
          </cell>
          <cell r="F3876">
            <v>194680.46052631579</v>
          </cell>
          <cell r="G3876">
            <v>107074.25328947369</v>
          </cell>
        </row>
        <row r="3877">
          <cell r="A3877" t="str">
            <v>D3.3213</v>
          </cell>
          <cell r="C3877" t="str">
            <v>Lắp mỏ phóng, Chiều cao lắp đặt =&lt; 40m</v>
          </cell>
          <cell r="D3877" t="str">
            <v>bộ</v>
          </cell>
          <cell r="I3877">
            <v>118755.08092105262</v>
          </cell>
        </row>
        <row r="3878">
          <cell r="C3878" t="str">
            <v>Nhân công</v>
          </cell>
          <cell r="G3878">
            <v>118755.08092105262</v>
          </cell>
        </row>
        <row r="3879">
          <cell r="B3879" t="str">
            <v>NC1407</v>
          </cell>
          <cell r="C3879" t="str">
            <v>+ Nhân công bậc 4,0/7</v>
          </cell>
          <cell r="D3879" t="str">
            <v>Công</v>
          </cell>
          <cell r="E3879">
            <v>0.61</v>
          </cell>
          <cell r="F3879">
            <v>194680.46052631579</v>
          </cell>
          <cell r="G3879">
            <v>118755.08092105262</v>
          </cell>
        </row>
        <row r="3880">
          <cell r="A3880" t="str">
            <v>D3.3214</v>
          </cell>
          <cell r="C3880" t="str">
            <v>Lắp mỏ phóng, Chiều cao lắp đặt =&lt; 50m</v>
          </cell>
          <cell r="D3880" t="str">
            <v>bộ</v>
          </cell>
          <cell r="I3880">
            <v>130435.90855263159</v>
          </cell>
        </row>
        <row r="3881">
          <cell r="C3881" t="str">
            <v>Nhân công</v>
          </cell>
          <cell r="G3881">
            <v>130435.90855263159</v>
          </cell>
        </row>
        <row r="3882">
          <cell r="B3882" t="str">
            <v>NC1407</v>
          </cell>
          <cell r="C3882" t="str">
            <v>+ Nhân công bậc 4,0/7</v>
          </cell>
          <cell r="D3882" t="str">
            <v>Công</v>
          </cell>
          <cell r="E3882">
            <v>0.67</v>
          </cell>
          <cell r="F3882">
            <v>194680.46052631579</v>
          </cell>
          <cell r="G3882">
            <v>130435.90855263159</v>
          </cell>
        </row>
        <row r="3883">
          <cell r="A3883" t="str">
            <v>D3.3215</v>
          </cell>
          <cell r="C3883" t="str">
            <v>Lắp mỏ phóng, Chiều cao lắp đặt =&lt;60m</v>
          </cell>
          <cell r="D3883" t="str">
            <v>bộ</v>
          </cell>
          <cell r="I3883">
            <v>142116.73618421052</v>
          </cell>
        </row>
        <row r="3884">
          <cell r="C3884" t="str">
            <v>Nhân công</v>
          </cell>
          <cell r="G3884">
            <v>142116.73618421052</v>
          </cell>
        </row>
        <row r="3885">
          <cell r="B3885" t="str">
            <v>NC1407</v>
          </cell>
          <cell r="C3885" t="str">
            <v>+ Nhân công bậc 4,0/7</v>
          </cell>
          <cell r="D3885" t="str">
            <v>Công</v>
          </cell>
          <cell r="E3885">
            <v>0.73</v>
          </cell>
          <cell r="F3885">
            <v>194680.46052631579</v>
          </cell>
          <cell r="G3885">
            <v>142116.73618421052</v>
          </cell>
        </row>
        <row r="3886">
          <cell r="A3886" t="str">
            <v>D3.3216</v>
          </cell>
          <cell r="C3886" t="str">
            <v>Lắp mỏ phóng, Chiều cao lắp đặt =&lt; 70m</v>
          </cell>
          <cell r="D3886" t="str">
            <v>bộ</v>
          </cell>
          <cell r="I3886">
            <v>157691.17302631581</v>
          </cell>
        </row>
        <row r="3887">
          <cell r="C3887" t="str">
            <v>Nhân công</v>
          </cell>
          <cell r="G3887">
            <v>157691.17302631581</v>
          </cell>
        </row>
        <row r="3888">
          <cell r="B3888" t="str">
            <v>NC1407</v>
          </cell>
          <cell r="C3888" t="str">
            <v>+ Nhân công bậc 4,0/7</v>
          </cell>
          <cell r="D3888" t="str">
            <v>Công</v>
          </cell>
          <cell r="E3888">
            <v>0.81</v>
          </cell>
          <cell r="F3888">
            <v>194680.46052631579</v>
          </cell>
          <cell r="G3888">
            <v>157691.17302631581</v>
          </cell>
        </row>
        <row r="3889">
          <cell r="A3889" t="str">
            <v>D3.3217</v>
          </cell>
          <cell r="C3889" t="str">
            <v>Lắp mỏ phóng, Chiều cao lắp đặt =&lt; 85m</v>
          </cell>
          <cell r="D3889" t="str">
            <v>bộ</v>
          </cell>
          <cell r="I3889">
            <v>173265.60986842104</v>
          </cell>
        </row>
        <row r="3890">
          <cell r="C3890" t="str">
            <v>Nhân công</v>
          </cell>
          <cell r="G3890">
            <v>173265.60986842104</v>
          </cell>
        </row>
        <row r="3891">
          <cell r="B3891" t="str">
            <v>NC1407</v>
          </cell>
          <cell r="C3891" t="str">
            <v>+ Nhân công bậc 4,0/7</v>
          </cell>
          <cell r="D3891" t="str">
            <v>Công</v>
          </cell>
          <cell r="E3891">
            <v>0.89</v>
          </cell>
          <cell r="F3891">
            <v>194680.46052631579</v>
          </cell>
          <cell r="G3891">
            <v>173265.60986842104</v>
          </cell>
        </row>
        <row r="3892">
          <cell r="A3892" t="str">
            <v>D3.3218</v>
          </cell>
          <cell r="C3892" t="str">
            <v>Lắp mỏ phóng, Chiều cao lắp đặt =&lt; 100m</v>
          </cell>
          <cell r="D3892" t="str">
            <v>bộ</v>
          </cell>
          <cell r="I3892">
            <v>188840.04671052631</v>
          </cell>
        </row>
        <row r="3893">
          <cell r="C3893" t="str">
            <v>Nhân công</v>
          </cell>
          <cell r="G3893">
            <v>188840.04671052631</v>
          </cell>
        </row>
        <row r="3894">
          <cell r="B3894" t="str">
            <v>NC1407</v>
          </cell>
          <cell r="C3894" t="str">
            <v>+ Nhân công bậc 4,0/7</v>
          </cell>
          <cell r="D3894" t="str">
            <v>Công</v>
          </cell>
          <cell r="E3894">
            <v>0.97</v>
          </cell>
          <cell r="F3894">
            <v>194680.46052631579</v>
          </cell>
          <cell r="G3894">
            <v>188840.04671052631</v>
          </cell>
        </row>
        <row r="3895">
          <cell r="A3895" t="str">
            <v>D3.3219</v>
          </cell>
          <cell r="C3895" t="str">
            <v>Lắp mỏ phóng, Chiều cao lắp đặt &gt; 100m</v>
          </cell>
          <cell r="D3895" t="str">
            <v>bộ</v>
          </cell>
          <cell r="I3895">
            <v>208308.09276315791</v>
          </cell>
        </row>
        <row r="3896">
          <cell r="C3896" t="str">
            <v>Nhân công</v>
          </cell>
          <cell r="G3896">
            <v>208308.09276315791</v>
          </cell>
        </row>
        <row r="3897">
          <cell r="B3897" t="str">
            <v>NC1407</v>
          </cell>
          <cell r="C3897" t="str">
            <v>+ Nhân công bậc 4,0/7</v>
          </cell>
          <cell r="D3897" t="str">
            <v>Công</v>
          </cell>
          <cell r="E3897">
            <v>1.07</v>
          </cell>
          <cell r="F3897">
            <v>194680.46052631579</v>
          </cell>
          <cell r="G3897">
            <v>208308.09276315791</v>
          </cell>
        </row>
        <row r="3898">
          <cell r="A3898" t="str">
            <v>D3.3221</v>
          </cell>
          <cell r="C3898" t="str">
            <v>Lắp chống sét van, Chiều cao lắp đặt =&lt; 20m</v>
          </cell>
          <cell r="D3898" t="str">
            <v>bộ</v>
          </cell>
          <cell r="I3898">
            <v>486701.15131578944</v>
          </cell>
        </row>
        <row r="3899">
          <cell r="C3899" t="str">
            <v>Nhân công</v>
          </cell>
          <cell r="G3899">
            <v>486701.15131578944</v>
          </cell>
        </row>
        <row r="3900">
          <cell r="B3900" t="str">
            <v>NC1407</v>
          </cell>
          <cell r="C3900" t="str">
            <v>+ Nhân công bậc 4,0/7</v>
          </cell>
          <cell r="D3900" t="str">
            <v>Công</v>
          </cell>
          <cell r="E3900">
            <v>2.5</v>
          </cell>
          <cell r="F3900">
            <v>194680.46052631579</v>
          </cell>
          <cell r="G3900">
            <v>486701.15131578944</v>
          </cell>
        </row>
        <row r="3901">
          <cell r="A3901" t="str">
            <v>D3.3231</v>
          </cell>
          <cell r="C3901" t="str">
            <v>Lắp thu lôi ống, Chiều cao lắp đặt =&lt; 20m</v>
          </cell>
          <cell r="D3901" t="str">
            <v>bộ</v>
          </cell>
          <cell r="I3901">
            <v>97340.230263157893</v>
          </cell>
        </row>
        <row r="3902">
          <cell r="C3902" t="str">
            <v>Nhân công</v>
          </cell>
          <cell r="G3902">
            <v>97340.230263157893</v>
          </cell>
        </row>
        <row r="3903">
          <cell r="B3903" t="str">
            <v>NC1407</v>
          </cell>
          <cell r="C3903" t="str">
            <v>+ Nhân công bậc 4,0/7</v>
          </cell>
          <cell r="D3903" t="str">
            <v>Công</v>
          </cell>
          <cell r="E3903">
            <v>0.5</v>
          </cell>
          <cell r="F3903">
            <v>194680.46052631579</v>
          </cell>
          <cell r="G3903">
            <v>97340.230263157893</v>
          </cell>
        </row>
        <row r="3904">
          <cell r="A3904" t="str">
            <v>D3.3241</v>
          </cell>
          <cell r="C3904" t="str">
            <v>Lắp cổ dề, Chiều cao lắp đặt =&lt; 20m</v>
          </cell>
          <cell r="D3904" t="str">
            <v>bộ</v>
          </cell>
          <cell r="I3904">
            <v>68138.161184210519</v>
          </cell>
        </row>
        <row r="3905">
          <cell r="C3905" t="str">
            <v>Nhân công</v>
          </cell>
          <cell r="G3905">
            <v>68138.161184210519</v>
          </cell>
        </row>
        <row r="3906">
          <cell r="B3906" t="str">
            <v>NC1407</v>
          </cell>
          <cell r="C3906" t="str">
            <v>+ Nhân công bậc 4,0/7</v>
          </cell>
          <cell r="D3906" t="str">
            <v>Công</v>
          </cell>
          <cell r="E3906">
            <v>0.35</v>
          </cell>
          <cell r="F3906">
            <v>194680.46052631579</v>
          </cell>
          <cell r="G3906">
            <v>68138.161184210519</v>
          </cell>
        </row>
        <row r="3907">
          <cell r="A3907" t="str">
            <v>D3.3251</v>
          </cell>
          <cell r="C3907" t="str">
            <v>Lắp dây néo cột, Chiều cao lắp đặt =&lt; 20m</v>
          </cell>
          <cell r="D3907" t="str">
            <v>bộ</v>
          </cell>
          <cell r="I3907">
            <v>87606.207236842107</v>
          </cell>
        </row>
        <row r="3908">
          <cell r="C3908" t="str">
            <v>Nhân công</v>
          </cell>
          <cell r="G3908">
            <v>87606.207236842107</v>
          </cell>
        </row>
        <row r="3909">
          <cell r="B3909" t="str">
            <v>NC1407</v>
          </cell>
          <cell r="C3909" t="str">
            <v>+ Nhân công bậc 4,0/7</v>
          </cell>
          <cell r="D3909" t="str">
            <v>Công</v>
          </cell>
          <cell r="E3909">
            <v>0.45</v>
          </cell>
          <cell r="F3909">
            <v>194680.46052631579</v>
          </cell>
          <cell r="G3909">
            <v>87606.207236842107</v>
          </cell>
        </row>
        <row r="3910">
          <cell r="A3910" t="str">
            <v>D3.3261</v>
          </cell>
          <cell r="C3910" t="str">
            <v>Lắp khoá đỡ dây dẫn, dây chống sét, Tiết diện dây =&lt; 70mm2, Chiều cao lắp đặt =&lt; 20m</v>
          </cell>
          <cell r="D3910" t="str">
            <v>bộ</v>
          </cell>
          <cell r="I3910">
            <v>21414.850657894738</v>
          </cell>
        </row>
        <row r="3911">
          <cell r="C3911" t="str">
            <v>Nhân công</v>
          </cell>
          <cell r="G3911">
            <v>21414.850657894738</v>
          </cell>
        </row>
        <row r="3912">
          <cell r="B3912" t="str">
            <v>NC1407</v>
          </cell>
          <cell r="C3912" t="str">
            <v>+ Nhân công bậc 4,0/7</v>
          </cell>
          <cell r="D3912" t="str">
            <v>Công</v>
          </cell>
          <cell r="E3912">
            <v>0.11</v>
          </cell>
          <cell r="F3912">
            <v>194680.46052631579</v>
          </cell>
          <cell r="G3912">
            <v>21414.850657894738</v>
          </cell>
        </row>
        <row r="3913">
          <cell r="A3913" t="str">
            <v>D3.3262</v>
          </cell>
          <cell r="C3913" t="str">
            <v>Lắp khoá đỡ dây dẫn, dây chống sét, Tiết diện dây =&lt; 70mm2, Chiều cao lắp đặt =&lt; 30m</v>
          </cell>
          <cell r="D3913" t="str">
            <v>bộ</v>
          </cell>
          <cell r="I3913">
            <v>23361.655263157892</v>
          </cell>
        </row>
        <row r="3914">
          <cell r="C3914" t="str">
            <v>Nhân công</v>
          </cell>
          <cell r="G3914">
            <v>23361.655263157892</v>
          </cell>
        </row>
        <row r="3915">
          <cell r="B3915" t="str">
            <v>NC1407</v>
          </cell>
          <cell r="C3915" t="str">
            <v>+ Nhân công bậc 4,0/7</v>
          </cell>
          <cell r="D3915" t="str">
            <v>Công</v>
          </cell>
          <cell r="E3915">
            <v>0.12</v>
          </cell>
          <cell r="F3915">
            <v>194680.46052631579</v>
          </cell>
          <cell r="G3915">
            <v>23361.655263157892</v>
          </cell>
        </row>
        <row r="3916">
          <cell r="A3916" t="str">
            <v>D3.3263</v>
          </cell>
          <cell r="C3916" t="str">
            <v>Lắp khoá đỡ dây dẫn, dây chống sét, Tiết diện dây =&lt; 70mm2, Chiều cao lắp đặt =&lt; 40m</v>
          </cell>
          <cell r="D3916" t="str">
            <v>bộ</v>
          </cell>
          <cell r="I3916">
            <v>27255.264473684212</v>
          </cell>
        </row>
        <row r="3917">
          <cell r="C3917" t="str">
            <v>Nhân công</v>
          </cell>
          <cell r="G3917">
            <v>27255.264473684212</v>
          </cell>
        </row>
        <row r="3918">
          <cell r="B3918" t="str">
            <v>NC1407</v>
          </cell>
          <cell r="C3918" t="str">
            <v>+ Nhân công bậc 4,0/7</v>
          </cell>
          <cell r="D3918" t="str">
            <v>Công</v>
          </cell>
          <cell r="E3918">
            <v>0.14000000000000001</v>
          </cell>
          <cell r="F3918">
            <v>194680.46052631579</v>
          </cell>
          <cell r="G3918">
            <v>27255.264473684212</v>
          </cell>
        </row>
        <row r="3919">
          <cell r="A3919" t="str">
            <v>D3.3264</v>
          </cell>
          <cell r="C3919" t="str">
            <v>Lắp khoá đỡ dây dẫn, dây chống sét, Tiết diện dây =&lt; 70mm2, Chiều cao lắp đặt =&lt; 50m</v>
          </cell>
          <cell r="D3919" t="str">
            <v>bộ</v>
          </cell>
          <cell r="I3919">
            <v>29202.069078947367</v>
          </cell>
        </row>
        <row r="3920">
          <cell r="C3920" t="str">
            <v>Nhân công</v>
          </cell>
          <cell r="G3920">
            <v>29202.069078947367</v>
          </cell>
        </row>
        <row r="3921">
          <cell r="B3921" t="str">
            <v>NC1407</v>
          </cell>
          <cell r="C3921" t="str">
            <v>+ Nhân công bậc 4,0/7</v>
          </cell>
          <cell r="D3921" t="str">
            <v>Công</v>
          </cell>
          <cell r="E3921">
            <v>0.15</v>
          </cell>
          <cell r="F3921">
            <v>194680.46052631579</v>
          </cell>
          <cell r="G3921">
            <v>29202.069078947367</v>
          </cell>
        </row>
        <row r="3922">
          <cell r="A3922" t="str">
            <v>D3.3265</v>
          </cell>
          <cell r="C3922" t="str">
            <v>Lắp khoá đỡ dây dẫn, dây chống sét, Tiết diện dây =&lt; 70mm2, Chiều cao lắp đặt =&lt; 60m</v>
          </cell>
          <cell r="D3922" t="str">
            <v>bộ</v>
          </cell>
          <cell r="I3922">
            <v>33095.678289473683</v>
          </cell>
        </row>
        <row r="3923">
          <cell r="C3923" t="str">
            <v>Nhân công</v>
          </cell>
          <cell r="G3923">
            <v>33095.678289473683</v>
          </cell>
        </row>
        <row r="3924">
          <cell r="B3924" t="str">
            <v>NC1407</v>
          </cell>
          <cell r="C3924" t="str">
            <v>+ Nhân công bậc 4,0/7</v>
          </cell>
          <cell r="D3924" t="str">
            <v>Công</v>
          </cell>
          <cell r="E3924">
            <v>0.17</v>
          </cell>
          <cell r="F3924">
            <v>194680.46052631579</v>
          </cell>
          <cell r="G3924">
            <v>33095.678289473683</v>
          </cell>
        </row>
        <row r="3925">
          <cell r="A3925" t="str">
            <v>D3.3266</v>
          </cell>
          <cell r="C3925" t="str">
            <v>Lắp khoá đỡ dây dẫn, dây chống sét, Tiết diện dây =&lt; 70mm2, Chiều cao lắp đặt =&lt; 70m</v>
          </cell>
          <cell r="D3925" t="str">
            <v>bộ</v>
          </cell>
          <cell r="I3925">
            <v>36989.287499999999</v>
          </cell>
        </row>
        <row r="3926">
          <cell r="C3926" t="str">
            <v>Nhân công</v>
          </cell>
          <cell r="G3926">
            <v>36989.287499999999</v>
          </cell>
        </row>
        <row r="3927">
          <cell r="B3927" t="str">
            <v>NC1407</v>
          </cell>
          <cell r="C3927" t="str">
            <v>+ Nhân công bậc 4,0/7</v>
          </cell>
          <cell r="D3927" t="str">
            <v>Công</v>
          </cell>
          <cell r="E3927">
            <v>0.19</v>
          </cell>
          <cell r="F3927">
            <v>194680.46052631579</v>
          </cell>
          <cell r="G3927">
            <v>36989.287499999999</v>
          </cell>
        </row>
        <row r="3928">
          <cell r="A3928" t="str">
            <v>D3.3267</v>
          </cell>
          <cell r="C3928" t="str">
            <v>Lắp khoá đỡ dây dẫn, dây chống sét, Tiết diện dây =&lt; 70mm2, Chiều cao lắp đặt =&lt; 85m</v>
          </cell>
          <cell r="D3928" t="str">
            <v>bộ</v>
          </cell>
          <cell r="I3928">
            <v>40882.896710526315</v>
          </cell>
        </row>
        <row r="3929">
          <cell r="C3929" t="str">
            <v>Nhân công</v>
          </cell>
          <cell r="G3929">
            <v>40882.896710526315</v>
          </cell>
        </row>
        <row r="3930">
          <cell r="B3930" t="str">
            <v>NC1407</v>
          </cell>
          <cell r="C3930" t="str">
            <v>+ Nhân công bậc 4,0/7</v>
          </cell>
          <cell r="D3930" t="str">
            <v>Công</v>
          </cell>
          <cell r="E3930">
            <v>0.21</v>
          </cell>
          <cell r="F3930">
            <v>194680.46052631579</v>
          </cell>
          <cell r="G3930">
            <v>40882.896710526315</v>
          </cell>
        </row>
        <row r="3931">
          <cell r="A3931" t="str">
            <v>D3.32618</v>
          </cell>
          <cell r="C3931" t="str">
            <v>Lắp khoá đỡ dây dẫn, dây chống sét, Tiết diện dây =&lt; 70mm2, Chiều cao lắp đặt =&lt; 100m</v>
          </cell>
          <cell r="D3931" t="str">
            <v>bộ</v>
          </cell>
          <cell r="I3931">
            <v>44776.505921052631</v>
          </cell>
        </row>
        <row r="3932">
          <cell r="C3932" t="str">
            <v>Nhân công</v>
          </cell>
          <cell r="G3932">
            <v>44776.505921052631</v>
          </cell>
        </row>
        <row r="3933">
          <cell r="B3933" t="str">
            <v>NC1407</v>
          </cell>
          <cell r="C3933" t="str">
            <v>+ Nhân công bậc 4,0/7</v>
          </cell>
          <cell r="D3933" t="str">
            <v>Công</v>
          </cell>
          <cell r="E3933">
            <v>0.23</v>
          </cell>
          <cell r="F3933">
            <v>194680.46052631579</v>
          </cell>
          <cell r="G3933">
            <v>44776.505921052631</v>
          </cell>
        </row>
        <row r="3934">
          <cell r="A3934" t="str">
            <v>D3.3269</v>
          </cell>
          <cell r="C3934" t="str">
            <v>Lắp khoá đỡ dây dẫn, dây chống sét, Tiết diện dây =&lt; 70mm2, Chiều cao lắp đặt &gt; 100m</v>
          </cell>
          <cell r="D3934" t="str">
            <v>bộ</v>
          </cell>
          <cell r="I3934">
            <v>48670.115131578947</v>
          </cell>
        </row>
        <row r="3935">
          <cell r="C3935" t="str">
            <v>Nhân công</v>
          </cell>
          <cell r="G3935">
            <v>48670.115131578947</v>
          </cell>
        </row>
        <row r="3936">
          <cell r="B3936" t="str">
            <v>NC1407</v>
          </cell>
          <cell r="C3936" t="str">
            <v>+ Nhân công bậc 4,0/7</v>
          </cell>
          <cell r="D3936" t="str">
            <v>Công</v>
          </cell>
          <cell r="E3936">
            <v>0.25</v>
          </cell>
          <cell r="F3936">
            <v>194680.46052631579</v>
          </cell>
          <cell r="G3936">
            <v>48670.115131578947</v>
          </cell>
        </row>
        <row r="3937">
          <cell r="A3937" t="str">
            <v>D3.3271</v>
          </cell>
          <cell r="C3937" t="str">
            <v>Lắp khoá đỡ dây dẫn, dây chống sét, Tiết diện dây =&lt; 240mm2, Chiều cao lắp đặt =&lt; 20m</v>
          </cell>
          <cell r="D3937" t="str">
            <v>bộ</v>
          </cell>
          <cell r="I3937">
            <v>33095.678289473683</v>
          </cell>
        </row>
        <row r="3938">
          <cell r="C3938" t="str">
            <v>Nhân công</v>
          </cell>
          <cell r="G3938">
            <v>33095.678289473683</v>
          </cell>
        </row>
        <row r="3939">
          <cell r="B3939" t="str">
            <v>NC1407</v>
          </cell>
          <cell r="C3939" t="str">
            <v>+ Nhân công bậc 4,0/7</v>
          </cell>
          <cell r="D3939" t="str">
            <v>Công</v>
          </cell>
          <cell r="E3939">
            <v>0.17</v>
          </cell>
          <cell r="F3939">
            <v>194680.46052631579</v>
          </cell>
          <cell r="G3939">
            <v>33095.678289473683</v>
          </cell>
        </row>
        <row r="3940">
          <cell r="A3940" t="str">
            <v>D3.3272</v>
          </cell>
          <cell r="C3940" t="str">
            <v>Lắp khoá đỡ dây dẫn, dây chống sét, Tiết diện dây =&lt; 240mm2, Chiều cao lắp đặt =&lt; 30m</v>
          </cell>
          <cell r="D3940" t="str">
            <v>bộ</v>
          </cell>
          <cell r="I3940">
            <v>35042.482894736837</v>
          </cell>
        </row>
        <row r="3941">
          <cell r="C3941" t="str">
            <v>Nhân công</v>
          </cell>
          <cell r="G3941">
            <v>35042.482894736837</v>
          </cell>
        </row>
        <row r="3942">
          <cell r="B3942" t="str">
            <v>NC1407</v>
          </cell>
          <cell r="C3942" t="str">
            <v>+ Nhân công bậc 4,0/7</v>
          </cell>
          <cell r="D3942" t="str">
            <v>Công</v>
          </cell>
          <cell r="E3942">
            <v>0.18</v>
          </cell>
          <cell r="F3942">
            <v>194680.46052631579</v>
          </cell>
          <cell r="G3942">
            <v>35042.482894736837</v>
          </cell>
        </row>
        <row r="3943">
          <cell r="A3943" t="str">
            <v>D3.3273</v>
          </cell>
          <cell r="C3943" t="str">
            <v>Lắp khoá đỡ dây dẫn, dây chống sét, Tiết diện dây =&lt; 240mm2, Chiều cao lắp đặt =&lt; 40m</v>
          </cell>
          <cell r="D3943" t="str">
            <v>bộ</v>
          </cell>
          <cell r="I3943">
            <v>38936.09210526316</v>
          </cell>
        </row>
        <row r="3944">
          <cell r="C3944" t="str">
            <v>Nhân công</v>
          </cell>
          <cell r="G3944">
            <v>38936.09210526316</v>
          </cell>
        </row>
        <row r="3945">
          <cell r="B3945" t="str">
            <v>NC1407</v>
          </cell>
          <cell r="C3945" t="str">
            <v>+ Nhân công bậc 4,0/7</v>
          </cell>
          <cell r="D3945" t="str">
            <v>Công</v>
          </cell>
          <cell r="E3945">
            <v>0.2</v>
          </cell>
          <cell r="F3945">
            <v>194680.46052631579</v>
          </cell>
          <cell r="G3945">
            <v>38936.09210526316</v>
          </cell>
        </row>
        <row r="3946">
          <cell r="A3946" t="str">
            <v>D3.3274</v>
          </cell>
          <cell r="C3946" t="str">
            <v>Lắp khoá đỡ dây dẫn, dây chống sét, Tiết diện dây =&lt; 240mm2, Chiều cao lắp đặt =&lt; 50m</v>
          </cell>
          <cell r="D3946" t="str">
            <v>bộ</v>
          </cell>
          <cell r="I3946">
            <v>44776.505921052631</v>
          </cell>
        </row>
        <row r="3947">
          <cell r="C3947" t="str">
            <v>Nhân công</v>
          </cell>
          <cell r="G3947">
            <v>44776.505921052631</v>
          </cell>
        </row>
        <row r="3948">
          <cell r="B3948" t="str">
            <v>NC1407</v>
          </cell>
          <cell r="C3948" t="str">
            <v>+ Nhân công bậc 4,0/7</v>
          </cell>
          <cell r="D3948" t="str">
            <v>Công</v>
          </cell>
          <cell r="E3948">
            <v>0.23</v>
          </cell>
          <cell r="F3948">
            <v>194680.46052631579</v>
          </cell>
          <cell r="G3948">
            <v>44776.505921052631</v>
          </cell>
        </row>
        <row r="3949">
          <cell r="A3949" t="str">
            <v>D3.3275</v>
          </cell>
          <cell r="C3949" t="str">
            <v>Lắp khoá đỡ dây dẫn, dây chống sét, Tiết diện dây =&lt; 240mm2, Chiều cao lắp đặt =&lt; 60m</v>
          </cell>
          <cell r="D3949" t="str">
            <v>bộ</v>
          </cell>
          <cell r="I3949">
            <v>50616.919736842108</v>
          </cell>
        </row>
        <row r="3950">
          <cell r="C3950" t="str">
            <v>Nhân công</v>
          </cell>
          <cell r="G3950">
            <v>50616.919736842108</v>
          </cell>
        </row>
        <row r="3951">
          <cell r="B3951" t="str">
            <v>NC1407</v>
          </cell>
          <cell r="C3951" t="str">
            <v>+ Nhân công bậc 4,0/7</v>
          </cell>
          <cell r="D3951" t="str">
            <v>Công</v>
          </cell>
          <cell r="E3951">
            <v>0.26</v>
          </cell>
          <cell r="F3951">
            <v>194680.46052631579</v>
          </cell>
          <cell r="G3951">
            <v>50616.919736842108</v>
          </cell>
        </row>
        <row r="3952">
          <cell r="A3952" t="str">
            <v>D3.3276</v>
          </cell>
          <cell r="C3952" t="str">
            <v>Lắp khoá đỡ dây dẫn, dây chống sét, Tiết diện dây =&lt; 240mm2, Chiều cao lắp đặt =&lt; 70m</v>
          </cell>
          <cell r="D3952" t="str">
            <v>bộ</v>
          </cell>
          <cell r="I3952">
            <v>56457.333552631571</v>
          </cell>
        </row>
        <row r="3953">
          <cell r="C3953" t="str">
            <v>Nhân công</v>
          </cell>
          <cell r="G3953">
            <v>56457.333552631571</v>
          </cell>
        </row>
        <row r="3954">
          <cell r="B3954" t="str">
            <v>NC1407</v>
          </cell>
          <cell r="C3954" t="str">
            <v>+ Nhân công bậc 4,0/7</v>
          </cell>
          <cell r="D3954" t="str">
            <v>Công</v>
          </cell>
          <cell r="E3954">
            <v>0.28999999999999998</v>
          </cell>
          <cell r="F3954">
            <v>194680.46052631579</v>
          </cell>
          <cell r="G3954">
            <v>56457.333552631571</v>
          </cell>
        </row>
        <row r="3955">
          <cell r="A3955" t="str">
            <v>D3.3277</v>
          </cell>
          <cell r="C3955" t="str">
            <v>Lắp khoá đỡ dây dẫn, dây chống sét, Tiết diện dây =&lt; 240mm2, Chiều cao lắp đặt =&lt; 85m</v>
          </cell>
          <cell r="D3955" t="str">
            <v>bộ</v>
          </cell>
          <cell r="I3955">
            <v>60350.942763157895</v>
          </cell>
        </row>
        <row r="3956">
          <cell r="C3956" t="str">
            <v>Nhân công</v>
          </cell>
          <cell r="G3956">
            <v>60350.942763157895</v>
          </cell>
        </row>
        <row r="3957">
          <cell r="B3957" t="str">
            <v>NC1407</v>
          </cell>
          <cell r="C3957" t="str">
            <v>+ Nhân công bậc 4,0/7</v>
          </cell>
          <cell r="D3957" t="str">
            <v>Công</v>
          </cell>
          <cell r="E3957">
            <v>0.31</v>
          </cell>
          <cell r="F3957">
            <v>194680.46052631579</v>
          </cell>
          <cell r="G3957">
            <v>60350.942763157895</v>
          </cell>
        </row>
        <row r="3958">
          <cell r="A3958" t="str">
            <v>D3.3278</v>
          </cell>
          <cell r="C3958" t="str">
            <v>Lắp khoá đỡ dây dẫn, dây chống sét, Tiết diện dây =&lt; 240mm2, Chiều cao lắp đặt =&lt; 100m</v>
          </cell>
          <cell r="D3958" t="str">
            <v>bộ</v>
          </cell>
          <cell r="I3958">
            <v>68138.161184210519</v>
          </cell>
        </row>
        <row r="3959">
          <cell r="C3959" t="str">
            <v>Nhân công</v>
          </cell>
          <cell r="G3959">
            <v>68138.161184210519</v>
          </cell>
        </row>
        <row r="3960">
          <cell r="B3960" t="str">
            <v>NC1407</v>
          </cell>
          <cell r="C3960" t="str">
            <v>+ Nhân công bậc 4,0/7</v>
          </cell>
          <cell r="D3960" t="str">
            <v>Công</v>
          </cell>
          <cell r="E3960">
            <v>0.35</v>
          </cell>
          <cell r="F3960">
            <v>194680.46052631579</v>
          </cell>
          <cell r="G3960">
            <v>68138.161184210519</v>
          </cell>
        </row>
        <row r="3961">
          <cell r="A3961" t="str">
            <v>D3.3279</v>
          </cell>
          <cell r="C3961" t="str">
            <v>Lắp khoá đỡ dây dẫn, dây chống sét, Tiết diện dây =&lt; 240mm2, Chiều cao lắp đặt &gt; 100m</v>
          </cell>
          <cell r="D3961" t="str">
            <v>bộ</v>
          </cell>
          <cell r="I3961">
            <v>73978.574999999997</v>
          </cell>
        </row>
        <row r="3962">
          <cell r="C3962" t="str">
            <v>Nhân công</v>
          </cell>
          <cell r="G3962">
            <v>73978.574999999997</v>
          </cell>
        </row>
        <row r="3963">
          <cell r="B3963" t="str">
            <v>NC1407</v>
          </cell>
          <cell r="C3963" t="str">
            <v>+ Nhân công bậc 4,0/7</v>
          </cell>
          <cell r="D3963" t="str">
            <v>Công</v>
          </cell>
          <cell r="E3963">
            <v>0.38</v>
          </cell>
          <cell r="F3963">
            <v>194680.46052631579</v>
          </cell>
          <cell r="G3963">
            <v>73978.574999999997</v>
          </cell>
        </row>
        <row r="3964">
          <cell r="A3964" t="str">
            <v>D3.3281</v>
          </cell>
          <cell r="C3964" t="str">
            <v>Lắp khoá đỡ dây dẫn, dây chống sét, Tiết diện dây &gt; 240mm2, Chiều cao lắp đặt =&lt; 20m</v>
          </cell>
          <cell r="D3964" t="str">
            <v>bộ</v>
          </cell>
          <cell r="I3964">
            <v>68138.161184210519</v>
          </cell>
        </row>
        <row r="3965">
          <cell r="C3965" t="str">
            <v>Nhân công</v>
          </cell>
          <cell r="G3965">
            <v>68138.161184210519</v>
          </cell>
        </row>
        <row r="3966">
          <cell r="B3966" t="str">
            <v>NC1407</v>
          </cell>
          <cell r="C3966" t="str">
            <v>+ Nhân công bậc 4,0/7</v>
          </cell>
          <cell r="D3966" t="str">
            <v>Công</v>
          </cell>
          <cell r="E3966">
            <v>0.35</v>
          </cell>
          <cell r="F3966">
            <v>194680.46052631579</v>
          </cell>
          <cell r="G3966">
            <v>68138.161184210519</v>
          </cell>
        </row>
        <row r="3967">
          <cell r="A3967" t="str">
            <v>D3.3282</v>
          </cell>
          <cell r="C3967" t="str">
            <v>Lắp khoá đỡ dây dẫn, dây chống sét, Tiết diện dây &gt; 240mm2, Chiều cao lắp đặt =&lt; 30m</v>
          </cell>
          <cell r="D3967" t="str">
            <v>bộ</v>
          </cell>
          <cell r="I3967">
            <v>70084.965789473674</v>
          </cell>
        </row>
        <row r="3968">
          <cell r="C3968" t="str">
            <v>Nhân công</v>
          </cell>
          <cell r="G3968">
            <v>70084.965789473674</v>
          </cell>
        </row>
        <row r="3969">
          <cell r="B3969" t="str">
            <v>NC1407</v>
          </cell>
          <cell r="C3969" t="str">
            <v>+ Nhân công bậc 4,0/7</v>
          </cell>
          <cell r="D3969" t="str">
            <v>Công</v>
          </cell>
          <cell r="E3969">
            <v>0.36</v>
          </cell>
          <cell r="F3969">
            <v>194680.46052631579</v>
          </cell>
          <cell r="G3969">
            <v>70084.965789473674</v>
          </cell>
        </row>
        <row r="3970">
          <cell r="A3970" t="str">
            <v>D3.3283</v>
          </cell>
          <cell r="C3970" t="str">
            <v>Lắp khoá đỡ dây dẫn, dây chống sét, Tiết diện dây &gt; 240mm2, Chiều cao lắp đặt =&lt; 40m</v>
          </cell>
          <cell r="D3970" t="str">
            <v>bộ</v>
          </cell>
          <cell r="I3970">
            <v>79818.988815789475</v>
          </cell>
        </row>
        <row r="3971">
          <cell r="C3971" t="str">
            <v>Nhân công</v>
          </cell>
          <cell r="G3971">
            <v>79818.988815789475</v>
          </cell>
        </row>
        <row r="3972">
          <cell r="B3972" t="str">
            <v>NC1407</v>
          </cell>
          <cell r="C3972" t="str">
            <v>+ Nhân công bậc 4,0/7</v>
          </cell>
          <cell r="D3972" t="str">
            <v>Công</v>
          </cell>
          <cell r="E3972">
            <v>0.41</v>
          </cell>
          <cell r="F3972">
            <v>194680.46052631579</v>
          </cell>
          <cell r="G3972">
            <v>79818.988815789475</v>
          </cell>
        </row>
        <row r="3973">
          <cell r="A3973" t="str">
            <v>D3.3284</v>
          </cell>
          <cell r="C3973" t="str">
            <v>Lắp khoá đỡ dây dẫn, dây chống sét, Tiết diện dây &gt; 240mm2, Chiều cao lắp đặt =&lt; 50m</v>
          </cell>
          <cell r="D3973" t="str">
            <v>bộ</v>
          </cell>
          <cell r="I3973">
            <v>89553.011842105261</v>
          </cell>
        </row>
        <row r="3974">
          <cell r="C3974" t="str">
            <v>Nhân công</v>
          </cell>
          <cell r="G3974">
            <v>89553.011842105261</v>
          </cell>
        </row>
        <row r="3975">
          <cell r="B3975" t="str">
            <v>NC1407</v>
          </cell>
          <cell r="C3975" t="str">
            <v>+ Nhân công bậc 4,0/7</v>
          </cell>
          <cell r="D3975" t="str">
            <v>Công</v>
          </cell>
          <cell r="E3975">
            <v>0.46</v>
          </cell>
          <cell r="F3975">
            <v>194680.46052631579</v>
          </cell>
          <cell r="G3975">
            <v>89553.011842105261</v>
          </cell>
        </row>
        <row r="3976">
          <cell r="A3976" t="str">
            <v>D3.3285</v>
          </cell>
          <cell r="C3976" t="str">
            <v>Lắp khoá đỡ dây dẫn, dây chống sét, Tiết diện dây &gt; 240mm2, Chiều cao lắp đặt =&lt; 60m</v>
          </cell>
          <cell r="D3976" t="str">
            <v>bộ</v>
          </cell>
          <cell r="I3976">
            <v>99287.034868421048</v>
          </cell>
        </row>
        <row r="3977">
          <cell r="C3977" t="str">
            <v>Nhân công</v>
          </cell>
          <cell r="G3977">
            <v>99287.034868421048</v>
          </cell>
        </row>
        <row r="3978">
          <cell r="B3978" t="str">
            <v>NC1407</v>
          </cell>
          <cell r="C3978" t="str">
            <v>+ Nhân công bậc 4,0/7</v>
          </cell>
          <cell r="D3978" t="str">
            <v>Công</v>
          </cell>
          <cell r="E3978">
            <v>0.51</v>
          </cell>
          <cell r="F3978">
            <v>194680.46052631579</v>
          </cell>
          <cell r="G3978">
            <v>99287.034868421048</v>
          </cell>
        </row>
        <row r="3979">
          <cell r="A3979" t="str">
            <v>D3.3286</v>
          </cell>
          <cell r="C3979" t="str">
            <v>Lắp khoá đỡ dây dẫn, dây chống sét, Tiết diện dây &gt; 240mm2, Chiều cao lắp đặt =&lt; 70m</v>
          </cell>
          <cell r="D3979" t="str">
            <v>bộ</v>
          </cell>
          <cell r="I3979">
            <v>109021.05789473685</v>
          </cell>
        </row>
        <row r="3980">
          <cell r="C3980" t="str">
            <v>Nhân công</v>
          </cell>
          <cell r="G3980">
            <v>109021.05789473685</v>
          </cell>
        </row>
        <row r="3981">
          <cell r="B3981" t="str">
            <v>NC1407</v>
          </cell>
          <cell r="C3981" t="str">
            <v>+ Nhân công bậc 4,0/7</v>
          </cell>
          <cell r="D3981" t="str">
            <v>Công</v>
          </cell>
          <cell r="E3981">
            <v>0.56000000000000005</v>
          </cell>
          <cell r="F3981">
            <v>194680.46052631579</v>
          </cell>
          <cell r="G3981">
            <v>109021.05789473685</v>
          </cell>
        </row>
        <row r="3982">
          <cell r="A3982" t="str">
            <v>D3.3287</v>
          </cell>
          <cell r="C3982" t="str">
            <v>Lắp khoá đỡ dây dẫn, dây chống sét, Tiết diện dây &gt; 240mm2, Chiều cao lắp đặt =&lt; 85m</v>
          </cell>
          <cell r="D3982" t="str">
            <v>bộ</v>
          </cell>
          <cell r="I3982">
            <v>120701.88552631579</v>
          </cell>
        </row>
        <row r="3983">
          <cell r="C3983" t="str">
            <v>Nhân công</v>
          </cell>
          <cell r="G3983">
            <v>120701.88552631579</v>
          </cell>
        </row>
        <row r="3984">
          <cell r="B3984" t="str">
            <v>NC1407</v>
          </cell>
          <cell r="C3984" t="str">
            <v>+ Nhân công bậc 4,0/7</v>
          </cell>
          <cell r="D3984" t="str">
            <v>Công</v>
          </cell>
          <cell r="E3984">
            <v>0.62</v>
          </cell>
          <cell r="F3984">
            <v>194680.46052631579</v>
          </cell>
          <cell r="G3984">
            <v>120701.88552631579</v>
          </cell>
        </row>
        <row r="3985">
          <cell r="A3985" t="str">
            <v>D3.3288</v>
          </cell>
          <cell r="C3985" t="str">
            <v>Lắp khoá đỡ dây dẫn, dây chống sét, Tiết diện dây &gt; 240mm2, Chiều cao lắp đặt =&lt; 100m</v>
          </cell>
          <cell r="D3985" t="str">
            <v>bộ</v>
          </cell>
          <cell r="I3985">
            <v>132382.71315789473</v>
          </cell>
        </row>
        <row r="3986">
          <cell r="C3986" t="str">
            <v>Nhân công</v>
          </cell>
          <cell r="G3986">
            <v>132382.71315789473</v>
          </cell>
        </row>
        <row r="3987">
          <cell r="B3987" t="str">
            <v>NC1407</v>
          </cell>
          <cell r="C3987" t="str">
            <v>+ Nhân công bậc 4,0/7</v>
          </cell>
          <cell r="D3987" t="str">
            <v>Công</v>
          </cell>
          <cell r="E3987">
            <v>0.68</v>
          </cell>
          <cell r="F3987">
            <v>194680.46052631579</v>
          </cell>
          <cell r="G3987">
            <v>132382.71315789473</v>
          </cell>
        </row>
        <row r="3988">
          <cell r="A3988" t="str">
            <v>D3.3289</v>
          </cell>
          <cell r="C3988" t="str">
            <v>Lắp khoá đỡ dây dẫn, dây chống sét, Tiết diện dây &gt; 240mm2, Chiều cao lắp đặt &gt; 100m</v>
          </cell>
          <cell r="D3988" t="str">
            <v>bộ</v>
          </cell>
          <cell r="I3988">
            <v>146010.34539473685</v>
          </cell>
        </row>
        <row r="3989">
          <cell r="C3989" t="str">
            <v>Nhân công</v>
          </cell>
          <cell r="G3989">
            <v>146010.34539473685</v>
          </cell>
        </row>
        <row r="3990">
          <cell r="B3990" t="str">
            <v>NC1407</v>
          </cell>
          <cell r="C3990" t="str">
            <v>+ Nhân công bậc 4,0/7</v>
          </cell>
          <cell r="D3990" t="str">
            <v>Công</v>
          </cell>
          <cell r="E3990">
            <v>0.75</v>
          </cell>
          <cell r="F3990">
            <v>194680.46052631579</v>
          </cell>
          <cell r="G3990">
            <v>146010.34539473685</v>
          </cell>
        </row>
        <row r="3991">
          <cell r="A3991" t="str">
            <v>D3.4011</v>
          </cell>
          <cell r="C3991" t="str">
            <v>ép nối dây dẫn, Tiết diện dây =&lt; 120mm2</v>
          </cell>
          <cell r="D3991" t="str">
            <v>mối</v>
          </cell>
          <cell r="H3991">
            <v>3600</v>
          </cell>
          <cell r="I3991">
            <v>212874.23447368422</v>
          </cell>
          <cell r="J3991">
            <v>6230.00432</v>
          </cell>
        </row>
        <row r="3992">
          <cell r="C3992" t="str">
            <v>Vật liệu</v>
          </cell>
          <cell r="G3992">
            <v>3600</v>
          </cell>
        </row>
        <row r="3993">
          <cell r="B3993">
            <v>79</v>
          </cell>
          <cell r="C3993" t="str">
            <v>+ Mỡ trung tính</v>
          </cell>
          <cell r="D3993" t="str">
            <v>Kg</v>
          </cell>
          <cell r="E3993">
            <v>0.05</v>
          </cell>
          <cell r="F3993">
            <v>15000</v>
          </cell>
          <cell r="G3993">
            <v>750</v>
          </cell>
        </row>
        <row r="3994">
          <cell r="B3994">
            <v>1</v>
          </cell>
          <cell r="C3994" t="str">
            <v>+ Cồn công nghiệp</v>
          </cell>
          <cell r="D3994" t="str">
            <v>kg</v>
          </cell>
          <cell r="E3994">
            <v>0.1</v>
          </cell>
          <cell r="F3994">
            <v>9500</v>
          </cell>
          <cell r="G3994">
            <v>950</v>
          </cell>
        </row>
        <row r="3995">
          <cell r="B3995">
            <v>9</v>
          </cell>
          <cell r="C3995" t="str">
            <v>+ Giẻ lau</v>
          </cell>
          <cell r="D3995" t="str">
            <v>Kg</v>
          </cell>
          <cell r="E3995">
            <v>0.2</v>
          </cell>
          <cell r="F3995">
            <v>9500</v>
          </cell>
          <cell r="G3995">
            <v>1900</v>
          </cell>
        </row>
        <row r="3996">
          <cell r="C3996" t="str">
            <v>Nhân công</v>
          </cell>
          <cell r="G3996">
            <v>212874.23447368422</v>
          </cell>
        </row>
        <row r="3997">
          <cell r="B3997" t="str">
            <v>NC1507</v>
          </cell>
          <cell r="C3997" t="str">
            <v>+ Nhân công bậc 5,0/7</v>
          </cell>
          <cell r="D3997" t="str">
            <v>Công</v>
          </cell>
          <cell r="E3997">
            <v>0.93</v>
          </cell>
          <cell r="F3997">
            <v>228897.02631578947</v>
          </cell>
          <cell r="G3997">
            <v>212874.23447368422</v>
          </cell>
        </row>
        <row r="3998">
          <cell r="C3998" t="str">
            <v>Máy thi công</v>
          </cell>
          <cell r="G3998">
            <v>6230.00432</v>
          </cell>
        </row>
        <row r="3999">
          <cell r="B3999">
            <v>7049</v>
          </cell>
          <cell r="C3999" t="str">
            <v>+ Máy thuỷ lực nối ép , vá dây</v>
          </cell>
          <cell r="D3999" t="str">
            <v>Ca</v>
          </cell>
          <cell r="E3999">
            <v>0.08</v>
          </cell>
          <cell r="F3999">
            <v>77875.054000000004</v>
          </cell>
          <cell r="G3999">
            <v>6230.00432</v>
          </cell>
        </row>
        <row r="4000">
          <cell r="A4000" t="str">
            <v>D3.4012</v>
          </cell>
          <cell r="C4000" t="str">
            <v>ép nối dây dẫn, Tiết diện dây =&lt; 150mm2</v>
          </cell>
          <cell r="D4000" t="str">
            <v>mối</v>
          </cell>
          <cell r="H4000">
            <v>3600</v>
          </cell>
          <cell r="I4000">
            <v>267809.52078947367</v>
          </cell>
          <cell r="J4000">
            <v>6230.00432</v>
          </cell>
        </row>
        <row r="4001">
          <cell r="C4001" t="str">
            <v>Vật liệu</v>
          </cell>
          <cell r="G4001">
            <v>3600</v>
          </cell>
        </row>
        <row r="4002">
          <cell r="B4002">
            <v>79</v>
          </cell>
          <cell r="C4002" t="str">
            <v>+ Mỡ trung tính</v>
          </cell>
          <cell r="D4002" t="str">
            <v>Kg</v>
          </cell>
          <cell r="E4002">
            <v>0.05</v>
          </cell>
          <cell r="F4002">
            <v>15000</v>
          </cell>
          <cell r="G4002">
            <v>750</v>
          </cell>
        </row>
        <row r="4003">
          <cell r="B4003">
            <v>1</v>
          </cell>
          <cell r="C4003" t="str">
            <v>+ Cồn công nghiệp</v>
          </cell>
          <cell r="D4003" t="str">
            <v>kg</v>
          </cell>
          <cell r="E4003">
            <v>0.1</v>
          </cell>
          <cell r="F4003">
            <v>9500</v>
          </cell>
          <cell r="G4003">
            <v>950</v>
          </cell>
        </row>
        <row r="4004">
          <cell r="B4004">
            <v>9</v>
          </cell>
          <cell r="C4004" t="str">
            <v>+ Giẻ lau</v>
          </cell>
          <cell r="D4004" t="str">
            <v>Kg</v>
          </cell>
          <cell r="E4004">
            <v>0.2</v>
          </cell>
          <cell r="F4004">
            <v>9500</v>
          </cell>
          <cell r="G4004">
            <v>1900</v>
          </cell>
        </row>
        <row r="4005">
          <cell r="C4005" t="str">
            <v>Nhân công</v>
          </cell>
          <cell r="G4005">
            <v>267809.52078947367</v>
          </cell>
        </row>
        <row r="4006">
          <cell r="B4006" t="str">
            <v>NC1507</v>
          </cell>
          <cell r="C4006" t="str">
            <v>+ Nhân công bậc 5,0/7</v>
          </cell>
          <cell r="D4006" t="str">
            <v>Công</v>
          </cell>
          <cell r="E4006">
            <v>1.17</v>
          </cell>
          <cell r="F4006">
            <v>228897.02631578947</v>
          </cell>
          <cell r="G4006">
            <v>267809.52078947367</v>
          </cell>
        </row>
        <row r="4007">
          <cell r="C4007" t="str">
            <v>Máy thi công</v>
          </cell>
          <cell r="G4007">
            <v>6230.00432</v>
          </cell>
        </row>
        <row r="4008">
          <cell r="B4008">
            <v>7049</v>
          </cell>
          <cell r="C4008" t="str">
            <v>+ Máy thuỷ lực nối ép , vá dây</v>
          </cell>
          <cell r="D4008" t="str">
            <v>Ca</v>
          </cell>
          <cell r="E4008">
            <v>0.08</v>
          </cell>
          <cell r="F4008">
            <v>77875.054000000004</v>
          </cell>
          <cell r="G4008">
            <v>6230.00432</v>
          </cell>
        </row>
        <row r="4009">
          <cell r="A4009" t="str">
            <v>D3.4013</v>
          </cell>
          <cell r="C4009" t="str">
            <v>ép nối dây dẫn, Tiết diện dây =&lt; 185mm2</v>
          </cell>
          <cell r="D4009" t="str">
            <v>mối</v>
          </cell>
          <cell r="H4009">
            <v>3600</v>
          </cell>
          <cell r="I4009">
            <v>329611.71789473679</v>
          </cell>
          <cell r="J4009">
            <v>6230.00432</v>
          </cell>
        </row>
        <row r="4010">
          <cell r="C4010" t="str">
            <v>Vật liệu</v>
          </cell>
          <cell r="G4010">
            <v>3600</v>
          </cell>
        </row>
        <row r="4011">
          <cell r="B4011">
            <v>79</v>
          </cell>
          <cell r="C4011" t="str">
            <v>+ Mỡ trung tính</v>
          </cell>
          <cell r="D4011" t="str">
            <v>Kg</v>
          </cell>
          <cell r="E4011">
            <v>0.05</v>
          </cell>
          <cell r="F4011">
            <v>15000</v>
          </cell>
          <cell r="G4011">
            <v>750</v>
          </cell>
        </row>
        <row r="4012">
          <cell r="B4012">
            <v>1</v>
          </cell>
          <cell r="C4012" t="str">
            <v>+ Cồn công nghiệp</v>
          </cell>
          <cell r="D4012" t="str">
            <v>kg</v>
          </cell>
          <cell r="E4012">
            <v>0.1</v>
          </cell>
          <cell r="F4012">
            <v>9500</v>
          </cell>
          <cell r="G4012">
            <v>950</v>
          </cell>
        </row>
        <row r="4013">
          <cell r="B4013">
            <v>9</v>
          </cell>
          <cell r="C4013" t="str">
            <v>+ Giẻ lau</v>
          </cell>
          <cell r="D4013" t="str">
            <v>Kg</v>
          </cell>
          <cell r="E4013">
            <v>0.2</v>
          </cell>
          <cell r="F4013">
            <v>9500</v>
          </cell>
          <cell r="G4013">
            <v>1900</v>
          </cell>
        </row>
        <row r="4014">
          <cell r="C4014" t="str">
            <v>Nhân công</v>
          </cell>
          <cell r="G4014">
            <v>329611.71789473679</v>
          </cell>
        </row>
        <row r="4015">
          <cell r="B4015" t="str">
            <v>NC1507</v>
          </cell>
          <cell r="C4015" t="str">
            <v>+ Nhân công bậc 5,0/7</v>
          </cell>
          <cell r="D4015" t="str">
            <v>Công</v>
          </cell>
          <cell r="E4015">
            <v>1.44</v>
          </cell>
          <cell r="F4015">
            <v>228897.02631578947</v>
          </cell>
          <cell r="G4015">
            <v>329611.71789473679</v>
          </cell>
        </row>
        <row r="4016">
          <cell r="C4016" t="str">
            <v>Máy thi công</v>
          </cell>
          <cell r="G4016">
            <v>6230.00432</v>
          </cell>
        </row>
        <row r="4017">
          <cell r="B4017">
            <v>7049</v>
          </cell>
          <cell r="C4017" t="str">
            <v>+ Máy thuỷ lực nối ép , vá dây</v>
          </cell>
          <cell r="D4017" t="str">
            <v>Ca</v>
          </cell>
          <cell r="E4017">
            <v>0.08</v>
          </cell>
          <cell r="F4017">
            <v>77875.054000000004</v>
          </cell>
          <cell r="G4017">
            <v>6230.00432</v>
          </cell>
        </row>
        <row r="4018">
          <cell r="A4018" t="str">
            <v>D3.4014</v>
          </cell>
          <cell r="C4018" t="str">
            <v>ép nối dây dẫn, Tiết diện dây =&lt; 240mm2</v>
          </cell>
          <cell r="D4018" t="str">
            <v>mối</v>
          </cell>
          <cell r="H4018">
            <v>4825</v>
          </cell>
          <cell r="I4018">
            <v>428037.43921052635</v>
          </cell>
          <cell r="J4018">
            <v>7787.5054000000009</v>
          </cell>
        </row>
        <row r="4019">
          <cell r="C4019" t="str">
            <v>Vật liệu</v>
          </cell>
          <cell r="G4019">
            <v>4825</v>
          </cell>
        </row>
        <row r="4020">
          <cell r="B4020">
            <v>79</v>
          </cell>
          <cell r="C4020" t="str">
            <v>+ Mỡ trung tính</v>
          </cell>
          <cell r="D4020" t="str">
            <v>Kg</v>
          </cell>
          <cell r="E4020">
            <v>0.1</v>
          </cell>
          <cell r="F4020">
            <v>15000</v>
          </cell>
          <cell r="G4020">
            <v>1500</v>
          </cell>
        </row>
        <row r="4021">
          <cell r="B4021">
            <v>1</v>
          </cell>
          <cell r="C4021" t="str">
            <v>+ Cồn công nghiệp</v>
          </cell>
          <cell r="D4021" t="str">
            <v>kg</v>
          </cell>
          <cell r="E4021">
            <v>0.15</v>
          </cell>
          <cell r="F4021">
            <v>9500</v>
          </cell>
          <cell r="G4021">
            <v>1425</v>
          </cell>
        </row>
        <row r="4022">
          <cell r="B4022">
            <v>9</v>
          </cell>
          <cell r="C4022" t="str">
            <v>+ Giẻ lau</v>
          </cell>
          <cell r="D4022" t="str">
            <v>Kg</v>
          </cell>
          <cell r="E4022">
            <v>0.2</v>
          </cell>
          <cell r="F4022">
            <v>9500</v>
          </cell>
          <cell r="G4022">
            <v>1900</v>
          </cell>
        </row>
        <row r="4023">
          <cell r="C4023" t="str">
            <v>Nhân công</v>
          </cell>
          <cell r="G4023">
            <v>428037.43921052635</v>
          </cell>
        </row>
        <row r="4024">
          <cell r="B4024" t="str">
            <v>NC1507</v>
          </cell>
          <cell r="C4024" t="str">
            <v>+ Nhân công bậc 5,0/7</v>
          </cell>
          <cell r="D4024" t="str">
            <v>Công</v>
          </cell>
          <cell r="E4024">
            <v>1.87</v>
          </cell>
          <cell r="F4024">
            <v>228897.02631578947</v>
          </cell>
          <cell r="G4024">
            <v>428037.43921052635</v>
          </cell>
        </row>
        <row r="4025">
          <cell r="C4025" t="str">
            <v>Máy thi công</v>
          </cell>
          <cell r="G4025">
            <v>7787.5054000000009</v>
          </cell>
        </row>
        <row r="4026">
          <cell r="B4026">
            <v>7049</v>
          </cell>
          <cell r="C4026" t="str">
            <v>+ Máy thuỷ lực nối ép , vá dây</v>
          </cell>
          <cell r="D4026" t="str">
            <v>Ca</v>
          </cell>
          <cell r="E4026">
            <v>0.1</v>
          </cell>
          <cell r="F4026">
            <v>77875.054000000004</v>
          </cell>
          <cell r="G4026">
            <v>7787.5054000000009</v>
          </cell>
        </row>
        <row r="4027">
          <cell r="A4027" t="str">
            <v>D3.4015</v>
          </cell>
          <cell r="C4027" t="str">
            <v>ép nối dây dẫn, Tiết diện dây =&lt; 300mm2</v>
          </cell>
          <cell r="D4027" t="str">
            <v>mối</v>
          </cell>
          <cell r="H4027">
            <v>4825</v>
          </cell>
          <cell r="I4027">
            <v>457794.05263157893</v>
          </cell>
          <cell r="J4027">
            <v>7787.5054000000009</v>
          </cell>
        </row>
        <row r="4028">
          <cell r="C4028" t="str">
            <v>Vật liệu</v>
          </cell>
          <cell r="G4028">
            <v>4825</v>
          </cell>
        </row>
        <row r="4029">
          <cell r="B4029">
            <v>79</v>
          </cell>
          <cell r="C4029" t="str">
            <v>+ Mỡ trung tính</v>
          </cell>
          <cell r="D4029" t="str">
            <v>Kg</v>
          </cell>
          <cell r="E4029">
            <v>0.1</v>
          </cell>
          <cell r="F4029">
            <v>15000</v>
          </cell>
          <cell r="G4029">
            <v>1500</v>
          </cell>
        </row>
        <row r="4030">
          <cell r="B4030">
            <v>1</v>
          </cell>
          <cell r="C4030" t="str">
            <v>+ Cồn công nghiệp</v>
          </cell>
          <cell r="D4030" t="str">
            <v>kg</v>
          </cell>
          <cell r="E4030">
            <v>0.15</v>
          </cell>
          <cell r="F4030">
            <v>9500</v>
          </cell>
          <cell r="G4030">
            <v>1425</v>
          </cell>
        </row>
        <row r="4031">
          <cell r="B4031">
            <v>9</v>
          </cell>
          <cell r="C4031" t="str">
            <v>+ Giẻ lau</v>
          </cell>
          <cell r="D4031" t="str">
            <v>Kg</v>
          </cell>
          <cell r="E4031">
            <v>0.2</v>
          </cell>
          <cell r="F4031">
            <v>9500</v>
          </cell>
          <cell r="G4031">
            <v>1900</v>
          </cell>
        </row>
        <row r="4032">
          <cell r="C4032" t="str">
            <v>Nhân công</v>
          </cell>
          <cell r="G4032">
            <v>457794.05263157893</v>
          </cell>
        </row>
        <row r="4033">
          <cell r="B4033" t="str">
            <v>NC1507</v>
          </cell>
          <cell r="C4033" t="str">
            <v>+ Nhân công bậc 5,0/7</v>
          </cell>
          <cell r="D4033" t="str">
            <v>Công</v>
          </cell>
          <cell r="E4033">
            <v>2</v>
          </cell>
          <cell r="F4033">
            <v>228897.02631578947</v>
          </cell>
          <cell r="G4033">
            <v>457794.05263157893</v>
          </cell>
        </row>
        <row r="4034">
          <cell r="C4034" t="str">
            <v>Máy thi công</v>
          </cell>
          <cell r="G4034">
            <v>7787.5054000000009</v>
          </cell>
        </row>
        <row r="4035">
          <cell r="B4035">
            <v>7049</v>
          </cell>
          <cell r="C4035" t="str">
            <v>+ Máy thuỷ lực nối ép , vá dây</v>
          </cell>
          <cell r="D4035" t="str">
            <v>Ca</v>
          </cell>
          <cell r="E4035">
            <v>0.1</v>
          </cell>
          <cell r="F4035">
            <v>77875.054000000004</v>
          </cell>
          <cell r="G4035">
            <v>7787.5054000000009</v>
          </cell>
        </row>
        <row r="4036">
          <cell r="A4036" t="str">
            <v>D3.4016</v>
          </cell>
          <cell r="C4036" t="str">
            <v>ép nối dây dẫn, Tiết diện dây =&lt; 400mm2</v>
          </cell>
          <cell r="D4036" t="str">
            <v>mối</v>
          </cell>
          <cell r="H4036">
            <v>4825</v>
          </cell>
          <cell r="I4036">
            <v>487550.66605263151</v>
          </cell>
          <cell r="J4036">
            <v>7787.5054000000009</v>
          </cell>
        </row>
        <row r="4037">
          <cell r="C4037" t="str">
            <v>Vật liệu</v>
          </cell>
          <cell r="G4037">
            <v>4825</v>
          </cell>
        </row>
        <row r="4038">
          <cell r="B4038">
            <v>79</v>
          </cell>
          <cell r="C4038" t="str">
            <v>+ Mỡ trung tính</v>
          </cell>
          <cell r="D4038" t="str">
            <v>Kg</v>
          </cell>
          <cell r="E4038">
            <v>0.1</v>
          </cell>
          <cell r="F4038">
            <v>15000</v>
          </cell>
          <cell r="G4038">
            <v>1500</v>
          </cell>
        </row>
        <row r="4039">
          <cell r="B4039">
            <v>1</v>
          </cell>
          <cell r="C4039" t="str">
            <v>+ Cồn công nghiệp</v>
          </cell>
          <cell r="D4039" t="str">
            <v>kg</v>
          </cell>
          <cell r="E4039">
            <v>0.15</v>
          </cell>
          <cell r="F4039">
            <v>9500</v>
          </cell>
          <cell r="G4039">
            <v>1425</v>
          </cell>
        </row>
        <row r="4040">
          <cell r="B4040">
            <v>9</v>
          </cell>
          <cell r="C4040" t="str">
            <v>+ Giẻ lau</v>
          </cell>
          <cell r="D4040" t="str">
            <v>Kg</v>
          </cell>
          <cell r="E4040">
            <v>0.2</v>
          </cell>
          <cell r="F4040">
            <v>9500</v>
          </cell>
          <cell r="G4040">
            <v>1900</v>
          </cell>
        </row>
        <row r="4041">
          <cell r="C4041" t="str">
            <v>Nhân công</v>
          </cell>
          <cell r="G4041">
            <v>487550.66605263151</v>
          </cell>
        </row>
        <row r="4042">
          <cell r="B4042" t="str">
            <v>NC1507</v>
          </cell>
          <cell r="C4042" t="str">
            <v>+ Nhân công bậc 5,0/7</v>
          </cell>
          <cell r="D4042" t="str">
            <v>Công</v>
          </cell>
          <cell r="E4042">
            <v>2.13</v>
          </cell>
          <cell r="F4042">
            <v>228897.02631578947</v>
          </cell>
          <cell r="G4042">
            <v>487550.66605263151</v>
          </cell>
        </row>
        <row r="4043">
          <cell r="C4043" t="str">
            <v>Máy thi công</v>
          </cell>
          <cell r="G4043">
            <v>7787.5054000000009</v>
          </cell>
        </row>
        <row r="4044">
          <cell r="B4044">
            <v>7049</v>
          </cell>
          <cell r="C4044" t="str">
            <v>+ Máy thuỷ lực nối ép , vá dây</v>
          </cell>
          <cell r="D4044" t="str">
            <v>Ca</v>
          </cell>
          <cell r="E4044">
            <v>0.1</v>
          </cell>
          <cell r="F4044">
            <v>77875.054000000004</v>
          </cell>
          <cell r="G4044">
            <v>7787.5054000000009</v>
          </cell>
        </row>
        <row r="4045">
          <cell r="A4045" t="str">
            <v>D3.4017</v>
          </cell>
          <cell r="C4045" t="str">
            <v>ép nối dây dẫn, Tiết diện dây =&lt; 500mm2</v>
          </cell>
          <cell r="D4045" t="str">
            <v>mối</v>
          </cell>
          <cell r="H4045">
            <v>4825</v>
          </cell>
          <cell r="I4045">
            <v>515018.30921052629</v>
          </cell>
          <cell r="J4045">
            <v>7787.5054000000009</v>
          </cell>
        </row>
        <row r="4046">
          <cell r="C4046" t="str">
            <v>Vật liệu</v>
          </cell>
          <cell r="G4046">
            <v>4825</v>
          </cell>
        </row>
        <row r="4047">
          <cell r="B4047">
            <v>79</v>
          </cell>
          <cell r="C4047" t="str">
            <v>+ Mỡ trung tính</v>
          </cell>
          <cell r="D4047" t="str">
            <v>Kg</v>
          </cell>
          <cell r="E4047">
            <v>0.1</v>
          </cell>
          <cell r="F4047">
            <v>15000</v>
          </cell>
          <cell r="G4047">
            <v>1500</v>
          </cell>
        </row>
        <row r="4048">
          <cell r="B4048">
            <v>1</v>
          </cell>
          <cell r="C4048" t="str">
            <v>+ Cồn công nghiệp</v>
          </cell>
          <cell r="D4048" t="str">
            <v>kg</v>
          </cell>
          <cell r="E4048">
            <v>0.15</v>
          </cell>
          <cell r="F4048">
            <v>9500</v>
          </cell>
          <cell r="G4048">
            <v>1425</v>
          </cell>
        </row>
        <row r="4049">
          <cell r="B4049">
            <v>9</v>
          </cell>
          <cell r="C4049" t="str">
            <v>+ Giẻ lau</v>
          </cell>
          <cell r="D4049" t="str">
            <v>Kg</v>
          </cell>
          <cell r="E4049">
            <v>0.2</v>
          </cell>
          <cell r="F4049">
            <v>9500</v>
          </cell>
          <cell r="G4049">
            <v>1900</v>
          </cell>
        </row>
        <row r="4050">
          <cell r="C4050" t="str">
            <v>Nhân công</v>
          </cell>
          <cell r="G4050">
            <v>515018.30921052629</v>
          </cell>
        </row>
        <row r="4051">
          <cell r="B4051" t="str">
            <v>NC1507</v>
          </cell>
          <cell r="C4051" t="str">
            <v>+ Nhân công bậc 5,0/7</v>
          </cell>
          <cell r="D4051" t="str">
            <v>Công</v>
          </cell>
          <cell r="E4051">
            <v>2.25</v>
          </cell>
          <cell r="F4051">
            <v>228897.02631578947</v>
          </cell>
          <cell r="G4051">
            <v>515018.30921052629</v>
          </cell>
        </row>
        <row r="4052">
          <cell r="C4052" t="str">
            <v>Máy thi công</v>
          </cell>
          <cell r="G4052">
            <v>7787.5054000000009</v>
          </cell>
        </row>
        <row r="4053">
          <cell r="B4053">
            <v>7049</v>
          </cell>
          <cell r="C4053" t="str">
            <v>+ Máy thuỷ lực nối ép , vá dây</v>
          </cell>
          <cell r="D4053" t="str">
            <v>Ca</v>
          </cell>
          <cell r="E4053">
            <v>0.1</v>
          </cell>
          <cell r="F4053">
            <v>77875.054000000004</v>
          </cell>
          <cell r="G4053">
            <v>7787.5054000000009</v>
          </cell>
        </row>
        <row r="4054">
          <cell r="A4054" t="str">
            <v>D3.4018</v>
          </cell>
          <cell r="C4054" t="str">
            <v>ép nối dây dẫn, Tiết diện dây &gt; 500mm2</v>
          </cell>
          <cell r="D4054" t="str">
            <v>mối</v>
          </cell>
          <cell r="H4054">
            <v>4825</v>
          </cell>
          <cell r="I4054">
            <v>618021.97105263162</v>
          </cell>
          <cell r="J4054">
            <v>7787.5054000000009</v>
          </cell>
        </row>
        <row r="4055">
          <cell r="C4055" t="str">
            <v>Vật liệu</v>
          </cell>
          <cell r="G4055">
            <v>4825</v>
          </cell>
        </row>
        <row r="4056">
          <cell r="B4056">
            <v>79</v>
          </cell>
          <cell r="C4056" t="str">
            <v>+ Mỡ trung tính</v>
          </cell>
          <cell r="D4056" t="str">
            <v>Kg</v>
          </cell>
          <cell r="E4056">
            <v>0.1</v>
          </cell>
          <cell r="F4056">
            <v>15000</v>
          </cell>
          <cell r="G4056">
            <v>1500</v>
          </cell>
        </row>
        <row r="4057">
          <cell r="B4057">
            <v>1</v>
          </cell>
          <cell r="C4057" t="str">
            <v>+ Cồn công nghiệp</v>
          </cell>
          <cell r="D4057" t="str">
            <v>kg</v>
          </cell>
          <cell r="E4057">
            <v>0.15</v>
          </cell>
          <cell r="F4057">
            <v>9500</v>
          </cell>
          <cell r="G4057">
            <v>1425</v>
          </cell>
        </row>
        <row r="4058">
          <cell r="B4058">
            <v>9</v>
          </cell>
          <cell r="C4058" t="str">
            <v>+ Giẻ lau</v>
          </cell>
          <cell r="D4058" t="str">
            <v>Kg</v>
          </cell>
          <cell r="E4058">
            <v>0.2</v>
          </cell>
          <cell r="F4058">
            <v>9500</v>
          </cell>
          <cell r="G4058">
            <v>1900</v>
          </cell>
        </row>
        <row r="4059">
          <cell r="C4059" t="str">
            <v>Nhân công</v>
          </cell>
          <cell r="G4059">
            <v>618021.97105263162</v>
          </cell>
        </row>
        <row r="4060">
          <cell r="B4060" t="str">
            <v>NC1507</v>
          </cell>
          <cell r="C4060" t="str">
            <v>+ Nhân công bậc 5,0/7</v>
          </cell>
          <cell r="D4060" t="str">
            <v>Công</v>
          </cell>
          <cell r="E4060">
            <v>2.7</v>
          </cell>
          <cell r="F4060">
            <v>228897.02631578947</v>
          </cell>
          <cell r="G4060">
            <v>618021.97105263162</v>
          </cell>
        </row>
        <row r="4061">
          <cell r="C4061" t="str">
            <v>Máy thi công</v>
          </cell>
          <cell r="G4061">
            <v>7787.5054000000009</v>
          </cell>
        </row>
        <row r="4062">
          <cell r="B4062">
            <v>7049</v>
          </cell>
          <cell r="C4062" t="str">
            <v>+ Máy thuỷ lực nối ép , vá dây</v>
          </cell>
          <cell r="D4062" t="str">
            <v>Ca</v>
          </cell>
          <cell r="E4062">
            <v>0.1</v>
          </cell>
          <cell r="F4062">
            <v>77875.054000000004</v>
          </cell>
          <cell r="G4062">
            <v>7787.5054000000009</v>
          </cell>
        </row>
        <row r="4063">
          <cell r="A4063" t="str">
            <v>D3.4021</v>
          </cell>
          <cell r="C4063" t="str">
            <v>ép khoá lèo, khoá néo dây dẫn, Tiết diện dây =&lt; 120mm2</v>
          </cell>
          <cell r="D4063" t="str">
            <v>mối</v>
          </cell>
          <cell r="H4063">
            <v>3600</v>
          </cell>
          <cell r="I4063">
            <v>114448.51315789473</v>
          </cell>
          <cell r="J4063">
            <v>6230.00432</v>
          </cell>
        </row>
        <row r="4064">
          <cell r="C4064" t="str">
            <v>Vật liệu</v>
          </cell>
          <cell r="G4064">
            <v>3600</v>
          </cell>
        </row>
        <row r="4065">
          <cell r="B4065">
            <v>79</v>
          </cell>
          <cell r="C4065" t="str">
            <v>+ Mỡ trung tính</v>
          </cell>
          <cell r="D4065" t="str">
            <v>Kg</v>
          </cell>
          <cell r="E4065">
            <v>0.05</v>
          </cell>
          <cell r="F4065">
            <v>15000</v>
          </cell>
          <cell r="G4065">
            <v>750</v>
          </cell>
        </row>
        <row r="4066">
          <cell r="B4066">
            <v>1</v>
          </cell>
          <cell r="C4066" t="str">
            <v>+ Cồn công nghiệp</v>
          </cell>
          <cell r="D4066" t="str">
            <v>kg</v>
          </cell>
          <cell r="E4066">
            <v>0.1</v>
          </cell>
          <cell r="F4066">
            <v>9500</v>
          </cell>
          <cell r="G4066">
            <v>950</v>
          </cell>
        </row>
        <row r="4067">
          <cell r="B4067">
            <v>9</v>
          </cell>
          <cell r="C4067" t="str">
            <v>+ Giẻ lau</v>
          </cell>
          <cell r="D4067" t="str">
            <v>Kg</v>
          </cell>
          <cell r="E4067">
            <v>0.2</v>
          </cell>
          <cell r="F4067">
            <v>9500</v>
          </cell>
          <cell r="G4067">
            <v>1900</v>
          </cell>
        </row>
        <row r="4068">
          <cell r="C4068" t="str">
            <v>Nhân công</v>
          </cell>
          <cell r="G4068">
            <v>114448.51315789473</v>
          </cell>
        </row>
        <row r="4069">
          <cell r="B4069" t="str">
            <v>NC1507</v>
          </cell>
          <cell r="C4069" t="str">
            <v>+ Nhân công bậc 5,0/7</v>
          </cell>
          <cell r="D4069" t="str">
            <v>Công</v>
          </cell>
          <cell r="E4069">
            <v>0.5</v>
          </cell>
          <cell r="F4069">
            <v>228897.02631578947</v>
          </cell>
          <cell r="G4069">
            <v>114448.51315789473</v>
          </cell>
        </row>
        <row r="4070">
          <cell r="C4070" t="str">
            <v>Máy thi công</v>
          </cell>
          <cell r="G4070">
            <v>6230.00432</v>
          </cell>
        </row>
        <row r="4071">
          <cell r="B4071">
            <v>7049</v>
          </cell>
          <cell r="C4071" t="str">
            <v>+ Máy thuỷ lực nối ép , vá dây</v>
          </cell>
          <cell r="D4071" t="str">
            <v>Ca</v>
          </cell>
          <cell r="E4071">
            <v>0.08</v>
          </cell>
          <cell r="F4071">
            <v>77875.054000000004</v>
          </cell>
          <cell r="G4071">
            <v>6230.00432</v>
          </cell>
        </row>
        <row r="4072">
          <cell r="A4072" t="str">
            <v>D3.4022</v>
          </cell>
          <cell r="C4072" t="str">
            <v>ép khoá lèo, khoá néo dây dẫn, Tiết diện dây =&lt; 150mm2</v>
          </cell>
          <cell r="D4072" t="str">
            <v>mối</v>
          </cell>
          <cell r="H4072">
            <v>3600</v>
          </cell>
          <cell r="I4072">
            <v>141916.15631578947</v>
          </cell>
          <cell r="J4072">
            <v>6230.00432</v>
          </cell>
        </row>
        <row r="4073">
          <cell r="C4073" t="str">
            <v>Vật liệu</v>
          </cell>
          <cell r="G4073">
            <v>3600</v>
          </cell>
        </row>
        <row r="4074">
          <cell r="B4074">
            <v>79</v>
          </cell>
          <cell r="C4074" t="str">
            <v>+ Mỡ trung tính</v>
          </cell>
          <cell r="D4074" t="str">
            <v>Kg</v>
          </cell>
          <cell r="E4074">
            <v>0.05</v>
          </cell>
          <cell r="F4074">
            <v>15000</v>
          </cell>
          <cell r="G4074">
            <v>750</v>
          </cell>
        </row>
        <row r="4075">
          <cell r="B4075">
            <v>1</v>
          </cell>
          <cell r="C4075" t="str">
            <v>+ Cồn công nghiệp</v>
          </cell>
          <cell r="D4075" t="str">
            <v>kg</v>
          </cell>
          <cell r="E4075">
            <v>0.1</v>
          </cell>
          <cell r="F4075">
            <v>9500</v>
          </cell>
          <cell r="G4075">
            <v>950</v>
          </cell>
        </row>
        <row r="4076">
          <cell r="B4076">
            <v>9</v>
          </cell>
          <cell r="C4076" t="str">
            <v>+ Giẻ lau</v>
          </cell>
          <cell r="D4076" t="str">
            <v>Kg</v>
          </cell>
          <cell r="E4076">
            <v>0.2</v>
          </cell>
          <cell r="F4076">
            <v>9500</v>
          </cell>
          <cell r="G4076">
            <v>1900</v>
          </cell>
        </row>
        <row r="4077">
          <cell r="C4077" t="str">
            <v>Nhân công</v>
          </cell>
          <cell r="G4077">
            <v>141916.15631578947</v>
          </cell>
        </row>
        <row r="4078">
          <cell r="B4078" t="str">
            <v>NC1507</v>
          </cell>
          <cell r="C4078" t="str">
            <v>+ Nhân công bậc 5,0/7</v>
          </cell>
          <cell r="D4078" t="str">
            <v>Công</v>
          </cell>
          <cell r="E4078">
            <v>0.62</v>
          </cell>
          <cell r="F4078">
            <v>228897.02631578947</v>
          </cell>
          <cell r="G4078">
            <v>141916.15631578947</v>
          </cell>
        </row>
        <row r="4079">
          <cell r="C4079" t="str">
            <v>Máy thi công</v>
          </cell>
          <cell r="G4079">
            <v>6230.00432</v>
          </cell>
        </row>
        <row r="4080">
          <cell r="B4080">
            <v>7049</v>
          </cell>
          <cell r="C4080" t="str">
            <v>+ Máy thuỷ lực nối ép , vá dây</v>
          </cell>
          <cell r="D4080" t="str">
            <v>Ca</v>
          </cell>
          <cell r="E4080">
            <v>0.08</v>
          </cell>
          <cell r="F4080">
            <v>77875.054000000004</v>
          </cell>
          <cell r="G4080">
            <v>6230.00432</v>
          </cell>
        </row>
        <row r="4081">
          <cell r="A4081" t="str">
            <v>D3.4023</v>
          </cell>
          <cell r="C4081" t="str">
            <v>ép khoá lèo, khoá néo dây dẫn, Tiết diện dây =&lt; 185mm2</v>
          </cell>
          <cell r="D4081" t="str">
            <v>mối</v>
          </cell>
          <cell r="H4081">
            <v>3600</v>
          </cell>
          <cell r="I4081">
            <v>173961.74</v>
          </cell>
          <cell r="J4081">
            <v>6230.00432</v>
          </cell>
        </row>
        <row r="4082">
          <cell r="C4082" t="str">
            <v>Vật liệu</v>
          </cell>
          <cell r="G4082">
            <v>3600</v>
          </cell>
        </row>
        <row r="4083">
          <cell r="B4083">
            <v>79</v>
          </cell>
          <cell r="C4083" t="str">
            <v>+ Mỡ trung tính</v>
          </cell>
          <cell r="D4083" t="str">
            <v>Kg</v>
          </cell>
          <cell r="E4083">
            <v>0.05</v>
          </cell>
          <cell r="F4083">
            <v>15000</v>
          </cell>
          <cell r="G4083">
            <v>750</v>
          </cell>
        </row>
        <row r="4084">
          <cell r="B4084">
            <v>1</v>
          </cell>
          <cell r="C4084" t="str">
            <v>+ Cồn công nghiệp</v>
          </cell>
          <cell r="D4084" t="str">
            <v>kg</v>
          </cell>
          <cell r="E4084">
            <v>0.1</v>
          </cell>
          <cell r="F4084">
            <v>9500</v>
          </cell>
          <cell r="G4084">
            <v>950</v>
          </cell>
        </row>
        <row r="4085">
          <cell r="B4085">
            <v>9</v>
          </cell>
          <cell r="C4085" t="str">
            <v>+ Giẻ lau</v>
          </cell>
          <cell r="D4085" t="str">
            <v>Kg</v>
          </cell>
          <cell r="E4085">
            <v>0.2</v>
          </cell>
          <cell r="F4085">
            <v>9500</v>
          </cell>
          <cell r="G4085">
            <v>1900</v>
          </cell>
        </row>
        <row r="4086">
          <cell r="C4086" t="str">
            <v>Nhân công</v>
          </cell>
          <cell r="G4086">
            <v>173961.74</v>
          </cell>
        </row>
        <row r="4087">
          <cell r="B4087" t="str">
            <v>NC1507</v>
          </cell>
          <cell r="C4087" t="str">
            <v>+ Nhân công bậc 5,0/7</v>
          </cell>
          <cell r="D4087" t="str">
            <v>Công</v>
          </cell>
          <cell r="E4087">
            <v>0.76</v>
          </cell>
          <cell r="F4087">
            <v>228897.02631578947</v>
          </cell>
          <cell r="G4087">
            <v>173961.74</v>
          </cell>
        </row>
        <row r="4088">
          <cell r="C4088" t="str">
            <v>Máy thi công</v>
          </cell>
          <cell r="G4088">
            <v>6230.00432</v>
          </cell>
        </row>
        <row r="4089">
          <cell r="B4089">
            <v>7049</v>
          </cell>
          <cell r="C4089" t="str">
            <v>+ Máy thuỷ lực nối ép , vá dây</v>
          </cell>
          <cell r="D4089" t="str">
            <v>Ca</v>
          </cell>
          <cell r="E4089">
            <v>0.08</v>
          </cell>
          <cell r="F4089">
            <v>77875.054000000004</v>
          </cell>
          <cell r="G4089">
            <v>6230.00432</v>
          </cell>
        </row>
        <row r="4090">
          <cell r="A4090" t="str">
            <v>D3.4024</v>
          </cell>
          <cell r="C4090" t="str">
            <v>ép khoá lèo, khoá néo dây dẫn, Tiết diện dây =&lt; 240mm2</v>
          </cell>
          <cell r="D4090" t="str">
            <v>mối</v>
          </cell>
          <cell r="H4090">
            <v>4825</v>
          </cell>
          <cell r="I4090">
            <v>226608.05605263158</v>
          </cell>
          <cell r="J4090">
            <v>7787.5054000000009</v>
          </cell>
        </row>
        <row r="4091">
          <cell r="C4091" t="str">
            <v>Vật liệu</v>
          </cell>
          <cell r="G4091">
            <v>4825</v>
          </cell>
        </row>
        <row r="4092">
          <cell r="B4092">
            <v>79</v>
          </cell>
          <cell r="C4092" t="str">
            <v>+ Mỡ trung tính</v>
          </cell>
          <cell r="D4092" t="str">
            <v>Kg</v>
          </cell>
          <cell r="E4092">
            <v>0.1</v>
          </cell>
          <cell r="F4092">
            <v>15000</v>
          </cell>
          <cell r="G4092">
            <v>1500</v>
          </cell>
        </row>
        <row r="4093">
          <cell r="B4093">
            <v>1</v>
          </cell>
          <cell r="C4093" t="str">
            <v>+ Cồn công nghiệp</v>
          </cell>
          <cell r="D4093" t="str">
            <v>kg</v>
          </cell>
          <cell r="E4093">
            <v>0.15</v>
          </cell>
          <cell r="F4093">
            <v>9500</v>
          </cell>
          <cell r="G4093">
            <v>1425</v>
          </cell>
        </row>
        <row r="4094">
          <cell r="B4094">
            <v>9</v>
          </cell>
          <cell r="C4094" t="str">
            <v>+ Giẻ lau</v>
          </cell>
          <cell r="D4094" t="str">
            <v>Kg</v>
          </cell>
          <cell r="E4094">
            <v>0.2</v>
          </cell>
          <cell r="F4094">
            <v>9500</v>
          </cell>
          <cell r="G4094">
            <v>1900</v>
          </cell>
        </row>
        <row r="4095">
          <cell r="C4095" t="str">
            <v>Nhân công</v>
          </cell>
          <cell r="G4095">
            <v>226608.05605263158</v>
          </cell>
        </row>
        <row r="4096">
          <cell r="B4096" t="str">
            <v>NC1507</v>
          </cell>
          <cell r="C4096" t="str">
            <v>+ Nhân công bậc 5,0/7</v>
          </cell>
          <cell r="D4096" t="str">
            <v>Công</v>
          </cell>
          <cell r="E4096">
            <v>0.99</v>
          </cell>
          <cell r="F4096">
            <v>228897.02631578947</v>
          </cell>
          <cell r="G4096">
            <v>226608.05605263158</v>
          </cell>
        </row>
        <row r="4097">
          <cell r="C4097" t="str">
            <v>Máy thi công</v>
          </cell>
          <cell r="G4097">
            <v>7787.5054000000009</v>
          </cell>
        </row>
        <row r="4098">
          <cell r="B4098">
            <v>7049</v>
          </cell>
          <cell r="C4098" t="str">
            <v>+ Máy thuỷ lực nối ép , vá dây</v>
          </cell>
          <cell r="D4098" t="str">
            <v>Ca</v>
          </cell>
          <cell r="E4098">
            <v>0.1</v>
          </cell>
          <cell r="F4098">
            <v>77875.054000000004</v>
          </cell>
          <cell r="G4098">
            <v>7787.5054000000009</v>
          </cell>
        </row>
        <row r="4099">
          <cell r="A4099" t="str">
            <v>D3.4025</v>
          </cell>
          <cell r="C4099" t="str">
            <v>ép khoá lèo, khoá néo dây dẫn, Tiết diện dây =&lt; 300mm2</v>
          </cell>
          <cell r="D4099" t="str">
            <v>mối</v>
          </cell>
          <cell r="H4099">
            <v>4825</v>
          </cell>
          <cell r="I4099">
            <v>228897.02631578947</v>
          </cell>
          <cell r="J4099">
            <v>7787.5054000000009</v>
          </cell>
        </row>
        <row r="4100">
          <cell r="C4100" t="str">
            <v>Vật liệu</v>
          </cell>
          <cell r="G4100">
            <v>4825</v>
          </cell>
        </row>
        <row r="4101">
          <cell r="B4101">
            <v>79</v>
          </cell>
          <cell r="C4101" t="str">
            <v>+ Mỡ trung tính</v>
          </cell>
          <cell r="D4101" t="str">
            <v>Kg</v>
          </cell>
          <cell r="E4101">
            <v>0.1</v>
          </cell>
          <cell r="F4101">
            <v>15000</v>
          </cell>
          <cell r="G4101">
            <v>1500</v>
          </cell>
        </row>
        <row r="4102">
          <cell r="B4102">
            <v>1</v>
          </cell>
          <cell r="C4102" t="str">
            <v>+ Cồn công nghiệp</v>
          </cell>
          <cell r="D4102" t="str">
            <v>kg</v>
          </cell>
          <cell r="E4102">
            <v>0.15</v>
          </cell>
          <cell r="F4102">
            <v>9500</v>
          </cell>
          <cell r="G4102">
            <v>1425</v>
          </cell>
        </row>
        <row r="4103">
          <cell r="B4103">
            <v>9</v>
          </cell>
          <cell r="C4103" t="str">
            <v>+ Giẻ lau</v>
          </cell>
          <cell r="D4103" t="str">
            <v>Kg</v>
          </cell>
          <cell r="E4103">
            <v>0.2</v>
          </cell>
          <cell r="F4103">
            <v>9500</v>
          </cell>
          <cell r="G4103">
            <v>1900</v>
          </cell>
        </row>
        <row r="4104">
          <cell r="C4104" t="str">
            <v>Nhân công</v>
          </cell>
          <cell r="G4104">
            <v>228897.02631578947</v>
          </cell>
        </row>
        <row r="4105">
          <cell r="B4105" t="str">
            <v>NC1507</v>
          </cell>
          <cell r="C4105" t="str">
            <v>+ Nhân công bậc 5,0/7</v>
          </cell>
          <cell r="D4105" t="str">
            <v>Công</v>
          </cell>
          <cell r="E4105">
            <v>1</v>
          </cell>
          <cell r="F4105">
            <v>228897.02631578947</v>
          </cell>
          <cell r="G4105">
            <v>228897.02631578947</v>
          </cell>
        </row>
        <row r="4106">
          <cell r="C4106" t="str">
            <v>Máy thi công</v>
          </cell>
          <cell r="G4106">
            <v>7787.5054000000009</v>
          </cell>
        </row>
        <row r="4107">
          <cell r="B4107">
            <v>7049</v>
          </cell>
          <cell r="C4107" t="str">
            <v>+ Máy thuỷ lực nối ép , vá dây</v>
          </cell>
          <cell r="D4107" t="str">
            <v>Ca</v>
          </cell>
          <cell r="E4107">
            <v>0.1</v>
          </cell>
          <cell r="F4107">
            <v>77875.054000000004</v>
          </cell>
          <cell r="G4107">
            <v>7787.5054000000009</v>
          </cell>
        </row>
        <row r="4108">
          <cell r="A4108" t="str">
            <v>D3.4026</v>
          </cell>
          <cell r="C4108" t="str">
            <v>ép khoá lèo, khoá néo dây dẫn, Tiết diện dây =&lt; 400mm2</v>
          </cell>
          <cell r="D4108" t="str">
            <v>mối</v>
          </cell>
          <cell r="H4108">
            <v>4825</v>
          </cell>
          <cell r="I4108">
            <v>286121.28289473685</v>
          </cell>
          <cell r="J4108">
            <v>7787.5054000000009</v>
          </cell>
        </row>
        <row r="4109">
          <cell r="C4109" t="str">
            <v>Vật liệu</v>
          </cell>
          <cell r="G4109">
            <v>4825</v>
          </cell>
        </row>
        <row r="4110">
          <cell r="B4110">
            <v>79</v>
          </cell>
          <cell r="C4110" t="str">
            <v>+ Mỡ trung tính</v>
          </cell>
          <cell r="D4110" t="str">
            <v>Kg</v>
          </cell>
          <cell r="E4110">
            <v>0.1</v>
          </cell>
          <cell r="F4110">
            <v>15000</v>
          </cell>
          <cell r="G4110">
            <v>1500</v>
          </cell>
        </row>
        <row r="4111">
          <cell r="B4111">
            <v>1</v>
          </cell>
          <cell r="C4111" t="str">
            <v>+ Cồn công nghiệp</v>
          </cell>
          <cell r="D4111" t="str">
            <v>kg</v>
          </cell>
          <cell r="E4111">
            <v>0.15</v>
          </cell>
          <cell r="F4111">
            <v>9500</v>
          </cell>
          <cell r="G4111">
            <v>1425</v>
          </cell>
        </row>
        <row r="4112">
          <cell r="B4112">
            <v>9</v>
          </cell>
          <cell r="C4112" t="str">
            <v>+ Giẻ lau</v>
          </cell>
          <cell r="D4112" t="str">
            <v>Kg</v>
          </cell>
          <cell r="E4112">
            <v>0.2</v>
          </cell>
          <cell r="F4112">
            <v>9500</v>
          </cell>
          <cell r="G4112">
            <v>1900</v>
          </cell>
        </row>
        <row r="4113">
          <cell r="C4113" t="str">
            <v>Nhân công</v>
          </cell>
          <cell r="G4113">
            <v>286121.28289473685</v>
          </cell>
        </row>
        <row r="4114">
          <cell r="B4114" t="str">
            <v>NC1507</v>
          </cell>
          <cell r="C4114" t="str">
            <v>+ Nhân công bậc 5,0/7</v>
          </cell>
          <cell r="D4114" t="str">
            <v>Công</v>
          </cell>
          <cell r="E4114">
            <v>1.25</v>
          </cell>
          <cell r="F4114">
            <v>228897.02631578947</v>
          </cell>
          <cell r="G4114">
            <v>286121.28289473685</v>
          </cell>
        </row>
        <row r="4115">
          <cell r="C4115" t="str">
            <v>Máy thi công</v>
          </cell>
          <cell r="G4115">
            <v>7787.5054000000009</v>
          </cell>
        </row>
        <row r="4116">
          <cell r="B4116">
            <v>7049</v>
          </cell>
          <cell r="C4116" t="str">
            <v>+ Máy thuỷ lực nối ép , vá dây</v>
          </cell>
          <cell r="D4116" t="str">
            <v>Ca</v>
          </cell>
          <cell r="E4116">
            <v>0.1</v>
          </cell>
          <cell r="F4116">
            <v>77875.054000000004</v>
          </cell>
          <cell r="G4116">
            <v>7787.5054000000009</v>
          </cell>
        </row>
        <row r="4117">
          <cell r="A4117" t="str">
            <v>D3.4027</v>
          </cell>
          <cell r="C4117" t="str">
            <v>ép khoá lèo, khoá néo dây dẫn, Tiết diện dây =&lt; 500mm2</v>
          </cell>
          <cell r="D4117" t="str">
            <v>mối</v>
          </cell>
          <cell r="H4117">
            <v>4825</v>
          </cell>
          <cell r="I4117">
            <v>343345.53947368421</v>
          </cell>
          <cell r="J4117">
            <v>7787.5054000000009</v>
          </cell>
        </row>
        <row r="4118">
          <cell r="C4118" t="str">
            <v>Vật liệu</v>
          </cell>
          <cell r="G4118">
            <v>4825</v>
          </cell>
        </row>
        <row r="4119">
          <cell r="B4119">
            <v>79</v>
          </cell>
          <cell r="C4119" t="str">
            <v>+ Mỡ trung tính</v>
          </cell>
          <cell r="D4119" t="str">
            <v>Kg</v>
          </cell>
          <cell r="E4119">
            <v>0.1</v>
          </cell>
          <cell r="F4119">
            <v>15000</v>
          </cell>
          <cell r="G4119">
            <v>1500</v>
          </cell>
        </row>
        <row r="4120">
          <cell r="B4120">
            <v>1</v>
          </cell>
          <cell r="C4120" t="str">
            <v>+ Cồn công nghiệp</v>
          </cell>
          <cell r="D4120" t="str">
            <v>kg</v>
          </cell>
          <cell r="E4120">
            <v>0.15</v>
          </cell>
          <cell r="F4120">
            <v>9500</v>
          </cell>
          <cell r="G4120">
            <v>1425</v>
          </cell>
        </row>
        <row r="4121">
          <cell r="B4121">
            <v>9</v>
          </cell>
          <cell r="C4121" t="str">
            <v>+ Giẻ lau</v>
          </cell>
          <cell r="D4121" t="str">
            <v>Kg</v>
          </cell>
          <cell r="E4121">
            <v>0.2</v>
          </cell>
          <cell r="F4121">
            <v>9500</v>
          </cell>
          <cell r="G4121">
            <v>1900</v>
          </cell>
        </row>
        <row r="4122">
          <cell r="C4122" t="str">
            <v>Nhân công</v>
          </cell>
          <cell r="G4122">
            <v>343345.53947368421</v>
          </cell>
        </row>
        <row r="4123">
          <cell r="B4123" t="str">
            <v>NC1507</v>
          </cell>
          <cell r="C4123" t="str">
            <v>+ Nhân công bậc 5,0/7</v>
          </cell>
          <cell r="D4123" t="str">
            <v>Công</v>
          </cell>
          <cell r="E4123">
            <v>1.5</v>
          </cell>
          <cell r="F4123">
            <v>228897.02631578947</v>
          </cell>
          <cell r="G4123">
            <v>343345.53947368421</v>
          </cell>
        </row>
        <row r="4124">
          <cell r="C4124" t="str">
            <v>Máy thi công</v>
          </cell>
          <cell r="G4124">
            <v>7787.5054000000009</v>
          </cell>
        </row>
        <row r="4125">
          <cell r="B4125">
            <v>7049</v>
          </cell>
          <cell r="C4125" t="str">
            <v>+ Máy thuỷ lực nối ép , vá dây</v>
          </cell>
          <cell r="D4125" t="str">
            <v>Ca</v>
          </cell>
          <cell r="E4125">
            <v>0.1</v>
          </cell>
          <cell r="F4125">
            <v>77875.054000000004</v>
          </cell>
          <cell r="G4125">
            <v>7787.5054000000009</v>
          </cell>
        </row>
        <row r="4126">
          <cell r="A4126" t="str">
            <v>D3.4028</v>
          </cell>
          <cell r="C4126" t="str">
            <v>ép khoá lèo, khoá néo dây dẫn, Tiết diện dây =&lt; 500mm2</v>
          </cell>
          <cell r="D4126" t="str">
            <v>mối</v>
          </cell>
          <cell r="H4126">
            <v>4825</v>
          </cell>
          <cell r="I4126">
            <v>412014.64736842102</v>
          </cell>
          <cell r="J4126">
            <v>7787.5054000000009</v>
          </cell>
        </row>
        <row r="4127">
          <cell r="C4127" t="str">
            <v>Vật liệu</v>
          </cell>
          <cell r="G4127">
            <v>4825</v>
          </cell>
        </row>
        <row r="4128">
          <cell r="B4128">
            <v>79</v>
          </cell>
          <cell r="C4128" t="str">
            <v>+ Mỡ trung tính</v>
          </cell>
          <cell r="D4128" t="str">
            <v>Kg</v>
          </cell>
          <cell r="E4128">
            <v>0.1</v>
          </cell>
          <cell r="F4128">
            <v>15000</v>
          </cell>
          <cell r="G4128">
            <v>1500</v>
          </cell>
        </row>
        <row r="4129">
          <cell r="B4129">
            <v>1</v>
          </cell>
          <cell r="C4129" t="str">
            <v>+ Cồn công nghiệp</v>
          </cell>
          <cell r="D4129" t="str">
            <v>kg</v>
          </cell>
          <cell r="E4129">
            <v>0.15</v>
          </cell>
          <cell r="F4129">
            <v>9500</v>
          </cell>
          <cell r="G4129">
            <v>1425</v>
          </cell>
        </row>
        <row r="4130">
          <cell r="B4130">
            <v>9</v>
          </cell>
          <cell r="C4130" t="str">
            <v>+ Giẻ lau</v>
          </cell>
          <cell r="D4130" t="str">
            <v>Kg</v>
          </cell>
          <cell r="E4130">
            <v>0.2</v>
          </cell>
          <cell r="F4130">
            <v>9500</v>
          </cell>
          <cell r="G4130">
            <v>1900</v>
          </cell>
        </row>
        <row r="4131">
          <cell r="C4131" t="str">
            <v>Nhân công</v>
          </cell>
          <cell r="G4131">
            <v>412014.64736842102</v>
          </cell>
        </row>
        <row r="4132">
          <cell r="B4132" t="str">
            <v>NC1507</v>
          </cell>
          <cell r="C4132" t="str">
            <v>+ Nhân công bậc 5,0/7</v>
          </cell>
          <cell r="D4132" t="str">
            <v>Công</v>
          </cell>
          <cell r="E4132">
            <v>1.8</v>
          </cell>
          <cell r="F4132">
            <v>228897.02631578947</v>
          </cell>
          <cell r="G4132">
            <v>412014.64736842102</v>
          </cell>
        </row>
        <row r="4133">
          <cell r="C4133" t="str">
            <v>Máy thi công</v>
          </cell>
          <cell r="G4133">
            <v>7787.5054000000009</v>
          </cell>
        </row>
        <row r="4134">
          <cell r="B4134">
            <v>7049</v>
          </cell>
          <cell r="C4134" t="str">
            <v>+ Máy thuỷ lực nối ép , vá dây</v>
          </cell>
          <cell r="D4134" t="str">
            <v>Ca</v>
          </cell>
          <cell r="E4134">
            <v>0.1</v>
          </cell>
          <cell r="F4134">
            <v>77875.054000000004</v>
          </cell>
          <cell r="G4134">
            <v>7787.5054000000009</v>
          </cell>
        </row>
        <row r="4135">
          <cell r="A4135" t="str">
            <v>D3.4031</v>
          </cell>
          <cell r="C4135" t="str">
            <v>ép vá dây dẫn, Tiết diện dây =&lt; 120mm2</v>
          </cell>
          <cell r="D4135" t="str">
            <v>mối</v>
          </cell>
          <cell r="H4135">
            <v>3600</v>
          </cell>
          <cell r="I4135">
            <v>105292.63210526315</v>
          </cell>
          <cell r="J4135">
            <v>6230.00432</v>
          </cell>
        </row>
        <row r="4136">
          <cell r="C4136" t="str">
            <v>Vật liệu</v>
          </cell>
          <cell r="G4136">
            <v>3600</v>
          </cell>
        </row>
        <row r="4137">
          <cell r="B4137">
            <v>79</v>
          </cell>
          <cell r="C4137" t="str">
            <v>+ Mỡ trung tính</v>
          </cell>
          <cell r="D4137" t="str">
            <v>Kg</v>
          </cell>
          <cell r="E4137">
            <v>0.05</v>
          </cell>
          <cell r="F4137">
            <v>15000</v>
          </cell>
          <cell r="G4137">
            <v>750</v>
          </cell>
        </row>
        <row r="4138">
          <cell r="B4138">
            <v>1</v>
          </cell>
          <cell r="C4138" t="str">
            <v>+ Cồn công nghiệp</v>
          </cell>
          <cell r="D4138" t="str">
            <v>kg</v>
          </cell>
          <cell r="E4138">
            <v>0.1</v>
          </cell>
          <cell r="F4138">
            <v>9500</v>
          </cell>
          <cell r="G4138">
            <v>950</v>
          </cell>
        </row>
        <row r="4139">
          <cell r="B4139">
            <v>9</v>
          </cell>
          <cell r="C4139" t="str">
            <v>+ Giẻ lau</v>
          </cell>
          <cell r="D4139" t="str">
            <v>Kg</v>
          </cell>
          <cell r="E4139">
            <v>0.2</v>
          </cell>
          <cell r="F4139">
            <v>9500</v>
          </cell>
          <cell r="G4139">
            <v>1900</v>
          </cell>
        </row>
        <row r="4140">
          <cell r="C4140" t="str">
            <v>Nhân công</v>
          </cell>
          <cell r="G4140">
            <v>105292.63210526315</v>
          </cell>
        </row>
        <row r="4141">
          <cell r="B4141" t="str">
            <v>NC1507</v>
          </cell>
          <cell r="C4141" t="str">
            <v>+ Nhân công bậc 5,0/7</v>
          </cell>
          <cell r="D4141" t="str">
            <v>Công</v>
          </cell>
          <cell r="E4141">
            <v>0.46</v>
          </cell>
          <cell r="F4141">
            <v>228897.02631578947</v>
          </cell>
          <cell r="G4141">
            <v>105292.63210526315</v>
          </cell>
        </row>
        <row r="4142">
          <cell r="C4142" t="str">
            <v>Máy thi công</v>
          </cell>
          <cell r="G4142">
            <v>6230.00432</v>
          </cell>
        </row>
        <row r="4143">
          <cell r="B4143">
            <v>7049</v>
          </cell>
          <cell r="C4143" t="str">
            <v>+ Máy thuỷ lực nối ép , vá dây</v>
          </cell>
          <cell r="D4143" t="str">
            <v>Ca</v>
          </cell>
          <cell r="E4143">
            <v>0.08</v>
          </cell>
          <cell r="F4143">
            <v>77875.054000000004</v>
          </cell>
          <cell r="G4143">
            <v>6230.00432</v>
          </cell>
        </row>
        <row r="4144">
          <cell r="A4144" t="str">
            <v>D3.4032</v>
          </cell>
          <cell r="C4144" t="str">
            <v>ép vá dây dẫn, Tiết diện dây =&lt; 150mm2</v>
          </cell>
          <cell r="D4144" t="str">
            <v>mối</v>
          </cell>
          <cell r="H4144">
            <v>3600</v>
          </cell>
          <cell r="I4144">
            <v>132760.27526315788</v>
          </cell>
          <cell r="J4144">
            <v>6230.00432</v>
          </cell>
        </row>
        <row r="4145">
          <cell r="C4145" t="str">
            <v>Vật liệu</v>
          </cell>
          <cell r="G4145">
            <v>3600</v>
          </cell>
        </row>
        <row r="4146">
          <cell r="B4146">
            <v>79</v>
          </cell>
          <cell r="C4146" t="str">
            <v>+ Mỡ trung tính</v>
          </cell>
          <cell r="D4146" t="str">
            <v>Kg</v>
          </cell>
          <cell r="E4146">
            <v>0.05</v>
          </cell>
          <cell r="F4146">
            <v>15000</v>
          </cell>
          <cell r="G4146">
            <v>750</v>
          </cell>
        </row>
        <row r="4147">
          <cell r="B4147">
            <v>1</v>
          </cell>
          <cell r="C4147" t="str">
            <v>+ Cồn công nghiệp</v>
          </cell>
          <cell r="D4147" t="str">
            <v>kg</v>
          </cell>
          <cell r="E4147">
            <v>0.1</v>
          </cell>
          <cell r="F4147">
            <v>9500</v>
          </cell>
          <cell r="G4147">
            <v>950</v>
          </cell>
        </row>
        <row r="4148">
          <cell r="B4148">
            <v>9</v>
          </cell>
          <cell r="C4148" t="str">
            <v>+ Giẻ lau</v>
          </cell>
          <cell r="D4148" t="str">
            <v>Kg</v>
          </cell>
          <cell r="E4148">
            <v>0.2</v>
          </cell>
          <cell r="F4148">
            <v>9500</v>
          </cell>
          <cell r="G4148">
            <v>1900</v>
          </cell>
        </row>
        <row r="4149">
          <cell r="C4149" t="str">
            <v>Nhân công</v>
          </cell>
          <cell r="G4149">
            <v>132760.27526315788</v>
          </cell>
        </row>
        <row r="4150">
          <cell r="B4150" t="str">
            <v>NC1507</v>
          </cell>
          <cell r="C4150" t="str">
            <v>+ Nhân công bậc 5,0/7</v>
          </cell>
          <cell r="D4150" t="str">
            <v>Công</v>
          </cell>
          <cell r="E4150">
            <v>0.57999999999999996</v>
          </cell>
          <cell r="F4150">
            <v>228897.02631578947</v>
          </cell>
          <cell r="G4150">
            <v>132760.27526315788</v>
          </cell>
        </row>
        <row r="4151">
          <cell r="C4151" t="str">
            <v>Máy thi công</v>
          </cell>
          <cell r="G4151">
            <v>6230.00432</v>
          </cell>
        </row>
        <row r="4152">
          <cell r="B4152">
            <v>7049</v>
          </cell>
          <cell r="C4152" t="str">
            <v>+ Máy thuỷ lực nối ép , vá dây</v>
          </cell>
          <cell r="D4152" t="str">
            <v>Ca</v>
          </cell>
          <cell r="E4152">
            <v>0.08</v>
          </cell>
          <cell r="F4152">
            <v>77875.054000000004</v>
          </cell>
          <cell r="G4152">
            <v>6230.00432</v>
          </cell>
        </row>
        <row r="4153">
          <cell r="A4153" t="str">
            <v>D3.4033</v>
          </cell>
          <cell r="C4153" t="str">
            <v>ép vá dây dẫn, Tiết diện dây =&lt; 185mm2</v>
          </cell>
          <cell r="D4153" t="str">
            <v>mối</v>
          </cell>
          <cell r="H4153">
            <v>3600</v>
          </cell>
          <cell r="I4153">
            <v>162516.88868421051</v>
          </cell>
          <cell r="J4153">
            <v>6230.00432</v>
          </cell>
        </row>
        <row r="4154">
          <cell r="C4154" t="str">
            <v>Vật liệu</v>
          </cell>
          <cell r="G4154">
            <v>3600</v>
          </cell>
        </row>
        <row r="4155">
          <cell r="B4155">
            <v>79</v>
          </cell>
          <cell r="C4155" t="str">
            <v>+ Mỡ trung tính</v>
          </cell>
          <cell r="D4155" t="str">
            <v>Kg</v>
          </cell>
          <cell r="E4155">
            <v>0.05</v>
          </cell>
          <cell r="F4155">
            <v>15000</v>
          </cell>
          <cell r="G4155">
            <v>750</v>
          </cell>
        </row>
        <row r="4156">
          <cell r="B4156">
            <v>1</v>
          </cell>
          <cell r="C4156" t="str">
            <v>+ Cồn công nghiệp</v>
          </cell>
          <cell r="D4156" t="str">
            <v>kg</v>
          </cell>
          <cell r="E4156">
            <v>0.1</v>
          </cell>
          <cell r="F4156">
            <v>9500</v>
          </cell>
          <cell r="G4156">
            <v>950</v>
          </cell>
        </row>
        <row r="4157">
          <cell r="B4157">
            <v>9</v>
          </cell>
          <cell r="C4157" t="str">
            <v>+ Giẻ lau</v>
          </cell>
          <cell r="D4157" t="str">
            <v>Kg</v>
          </cell>
          <cell r="E4157">
            <v>0.2</v>
          </cell>
          <cell r="F4157">
            <v>9500</v>
          </cell>
          <cell r="G4157">
            <v>1900</v>
          </cell>
        </row>
        <row r="4158">
          <cell r="C4158" t="str">
            <v>Nhân công</v>
          </cell>
          <cell r="G4158">
            <v>162516.88868421051</v>
          </cell>
        </row>
        <row r="4159">
          <cell r="B4159" t="str">
            <v>NC1507</v>
          </cell>
          <cell r="C4159" t="str">
            <v>+ Nhân công bậc 5,0/7</v>
          </cell>
          <cell r="D4159" t="str">
            <v>Công</v>
          </cell>
          <cell r="E4159">
            <v>0.71</v>
          </cell>
          <cell r="F4159">
            <v>228897.02631578947</v>
          </cell>
          <cell r="G4159">
            <v>162516.88868421051</v>
          </cell>
        </row>
        <row r="4160">
          <cell r="C4160" t="str">
            <v>Máy thi công</v>
          </cell>
          <cell r="G4160">
            <v>6230.00432</v>
          </cell>
        </row>
        <row r="4161">
          <cell r="B4161">
            <v>7049</v>
          </cell>
          <cell r="C4161" t="str">
            <v>+ Máy thuỷ lực nối ép , vá dây</v>
          </cell>
          <cell r="D4161" t="str">
            <v>Ca</v>
          </cell>
          <cell r="E4161">
            <v>0.08</v>
          </cell>
          <cell r="F4161">
            <v>77875.054000000004</v>
          </cell>
          <cell r="G4161">
            <v>6230.00432</v>
          </cell>
        </row>
        <row r="4162">
          <cell r="A4162" t="str">
            <v>D3.4034</v>
          </cell>
          <cell r="C4162" t="str">
            <v>ép vá dây dẫn, Tiết diện dây =&lt; 240mm2</v>
          </cell>
          <cell r="D4162" t="str">
            <v>mối</v>
          </cell>
          <cell r="H4162">
            <v>4825</v>
          </cell>
          <cell r="I4162">
            <v>210585.26421052631</v>
          </cell>
          <cell r="J4162">
            <v>7787.5054000000009</v>
          </cell>
        </row>
        <row r="4163">
          <cell r="C4163" t="str">
            <v>Vật liệu</v>
          </cell>
          <cell r="G4163">
            <v>4825</v>
          </cell>
        </row>
        <row r="4164">
          <cell r="B4164">
            <v>79</v>
          </cell>
          <cell r="C4164" t="str">
            <v>+ Mỡ trung tính</v>
          </cell>
          <cell r="D4164" t="str">
            <v>Kg</v>
          </cell>
          <cell r="E4164">
            <v>0.1</v>
          </cell>
          <cell r="F4164">
            <v>15000</v>
          </cell>
          <cell r="G4164">
            <v>1500</v>
          </cell>
        </row>
        <row r="4165">
          <cell r="B4165">
            <v>1</v>
          </cell>
          <cell r="C4165" t="str">
            <v>+ Cồn công nghiệp</v>
          </cell>
          <cell r="D4165" t="str">
            <v>kg</v>
          </cell>
          <cell r="E4165">
            <v>0.15</v>
          </cell>
          <cell r="F4165">
            <v>9500</v>
          </cell>
          <cell r="G4165">
            <v>1425</v>
          </cell>
        </row>
        <row r="4166">
          <cell r="B4166">
            <v>9</v>
          </cell>
          <cell r="C4166" t="str">
            <v>+ Giẻ lau</v>
          </cell>
          <cell r="D4166" t="str">
            <v>Kg</v>
          </cell>
          <cell r="E4166">
            <v>0.2</v>
          </cell>
          <cell r="F4166">
            <v>9500</v>
          </cell>
          <cell r="G4166">
            <v>1900</v>
          </cell>
        </row>
        <row r="4167">
          <cell r="C4167" t="str">
            <v>Nhân công</v>
          </cell>
          <cell r="G4167">
            <v>210585.26421052631</v>
          </cell>
        </row>
        <row r="4168">
          <cell r="B4168" t="str">
            <v>NC1507</v>
          </cell>
          <cell r="C4168" t="str">
            <v>+ Nhân công bậc 5,0/7</v>
          </cell>
          <cell r="D4168" t="str">
            <v>Công</v>
          </cell>
          <cell r="E4168">
            <v>0.92</v>
          </cell>
          <cell r="F4168">
            <v>228897.02631578947</v>
          </cell>
          <cell r="G4168">
            <v>210585.26421052631</v>
          </cell>
        </row>
        <row r="4169">
          <cell r="C4169" t="str">
            <v>Máy thi công</v>
          </cell>
          <cell r="G4169">
            <v>7787.5054000000009</v>
          </cell>
        </row>
        <row r="4170">
          <cell r="B4170">
            <v>7049</v>
          </cell>
          <cell r="C4170" t="str">
            <v>+ Máy thuỷ lực nối ép , vá dây</v>
          </cell>
          <cell r="D4170" t="str">
            <v>Ca</v>
          </cell>
          <cell r="E4170">
            <v>0.1</v>
          </cell>
          <cell r="F4170">
            <v>77875.054000000004</v>
          </cell>
          <cell r="G4170">
            <v>7787.5054000000009</v>
          </cell>
        </row>
        <row r="4171">
          <cell r="A4171" t="str">
            <v>D3.4035</v>
          </cell>
          <cell r="C4171" t="str">
            <v>ép vá dây dẫn, Tiết diện dây =&lt; 300mm2</v>
          </cell>
          <cell r="D4171" t="str">
            <v>mối</v>
          </cell>
          <cell r="H4171">
            <v>4825</v>
          </cell>
          <cell r="I4171">
            <v>224319.08578947367</v>
          </cell>
          <cell r="J4171">
            <v>7787.5054000000009</v>
          </cell>
        </row>
        <row r="4172">
          <cell r="C4172" t="str">
            <v>Vật liệu</v>
          </cell>
          <cell r="G4172">
            <v>4825</v>
          </cell>
        </row>
        <row r="4173">
          <cell r="B4173">
            <v>79</v>
          </cell>
          <cell r="C4173" t="str">
            <v>+ Mỡ trung tính</v>
          </cell>
          <cell r="D4173" t="str">
            <v>Kg</v>
          </cell>
          <cell r="E4173">
            <v>0.1</v>
          </cell>
          <cell r="F4173">
            <v>15000</v>
          </cell>
          <cell r="G4173">
            <v>1500</v>
          </cell>
        </row>
        <row r="4174">
          <cell r="B4174">
            <v>1</v>
          </cell>
          <cell r="C4174" t="str">
            <v>+ Cồn công nghiệp</v>
          </cell>
          <cell r="D4174" t="str">
            <v>kg</v>
          </cell>
          <cell r="E4174">
            <v>0.15</v>
          </cell>
          <cell r="F4174">
            <v>9500</v>
          </cell>
          <cell r="G4174">
            <v>1425</v>
          </cell>
        </row>
        <row r="4175">
          <cell r="B4175">
            <v>9</v>
          </cell>
          <cell r="C4175" t="str">
            <v>+ Giẻ lau</v>
          </cell>
          <cell r="D4175" t="str">
            <v>Kg</v>
          </cell>
          <cell r="E4175">
            <v>0.2</v>
          </cell>
          <cell r="F4175">
            <v>9500</v>
          </cell>
          <cell r="G4175">
            <v>1900</v>
          </cell>
        </row>
        <row r="4176">
          <cell r="C4176" t="str">
            <v>Nhân công</v>
          </cell>
          <cell r="G4176">
            <v>224319.08578947367</v>
          </cell>
        </row>
        <row r="4177">
          <cell r="B4177" t="str">
            <v>NC1507</v>
          </cell>
          <cell r="C4177" t="str">
            <v>+ Nhân công bậc 5,0/7</v>
          </cell>
          <cell r="D4177" t="str">
            <v>Công</v>
          </cell>
          <cell r="E4177">
            <v>0.98</v>
          </cell>
          <cell r="F4177">
            <v>228897.02631578947</v>
          </cell>
          <cell r="G4177">
            <v>224319.08578947367</v>
          </cell>
        </row>
        <row r="4178">
          <cell r="C4178" t="str">
            <v>Máy thi công</v>
          </cell>
          <cell r="G4178">
            <v>7787.5054000000009</v>
          </cell>
        </row>
        <row r="4179">
          <cell r="B4179">
            <v>7049</v>
          </cell>
          <cell r="C4179" t="str">
            <v>+ Máy thuỷ lực nối ép , vá dây</v>
          </cell>
          <cell r="D4179" t="str">
            <v>Ca</v>
          </cell>
          <cell r="E4179">
            <v>0.1</v>
          </cell>
          <cell r="F4179">
            <v>77875.054000000004</v>
          </cell>
          <cell r="G4179">
            <v>7787.5054000000009</v>
          </cell>
        </row>
        <row r="4180">
          <cell r="A4180" t="str">
            <v>D3.4036</v>
          </cell>
          <cell r="C4180" t="str">
            <v>ép vá dây dẫn, Tiết diện dây =&lt; 400mm2</v>
          </cell>
          <cell r="D4180" t="str">
            <v>mối</v>
          </cell>
          <cell r="H4180">
            <v>4825</v>
          </cell>
          <cell r="I4180">
            <v>272387.46131578943</v>
          </cell>
          <cell r="J4180">
            <v>7787.5054000000009</v>
          </cell>
        </row>
        <row r="4181">
          <cell r="C4181" t="str">
            <v>Vật liệu</v>
          </cell>
          <cell r="G4181">
            <v>4825</v>
          </cell>
        </row>
        <row r="4182">
          <cell r="B4182">
            <v>79</v>
          </cell>
          <cell r="C4182" t="str">
            <v>+ Mỡ trung tính</v>
          </cell>
          <cell r="D4182" t="str">
            <v>Kg</v>
          </cell>
          <cell r="E4182">
            <v>0.1</v>
          </cell>
          <cell r="F4182">
            <v>15000</v>
          </cell>
          <cell r="G4182">
            <v>1500</v>
          </cell>
        </row>
        <row r="4183">
          <cell r="B4183">
            <v>1</v>
          </cell>
          <cell r="C4183" t="str">
            <v>+ Cồn công nghiệp</v>
          </cell>
          <cell r="D4183" t="str">
            <v>kg</v>
          </cell>
          <cell r="E4183">
            <v>0.15</v>
          </cell>
          <cell r="F4183">
            <v>9500</v>
          </cell>
          <cell r="G4183">
            <v>1425</v>
          </cell>
        </row>
        <row r="4184">
          <cell r="B4184">
            <v>9</v>
          </cell>
          <cell r="C4184" t="str">
            <v>+ Giẻ lau</v>
          </cell>
          <cell r="D4184" t="str">
            <v>Kg</v>
          </cell>
          <cell r="E4184">
            <v>0.2</v>
          </cell>
          <cell r="F4184">
            <v>9500</v>
          </cell>
          <cell r="G4184">
            <v>1900</v>
          </cell>
        </row>
        <row r="4185">
          <cell r="C4185" t="str">
            <v>Nhân công</v>
          </cell>
          <cell r="G4185">
            <v>272387.46131578943</v>
          </cell>
        </row>
        <row r="4186">
          <cell r="B4186" t="str">
            <v>NC1507</v>
          </cell>
          <cell r="C4186" t="str">
            <v>+ Nhân công bậc 5,0/7</v>
          </cell>
          <cell r="D4186" t="str">
            <v>Công</v>
          </cell>
          <cell r="E4186">
            <v>1.19</v>
          </cell>
          <cell r="F4186">
            <v>228897.02631578947</v>
          </cell>
          <cell r="G4186">
            <v>272387.46131578943</v>
          </cell>
        </row>
        <row r="4187">
          <cell r="C4187" t="str">
            <v>Máy thi công</v>
          </cell>
          <cell r="G4187">
            <v>7787.5054000000009</v>
          </cell>
        </row>
        <row r="4188">
          <cell r="B4188">
            <v>7049</v>
          </cell>
          <cell r="C4188" t="str">
            <v>+ Máy thuỷ lực nối ép , vá dây</v>
          </cell>
          <cell r="D4188" t="str">
            <v>Ca</v>
          </cell>
          <cell r="E4188">
            <v>0.1</v>
          </cell>
          <cell r="F4188">
            <v>77875.054000000004</v>
          </cell>
          <cell r="G4188">
            <v>7787.5054000000009</v>
          </cell>
        </row>
        <row r="4189">
          <cell r="A4189" t="str">
            <v>D3.4037</v>
          </cell>
          <cell r="C4189" t="str">
            <v>ép vá dây dẫn, Tiết diện dây =&lt; 500mm2</v>
          </cell>
          <cell r="D4189" t="str">
            <v>mối</v>
          </cell>
          <cell r="H4189">
            <v>4825</v>
          </cell>
          <cell r="I4189">
            <v>315877.89631578943</v>
          </cell>
          <cell r="J4189">
            <v>7787.5054000000009</v>
          </cell>
        </row>
        <row r="4190">
          <cell r="C4190" t="str">
            <v>Vật liệu</v>
          </cell>
          <cell r="G4190">
            <v>4825</v>
          </cell>
        </row>
        <row r="4191">
          <cell r="B4191">
            <v>79</v>
          </cell>
          <cell r="C4191" t="str">
            <v>+ Mỡ trung tính</v>
          </cell>
          <cell r="D4191" t="str">
            <v>Kg</v>
          </cell>
          <cell r="E4191">
            <v>0.1</v>
          </cell>
          <cell r="F4191">
            <v>15000</v>
          </cell>
          <cell r="G4191">
            <v>1500</v>
          </cell>
        </row>
        <row r="4192">
          <cell r="B4192">
            <v>1</v>
          </cell>
          <cell r="C4192" t="str">
            <v>+ Cồn công nghiệp</v>
          </cell>
          <cell r="D4192" t="str">
            <v>kg</v>
          </cell>
          <cell r="E4192">
            <v>0.15</v>
          </cell>
          <cell r="F4192">
            <v>9500</v>
          </cell>
          <cell r="G4192">
            <v>1425</v>
          </cell>
        </row>
        <row r="4193">
          <cell r="B4193">
            <v>9</v>
          </cell>
          <cell r="C4193" t="str">
            <v>+ Giẻ lau</v>
          </cell>
          <cell r="D4193" t="str">
            <v>Kg</v>
          </cell>
          <cell r="E4193">
            <v>0.2</v>
          </cell>
          <cell r="F4193">
            <v>9500</v>
          </cell>
          <cell r="G4193">
            <v>1900</v>
          </cell>
        </row>
        <row r="4194">
          <cell r="C4194" t="str">
            <v>Nhân công</v>
          </cell>
          <cell r="G4194">
            <v>315877.89631578943</v>
          </cell>
        </row>
        <row r="4195">
          <cell r="B4195" t="str">
            <v>NC1507</v>
          </cell>
          <cell r="C4195" t="str">
            <v>+ Nhân công bậc 5,0/7</v>
          </cell>
          <cell r="D4195" t="str">
            <v>Công</v>
          </cell>
          <cell r="E4195">
            <v>1.38</v>
          </cell>
          <cell r="F4195">
            <v>228897.02631578947</v>
          </cell>
          <cell r="G4195">
            <v>315877.89631578943</v>
          </cell>
        </row>
        <row r="4196">
          <cell r="C4196" t="str">
            <v>Máy thi công</v>
          </cell>
          <cell r="G4196">
            <v>7787.5054000000009</v>
          </cell>
        </row>
        <row r="4197">
          <cell r="B4197">
            <v>7049</v>
          </cell>
          <cell r="C4197" t="str">
            <v>+ Máy thuỷ lực nối ép , vá dây</v>
          </cell>
          <cell r="D4197" t="str">
            <v>Ca</v>
          </cell>
          <cell r="E4197">
            <v>0.1</v>
          </cell>
          <cell r="F4197">
            <v>77875.054000000004</v>
          </cell>
          <cell r="G4197">
            <v>7787.5054000000009</v>
          </cell>
        </row>
        <row r="4198">
          <cell r="A4198" t="str">
            <v>D3.4038</v>
          </cell>
          <cell r="C4198" t="str">
            <v>ép vá dây dẫn, Tiết diện dây &gt; 500mm2</v>
          </cell>
          <cell r="D4198" t="str">
            <v>mối</v>
          </cell>
          <cell r="H4198">
            <v>4825</v>
          </cell>
          <cell r="I4198">
            <v>379969.06368421047</v>
          </cell>
          <cell r="J4198">
            <v>7787.5054000000009</v>
          </cell>
        </row>
        <row r="4199">
          <cell r="C4199" t="str">
            <v>Vật liệu</v>
          </cell>
          <cell r="G4199">
            <v>4825</v>
          </cell>
        </row>
        <row r="4200">
          <cell r="B4200">
            <v>79</v>
          </cell>
          <cell r="C4200" t="str">
            <v>+ Mỡ trung tính</v>
          </cell>
          <cell r="D4200" t="str">
            <v>Kg</v>
          </cell>
          <cell r="E4200">
            <v>0.1</v>
          </cell>
          <cell r="F4200">
            <v>15000</v>
          </cell>
          <cell r="G4200">
            <v>1500</v>
          </cell>
        </row>
        <row r="4201">
          <cell r="B4201">
            <v>1</v>
          </cell>
          <cell r="C4201" t="str">
            <v>+ Cồn công nghiệp</v>
          </cell>
          <cell r="D4201" t="str">
            <v>kg</v>
          </cell>
          <cell r="E4201">
            <v>0.15</v>
          </cell>
          <cell r="F4201">
            <v>9500</v>
          </cell>
          <cell r="G4201">
            <v>1425</v>
          </cell>
        </row>
        <row r="4202">
          <cell r="B4202">
            <v>9</v>
          </cell>
          <cell r="C4202" t="str">
            <v>+ Giẻ lau</v>
          </cell>
          <cell r="D4202" t="str">
            <v>Kg</v>
          </cell>
          <cell r="E4202">
            <v>0.2</v>
          </cell>
          <cell r="F4202">
            <v>9500</v>
          </cell>
          <cell r="G4202">
            <v>1900</v>
          </cell>
        </row>
        <row r="4203">
          <cell r="C4203" t="str">
            <v>Nhân công</v>
          </cell>
          <cell r="G4203">
            <v>379969.06368421047</v>
          </cell>
        </row>
        <row r="4204">
          <cell r="B4204" t="str">
            <v>NC1507</v>
          </cell>
          <cell r="C4204" t="str">
            <v>+ Nhân công bậc 5,0/7</v>
          </cell>
          <cell r="D4204" t="str">
            <v>Công</v>
          </cell>
          <cell r="E4204">
            <v>1.66</v>
          </cell>
          <cell r="F4204">
            <v>228897.02631578947</v>
          </cell>
          <cell r="G4204">
            <v>379969.06368421047</v>
          </cell>
        </row>
        <row r="4205">
          <cell r="C4205" t="str">
            <v>Máy thi công</v>
          </cell>
          <cell r="G4205">
            <v>7787.5054000000009</v>
          </cell>
        </row>
        <row r="4206">
          <cell r="B4206">
            <v>7049</v>
          </cell>
          <cell r="C4206" t="str">
            <v>+ Máy thuỷ lực nối ép , vá dây</v>
          </cell>
          <cell r="D4206" t="str">
            <v>Ca</v>
          </cell>
          <cell r="E4206">
            <v>0.1</v>
          </cell>
          <cell r="F4206">
            <v>77875.054000000004</v>
          </cell>
          <cell r="G4206">
            <v>7787.5054000000009</v>
          </cell>
        </row>
        <row r="4207">
          <cell r="A4207" t="str">
            <v>D3.5011</v>
          </cell>
          <cell r="C4207" t="str">
            <v>Làm giàn giáo rải dây vượt đường dây thông tin, hạ thế, Tiết diện dây =&lt; 50mm2</v>
          </cell>
          <cell r="D4207" t="str">
            <v>vị trí</v>
          </cell>
          <cell r="H4207">
            <v>175800</v>
          </cell>
          <cell r="I4207">
            <v>907470.5199999999</v>
          </cell>
        </row>
        <row r="4208">
          <cell r="C4208" t="str">
            <v>Vật liệu</v>
          </cell>
          <cell r="G4208">
            <v>175800</v>
          </cell>
        </row>
        <row r="4209">
          <cell r="B4209">
            <v>30</v>
          </cell>
          <cell r="C4209" t="str">
            <v>+ Dây thép 4 ly</v>
          </cell>
          <cell r="D4209" t="str">
            <v>kg</v>
          </cell>
          <cell r="E4209">
            <v>0.8</v>
          </cell>
          <cell r="F4209">
            <v>1000</v>
          </cell>
          <cell r="G4209">
            <v>800</v>
          </cell>
        </row>
        <row r="4210">
          <cell r="B4210">
            <v>49</v>
          </cell>
          <cell r="C4210" t="str">
            <v>+ Tre cây 8 - 10 cm L = 6 - 8 m (Kể cả phên tre)</v>
          </cell>
          <cell r="D4210" t="str">
            <v>cây</v>
          </cell>
          <cell r="E4210">
            <v>5</v>
          </cell>
          <cell r="F4210">
            <v>35000</v>
          </cell>
          <cell r="G4210">
            <v>175000</v>
          </cell>
        </row>
        <row r="4211">
          <cell r="C4211" t="str">
            <v>Nhân công</v>
          </cell>
          <cell r="G4211">
            <v>907470.5199999999</v>
          </cell>
        </row>
        <row r="4212">
          <cell r="B4212" t="str">
            <v>NC1357</v>
          </cell>
          <cell r="C4212" t="str">
            <v>+ Nhân công bậc 3,5/7</v>
          </cell>
          <cell r="D4212" t="str">
            <v>Công</v>
          </cell>
          <cell r="E4212">
            <v>5.0599999999999996</v>
          </cell>
          <cell r="F4212">
            <v>179342</v>
          </cell>
          <cell r="G4212">
            <v>907470.5199999999</v>
          </cell>
        </row>
        <row r="4213">
          <cell r="A4213" t="str">
            <v>D3.5012</v>
          </cell>
          <cell r="C4213" t="str">
            <v>Làm giàn giáo rải dây vượt đường dây thông tin, hạ thế, Tiết diện dây =&lt; 95mm2</v>
          </cell>
          <cell r="D4213" t="str">
            <v>vị trí</v>
          </cell>
          <cell r="H4213">
            <v>246050</v>
          </cell>
          <cell r="I4213">
            <v>1052737.54</v>
          </cell>
        </row>
        <row r="4214">
          <cell r="C4214" t="str">
            <v>Vật liệu</v>
          </cell>
          <cell r="G4214">
            <v>246050</v>
          </cell>
        </row>
        <row r="4215">
          <cell r="B4215">
            <v>30</v>
          </cell>
          <cell r="C4215" t="str">
            <v>+ Dây thép 4 ly</v>
          </cell>
          <cell r="D4215" t="str">
            <v>kg</v>
          </cell>
          <cell r="E4215">
            <v>1.05</v>
          </cell>
          <cell r="F4215">
            <v>1000</v>
          </cell>
          <cell r="G4215">
            <v>1050</v>
          </cell>
        </row>
        <row r="4216">
          <cell r="B4216">
            <v>49</v>
          </cell>
          <cell r="C4216" t="str">
            <v>+ Tre cây 8 - 10 cm L = 6 - 8 m (Kể cả phên tre)</v>
          </cell>
          <cell r="D4216" t="str">
            <v>cây</v>
          </cell>
          <cell r="E4216">
            <v>7</v>
          </cell>
          <cell r="F4216">
            <v>35000</v>
          </cell>
          <cell r="G4216">
            <v>245000</v>
          </cell>
        </row>
        <row r="4217">
          <cell r="C4217" t="str">
            <v>Nhân công</v>
          </cell>
          <cell r="G4217">
            <v>1052737.54</v>
          </cell>
        </row>
        <row r="4218">
          <cell r="B4218" t="str">
            <v>NC1357</v>
          </cell>
          <cell r="C4218" t="str">
            <v>+ Nhân công bậc 3,5/7</v>
          </cell>
          <cell r="D4218" t="str">
            <v>Công</v>
          </cell>
          <cell r="E4218">
            <v>5.87</v>
          </cell>
          <cell r="F4218">
            <v>179342</v>
          </cell>
          <cell r="G4218">
            <v>1052737.54</v>
          </cell>
        </row>
        <row r="4219">
          <cell r="A4219" t="str">
            <v>D3.5013</v>
          </cell>
          <cell r="C4219" t="str">
            <v>Làm giàn giáo rải dây vượt đường dây thông tin, hạ thế, Tiết diện dây =&lt; 150mm2</v>
          </cell>
          <cell r="D4219" t="str">
            <v>vị trí</v>
          </cell>
          <cell r="H4219">
            <v>316350</v>
          </cell>
          <cell r="I4219">
            <v>1479571.5</v>
          </cell>
        </row>
        <row r="4220">
          <cell r="C4220" t="str">
            <v>Vật liệu</v>
          </cell>
          <cell r="G4220">
            <v>316350</v>
          </cell>
        </row>
        <row r="4221">
          <cell r="B4221">
            <v>30</v>
          </cell>
          <cell r="C4221" t="str">
            <v>+ Dây thép 4 ly</v>
          </cell>
          <cell r="D4221" t="str">
            <v>kg</v>
          </cell>
          <cell r="E4221">
            <v>1.35</v>
          </cell>
          <cell r="F4221">
            <v>1000</v>
          </cell>
          <cell r="G4221">
            <v>1350</v>
          </cell>
        </row>
        <row r="4222">
          <cell r="B4222">
            <v>49</v>
          </cell>
          <cell r="C4222" t="str">
            <v>+ Tre cây 8 - 10 cm L = 6 - 8 m (Kể cả phên tre)</v>
          </cell>
          <cell r="D4222" t="str">
            <v>cây</v>
          </cell>
          <cell r="E4222">
            <v>9</v>
          </cell>
          <cell r="F4222">
            <v>35000</v>
          </cell>
          <cell r="G4222">
            <v>315000</v>
          </cell>
        </row>
        <row r="4223">
          <cell r="C4223" t="str">
            <v>Nhân công</v>
          </cell>
          <cell r="G4223">
            <v>1479571.5</v>
          </cell>
        </row>
        <row r="4224">
          <cell r="B4224" t="str">
            <v>NC1357</v>
          </cell>
          <cell r="C4224" t="str">
            <v>+ Nhân công bậc 3,5/7</v>
          </cell>
          <cell r="D4224" t="str">
            <v>Công</v>
          </cell>
          <cell r="E4224">
            <v>8.25</v>
          </cell>
          <cell r="F4224">
            <v>179342</v>
          </cell>
          <cell r="G4224">
            <v>1479571.5</v>
          </cell>
        </row>
        <row r="4225">
          <cell r="A4225" t="str">
            <v>D3.5014</v>
          </cell>
          <cell r="C4225" t="str">
            <v>Làm giàn giáo rải dây vượt đường dây thông tin, hạ thế, Tiết diện dây =&lt; 240mm2</v>
          </cell>
          <cell r="D4225" t="str">
            <v>vị trí</v>
          </cell>
          <cell r="H4225">
            <v>386500</v>
          </cell>
          <cell r="I4225">
            <v>1662500.3399999999</v>
          </cell>
        </row>
        <row r="4226">
          <cell r="C4226" t="str">
            <v>Vật liệu</v>
          </cell>
          <cell r="G4226">
            <v>386500</v>
          </cell>
        </row>
        <row r="4227">
          <cell r="B4227">
            <v>30</v>
          </cell>
          <cell r="C4227" t="str">
            <v>+ Dây thép 4 ly</v>
          </cell>
          <cell r="D4227" t="str">
            <v>kg</v>
          </cell>
          <cell r="E4227">
            <v>1.5</v>
          </cell>
          <cell r="F4227">
            <v>1000</v>
          </cell>
          <cell r="G4227">
            <v>1500</v>
          </cell>
        </row>
        <row r="4228">
          <cell r="B4228">
            <v>49</v>
          </cell>
          <cell r="C4228" t="str">
            <v>+ Tre cây 8 - 10 cm L = 6 - 8 m (Kể cả phên tre)</v>
          </cell>
          <cell r="D4228" t="str">
            <v>cây</v>
          </cell>
          <cell r="E4228">
            <v>11</v>
          </cell>
          <cell r="F4228">
            <v>35000</v>
          </cell>
          <cell r="G4228">
            <v>385000</v>
          </cell>
        </row>
        <row r="4229">
          <cell r="C4229" t="str">
            <v>Nhân công</v>
          </cell>
          <cell r="G4229">
            <v>1662500.3399999999</v>
          </cell>
        </row>
        <row r="4230">
          <cell r="B4230" t="str">
            <v>NC1357</v>
          </cell>
          <cell r="C4230" t="str">
            <v>+ Nhân công bậc 3,5/7</v>
          </cell>
          <cell r="D4230" t="str">
            <v>Công</v>
          </cell>
          <cell r="E4230">
            <v>9.27</v>
          </cell>
          <cell r="F4230">
            <v>179342</v>
          </cell>
          <cell r="G4230">
            <v>1662500.3399999999</v>
          </cell>
        </row>
        <row r="4231">
          <cell r="A4231" t="str">
            <v>D3.5015</v>
          </cell>
          <cell r="C4231" t="str">
            <v>Làm giàn giáo rải dây vượt đường dây thông tin, hạ thế, Tiết diện dây =&lt; 400mm2</v>
          </cell>
          <cell r="D4231" t="str">
            <v>vị trí</v>
          </cell>
          <cell r="H4231">
            <v>687690</v>
          </cell>
          <cell r="I4231">
            <v>2654261.6</v>
          </cell>
        </row>
        <row r="4232">
          <cell r="C4232" t="str">
            <v>Vật liệu</v>
          </cell>
          <cell r="G4232">
            <v>687690</v>
          </cell>
        </row>
        <row r="4233">
          <cell r="B4233">
            <v>30</v>
          </cell>
          <cell r="C4233" t="str">
            <v>+ Dây thép 4 ly</v>
          </cell>
          <cell r="D4233" t="str">
            <v>kg</v>
          </cell>
          <cell r="E4233">
            <v>2.74</v>
          </cell>
          <cell r="F4233">
            <v>1000</v>
          </cell>
          <cell r="G4233">
            <v>2740</v>
          </cell>
        </row>
        <row r="4234">
          <cell r="B4234">
            <v>49</v>
          </cell>
          <cell r="C4234" t="str">
            <v>+ Tre cây 8 - 10 cm L = 6 - 8 m (Kể cả phên tre)</v>
          </cell>
          <cell r="D4234" t="str">
            <v>cây</v>
          </cell>
          <cell r="E4234">
            <v>19.57</v>
          </cell>
          <cell r="F4234">
            <v>35000</v>
          </cell>
          <cell r="G4234">
            <v>684950</v>
          </cell>
        </row>
        <row r="4235">
          <cell r="C4235" t="str">
            <v>Nhân công</v>
          </cell>
          <cell r="G4235">
            <v>2654261.6</v>
          </cell>
        </row>
        <row r="4236">
          <cell r="B4236" t="str">
            <v>NC1357</v>
          </cell>
          <cell r="C4236" t="str">
            <v>+ Nhân công bậc 3,5/7</v>
          </cell>
          <cell r="D4236" t="str">
            <v>Công</v>
          </cell>
          <cell r="E4236">
            <v>14.8</v>
          </cell>
          <cell r="F4236">
            <v>179342</v>
          </cell>
          <cell r="G4236">
            <v>2654261.6</v>
          </cell>
        </row>
        <row r="4237">
          <cell r="A4237" t="str">
            <v>D3.5016</v>
          </cell>
          <cell r="C4237" t="str">
            <v>Làm giàn giáo rải dây vượt đường dây thông tin, hạ thế, Tiết diện dây =&lt; 500mm2</v>
          </cell>
          <cell r="D4237" t="str">
            <v>vị trí</v>
          </cell>
          <cell r="H4237">
            <v>825090</v>
          </cell>
          <cell r="I4237">
            <v>3185113.9200000004</v>
          </cell>
        </row>
        <row r="4238">
          <cell r="C4238" t="str">
            <v>Vật liệu</v>
          </cell>
          <cell r="G4238">
            <v>825090</v>
          </cell>
        </row>
        <row r="4239">
          <cell r="B4239">
            <v>30</v>
          </cell>
          <cell r="C4239" t="str">
            <v>+ Dây thép 4 ly</v>
          </cell>
          <cell r="D4239" t="str">
            <v>kg</v>
          </cell>
          <cell r="E4239">
            <v>3.29</v>
          </cell>
          <cell r="F4239">
            <v>1000</v>
          </cell>
          <cell r="G4239">
            <v>3290</v>
          </cell>
        </row>
        <row r="4240">
          <cell r="B4240">
            <v>49</v>
          </cell>
          <cell r="C4240" t="str">
            <v>+ Tre cây 8 - 10 cm L = 6 - 8 m (Kể cả phên tre)</v>
          </cell>
          <cell r="D4240" t="str">
            <v>cây</v>
          </cell>
          <cell r="E4240">
            <v>23.48</v>
          </cell>
          <cell r="F4240">
            <v>35000</v>
          </cell>
          <cell r="G4240">
            <v>821800</v>
          </cell>
        </row>
        <row r="4241">
          <cell r="C4241" t="str">
            <v>Nhân công</v>
          </cell>
          <cell r="G4241">
            <v>3185113.9200000004</v>
          </cell>
        </row>
        <row r="4242">
          <cell r="B4242" t="str">
            <v>NC1357</v>
          </cell>
          <cell r="C4242" t="str">
            <v>+ Nhân công bậc 3,5/7</v>
          </cell>
          <cell r="D4242" t="str">
            <v>Công</v>
          </cell>
          <cell r="E4242">
            <v>17.760000000000002</v>
          </cell>
          <cell r="F4242">
            <v>179342</v>
          </cell>
          <cell r="G4242">
            <v>3185113.9200000004</v>
          </cell>
        </row>
        <row r="4243">
          <cell r="A4243" t="str">
            <v>D3.5017</v>
          </cell>
          <cell r="C4243" t="str">
            <v>Làm giàn giáo rải dây vượt đường dây thông tin, hạ thế, Tiết diện dây &gt; 500mm2</v>
          </cell>
          <cell r="D4243" t="str">
            <v>vị trí</v>
          </cell>
          <cell r="H4243">
            <v>989900.00000000012</v>
          </cell>
          <cell r="I4243">
            <v>3800256.9800000004</v>
          </cell>
        </row>
        <row r="4244">
          <cell r="C4244" t="str">
            <v>Vật liệu</v>
          </cell>
          <cell r="G4244">
            <v>989900.00000000012</v>
          </cell>
        </row>
        <row r="4245">
          <cell r="B4245">
            <v>30</v>
          </cell>
          <cell r="C4245" t="str">
            <v>+ Dây thép 4 ly</v>
          </cell>
          <cell r="D4245" t="str">
            <v>kg</v>
          </cell>
          <cell r="E4245">
            <v>3.95</v>
          </cell>
          <cell r="F4245">
            <v>1000</v>
          </cell>
          <cell r="G4245">
            <v>3950</v>
          </cell>
        </row>
        <row r="4246">
          <cell r="B4246">
            <v>49</v>
          </cell>
          <cell r="C4246" t="str">
            <v>+ Tre cây 8 - 10 cm L = 6 - 8 m (Kể cả phên tre)</v>
          </cell>
          <cell r="D4246" t="str">
            <v>cây</v>
          </cell>
          <cell r="E4246">
            <v>28.17</v>
          </cell>
          <cell r="F4246">
            <v>35000</v>
          </cell>
          <cell r="G4246">
            <v>985950.00000000012</v>
          </cell>
        </row>
        <row r="4247">
          <cell r="C4247" t="str">
            <v>Nhân công</v>
          </cell>
          <cell r="G4247">
            <v>3800256.9800000004</v>
          </cell>
        </row>
        <row r="4248">
          <cell r="B4248" t="str">
            <v>NC1357</v>
          </cell>
          <cell r="C4248" t="str">
            <v>+ Nhân công bậc 3,5/7</v>
          </cell>
          <cell r="D4248" t="str">
            <v>Công</v>
          </cell>
          <cell r="E4248">
            <v>21.19</v>
          </cell>
          <cell r="F4248">
            <v>179342</v>
          </cell>
          <cell r="G4248">
            <v>3800256.9800000004</v>
          </cell>
        </row>
        <row r="4249">
          <cell r="A4249" t="str">
            <v>D3.5021</v>
          </cell>
          <cell r="C4249" t="str">
            <v>Làm giàn giáo rải dây vượt đường dây =&lt;35Kv, Tiết diện dây =&lt;50mm2</v>
          </cell>
          <cell r="D4249" t="str">
            <v>vị trí</v>
          </cell>
          <cell r="H4249">
            <v>281200</v>
          </cell>
          <cell r="I4249">
            <v>1223112.44</v>
          </cell>
        </row>
        <row r="4250">
          <cell r="C4250" t="str">
            <v>Vật liệu</v>
          </cell>
          <cell r="G4250">
            <v>281200</v>
          </cell>
        </row>
        <row r="4251">
          <cell r="B4251">
            <v>30</v>
          </cell>
          <cell r="C4251" t="str">
            <v>+ Dây thép 4 ly</v>
          </cell>
          <cell r="D4251" t="str">
            <v>kg</v>
          </cell>
          <cell r="E4251">
            <v>1.2</v>
          </cell>
          <cell r="F4251">
            <v>1000</v>
          </cell>
          <cell r="G4251">
            <v>1200</v>
          </cell>
        </row>
        <row r="4252">
          <cell r="B4252">
            <v>49</v>
          </cell>
          <cell r="C4252" t="str">
            <v>+ Tre cây 8 - 10 cm L = 6 - 8 m (Kể cả phên tre)</v>
          </cell>
          <cell r="D4252" t="str">
            <v>cây</v>
          </cell>
          <cell r="E4252">
            <v>8</v>
          </cell>
          <cell r="F4252">
            <v>35000</v>
          </cell>
          <cell r="G4252">
            <v>280000</v>
          </cell>
        </row>
        <row r="4253">
          <cell r="C4253" t="str">
            <v>Nhân công</v>
          </cell>
          <cell r="G4253">
            <v>1223112.44</v>
          </cell>
        </row>
        <row r="4254">
          <cell r="B4254" t="str">
            <v>NC1357</v>
          </cell>
          <cell r="C4254" t="str">
            <v>+ Nhân công bậc 3,5/7</v>
          </cell>
          <cell r="D4254" t="str">
            <v>Công</v>
          </cell>
          <cell r="E4254">
            <v>6.82</v>
          </cell>
          <cell r="F4254">
            <v>179342</v>
          </cell>
          <cell r="G4254">
            <v>1223112.44</v>
          </cell>
        </row>
        <row r="4255">
          <cell r="A4255" t="str">
            <v>D3.5022</v>
          </cell>
          <cell r="C4255" t="str">
            <v>Làm giàn giáo rải dây vượt đường dây =&lt;35Kv, Tiết diện dây =&lt;95mm2</v>
          </cell>
          <cell r="D4255" t="str">
            <v>vị trí</v>
          </cell>
          <cell r="H4255">
            <v>351500</v>
          </cell>
          <cell r="I4255">
            <v>1407834.7</v>
          </cell>
        </row>
        <row r="4256">
          <cell r="C4256" t="str">
            <v>Vật liệu</v>
          </cell>
          <cell r="G4256">
            <v>351500</v>
          </cell>
        </row>
        <row r="4257">
          <cell r="B4257">
            <v>30</v>
          </cell>
          <cell r="C4257" t="str">
            <v>+ Dây thép 4 ly</v>
          </cell>
          <cell r="D4257" t="str">
            <v>kg</v>
          </cell>
          <cell r="E4257">
            <v>1.5</v>
          </cell>
          <cell r="F4257">
            <v>1000</v>
          </cell>
          <cell r="G4257">
            <v>1500</v>
          </cell>
        </row>
        <row r="4258">
          <cell r="B4258">
            <v>49</v>
          </cell>
          <cell r="C4258" t="str">
            <v>+ Tre cây 8 - 10 cm L = 6 - 8 m (Kể cả phên tre)</v>
          </cell>
          <cell r="D4258" t="str">
            <v>cây</v>
          </cell>
          <cell r="E4258">
            <v>10</v>
          </cell>
          <cell r="F4258">
            <v>35000</v>
          </cell>
          <cell r="G4258">
            <v>350000</v>
          </cell>
        </row>
        <row r="4259">
          <cell r="C4259" t="str">
            <v>Nhân công</v>
          </cell>
          <cell r="G4259">
            <v>1407834.7</v>
          </cell>
        </row>
        <row r="4260">
          <cell r="B4260" t="str">
            <v>NC1357</v>
          </cell>
          <cell r="C4260" t="str">
            <v>+ Nhân công bậc 3,5/7</v>
          </cell>
          <cell r="D4260" t="str">
            <v>Công</v>
          </cell>
          <cell r="E4260">
            <v>7.85</v>
          </cell>
          <cell r="F4260">
            <v>179342</v>
          </cell>
          <cell r="G4260">
            <v>1407834.7</v>
          </cell>
        </row>
        <row r="4261">
          <cell r="A4261" t="str">
            <v>D3.5023</v>
          </cell>
          <cell r="C4261" t="str">
            <v>Làm giàn giáo rải dây vượt đường dây =&lt;35Kv, Tiết diện dây =&lt;150mm2</v>
          </cell>
          <cell r="D4261" t="str">
            <v>vị trí</v>
          </cell>
          <cell r="H4261">
            <v>421600</v>
          </cell>
          <cell r="I4261">
            <v>1723476.6199999999</v>
          </cell>
        </row>
        <row r="4262">
          <cell r="C4262" t="str">
            <v>Vật liệu</v>
          </cell>
          <cell r="G4262">
            <v>421600</v>
          </cell>
        </row>
        <row r="4263">
          <cell r="B4263">
            <v>30</v>
          </cell>
          <cell r="C4263" t="str">
            <v>+ Dây thép 4 ly</v>
          </cell>
          <cell r="D4263" t="str">
            <v>kg</v>
          </cell>
          <cell r="E4263">
            <v>1.6</v>
          </cell>
          <cell r="F4263">
            <v>1000</v>
          </cell>
          <cell r="G4263">
            <v>1600</v>
          </cell>
        </row>
        <row r="4264">
          <cell r="B4264">
            <v>49</v>
          </cell>
          <cell r="C4264" t="str">
            <v>+ Tre cây 8 - 10 cm L = 6 - 8 m (Kể cả phên tre)</v>
          </cell>
          <cell r="D4264" t="str">
            <v>cây</v>
          </cell>
          <cell r="E4264">
            <v>12</v>
          </cell>
          <cell r="F4264">
            <v>35000</v>
          </cell>
          <cell r="G4264">
            <v>420000</v>
          </cell>
        </row>
        <row r="4265">
          <cell r="C4265" t="str">
            <v>Nhân công</v>
          </cell>
          <cell r="G4265">
            <v>1723476.6199999999</v>
          </cell>
        </row>
        <row r="4266">
          <cell r="B4266" t="str">
            <v>NC1357</v>
          </cell>
          <cell r="C4266" t="str">
            <v>+ Nhân công bậc 3,5/7</v>
          </cell>
          <cell r="D4266" t="str">
            <v>Công</v>
          </cell>
          <cell r="E4266">
            <v>9.61</v>
          </cell>
          <cell r="F4266">
            <v>179342</v>
          </cell>
          <cell r="G4266">
            <v>1723476.6199999999</v>
          </cell>
        </row>
        <row r="4267">
          <cell r="A4267" t="str">
            <v>D3.5024</v>
          </cell>
          <cell r="C4267" t="str">
            <v>Làm giàn giáo rải dây vượt đường dây =&lt;35Kv, Tiết diện dây =&lt;240mm2</v>
          </cell>
          <cell r="D4267" t="str">
            <v>vị trí</v>
          </cell>
          <cell r="H4267">
            <v>527250</v>
          </cell>
          <cell r="I4267">
            <v>1927926.5</v>
          </cell>
        </row>
        <row r="4268">
          <cell r="C4268" t="str">
            <v>Vật liệu</v>
          </cell>
          <cell r="G4268">
            <v>527250</v>
          </cell>
        </row>
        <row r="4269">
          <cell r="B4269">
            <v>30</v>
          </cell>
          <cell r="C4269" t="str">
            <v>+ Dây thép 4 ly</v>
          </cell>
          <cell r="D4269" t="str">
            <v>kg</v>
          </cell>
          <cell r="E4269">
            <v>2.25</v>
          </cell>
          <cell r="F4269">
            <v>1000</v>
          </cell>
          <cell r="G4269">
            <v>2250</v>
          </cell>
        </row>
        <row r="4270">
          <cell r="B4270">
            <v>49</v>
          </cell>
          <cell r="C4270" t="str">
            <v>+ Tre cây 8 - 10 cm L = 6 - 8 m (Kể cả phên tre)</v>
          </cell>
          <cell r="D4270" t="str">
            <v>cây</v>
          </cell>
          <cell r="E4270">
            <v>15</v>
          </cell>
          <cell r="F4270">
            <v>35000</v>
          </cell>
          <cell r="G4270">
            <v>525000</v>
          </cell>
        </row>
        <row r="4271">
          <cell r="C4271" t="str">
            <v>Nhân công</v>
          </cell>
          <cell r="G4271">
            <v>1927926.5</v>
          </cell>
        </row>
        <row r="4272">
          <cell r="B4272" t="str">
            <v>NC1357</v>
          </cell>
          <cell r="C4272" t="str">
            <v>+ Nhân công bậc 3,5/7</v>
          </cell>
          <cell r="D4272" t="str">
            <v>Công</v>
          </cell>
          <cell r="E4272">
            <v>10.75</v>
          </cell>
          <cell r="F4272">
            <v>179342</v>
          </cell>
          <cell r="G4272">
            <v>1927926.5</v>
          </cell>
        </row>
        <row r="4273">
          <cell r="A4273" t="str">
            <v>D3.5025</v>
          </cell>
          <cell r="C4273" t="str">
            <v>Làm giàn giáo rải dây vượt đường dây =&lt;35Kv, Tiết diện dây =&lt; 400mm2</v>
          </cell>
          <cell r="D4273" t="str">
            <v>vị trí</v>
          </cell>
          <cell r="H4273">
            <v>962780</v>
          </cell>
          <cell r="I4273">
            <v>3048814</v>
          </cell>
        </row>
        <row r="4274">
          <cell r="C4274" t="str">
            <v>Vật liệu</v>
          </cell>
          <cell r="G4274">
            <v>962780</v>
          </cell>
        </row>
        <row r="4275">
          <cell r="B4275">
            <v>30</v>
          </cell>
          <cell r="C4275" t="str">
            <v>+ Dây thép 4 ly</v>
          </cell>
          <cell r="D4275" t="str">
            <v>kg</v>
          </cell>
          <cell r="E4275">
            <v>4.13</v>
          </cell>
          <cell r="F4275">
            <v>1000</v>
          </cell>
          <cell r="G4275">
            <v>4130</v>
          </cell>
        </row>
        <row r="4276">
          <cell r="B4276">
            <v>49</v>
          </cell>
          <cell r="C4276" t="str">
            <v>+ Tre cây 8 - 10 cm L = 6 - 8 m (Kể cả phên tre)</v>
          </cell>
          <cell r="D4276" t="str">
            <v>cây</v>
          </cell>
          <cell r="E4276">
            <v>27.39</v>
          </cell>
          <cell r="F4276">
            <v>35000</v>
          </cell>
          <cell r="G4276">
            <v>958650</v>
          </cell>
        </row>
        <row r="4277">
          <cell r="C4277" t="str">
            <v>Nhân công</v>
          </cell>
          <cell r="G4277">
            <v>3048814</v>
          </cell>
        </row>
        <row r="4278">
          <cell r="B4278" t="str">
            <v>NC1357</v>
          </cell>
          <cell r="C4278" t="str">
            <v>+ Nhân công bậc 3,5/7</v>
          </cell>
          <cell r="D4278" t="str">
            <v>Công</v>
          </cell>
          <cell r="E4278">
            <v>17</v>
          </cell>
          <cell r="F4278">
            <v>179342</v>
          </cell>
          <cell r="G4278">
            <v>3048814</v>
          </cell>
        </row>
        <row r="4279">
          <cell r="A4279" t="str">
            <v>D3.5026</v>
          </cell>
          <cell r="C4279" t="str">
            <v>Làm giàn giáo rải dây vượt đường dây =&lt;35Kv, Tiết diện dây =&lt; 500mm2</v>
          </cell>
          <cell r="D4279" t="str">
            <v>vị trí</v>
          </cell>
          <cell r="H4279">
            <v>1155380</v>
          </cell>
          <cell r="I4279">
            <v>3658576.8</v>
          </cell>
        </row>
        <row r="4280">
          <cell r="C4280" t="str">
            <v>Vật liệu</v>
          </cell>
          <cell r="G4280">
            <v>1155380</v>
          </cell>
        </row>
        <row r="4281">
          <cell r="B4281">
            <v>30</v>
          </cell>
          <cell r="C4281" t="str">
            <v>+ Dây thép 4 ly</v>
          </cell>
          <cell r="D4281" t="str">
            <v>kg</v>
          </cell>
          <cell r="E4281">
            <v>4.93</v>
          </cell>
          <cell r="F4281">
            <v>1000</v>
          </cell>
          <cell r="G4281">
            <v>4930</v>
          </cell>
        </row>
        <row r="4282">
          <cell r="B4282">
            <v>49</v>
          </cell>
          <cell r="C4282" t="str">
            <v>+ Tre cây 8 - 10 cm L = 6 - 8 m (Kể cả phên tre)</v>
          </cell>
          <cell r="D4282" t="str">
            <v>cây</v>
          </cell>
          <cell r="E4282">
            <v>32.869999999999997</v>
          </cell>
          <cell r="F4282">
            <v>35000</v>
          </cell>
          <cell r="G4282">
            <v>1150450</v>
          </cell>
        </row>
        <row r="4283">
          <cell r="C4283" t="str">
            <v>Nhân công</v>
          </cell>
          <cell r="G4283">
            <v>3658576.8</v>
          </cell>
        </row>
        <row r="4284">
          <cell r="B4284" t="str">
            <v>NC1357</v>
          </cell>
          <cell r="C4284" t="str">
            <v>+ Nhân công bậc 3,5/7</v>
          </cell>
          <cell r="D4284" t="str">
            <v>Công</v>
          </cell>
          <cell r="E4284">
            <v>20.399999999999999</v>
          </cell>
          <cell r="F4284">
            <v>179342</v>
          </cell>
          <cell r="G4284">
            <v>3658576.8</v>
          </cell>
        </row>
        <row r="4285">
          <cell r="A4285" t="str">
            <v>D3.5027</v>
          </cell>
          <cell r="C4285" t="str">
            <v>Làm giàn giáo rải dây vượt đường dây =&lt;35Kv, Tiết diện dây &gt; 500mm2</v>
          </cell>
          <cell r="D4285" t="str">
            <v>vị trí</v>
          </cell>
          <cell r="H4285">
            <v>1386310</v>
          </cell>
          <cell r="I4285">
            <v>4390292.16</v>
          </cell>
        </row>
        <row r="4286">
          <cell r="C4286" t="str">
            <v>Vật liệu</v>
          </cell>
          <cell r="G4286">
            <v>1386310</v>
          </cell>
        </row>
        <row r="4287">
          <cell r="B4287">
            <v>30</v>
          </cell>
          <cell r="C4287" t="str">
            <v>+ Dây thép 4 ly</v>
          </cell>
          <cell r="D4287" t="str">
            <v>kg</v>
          </cell>
          <cell r="E4287">
            <v>5.91</v>
          </cell>
          <cell r="F4287">
            <v>1000</v>
          </cell>
          <cell r="G4287">
            <v>5910</v>
          </cell>
        </row>
        <row r="4288">
          <cell r="B4288">
            <v>49</v>
          </cell>
          <cell r="C4288" t="str">
            <v>+ Tre cây 8 - 10 cm L = 6 - 8 m (Kể cả phên tre)</v>
          </cell>
          <cell r="D4288" t="str">
            <v>cây</v>
          </cell>
          <cell r="E4288">
            <v>39.44</v>
          </cell>
          <cell r="F4288">
            <v>35000</v>
          </cell>
          <cell r="G4288">
            <v>1380400</v>
          </cell>
        </row>
        <row r="4289">
          <cell r="C4289" t="str">
            <v>Nhân công</v>
          </cell>
          <cell r="G4289">
            <v>4390292.16</v>
          </cell>
        </row>
        <row r="4290">
          <cell r="B4290" t="str">
            <v>NC1357</v>
          </cell>
          <cell r="C4290" t="str">
            <v>+ Nhân công bậc 3,5/7</v>
          </cell>
          <cell r="D4290" t="str">
            <v>Công</v>
          </cell>
          <cell r="E4290">
            <v>24.48</v>
          </cell>
          <cell r="F4290">
            <v>179342</v>
          </cell>
          <cell r="G4290">
            <v>4390292.16</v>
          </cell>
        </row>
        <row r="4291">
          <cell r="A4291" t="str">
            <v>D3.5033</v>
          </cell>
          <cell r="C4291" t="str">
            <v>Làm giàn giáo rải dây vượt đường dây =&lt;110Kv, Tiết diện dây &lt;=150mm2</v>
          </cell>
          <cell r="D4291" t="str">
            <v>vị trí</v>
          </cell>
          <cell r="H4291">
            <v>527100</v>
          </cell>
          <cell r="I4291">
            <v>3678304.4200000004</v>
          </cell>
        </row>
        <row r="4292">
          <cell r="C4292" t="str">
            <v>Vật liệu</v>
          </cell>
          <cell r="G4292">
            <v>527100</v>
          </cell>
        </row>
        <row r="4293">
          <cell r="B4293">
            <v>30</v>
          </cell>
          <cell r="C4293" t="str">
            <v>+ Dây thép 4 ly</v>
          </cell>
          <cell r="D4293" t="str">
            <v>kg</v>
          </cell>
          <cell r="E4293">
            <v>2.1</v>
          </cell>
          <cell r="F4293">
            <v>1000</v>
          </cell>
          <cell r="G4293">
            <v>2100</v>
          </cell>
        </row>
        <row r="4294">
          <cell r="B4294">
            <v>49</v>
          </cell>
          <cell r="C4294" t="str">
            <v>+ Tre cây 8 - 10 cm L = 6 - 8 m (Kể cả phên tre)</v>
          </cell>
          <cell r="D4294" t="str">
            <v>cây</v>
          </cell>
          <cell r="E4294">
            <v>15</v>
          </cell>
          <cell r="F4294">
            <v>35000</v>
          </cell>
          <cell r="G4294">
            <v>525000</v>
          </cell>
        </row>
        <row r="4295">
          <cell r="C4295" t="str">
            <v>Nhân công</v>
          </cell>
          <cell r="G4295">
            <v>3678304.4200000004</v>
          </cell>
        </row>
        <row r="4296">
          <cell r="B4296" t="str">
            <v>NC1357</v>
          </cell>
          <cell r="C4296" t="str">
            <v>+ Nhân công bậc 3,5/7</v>
          </cell>
          <cell r="D4296" t="str">
            <v>Công</v>
          </cell>
          <cell r="E4296">
            <v>20.51</v>
          </cell>
          <cell r="F4296">
            <v>179342</v>
          </cell>
          <cell r="G4296">
            <v>3678304.4200000004</v>
          </cell>
        </row>
        <row r="4297">
          <cell r="A4297" t="str">
            <v>D3.5034</v>
          </cell>
          <cell r="C4297" t="str">
            <v>Làm giàn giáo rải dây vượt đường dây =&lt;110Kv, Tiết diện dây &lt;=240mm2</v>
          </cell>
          <cell r="D4297" t="str">
            <v>vị trí</v>
          </cell>
          <cell r="H4297">
            <v>632700</v>
          </cell>
          <cell r="I4297">
            <v>4133833.1</v>
          </cell>
        </row>
        <row r="4298">
          <cell r="C4298" t="str">
            <v>Vật liệu</v>
          </cell>
          <cell r="G4298">
            <v>632700</v>
          </cell>
        </row>
        <row r="4299">
          <cell r="B4299">
            <v>30</v>
          </cell>
          <cell r="C4299" t="str">
            <v>+ Dây thép 4 ly</v>
          </cell>
          <cell r="D4299" t="str">
            <v>kg</v>
          </cell>
          <cell r="E4299">
            <v>2.7</v>
          </cell>
          <cell r="F4299">
            <v>1000</v>
          </cell>
          <cell r="G4299">
            <v>2700</v>
          </cell>
        </row>
        <row r="4300">
          <cell r="B4300">
            <v>49</v>
          </cell>
          <cell r="C4300" t="str">
            <v>+ Tre cây 8 - 10 cm L = 6 - 8 m (Kể cả phên tre)</v>
          </cell>
          <cell r="D4300" t="str">
            <v>cây</v>
          </cell>
          <cell r="E4300">
            <v>18</v>
          </cell>
          <cell r="F4300">
            <v>35000</v>
          </cell>
          <cell r="G4300">
            <v>630000</v>
          </cell>
        </row>
        <row r="4301">
          <cell r="C4301" t="str">
            <v>Nhân công</v>
          </cell>
          <cell r="G4301">
            <v>4133833.1</v>
          </cell>
        </row>
        <row r="4302">
          <cell r="B4302" t="str">
            <v>NC1357</v>
          </cell>
          <cell r="C4302" t="str">
            <v>+ Nhân công bậc 3,5/7</v>
          </cell>
          <cell r="D4302" t="str">
            <v>Công</v>
          </cell>
          <cell r="E4302">
            <v>23.05</v>
          </cell>
          <cell r="F4302">
            <v>179342</v>
          </cell>
          <cell r="G4302">
            <v>4133833.1</v>
          </cell>
        </row>
        <row r="4303">
          <cell r="A4303" t="str">
            <v>D3.5035</v>
          </cell>
          <cell r="C4303" t="str">
            <v>Làm giàn giáo rải dây vượt đường dây =&lt;110Kv, Tiết diện dây =&lt; 400mm2</v>
          </cell>
          <cell r="D4303" t="str">
            <v>vị trí</v>
          </cell>
          <cell r="H4303">
            <v>1145780</v>
          </cell>
          <cell r="I4303">
            <v>6241101.5999999996</v>
          </cell>
        </row>
        <row r="4304">
          <cell r="C4304" t="str">
            <v>Vật liệu</v>
          </cell>
          <cell r="G4304">
            <v>1145780</v>
          </cell>
        </row>
        <row r="4305">
          <cell r="B4305">
            <v>30</v>
          </cell>
          <cell r="C4305" t="str">
            <v>+ Dây thép 4 ly</v>
          </cell>
          <cell r="D4305" t="str">
            <v>kg</v>
          </cell>
          <cell r="E4305">
            <v>4.43</v>
          </cell>
          <cell r="F4305">
            <v>1000</v>
          </cell>
          <cell r="G4305">
            <v>4430</v>
          </cell>
        </row>
        <row r="4306">
          <cell r="B4306">
            <v>49</v>
          </cell>
          <cell r="C4306" t="str">
            <v>+ Tre cây 8 - 10 cm L = 6 - 8 m (Kể cả phên tre)</v>
          </cell>
          <cell r="D4306" t="str">
            <v>cây</v>
          </cell>
          <cell r="E4306">
            <v>32.61</v>
          </cell>
          <cell r="F4306">
            <v>35000</v>
          </cell>
          <cell r="G4306">
            <v>1141350</v>
          </cell>
        </row>
        <row r="4307">
          <cell r="C4307" t="str">
            <v>Nhân công</v>
          </cell>
          <cell r="G4307">
            <v>6241101.5999999996</v>
          </cell>
        </row>
        <row r="4308">
          <cell r="B4308" t="str">
            <v>NC1357</v>
          </cell>
          <cell r="C4308" t="str">
            <v>+ Nhân công bậc 3,5/7</v>
          </cell>
          <cell r="D4308" t="str">
            <v>Công</v>
          </cell>
          <cell r="E4308">
            <v>34.799999999999997</v>
          </cell>
          <cell r="F4308">
            <v>179342</v>
          </cell>
          <cell r="G4308">
            <v>6241101.5999999996</v>
          </cell>
        </row>
        <row r="4309">
          <cell r="A4309" t="str">
            <v>D3.5036</v>
          </cell>
          <cell r="C4309" t="str">
            <v>Làm giàn giáo rải dây vượt đường dây =&lt;110Kv, Tiết diện dây =&lt; 500mm2</v>
          </cell>
          <cell r="D4309" t="str">
            <v>vị trí</v>
          </cell>
          <cell r="H4309">
            <v>1374940</v>
          </cell>
          <cell r="I4309">
            <v>7489321.9199999999</v>
          </cell>
        </row>
        <row r="4310">
          <cell r="C4310" t="str">
            <v>Vật liệu</v>
          </cell>
          <cell r="G4310">
            <v>1374940</v>
          </cell>
        </row>
        <row r="4311">
          <cell r="B4311">
            <v>30</v>
          </cell>
          <cell r="C4311" t="str">
            <v>+ Dây thép 4 ly</v>
          </cell>
          <cell r="D4311" t="str">
            <v>kg</v>
          </cell>
          <cell r="E4311">
            <v>5.39</v>
          </cell>
          <cell r="F4311">
            <v>1000</v>
          </cell>
          <cell r="G4311">
            <v>5390</v>
          </cell>
        </row>
        <row r="4312">
          <cell r="B4312">
            <v>49</v>
          </cell>
          <cell r="C4312" t="str">
            <v>+ Tre cây 8 - 10 cm L = 6 - 8 m (Kể cả phên tre)</v>
          </cell>
          <cell r="D4312" t="str">
            <v>cây</v>
          </cell>
          <cell r="E4312">
            <v>39.130000000000003</v>
          </cell>
          <cell r="F4312">
            <v>35000</v>
          </cell>
          <cell r="G4312">
            <v>1369550</v>
          </cell>
        </row>
        <row r="4313">
          <cell r="C4313" t="str">
            <v>Nhân công</v>
          </cell>
          <cell r="G4313">
            <v>7489321.9199999999</v>
          </cell>
        </row>
        <row r="4314">
          <cell r="B4314" t="str">
            <v>NC1357</v>
          </cell>
          <cell r="C4314" t="str">
            <v>+ Nhân công bậc 3,5/7</v>
          </cell>
          <cell r="D4314" t="str">
            <v>Công</v>
          </cell>
          <cell r="E4314">
            <v>41.76</v>
          </cell>
          <cell r="F4314">
            <v>179342</v>
          </cell>
          <cell r="G4314">
            <v>7489321.9199999999</v>
          </cell>
        </row>
        <row r="4315">
          <cell r="A4315" t="str">
            <v>D3.5037</v>
          </cell>
          <cell r="C4315" t="str">
            <v>Làm giàn giáo rải dây vượt đường dây =&lt;110Kv, Tiết diện dây &gt; 500mm2</v>
          </cell>
          <cell r="D4315" t="str">
            <v>vị trí</v>
          </cell>
          <cell r="H4315">
            <v>1618570</v>
          </cell>
          <cell r="I4315">
            <v>8986827.6199999992</v>
          </cell>
        </row>
        <row r="4316">
          <cell r="C4316" t="str">
            <v>Vật liệu</v>
          </cell>
          <cell r="G4316">
            <v>1618570</v>
          </cell>
        </row>
        <row r="4317">
          <cell r="B4317">
            <v>30</v>
          </cell>
          <cell r="C4317" t="str">
            <v>+ Dây thép 4 ly</v>
          </cell>
          <cell r="D4317" t="str">
            <v>kg</v>
          </cell>
          <cell r="E4317">
            <v>6.47</v>
          </cell>
          <cell r="F4317">
            <v>1000</v>
          </cell>
          <cell r="G4317">
            <v>6470</v>
          </cell>
        </row>
        <row r="4318">
          <cell r="B4318">
            <v>49</v>
          </cell>
          <cell r="C4318" t="str">
            <v>+ Tre cây 8 - 10 cm L = 6 - 8 m (Kể cả phên tre)</v>
          </cell>
          <cell r="D4318" t="str">
            <v>cây</v>
          </cell>
          <cell r="E4318">
            <v>46.06</v>
          </cell>
          <cell r="F4318">
            <v>35000</v>
          </cell>
          <cell r="G4318">
            <v>1612100</v>
          </cell>
        </row>
        <row r="4319">
          <cell r="C4319" t="str">
            <v>Nhân công</v>
          </cell>
          <cell r="G4319">
            <v>8986827.6199999992</v>
          </cell>
        </row>
        <row r="4320">
          <cell r="B4320" t="str">
            <v>NC1357</v>
          </cell>
          <cell r="C4320" t="str">
            <v>+ Nhân công bậc 3,5/7</v>
          </cell>
          <cell r="D4320" t="str">
            <v>Công</v>
          </cell>
          <cell r="E4320">
            <v>50.11</v>
          </cell>
          <cell r="F4320">
            <v>179342</v>
          </cell>
          <cell r="G4320">
            <v>8986827.6199999992</v>
          </cell>
        </row>
        <row r="4321">
          <cell r="A4321" t="str">
            <v>D3.5045</v>
          </cell>
          <cell r="C4321" t="str">
            <v>Làm giàn giáo rải dây vượt đường dây =&lt;220Kv, Tiết diện dây =&lt; 400mm2</v>
          </cell>
          <cell r="D4321" t="str">
            <v>vị trí</v>
          </cell>
          <cell r="H4321">
            <v>1374780</v>
          </cell>
          <cell r="I4321">
            <v>7489321.9199999999</v>
          </cell>
        </row>
        <row r="4322">
          <cell r="C4322" t="str">
            <v>Vật liệu</v>
          </cell>
          <cell r="G4322">
            <v>1374780</v>
          </cell>
        </row>
        <row r="4323">
          <cell r="B4323">
            <v>30</v>
          </cell>
          <cell r="C4323" t="str">
            <v>+ Dây thép 4 ly</v>
          </cell>
          <cell r="D4323" t="str">
            <v>kg</v>
          </cell>
          <cell r="E4323">
            <v>5.23</v>
          </cell>
          <cell r="F4323">
            <v>1000</v>
          </cell>
          <cell r="G4323">
            <v>5230</v>
          </cell>
        </row>
        <row r="4324">
          <cell r="B4324">
            <v>49</v>
          </cell>
          <cell r="C4324" t="str">
            <v>+ Tre cây 8 - 10 cm L = 6 - 8 m (Kể cả phên tre)</v>
          </cell>
          <cell r="D4324" t="str">
            <v>cây</v>
          </cell>
          <cell r="E4324">
            <v>39.130000000000003</v>
          </cell>
          <cell r="F4324">
            <v>35000</v>
          </cell>
          <cell r="G4324">
            <v>1369550</v>
          </cell>
        </row>
        <row r="4325">
          <cell r="C4325" t="str">
            <v>Nhân công</v>
          </cell>
          <cell r="G4325">
            <v>7489321.9199999999</v>
          </cell>
        </row>
        <row r="4326">
          <cell r="B4326" t="str">
            <v>NC1357</v>
          </cell>
          <cell r="C4326" t="str">
            <v>+ Nhân công bậc 3,5/7</v>
          </cell>
          <cell r="D4326" t="str">
            <v>Công</v>
          </cell>
          <cell r="E4326">
            <v>41.76</v>
          </cell>
          <cell r="F4326">
            <v>179342</v>
          </cell>
          <cell r="G4326">
            <v>7489321.9199999999</v>
          </cell>
        </row>
        <row r="4327">
          <cell r="A4327" t="str">
            <v>D3.5046</v>
          </cell>
          <cell r="C4327" t="str">
            <v>Làm giàn giáo rải dây vượt đường dây =&lt;220Kv, Tiết diện dây =&lt; 500mm2</v>
          </cell>
          <cell r="D4327" t="str">
            <v>vị trí</v>
          </cell>
          <cell r="H4327">
            <v>1650070</v>
          </cell>
          <cell r="I4327">
            <v>8986827.6199999992</v>
          </cell>
        </row>
        <row r="4328">
          <cell r="C4328" t="str">
            <v>Vật liệu</v>
          </cell>
          <cell r="G4328">
            <v>1650070</v>
          </cell>
        </row>
        <row r="4329">
          <cell r="B4329">
            <v>30</v>
          </cell>
          <cell r="C4329" t="str">
            <v>+ Dây thép 4 ly</v>
          </cell>
          <cell r="D4329" t="str">
            <v>kg</v>
          </cell>
          <cell r="E4329">
            <v>6.47</v>
          </cell>
          <cell r="F4329">
            <v>1000</v>
          </cell>
          <cell r="G4329">
            <v>6470</v>
          </cell>
        </row>
        <row r="4330">
          <cell r="B4330">
            <v>49</v>
          </cell>
          <cell r="C4330" t="str">
            <v>+ Tre cây 8 - 10 cm L = 6 - 8 m (Kể cả phên tre)</v>
          </cell>
          <cell r="D4330" t="str">
            <v>cây</v>
          </cell>
          <cell r="E4330">
            <v>46.96</v>
          </cell>
          <cell r="F4330">
            <v>35000</v>
          </cell>
          <cell r="G4330">
            <v>1643600</v>
          </cell>
        </row>
        <row r="4331">
          <cell r="C4331" t="str">
            <v>Nhân công</v>
          </cell>
          <cell r="G4331">
            <v>8986827.6199999992</v>
          </cell>
        </row>
        <row r="4332">
          <cell r="B4332" t="str">
            <v>NC1357</v>
          </cell>
          <cell r="C4332" t="str">
            <v>+ Nhân công bậc 3,5/7</v>
          </cell>
          <cell r="D4332" t="str">
            <v>Công</v>
          </cell>
          <cell r="E4332">
            <v>50.11</v>
          </cell>
          <cell r="F4332">
            <v>179342</v>
          </cell>
          <cell r="G4332">
            <v>8986827.6199999992</v>
          </cell>
        </row>
        <row r="4333">
          <cell r="A4333" t="str">
            <v>D3.5047</v>
          </cell>
          <cell r="C4333" t="str">
            <v>Làm giàn giáo rải dây vượt đường dây =&lt;220Kv, Tiết diện dây &gt; 500mm2</v>
          </cell>
          <cell r="D4333" t="str">
            <v>vị trí</v>
          </cell>
          <cell r="H4333">
            <v>1980020</v>
          </cell>
          <cell r="I4333">
            <v>10783834.460000001</v>
          </cell>
        </row>
        <row r="4334">
          <cell r="C4334" t="str">
            <v>Vật liệu</v>
          </cell>
          <cell r="G4334">
            <v>1980020</v>
          </cell>
        </row>
        <row r="4335">
          <cell r="B4335">
            <v>30</v>
          </cell>
          <cell r="C4335" t="str">
            <v>+ Dây thép 4 ly</v>
          </cell>
          <cell r="D4335" t="str">
            <v>kg</v>
          </cell>
          <cell r="E4335">
            <v>7.77</v>
          </cell>
          <cell r="F4335">
            <v>1000</v>
          </cell>
          <cell r="G4335">
            <v>7770</v>
          </cell>
        </row>
        <row r="4336">
          <cell r="B4336">
            <v>49</v>
          </cell>
          <cell r="C4336" t="str">
            <v>+ Tre cây 8 - 10 cm L = 6 - 8 m (Kể cả phên tre)</v>
          </cell>
          <cell r="D4336" t="str">
            <v>cây</v>
          </cell>
          <cell r="E4336">
            <v>56.35</v>
          </cell>
          <cell r="F4336">
            <v>35000</v>
          </cell>
          <cell r="G4336">
            <v>1972250</v>
          </cell>
        </row>
        <row r="4337">
          <cell r="C4337" t="str">
            <v>Nhân công</v>
          </cell>
          <cell r="G4337">
            <v>10783834.460000001</v>
          </cell>
        </row>
        <row r="4338">
          <cell r="B4338" t="str">
            <v>NC1357</v>
          </cell>
          <cell r="C4338" t="str">
            <v>+ Nhân công bậc 3,5/7</v>
          </cell>
          <cell r="D4338" t="str">
            <v>Công</v>
          </cell>
          <cell r="E4338">
            <v>60.13</v>
          </cell>
          <cell r="F4338">
            <v>179342</v>
          </cell>
          <cell r="G4338">
            <v>10783834.460000001</v>
          </cell>
        </row>
        <row r="4339">
          <cell r="A4339" t="str">
            <v>D3.5051</v>
          </cell>
          <cell r="C4339" t="str">
            <v>Làm giàn giáo rải dây vượt đường ôtô &lt;=5m, nhà dân cao =&lt;7m. Tiết diện dây =&lt;50mm2</v>
          </cell>
          <cell r="D4339" t="str">
            <v>vị trí</v>
          </cell>
          <cell r="H4339">
            <v>281200</v>
          </cell>
          <cell r="I4339">
            <v>1223112.44</v>
          </cell>
        </row>
        <row r="4340">
          <cell r="C4340" t="str">
            <v>Vật liệu</v>
          </cell>
          <cell r="G4340">
            <v>281200</v>
          </cell>
        </row>
        <row r="4341">
          <cell r="B4341">
            <v>30</v>
          </cell>
          <cell r="C4341" t="str">
            <v>+ Dây thép 4 ly</v>
          </cell>
          <cell r="D4341" t="str">
            <v>kg</v>
          </cell>
          <cell r="E4341">
            <v>1.2</v>
          </cell>
          <cell r="F4341">
            <v>1000</v>
          </cell>
          <cell r="G4341">
            <v>1200</v>
          </cell>
        </row>
        <row r="4342">
          <cell r="B4342">
            <v>49</v>
          </cell>
          <cell r="C4342" t="str">
            <v>+ Tre cây 8 - 10 cm L = 6 - 8 m (Kể cả phên tre)</v>
          </cell>
          <cell r="D4342" t="str">
            <v>cây</v>
          </cell>
          <cell r="E4342">
            <v>8</v>
          </cell>
          <cell r="F4342">
            <v>35000</v>
          </cell>
          <cell r="G4342">
            <v>280000</v>
          </cell>
        </row>
        <row r="4343">
          <cell r="C4343" t="str">
            <v>Nhân công</v>
          </cell>
          <cell r="G4343">
            <v>1223112.44</v>
          </cell>
        </row>
        <row r="4344">
          <cell r="B4344" t="str">
            <v>NC1357</v>
          </cell>
          <cell r="C4344" t="str">
            <v>+ Nhân công bậc 3,5/7</v>
          </cell>
          <cell r="D4344" t="str">
            <v>Công</v>
          </cell>
          <cell r="E4344">
            <v>6.82</v>
          </cell>
          <cell r="F4344">
            <v>179342</v>
          </cell>
          <cell r="G4344">
            <v>1223112.44</v>
          </cell>
        </row>
        <row r="4345">
          <cell r="A4345" t="str">
            <v>D3.5052</v>
          </cell>
          <cell r="C4345" t="str">
            <v>Làm giàn giáo rải dây vượt đường ôtô &lt;=5m, nhà dân cao =&lt;7m. Tiết diện dây =&lt;95mm2</v>
          </cell>
          <cell r="D4345" t="str">
            <v>vị trí</v>
          </cell>
          <cell r="H4345">
            <v>351500</v>
          </cell>
          <cell r="I4345">
            <v>1407834.7</v>
          </cell>
        </row>
        <row r="4346">
          <cell r="C4346" t="str">
            <v>Vật liệu</v>
          </cell>
          <cell r="G4346">
            <v>351500</v>
          </cell>
        </row>
        <row r="4347">
          <cell r="B4347">
            <v>30</v>
          </cell>
          <cell r="C4347" t="str">
            <v>+ Dây thép 4 ly</v>
          </cell>
          <cell r="D4347" t="str">
            <v>kg</v>
          </cell>
          <cell r="E4347">
            <v>1.5</v>
          </cell>
          <cell r="F4347">
            <v>1000</v>
          </cell>
          <cell r="G4347">
            <v>1500</v>
          </cell>
        </row>
        <row r="4348">
          <cell r="B4348">
            <v>49</v>
          </cell>
          <cell r="C4348" t="str">
            <v>+ Tre cây 8 - 10 cm L = 6 - 8 m (Kể cả phên tre)</v>
          </cell>
          <cell r="D4348" t="str">
            <v>cây</v>
          </cell>
          <cell r="E4348">
            <v>10</v>
          </cell>
          <cell r="F4348">
            <v>35000</v>
          </cell>
          <cell r="G4348">
            <v>350000</v>
          </cell>
        </row>
        <row r="4349">
          <cell r="C4349" t="str">
            <v>Nhân công</v>
          </cell>
          <cell r="G4349">
            <v>1407834.7</v>
          </cell>
        </row>
        <row r="4350">
          <cell r="B4350" t="str">
            <v>NC1357</v>
          </cell>
          <cell r="C4350" t="str">
            <v>+ Nhân công bậc 3,5/7</v>
          </cell>
          <cell r="D4350" t="str">
            <v>Công</v>
          </cell>
          <cell r="E4350">
            <v>7.85</v>
          </cell>
          <cell r="F4350">
            <v>179342</v>
          </cell>
          <cell r="G4350">
            <v>1407834.7</v>
          </cell>
        </row>
        <row r="4351">
          <cell r="A4351" t="str">
            <v>D3.5053</v>
          </cell>
          <cell r="C4351" t="str">
            <v>Làm giàn giáo rải dây vượt đường ôtô &lt;=5m, nhà dân cao =&lt;7m. Tiết diện dây =&lt;150mm2</v>
          </cell>
          <cell r="D4351" t="str">
            <v>vị trí</v>
          </cell>
          <cell r="H4351">
            <v>421800</v>
          </cell>
          <cell r="I4351">
            <v>1723476.6199999999</v>
          </cell>
        </row>
        <row r="4352">
          <cell r="C4352" t="str">
            <v>Vật liệu</v>
          </cell>
          <cell r="G4352">
            <v>421800</v>
          </cell>
        </row>
        <row r="4353">
          <cell r="B4353">
            <v>30</v>
          </cell>
          <cell r="C4353" t="str">
            <v>+ Dây thép 4 ly</v>
          </cell>
          <cell r="D4353" t="str">
            <v>kg</v>
          </cell>
          <cell r="E4353">
            <v>1.8</v>
          </cell>
          <cell r="F4353">
            <v>1000</v>
          </cell>
          <cell r="G4353">
            <v>1800</v>
          </cell>
        </row>
        <row r="4354">
          <cell r="B4354">
            <v>49</v>
          </cell>
          <cell r="C4354" t="str">
            <v>+ Tre cây 8 - 10 cm L = 6 - 8 m (Kể cả phên tre)</v>
          </cell>
          <cell r="D4354" t="str">
            <v>cây</v>
          </cell>
          <cell r="E4354">
            <v>12</v>
          </cell>
          <cell r="F4354">
            <v>35000</v>
          </cell>
          <cell r="G4354">
            <v>420000</v>
          </cell>
        </row>
        <row r="4355">
          <cell r="C4355" t="str">
            <v>Nhân công</v>
          </cell>
          <cell r="G4355">
            <v>1723476.6199999999</v>
          </cell>
        </row>
        <row r="4356">
          <cell r="B4356" t="str">
            <v>NC1357</v>
          </cell>
          <cell r="C4356" t="str">
            <v>+ Nhân công bậc 3,5/7</v>
          </cell>
          <cell r="D4356" t="str">
            <v>Công</v>
          </cell>
          <cell r="E4356">
            <v>9.61</v>
          </cell>
          <cell r="F4356">
            <v>179342</v>
          </cell>
          <cell r="G4356">
            <v>1723476.6199999999</v>
          </cell>
        </row>
        <row r="4357">
          <cell r="A4357" t="str">
            <v>D3.5054</v>
          </cell>
          <cell r="C4357" t="str">
            <v>Làm giàn giáo rải dây vượt đường ôtô &lt;=5m, nhà dân cao =&lt;7m. Tiết diện dây =&lt;240mm2</v>
          </cell>
          <cell r="D4357" t="str">
            <v>vị trí</v>
          </cell>
          <cell r="H4357">
            <v>527250</v>
          </cell>
          <cell r="I4357">
            <v>1927926.5</v>
          </cell>
        </row>
        <row r="4358">
          <cell r="C4358" t="str">
            <v>Vật liệu</v>
          </cell>
          <cell r="G4358">
            <v>527250</v>
          </cell>
        </row>
        <row r="4359">
          <cell r="B4359">
            <v>30</v>
          </cell>
          <cell r="C4359" t="str">
            <v>+ Dây thép 4 ly</v>
          </cell>
          <cell r="D4359" t="str">
            <v>kg</v>
          </cell>
          <cell r="E4359">
            <v>2.25</v>
          </cell>
          <cell r="F4359">
            <v>1000</v>
          </cell>
          <cell r="G4359">
            <v>2250</v>
          </cell>
        </row>
        <row r="4360">
          <cell r="B4360">
            <v>49</v>
          </cell>
          <cell r="C4360" t="str">
            <v>+ Tre cây 8 - 10 cm L = 6 - 8 m (Kể cả phên tre)</v>
          </cell>
          <cell r="D4360" t="str">
            <v>cây</v>
          </cell>
          <cell r="E4360">
            <v>15</v>
          </cell>
          <cell r="F4360">
            <v>35000</v>
          </cell>
          <cell r="G4360">
            <v>525000</v>
          </cell>
        </row>
        <row r="4361">
          <cell r="C4361" t="str">
            <v>Nhân công</v>
          </cell>
          <cell r="G4361">
            <v>1927926.5</v>
          </cell>
        </row>
        <row r="4362">
          <cell r="B4362" t="str">
            <v>NC1357</v>
          </cell>
          <cell r="C4362" t="str">
            <v>+ Nhân công bậc 3,5/7</v>
          </cell>
          <cell r="D4362" t="str">
            <v>Công</v>
          </cell>
          <cell r="E4362">
            <v>10.75</v>
          </cell>
          <cell r="F4362">
            <v>179342</v>
          </cell>
          <cell r="G4362">
            <v>1927926.5</v>
          </cell>
        </row>
        <row r="4363">
          <cell r="A4363" t="str">
            <v>D3.5055</v>
          </cell>
          <cell r="C4363" t="str">
            <v>Làm giàn giáo rải dây vượt đường ôtô &lt;=5m, nhà dân cao =&lt;7m. Tiết diện dây =&lt; 400mm2,</v>
          </cell>
          <cell r="D4363" t="str">
            <v>vị trí</v>
          </cell>
          <cell r="H4363">
            <v>780060.00000000012</v>
          </cell>
          <cell r="I4363">
            <v>2654261.6</v>
          </cell>
        </row>
        <row r="4364">
          <cell r="C4364" t="str">
            <v>Vật liệu</v>
          </cell>
          <cell r="G4364">
            <v>780060.00000000012</v>
          </cell>
        </row>
        <row r="4365">
          <cell r="B4365">
            <v>30</v>
          </cell>
          <cell r="C4365" t="str">
            <v>+ Dây thép 4 ly</v>
          </cell>
          <cell r="D4365" t="str">
            <v>kg</v>
          </cell>
          <cell r="E4365">
            <v>4.1100000000000003</v>
          </cell>
          <cell r="F4365">
            <v>1000</v>
          </cell>
          <cell r="G4365">
            <v>4110</v>
          </cell>
        </row>
        <row r="4366">
          <cell r="B4366">
            <v>49</v>
          </cell>
          <cell r="C4366" t="str">
            <v>+ Tre cây 8 - 10 cm L = 6 - 8 m (Kể cả phên tre)</v>
          </cell>
          <cell r="D4366" t="str">
            <v>cây</v>
          </cell>
          <cell r="E4366">
            <v>22.17</v>
          </cell>
          <cell r="F4366">
            <v>35000</v>
          </cell>
          <cell r="G4366">
            <v>775950.00000000012</v>
          </cell>
        </row>
        <row r="4367">
          <cell r="C4367" t="str">
            <v>Nhân công</v>
          </cell>
          <cell r="G4367">
            <v>2654261.6</v>
          </cell>
        </row>
        <row r="4368">
          <cell r="B4368" t="str">
            <v>NC1357</v>
          </cell>
          <cell r="C4368" t="str">
            <v>+ Nhân công bậc 3,5/7</v>
          </cell>
          <cell r="D4368" t="str">
            <v>Công</v>
          </cell>
          <cell r="E4368">
            <v>14.8</v>
          </cell>
          <cell r="F4368">
            <v>179342</v>
          </cell>
          <cell r="G4368">
            <v>2654261.6</v>
          </cell>
        </row>
        <row r="4369">
          <cell r="A4369" t="str">
            <v>D3.5056</v>
          </cell>
          <cell r="C4369" t="str">
            <v>Làm giàn giáo rải dây vượt đường ôtô &lt;=5m, nhà dân cao =&lt;7m. Tiết diện dây =&lt; 500mm2,</v>
          </cell>
          <cell r="D4369" t="str">
            <v>vị trí</v>
          </cell>
          <cell r="H4369">
            <v>936280</v>
          </cell>
          <cell r="I4369">
            <v>3185113.9200000004</v>
          </cell>
        </row>
        <row r="4370">
          <cell r="C4370" t="str">
            <v>Vật liệu</v>
          </cell>
          <cell r="G4370">
            <v>936280</v>
          </cell>
        </row>
        <row r="4371">
          <cell r="B4371">
            <v>30</v>
          </cell>
          <cell r="C4371" t="str">
            <v>+ Dây thép 4 ly</v>
          </cell>
          <cell r="D4371" t="str">
            <v>kg</v>
          </cell>
          <cell r="E4371">
            <v>4.93</v>
          </cell>
          <cell r="F4371">
            <v>1000</v>
          </cell>
          <cell r="G4371">
            <v>4930</v>
          </cell>
        </row>
        <row r="4372">
          <cell r="B4372">
            <v>49</v>
          </cell>
          <cell r="C4372" t="str">
            <v>+ Tre cây 8 - 10 cm L = 6 - 8 m (Kể cả phên tre)</v>
          </cell>
          <cell r="D4372" t="str">
            <v>cây</v>
          </cell>
          <cell r="E4372">
            <v>26.61</v>
          </cell>
          <cell r="F4372">
            <v>35000</v>
          </cell>
          <cell r="G4372">
            <v>931350</v>
          </cell>
        </row>
        <row r="4373">
          <cell r="C4373" t="str">
            <v>Nhân công</v>
          </cell>
          <cell r="G4373">
            <v>3185113.9200000004</v>
          </cell>
        </row>
        <row r="4374">
          <cell r="B4374" t="str">
            <v>NC1357</v>
          </cell>
          <cell r="C4374" t="str">
            <v>+ Nhân công bậc 3,5/7</v>
          </cell>
          <cell r="D4374" t="str">
            <v>Công</v>
          </cell>
          <cell r="E4374">
            <v>17.760000000000002</v>
          </cell>
          <cell r="F4374">
            <v>179342</v>
          </cell>
          <cell r="G4374">
            <v>3185113.9200000004</v>
          </cell>
        </row>
        <row r="4375">
          <cell r="A4375" t="str">
            <v>D3.5057</v>
          </cell>
          <cell r="C4375" t="str">
            <v>Làm giàn giáo rải dây vượt đường ôtô &lt;=5m, nhà dân cao =&lt;7m. Tiết diện dây &gt; 500mm2,</v>
          </cell>
          <cell r="D4375" t="str">
            <v>vị trí</v>
          </cell>
          <cell r="H4375">
            <v>1123460</v>
          </cell>
          <cell r="I4375">
            <v>3391357.22</v>
          </cell>
        </row>
        <row r="4376">
          <cell r="C4376" t="str">
            <v>Vật liệu</v>
          </cell>
          <cell r="G4376">
            <v>1123460</v>
          </cell>
        </row>
        <row r="4377">
          <cell r="B4377">
            <v>30</v>
          </cell>
          <cell r="C4377" t="str">
            <v>+ Dây thép 4 ly</v>
          </cell>
          <cell r="D4377" t="str">
            <v>kg</v>
          </cell>
          <cell r="E4377">
            <v>5.91</v>
          </cell>
          <cell r="F4377">
            <v>1000</v>
          </cell>
          <cell r="G4377">
            <v>5910</v>
          </cell>
        </row>
        <row r="4378">
          <cell r="B4378">
            <v>49</v>
          </cell>
          <cell r="C4378" t="str">
            <v>+ Tre cây 8 - 10 cm L = 6 - 8 m (Kể cả phên tre)</v>
          </cell>
          <cell r="D4378" t="str">
            <v>cây</v>
          </cell>
          <cell r="E4378">
            <v>31.93</v>
          </cell>
          <cell r="F4378">
            <v>35000</v>
          </cell>
          <cell r="G4378">
            <v>1117550</v>
          </cell>
        </row>
        <row r="4379">
          <cell r="C4379" t="str">
            <v>Nhân công</v>
          </cell>
          <cell r="G4379">
            <v>3391357.22</v>
          </cell>
        </row>
        <row r="4380">
          <cell r="B4380" t="str">
            <v>NC1357</v>
          </cell>
          <cell r="C4380" t="str">
            <v>+ Nhân công bậc 3,5/7</v>
          </cell>
          <cell r="D4380" t="str">
            <v>Công</v>
          </cell>
          <cell r="E4380">
            <v>18.91</v>
          </cell>
          <cell r="F4380">
            <v>179342</v>
          </cell>
          <cell r="G4380">
            <v>3391357.22</v>
          </cell>
        </row>
        <row r="4381">
          <cell r="A4381" t="str">
            <v>D3.5061</v>
          </cell>
          <cell r="C4381" t="str">
            <v>Làm giàn giáo rải dây vượt đường ôtô &lt;=10m, nhà dân cao &gt;7m. Tiết diện dây &lt;=50mm2</v>
          </cell>
          <cell r="D4381" t="str">
            <v>vị trí</v>
          </cell>
          <cell r="H4381">
            <v>351500</v>
          </cell>
          <cell r="I4381">
            <v>1456257.0399999998</v>
          </cell>
        </row>
        <row r="4382">
          <cell r="C4382" t="str">
            <v>Vật liệu</v>
          </cell>
          <cell r="G4382">
            <v>351500</v>
          </cell>
        </row>
        <row r="4383">
          <cell r="B4383">
            <v>30</v>
          </cell>
          <cell r="C4383" t="str">
            <v>+ Dây thép 4 ly</v>
          </cell>
          <cell r="D4383" t="str">
            <v>kg</v>
          </cell>
          <cell r="E4383">
            <v>1.5</v>
          </cell>
          <cell r="F4383">
            <v>1000</v>
          </cell>
          <cell r="G4383">
            <v>1500</v>
          </cell>
        </row>
        <row r="4384">
          <cell r="B4384">
            <v>49</v>
          </cell>
          <cell r="C4384" t="str">
            <v>+ Tre cây 8 - 10 cm L = 6 - 8 m (Kể cả phên tre)</v>
          </cell>
          <cell r="D4384" t="str">
            <v>cây</v>
          </cell>
          <cell r="E4384">
            <v>10</v>
          </cell>
          <cell r="F4384">
            <v>35000</v>
          </cell>
          <cell r="G4384">
            <v>350000</v>
          </cell>
        </row>
        <row r="4385">
          <cell r="C4385" t="str">
            <v>Nhân công</v>
          </cell>
          <cell r="G4385">
            <v>1456257.0399999998</v>
          </cell>
        </row>
        <row r="4386">
          <cell r="B4386" t="str">
            <v>NC1357</v>
          </cell>
          <cell r="C4386" t="str">
            <v>+ Nhân công bậc 3,5/7</v>
          </cell>
          <cell r="D4386" t="str">
            <v>Công</v>
          </cell>
          <cell r="E4386">
            <v>8.1199999999999992</v>
          </cell>
          <cell r="F4386">
            <v>179342</v>
          </cell>
          <cell r="G4386">
            <v>1456257.0399999998</v>
          </cell>
        </row>
        <row r="4387">
          <cell r="A4387" t="str">
            <v>D3.5062</v>
          </cell>
          <cell r="C4387" t="str">
            <v>Làm giàn giáo rải dây vượt đường ôtô &lt;=10m, nhà dân cao &gt;7m. Tiết diện dây &lt;=95mm2</v>
          </cell>
          <cell r="D4387" t="str">
            <v>vị trí</v>
          </cell>
          <cell r="H4387">
            <v>491890</v>
          </cell>
          <cell r="I4387">
            <v>1841842.3399999999</v>
          </cell>
        </row>
        <row r="4388">
          <cell r="C4388" t="str">
            <v>Vật liệu</v>
          </cell>
          <cell r="G4388">
            <v>491890</v>
          </cell>
        </row>
        <row r="4389">
          <cell r="B4389">
            <v>30</v>
          </cell>
          <cell r="C4389" t="str">
            <v>+ Dây thép 4 ly</v>
          </cell>
          <cell r="D4389" t="str">
            <v>kg</v>
          </cell>
          <cell r="E4389">
            <v>1.89</v>
          </cell>
          <cell r="F4389">
            <v>1000</v>
          </cell>
          <cell r="G4389">
            <v>1890</v>
          </cell>
        </row>
        <row r="4390">
          <cell r="B4390">
            <v>49</v>
          </cell>
          <cell r="C4390" t="str">
            <v>+ Tre cây 8 - 10 cm L = 6 - 8 m (Kể cả phên tre)</v>
          </cell>
          <cell r="D4390" t="str">
            <v>cây</v>
          </cell>
          <cell r="E4390">
            <v>14</v>
          </cell>
          <cell r="F4390">
            <v>35000</v>
          </cell>
          <cell r="G4390">
            <v>490000</v>
          </cell>
        </row>
        <row r="4391">
          <cell r="C4391" t="str">
            <v>Nhân công</v>
          </cell>
          <cell r="G4391">
            <v>1841842.3399999999</v>
          </cell>
        </row>
        <row r="4392">
          <cell r="B4392" t="str">
            <v>NC1357</v>
          </cell>
          <cell r="C4392" t="str">
            <v>+ Nhân công bậc 3,5/7</v>
          </cell>
          <cell r="D4392" t="str">
            <v>Công</v>
          </cell>
          <cell r="E4392">
            <v>10.27</v>
          </cell>
          <cell r="F4392">
            <v>179342</v>
          </cell>
          <cell r="G4392">
            <v>1841842.3399999999</v>
          </cell>
        </row>
        <row r="4393">
          <cell r="A4393" t="str">
            <v>D3.5063</v>
          </cell>
          <cell r="C4393" t="str">
            <v>Làm giàn giáo rải dây vượt đường ôtô &lt;=10m, nhà dân cao &gt;7m. Tiết diện dây &lt;=150mm2</v>
          </cell>
          <cell r="D4393" t="str">
            <v>vị trí</v>
          </cell>
          <cell r="H4393">
            <v>632250</v>
          </cell>
          <cell r="I4393">
            <v>2252535.52</v>
          </cell>
        </row>
        <row r="4394">
          <cell r="C4394" t="str">
            <v>Vật liệu</v>
          </cell>
          <cell r="G4394">
            <v>632250</v>
          </cell>
        </row>
        <row r="4395">
          <cell r="B4395">
            <v>30</v>
          </cell>
          <cell r="C4395" t="str">
            <v>+ Dây thép 4 ly</v>
          </cell>
          <cell r="D4395" t="str">
            <v>kg</v>
          </cell>
          <cell r="E4395">
            <v>2.25</v>
          </cell>
          <cell r="F4395">
            <v>1000</v>
          </cell>
          <cell r="G4395">
            <v>2250</v>
          </cell>
        </row>
        <row r="4396">
          <cell r="B4396">
            <v>49</v>
          </cell>
          <cell r="C4396" t="str">
            <v>+ Tre cây 8 - 10 cm L = 6 - 8 m (Kể cả phên tre)</v>
          </cell>
          <cell r="D4396" t="str">
            <v>cây</v>
          </cell>
          <cell r="E4396">
            <v>18</v>
          </cell>
          <cell r="F4396">
            <v>35000</v>
          </cell>
          <cell r="G4396">
            <v>630000</v>
          </cell>
        </row>
        <row r="4397">
          <cell r="C4397" t="str">
            <v>Nhân công</v>
          </cell>
          <cell r="G4397">
            <v>2252535.52</v>
          </cell>
        </row>
        <row r="4398">
          <cell r="B4398" t="str">
            <v>NC1357</v>
          </cell>
          <cell r="C4398" t="str">
            <v>+ Nhân công bậc 3,5/7</v>
          </cell>
          <cell r="D4398" t="str">
            <v>Công</v>
          </cell>
          <cell r="E4398">
            <v>12.56</v>
          </cell>
          <cell r="F4398">
            <v>179342</v>
          </cell>
          <cell r="G4398">
            <v>2252535.52</v>
          </cell>
        </row>
        <row r="4399">
          <cell r="A4399" t="str">
            <v>D3.5064</v>
          </cell>
          <cell r="C4399" t="str">
            <v>Làm giàn giáo rải dây vượt đường ôtô &lt;=10m, nhà dân cao &gt;7m. Tiết diện dây &lt;=240mm2</v>
          </cell>
          <cell r="D4399" t="str">
            <v>vị trí</v>
          </cell>
          <cell r="H4399">
            <v>773200</v>
          </cell>
          <cell r="I4399">
            <v>2530515.62</v>
          </cell>
        </row>
        <row r="4400">
          <cell r="C4400" t="str">
            <v>Vật liệu</v>
          </cell>
          <cell r="G4400">
            <v>773200</v>
          </cell>
        </row>
        <row r="4401">
          <cell r="B4401">
            <v>30</v>
          </cell>
          <cell r="C4401" t="str">
            <v>+ Dây thép 4 ly</v>
          </cell>
          <cell r="D4401" t="str">
            <v>kg</v>
          </cell>
          <cell r="E4401">
            <v>3.2</v>
          </cell>
          <cell r="F4401">
            <v>1000</v>
          </cell>
          <cell r="G4401">
            <v>3200</v>
          </cell>
        </row>
        <row r="4402">
          <cell r="B4402">
            <v>49</v>
          </cell>
          <cell r="C4402" t="str">
            <v>+ Tre cây 8 - 10 cm L = 6 - 8 m (Kể cả phên tre)</v>
          </cell>
          <cell r="D4402" t="str">
            <v>cây</v>
          </cell>
          <cell r="E4402">
            <v>22</v>
          </cell>
          <cell r="F4402">
            <v>35000</v>
          </cell>
          <cell r="G4402">
            <v>770000</v>
          </cell>
        </row>
        <row r="4403">
          <cell r="C4403" t="str">
            <v>Nhân công</v>
          </cell>
          <cell r="G4403">
            <v>2530515.62</v>
          </cell>
        </row>
        <row r="4404">
          <cell r="B4404" t="str">
            <v>NC1357</v>
          </cell>
          <cell r="C4404" t="str">
            <v>+ Nhân công bậc 3,5/7</v>
          </cell>
          <cell r="D4404" t="str">
            <v>Công</v>
          </cell>
          <cell r="E4404">
            <v>14.11</v>
          </cell>
          <cell r="F4404">
            <v>179342</v>
          </cell>
          <cell r="G4404">
            <v>2530515.62</v>
          </cell>
        </row>
        <row r="4405">
          <cell r="A4405" t="str">
            <v>D3.5065</v>
          </cell>
          <cell r="C4405" t="str">
            <v>Làm giàn giáo rải dây vượt đường ôtô &lt;=10m, nhà dân cao &gt;7m. Tiết diện dây =&lt; 400mm2</v>
          </cell>
          <cell r="D4405" t="str">
            <v>vị trí</v>
          </cell>
          <cell r="H4405">
            <v>1420460</v>
          </cell>
          <cell r="I4405">
            <v>4065683.14</v>
          </cell>
        </row>
        <row r="4406">
          <cell r="C4406" t="str">
            <v>Vật liệu</v>
          </cell>
          <cell r="G4406">
            <v>1420460</v>
          </cell>
        </row>
        <row r="4407">
          <cell r="B4407">
            <v>30</v>
          </cell>
          <cell r="C4407" t="str">
            <v>+ Dây thép 4 ly</v>
          </cell>
          <cell r="D4407" t="str">
            <v>kg</v>
          </cell>
          <cell r="E4407">
            <v>5.41</v>
          </cell>
          <cell r="F4407">
            <v>1000</v>
          </cell>
          <cell r="G4407">
            <v>5410</v>
          </cell>
        </row>
        <row r="4408">
          <cell r="B4408">
            <v>49</v>
          </cell>
          <cell r="C4408" t="str">
            <v>+ Tre cây 8 - 10 cm L = 6 - 8 m (Kể cả phên tre)</v>
          </cell>
          <cell r="D4408" t="str">
            <v>cây</v>
          </cell>
          <cell r="E4408">
            <v>40.43</v>
          </cell>
          <cell r="F4408">
            <v>35000</v>
          </cell>
          <cell r="G4408">
            <v>1415050</v>
          </cell>
        </row>
        <row r="4409">
          <cell r="C4409" t="str">
            <v>Nhân công</v>
          </cell>
          <cell r="G4409">
            <v>4065683.14</v>
          </cell>
        </row>
        <row r="4410">
          <cell r="B4410" t="str">
            <v>NC1357</v>
          </cell>
          <cell r="C4410" t="str">
            <v>+ Nhân công bậc 3,5/7</v>
          </cell>
          <cell r="D4410" t="str">
            <v>Công</v>
          </cell>
          <cell r="E4410">
            <v>22.67</v>
          </cell>
          <cell r="F4410">
            <v>179342</v>
          </cell>
          <cell r="G4410">
            <v>4065683.14</v>
          </cell>
        </row>
        <row r="4411">
          <cell r="A4411" t="str">
            <v>D3.5066</v>
          </cell>
          <cell r="C4411" t="str">
            <v>Làm giàn giáo rải dây vượt đường ôtô &lt;=10m, nhà dân cao &gt;7m. Tiết diện dây =&lt; 500mm2</v>
          </cell>
          <cell r="D4411" t="str">
            <v>vị trí</v>
          </cell>
          <cell r="H4411">
            <v>1704890</v>
          </cell>
          <cell r="I4411">
            <v>4878102.3999999994</v>
          </cell>
        </row>
        <row r="4412">
          <cell r="C4412" t="str">
            <v>Vật liệu</v>
          </cell>
          <cell r="G4412">
            <v>1704890</v>
          </cell>
        </row>
        <row r="4413">
          <cell r="B4413">
            <v>30</v>
          </cell>
          <cell r="C4413" t="str">
            <v>+ Dây thép 4 ly</v>
          </cell>
          <cell r="D4413" t="str">
            <v>kg</v>
          </cell>
          <cell r="E4413">
            <v>6.69</v>
          </cell>
          <cell r="F4413">
            <v>1000</v>
          </cell>
          <cell r="G4413">
            <v>6690</v>
          </cell>
        </row>
        <row r="4414">
          <cell r="B4414">
            <v>49</v>
          </cell>
          <cell r="C4414" t="str">
            <v>+ Tre cây 8 - 10 cm L = 6 - 8 m (Kể cả phên tre)</v>
          </cell>
          <cell r="D4414" t="str">
            <v>cây</v>
          </cell>
          <cell r="E4414">
            <v>48.52</v>
          </cell>
          <cell r="F4414">
            <v>35000</v>
          </cell>
          <cell r="G4414">
            <v>1698200</v>
          </cell>
        </row>
        <row r="4415">
          <cell r="C4415" t="str">
            <v>Nhân công</v>
          </cell>
          <cell r="G4415">
            <v>4878102.3999999994</v>
          </cell>
        </row>
        <row r="4416">
          <cell r="B4416" t="str">
            <v>NC1357</v>
          </cell>
          <cell r="C4416" t="str">
            <v>+ Nhân công bậc 3,5/7</v>
          </cell>
          <cell r="D4416" t="str">
            <v>Công</v>
          </cell>
          <cell r="E4416">
            <v>27.2</v>
          </cell>
          <cell r="F4416">
            <v>179342</v>
          </cell>
          <cell r="G4416">
            <v>4878102.3999999994</v>
          </cell>
        </row>
        <row r="4417">
          <cell r="A4417" t="str">
            <v>D3.5067</v>
          </cell>
          <cell r="C4417" t="str">
            <v>Làm giàn giáo rải dây vượt đường ôtô &lt;=10m, nhà dân cao &gt;7m. Tiết diện dây &gt; 500mm2</v>
          </cell>
          <cell r="D4417" t="str">
            <v>vị trí</v>
          </cell>
          <cell r="H4417">
            <v>2046080</v>
          </cell>
          <cell r="I4417">
            <v>5853722.8799999999</v>
          </cell>
        </row>
        <row r="4418">
          <cell r="C4418" t="str">
            <v>Vật liệu</v>
          </cell>
          <cell r="G4418">
            <v>2046080</v>
          </cell>
        </row>
        <row r="4419">
          <cell r="B4419">
            <v>30</v>
          </cell>
          <cell r="C4419" t="str">
            <v>+ Dây thép 4 ly</v>
          </cell>
          <cell r="D4419" t="str">
            <v>kg</v>
          </cell>
          <cell r="E4419">
            <v>8.0299999999999994</v>
          </cell>
          <cell r="F4419">
            <v>1000</v>
          </cell>
          <cell r="G4419">
            <v>8029.9999999999991</v>
          </cell>
        </row>
        <row r="4420">
          <cell r="B4420">
            <v>49</v>
          </cell>
          <cell r="C4420" t="str">
            <v>+ Tre cây 8 - 10 cm L = 6 - 8 m (Kể cả phên tre)</v>
          </cell>
          <cell r="D4420" t="str">
            <v>cây</v>
          </cell>
          <cell r="E4420">
            <v>58.23</v>
          </cell>
          <cell r="F4420">
            <v>35000</v>
          </cell>
          <cell r="G4420">
            <v>2038050</v>
          </cell>
        </row>
        <row r="4421">
          <cell r="C4421" t="str">
            <v>Nhân công</v>
          </cell>
          <cell r="G4421">
            <v>5853722.8799999999</v>
          </cell>
        </row>
        <row r="4422">
          <cell r="B4422" t="str">
            <v>NC1357</v>
          </cell>
          <cell r="C4422" t="str">
            <v>+ Nhân công bậc 3,5/7</v>
          </cell>
          <cell r="D4422" t="str">
            <v>Công</v>
          </cell>
          <cell r="E4422">
            <v>32.64</v>
          </cell>
          <cell r="F4422">
            <v>179342</v>
          </cell>
          <cell r="G4422">
            <v>5853722.8799999999</v>
          </cell>
        </row>
        <row r="4423">
          <cell r="A4423" t="str">
            <v>D3.5071</v>
          </cell>
          <cell r="C4423" t="str">
            <v>Làm giàn giáo rải dây vượt đường ôtô &gt;10m, Tiết diện dây &lt;=50mm2</v>
          </cell>
          <cell r="D4423" t="str">
            <v>vị trí</v>
          </cell>
          <cell r="H4423">
            <v>421500</v>
          </cell>
          <cell r="I4423">
            <v>1667880.6</v>
          </cell>
        </row>
        <row r="4424">
          <cell r="C4424" t="str">
            <v>Vật liệu</v>
          </cell>
          <cell r="G4424">
            <v>421500</v>
          </cell>
        </row>
        <row r="4425">
          <cell r="B4425">
            <v>30</v>
          </cell>
          <cell r="C4425" t="str">
            <v>+ Dây thép 4 ly</v>
          </cell>
          <cell r="D4425" t="str">
            <v>kg</v>
          </cell>
          <cell r="E4425">
            <v>1.5</v>
          </cell>
          <cell r="F4425">
            <v>1000</v>
          </cell>
          <cell r="G4425">
            <v>1500</v>
          </cell>
        </row>
        <row r="4426">
          <cell r="B4426">
            <v>49</v>
          </cell>
          <cell r="C4426" t="str">
            <v>+ Tre cây 8 - 10 cm L = 6 - 8 m (Kể cả phên tre)</v>
          </cell>
          <cell r="D4426" t="str">
            <v>cây</v>
          </cell>
          <cell r="E4426">
            <v>12</v>
          </cell>
          <cell r="F4426">
            <v>35000</v>
          </cell>
          <cell r="G4426">
            <v>420000</v>
          </cell>
        </row>
        <row r="4427">
          <cell r="C4427" t="str">
            <v>Nhân công</v>
          </cell>
          <cell r="G4427">
            <v>1667880.6</v>
          </cell>
        </row>
        <row r="4428">
          <cell r="B4428" t="str">
            <v>NC1357</v>
          </cell>
          <cell r="C4428" t="str">
            <v>+ Nhân công bậc 3,5/7</v>
          </cell>
          <cell r="D4428" t="str">
            <v>Công</v>
          </cell>
          <cell r="E4428">
            <v>9.3000000000000007</v>
          </cell>
          <cell r="F4428">
            <v>179342</v>
          </cell>
          <cell r="G4428">
            <v>1667880.6</v>
          </cell>
        </row>
        <row r="4429">
          <cell r="A4429" t="str">
            <v>D3.5072</v>
          </cell>
          <cell r="C4429" t="str">
            <v>Làm giàn giáo rải dây vượt đường ôtô &gt;10m, Tiết diện dây &lt;=95mm2</v>
          </cell>
          <cell r="D4429" t="str">
            <v>vị trí</v>
          </cell>
          <cell r="H4429">
            <v>597240</v>
          </cell>
          <cell r="I4429">
            <v>2205906.6</v>
          </cell>
        </row>
        <row r="4430">
          <cell r="C4430" t="str">
            <v>Vật liệu</v>
          </cell>
          <cell r="G4430">
            <v>597240</v>
          </cell>
        </row>
        <row r="4431">
          <cell r="B4431">
            <v>30</v>
          </cell>
          <cell r="C4431" t="str">
            <v>+ Dây thép 4 ly</v>
          </cell>
          <cell r="D4431" t="str">
            <v>kg</v>
          </cell>
          <cell r="E4431">
            <v>2.2400000000000002</v>
          </cell>
          <cell r="F4431">
            <v>1000</v>
          </cell>
          <cell r="G4431">
            <v>2240</v>
          </cell>
        </row>
        <row r="4432">
          <cell r="B4432">
            <v>49</v>
          </cell>
          <cell r="C4432" t="str">
            <v>+ Tre cây 8 - 10 cm L = 6 - 8 m (Kể cả phên tre)</v>
          </cell>
          <cell r="D4432" t="str">
            <v>cây</v>
          </cell>
          <cell r="E4432">
            <v>17</v>
          </cell>
          <cell r="F4432">
            <v>35000</v>
          </cell>
          <cell r="G4432">
            <v>595000</v>
          </cell>
        </row>
        <row r="4433">
          <cell r="C4433" t="str">
            <v>Nhân công</v>
          </cell>
          <cell r="G4433">
            <v>2205906.6</v>
          </cell>
        </row>
        <row r="4434">
          <cell r="B4434" t="str">
            <v>NC1357</v>
          </cell>
          <cell r="C4434" t="str">
            <v>+ Nhân công bậc 3,5/7</v>
          </cell>
          <cell r="D4434" t="str">
            <v>Công</v>
          </cell>
          <cell r="E4434">
            <v>12.3</v>
          </cell>
          <cell r="F4434">
            <v>179342</v>
          </cell>
          <cell r="G4434">
            <v>2205906.6</v>
          </cell>
        </row>
        <row r="4435">
          <cell r="A4435" t="str">
            <v>D3.5073</v>
          </cell>
          <cell r="C4435" t="str">
            <v>Làm giàn giáo rải dây vượt đường ôtô &gt;10m, Tiết diện dây &lt;=150mm2</v>
          </cell>
          <cell r="D4435" t="str">
            <v>vị trí</v>
          </cell>
          <cell r="H4435">
            <v>773200</v>
          </cell>
          <cell r="I4435">
            <v>2699097.1</v>
          </cell>
        </row>
        <row r="4436">
          <cell r="C4436" t="str">
            <v>Vật liệu</v>
          </cell>
          <cell r="G4436">
            <v>773200</v>
          </cell>
        </row>
        <row r="4437">
          <cell r="B4437">
            <v>30</v>
          </cell>
          <cell r="C4437" t="str">
            <v>+ Dây thép 4 ly</v>
          </cell>
          <cell r="D4437" t="str">
            <v>kg</v>
          </cell>
          <cell r="E4437">
            <v>3.2</v>
          </cell>
          <cell r="F4437">
            <v>1000</v>
          </cell>
          <cell r="G4437">
            <v>3200</v>
          </cell>
        </row>
        <row r="4438">
          <cell r="B4438">
            <v>49</v>
          </cell>
          <cell r="C4438" t="str">
            <v>+ Tre cây 8 - 10 cm L = 6 - 8 m (Kể cả phên tre)</v>
          </cell>
          <cell r="D4438" t="str">
            <v>cây</v>
          </cell>
          <cell r="E4438">
            <v>22</v>
          </cell>
          <cell r="F4438">
            <v>35000</v>
          </cell>
          <cell r="G4438">
            <v>770000</v>
          </cell>
        </row>
        <row r="4439">
          <cell r="C4439" t="str">
            <v>Nhân công</v>
          </cell>
          <cell r="G4439">
            <v>2699097.1</v>
          </cell>
        </row>
        <row r="4440">
          <cell r="B4440" t="str">
            <v>NC1357</v>
          </cell>
          <cell r="C4440" t="str">
            <v>+ Nhân công bậc 3,5/7</v>
          </cell>
          <cell r="D4440" t="str">
            <v>Công</v>
          </cell>
          <cell r="E4440">
            <v>15.05</v>
          </cell>
          <cell r="F4440">
            <v>179342</v>
          </cell>
          <cell r="G4440">
            <v>2699097.1</v>
          </cell>
        </row>
        <row r="4441">
          <cell r="A4441" t="str">
            <v>D3.5074</v>
          </cell>
          <cell r="C4441" t="str">
            <v>Làm giàn giáo rải dây vượt đường ôtô &gt;10m, Tiết diện dây &lt;=240mm2</v>
          </cell>
          <cell r="D4441" t="str">
            <v>vị trí</v>
          </cell>
          <cell r="H4441">
            <v>913400</v>
          </cell>
          <cell r="I4441">
            <v>3032673.22</v>
          </cell>
        </row>
        <row r="4442">
          <cell r="C4442" t="str">
            <v>Vật liệu</v>
          </cell>
          <cell r="G4442">
            <v>913400</v>
          </cell>
        </row>
        <row r="4443">
          <cell r="B4443">
            <v>30</v>
          </cell>
          <cell r="C4443" t="str">
            <v>+ Dây thép 4 ly</v>
          </cell>
          <cell r="D4443" t="str">
            <v>kg</v>
          </cell>
          <cell r="E4443">
            <v>3.4</v>
          </cell>
          <cell r="F4443">
            <v>1000</v>
          </cell>
          <cell r="G4443">
            <v>3400</v>
          </cell>
        </row>
        <row r="4444">
          <cell r="B4444">
            <v>49</v>
          </cell>
          <cell r="C4444" t="str">
            <v>+ Tre cây 8 - 10 cm L = 6 - 8 m (Kể cả phên tre)</v>
          </cell>
          <cell r="D4444" t="str">
            <v>cây</v>
          </cell>
          <cell r="E4444">
            <v>26</v>
          </cell>
          <cell r="F4444">
            <v>35000</v>
          </cell>
          <cell r="G4444">
            <v>910000</v>
          </cell>
        </row>
        <row r="4445">
          <cell r="C4445" t="str">
            <v>Nhân công</v>
          </cell>
          <cell r="G4445">
            <v>3032673.22</v>
          </cell>
        </row>
        <row r="4446">
          <cell r="B4446" t="str">
            <v>NC1357</v>
          </cell>
          <cell r="C4446" t="str">
            <v>+ Nhân công bậc 3,5/7</v>
          </cell>
          <cell r="D4446" t="str">
            <v>Công</v>
          </cell>
          <cell r="E4446">
            <v>16.91</v>
          </cell>
          <cell r="F4446">
            <v>179342</v>
          </cell>
          <cell r="G4446">
            <v>3032673.22</v>
          </cell>
        </row>
        <row r="4447">
          <cell r="A4447" t="str">
            <v>D3.5075</v>
          </cell>
          <cell r="C4447" t="str">
            <v>Làm giàn giáo rải dây vượt đường ôtô &gt;10m, Tiết diện dây =&lt; 400mm2</v>
          </cell>
          <cell r="D4447" t="str">
            <v>vị trí</v>
          </cell>
          <cell r="H4447">
            <v>1650070</v>
          </cell>
          <cell r="I4447">
            <v>4605502.5599999996</v>
          </cell>
        </row>
        <row r="4448">
          <cell r="C4448" t="str">
            <v>Vật liệu</v>
          </cell>
          <cell r="G4448">
            <v>1650070</v>
          </cell>
        </row>
        <row r="4449">
          <cell r="B4449">
            <v>30</v>
          </cell>
          <cell r="C4449" t="str">
            <v>+ Dây thép 4 ly</v>
          </cell>
          <cell r="D4449" t="str">
            <v>kg</v>
          </cell>
          <cell r="E4449">
            <v>6.47</v>
          </cell>
          <cell r="F4449">
            <v>1000</v>
          </cell>
          <cell r="G4449">
            <v>6470</v>
          </cell>
        </row>
        <row r="4450">
          <cell r="B4450">
            <v>49</v>
          </cell>
          <cell r="C4450" t="str">
            <v>+ Tre cây 8 - 10 cm L = 6 - 8 m (Kể cả phên tre)</v>
          </cell>
          <cell r="D4450" t="str">
            <v>cây</v>
          </cell>
          <cell r="E4450">
            <v>46.96</v>
          </cell>
          <cell r="F4450">
            <v>35000</v>
          </cell>
          <cell r="G4450">
            <v>1643600</v>
          </cell>
        </row>
        <row r="4451">
          <cell r="C4451" t="str">
            <v>Nhân công</v>
          </cell>
          <cell r="G4451">
            <v>4605502.5599999996</v>
          </cell>
        </row>
        <row r="4452">
          <cell r="B4452" t="str">
            <v>NC1357</v>
          </cell>
          <cell r="C4452" t="str">
            <v>+ Nhân công bậc 3,5/7</v>
          </cell>
          <cell r="D4452" t="str">
            <v>Công</v>
          </cell>
          <cell r="E4452">
            <v>25.68</v>
          </cell>
          <cell r="F4452">
            <v>179342</v>
          </cell>
          <cell r="G4452">
            <v>4605502.5599999996</v>
          </cell>
        </row>
        <row r="4453">
          <cell r="A4453" t="str">
            <v>D3.5076</v>
          </cell>
          <cell r="C4453" t="str">
            <v>Làm giàn giáo rải dây vượt đường ôtô &gt;10m, Tiết diện dây =&lt; 500mm2</v>
          </cell>
          <cell r="D4453" t="str">
            <v>vị trí</v>
          </cell>
          <cell r="H4453">
            <v>1980660</v>
          </cell>
          <cell r="I4453">
            <v>5525527.0199999996</v>
          </cell>
        </row>
        <row r="4454">
          <cell r="C4454" t="str">
            <v>Vật liệu</v>
          </cell>
          <cell r="G4454">
            <v>1980660</v>
          </cell>
        </row>
        <row r="4455">
          <cell r="B4455">
            <v>30</v>
          </cell>
          <cell r="C4455" t="str">
            <v>+ Dây thép 4 ly</v>
          </cell>
          <cell r="D4455" t="str">
            <v>kg</v>
          </cell>
          <cell r="E4455">
            <v>8.41</v>
          </cell>
          <cell r="F4455">
            <v>1000</v>
          </cell>
          <cell r="G4455">
            <v>8410</v>
          </cell>
        </row>
        <row r="4456">
          <cell r="B4456">
            <v>49</v>
          </cell>
          <cell r="C4456" t="str">
            <v>+ Tre cây 8 - 10 cm L = 6 - 8 m (Kể cả phên tre)</v>
          </cell>
          <cell r="D4456" t="str">
            <v>cây</v>
          </cell>
          <cell r="E4456">
            <v>56.35</v>
          </cell>
          <cell r="F4456">
            <v>35000</v>
          </cell>
          <cell r="G4456">
            <v>1972250</v>
          </cell>
        </row>
        <row r="4457">
          <cell r="C4457" t="str">
            <v>Nhân công</v>
          </cell>
          <cell r="G4457">
            <v>5525527.0199999996</v>
          </cell>
        </row>
        <row r="4458">
          <cell r="B4458" t="str">
            <v>NC1357</v>
          </cell>
          <cell r="C4458" t="str">
            <v>+ Nhân công bậc 3,5/7</v>
          </cell>
          <cell r="D4458" t="str">
            <v>Công</v>
          </cell>
          <cell r="E4458">
            <v>30.81</v>
          </cell>
          <cell r="F4458">
            <v>179342</v>
          </cell>
          <cell r="G4458">
            <v>5525527.0199999996</v>
          </cell>
        </row>
        <row r="4459">
          <cell r="A4459" t="str">
            <v>D3.5077</v>
          </cell>
          <cell r="C4459" t="str">
            <v>Làm giàn giáo rải dây vượt đường ôtô &gt;10m, Tiết diện dây &lt;500mm2</v>
          </cell>
          <cell r="D4459" t="str">
            <v>vị trí</v>
          </cell>
          <cell r="H4459">
            <v>2376790</v>
          </cell>
          <cell r="I4459">
            <v>6630273.7400000002</v>
          </cell>
        </row>
        <row r="4460">
          <cell r="C4460" t="str">
            <v>Vật liệu</v>
          </cell>
          <cell r="G4460">
            <v>2376790</v>
          </cell>
        </row>
        <row r="4461">
          <cell r="B4461">
            <v>30</v>
          </cell>
          <cell r="C4461" t="str">
            <v>+ Dây thép 4 ly</v>
          </cell>
          <cell r="D4461" t="str">
            <v>kg</v>
          </cell>
          <cell r="E4461">
            <v>10.09</v>
          </cell>
          <cell r="F4461">
            <v>1000</v>
          </cell>
          <cell r="G4461">
            <v>10090</v>
          </cell>
        </row>
        <row r="4462">
          <cell r="B4462">
            <v>49</v>
          </cell>
          <cell r="C4462" t="str">
            <v>+ Tre cây 8 - 10 cm L = 6 - 8 m (Kể cả phên tre)</v>
          </cell>
          <cell r="D4462" t="str">
            <v>cây</v>
          </cell>
          <cell r="E4462">
            <v>67.62</v>
          </cell>
          <cell r="F4462">
            <v>35000</v>
          </cell>
          <cell r="G4462">
            <v>2366700</v>
          </cell>
        </row>
        <row r="4463">
          <cell r="C4463" t="str">
            <v>Nhân công</v>
          </cell>
          <cell r="G4463">
            <v>6630273.7400000002</v>
          </cell>
        </row>
        <row r="4464">
          <cell r="B4464" t="str">
            <v>NC1357</v>
          </cell>
          <cell r="C4464" t="str">
            <v>+ Nhân công bậc 3,5/7</v>
          </cell>
          <cell r="D4464" t="str">
            <v>Công</v>
          </cell>
          <cell r="E4464">
            <v>36.97</v>
          </cell>
          <cell r="F4464">
            <v>179342</v>
          </cell>
          <cell r="G4464">
            <v>6630273.7400000002</v>
          </cell>
        </row>
        <row r="4465">
          <cell r="A4465" t="str">
            <v>D3.5081</v>
          </cell>
          <cell r="C4465" t="str">
            <v>Làm giàn giáo rải dây vượt vị trí bẻ góc, Tiết diện dây &lt;=50mm2</v>
          </cell>
          <cell r="D4465" t="str">
            <v>vị trí</v>
          </cell>
          <cell r="I4465">
            <v>358684</v>
          </cell>
        </row>
        <row r="4466">
          <cell r="C4466" t="str">
            <v>Nhân công</v>
          </cell>
          <cell r="G4466">
            <v>358684</v>
          </cell>
        </row>
        <row r="4467">
          <cell r="B4467" t="str">
            <v>NC1357</v>
          </cell>
          <cell r="C4467" t="str">
            <v>+ Nhân công bậc 3,5/7</v>
          </cell>
          <cell r="D4467" t="str">
            <v>Công</v>
          </cell>
          <cell r="E4467">
            <v>2</v>
          </cell>
          <cell r="F4467">
            <v>179342</v>
          </cell>
          <cell r="G4467">
            <v>358684</v>
          </cell>
        </row>
        <row r="4468">
          <cell r="A4468" t="str">
            <v>D3.5082</v>
          </cell>
          <cell r="C4468" t="str">
            <v>Làm giàn giáo rải dây vượt vị trí bẻ góc, Tiết diện dây &lt;=95mm2</v>
          </cell>
          <cell r="D4468" t="str">
            <v>vị trí</v>
          </cell>
          <cell r="I4468">
            <v>717368</v>
          </cell>
        </row>
        <row r="4469">
          <cell r="C4469" t="str">
            <v>Nhân công</v>
          </cell>
          <cell r="G4469">
            <v>717368</v>
          </cell>
        </row>
        <row r="4470">
          <cell r="B4470" t="str">
            <v>NC1357</v>
          </cell>
          <cell r="C4470" t="str">
            <v>+ Nhân công bậc 3,5/7</v>
          </cell>
          <cell r="D4470" t="str">
            <v>Công</v>
          </cell>
          <cell r="E4470">
            <v>4</v>
          </cell>
          <cell r="F4470">
            <v>179342</v>
          </cell>
          <cell r="G4470">
            <v>717368</v>
          </cell>
        </row>
        <row r="4471">
          <cell r="A4471" t="str">
            <v>D3.5083</v>
          </cell>
          <cell r="C4471" t="str">
            <v>Làm giàn giáo rải dây vượt vị trí bẻ góc, Tiết diện dây &lt;=150mm2</v>
          </cell>
          <cell r="D4471" t="str">
            <v>vị trí</v>
          </cell>
          <cell r="I4471">
            <v>907470.5199999999</v>
          </cell>
        </row>
        <row r="4472">
          <cell r="C4472" t="str">
            <v>Nhân công</v>
          </cell>
          <cell r="G4472">
            <v>907470.5199999999</v>
          </cell>
        </row>
        <row r="4473">
          <cell r="B4473" t="str">
            <v>NC1357</v>
          </cell>
          <cell r="C4473" t="str">
            <v>+ Nhân công bậc 3,5/7</v>
          </cell>
          <cell r="D4473" t="str">
            <v>Công</v>
          </cell>
          <cell r="E4473">
            <v>5.0599999999999996</v>
          </cell>
          <cell r="F4473">
            <v>179342</v>
          </cell>
          <cell r="G4473">
            <v>907470.5199999999</v>
          </cell>
        </row>
        <row r="4474">
          <cell r="A4474" t="str">
            <v>D3.5084</v>
          </cell>
          <cell r="C4474" t="str">
            <v>Làm giàn giáo rải dây vượt vị trí bẻ góc, Tiết diện dây &lt;=240mm2</v>
          </cell>
          <cell r="D4474" t="str">
            <v>vị trí</v>
          </cell>
          <cell r="I4474">
            <v>937958.66</v>
          </cell>
        </row>
        <row r="4475">
          <cell r="C4475" t="str">
            <v>Nhân công</v>
          </cell>
          <cell r="G4475">
            <v>937958.66</v>
          </cell>
        </row>
        <row r="4476">
          <cell r="B4476" t="str">
            <v>NC1357</v>
          </cell>
          <cell r="C4476" t="str">
            <v>+ Nhân công bậc 3,5/7</v>
          </cell>
          <cell r="D4476" t="str">
            <v>Công</v>
          </cell>
          <cell r="E4476">
            <v>5.23</v>
          </cell>
          <cell r="F4476">
            <v>179342</v>
          </cell>
          <cell r="G4476">
            <v>937958.66</v>
          </cell>
        </row>
        <row r="4477">
          <cell r="A4477" t="str">
            <v>D3.5085</v>
          </cell>
          <cell r="C4477" t="str">
            <v>Làm giàn giáo rải dây vượt vị trí bẻ góc, Tiết diện dây =&lt; 400mm2</v>
          </cell>
          <cell r="D4477" t="str">
            <v>vị trí</v>
          </cell>
          <cell r="I4477">
            <v>1924339.6600000001</v>
          </cell>
        </row>
        <row r="4478">
          <cell r="C4478" t="str">
            <v>Nhân công</v>
          </cell>
          <cell r="G4478">
            <v>1924339.6600000001</v>
          </cell>
        </row>
        <row r="4479">
          <cell r="B4479" t="str">
            <v>NC1357</v>
          </cell>
          <cell r="C4479" t="str">
            <v>+ Nhân công bậc 3,5/7</v>
          </cell>
          <cell r="D4479" t="str">
            <v>Công</v>
          </cell>
          <cell r="E4479">
            <v>10.73</v>
          </cell>
          <cell r="F4479">
            <v>179342</v>
          </cell>
          <cell r="G4479">
            <v>1924339.6600000001</v>
          </cell>
        </row>
        <row r="4480">
          <cell r="A4480" t="str">
            <v>D3.5086</v>
          </cell>
          <cell r="C4480" t="str">
            <v>Làm giàn giáo rải dây vượt vị trí bẻ góc, Tiết diện dây =&lt; 500mm2</v>
          </cell>
          <cell r="D4480" t="str">
            <v>vị trí</v>
          </cell>
          <cell r="I4480">
            <v>2309924.96</v>
          </cell>
        </row>
        <row r="4481">
          <cell r="C4481" t="str">
            <v>Nhân công</v>
          </cell>
          <cell r="G4481">
            <v>2309924.96</v>
          </cell>
        </row>
        <row r="4482">
          <cell r="B4482" t="str">
            <v>NC1357</v>
          </cell>
          <cell r="C4482" t="str">
            <v>+ Nhân công bậc 3,5/7</v>
          </cell>
          <cell r="D4482" t="str">
            <v>Công</v>
          </cell>
          <cell r="E4482">
            <v>12.88</v>
          </cell>
          <cell r="F4482">
            <v>179342</v>
          </cell>
          <cell r="G4482">
            <v>2309924.96</v>
          </cell>
        </row>
        <row r="4483">
          <cell r="A4483" t="str">
            <v>D3.5087</v>
          </cell>
          <cell r="C4483" t="str">
            <v>Làm giàn giáo rải dây vượt vị trí bẻ góc, Tiết diện dây &gt; 500mm2</v>
          </cell>
          <cell r="D4483" t="str">
            <v>vị trí</v>
          </cell>
          <cell r="I4483">
            <v>2770833.9</v>
          </cell>
        </row>
        <row r="4484">
          <cell r="C4484" t="str">
            <v>Nhân công</v>
          </cell>
          <cell r="G4484">
            <v>2770833.9</v>
          </cell>
        </row>
        <row r="4485">
          <cell r="B4485" t="str">
            <v>NC1357</v>
          </cell>
          <cell r="C4485" t="str">
            <v>+ Nhân công bậc 3,5/7</v>
          </cell>
          <cell r="D4485" t="str">
            <v>Công</v>
          </cell>
          <cell r="E4485">
            <v>15.45</v>
          </cell>
          <cell r="F4485">
            <v>179342</v>
          </cell>
          <cell r="G4485">
            <v>2770833.9</v>
          </cell>
        </row>
        <row r="4486">
          <cell r="A4486" t="str">
            <v>D3.6111</v>
          </cell>
          <cell r="C4486" t="str">
            <v>Rải căng dây lấy độ võng bằng thủ công, dây nhôm lõi thép (AC, ACSR), Tiết diện dây =&lt;16mm2</v>
          </cell>
          <cell r="D4486" t="str">
            <v>km</v>
          </cell>
          <cell r="H4486">
            <v>526930</v>
          </cell>
          <cell r="I4486">
            <v>1641156.282236842</v>
          </cell>
        </row>
        <row r="4487">
          <cell r="C4487" t="str">
            <v>Vật liệu</v>
          </cell>
          <cell r="G4487">
            <v>526930</v>
          </cell>
        </row>
        <row r="4488">
          <cell r="B4488">
            <v>30</v>
          </cell>
          <cell r="C4488" t="str">
            <v>+ Dây thép 4 ly</v>
          </cell>
          <cell r="D4488" t="str">
            <v>kg</v>
          </cell>
          <cell r="E4488">
            <v>0.03</v>
          </cell>
          <cell r="F4488">
            <v>1000</v>
          </cell>
          <cell r="G4488">
            <v>30</v>
          </cell>
        </row>
        <row r="4489">
          <cell r="B4489">
            <v>1</v>
          </cell>
          <cell r="C4489" t="str">
            <v>+ Cồn công nghiệp</v>
          </cell>
          <cell r="D4489" t="str">
            <v>kg</v>
          </cell>
          <cell r="E4489">
            <v>0.2</v>
          </cell>
          <cell r="F4489">
            <v>9500</v>
          </cell>
          <cell r="G4489">
            <v>1900</v>
          </cell>
        </row>
        <row r="4490">
          <cell r="B4490">
            <v>49</v>
          </cell>
          <cell r="C4490" t="str">
            <v>+ Tre cây 8 - 10 cm L = 6 - 8 m (Kể cả phên tre)</v>
          </cell>
          <cell r="D4490" t="str">
            <v>cây</v>
          </cell>
          <cell r="E4490">
            <v>15</v>
          </cell>
          <cell r="F4490">
            <v>35000</v>
          </cell>
          <cell r="G4490">
            <v>525000</v>
          </cell>
        </row>
        <row r="4491">
          <cell r="C4491" t="str">
            <v>Nhân công</v>
          </cell>
          <cell r="G4491">
            <v>1641156.282236842</v>
          </cell>
        </row>
        <row r="4492">
          <cell r="B4492" t="str">
            <v>NC1407</v>
          </cell>
          <cell r="C4492" t="str">
            <v>+ Nhân công bậc 4,0/7</v>
          </cell>
          <cell r="D4492" t="str">
            <v>Công</v>
          </cell>
          <cell r="E4492">
            <v>8.43</v>
          </cell>
          <cell r="F4492">
            <v>194680.46052631579</v>
          </cell>
          <cell r="G4492">
            <v>1641156.282236842</v>
          </cell>
        </row>
        <row r="4493">
          <cell r="A4493" t="str">
            <v>D3.6112</v>
          </cell>
          <cell r="C4493" t="str">
            <v>Rải căng dây lấy độ võng bằng thủ công, dây nhôm lõi thép (AC, ACSR), Tiết diện dây =&lt;25mm2</v>
          </cell>
          <cell r="D4493" t="str">
            <v>km</v>
          </cell>
          <cell r="H4493">
            <v>526930</v>
          </cell>
          <cell r="I4493">
            <v>2162899.9164473685</v>
          </cell>
        </row>
        <row r="4494">
          <cell r="C4494" t="str">
            <v>Vật liệu</v>
          </cell>
          <cell r="G4494">
            <v>526930</v>
          </cell>
        </row>
        <row r="4495">
          <cell r="B4495">
            <v>30</v>
          </cell>
          <cell r="C4495" t="str">
            <v>+ Dây thép 4 ly</v>
          </cell>
          <cell r="D4495" t="str">
            <v>kg</v>
          </cell>
          <cell r="E4495">
            <v>0.03</v>
          </cell>
          <cell r="F4495">
            <v>1000</v>
          </cell>
          <cell r="G4495">
            <v>30</v>
          </cell>
        </row>
        <row r="4496">
          <cell r="B4496">
            <v>1</v>
          </cell>
          <cell r="C4496" t="str">
            <v>+ Cồn công nghiệp</v>
          </cell>
          <cell r="D4496" t="str">
            <v>kg</v>
          </cell>
          <cell r="E4496">
            <v>0.2</v>
          </cell>
          <cell r="F4496">
            <v>9500</v>
          </cell>
          <cell r="G4496">
            <v>1900</v>
          </cell>
        </row>
        <row r="4497">
          <cell r="B4497">
            <v>49</v>
          </cell>
          <cell r="C4497" t="str">
            <v>+ Tre cây 8 - 10 cm L = 6 - 8 m (Kể cả phên tre)</v>
          </cell>
          <cell r="D4497" t="str">
            <v>cây</v>
          </cell>
          <cell r="E4497">
            <v>15</v>
          </cell>
          <cell r="F4497">
            <v>35000</v>
          </cell>
          <cell r="G4497">
            <v>525000</v>
          </cell>
        </row>
        <row r="4498">
          <cell r="C4498" t="str">
            <v>Nhân công</v>
          </cell>
          <cell r="G4498">
            <v>2162899.9164473685</v>
          </cell>
        </row>
        <row r="4499">
          <cell r="B4499" t="str">
            <v>NC1407</v>
          </cell>
          <cell r="C4499" t="str">
            <v>+ Nhân công bậc 4,0/7</v>
          </cell>
          <cell r="D4499" t="str">
            <v>Công</v>
          </cell>
          <cell r="E4499">
            <v>11.11</v>
          </cell>
          <cell r="F4499">
            <v>194680.46052631579</v>
          </cell>
          <cell r="G4499">
            <v>2162899.9164473685</v>
          </cell>
        </row>
        <row r="4500">
          <cell r="A4500" t="str">
            <v>D3.6113</v>
          </cell>
          <cell r="C4500" t="str">
            <v>Rải căng dây lấy độ võng bằng thủ công, dây nhôm lõi thép (AC, ACSR), Tiết diện dây =&lt;35mm2</v>
          </cell>
          <cell r="D4500" t="str">
            <v>km</v>
          </cell>
          <cell r="H4500">
            <v>526930</v>
          </cell>
          <cell r="I4500">
            <v>2375101.6184210526</v>
          </cell>
        </row>
        <row r="4501">
          <cell r="C4501" t="str">
            <v>Vật liệu</v>
          </cell>
          <cell r="G4501">
            <v>526930</v>
          </cell>
        </row>
        <row r="4502">
          <cell r="B4502">
            <v>30</v>
          </cell>
          <cell r="C4502" t="str">
            <v>+ Dây thép 4 ly</v>
          </cell>
          <cell r="D4502" t="str">
            <v>kg</v>
          </cell>
          <cell r="E4502">
            <v>0.03</v>
          </cell>
          <cell r="F4502">
            <v>1000</v>
          </cell>
          <cell r="G4502">
            <v>30</v>
          </cell>
        </row>
        <row r="4503">
          <cell r="B4503">
            <v>1</v>
          </cell>
          <cell r="C4503" t="str">
            <v>+ Cồn công nghiệp</v>
          </cell>
          <cell r="D4503" t="str">
            <v>kg</v>
          </cell>
          <cell r="E4503">
            <v>0.2</v>
          </cell>
          <cell r="F4503">
            <v>9500</v>
          </cell>
          <cell r="G4503">
            <v>1900</v>
          </cell>
        </row>
        <row r="4504">
          <cell r="B4504">
            <v>49</v>
          </cell>
          <cell r="C4504" t="str">
            <v>+ Tre cây 8 - 10 cm L = 6 - 8 m (Kể cả phên tre)</v>
          </cell>
          <cell r="D4504" t="str">
            <v>cây</v>
          </cell>
          <cell r="E4504">
            <v>15</v>
          </cell>
          <cell r="F4504">
            <v>35000</v>
          </cell>
          <cell r="G4504">
            <v>525000</v>
          </cell>
        </row>
        <row r="4505">
          <cell r="C4505" t="str">
            <v>Nhân công</v>
          </cell>
          <cell r="G4505">
            <v>2375101.6184210526</v>
          </cell>
        </row>
        <row r="4506">
          <cell r="B4506" t="str">
            <v>NC1407</v>
          </cell>
          <cell r="C4506" t="str">
            <v>+ Nhân công bậc 4,0/7</v>
          </cell>
          <cell r="D4506" t="str">
            <v>Công</v>
          </cell>
          <cell r="E4506">
            <v>12.2</v>
          </cell>
          <cell r="F4506">
            <v>194680.46052631579</v>
          </cell>
          <cell r="G4506">
            <v>2375101.6184210526</v>
          </cell>
        </row>
        <row r="4507">
          <cell r="A4507" t="str">
            <v>D3.6114</v>
          </cell>
          <cell r="C4507" t="str">
            <v>Rải căng dây lấy độ võng bằng thủ công, dây nhôm lõi thép (AC, ACSR), Tiết diện dây =&lt;50mm2</v>
          </cell>
          <cell r="D4507" t="str">
            <v>km</v>
          </cell>
          <cell r="H4507">
            <v>527405</v>
          </cell>
          <cell r="I4507">
            <v>3128515.0006578946</v>
          </cell>
        </row>
        <row r="4508">
          <cell r="C4508" t="str">
            <v>Vật liệu</v>
          </cell>
          <cell r="G4508">
            <v>527405</v>
          </cell>
        </row>
        <row r="4509">
          <cell r="B4509">
            <v>30</v>
          </cell>
          <cell r="C4509" t="str">
            <v>+ Dây thép 4 ly</v>
          </cell>
          <cell r="D4509" t="str">
            <v>kg</v>
          </cell>
          <cell r="E4509">
            <v>0.03</v>
          </cell>
          <cell r="F4509">
            <v>1000</v>
          </cell>
          <cell r="G4509">
            <v>30</v>
          </cell>
        </row>
        <row r="4510">
          <cell r="B4510">
            <v>1</v>
          </cell>
          <cell r="C4510" t="str">
            <v>+ Cồn công nghiệp</v>
          </cell>
          <cell r="D4510" t="str">
            <v>kg</v>
          </cell>
          <cell r="E4510">
            <v>0.25</v>
          </cell>
          <cell r="F4510">
            <v>9500</v>
          </cell>
          <cell r="G4510">
            <v>2375</v>
          </cell>
        </row>
        <row r="4511">
          <cell r="B4511">
            <v>49</v>
          </cell>
          <cell r="C4511" t="str">
            <v>+ Tre cây 8 - 10 cm L = 6 - 8 m (Kể cả phên tre)</v>
          </cell>
          <cell r="D4511" t="str">
            <v>cây</v>
          </cell>
          <cell r="E4511">
            <v>15</v>
          </cell>
          <cell r="F4511">
            <v>35000</v>
          </cell>
          <cell r="G4511">
            <v>525000</v>
          </cell>
        </row>
        <row r="4512">
          <cell r="C4512" t="str">
            <v>Nhân công</v>
          </cell>
          <cell r="G4512">
            <v>3128515.0006578946</v>
          </cell>
        </row>
        <row r="4513">
          <cell r="B4513" t="str">
            <v>NC1407</v>
          </cell>
          <cell r="C4513" t="str">
            <v>+ Nhân công bậc 4,0/7</v>
          </cell>
          <cell r="D4513" t="str">
            <v>Công</v>
          </cell>
          <cell r="E4513">
            <v>16.07</v>
          </cell>
          <cell r="F4513">
            <v>194680.46052631579</v>
          </cell>
          <cell r="G4513">
            <v>3128515.0006578946</v>
          </cell>
        </row>
        <row r="4514">
          <cell r="A4514" t="str">
            <v>D3.6115</v>
          </cell>
          <cell r="C4514" t="str">
            <v>Rải căng dây lấy độ võng bằng thủ công, dây nhôm lõi thép (AC, ACSR), Tiết diện dây =&lt;70mm2</v>
          </cell>
          <cell r="D4514" t="str">
            <v>km</v>
          </cell>
          <cell r="H4514">
            <v>527405</v>
          </cell>
          <cell r="I4514">
            <v>4179789.4874999998</v>
          </cell>
        </row>
        <row r="4515">
          <cell r="C4515" t="str">
            <v>Vật liệu</v>
          </cell>
          <cell r="G4515">
            <v>527405</v>
          </cell>
        </row>
        <row r="4516">
          <cell r="B4516">
            <v>30</v>
          </cell>
          <cell r="C4516" t="str">
            <v>+ Dây thép 4 ly</v>
          </cell>
          <cell r="D4516" t="str">
            <v>kg</v>
          </cell>
          <cell r="E4516">
            <v>0.03</v>
          </cell>
          <cell r="F4516">
            <v>1000</v>
          </cell>
          <cell r="G4516">
            <v>30</v>
          </cell>
        </row>
        <row r="4517">
          <cell r="B4517">
            <v>1</v>
          </cell>
          <cell r="C4517" t="str">
            <v>+ Cồn công nghiệp</v>
          </cell>
          <cell r="D4517" t="str">
            <v>kg</v>
          </cell>
          <cell r="E4517">
            <v>0.25</v>
          </cell>
          <cell r="F4517">
            <v>9500</v>
          </cell>
          <cell r="G4517">
            <v>2375</v>
          </cell>
        </row>
        <row r="4518">
          <cell r="B4518">
            <v>49</v>
          </cell>
          <cell r="C4518" t="str">
            <v>+ Tre cây 8 - 10 cm L = 6 - 8 m (Kể cả phên tre)</v>
          </cell>
          <cell r="D4518" t="str">
            <v>cây</v>
          </cell>
          <cell r="E4518">
            <v>15</v>
          </cell>
          <cell r="F4518">
            <v>35000</v>
          </cell>
          <cell r="G4518">
            <v>525000</v>
          </cell>
        </row>
        <row r="4519">
          <cell r="C4519" t="str">
            <v>Nhân công</v>
          </cell>
          <cell r="G4519">
            <v>4179789.4874999998</v>
          </cell>
        </row>
        <row r="4520">
          <cell r="B4520" t="str">
            <v>NC1407</v>
          </cell>
          <cell r="C4520" t="str">
            <v>+ Nhân công bậc 4,0/7</v>
          </cell>
          <cell r="D4520" t="str">
            <v>Công</v>
          </cell>
          <cell r="E4520">
            <v>21.47</v>
          </cell>
          <cell r="F4520">
            <v>194680.46052631579</v>
          </cell>
          <cell r="G4520">
            <v>4179789.4874999998</v>
          </cell>
        </row>
        <row r="4521">
          <cell r="A4521" t="str">
            <v>D3.6116</v>
          </cell>
          <cell r="C4521" t="str">
            <v>Rải căng dây lấy độ võng bằng thủ công, dây nhôm lõi thép (AC, ACSR), Tiết diện dây=&lt; 95mm2</v>
          </cell>
          <cell r="D4521" t="str">
            <v>km</v>
          </cell>
          <cell r="H4521">
            <v>527405</v>
          </cell>
          <cell r="I4521">
            <v>5692456.6657894729</v>
          </cell>
        </row>
        <row r="4522">
          <cell r="C4522" t="str">
            <v>Vật liệu</v>
          </cell>
          <cell r="G4522">
            <v>527405</v>
          </cell>
        </row>
        <row r="4523">
          <cell r="B4523">
            <v>30</v>
          </cell>
          <cell r="C4523" t="str">
            <v>+ Dây thép 4 ly</v>
          </cell>
          <cell r="D4523" t="str">
            <v>kg</v>
          </cell>
          <cell r="E4523">
            <v>0.03</v>
          </cell>
          <cell r="F4523">
            <v>1000</v>
          </cell>
          <cell r="G4523">
            <v>30</v>
          </cell>
        </row>
        <row r="4524">
          <cell r="B4524">
            <v>1</v>
          </cell>
          <cell r="C4524" t="str">
            <v>+ Cồn công nghiệp</v>
          </cell>
          <cell r="D4524" t="str">
            <v>kg</v>
          </cell>
          <cell r="E4524">
            <v>0.25</v>
          </cell>
          <cell r="F4524">
            <v>9500</v>
          </cell>
          <cell r="G4524">
            <v>2375</v>
          </cell>
        </row>
        <row r="4525">
          <cell r="B4525">
            <v>49</v>
          </cell>
          <cell r="C4525" t="str">
            <v>+ Tre cây 8 - 10 cm L = 6 - 8 m (Kể cả phên tre)</v>
          </cell>
          <cell r="D4525" t="str">
            <v>cây</v>
          </cell>
          <cell r="E4525">
            <v>15</v>
          </cell>
          <cell r="F4525">
            <v>35000</v>
          </cell>
          <cell r="G4525">
            <v>525000</v>
          </cell>
        </row>
        <row r="4526">
          <cell r="C4526" t="str">
            <v>Nhân công</v>
          </cell>
          <cell r="G4526">
            <v>5692456.6657894729</v>
          </cell>
        </row>
        <row r="4527">
          <cell r="B4527" t="str">
            <v>NC1407</v>
          </cell>
          <cell r="C4527" t="str">
            <v>+ Nhân công bậc 4,0/7</v>
          </cell>
          <cell r="D4527" t="str">
            <v>Công</v>
          </cell>
          <cell r="E4527">
            <v>29.24</v>
          </cell>
          <cell r="F4527">
            <v>194680.46052631579</v>
          </cell>
          <cell r="G4527">
            <v>5692456.6657894729</v>
          </cell>
        </row>
        <row r="4528">
          <cell r="A4528" t="str">
            <v>D3.6151</v>
          </cell>
          <cell r="C4528" t="str">
            <v>Rải căng dây lấy độ võng bằng thủ công, dây nhôm lõi thép (AC, ACSR), Tiết diện dây =&lt;120mm2</v>
          </cell>
          <cell r="D4528" t="str">
            <v>km</v>
          </cell>
          <cell r="H4528">
            <v>738720</v>
          </cell>
          <cell r="I4528">
            <v>6957260.2213815795</v>
          </cell>
        </row>
        <row r="4529">
          <cell r="C4529" t="str">
            <v>Vật liệu</v>
          </cell>
          <cell r="G4529">
            <v>738720</v>
          </cell>
        </row>
        <row r="4530">
          <cell r="B4530">
            <v>30</v>
          </cell>
          <cell r="C4530" t="str">
            <v>+ Cồn công nghiệp</v>
          </cell>
          <cell r="D4530" t="str">
            <v>kg</v>
          </cell>
          <cell r="E4530">
            <v>0.3</v>
          </cell>
          <cell r="F4530">
            <v>1000</v>
          </cell>
          <cell r="G4530">
            <v>300</v>
          </cell>
        </row>
        <row r="4531">
          <cell r="B4531">
            <v>1</v>
          </cell>
          <cell r="C4531" t="str">
            <v>+ Dây thép 4 ly</v>
          </cell>
          <cell r="D4531" t="str">
            <v>kg</v>
          </cell>
          <cell r="E4531">
            <v>0.36</v>
          </cell>
          <cell r="F4531">
            <v>9500</v>
          </cell>
          <cell r="G4531">
            <v>3420</v>
          </cell>
        </row>
        <row r="4532">
          <cell r="B4532">
            <v>49</v>
          </cell>
          <cell r="C4532" t="str">
            <v>+ Tre cây 8 - 10 cm L = 6 - 8 m (Kể cả phên tre)</v>
          </cell>
          <cell r="D4532" t="str">
            <v>cây</v>
          </cell>
          <cell r="E4532">
            <v>21</v>
          </cell>
          <cell r="F4532">
            <v>35000</v>
          </cell>
          <cell r="G4532">
            <v>735000</v>
          </cell>
        </row>
        <row r="4533">
          <cell r="C4533" t="str">
            <v>Nhân công</v>
          </cell>
          <cell r="G4533">
            <v>6957260.2213815795</v>
          </cell>
        </row>
        <row r="4534">
          <cell r="B4534" t="str">
            <v>NC1457</v>
          </cell>
          <cell r="C4534" t="str">
            <v>Nhân công bậc 4,5/7</v>
          </cell>
          <cell r="D4534" t="str">
            <v>Công</v>
          </cell>
          <cell r="E4534">
            <v>32.85</v>
          </cell>
          <cell r="F4534">
            <v>211788.74342105264</v>
          </cell>
          <cell r="G4534">
            <v>6957260.2213815795</v>
          </cell>
        </row>
        <row r="4535">
          <cell r="A4535" t="str">
            <v>D3.6152</v>
          </cell>
          <cell r="C4535" t="str">
            <v>Rải căng dây lấy độ võng bằng thủ công, dây nhôm lõi thép (AC, ACSR), Tiết diện dây =&lt;150mm2</v>
          </cell>
          <cell r="D4535" t="str">
            <v>km</v>
          </cell>
          <cell r="H4535">
            <v>738720</v>
          </cell>
          <cell r="I4535">
            <v>8418602.5509868432</v>
          </cell>
        </row>
        <row r="4536">
          <cell r="C4536" t="str">
            <v>Vật liệu</v>
          </cell>
          <cell r="G4536">
            <v>738720</v>
          </cell>
        </row>
        <row r="4537">
          <cell r="B4537">
            <v>30</v>
          </cell>
          <cell r="C4537" t="str">
            <v>+ Cồn công nghiệp</v>
          </cell>
          <cell r="D4537" t="str">
            <v>kg</v>
          </cell>
          <cell r="E4537">
            <v>0.3</v>
          </cell>
          <cell r="F4537">
            <v>1000</v>
          </cell>
          <cell r="G4537">
            <v>300</v>
          </cell>
        </row>
        <row r="4538">
          <cell r="B4538">
            <v>1</v>
          </cell>
          <cell r="C4538" t="str">
            <v>+ Dây thép 4 ly</v>
          </cell>
          <cell r="D4538" t="str">
            <v>kg</v>
          </cell>
          <cell r="E4538">
            <v>0.36</v>
          </cell>
          <cell r="F4538">
            <v>9500</v>
          </cell>
          <cell r="G4538">
            <v>3420</v>
          </cell>
        </row>
        <row r="4539">
          <cell r="B4539">
            <v>49</v>
          </cell>
          <cell r="C4539" t="str">
            <v>+ Tre cây 8 - 10 cm L = 6 - 8 m (Kể cả phên tre)</v>
          </cell>
          <cell r="D4539" t="str">
            <v>cây</v>
          </cell>
          <cell r="E4539">
            <v>21</v>
          </cell>
          <cell r="F4539">
            <v>35000</v>
          </cell>
          <cell r="G4539">
            <v>735000</v>
          </cell>
        </row>
        <row r="4540">
          <cell r="C4540" t="str">
            <v>Nhân công</v>
          </cell>
          <cell r="G4540">
            <v>8418602.5509868432</v>
          </cell>
        </row>
        <row r="4541">
          <cell r="B4541" t="str">
            <v>NC1457</v>
          </cell>
          <cell r="C4541" t="str">
            <v>Nhân công bậc 4,5/7</v>
          </cell>
          <cell r="D4541" t="str">
            <v>Công</v>
          </cell>
          <cell r="E4541">
            <v>39.75</v>
          </cell>
          <cell r="F4541">
            <v>211788.74342105264</v>
          </cell>
          <cell r="G4541">
            <v>8418602.5509868432</v>
          </cell>
        </row>
        <row r="4542">
          <cell r="A4542" t="str">
            <v>D3.6153</v>
          </cell>
          <cell r="C4542" t="str">
            <v>Rải căng dây lấy độ võng bằng thủ công, dây nhôm lõi thép (AC, ACSR), Tiết diện dây =&lt;185mm2</v>
          </cell>
          <cell r="D4542" t="str">
            <v>km</v>
          </cell>
          <cell r="H4542">
            <v>738720</v>
          </cell>
          <cell r="I4542">
            <v>9935009.9538815785</v>
          </cell>
        </row>
        <row r="4543">
          <cell r="C4543" t="str">
            <v>Vật liệu</v>
          </cell>
          <cell r="G4543">
            <v>738720</v>
          </cell>
        </row>
        <row r="4544">
          <cell r="B4544">
            <v>30</v>
          </cell>
          <cell r="C4544" t="str">
            <v>+ Cồn công nghiệp</v>
          </cell>
          <cell r="D4544" t="str">
            <v>kg</v>
          </cell>
          <cell r="E4544">
            <v>0.3</v>
          </cell>
          <cell r="F4544">
            <v>1000</v>
          </cell>
          <cell r="G4544">
            <v>300</v>
          </cell>
        </row>
        <row r="4545">
          <cell r="B4545">
            <v>1</v>
          </cell>
          <cell r="C4545" t="str">
            <v>+ Dây thép 4 ly</v>
          </cell>
          <cell r="D4545" t="str">
            <v>kg</v>
          </cell>
          <cell r="E4545">
            <v>0.36</v>
          </cell>
          <cell r="F4545">
            <v>9500</v>
          </cell>
          <cell r="G4545">
            <v>3420</v>
          </cell>
        </row>
        <row r="4546">
          <cell r="B4546">
            <v>49</v>
          </cell>
          <cell r="C4546" t="str">
            <v>+ Tre cây 8 - 10 cm L = 6 - 8 m (Kể cả phên tre)</v>
          </cell>
          <cell r="D4546" t="str">
            <v>cây</v>
          </cell>
          <cell r="E4546">
            <v>21</v>
          </cell>
          <cell r="F4546">
            <v>35000</v>
          </cell>
          <cell r="G4546">
            <v>735000</v>
          </cell>
        </row>
        <row r="4547">
          <cell r="C4547" t="str">
            <v>Nhân công</v>
          </cell>
          <cell r="G4547">
            <v>9935009.9538815785</v>
          </cell>
        </row>
        <row r="4548">
          <cell r="B4548" t="str">
            <v>NC1457</v>
          </cell>
          <cell r="C4548" t="str">
            <v>+ Nhân công bậc 4,5/7</v>
          </cell>
          <cell r="D4548" t="str">
            <v>Công</v>
          </cell>
          <cell r="E4548">
            <v>46.91</v>
          </cell>
          <cell r="F4548">
            <v>211788.74342105264</v>
          </cell>
          <cell r="G4548">
            <v>9935009.9538815785</v>
          </cell>
        </row>
        <row r="4549">
          <cell r="A4549" t="str">
            <v>D3.6154</v>
          </cell>
          <cell r="C4549" t="str">
            <v>Rải căng dây lấy độ võng bằng thủ công, dây nhôm lõi thép (AC, ACSR), Tiết diện dây =&lt;240mm2</v>
          </cell>
          <cell r="D4549" t="str">
            <v>km</v>
          </cell>
          <cell r="H4549">
            <v>738720</v>
          </cell>
          <cell r="I4549">
            <v>10926181.273092106</v>
          </cell>
        </row>
        <row r="4550">
          <cell r="C4550" t="str">
            <v>Vật liệu</v>
          </cell>
          <cell r="G4550">
            <v>738720</v>
          </cell>
        </row>
        <row r="4551">
          <cell r="B4551">
            <v>30</v>
          </cell>
          <cell r="C4551" t="str">
            <v>+ Cồn công nghiệp</v>
          </cell>
          <cell r="D4551" t="str">
            <v>kg</v>
          </cell>
          <cell r="E4551">
            <v>0.3</v>
          </cell>
          <cell r="F4551">
            <v>1000</v>
          </cell>
          <cell r="G4551">
            <v>300</v>
          </cell>
        </row>
        <row r="4552">
          <cell r="B4552">
            <v>1</v>
          </cell>
          <cell r="C4552" t="str">
            <v>+ Dây thép 4 ly</v>
          </cell>
          <cell r="D4552" t="str">
            <v>kg</v>
          </cell>
          <cell r="E4552">
            <v>0.36</v>
          </cell>
          <cell r="F4552">
            <v>9500</v>
          </cell>
          <cell r="G4552">
            <v>3420</v>
          </cell>
        </row>
        <row r="4553">
          <cell r="B4553">
            <v>49</v>
          </cell>
          <cell r="C4553" t="str">
            <v>+ Tre cây 8 - 10 cm L = 6 - 8 m (Kể cả phên tre)</v>
          </cell>
          <cell r="D4553" t="str">
            <v>cây</v>
          </cell>
          <cell r="E4553">
            <v>21</v>
          </cell>
          <cell r="F4553">
            <v>35000</v>
          </cell>
          <cell r="G4553">
            <v>735000</v>
          </cell>
        </row>
        <row r="4554">
          <cell r="C4554" t="str">
            <v>Nhân công</v>
          </cell>
          <cell r="G4554">
            <v>10926181.273092106</v>
          </cell>
        </row>
        <row r="4555">
          <cell r="B4555" t="str">
            <v>NC1457</v>
          </cell>
          <cell r="C4555" t="str">
            <v>+ Nhân công bậc 4,5/7</v>
          </cell>
          <cell r="D4555" t="str">
            <v>Công</v>
          </cell>
          <cell r="E4555">
            <v>51.59</v>
          </cell>
          <cell r="F4555">
            <v>211788.74342105264</v>
          </cell>
          <cell r="G4555">
            <v>10926181.273092106</v>
          </cell>
        </row>
        <row r="4556">
          <cell r="A4556" t="str">
            <v>D3.6155</v>
          </cell>
          <cell r="C4556" t="str">
            <v>Rải căng dây lấy độ võng bằng thủ công, dây nhôm lõi thép (AC, ACSR), Tiết diện dây =&lt;300mm2</v>
          </cell>
          <cell r="D4556" t="str">
            <v>km</v>
          </cell>
          <cell r="H4556">
            <v>880480</v>
          </cell>
          <cell r="I4556">
            <v>13778975.646973684</v>
          </cell>
        </row>
        <row r="4557">
          <cell r="C4557" t="str">
            <v>Vật liệu</v>
          </cell>
          <cell r="G4557">
            <v>880480</v>
          </cell>
        </row>
        <row r="4558">
          <cell r="B4558">
            <v>30</v>
          </cell>
          <cell r="C4558" t="str">
            <v>+ Cồn công nghiệp</v>
          </cell>
          <cell r="D4558" t="str">
            <v>kg</v>
          </cell>
          <cell r="E4558">
            <v>0.35</v>
          </cell>
          <cell r="F4558">
            <v>1000</v>
          </cell>
          <cell r="G4558">
            <v>350</v>
          </cell>
        </row>
        <row r="4559">
          <cell r="B4559">
            <v>1</v>
          </cell>
          <cell r="C4559" t="str">
            <v>+ Dây thép 4 ly</v>
          </cell>
          <cell r="D4559" t="str">
            <v>kg</v>
          </cell>
          <cell r="E4559">
            <v>0.54</v>
          </cell>
          <cell r="F4559">
            <v>9500</v>
          </cell>
          <cell r="G4559">
            <v>5130</v>
          </cell>
        </row>
        <row r="4560">
          <cell r="B4560">
            <v>49</v>
          </cell>
          <cell r="C4560" t="str">
            <v>+ Tre cây 8 - 10 cm L = 6 - 8 m (Kể cả phên tre)</v>
          </cell>
          <cell r="D4560" t="str">
            <v>cây</v>
          </cell>
          <cell r="E4560">
            <v>25</v>
          </cell>
          <cell r="F4560">
            <v>35000</v>
          </cell>
          <cell r="G4560">
            <v>875000</v>
          </cell>
        </row>
        <row r="4561">
          <cell r="C4561" t="str">
            <v>Nhân công</v>
          </cell>
          <cell r="G4561">
            <v>13778975.646973684</v>
          </cell>
        </row>
        <row r="4562">
          <cell r="B4562" t="str">
            <v>NC1457</v>
          </cell>
          <cell r="C4562" t="str">
            <v>+ Nhân công bậc 4,5/7</v>
          </cell>
          <cell r="D4562" t="str">
            <v>Công</v>
          </cell>
          <cell r="E4562">
            <v>65.06</v>
          </cell>
          <cell r="F4562">
            <v>211788.74342105264</v>
          </cell>
          <cell r="G4562">
            <v>13778975.646973684</v>
          </cell>
        </row>
        <row r="4563">
          <cell r="A4563" t="str">
            <v>D3.6156</v>
          </cell>
          <cell r="C4563" t="str">
            <v>Rải căng dây lấy độ võng bằng thủ công, dây nhôm lõi thép (AC, ACSR), Tiết diện dây =&lt;400mm2</v>
          </cell>
          <cell r="D4563" t="str">
            <v>km</v>
          </cell>
          <cell r="H4563">
            <v>880480</v>
          </cell>
          <cell r="I4563">
            <v>18201124.609605264</v>
          </cell>
        </row>
        <row r="4564">
          <cell r="C4564" t="str">
            <v>Vật liệu</v>
          </cell>
          <cell r="G4564">
            <v>880480</v>
          </cell>
        </row>
        <row r="4565">
          <cell r="B4565">
            <v>30</v>
          </cell>
          <cell r="C4565" t="str">
            <v>+ Cồn công nghiệp</v>
          </cell>
          <cell r="D4565" t="str">
            <v>kg</v>
          </cell>
          <cell r="E4565">
            <v>0.35</v>
          </cell>
          <cell r="F4565">
            <v>1000</v>
          </cell>
          <cell r="G4565">
            <v>350</v>
          </cell>
        </row>
        <row r="4566">
          <cell r="B4566">
            <v>1</v>
          </cell>
          <cell r="C4566" t="str">
            <v>+ Dây thép 4 ly</v>
          </cell>
          <cell r="D4566" t="str">
            <v>kg</v>
          </cell>
          <cell r="E4566">
            <v>0.54</v>
          </cell>
          <cell r="F4566">
            <v>9500</v>
          </cell>
          <cell r="G4566">
            <v>5130</v>
          </cell>
        </row>
        <row r="4567">
          <cell r="B4567">
            <v>49</v>
          </cell>
          <cell r="C4567" t="str">
            <v>+ Tre cây 8 - 10 cm L = 6 - 8 m (Kể cả phên tre)</v>
          </cell>
          <cell r="D4567" t="str">
            <v>cây</v>
          </cell>
          <cell r="E4567">
            <v>25</v>
          </cell>
          <cell r="F4567">
            <v>35000</v>
          </cell>
          <cell r="G4567">
            <v>875000</v>
          </cell>
        </row>
        <row r="4568">
          <cell r="C4568" t="str">
            <v>Nhân công</v>
          </cell>
          <cell r="G4568">
            <v>18201124.609605264</v>
          </cell>
        </row>
        <row r="4569">
          <cell r="B4569" t="str">
            <v>NC1457</v>
          </cell>
          <cell r="C4569" t="str">
            <v>+ Nhân công bậc 4,5/7</v>
          </cell>
          <cell r="D4569" t="str">
            <v>Công</v>
          </cell>
          <cell r="E4569">
            <v>85.94</v>
          </cell>
          <cell r="F4569">
            <v>211788.74342105264</v>
          </cell>
          <cell r="G4569">
            <v>18201124.609605264</v>
          </cell>
        </row>
        <row r="4570">
          <cell r="A4570" t="str">
            <v>D3.6157</v>
          </cell>
          <cell r="C4570" t="str">
            <v>Rải căng dây lấy độ võng bằng thủ công, dây nhôm lõi thép (AC, ACSR), Tiết diện dây =&lt;500mm2</v>
          </cell>
          <cell r="D4570" t="str">
            <v>km</v>
          </cell>
          <cell r="H4570">
            <v>880480</v>
          </cell>
          <cell r="I4570">
            <v>21327126.462500002</v>
          </cell>
        </row>
        <row r="4571">
          <cell r="C4571" t="str">
            <v>Vật liệu</v>
          </cell>
          <cell r="G4571">
            <v>880480</v>
          </cell>
        </row>
        <row r="4572">
          <cell r="B4572">
            <v>30</v>
          </cell>
          <cell r="C4572" t="str">
            <v>+ Cồn công nghiệp</v>
          </cell>
          <cell r="D4572" t="str">
            <v>kg</v>
          </cell>
          <cell r="E4572">
            <v>0.35</v>
          </cell>
          <cell r="F4572">
            <v>1000</v>
          </cell>
          <cell r="G4572">
            <v>350</v>
          </cell>
        </row>
        <row r="4573">
          <cell r="B4573">
            <v>1</v>
          </cell>
          <cell r="C4573" t="str">
            <v>+ Dây thép 4 ly</v>
          </cell>
          <cell r="D4573" t="str">
            <v>kg</v>
          </cell>
          <cell r="E4573">
            <v>0.54</v>
          </cell>
          <cell r="F4573">
            <v>9500</v>
          </cell>
          <cell r="G4573">
            <v>5130</v>
          </cell>
        </row>
        <row r="4574">
          <cell r="B4574">
            <v>49</v>
          </cell>
          <cell r="C4574" t="str">
            <v>+ Tre cây 8 - 10 cm L = 6 - 8 m (Kể cả phên tre)</v>
          </cell>
          <cell r="D4574" t="str">
            <v>cây</v>
          </cell>
          <cell r="E4574">
            <v>25</v>
          </cell>
          <cell r="F4574">
            <v>35000</v>
          </cell>
          <cell r="G4574">
            <v>875000</v>
          </cell>
        </row>
        <row r="4575">
          <cell r="C4575" t="str">
            <v>Nhân công</v>
          </cell>
          <cell r="G4575">
            <v>21327126.462500002</v>
          </cell>
        </row>
        <row r="4576">
          <cell r="B4576" t="str">
            <v>NC1457</v>
          </cell>
          <cell r="C4576" t="str">
            <v>+ Nhân công bậc 4,5/7</v>
          </cell>
          <cell r="D4576" t="str">
            <v>Công</v>
          </cell>
          <cell r="E4576">
            <v>100.7</v>
          </cell>
          <cell r="F4576">
            <v>211788.74342105264</v>
          </cell>
          <cell r="G4576">
            <v>21327126.462500002</v>
          </cell>
        </row>
        <row r="4577">
          <cell r="A4577" t="str">
            <v>D3.6158</v>
          </cell>
          <cell r="C4577" t="str">
            <v>Rải căng dây lấy độ võng bằng thủ công, dây nhôm lõi thép (AC, ACSR), Tiết diện dây &gt;500mm2</v>
          </cell>
          <cell r="D4577" t="str">
            <v>km</v>
          </cell>
          <cell r="H4577">
            <v>880480</v>
          </cell>
          <cell r="I4577">
            <v>27723146.51381579</v>
          </cell>
        </row>
        <row r="4578">
          <cell r="C4578" t="str">
            <v>Vật liệu</v>
          </cell>
          <cell r="G4578">
            <v>880480</v>
          </cell>
        </row>
        <row r="4579">
          <cell r="B4579">
            <v>30</v>
          </cell>
          <cell r="C4579" t="str">
            <v>+ Cồn công nghiệp</v>
          </cell>
          <cell r="D4579" t="str">
            <v>kg</v>
          </cell>
          <cell r="E4579">
            <v>0.35</v>
          </cell>
          <cell r="F4579">
            <v>1000</v>
          </cell>
          <cell r="G4579">
            <v>350</v>
          </cell>
        </row>
        <row r="4580">
          <cell r="B4580">
            <v>1</v>
          </cell>
          <cell r="C4580" t="str">
            <v>+ Dây thép 4 ly</v>
          </cell>
          <cell r="D4580" t="str">
            <v>kg</v>
          </cell>
          <cell r="E4580">
            <v>0.54</v>
          </cell>
          <cell r="F4580">
            <v>9500</v>
          </cell>
          <cell r="G4580">
            <v>5130</v>
          </cell>
        </row>
        <row r="4581">
          <cell r="B4581">
            <v>49</v>
          </cell>
          <cell r="C4581" t="str">
            <v>+ Tre cây 8 - 10 cm L = 6 - 8 m (Kể cả phên tre)</v>
          </cell>
          <cell r="D4581" t="str">
            <v>cây</v>
          </cell>
          <cell r="E4581">
            <v>25</v>
          </cell>
          <cell r="F4581">
            <v>35000</v>
          </cell>
          <cell r="G4581">
            <v>875000</v>
          </cell>
        </row>
        <row r="4582">
          <cell r="C4582" t="str">
            <v>Nhân công</v>
          </cell>
          <cell r="G4582">
            <v>27723146.51381579</v>
          </cell>
        </row>
        <row r="4583">
          <cell r="B4583" t="str">
            <v>NC1457</v>
          </cell>
          <cell r="C4583" t="str">
            <v>+ Nhân công bậc 4,5/7</v>
          </cell>
          <cell r="D4583" t="str">
            <v>Công</v>
          </cell>
          <cell r="E4583">
            <v>130.9</v>
          </cell>
          <cell r="F4583">
            <v>211788.74342105264</v>
          </cell>
          <cell r="G4583">
            <v>27723146.51381579</v>
          </cell>
        </row>
        <row r="4584">
          <cell r="A4584" t="str">
            <v>D3.6121</v>
          </cell>
          <cell r="C4584" t="str">
            <v>Rải căng dây lấy độ võng bằng thủ công, dây nhôm  (A), Tiết diện dây 16mm2</v>
          </cell>
          <cell r="D4584" t="str">
            <v>km</v>
          </cell>
          <cell r="H4584">
            <v>526930</v>
          </cell>
          <cell r="I4584">
            <v>1109678.625</v>
          </cell>
        </row>
        <row r="4585">
          <cell r="C4585" t="str">
            <v>Vật liệu</v>
          </cell>
          <cell r="G4585">
            <v>526930</v>
          </cell>
        </row>
        <row r="4586">
          <cell r="B4586">
            <v>30</v>
          </cell>
          <cell r="C4586" t="str">
            <v>+ Dây thép 4 ly</v>
          </cell>
          <cell r="D4586" t="str">
            <v>kg</v>
          </cell>
          <cell r="E4586">
            <v>0.03</v>
          </cell>
          <cell r="F4586">
            <v>1000</v>
          </cell>
          <cell r="G4586">
            <v>30</v>
          </cell>
        </row>
        <row r="4587">
          <cell r="B4587">
            <v>1</v>
          </cell>
          <cell r="C4587" t="str">
            <v>+ Cồn công nghiệp</v>
          </cell>
          <cell r="D4587" t="str">
            <v>kg</v>
          </cell>
          <cell r="E4587">
            <v>0.2</v>
          </cell>
          <cell r="F4587">
            <v>9500</v>
          </cell>
          <cell r="G4587">
            <v>1900</v>
          </cell>
        </row>
        <row r="4588">
          <cell r="B4588">
            <v>49</v>
          </cell>
          <cell r="C4588" t="str">
            <v>+ Tre cây 8 - 10 cm L = 6 - 8 m (Kể cả phên tre)</v>
          </cell>
          <cell r="D4588" t="str">
            <v>cây</v>
          </cell>
          <cell r="E4588">
            <v>15</v>
          </cell>
          <cell r="F4588">
            <v>35000</v>
          </cell>
          <cell r="G4588">
            <v>525000</v>
          </cell>
        </row>
        <row r="4589">
          <cell r="C4589" t="str">
            <v>Nhân công</v>
          </cell>
          <cell r="G4589">
            <v>1109678.625</v>
          </cell>
        </row>
        <row r="4590">
          <cell r="B4590" t="str">
            <v>NC1407</v>
          </cell>
          <cell r="C4590" t="str">
            <v>+ Nhân công bậc 4,0/7</v>
          </cell>
          <cell r="D4590" t="str">
            <v>Công</v>
          </cell>
          <cell r="E4590">
            <v>5.7</v>
          </cell>
          <cell r="F4590">
            <v>194680.46052631579</v>
          </cell>
          <cell r="G4590">
            <v>1109678.625</v>
          </cell>
        </row>
        <row r="4591">
          <cell r="A4591" t="str">
            <v>D3.6122</v>
          </cell>
          <cell r="C4591" t="str">
            <v>Rải căng dây lấy độ võng bằng thủ công, dây nhôm  (A), Tiết diện dây 25mm2</v>
          </cell>
          <cell r="D4591" t="str">
            <v>km</v>
          </cell>
          <cell r="H4591">
            <v>526930</v>
          </cell>
          <cell r="I4591">
            <v>1460103.4539473683</v>
          </cell>
        </row>
        <row r="4592">
          <cell r="C4592" t="str">
            <v>Vật liệu</v>
          </cell>
          <cell r="G4592">
            <v>526930</v>
          </cell>
        </row>
        <row r="4593">
          <cell r="B4593">
            <v>30</v>
          </cell>
          <cell r="C4593" t="str">
            <v>+ Dây thép 4 ly</v>
          </cell>
          <cell r="D4593" t="str">
            <v>kg</v>
          </cell>
          <cell r="E4593">
            <v>0.03</v>
          </cell>
          <cell r="F4593">
            <v>1000</v>
          </cell>
          <cell r="G4593">
            <v>30</v>
          </cell>
        </row>
        <row r="4594">
          <cell r="B4594">
            <v>1</v>
          </cell>
          <cell r="C4594" t="str">
            <v>+ Cồn công nghiệp</v>
          </cell>
          <cell r="D4594" t="str">
            <v>kg</v>
          </cell>
          <cell r="E4594">
            <v>0.2</v>
          </cell>
          <cell r="F4594">
            <v>9500</v>
          </cell>
          <cell r="G4594">
            <v>1900</v>
          </cell>
        </row>
        <row r="4595">
          <cell r="B4595">
            <v>49</v>
          </cell>
          <cell r="C4595" t="str">
            <v>+ Tre cây 8 - 10 cm L = 6 - 8 m (Kể cả phên tre)</v>
          </cell>
          <cell r="D4595" t="str">
            <v>cây</v>
          </cell>
          <cell r="E4595">
            <v>15</v>
          </cell>
          <cell r="F4595">
            <v>35000</v>
          </cell>
          <cell r="G4595">
            <v>525000</v>
          </cell>
        </row>
        <row r="4596">
          <cell r="C4596" t="str">
            <v>Nhân công</v>
          </cell>
          <cell r="G4596">
            <v>1460103.4539473683</v>
          </cell>
        </row>
        <row r="4597">
          <cell r="B4597" t="str">
            <v>NC1407</v>
          </cell>
          <cell r="C4597" t="str">
            <v>+ Nhân công bậc 4,0/7</v>
          </cell>
          <cell r="D4597" t="str">
            <v>Công</v>
          </cell>
          <cell r="E4597">
            <v>7.5</v>
          </cell>
          <cell r="F4597">
            <v>194680.46052631579</v>
          </cell>
          <cell r="G4597">
            <v>1460103.4539473683</v>
          </cell>
        </row>
        <row r="4598">
          <cell r="A4598" t="str">
            <v>D3.6123</v>
          </cell>
          <cell r="C4598" t="str">
            <v>Rải căng dây lấy độ võng bằng thủ công, dây nhôm  (A), Tiết diện dây 35mm2</v>
          </cell>
          <cell r="D4598" t="str">
            <v>km</v>
          </cell>
          <cell r="H4598">
            <v>526930</v>
          </cell>
          <cell r="I4598">
            <v>1907868.5131578948</v>
          </cell>
        </row>
        <row r="4599">
          <cell r="C4599" t="str">
            <v>Vật liệu</v>
          </cell>
          <cell r="G4599">
            <v>526930</v>
          </cell>
        </row>
        <row r="4600">
          <cell r="B4600">
            <v>30</v>
          </cell>
          <cell r="C4600" t="str">
            <v>+ Dây thép 4 ly</v>
          </cell>
          <cell r="D4600" t="str">
            <v>kg</v>
          </cell>
          <cell r="E4600">
            <v>0.03</v>
          </cell>
          <cell r="F4600">
            <v>1000</v>
          </cell>
          <cell r="G4600">
            <v>30</v>
          </cell>
        </row>
        <row r="4601">
          <cell r="B4601">
            <v>1</v>
          </cell>
          <cell r="C4601" t="str">
            <v>+ Cồn công nghiệp</v>
          </cell>
          <cell r="D4601" t="str">
            <v>kg</v>
          </cell>
          <cell r="E4601">
            <v>0.2</v>
          </cell>
          <cell r="F4601">
            <v>9500</v>
          </cell>
          <cell r="G4601">
            <v>1900</v>
          </cell>
        </row>
        <row r="4602">
          <cell r="B4602">
            <v>49</v>
          </cell>
          <cell r="C4602" t="str">
            <v>+ Tre cây 8 - 10 cm L = 6 - 8 m (Kể cả phên tre)</v>
          </cell>
          <cell r="D4602" t="str">
            <v>cây</v>
          </cell>
          <cell r="E4602">
            <v>15</v>
          </cell>
          <cell r="F4602">
            <v>35000</v>
          </cell>
          <cell r="G4602">
            <v>525000</v>
          </cell>
        </row>
        <row r="4603">
          <cell r="C4603" t="str">
            <v>Nhân công</v>
          </cell>
          <cell r="G4603">
            <v>1907868.5131578948</v>
          </cell>
        </row>
        <row r="4604">
          <cell r="B4604" t="str">
            <v>NC1407</v>
          </cell>
          <cell r="C4604" t="str">
            <v>+ Nhân công bậc 4,0/7</v>
          </cell>
          <cell r="D4604" t="str">
            <v>Công</v>
          </cell>
          <cell r="E4604">
            <v>9.8000000000000007</v>
          </cell>
          <cell r="F4604">
            <v>194680.46052631579</v>
          </cell>
          <cell r="G4604">
            <v>1907868.5131578948</v>
          </cell>
        </row>
        <row r="4605">
          <cell r="A4605" t="str">
            <v>D3.6124</v>
          </cell>
          <cell r="C4605" t="str">
            <v>Rải căng dây lấy độ võng bằng thủ công, dây nhôm  (A), Tiết diện dây 50mm2</v>
          </cell>
          <cell r="D4605" t="str">
            <v>km</v>
          </cell>
          <cell r="H4605">
            <v>527405</v>
          </cell>
          <cell r="I4605">
            <v>2491909.8947368423</v>
          </cell>
        </row>
        <row r="4606">
          <cell r="C4606" t="str">
            <v>Vật liệu</v>
          </cell>
          <cell r="G4606">
            <v>527405</v>
          </cell>
        </row>
        <row r="4607">
          <cell r="B4607">
            <v>30</v>
          </cell>
          <cell r="C4607" t="str">
            <v>+ Dây thép 4 ly</v>
          </cell>
          <cell r="D4607" t="str">
            <v>kg</v>
          </cell>
          <cell r="E4607">
            <v>0.03</v>
          </cell>
          <cell r="F4607">
            <v>1000</v>
          </cell>
          <cell r="G4607">
            <v>30</v>
          </cell>
        </row>
        <row r="4608">
          <cell r="B4608">
            <v>1</v>
          </cell>
          <cell r="C4608" t="str">
            <v>+ Cồn công nghiệp</v>
          </cell>
          <cell r="D4608" t="str">
            <v>kg</v>
          </cell>
          <cell r="E4608">
            <v>0.25</v>
          </cell>
          <cell r="F4608">
            <v>9500</v>
          </cell>
          <cell r="G4608">
            <v>2375</v>
          </cell>
        </row>
        <row r="4609">
          <cell r="B4609">
            <v>49</v>
          </cell>
          <cell r="C4609" t="str">
            <v>+ Tre cây 8 - 10 cm L = 6 - 8 m (Kể cả phên tre)</v>
          </cell>
          <cell r="D4609" t="str">
            <v>cây</v>
          </cell>
          <cell r="E4609">
            <v>15</v>
          </cell>
          <cell r="F4609">
            <v>35000</v>
          </cell>
          <cell r="G4609">
            <v>525000</v>
          </cell>
        </row>
        <row r="4610">
          <cell r="C4610" t="str">
            <v>Nhân công</v>
          </cell>
          <cell r="G4610">
            <v>2491909.8947368423</v>
          </cell>
        </row>
        <row r="4611">
          <cell r="B4611" t="str">
            <v>NC1407</v>
          </cell>
          <cell r="C4611" t="str">
            <v>+ Nhân công bậc 4,0/7</v>
          </cell>
          <cell r="D4611" t="str">
            <v>Công</v>
          </cell>
          <cell r="E4611">
            <v>12.8</v>
          </cell>
          <cell r="F4611">
            <v>194680.46052631579</v>
          </cell>
          <cell r="G4611">
            <v>2491909.8947368423</v>
          </cell>
        </row>
        <row r="4612">
          <cell r="A4612" t="str">
            <v>D3.6125</v>
          </cell>
          <cell r="C4612" t="str">
            <v>Rải căng dây lấy độ võng bằng thủ công, dây nhôm  (A), Tiết diện dây 70mm2</v>
          </cell>
          <cell r="D4612" t="str">
            <v>km</v>
          </cell>
          <cell r="H4612">
            <v>527405</v>
          </cell>
          <cell r="I4612">
            <v>3348503.9210526315</v>
          </cell>
        </row>
        <row r="4613">
          <cell r="C4613" t="str">
            <v>Vật liệu</v>
          </cell>
          <cell r="G4613">
            <v>527405</v>
          </cell>
        </row>
        <row r="4614">
          <cell r="B4614">
            <v>30</v>
          </cell>
          <cell r="C4614" t="str">
            <v>+ Dây thép 4 ly</v>
          </cell>
          <cell r="D4614" t="str">
            <v>kg</v>
          </cell>
          <cell r="E4614">
            <v>0.03</v>
          </cell>
          <cell r="F4614">
            <v>1000</v>
          </cell>
          <cell r="G4614">
            <v>30</v>
          </cell>
        </row>
        <row r="4615">
          <cell r="B4615">
            <v>1</v>
          </cell>
          <cell r="C4615" t="str">
            <v>+ Cồn công nghiệp</v>
          </cell>
          <cell r="D4615" t="str">
            <v>kg</v>
          </cell>
          <cell r="E4615">
            <v>0.25</v>
          </cell>
          <cell r="F4615">
            <v>9500</v>
          </cell>
          <cell r="G4615">
            <v>2375</v>
          </cell>
        </row>
        <row r="4616">
          <cell r="B4616">
            <v>49</v>
          </cell>
          <cell r="C4616" t="str">
            <v>+ Tre cây 8 - 10 cm L = 6 - 8 m (Kể cả phên tre)</v>
          </cell>
          <cell r="D4616" t="str">
            <v>cây</v>
          </cell>
          <cell r="E4616">
            <v>15</v>
          </cell>
          <cell r="F4616">
            <v>35000</v>
          </cell>
          <cell r="G4616">
            <v>525000</v>
          </cell>
        </row>
        <row r="4617">
          <cell r="C4617" t="str">
            <v>Nhân công</v>
          </cell>
          <cell r="G4617">
            <v>3348503.9210526315</v>
          </cell>
        </row>
        <row r="4618">
          <cell r="B4618" t="str">
            <v>NC1407</v>
          </cell>
          <cell r="C4618" t="str">
            <v>+ Nhân công bậc 4,0/7</v>
          </cell>
          <cell r="D4618" t="str">
            <v>Công</v>
          </cell>
          <cell r="E4618">
            <v>17.2</v>
          </cell>
          <cell r="F4618">
            <v>194680.46052631579</v>
          </cell>
          <cell r="G4618">
            <v>3348503.9210526315</v>
          </cell>
        </row>
        <row r="4619">
          <cell r="A4619" t="str">
            <v>D3.6126</v>
          </cell>
          <cell r="C4619" t="str">
            <v>Rải căng dây lấy độ võng bằng thủ công, dây nhôm  (A), Tiết diện dây 95mm2</v>
          </cell>
          <cell r="D4619" t="str">
            <v>km</v>
          </cell>
          <cell r="H4619">
            <v>527405</v>
          </cell>
          <cell r="I4619">
            <v>4574990.8223684207</v>
          </cell>
        </row>
        <row r="4620">
          <cell r="C4620" t="str">
            <v>Vật liệu</v>
          </cell>
          <cell r="G4620">
            <v>527405</v>
          </cell>
        </row>
        <row r="4621">
          <cell r="B4621">
            <v>30</v>
          </cell>
          <cell r="C4621" t="str">
            <v>+ Dây thép 4 ly</v>
          </cell>
          <cell r="D4621" t="str">
            <v>kg</v>
          </cell>
          <cell r="E4621">
            <v>0.03</v>
          </cell>
          <cell r="F4621">
            <v>1000</v>
          </cell>
          <cell r="G4621">
            <v>30</v>
          </cell>
        </row>
        <row r="4622">
          <cell r="B4622">
            <v>1</v>
          </cell>
          <cell r="C4622" t="str">
            <v>+ Cồn công nghiệp</v>
          </cell>
          <cell r="D4622" t="str">
            <v>kg</v>
          </cell>
          <cell r="E4622">
            <v>0.25</v>
          </cell>
          <cell r="F4622">
            <v>9500</v>
          </cell>
          <cell r="G4622">
            <v>2375</v>
          </cell>
        </row>
        <row r="4623">
          <cell r="B4623">
            <v>49</v>
          </cell>
          <cell r="C4623" t="str">
            <v>+ Tre cây 8 - 10 cm L = 6 - 8 m (Kể cả phên tre)</v>
          </cell>
          <cell r="D4623" t="str">
            <v>cây</v>
          </cell>
          <cell r="E4623">
            <v>15</v>
          </cell>
          <cell r="F4623">
            <v>35000</v>
          </cell>
          <cell r="G4623">
            <v>525000</v>
          </cell>
        </row>
        <row r="4624">
          <cell r="C4624" t="str">
            <v>Nhân công</v>
          </cell>
          <cell r="G4624">
            <v>4574990.8223684207</v>
          </cell>
        </row>
        <row r="4625">
          <cell r="B4625" t="str">
            <v>NC1407</v>
          </cell>
          <cell r="C4625" t="str">
            <v>+ Nhân công bậc 4,0/7</v>
          </cell>
          <cell r="D4625" t="str">
            <v>Công</v>
          </cell>
          <cell r="E4625">
            <v>23.5</v>
          </cell>
          <cell r="F4625">
            <v>194680.46052631579</v>
          </cell>
          <cell r="G4625">
            <v>4574990.8223684207</v>
          </cell>
        </row>
        <row r="4626">
          <cell r="A4626" t="str">
            <v>D3.6131</v>
          </cell>
          <cell r="C4626" t="str">
            <v>Rải căng dây lấy độ võng bằng thủ công, dây chống sét, Tiết diện dây 16mm2</v>
          </cell>
          <cell r="D4626" t="str">
            <v>km</v>
          </cell>
          <cell r="H4626">
            <v>526930</v>
          </cell>
          <cell r="I4626">
            <v>3167451.0927631576</v>
          </cell>
        </row>
        <row r="4627">
          <cell r="C4627" t="str">
            <v>Vật liệu</v>
          </cell>
          <cell r="G4627">
            <v>526930</v>
          </cell>
        </row>
        <row r="4628">
          <cell r="B4628">
            <v>30</v>
          </cell>
          <cell r="C4628" t="str">
            <v>+ Dây thép 4 ly</v>
          </cell>
          <cell r="D4628" t="str">
            <v>kg</v>
          </cell>
          <cell r="E4628">
            <v>0.03</v>
          </cell>
          <cell r="F4628">
            <v>1000</v>
          </cell>
          <cell r="G4628">
            <v>30</v>
          </cell>
        </row>
        <row r="4629">
          <cell r="B4629">
            <v>1</v>
          </cell>
          <cell r="C4629" t="str">
            <v>+ Cồn công nghiệp</v>
          </cell>
          <cell r="D4629" t="str">
            <v>kg</v>
          </cell>
          <cell r="E4629">
            <v>0.2</v>
          </cell>
          <cell r="F4629">
            <v>9500</v>
          </cell>
          <cell r="G4629">
            <v>1900</v>
          </cell>
        </row>
        <row r="4630">
          <cell r="B4630">
            <v>49</v>
          </cell>
          <cell r="C4630" t="str">
            <v>+ Tre cây 8 - 10 cm L = 6 - 8 m (Kể cả phên tre)</v>
          </cell>
          <cell r="D4630" t="str">
            <v>cây</v>
          </cell>
          <cell r="E4630">
            <v>15</v>
          </cell>
          <cell r="F4630">
            <v>35000</v>
          </cell>
          <cell r="G4630">
            <v>525000</v>
          </cell>
        </row>
        <row r="4631">
          <cell r="C4631" t="str">
            <v>Nhân công</v>
          </cell>
          <cell r="G4631">
            <v>3167451.0927631576</v>
          </cell>
        </row>
        <row r="4632">
          <cell r="B4632" t="str">
            <v>NC1407</v>
          </cell>
          <cell r="C4632" t="str">
            <v>+ Nhân công bậc 4,0/7</v>
          </cell>
          <cell r="D4632" t="str">
            <v>Công</v>
          </cell>
          <cell r="E4632">
            <v>16.27</v>
          </cell>
          <cell r="F4632">
            <v>194680.46052631579</v>
          </cell>
          <cell r="G4632">
            <v>3167451.0927631576</v>
          </cell>
        </row>
        <row r="4633">
          <cell r="A4633" t="str">
            <v>D3.6132</v>
          </cell>
          <cell r="C4633" t="str">
            <v>Rải căng dây lấy độ võng bằng thủ công, dây chống sét, Tiết diện dây 25mm2</v>
          </cell>
          <cell r="D4633" t="str">
            <v>km</v>
          </cell>
          <cell r="H4633">
            <v>526930</v>
          </cell>
          <cell r="I4633">
            <v>3893609.2105263155</v>
          </cell>
        </row>
        <row r="4634">
          <cell r="C4634" t="str">
            <v>Vật liệu</v>
          </cell>
          <cell r="G4634">
            <v>526930</v>
          </cell>
        </row>
        <row r="4635">
          <cell r="B4635">
            <v>30</v>
          </cell>
          <cell r="C4635" t="str">
            <v>+ Dây thép 4 ly</v>
          </cell>
          <cell r="D4635" t="str">
            <v>kg</v>
          </cell>
          <cell r="E4635">
            <v>0.03</v>
          </cell>
          <cell r="F4635">
            <v>1000</v>
          </cell>
          <cell r="G4635">
            <v>30</v>
          </cell>
        </row>
        <row r="4636">
          <cell r="B4636">
            <v>1</v>
          </cell>
          <cell r="C4636" t="str">
            <v>+ Cồn công nghiệp</v>
          </cell>
          <cell r="D4636" t="str">
            <v>kg</v>
          </cell>
          <cell r="E4636">
            <v>0.2</v>
          </cell>
          <cell r="F4636">
            <v>9500</v>
          </cell>
          <cell r="G4636">
            <v>1900</v>
          </cell>
        </row>
        <row r="4637">
          <cell r="B4637">
            <v>49</v>
          </cell>
          <cell r="C4637" t="str">
            <v>+ Tre cây 8 - 10 cm L = 6 - 8 m (Kể cả phên tre)</v>
          </cell>
          <cell r="D4637" t="str">
            <v>cây</v>
          </cell>
          <cell r="E4637">
            <v>15</v>
          </cell>
          <cell r="F4637">
            <v>35000</v>
          </cell>
          <cell r="G4637">
            <v>525000</v>
          </cell>
        </row>
        <row r="4638">
          <cell r="C4638" t="str">
            <v>Nhân công</v>
          </cell>
          <cell r="G4638">
            <v>3893609.2105263155</v>
          </cell>
        </row>
        <row r="4639">
          <cell r="B4639" t="str">
            <v>NC1407</v>
          </cell>
          <cell r="C4639" t="str">
            <v>+ Nhân công bậc 4,0/7</v>
          </cell>
          <cell r="D4639" t="str">
            <v>Công</v>
          </cell>
          <cell r="E4639">
            <v>20</v>
          </cell>
          <cell r="F4639">
            <v>194680.46052631579</v>
          </cell>
          <cell r="G4639">
            <v>3893609.2105263155</v>
          </cell>
        </row>
        <row r="4640">
          <cell r="A4640" t="str">
            <v>D3.6133</v>
          </cell>
          <cell r="C4640" t="str">
            <v>Rải căng dây lấy độ võng bằng thủ công, dây chống sét, Tiết diện dây 35mm2</v>
          </cell>
          <cell r="D4640" t="str">
            <v>km</v>
          </cell>
          <cell r="H4640">
            <v>526930</v>
          </cell>
          <cell r="I4640">
            <v>4378363.5572368419</v>
          </cell>
        </row>
        <row r="4641">
          <cell r="C4641" t="str">
            <v>Vật liệu</v>
          </cell>
          <cell r="G4641">
            <v>526930</v>
          </cell>
        </row>
        <row r="4642">
          <cell r="B4642">
            <v>30</v>
          </cell>
          <cell r="C4642" t="str">
            <v>+ Dây thép 4 ly</v>
          </cell>
          <cell r="D4642" t="str">
            <v>kg</v>
          </cell>
          <cell r="E4642">
            <v>0.03</v>
          </cell>
          <cell r="F4642">
            <v>1000</v>
          </cell>
          <cell r="G4642">
            <v>30</v>
          </cell>
        </row>
        <row r="4643">
          <cell r="B4643">
            <v>1</v>
          </cell>
          <cell r="C4643" t="str">
            <v>+ Cồn công nghiệp</v>
          </cell>
          <cell r="D4643" t="str">
            <v>kg</v>
          </cell>
          <cell r="E4643">
            <v>0.2</v>
          </cell>
          <cell r="F4643">
            <v>9500</v>
          </cell>
          <cell r="G4643">
            <v>1900</v>
          </cell>
        </row>
        <row r="4644">
          <cell r="B4644">
            <v>49</v>
          </cell>
          <cell r="C4644" t="str">
            <v>+ Tre cây 8 - 10 cm L = 6 - 8 m (Kể cả phên tre)</v>
          </cell>
          <cell r="D4644" t="str">
            <v>cây</v>
          </cell>
          <cell r="E4644">
            <v>15</v>
          </cell>
          <cell r="F4644">
            <v>35000</v>
          </cell>
          <cell r="G4644">
            <v>525000</v>
          </cell>
        </row>
        <row r="4645">
          <cell r="C4645" t="str">
            <v>Nhân công</v>
          </cell>
          <cell r="G4645">
            <v>4378363.5572368419</v>
          </cell>
        </row>
        <row r="4646">
          <cell r="B4646" t="str">
            <v>NC1407</v>
          </cell>
          <cell r="C4646" t="str">
            <v>+ Nhân công bậc 4,0/7</v>
          </cell>
          <cell r="D4646" t="str">
            <v>Công</v>
          </cell>
          <cell r="E4646">
            <v>22.49</v>
          </cell>
          <cell r="F4646">
            <v>194680.46052631579</v>
          </cell>
          <cell r="G4646">
            <v>4378363.5572368419</v>
          </cell>
        </row>
        <row r="4647">
          <cell r="A4647" t="str">
            <v>D3.6134</v>
          </cell>
          <cell r="C4647" t="str">
            <v>Rải căng dây lấy độ võng bằng thủ công, dây chống sét, Tiết diện dây 50mm2</v>
          </cell>
          <cell r="D4647" t="str">
            <v>km</v>
          </cell>
          <cell r="H4647">
            <v>527405</v>
          </cell>
          <cell r="I4647">
            <v>4905947.6052631577</v>
          </cell>
        </row>
        <row r="4648">
          <cell r="C4648" t="str">
            <v>Vật liệu</v>
          </cell>
          <cell r="G4648">
            <v>527405</v>
          </cell>
        </row>
        <row r="4649">
          <cell r="B4649">
            <v>30</v>
          </cell>
          <cell r="C4649" t="str">
            <v>+ Dây thép 4 ly</v>
          </cell>
          <cell r="D4649" t="str">
            <v>kg</v>
          </cell>
          <cell r="E4649">
            <v>0.03</v>
          </cell>
          <cell r="F4649">
            <v>1000</v>
          </cell>
          <cell r="G4649">
            <v>30</v>
          </cell>
        </row>
        <row r="4650">
          <cell r="B4650">
            <v>1</v>
          </cell>
          <cell r="C4650" t="str">
            <v>+ Cồn công nghiệp</v>
          </cell>
          <cell r="D4650" t="str">
            <v>kg</v>
          </cell>
          <cell r="E4650">
            <v>0.25</v>
          </cell>
          <cell r="F4650">
            <v>9500</v>
          </cell>
          <cell r="G4650">
            <v>2375</v>
          </cell>
        </row>
        <row r="4651">
          <cell r="B4651">
            <v>49</v>
          </cell>
          <cell r="C4651" t="str">
            <v>+ Tre cây 8 - 10 cm L = 6 - 8 m (Kể cả phên tre)</v>
          </cell>
          <cell r="D4651" t="str">
            <v>cây</v>
          </cell>
          <cell r="E4651">
            <v>15</v>
          </cell>
          <cell r="F4651">
            <v>35000</v>
          </cell>
          <cell r="G4651">
            <v>525000</v>
          </cell>
        </row>
        <row r="4652">
          <cell r="C4652" t="str">
            <v>Nhân công</v>
          </cell>
          <cell r="G4652">
            <v>4905947.6052631577</v>
          </cell>
        </row>
        <row r="4653">
          <cell r="B4653" t="str">
            <v>NC1407</v>
          </cell>
          <cell r="C4653" t="str">
            <v>+ Nhân công bậc 4,0/7</v>
          </cell>
          <cell r="D4653" t="str">
            <v>Công</v>
          </cell>
          <cell r="E4653">
            <v>25.2</v>
          </cell>
          <cell r="F4653">
            <v>194680.46052631579</v>
          </cell>
          <cell r="G4653">
            <v>4905947.6052631577</v>
          </cell>
        </row>
        <row r="4654">
          <cell r="A4654" t="str">
            <v>D3.6135</v>
          </cell>
          <cell r="C4654" t="str">
            <v>Rải căng dây lấy độ võng bằng thủ công, dây chống sét, Tiết diện dây 70mm2</v>
          </cell>
          <cell r="D4654" t="str">
            <v>km</v>
          </cell>
          <cell r="H4654">
            <v>527405</v>
          </cell>
          <cell r="I4654">
            <v>5887137.1263157893</v>
          </cell>
        </row>
        <row r="4655">
          <cell r="C4655" t="str">
            <v>Vật liệu</v>
          </cell>
          <cell r="G4655">
            <v>527405</v>
          </cell>
        </row>
        <row r="4656">
          <cell r="B4656">
            <v>30</v>
          </cell>
          <cell r="C4656" t="str">
            <v>+ Dây thép 4 ly</v>
          </cell>
          <cell r="D4656" t="str">
            <v>kg</v>
          </cell>
          <cell r="E4656">
            <v>0.03</v>
          </cell>
          <cell r="F4656">
            <v>1000</v>
          </cell>
          <cell r="G4656">
            <v>30</v>
          </cell>
        </row>
        <row r="4657">
          <cell r="B4657">
            <v>1</v>
          </cell>
          <cell r="C4657" t="str">
            <v>+ Cồn công nghiệp</v>
          </cell>
          <cell r="D4657" t="str">
            <v>kg</v>
          </cell>
          <cell r="E4657">
            <v>0.25</v>
          </cell>
          <cell r="F4657">
            <v>9500</v>
          </cell>
          <cell r="G4657">
            <v>2375</v>
          </cell>
        </row>
        <row r="4658">
          <cell r="B4658">
            <v>49</v>
          </cell>
          <cell r="C4658" t="str">
            <v>+ Tre cây 8 - 10 cm L = 6 - 8 m (Kể cả phên tre)</v>
          </cell>
          <cell r="D4658" t="str">
            <v>cây</v>
          </cell>
          <cell r="E4658">
            <v>15</v>
          </cell>
          <cell r="F4658">
            <v>35000</v>
          </cell>
          <cell r="G4658">
            <v>525000</v>
          </cell>
        </row>
        <row r="4659">
          <cell r="C4659" t="str">
            <v>Nhân công</v>
          </cell>
          <cell r="G4659">
            <v>5887137.1263157893</v>
          </cell>
        </row>
        <row r="4660">
          <cell r="B4660" t="str">
            <v>NC1407</v>
          </cell>
          <cell r="C4660" t="str">
            <v>+ Nhân công bậc 4,0/7</v>
          </cell>
          <cell r="D4660" t="str">
            <v>Công</v>
          </cell>
          <cell r="E4660">
            <v>30.24</v>
          </cell>
          <cell r="F4660">
            <v>194680.46052631579</v>
          </cell>
          <cell r="G4660">
            <v>5887137.1263157893</v>
          </cell>
        </row>
        <row r="4661">
          <cell r="A4661" t="str">
            <v>D3.6141</v>
          </cell>
          <cell r="C4661" t="str">
            <v>Rải căng dây lấy độ võng bằng thủ công, dây đồng (M), Tiết diện dây 16mm2</v>
          </cell>
          <cell r="D4661" t="str">
            <v>km</v>
          </cell>
          <cell r="H4661">
            <v>526930</v>
          </cell>
          <cell r="I4661">
            <v>2170687.1348684211</v>
          </cell>
        </row>
        <row r="4662">
          <cell r="C4662" t="str">
            <v>Vật liệu</v>
          </cell>
          <cell r="G4662">
            <v>526930</v>
          </cell>
        </row>
        <row r="4663">
          <cell r="B4663">
            <v>30</v>
          </cell>
          <cell r="C4663" t="str">
            <v>+ Dây thép 4 ly</v>
          </cell>
          <cell r="D4663" t="str">
            <v>kg</v>
          </cell>
          <cell r="E4663">
            <v>0.03</v>
          </cell>
          <cell r="F4663">
            <v>1000</v>
          </cell>
          <cell r="G4663">
            <v>30</v>
          </cell>
        </row>
        <row r="4664">
          <cell r="B4664">
            <v>1</v>
          </cell>
          <cell r="C4664" t="str">
            <v>+ Cồn công nghiệp</v>
          </cell>
          <cell r="D4664" t="str">
            <v>kg</v>
          </cell>
          <cell r="E4664">
            <v>0.2</v>
          </cell>
          <cell r="F4664">
            <v>9500</v>
          </cell>
          <cell r="G4664">
            <v>1900</v>
          </cell>
        </row>
        <row r="4665">
          <cell r="B4665">
            <v>49</v>
          </cell>
          <cell r="C4665" t="str">
            <v>+ Tre cây 8 - 10 cm L = 6 - 8 m (Kể cả phên tre)</v>
          </cell>
          <cell r="D4665" t="str">
            <v>cây</v>
          </cell>
          <cell r="E4665">
            <v>15</v>
          </cell>
          <cell r="F4665">
            <v>35000</v>
          </cell>
          <cell r="G4665">
            <v>525000</v>
          </cell>
        </row>
        <row r="4666">
          <cell r="C4666" t="str">
            <v>Nhân công</v>
          </cell>
          <cell r="G4666">
            <v>2170687.1348684211</v>
          </cell>
        </row>
        <row r="4667">
          <cell r="B4667" t="str">
            <v>NC1407</v>
          </cell>
          <cell r="C4667" t="str">
            <v>+ Nhân công bậc 4,0/7</v>
          </cell>
          <cell r="D4667" t="str">
            <v>Công</v>
          </cell>
          <cell r="E4667">
            <v>11.15</v>
          </cell>
          <cell r="F4667">
            <v>194680.46052631579</v>
          </cell>
          <cell r="G4667">
            <v>2170687.1348684211</v>
          </cell>
        </row>
        <row r="4668">
          <cell r="A4668" t="str">
            <v>D3.6142</v>
          </cell>
          <cell r="C4668" t="str">
            <v>Rải căng dây lấy độ võng bằng thủ công, dây đồng (M), Tiết diện dây 25mm2</v>
          </cell>
          <cell r="D4668" t="str">
            <v>km</v>
          </cell>
          <cell r="H4668">
            <v>526930</v>
          </cell>
          <cell r="I4668">
            <v>2817026.2638157895</v>
          </cell>
        </row>
        <row r="4669">
          <cell r="C4669" t="str">
            <v>Vật liệu</v>
          </cell>
          <cell r="G4669">
            <v>526930</v>
          </cell>
        </row>
        <row r="4670">
          <cell r="B4670">
            <v>30</v>
          </cell>
          <cell r="C4670" t="str">
            <v>+ Dây thép 4 ly</v>
          </cell>
          <cell r="D4670" t="str">
            <v>kg</v>
          </cell>
          <cell r="E4670">
            <v>0.03</v>
          </cell>
          <cell r="F4670">
            <v>1000</v>
          </cell>
          <cell r="G4670">
            <v>30</v>
          </cell>
        </row>
        <row r="4671">
          <cell r="B4671">
            <v>1</v>
          </cell>
          <cell r="C4671" t="str">
            <v>+ Cồn công nghiệp</v>
          </cell>
          <cell r="D4671" t="str">
            <v>kg</v>
          </cell>
          <cell r="E4671">
            <v>0.2</v>
          </cell>
          <cell r="F4671">
            <v>9500</v>
          </cell>
          <cell r="G4671">
            <v>1900</v>
          </cell>
        </row>
        <row r="4672">
          <cell r="B4672">
            <v>49</v>
          </cell>
          <cell r="C4672" t="str">
            <v>+ Tre cây 8 - 10 cm L = 6 - 8 m (Kể cả phên tre)</v>
          </cell>
          <cell r="D4672" t="str">
            <v>cây</v>
          </cell>
          <cell r="E4672">
            <v>15</v>
          </cell>
          <cell r="F4672">
            <v>35000</v>
          </cell>
          <cell r="G4672">
            <v>525000</v>
          </cell>
        </row>
        <row r="4673">
          <cell r="C4673" t="str">
            <v>Nhân công</v>
          </cell>
          <cell r="G4673">
            <v>2817026.2638157895</v>
          </cell>
        </row>
        <row r="4674">
          <cell r="B4674" t="str">
            <v>NC1407</v>
          </cell>
          <cell r="C4674" t="str">
            <v>+ Nhân công bậc 4,0/7</v>
          </cell>
          <cell r="D4674" t="str">
            <v>Công</v>
          </cell>
          <cell r="E4674">
            <v>14.47</v>
          </cell>
          <cell r="F4674">
            <v>194680.46052631579</v>
          </cell>
          <cell r="G4674">
            <v>2817026.2638157895</v>
          </cell>
        </row>
        <row r="4675">
          <cell r="A4675" t="str">
            <v>D3.6143</v>
          </cell>
          <cell r="C4675" t="str">
            <v>Rải căng dây lấy độ võng bằng thủ công, dây đồng (M), Tiết diện dây 35mm2</v>
          </cell>
          <cell r="D4675" t="str">
            <v>km</v>
          </cell>
          <cell r="H4675">
            <v>526930</v>
          </cell>
          <cell r="I4675">
            <v>3087632.1039473685</v>
          </cell>
        </row>
        <row r="4676">
          <cell r="C4676" t="str">
            <v>Vật liệu</v>
          </cell>
          <cell r="G4676">
            <v>526930</v>
          </cell>
        </row>
        <row r="4677">
          <cell r="B4677">
            <v>30</v>
          </cell>
          <cell r="C4677" t="str">
            <v>+ Dây thép 4 ly</v>
          </cell>
          <cell r="D4677" t="str">
            <v>kg</v>
          </cell>
          <cell r="E4677">
            <v>0.03</v>
          </cell>
          <cell r="F4677">
            <v>1000</v>
          </cell>
          <cell r="G4677">
            <v>30</v>
          </cell>
        </row>
        <row r="4678">
          <cell r="B4678">
            <v>1</v>
          </cell>
          <cell r="C4678" t="str">
            <v>+ Cồn công nghiệp</v>
          </cell>
          <cell r="D4678" t="str">
            <v>kg</v>
          </cell>
          <cell r="E4678">
            <v>0.2</v>
          </cell>
          <cell r="F4678">
            <v>9500</v>
          </cell>
          <cell r="G4678">
            <v>1900</v>
          </cell>
        </row>
        <row r="4679">
          <cell r="B4679">
            <v>49</v>
          </cell>
          <cell r="C4679" t="str">
            <v>+ Tre cây 8 - 10 cm L = 6 - 8 m (Kể cả phên tre)</v>
          </cell>
          <cell r="D4679" t="str">
            <v>cây</v>
          </cell>
          <cell r="E4679">
            <v>15</v>
          </cell>
          <cell r="F4679">
            <v>35000</v>
          </cell>
          <cell r="G4679">
            <v>525000</v>
          </cell>
        </row>
        <row r="4680">
          <cell r="C4680" t="str">
            <v>Nhân công</v>
          </cell>
          <cell r="G4680">
            <v>3087632.1039473685</v>
          </cell>
        </row>
        <row r="4681">
          <cell r="B4681" t="str">
            <v>NC1407</v>
          </cell>
          <cell r="C4681" t="str">
            <v>+ Nhân công bậc 4,0/7</v>
          </cell>
          <cell r="D4681" t="str">
            <v>Công</v>
          </cell>
          <cell r="E4681">
            <v>15.86</v>
          </cell>
          <cell r="F4681">
            <v>194680.46052631579</v>
          </cell>
          <cell r="G4681">
            <v>3087632.1039473685</v>
          </cell>
        </row>
        <row r="4682">
          <cell r="A4682" t="str">
            <v>D3.6144</v>
          </cell>
          <cell r="C4682" t="str">
            <v>Rải căng dây lấy độ võng bằng thủ công, dây đồng (M), Tiết diện dây 50mm2</v>
          </cell>
          <cell r="D4682" t="str">
            <v>km</v>
          </cell>
          <cell r="H4682">
            <v>527405</v>
          </cell>
          <cell r="I4682">
            <v>4033779.1421052627</v>
          </cell>
        </row>
        <row r="4683">
          <cell r="C4683" t="str">
            <v>Vật liệu</v>
          </cell>
          <cell r="G4683">
            <v>527405</v>
          </cell>
        </row>
        <row r="4684">
          <cell r="B4684">
            <v>30</v>
          </cell>
          <cell r="C4684" t="str">
            <v>+ Dây thép 4 ly</v>
          </cell>
          <cell r="D4684" t="str">
            <v>kg</v>
          </cell>
          <cell r="E4684">
            <v>0.03</v>
          </cell>
          <cell r="F4684">
            <v>1000</v>
          </cell>
          <cell r="G4684">
            <v>30</v>
          </cell>
        </row>
        <row r="4685">
          <cell r="B4685">
            <v>1</v>
          </cell>
          <cell r="C4685" t="str">
            <v>+ Cồn công nghiệp</v>
          </cell>
          <cell r="D4685" t="str">
            <v>kg</v>
          </cell>
          <cell r="E4685">
            <v>0.25</v>
          </cell>
          <cell r="F4685">
            <v>9500</v>
          </cell>
          <cell r="G4685">
            <v>2375</v>
          </cell>
        </row>
        <row r="4686">
          <cell r="B4686">
            <v>49</v>
          </cell>
          <cell r="C4686" t="str">
            <v>+ Tre cây 8 - 10 cm L = 6 - 8 m (Kể cả phên tre)</v>
          </cell>
          <cell r="D4686" t="str">
            <v>cây</v>
          </cell>
          <cell r="E4686">
            <v>15</v>
          </cell>
          <cell r="F4686">
            <v>35000</v>
          </cell>
          <cell r="G4686">
            <v>525000</v>
          </cell>
        </row>
        <row r="4687">
          <cell r="C4687" t="str">
            <v>Nhân công</v>
          </cell>
          <cell r="G4687">
            <v>4033779.1421052627</v>
          </cell>
        </row>
        <row r="4688">
          <cell r="B4688" t="str">
            <v>NC1407</v>
          </cell>
          <cell r="C4688" t="str">
            <v>+ Nhân công bậc 4,0/7</v>
          </cell>
          <cell r="D4688" t="str">
            <v>Công</v>
          </cell>
          <cell r="E4688">
            <v>20.72</v>
          </cell>
          <cell r="F4688">
            <v>194680.46052631579</v>
          </cell>
          <cell r="G4688">
            <v>4033779.1421052627</v>
          </cell>
        </row>
        <row r="4689">
          <cell r="A4689" t="str">
            <v>D3.6145</v>
          </cell>
          <cell r="C4689" t="str">
            <v>Rải căng dây lấy độ võng bằng thủ công, dây đồng (M), Tiết diện dây 70mm2</v>
          </cell>
          <cell r="D4689" t="str">
            <v>km</v>
          </cell>
          <cell r="H4689">
            <v>527405</v>
          </cell>
          <cell r="I4689">
            <v>5433531.6532894736</v>
          </cell>
        </row>
        <row r="4690">
          <cell r="C4690" t="str">
            <v>Vật liệu</v>
          </cell>
          <cell r="G4690">
            <v>527405</v>
          </cell>
        </row>
        <row r="4691">
          <cell r="B4691">
            <v>30</v>
          </cell>
          <cell r="C4691" t="str">
            <v>+ Dây thép 4 ly</v>
          </cell>
          <cell r="D4691" t="str">
            <v>kg</v>
          </cell>
          <cell r="E4691">
            <v>0.03</v>
          </cell>
          <cell r="F4691">
            <v>1000</v>
          </cell>
          <cell r="G4691">
            <v>30</v>
          </cell>
        </row>
        <row r="4692">
          <cell r="B4692">
            <v>1</v>
          </cell>
          <cell r="C4692" t="str">
            <v>+ Cồn công nghiệp</v>
          </cell>
          <cell r="D4692" t="str">
            <v>kg</v>
          </cell>
          <cell r="E4692">
            <v>0.25</v>
          </cell>
          <cell r="F4692">
            <v>9500</v>
          </cell>
          <cell r="G4692">
            <v>2375</v>
          </cell>
        </row>
        <row r="4693">
          <cell r="B4693">
            <v>49</v>
          </cell>
          <cell r="C4693" t="str">
            <v>+ Tre cây 8 - 10 cm L = 6 - 8 m (Kể cả phên tre)</v>
          </cell>
          <cell r="D4693" t="str">
            <v>cây</v>
          </cell>
          <cell r="E4693">
            <v>15</v>
          </cell>
          <cell r="F4693">
            <v>35000</v>
          </cell>
          <cell r="G4693">
            <v>525000</v>
          </cell>
        </row>
        <row r="4694">
          <cell r="C4694" t="str">
            <v>Nhân công</v>
          </cell>
          <cell r="G4694">
            <v>5433531.6532894736</v>
          </cell>
        </row>
        <row r="4695">
          <cell r="B4695" t="str">
            <v>NC1407</v>
          </cell>
          <cell r="C4695" t="str">
            <v>+ Nhân công bậc 4,0/7</v>
          </cell>
          <cell r="D4695" t="str">
            <v>Công</v>
          </cell>
          <cell r="E4695">
            <v>27.91</v>
          </cell>
          <cell r="F4695">
            <v>194680.46052631579</v>
          </cell>
          <cell r="G4695">
            <v>5433531.6532894736</v>
          </cell>
        </row>
        <row r="4696">
          <cell r="A4696" t="str">
            <v>D3.6146</v>
          </cell>
          <cell r="C4696" t="str">
            <v>Rải căng dây lấy độ võng bằng thủ công, dây đồng (M), Tiết diện dây 95mm2</v>
          </cell>
          <cell r="D4696" t="str">
            <v>km</v>
          </cell>
          <cell r="H4696">
            <v>527405</v>
          </cell>
          <cell r="I4696">
            <v>7405644.7184210522</v>
          </cell>
        </row>
        <row r="4697">
          <cell r="C4697" t="str">
            <v>Vật liệu</v>
          </cell>
          <cell r="G4697">
            <v>527405</v>
          </cell>
        </row>
        <row r="4698">
          <cell r="B4698">
            <v>30</v>
          </cell>
          <cell r="C4698" t="str">
            <v>+ Dây thép 4 ly</v>
          </cell>
          <cell r="D4698" t="str">
            <v>kg</v>
          </cell>
          <cell r="E4698">
            <v>0.03</v>
          </cell>
          <cell r="F4698">
            <v>1000</v>
          </cell>
          <cell r="G4698">
            <v>30</v>
          </cell>
        </row>
        <row r="4699">
          <cell r="B4699">
            <v>1</v>
          </cell>
          <cell r="C4699" t="str">
            <v>+ Cồn công nghiệp</v>
          </cell>
          <cell r="D4699" t="str">
            <v>kg</v>
          </cell>
          <cell r="E4699">
            <v>0.25</v>
          </cell>
          <cell r="F4699">
            <v>9500</v>
          </cell>
          <cell r="G4699">
            <v>2375</v>
          </cell>
        </row>
        <row r="4700">
          <cell r="B4700">
            <v>49</v>
          </cell>
          <cell r="C4700" t="str">
            <v>+ Tre cây 8 - 10 cm L = 6 - 8 m (Kể cả phên tre)</v>
          </cell>
          <cell r="D4700" t="str">
            <v>cây</v>
          </cell>
          <cell r="E4700">
            <v>15</v>
          </cell>
          <cell r="F4700">
            <v>35000</v>
          </cell>
          <cell r="G4700">
            <v>525000</v>
          </cell>
        </row>
        <row r="4701">
          <cell r="C4701" t="str">
            <v>Nhân công</v>
          </cell>
          <cell r="G4701">
            <v>7405644.7184210522</v>
          </cell>
        </row>
        <row r="4702">
          <cell r="B4702" t="str">
            <v>NC1407</v>
          </cell>
          <cell r="C4702" t="str">
            <v>+ Nhân công bậc 4,0/7</v>
          </cell>
          <cell r="D4702" t="str">
            <v>Công</v>
          </cell>
          <cell r="E4702">
            <v>38.04</v>
          </cell>
          <cell r="F4702">
            <v>194680.46052631579</v>
          </cell>
          <cell r="G4702">
            <v>7405644.7184210522</v>
          </cell>
        </row>
        <row r="4703">
          <cell r="A4703" t="str">
            <v>D3.6171</v>
          </cell>
          <cell r="C4703" t="str">
            <v>Rải căng dây lấy độ võng bằng thủ công, dây đồng (M), Tiết diện dây 120mm2</v>
          </cell>
          <cell r="D4703" t="str">
            <v>km</v>
          </cell>
          <cell r="H4703">
            <v>738720</v>
          </cell>
          <cell r="I4703">
            <v>8981960.6084868424</v>
          </cell>
        </row>
        <row r="4704">
          <cell r="C4704" t="str">
            <v>Vật liệu</v>
          </cell>
          <cell r="G4704">
            <v>738720</v>
          </cell>
        </row>
        <row r="4705">
          <cell r="B4705">
            <v>30</v>
          </cell>
          <cell r="C4705" t="str">
            <v>+ Cồn công nghiệp</v>
          </cell>
          <cell r="D4705" t="str">
            <v>kg</v>
          </cell>
          <cell r="E4705">
            <v>0.3</v>
          </cell>
          <cell r="F4705">
            <v>1000</v>
          </cell>
          <cell r="G4705">
            <v>300</v>
          </cell>
        </row>
        <row r="4706">
          <cell r="B4706">
            <v>1</v>
          </cell>
          <cell r="C4706" t="str">
            <v>+ Dây thép 4 ly</v>
          </cell>
          <cell r="D4706" t="str">
            <v>kg</v>
          </cell>
          <cell r="E4706">
            <v>0.36</v>
          </cell>
          <cell r="F4706">
            <v>9500</v>
          </cell>
          <cell r="G4706">
            <v>3420</v>
          </cell>
        </row>
        <row r="4707">
          <cell r="B4707">
            <v>49</v>
          </cell>
          <cell r="C4707" t="str">
            <v>+ Tre cây 8 - 10 cm L = 6 - 8 m (Kể cả phên tre)</v>
          </cell>
          <cell r="D4707" t="str">
            <v>cây</v>
          </cell>
          <cell r="E4707">
            <v>21</v>
          </cell>
          <cell r="F4707">
            <v>35000</v>
          </cell>
          <cell r="G4707">
            <v>735000</v>
          </cell>
        </row>
        <row r="4708">
          <cell r="C4708" t="str">
            <v>Nhân công</v>
          </cell>
          <cell r="G4708">
            <v>8981960.6084868424</v>
          </cell>
        </row>
        <row r="4709">
          <cell r="B4709" t="str">
            <v>NC1457</v>
          </cell>
          <cell r="C4709" t="str">
            <v>+ Nhân công bậc 4,5/7</v>
          </cell>
          <cell r="D4709" t="str">
            <v>Công</v>
          </cell>
          <cell r="E4709">
            <v>42.41</v>
          </cell>
          <cell r="F4709">
            <v>211788.74342105264</v>
          </cell>
          <cell r="G4709">
            <v>8981960.6084868424</v>
          </cell>
        </row>
        <row r="4710">
          <cell r="A4710" t="str">
            <v>D3.6172</v>
          </cell>
          <cell r="C4710" t="str">
            <v>Rải căng dây lấy độ võng bằng thủ công, dây đồng (M), Tiết diện dây 150mm2</v>
          </cell>
          <cell r="D4710" t="str">
            <v>km</v>
          </cell>
          <cell r="H4710">
            <v>738720</v>
          </cell>
          <cell r="I4710">
            <v>10941006.485131579</v>
          </cell>
        </row>
        <row r="4711">
          <cell r="C4711" t="str">
            <v>Vật liệu</v>
          </cell>
          <cell r="G4711">
            <v>738720</v>
          </cell>
        </row>
        <row r="4712">
          <cell r="B4712">
            <v>30</v>
          </cell>
          <cell r="C4712" t="str">
            <v>+ Cồn công nghiệp</v>
          </cell>
          <cell r="D4712" t="str">
            <v>kg</v>
          </cell>
          <cell r="E4712">
            <v>0.3</v>
          </cell>
          <cell r="F4712">
            <v>1000</v>
          </cell>
          <cell r="G4712">
            <v>300</v>
          </cell>
        </row>
        <row r="4713">
          <cell r="B4713">
            <v>1</v>
          </cell>
          <cell r="C4713" t="str">
            <v>+ Dây thép 4 ly</v>
          </cell>
          <cell r="D4713" t="str">
            <v>kg</v>
          </cell>
          <cell r="E4713">
            <v>0.36</v>
          </cell>
          <cell r="F4713">
            <v>9500</v>
          </cell>
          <cell r="G4713">
            <v>3420</v>
          </cell>
        </row>
        <row r="4714">
          <cell r="B4714">
            <v>49</v>
          </cell>
          <cell r="C4714" t="str">
            <v>+ Tre cây 8 - 10 cm L = 6 - 8 m (Kể cả phên tre)</v>
          </cell>
          <cell r="D4714" t="str">
            <v>cây</v>
          </cell>
          <cell r="E4714">
            <v>21</v>
          </cell>
          <cell r="F4714">
            <v>35000</v>
          </cell>
          <cell r="G4714">
            <v>735000</v>
          </cell>
        </row>
        <row r="4715">
          <cell r="C4715" t="str">
            <v>Nhân công</v>
          </cell>
          <cell r="G4715">
            <v>10941006.485131579</v>
          </cell>
        </row>
        <row r="4716">
          <cell r="B4716" t="str">
            <v>NC1457</v>
          </cell>
          <cell r="C4716" t="str">
            <v>+ Nhân công bậc 4,5/7</v>
          </cell>
          <cell r="D4716" t="str">
            <v>Công</v>
          </cell>
          <cell r="E4716">
            <v>51.66</v>
          </cell>
          <cell r="F4716">
            <v>211788.74342105264</v>
          </cell>
          <cell r="G4716">
            <v>10941006.485131579</v>
          </cell>
        </row>
        <row r="4717">
          <cell r="A4717" t="str">
            <v>D3.6173</v>
          </cell>
          <cell r="C4717" t="str">
            <v>Rải căng dây lấy độ võng bằng thủ công, dây đồng (M), Tiết diện dây 185mm2</v>
          </cell>
          <cell r="D4717" t="str">
            <v>km</v>
          </cell>
          <cell r="H4717">
            <v>738720</v>
          </cell>
          <cell r="I4717">
            <v>12914877.573815789</v>
          </cell>
        </row>
        <row r="4718">
          <cell r="C4718" t="str">
            <v>Vật liệu</v>
          </cell>
          <cell r="G4718">
            <v>738720</v>
          </cell>
        </row>
        <row r="4719">
          <cell r="B4719">
            <v>30</v>
          </cell>
          <cell r="C4719" t="str">
            <v>+ Cồn công nghiệp</v>
          </cell>
          <cell r="D4719" t="str">
            <v>kg</v>
          </cell>
          <cell r="E4719">
            <v>0.3</v>
          </cell>
          <cell r="F4719">
            <v>1000</v>
          </cell>
          <cell r="G4719">
            <v>300</v>
          </cell>
        </row>
        <row r="4720">
          <cell r="B4720">
            <v>1</v>
          </cell>
          <cell r="C4720" t="str">
            <v>+ Dây thép 4 ly</v>
          </cell>
          <cell r="D4720" t="str">
            <v>kg</v>
          </cell>
          <cell r="E4720">
            <v>0.36</v>
          </cell>
          <cell r="F4720">
            <v>9500</v>
          </cell>
          <cell r="G4720">
            <v>3420</v>
          </cell>
        </row>
        <row r="4721">
          <cell r="B4721">
            <v>49</v>
          </cell>
          <cell r="C4721" t="str">
            <v>+ Tre cây 8 - 10 cm L = 6 - 8 m (Kể cả phên tre)</v>
          </cell>
          <cell r="D4721" t="str">
            <v>cây</v>
          </cell>
          <cell r="E4721">
            <v>21</v>
          </cell>
          <cell r="F4721">
            <v>35000</v>
          </cell>
          <cell r="G4721">
            <v>735000</v>
          </cell>
        </row>
        <row r="4722">
          <cell r="C4722" t="str">
            <v>Nhân công</v>
          </cell>
          <cell r="G4722">
            <v>12914877.573815789</v>
          </cell>
        </row>
        <row r="4723">
          <cell r="B4723" t="str">
            <v>NC1457</v>
          </cell>
          <cell r="C4723" t="str">
            <v>+ Nhân công bậc 4,5/7</v>
          </cell>
          <cell r="D4723" t="str">
            <v>Công</v>
          </cell>
          <cell r="E4723">
            <v>60.98</v>
          </cell>
          <cell r="F4723">
            <v>211788.74342105264</v>
          </cell>
          <cell r="G4723">
            <v>12914877.573815789</v>
          </cell>
        </row>
        <row r="4724">
          <cell r="A4724" t="str">
            <v>D3.6174</v>
          </cell>
          <cell r="C4724" t="str">
            <v>Rải căng dây lấy độ võng bằng thủ công, dây đồng (M), Tiết diện dây 240mm2</v>
          </cell>
          <cell r="D4724" t="str">
            <v>km</v>
          </cell>
          <cell r="H4724">
            <v>738720</v>
          </cell>
          <cell r="I4724">
            <v>14204671.021249998</v>
          </cell>
        </row>
        <row r="4725">
          <cell r="C4725" t="str">
            <v>Vật liệu</v>
          </cell>
          <cell r="G4725">
            <v>738720</v>
          </cell>
        </row>
        <row r="4726">
          <cell r="B4726">
            <v>30</v>
          </cell>
          <cell r="C4726" t="str">
            <v>+ Cồn công nghiệp</v>
          </cell>
          <cell r="D4726" t="str">
            <v>kg</v>
          </cell>
          <cell r="E4726">
            <v>0.3</v>
          </cell>
          <cell r="F4726">
            <v>1000</v>
          </cell>
          <cell r="G4726">
            <v>300</v>
          </cell>
        </row>
        <row r="4727">
          <cell r="B4727">
            <v>1</v>
          </cell>
          <cell r="C4727" t="str">
            <v>+ Dây thép 4 ly</v>
          </cell>
          <cell r="D4727" t="str">
            <v>kg</v>
          </cell>
          <cell r="E4727">
            <v>0.36</v>
          </cell>
          <cell r="F4727">
            <v>9500</v>
          </cell>
          <cell r="G4727">
            <v>3420</v>
          </cell>
        </row>
        <row r="4728">
          <cell r="B4728">
            <v>49</v>
          </cell>
          <cell r="C4728" t="str">
            <v>+ Tre cây 8 - 10 cm L = 6 - 8 m (Kể cả phên tre)</v>
          </cell>
          <cell r="D4728" t="str">
            <v>cây</v>
          </cell>
          <cell r="E4728">
            <v>21</v>
          </cell>
          <cell r="F4728">
            <v>35000</v>
          </cell>
          <cell r="G4728">
            <v>735000</v>
          </cell>
        </row>
        <row r="4729">
          <cell r="C4729" t="str">
            <v>Nhân công</v>
          </cell>
          <cell r="G4729">
            <v>14204671.021249998</v>
          </cell>
        </row>
        <row r="4730">
          <cell r="B4730" t="str">
            <v>NC1457</v>
          </cell>
          <cell r="C4730" t="str">
            <v>+ Nhân công bậc 4,5/7</v>
          </cell>
          <cell r="D4730" t="str">
            <v>Công</v>
          </cell>
          <cell r="E4730">
            <v>67.069999999999993</v>
          </cell>
          <cell r="F4730">
            <v>211788.74342105264</v>
          </cell>
          <cell r="G4730">
            <v>14204671.021249998</v>
          </cell>
        </row>
        <row r="4731">
          <cell r="A4731" t="str">
            <v>D3.6301</v>
          </cell>
          <cell r="C4731" t="str">
            <v>Lắp đặt cáp vặn xoắn,  Loại cáp =&lt; 4 x 16 mm2</v>
          </cell>
          <cell r="D4731" t="str">
            <v>km</v>
          </cell>
          <cell r="H4731">
            <v>11652.8</v>
          </cell>
          <cell r="I4731">
            <v>2511377.9407894737</v>
          </cell>
        </row>
        <row r="4732">
          <cell r="C4732" t="str">
            <v>Vật liệu</v>
          </cell>
          <cell r="G4732">
            <v>11652.8</v>
          </cell>
        </row>
        <row r="4733">
          <cell r="B4733">
            <v>9</v>
          </cell>
          <cell r="C4733" t="str">
            <v>+ Giẻ lau</v>
          </cell>
          <cell r="D4733" t="str">
            <v>Kg</v>
          </cell>
          <cell r="E4733">
            <v>0.2</v>
          </cell>
          <cell r="F4733">
            <v>9500</v>
          </cell>
          <cell r="G4733">
            <v>1900</v>
          </cell>
        </row>
        <row r="4734">
          <cell r="B4734">
            <v>25</v>
          </cell>
          <cell r="C4734" t="str">
            <v>+ Băng vải nhựa, ni lông ( băng dính )</v>
          </cell>
          <cell r="D4734" t="str">
            <v>cuộn</v>
          </cell>
          <cell r="E4734">
            <v>0.3</v>
          </cell>
          <cell r="F4734">
            <v>8000</v>
          </cell>
          <cell r="G4734">
            <v>2400</v>
          </cell>
        </row>
        <row r="4735">
          <cell r="B4735">
            <v>3</v>
          </cell>
          <cell r="C4735" t="str">
            <v>+ Xăng</v>
          </cell>
          <cell r="D4735" t="str">
            <v>kg</v>
          </cell>
          <cell r="E4735">
            <v>0.4</v>
          </cell>
          <cell r="F4735">
            <v>18382</v>
          </cell>
          <cell r="G4735">
            <v>7352.8</v>
          </cell>
        </row>
        <row r="4736">
          <cell r="C4736" t="str">
            <v>Nhân công</v>
          </cell>
          <cell r="G4736">
            <v>2511377.9407894737</v>
          </cell>
        </row>
        <row r="4737">
          <cell r="B4737" t="str">
            <v>NC1407</v>
          </cell>
          <cell r="C4737" t="str">
            <v>+ Nhân công bậc 4,0/7</v>
          </cell>
          <cell r="D4737" t="str">
            <v>Công</v>
          </cell>
          <cell r="E4737">
            <v>12.9</v>
          </cell>
          <cell r="F4737">
            <v>194680.46052631579</v>
          </cell>
          <cell r="G4737">
            <v>2511377.9407894737</v>
          </cell>
        </row>
        <row r="4738">
          <cell r="A4738" t="str">
            <v>D3.6302</v>
          </cell>
          <cell r="C4738" t="str">
            <v>Lắp đặt cáp vặn xoắn,  Loại cáp =&lt; 4 x 25 mm2</v>
          </cell>
          <cell r="D4738" t="str">
            <v>km</v>
          </cell>
          <cell r="H4738">
            <v>11652.8</v>
          </cell>
          <cell r="I4738">
            <v>3414695.2776315785</v>
          </cell>
        </row>
        <row r="4739">
          <cell r="C4739" t="str">
            <v>Vật liệu</v>
          </cell>
          <cell r="G4739">
            <v>11652.8</v>
          </cell>
        </row>
        <row r="4740">
          <cell r="B4740">
            <v>9</v>
          </cell>
          <cell r="C4740" t="str">
            <v>+ Giẻ lau</v>
          </cell>
          <cell r="D4740" t="str">
            <v>Kg</v>
          </cell>
          <cell r="E4740">
            <v>0.2</v>
          </cell>
          <cell r="F4740">
            <v>9500</v>
          </cell>
          <cell r="G4740">
            <v>1900</v>
          </cell>
        </row>
        <row r="4741">
          <cell r="B4741">
            <v>25</v>
          </cell>
          <cell r="C4741" t="str">
            <v>+ Băng vải nhựa, ni lông ( băng dính )</v>
          </cell>
          <cell r="D4741" t="str">
            <v>cuộn</v>
          </cell>
          <cell r="E4741">
            <v>0.3</v>
          </cell>
          <cell r="F4741">
            <v>8000</v>
          </cell>
          <cell r="G4741">
            <v>2400</v>
          </cell>
        </row>
        <row r="4742">
          <cell r="B4742">
            <v>3</v>
          </cell>
          <cell r="C4742" t="str">
            <v>+ Xăng</v>
          </cell>
          <cell r="D4742" t="str">
            <v>kg</v>
          </cell>
          <cell r="E4742">
            <v>0.4</v>
          </cell>
          <cell r="F4742">
            <v>18382</v>
          </cell>
          <cell r="G4742">
            <v>7352.8</v>
          </cell>
        </row>
        <row r="4743">
          <cell r="C4743" t="str">
            <v>Nhân công</v>
          </cell>
          <cell r="G4743">
            <v>3414695.2776315785</v>
          </cell>
        </row>
        <row r="4744">
          <cell r="B4744" t="str">
            <v>NC1407</v>
          </cell>
          <cell r="C4744" t="str">
            <v>+ Nhân công bậc 4,0/7</v>
          </cell>
          <cell r="D4744" t="str">
            <v>Công</v>
          </cell>
          <cell r="E4744">
            <v>17.54</v>
          </cell>
          <cell r="F4744">
            <v>194680.46052631579</v>
          </cell>
          <cell r="G4744">
            <v>3414695.2776315785</v>
          </cell>
        </row>
        <row r="4745">
          <cell r="A4745" t="str">
            <v>D3.6303</v>
          </cell>
          <cell r="C4745" t="str">
            <v>Lắp đặt cáp vặn xoắn,  Loại cáp =&lt; 4 x 35 mm2</v>
          </cell>
          <cell r="D4745" t="str">
            <v>km</v>
          </cell>
          <cell r="H4745">
            <v>11652.8</v>
          </cell>
          <cell r="I4745">
            <v>3837151.8769736844</v>
          </cell>
        </row>
        <row r="4746">
          <cell r="C4746" t="str">
            <v>Vật liệu</v>
          </cell>
          <cell r="G4746">
            <v>11652.8</v>
          </cell>
        </row>
        <row r="4747">
          <cell r="B4747">
            <v>9</v>
          </cell>
          <cell r="C4747" t="str">
            <v>+ Giẻ lau</v>
          </cell>
          <cell r="D4747" t="str">
            <v>Kg</v>
          </cell>
          <cell r="E4747">
            <v>0.2</v>
          </cell>
          <cell r="F4747">
            <v>9500</v>
          </cell>
          <cell r="G4747">
            <v>1900</v>
          </cell>
        </row>
        <row r="4748">
          <cell r="B4748">
            <v>25</v>
          </cell>
          <cell r="C4748" t="str">
            <v>+ Băng vải nhựa, ni lông ( băng dính )</v>
          </cell>
          <cell r="D4748" t="str">
            <v>cuộn</v>
          </cell>
          <cell r="E4748">
            <v>0.3</v>
          </cell>
          <cell r="F4748">
            <v>8000</v>
          </cell>
          <cell r="G4748">
            <v>2400</v>
          </cell>
        </row>
        <row r="4749">
          <cell r="B4749">
            <v>3</v>
          </cell>
          <cell r="C4749" t="str">
            <v>+ Xăng</v>
          </cell>
          <cell r="D4749" t="str">
            <v>kg</v>
          </cell>
          <cell r="E4749">
            <v>0.4</v>
          </cell>
          <cell r="F4749">
            <v>18382</v>
          </cell>
          <cell r="G4749">
            <v>7352.8</v>
          </cell>
        </row>
        <row r="4750">
          <cell r="C4750" t="str">
            <v>Nhân công</v>
          </cell>
          <cell r="G4750">
            <v>3837151.8769736844</v>
          </cell>
        </row>
        <row r="4751">
          <cell r="B4751" t="str">
            <v>NC1407</v>
          </cell>
          <cell r="C4751" t="str">
            <v>+ Nhân công bậc 4,0/7</v>
          </cell>
          <cell r="D4751" t="str">
            <v>Công</v>
          </cell>
          <cell r="E4751">
            <v>19.71</v>
          </cell>
          <cell r="F4751">
            <v>194680.46052631579</v>
          </cell>
          <cell r="G4751">
            <v>3837151.8769736844</v>
          </cell>
        </row>
        <row r="4752">
          <cell r="A4752" t="str">
            <v>D3.6304</v>
          </cell>
          <cell r="C4752" t="str">
            <v>Lắp đặt cáp vặn xoắn,  Loại cáp =&lt; 4 x 50mm2</v>
          </cell>
          <cell r="D4752" t="str">
            <v>km</v>
          </cell>
          <cell r="H4752">
            <v>13046.9</v>
          </cell>
          <cell r="I4752">
            <v>4643128.9835526319</v>
          </cell>
        </row>
        <row r="4753">
          <cell r="C4753" t="str">
            <v>Vật liệu</v>
          </cell>
          <cell r="G4753">
            <v>13046.9</v>
          </cell>
        </row>
        <row r="4754">
          <cell r="B4754">
            <v>9</v>
          </cell>
          <cell r="C4754" t="str">
            <v>+ Giẻ lau</v>
          </cell>
          <cell r="D4754" t="str">
            <v>Kg</v>
          </cell>
          <cell r="E4754">
            <v>0.25</v>
          </cell>
          <cell r="F4754">
            <v>9500</v>
          </cell>
          <cell r="G4754">
            <v>2375</v>
          </cell>
        </row>
        <row r="4755">
          <cell r="B4755">
            <v>25</v>
          </cell>
          <cell r="C4755" t="str">
            <v>+ Băng vải nhựa, ni lông ( băng dính )</v>
          </cell>
          <cell r="D4755" t="str">
            <v>cuộn</v>
          </cell>
          <cell r="E4755">
            <v>0.3</v>
          </cell>
          <cell r="F4755">
            <v>8000</v>
          </cell>
          <cell r="G4755">
            <v>2400</v>
          </cell>
        </row>
        <row r="4756">
          <cell r="B4756">
            <v>3</v>
          </cell>
          <cell r="C4756" t="str">
            <v>+ Xăng</v>
          </cell>
          <cell r="D4756" t="str">
            <v>kg</v>
          </cell>
          <cell r="E4756">
            <v>0.45</v>
          </cell>
          <cell r="F4756">
            <v>18382</v>
          </cell>
          <cell r="G4756">
            <v>8271.9</v>
          </cell>
        </row>
        <row r="4757">
          <cell r="C4757" t="str">
            <v>Nhân công</v>
          </cell>
          <cell r="G4757">
            <v>4643128.9835526319</v>
          </cell>
        </row>
        <row r="4758">
          <cell r="B4758" t="str">
            <v>NC1407</v>
          </cell>
          <cell r="C4758" t="str">
            <v>+ Nhân công bậc 4,0/7</v>
          </cell>
          <cell r="D4758" t="str">
            <v>Công</v>
          </cell>
          <cell r="E4758">
            <v>23.85</v>
          </cell>
          <cell r="F4758">
            <v>194680.46052631579</v>
          </cell>
          <cell r="G4758">
            <v>4643128.9835526319</v>
          </cell>
        </row>
        <row r="4759">
          <cell r="A4759" t="str">
            <v>D3.6305</v>
          </cell>
          <cell r="C4759" t="str">
            <v>Lắp đặt cáp vặn xoắn,  Loại cáp =&lt; 4 x 70mm2</v>
          </cell>
          <cell r="D4759" t="str">
            <v>km</v>
          </cell>
          <cell r="H4759">
            <v>13446.9</v>
          </cell>
          <cell r="I4759">
            <v>5480254.9638157887</v>
          </cell>
        </row>
        <row r="4760">
          <cell r="C4760" t="str">
            <v>Vật liệu</v>
          </cell>
          <cell r="G4760">
            <v>13446.9</v>
          </cell>
        </row>
        <row r="4761">
          <cell r="B4761">
            <v>9</v>
          </cell>
          <cell r="C4761" t="str">
            <v>+ Giẻ lau</v>
          </cell>
          <cell r="D4761" t="str">
            <v>Kg</v>
          </cell>
          <cell r="E4761">
            <v>0.25</v>
          </cell>
          <cell r="F4761">
            <v>9500</v>
          </cell>
          <cell r="G4761">
            <v>2375</v>
          </cell>
        </row>
        <row r="4762">
          <cell r="B4762">
            <v>25</v>
          </cell>
          <cell r="C4762" t="str">
            <v>+ Băng vải nhựa, ni lông ( băng dính )</v>
          </cell>
          <cell r="D4762" t="str">
            <v>cuộn</v>
          </cell>
          <cell r="E4762">
            <v>0.35</v>
          </cell>
          <cell r="F4762">
            <v>8000</v>
          </cell>
          <cell r="G4762">
            <v>2800</v>
          </cell>
        </row>
        <row r="4763">
          <cell r="B4763">
            <v>3</v>
          </cell>
          <cell r="C4763" t="str">
            <v>+ Xăng</v>
          </cell>
          <cell r="D4763" t="str">
            <v>kg</v>
          </cell>
          <cell r="E4763">
            <v>0.45</v>
          </cell>
          <cell r="F4763">
            <v>18382</v>
          </cell>
          <cell r="G4763">
            <v>8271.9</v>
          </cell>
        </row>
        <row r="4764">
          <cell r="C4764" t="str">
            <v>Nhân công</v>
          </cell>
          <cell r="G4764">
            <v>5480254.9638157887</v>
          </cell>
        </row>
        <row r="4765">
          <cell r="B4765" t="str">
            <v>NC1407</v>
          </cell>
          <cell r="C4765" t="str">
            <v>+ Nhân công bậc 4,0/7</v>
          </cell>
          <cell r="D4765" t="str">
            <v>Công</v>
          </cell>
          <cell r="E4765">
            <v>28.15</v>
          </cell>
          <cell r="F4765">
            <v>194680.46052631579</v>
          </cell>
          <cell r="G4765">
            <v>5480254.9638157887</v>
          </cell>
        </row>
        <row r="4766">
          <cell r="A4766" t="str">
            <v>D3.6306</v>
          </cell>
          <cell r="C4766" t="str">
            <v>Lắp đặt cáp vặn xoắn,  Loại cáp =&lt; 4 x 95mm2</v>
          </cell>
          <cell r="D4766" t="str">
            <v>km</v>
          </cell>
          <cell r="H4766">
            <v>14841</v>
          </cell>
          <cell r="I4766">
            <v>7600325.1789473677</v>
          </cell>
        </row>
        <row r="4767">
          <cell r="C4767" t="str">
            <v>Vật liệu</v>
          </cell>
          <cell r="G4767">
            <v>14841</v>
          </cell>
        </row>
        <row r="4768">
          <cell r="B4768">
            <v>9</v>
          </cell>
          <cell r="C4768" t="str">
            <v>+ Giẻ lau</v>
          </cell>
          <cell r="D4768" t="str">
            <v>Kg</v>
          </cell>
          <cell r="E4768">
            <v>0.3</v>
          </cell>
          <cell r="F4768">
            <v>9500</v>
          </cell>
          <cell r="G4768">
            <v>2850</v>
          </cell>
        </row>
        <row r="4769">
          <cell r="B4769">
            <v>25</v>
          </cell>
          <cell r="C4769" t="str">
            <v>+ Băng vải nhựa, ni lông ( băng dính )</v>
          </cell>
          <cell r="D4769" t="str">
            <v>cuộn</v>
          </cell>
          <cell r="E4769">
            <v>0.35</v>
          </cell>
          <cell r="F4769">
            <v>8000</v>
          </cell>
          <cell r="G4769">
            <v>2800</v>
          </cell>
        </row>
        <row r="4770">
          <cell r="B4770">
            <v>3</v>
          </cell>
          <cell r="C4770" t="str">
            <v>+ Xăng</v>
          </cell>
          <cell r="D4770" t="str">
            <v>kg</v>
          </cell>
          <cell r="E4770">
            <v>0.5</v>
          </cell>
          <cell r="F4770">
            <v>18382</v>
          </cell>
          <cell r="G4770">
            <v>9191</v>
          </cell>
        </row>
        <row r="4771">
          <cell r="C4771" t="str">
            <v>Nhân công</v>
          </cell>
          <cell r="G4771">
            <v>7600325.1789473677</v>
          </cell>
        </row>
        <row r="4772">
          <cell r="B4772" t="str">
            <v>NC1407</v>
          </cell>
          <cell r="C4772" t="str">
            <v>+ Nhân công bậc 4,0/7</v>
          </cell>
          <cell r="D4772" t="str">
            <v>Công</v>
          </cell>
          <cell r="E4772">
            <v>39.04</v>
          </cell>
          <cell r="F4772">
            <v>194680.46052631579</v>
          </cell>
          <cell r="G4772">
            <v>7600325.1789473677</v>
          </cell>
        </row>
        <row r="4773">
          <cell r="A4773" t="str">
            <v>D3.6307</v>
          </cell>
          <cell r="C4773" t="str">
            <v>Lắp đặt cáp vặn xoắn,  Loại cáp =&lt; 4 x 120mm2</v>
          </cell>
          <cell r="D4773" t="str">
            <v>km</v>
          </cell>
          <cell r="H4773">
            <v>14841</v>
          </cell>
          <cell r="I4773">
            <v>10033830.935526315</v>
          </cell>
        </row>
        <row r="4774">
          <cell r="C4774" t="str">
            <v>Vật liệu</v>
          </cell>
          <cell r="G4774">
            <v>14841</v>
          </cell>
        </row>
        <row r="4775">
          <cell r="B4775">
            <v>9</v>
          </cell>
          <cell r="C4775" t="str">
            <v>+ Giẻ lau</v>
          </cell>
          <cell r="D4775" t="str">
            <v>Kg</v>
          </cell>
          <cell r="E4775">
            <v>0.3</v>
          </cell>
          <cell r="F4775">
            <v>9500</v>
          </cell>
          <cell r="G4775">
            <v>2850</v>
          </cell>
        </row>
        <row r="4776">
          <cell r="B4776">
            <v>25</v>
          </cell>
          <cell r="C4776" t="str">
            <v>+ Băng vải nhựa, ni lông ( băng dính )</v>
          </cell>
          <cell r="D4776" t="str">
            <v>cuộn</v>
          </cell>
          <cell r="E4776">
            <v>0.35</v>
          </cell>
          <cell r="F4776">
            <v>8000</v>
          </cell>
          <cell r="G4776">
            <v>2800</v>
          </cell>
        </row>
        <row r="4777">
          <cell r="B4777">
            <v>3</v>
          </cell>
          <cell r="C4777" t="str">
            <v>+ Xăng</v>
          </cell>
          <cell r="D4777" t="str">
            <v>kg</v>
          </cell>
          <cell r="E4777">
            <v>0.5</v>
          </cell>
          <cell r="F4777">
            <v>18382</v>
          </cell>
          <cell r="G4777">
            <v>9191</v>
          </cell>
        </row>
        <row r="4778">
          <cell r="C4778" t="str">
            <v>Nhân công</v>
          </cell>
          <cell r="G4778">
            <v>10033830.935526315</v>
          </cell>
        </row>
        <row r="4779">
          <cell r="B4779" t="str">
            <v>NC1407</v>
          </cell>
          <cell r="C4779" t="str">
            <v>+ Nhân công bậc 4,0/7</v>
          </cell>
          <cell r="D4779" t="str">
            <v>Công</v>
          </cell>
          <cell r="E4779">
            <v>51.54</v>
          </cell>
          <cell r="F4779">
            <v>194680.46052631579</v>
          </cell>
          <cell r="G4779">
            <v>10033830.935526315</v>
          </cell>
        </row>
        <row r="4780">
          <cell r="A4780" t="str">
            <v>D3.6308</v>
          </cell>
          <cell r="C4780" t="str">
            <v>Lắp đặt cáp vặn xoắn,  Loại cáp &gt; 4 x 150mm2</v>
          </cell>
          <cell r="D4780" t="str">
            <v>km</v>
          </cell>
          <cell r="H4780">
            <v>14841</v>
          </cell>
          <cell r="I4780">
            <v>12040986.483552631</v>
          </cell>
        </row>
        <row r="4781">
          <cell r="C4781" t="str">
            <v>Vật liệu</v>
          </cell>
          <cell r="G4781">
            <v>14841</v>
          </cell>
        </row>
        <row r="4782">
          <cell r="B4782">
            <v>9</v>
          </cell>
          <cell r="C4782" t="str">
            <v>+ Giẻ lau</v>
          </cell>
          <cell r="D4782" t="str">
            <v>Kg</v>
          </cell>
          <cell r="E4782">
            <v>0.3</v>
          </cell>
          <cell r="F4782">
            <v>9500</v>
          </cell>
          <cell r="G4782">
            <v>2850</v>
          </cell>
        </row>
        <row r="4783">
          <cell r="B4783">
            <v>25</v>
          </cell>
          <cell r="C4783" t="str">
            <v>+ Băng vải nhựa, ni lông ( băng dính )</v>
          </cell>
          <cell r="D4783" t="str">
            <v>cuộn</v>
          </cell>
          <cell r="E4783">
            <v>0.35</v>
          </cell>
          <cell r="F4783">
            <v>8000</v>
          </cell>
          <cell r="G4783">
            <v>2800</v>
          </cell>
        </row>
        <row r="4784">
          <cell r="B4784">
            <v>3</v>
          </cell>
          <cell r="C4784" t="str">
            <v>+ Xăng</v>
          </cell>
          <cell r="D4784" t="str">
            <v>kg</v>
          </cell>
          <cell r="E4784">
            <v>0.5</v>
          </cell>
          <cell r="F4784">
            <v>18382</v>
          </cell>
          <cell r="G4784">
            <v>9191</v>
          </cell>
        </row>
        <row r="4785">
          <cell r="C4785" t="str">
            <v>Nhân công</v>
          </cell>
          <cell r="G4785">
            <v>12040986.483552631</v>
          </cell>
        </row>
        <row r="4786">
          <cell r="B4786" t="str">
            <v>NC1407</v>
          </cell>
          <cell r="C4786" t="str">
            <v>+ Nhân công bậc 4,0/7</v>
          </cell>
          <cell r="D4786" t="str">
            <v>Công</v>
          </cell>
          <cell r="E4786">
            <v>61.85</v>
          </cell>
          <cell r="F4786">
            <v>194680.46052631579</v>
          </cell>
          <cell r="G4786">
            <v>12040986.483552631</v>
          </cell>
        </row>
        <row r="4787">
          <cell r="A4787" t="str">
            <v>D3.7101</v>
          </cell>
          <cell r="C4787" t="str">
            <v>Kéo rải và căng dây cáp quang kết hợp dây chống sét, Chiều cao lắp đặt  =&lt; 70m</v>
          </cell>
          <cell r="D4787" t="str">
            <v>km</v>
          </cell>
          <cell r="H4787">
            <v>33580</v>
          </cell>
          <cell r="I4787">
            <v>2829497.6121052629</v>
          </cell>
          <cell r="J4787">
            <v>79488.898720000012</v>
          </cell>
        </row>
        <row r="4788">
          <cell r="C4788" t="str">
            <v>Vật liệu</v>
          </cell>
        </row>
        <row r="4789">
          <cell r="C4789" t="str">
            <v>Vật liệu</v>
          </cell>
          <cell r="G4789">
            <v>33580</v>
          </cell>
        </row>
        <row r="4790">
          <cell r="B4790">
            <v>1</v>
          </cell>
          <cell r="C4790" t="str">
            <v>+ Cồn công nghiệp</v>
          </cell>
          <cell r="D4790" t="str">
            <v>kg</v>
          </cell>
          <cell r="E4790">
            <v>0.22</v>
          </cell>
          <cell r="F4790">
            <v>9500</v>
          </cell>
          <cell r="G4790">
            <v>2090</v>
          </cell>
        </row>
        <row r="4791">
          <cell r="B4791">
            <v>49</v>
          </cell>
          <cell r="C4791" t="str">
            <v>+ Tre cây 8 - 10 cm L = 6 - 8 m (Kể cả phên tre)</v>
          </cell>
          <cell r="D4791" t="str">
            <v>cây</v>
          </cell>
          <cell r="E4791">
            <v>0.18</v>
          </cell>
          <cell r="F4791">
            <v>35000</v>
          </cell>
          <cell r="G4791">
            <v>6300</v>
          </cell>
        </row>
        <row r="4792">
          <cell r="B4792">
            <v>32</v>
          </cell>
          <cell r="C4792" t="str">
            <v>+ Cáp thép d =10</v>
          </cell>
          <cell r="D4792" t="str">
            <v>kg</v>
          </cell>
          <cell r="E4792">
            <v>1.47</v>
          </cell>
          <cell r="F4792">
            <v>17000</v>
          </cell>
          <cell r="G4792">
            <v>24990</v>
          </cell>
        </row>
        <row r="4793">
          <cell r="B4793">
            <v>80</v>
          </cell>
          <cell r="C4793" t="str">
            <v>+ Puly nhôm</v>
          </cell>
          <cell r="D4793" t="str">
            <v>cái</v>
          </cell>
          <cell r="E4793">
            <v>0.02</v>
          </cell>
          <cell r="F4793">
            <v>10000</v>
          </cell>
          <cell r="G4793">
            <v>200</v>
          </cell>
        </row>
        <row r="4794">
          <cell r="C4794" t="str">
            <v>Nhân công</v>
          </cell>
          <cell r="G4794">
            <v>2829497.6121052629</v>
          </cell>
        </row>
        <row r="4795">
          <cell r="B4795" t="str">
            <v>NC1457</v>
          </cell>
          <cell r="C4795" t="str">
            <v>+ Nhân công bậc 4,5/7</v>
          </cell>
          <cell r="D4795" t="str">
            <v>Công</v>
          </cell>
          <cell r="E4795">
            <v>13.36</v>
          </cell>
          <cell r="F4795">
            <v>211788.74342105264</v>
          </cell>
          <cell r="G4795">
            <v>2829497.6121052629</v>
          </cell>
        </row>
        <row r="4796">
          <cell r="C4796" t="str">
            <v>Máy thi công</v>
          </cell>
          <cell r="G4796">
            <v>79488.898720000012</v>
          </cell>
        </row>
        <row r="4797">
          <cell r="B4797">
            <v>7048</v>
          </cell>
          <cell r="C4797" t="str">
            <v>+ Máy rải dây</v>
          </cell>
          <cell r="D4797" t="str">
            <v>Ca</v>
          </cell>
          <cell r="E4797">
            <v>0.11</v>
          </cell>
          <cell r="F4797">
            <v>722626.35200000007</v>
          </cell>
          <cell r="G4797">
            <v>79488.898720000012</v>
          </cell>
        </row>
        <row r="4798">
          <cell r="B4798">
            <v>7054</v>
          </cell>
          <cell r="C4798" t="str">
            <v>+ Tời điện, sức kéo 5,0 T</v>
          </cell>
          <cell r="D4798" t="str">
            <v>Ca</v>
          </cell>
          <cell r="E4798">
            <v>0.15</v>
          </cell>
          <cell r="G4798">
            <v>0</v>
          </cell>
        </row>
        <row r="4799">
          <cell r="A4799" t="str">
            <v>D3.7102</v>
          </cell>
          <cell r="C4799" t="str">
            <v>Kéo rải và căng dây cáp quang kết hợp dây chống sét, Chiều cao lắp đặt  &gt; 70m</v>
          </cell>
          <cell r="D4799" t="str">
            <v>km</v>
          </cell>
          <cell r="H4799">
            <v>45900</v>
          </cell>
          <cell r="I4799">
            <v>3839729.9182236842</v>
          </cell>
          <cell r="J4799">
            <v>108393.95280000001</v>
          </cell>
        </row>
        <row r="4800">
          <cell r="C4800" t="str">
            <v>Vật liệu</v>
          </cell>
          <cell r="G4800">
            <v>45900</v>
          </cell>
        </row>
        <row r="4801">
          <cell r="B4801">
            <v>1</v>
          </cell>
          <cell r="C4801" t="str">
            <v>+ Cồn công nghiệp</v>
          </cell>
          <cell r="D4801" t="str">
            <v>kg</v>
          </cell>
          <cell r="E4801">
            <v>0.3</v>
          </cell>
          <cell r="F4801">
            <v>9500</v>
          </cell>
          <cell r="G4801">
            <v>2850</v>
          </cell>
        </row>
        <row r="4802">
          <cell r="B4802">
            <v>49</v>
          </cell>
          <cell r="C4802" t="str">
            <v>+ Tre cây 8 - 10 cm L = 6 - 8 m (Kể cả phên tre)</v>
          </cell>
          <cell r="D4802" t="str">
            <v>cây</v>
          </cell>
          <cell r="E4802">
            <v>0.25</v>
          </cell>
          <cell r="F4802">
            <v>35000</v>
          </cell>
          <cell r="G4802">
            <v>8750</v>
          </cell>
        </row>
        <row r="4803">
          <cell r="B4803">
            <v>32</v>
          </cell>
          <cell r="C4803" t="str">
            <v>+ Cáp thép d =10</v>
          </cell>
          <cell r="D4803" t="str">
            <v>kg</v>
          </cell>
          <cell r="E4803">
            <v>2</v>
          </cell>
          <cell r="F4803">
            <v>17000</v>
          </cell>
          <cell r="G4803">
            <v>34000</v>
          </cell>
        </row>
        <row r="4804">
          <cell r="B4804">
            <v>80</v>
          </cell>
          <cell r="C4804" t="str">
            <v>+ Puly nhôm</v>
          </cell>
          <cell r="D4804" t="str">
            <v>cái</v>
          </cell>
          <cell r="E4804">
            <v>0.03</v>
          </cell>
          <cell r="F4804">
            <v>10000</v>
          </cell>
          <cell r="G4804">
            <v>300</v>
          </cell>
        </row>
        <row r="4805">
          <cell r="C4805" t="str">
            <v>Nhân công</v>
          </cell>
          <cell r="G4805">
            <v>3839729.9182236842</v>
          </cell>
        </row>
        <row r="4806">
          <cell r="B4806" t="str">
            <v>NC1457</v>
          </cell>
          <cell r="C4806" t="str">
            <v>+ Nhân công bậc 4,5/7</v>
          </cell>
          <cell r="D4806" t="str">
            <v>Công</v>
          </cell>
          <cell r="E4806">
            <v>18.13</v>
          </cell>
          <cell r="F4806">
            <v>211788.74342105264</v>
          </cell>
          <cell r="G4806">
            <v>3839729.9182236842</v>
          </cell>
        </row>
        <row r="4807">
          <cell r="C4807" t="str">
            <v>Máy thi công</v>
          </cell>
          <cell r="G4807">
            <v>108393.95280000001</v>
          </cell>
        </row>
        <row r="4808">
          <cell r="B4808">
            <v>7048</v>
          </cell>
          <cell r="C4808" t="str">
            <v>+ Máy rải dây</v>
          </cell>
          <cell r="D4808" t="str">
            <v>Ca</v>
          </cell>
          <cell r="E4808">
            <v>0.15</v>
          </cell>
          <cell r="F4808">
            <v>722626.35200000007</v>
          </cell>
          <cell r="G4808">
            <v>108393.95280000001</v>
          </cell>
        </row>
        <row r="4809">
          <cell r="B4809">
            <v>7054</v>
          </cell>
          <cell r="C4809" t="str">
            <v>+ Tời điện, sức kéo 5,0 T</v>
          </cell>
          <cell r="D4809" t="str">
            <v>Ca</v>
          </cell>
          <cell r="E4809">
            <v>0.2</v>
          </cell>
          <cell r="G4809">
            <v>0</v>
          </cell>
        </row>
        <row r="4810">
          <cell r="A4810" t="str">
            <v>D3.7201</v>
          </cell>
          <cell r="C4810" t="str">
            <v>Lắp đặt hộp và hàn nối cáp quang, số sợi quang trong hộp =&lt;12</v>
          </cell>
          <cell r="D4810" t="str">
            <v>hộp</v>
          </cell>
          <cell r="H4810">
            <v>152100</v>
          </cell>
          <cell r="I4810">
            <v>1334269.0835526315</v>
          </cell>
          <cell r="J4810">
            <v>753439.70752941188</v>
          </cell>
        </row>
        <row r="4811">
          <cell r="C4811" t="str">
            <v>Vật liệu</v>
          </cell>
          <cell r="G4811">
            <v>152100</v>
          </cell>
        </row>
        <row r="4812">
          <cell r="B4812">
            <v>44</v>
          </cell>
          <cell r="C4812" t="str">
            <v>+ Gỗ nhóm 5</v>
          </cell>
          <cell r="D4812" t="str">
            <v>M3</v>
          </cell>
          <cell r="E4812">
            <v>0.06</v>
          </cell>
          <cell r="F4812">
            <v>2300000</v>
          </cell>
          <cell r="G4812">
            <v>138000</v>
          </cell>
        </row>
        <row r="4813">
          <cell r="B4813">
            <v>81</v>
          </cell>
          <cell r="C4813" t="str">
            <v>+ Thép chữ U</v>
          </cell>
          <cell r="D4813" t="str">
            <v>kg</v>
          </cell>
          <cell r="E4813">
            <v>1.41</v>
          </cell>
          <cell r="F4813">
            <v>10000</v>
          </cell>
          <cell r="G4813">
            <v>14100</v>
          </cell>
        </row>
        <row r="4814">
          <cell r="C4814" t="str">
            <v>Nhân công</v>
          </cell>
          <cell r="G4814">
            <v>1334269.0835526315</v>
          </cell>
        </row>
        <row r="4815">
          <cell r="B4815" t="str">
            <v>NC1457</v>
          </cell>
          <cell r="C4815" t="str">
            <v>+ Nhân công bậc 4,5/7</v>
          </cell>
          <cell r="D4815" t="str">
            <v>Công</v>
          </cell>
          <cell r="E4815">
            <v>6.3</v>
          </cell>
          <cell r="F4815">
            <v>211788.74342105264</v>
          </cell>
          <cell r="G4815">
            <v>1334269.0835526315</v>
          </cell>
        </row>
        <row r="4816">
          <cell r="C4816" t="str">
            <v>Máy thi công</v>
          </cell>
          <cell r="G4816">
            <v>753439.70752941188</v>
          </cell>
        </row>
        <row r="4817">
          <cell r="B4817">
            <v>7024</v>
          </cell>
          <cell r="C4817" t="str">
            <v>+ Máy hàn cáp sợi quang</v>
          </cell>
          <cell r="D4817" t="str">
            <v>Ca</v>
          </cell>
          <cell r="E4817">
            <v>0.5</v>
          </cell>
          <cell r="F4817">
            <v>448021</v>
          </cell>
          <cell r="G4817">
            <v>224010.5</v>
          </cell>
        </row>
        <row r="4818">
          <cell r="B4818">
            <v>7047</v>
          </cell>
          <cell r="C4818" t="str">
            <v>+ Máy phát điện 1Kw</v>
          </cell>
          <cell r="D4818" t="str">
            <v>Ca</v>
          </cell>
          <cell r="E4818">
            <v>0.8</v>
          </cell>
          <cell r="F4818">
            <v>661786.5094117648</v>
          </cell>
          <cell r="G4818">
            <v>529429.20752941188</v>
          </cell>
        </row>
        <row r="4819">
          <cell r="A4819" t="str">
            <v>D3.7202</v>
          </cell>
          <cell r="C4819" t="str">
            <v>Lắp đặt hộp và hàn nối cáp quang, số sợi quang trong hộp =&lt;16</v>
          </cell>
          <cell r="D4819" t="str">
            <v>hộp</v>
          </cell>
          <cell r="H4819">
            <v>152100</v>
          </cell>
          <cell r="I4819">
            <v>1535468.3898026317</v>
          </cell>
          <cell r="J4819">
            <v>864420.45847058832</v>
          </cell>
        </row>
        <row r="4820">
          <cell r="C4820" t="str">
            <v>Vật liệu</v>
          </cell>
          <cell r="G4820">
            <v>152100</v>
          </cell>
        </row>
        <row r="4821">
          <cell r="B4821">
            <v>44</v>
          </cell>
          <cell r="C4821" t="str">
            <v>+ Gỗ nhóm 5</v>
          </cell>
          <cell r="D4821" t="str">
            <v>M3</v>
          </cell>
          <cell r="E4821">
            <v>0.06</v>
          </cell>
          <cell r="F4821">
            <v>2300000</v>
          </cell>
          <cell r="G4821">
            <v>138000</v>
          </cell>
        </row>
        <row r="4822">
          <cell r="B4822">
            <v>81</v>
          </cell>
          <cell r="C4822" t="str">
            <v>+ Thép chữ U</v>
          </cell>
          <cell r="D4822" t="str">
            <v>kg</v>
          </cell>
          <cell r="E4822">
            <v>1.41</v>
          </cell>
          <cell r="F4822">
            <v>10000</v>
          </cell>
          <cell r="G4822">
            <v>14100</v>
          </cell>
        </row>
        <row r="4823">
          <cell r="C4823" t="str">
            <v>Nhân công</v>
          </cell>
          <cell r="G4823">
            <v>1535468.3898026317</v>
          </cell>
        </row>
        <row r="4824">
          <cell r="B4824" t="str">
            <v>NC1457</v>
          </cell>
          <cell r="C4824" t="str">
            <v>+ Nhân công bậc 4,5/7</v>
          </cell>
          <cell r="D4824" t="str">
            <v>Công</v>
          </cell>
          <cell r="E4824">
            <v>7.25</v>
          </cell>
          <cell r="F4824">
            <v>211788.74342105264</v>
          </cell>
          <cell r="G4824">
            <v>1535468.3898026317</v>
          </cell>
        </row>
        <row r="4825">
          <cell r="C4825" t="str">
            <v>Máy thi công</v>
          </cell>
          <cell r="G4825">
            <v>864420.45847058832</v>
          </cell>
        </row>
        <row r="4826">
          <cell r="B4826">
            <v>7024</v>
          </cell>
          <cell r="C4826" t="str">
            <v>+ Máy hàn cáp sợi quang</v>
          </cell>
          <cell r="D4826" t="str">
            <v>Ca</v>
          </cell>
          <cell r="E4826">
            <v>0.6</v>
          </cell>
          <cell r="F4826">
            <v>448021</v>
          </cell>
          <cell r="G4826">
            <v>268812.59999999998</v>
          </cell>
        </row>
        <row r="4827">
          <cell r="B4827">
            <v>7047</v>
          </cell>
          <cell r="C4827" t="str">
            <v>+ Máy phát điện 1Kw</v>
          </cell>
          <cell r="D4827" t="str">
            <v>Ca</v>
          </cell>
          <cell r="E4827">
            <v>0.9</v>
          </cell>
          <cell r="F4827">
            <v>661786.5094117648</v>
          </cell>
          <cell r="G4827">
            <v>595607.85847058834</v>
          </cell>
        </row>
        <row r="4828">
          <cell r="A4828" t="str">
            <v>D3.7203</v>
          </cell>
          <cell r="C4828" t="str">
            <v>Lắp đặt hộp và hàn nối cáp quang, số sợi quang trong hộp =&lt;20</v>
          </cell>
          <cell r="D4828" t="str">
            <v>hộp</v>
          </cell>
          <cell r="H4828">
            <v>152100</v>
          </cell>
          <cell r="I4828">
            <v>1601122.9002631579</v>
          </cell>
          <cell r="J4828">
            <v>975401.20941176475</v>
          </cell>
        </row>
        <row r="4829">
          <cell r="C4829" t="str">
            <v>Vật liệu</v>
          </cell>
          <cell r="G4829">
            <v>152100</v>
          </cell>
        </row>
        <row r="4830">
          <cell r="B4830">
            <v>44</v>
          </cell>
          <cell r="C4830" t="str">
            <v>+ Gỗ nhóm 5</v>
          </cell>
          <cell r="D4830" t="str">
            <v>M3</v>
          </cell>
          <cell r="E4830">
            <v>0.06</v>
          </cell>
          <cell r="F4830">
            <v>2300000</v>
          </cell>
          <cell r="G4830">
            <v>138000</v>
          </cell>
        </row>
        <row r="4831">
          <cell r="B4831">
            <v>81</v>
          </cell>
          <cell r="C4831" t="str">
            <v>+ Thép chữ U</v>
          </cell>
          <cell r="D4831" t="str">
            <v>kg</v>
          </cell>
          <cell r="E4831">
            <v>1.41</v>
          </cell>
          <cell r="F4831">
            <v>10000</v>
          </cell>
          <cell r="G4831">
            <v>14100</v>
          </cell>
        </row>
        <row r="4832">
          <cell r="C4832" t="str">
            <v>Nhân công</v>
          </cell>
          <cell r="G4832">
            <v>1601122.9002631579</v>
          </cell>
        </row>
        <row r="4833">
          <cell r="B4833" t="str">
            <v>NC1457</v>
          </cell>
          <cell r="C4833" t="str">
            <v>+ Nhân công bậc 4,5/7</v>
          </cell>
          <cell r="D4833" t="str">
            <v>Công</v>
          </cell>
          <cell r="E4833">
            <v>7.56</v>
          </cell>
          <cell r="F4833">
            <v>211788.74342105264</v>
          </cell>
          <cell r="G4833">
            <v>1601122.9002631579</v>
          </cell>
        </row>
        <row r="4834">
          <cell r="C4834" t="str">
            <v>Máy thi công</v>
          </cell>
          <cell r="G4834">
            <v>975401.20941176475</v>
          </cell>
        </row>
        <row r="4835">
          <cell r="B4835">
            <v>7024</v>
          </cell>
          <cell r="C4835" t="str">
            <v>+ Máy hàn cáp sợi quang</v>
          </cell>
          <cell r="D4835" t="str">
            <v>Ca</v>
          </cell>
          <cell r="E4835">
            <v>0.7</v>
          </cell>
          <cell r="F4835">
            <v>448021</v>
          </cell>
          <cell r="G4835">
            <v>313614.69999999995</v>
          </cell>
        </row>
        <row r="4836">
          <cell r="B4836">
            <v>7047</v>
          </cell>
          <cell r="C4836" t="str">
            <v>+ Máy phát điện 1Kw</v>
          </cell>
          <cell r="D4836" t="str">
            <v>Ca</v>
          </cell>
          <cell r="E4836">
            <v>1</v>
          </cell>
          <cell r="F4836">
            <v>661786.5094117648</v>
          </cell>
          <cell r="G4836">
            <v>661786.5094117648</v>
          </cell>
        </row>
        <row r="4837">
          <cell r="A4837" t="str">
            <v>D3.7204</v>
          </cell>
          <cell r="C4837" t="str">
            <v>Lắp đặt hộp và hàn nối cáp quang, số sợi quang trong hộp =&lt;24</v>
          </cell>
          <cell r="D4837" t="str">
            <v>hộp</v>
          </cell>
          <cell r="H4837">
            <v>152100</v>
          </cell>
          <cell r="I4837">
            <v>1668895.2981578948</v>
          </cell>
          <cell r="J4837">
            <v>975401.20941176475</v>
          </cell>
        </row>
        <row r="4838">
          <cell r="C4838" t="str">
            <v>Vật liệu</v>
          </cell>
          <cell r="G4838">
            <v>152100</v>
          </cell>
        </row>
        <row r="4839">
          <cell r="B4839">
            <v>44</v>
          </cell>
          <cell r="C4839" t="str">
            <v>+ Gỗ nhóm 5</v>
          </cell>
          <cell r="D4839" t="str">
            <v>M3</v>
          </cell>
          <cell r="E4839">
            <v>0.06</v>
          </cell>
          <cell r="F4839">
            <v>2300000</v>
          </cell>
          <cell r="G4839">
            <v>138000</v>
          </cell>
        </row>
        <row r="4840">
          <cell r="B4840">
            <v>81</v>
          </cell>
          <cell r="C4840" t="str">
            <v>+ Thép chữ U</v>
          </cell>
          <cell r="D4840" t="str">
            <v>kg</v>
          </cell>
          <cell r="E4840">
            <v>1.41</v>
          </cell>
          <cell r="F4840">
            <v>10000</v>
          </cell>
          <cell r="G4840">
            <v>14100</v>
          </cell>
        </row>
        <row r="4841">
          <cell r="C4841" t="str">
            <v>Nhân công</v>
          </cell>
          <cell r="G4841">
            <v>1668895.2981578948</v>
          </cell>
        </row>
        <row r="4842">
          <cell r="B4842" t="str">
            <v>NC1457</v>
          </cell>
          <cell r="C4842" t="str">
            <v>+ Nhân công bậc 4,5/7</v>
          </cell>
          <cell r="D4842" t="str">
            <v>Công</v>
          </cell>
          <cell r="E4842">
            <v>7.88</v>
          </cell>
          <cell r="F4842">
            <v>211788.74342105264</v>
          </cell>
          <cell r="G4842">
            <v>1668895.2981578948</v>
          </cell>
        </row>
        <row r="4843">
          <cell r="C4843" t="str">
            <v>Máy thi công</v>
          </cell>
          <cell r="G4843">
            <v>975401.20941176475</v>
          </cell>
        </row>
        <row r="4844">
          <cell r="B4844">
            <v>7024</v>
          </cell>
          <cell r="C4844" t="str">
            <v>+ Máy hàn cáp sợi quang</v>
          </cell>
          <cell r="D4844" t="str">
            <v>Ca</v>
          </cell>
          <cell r="E4844">
            <v>0.7</v>
          </cell>
          <cell r="F4844">
            <v>448021</v>
          </cell>
          <cell r="G4844">
            <v>313614.69999999995</v>
          </cell>
        </row>
        <row r="4845">
          <cell r="B4845">
            <v>7047</v>
          </cell>
          <cell r="C4845" t="str">
            <v>+ Máy phát điện 1Kw</v>
          </cell>
          <cell r="D4845" t="str">
            <v>Ca</v>
          </cell>
          <cell r="E4845">
            <v>1</v>
          </cell>
          <cell r="F4845">
            <v>661786.5094117648</v>
          </cell>
          <cell r="G4845">
            <v>661786.5094117648</v>
          </cell>
        </row>
        <row r="4846">
          <cell r="A4846" t="str">
            <v>D3.7205</v>
          </cell>
          <cell r="C4846" t="str">
            <v>Lắp đặt hộp và hàn nối cáp quang, số sợi quang trong hộp =&lt;48</v>
          </cell>
          <cell r="D4846" t="str">
            <v>hộp</v>
          </cell>
          <cell r="H4846">
            <v>152100</v>
          </cell>
          <cell r="I4846">
            <v>2086119.1226973685</v>
          </cell>
          <cell r="J4846">
            <v>1086381.9603529414</v>
          </cell>
        </row>
        <row r="4847">
          <cell r="C4847" t="str">
            <v>Vật liệu</v>
          </cell>
          <cell r="G4847">
            <v>152100</v>
          </cell>
        </row>
        <row r="4848">
          <cell r="B4848">
            <v>44</v>
          </cell>
          <cell r="C4848" t="str">
            <v>+ Gỗ nhóm 5</v>
          </cell>
          <cell r="D4848" t="str">
            <v>M3</v>
          </cell>
          <cell r="E4848">
            <v>0.06</v>
          </cell>
          <cell r="F4848">
            <v>2300000</v>
          </cell>
          <cell r="G4848">
            <v>138000</v>
          </cell>
        </row>
        <row r="4849">
          <cell r="B4849">
            <v>81</v>
          </cell>
          <cell r="C4849" t="str">
            <v>+ Thép chữ U</v>
          </cell>
          <cell r="D4849" t="str">
            <v>kg</v>
          </cell>
          <cell r="E4849">
            <v>1.41</v>
          </cell>
          <cell r="F4849">
            <v>10000</v>
          </cell>
          <cell r="G4849">
            <v>14100</v>
          </cell>
        </row>
        <row r="4850">
          <cell r="C4850" t="str">
            <v>Nhân công</v>
          </cell>
          <cell r="G4850">
            <v>2086119.1226973685</v>
          </cell>
        </row>
        <row r="4851">
          <cell r="B4851" t="str">
            <v>NC1457</v>
          </cell>
          <cell r="C4851" t="str">
            <v>+ Nhân công bậc 4,5/7</v>
          </cell>
          <cell r="D4851" t="str">
            <v>Công</v>
          </cell>
          <cell r="E4851">
            <v>9.85</v>
          </cell>
          <cell r="F4851">
            <v>211788.74342105264</v>
          </cell>
          <cell r="G4851">
            <v>2086119.1226973685</v>
          </cell>
        </row>
        <row r="4852">
          <cell r="C4852" t="str">
            <v>Máy thi công</v>
          </cell>
          <cell r="G4852">
            <v>1086381.9603529414</v>
          </cell>
        </row>
        <row r="4853">
          <cell r="B4853">
            <v>7024</v>
          </cell>
          <cell r="C4853" t="str">
            <v>+ Máy hàn cáp sợi quang</v>
          </cell>
          <cell r="D4853" t="str">
            <v>Ca</v>
          </cell>
          <cell r="E4853">
            <v>0.8</v>
          </cell>
          <cell r="F4853">
            <v>448021</v>
          </cell>
          <cell r="G4853">
            <v>358416.80000000005</v>
          </cell>
        </row>
        <row r="4854">
          <cell r="B4854">
            <v>7047</v>
          </cell>
          <cell r="C4854" t="str">
            <v>+ Máy phát điện 1Kw</v>
          </cell>
          <cell r="D4854" t="str">
            <v>Ca</v>
          </cell>
          <cell r="E4854">
            <v>1.1000000000000001</v>
          </cell>
          <cell r="F4854">
            <v>661786.5094117648</v>
          </cell>
          <cell r="G4854">
            <v>727965.16035294137</v>
          </cell>
        </row>
        <row r="4855">
          <cell r="A4855" t="str">
            <v>D3.7206</v>
          </cell>
          <cell r="C4855" t="str">
            <v>Lắp đặt hộp và hàn nối cáp quang, số sợi quang trong hộp &gt;48</v>
          </cell>
          <cell r="D4855" t="str">
            <v>hộp</v>
          </cell>
          <cell r="H4855">
            <v>152100</v>
          </cell>
          <cell r="I4855">
            <v>3130237.6277631577</v>
          </cell>
          <cell r="J4855">
            <v>1197362.7112941178</v>
          </cell>
        </row>
        <row r="4856">
          <cell r="C4856" t="str">
            <v>Vật liệu</v>
          </cell>
          <cell r="G4856">
            <v>152100</v>
          </cell>
        </row>
        <row r="4857">
          <cell r="B4857">
            <v>44</v>
          </cell>
          <cell r="C4857" t="str">
            <v>+ Gỗ nhóm 5</v>
          </cell>
          <cell r="D4857" t="str">
            <v>M3</v>
          </cell>
          <cell r="E4857">
            <v>0.06</v>
          </cell>
          <cell r="F4857">
            <v>2300000</v>
          </cell>
          <cell r="G4857">
            <v>138000</v>
          </cell>
        </row>
        <row r="4858">
          <cell r="B4858">
            <v>81</v>
          </cell>
          <cell r="C4858" t="str">
            <v>+ Thép chữ U</v>
          </cell>
          <cell r="D4858" t="str">
            <v>kg</v>
          </cell>
          <cell r="E4858">
            <v>1.41</v>
          </cell>
          <cell r="F4858">
            <v>10000</v>
          </cell>
          <cell r="G4858">
            <v>14100</v>
          </cell>
        </row>
        <row r="4859">
          <cell r="C4859" t="str">
            <v>Nhân công</v>
          </cell>
          <cell r="G4859">
            <v>3130237.6277631577</v>
          </cell>
        </row>
        <row r="4860">
          <cell r="B4860" t="str">
            <v>NC1457</v>
          </cell>
          <cell r="C4860" t="str">
            <v>+ Nhân công bậc 4,5/7</v>
          </cell>
          <cell r="D4860" t="str">
            <v>Công</v>
          </cell>
          <cell r="E4860">
            <v>14.78</v>
          </cell>
          <cell r="F4860">
            <v>211788.74342105264</v>
          </cell>
          <cell r="G4860">
            <v>3130237.6277631577</v>
          </cell>
        </row>
        <row r="4861">
          <cell r="C4861" t="str">
            <v>Máy thi công</v>
          </cell>
          <cell r="G4861">
            <v>1197362.7112941178</v>
          </cell>
        </row>
        <row r="4862">
          <cell r="B4862">
            <v>7024</v>
          </cell>
          <cell r="C4862" t="str">
            <v>+ Máy hàn cáp sợi quang</v>
          </cell>
          <cell r="D4862" t="str">
            <v>Ca</v>
          </cell>
          <cell r="E4862">
            <v>0.9</v>
          </cell>
          <cell r="F4862">
            <v>448021</v>
          </cell>
          <cell r="G4862">
            <v>403218.9</v>
          </cell>
        </row>
        <row r="4863">
          <cell r="B4863">
            <v>7047</v>
          </cell>
          <cell r="C4863" t="str">
            <v>+ Máy phát điện 1Kw</v>
          </cell>
          <cell r="D4863" t="str">
            <v>Ca</v>
          </cell>
          <cell r="E4863">
            <v>1.2</v>
          </cell>
          <cell r="F4863">
            <v>661786.5094117648</v>
          </cell>
          <cell r="G4863">
            <v>794143.81129411771</v>
          </cell>
        </row>
        <row r="4864">
          <cell r="A4864" t="str">
            <v>D4.1101</v>
          </cell>
          <cell r="C4864" t="str">
            <v>Bảo vệ đường cáp ngầm bằng rải cát đệm</v>
          </cell>
          <cell r="D4864" t="str">
            <v>m3</v>
          </cell>
          <cell r="I4864">
            <v>82001.769736842092</v>
          </cell>
        </row>
        <row r="4865">
          <cell r="C4865" t="str">
            <v>Nhân công</v>
          </cell>
          <cell r="G4865">
            <v>82001.769736842092</v>
          </cell>
        </row>
        <row r="4866">
          <cell r="B4866" t="str">
            <v>NC1307</v>
          </cell>
          <cell r="C4866" t="str">
            <v>+ Nhân công bậc 3,0/7</v>
          </cell>
          <cell r="D4866" t="str">
            <v>Công</v>
          </cell>
          <cell r="E4866">
            <v>0.5</v>
          </cell>
          <cell r="F4866">
            <v>164003.53947368418</v>
          </cell>
          <cell r="G4866">
            <v>82001.769736842092</v>
          </cell>
        </row>
        <row r="4867">
          <cell r="A4867" t="str">
            <v>D4.1102</v>
          </cell>
          <cell r="C4867" t="str">
            <v>Bảo vệ đường cáp ngầm bằng rải lưới ni lông</v>
          </cell>
          <cell r="D4867" t="str">
            <v>100m2</v>
          </cell>
          <cell r="I4867">
            <v>82001.769736842092</v>
          </cell>
        </row>
        <row r="4868">
          <cell r="C4868" t="str">
            <v>Nhân công</v>
          </cell>
          <cell r="G4868">
            <v>82001.769736842092</v>
          </cell>
        </row>
        <row r="4869">
          <cell r="B4869" t="str">
            <v>NC1307</v>
          </cell>
          <cell r="C4869" t="str">
            <v>+ Nhân công bậc 3,0/7</v>
          </cell>
          <cell r="D4869" t="str">
            <v>Công</v>
          </cell>
          <cell r="E4869">
            <v>0.5</v>
          </cell>
          <cell r="F4869">
            <v>164003.53947368418</v>
          </cell>
          <cell r="G4869">
            <v>82001.769736842092</v>
          </cell>
        </row>
        <row r="4870">
          <cell r="A4870" t="str">
            <v>D4.1103</v>
          </cell>
          <cell r="C4870" t="str">
            <v>Bảo vệ đường cáp ngầm bằng rải lưới thép</v>
          </cell>
          <cell r="D4870" t="str">
            <v>100m</v>
          </cell>
          <cell r="I4870">
            <v>164003.53947368418</v>
          </cell>
        </row>
        <row r="4871">
          <cell r="C4871" t="str">
            <v>Nhân công</v>
          </cell>
          <cell r="G4871">
            <v>164003.53947368418</v>
          </cell>
        </row>
        <row r="4872">
          <cell r="B4872" t="str">
            <v>NC1307</v>
          </cell>
          <cell r="C4872" t="str">
            <v>+ Nhân công bậc 3,0/7</v>
          </cell>
          <cell r="D4872" t="str">
            <v>Công</v>
          </cell>
          <cell r="E4872">
            <v>1</v>
          </cell>
          <cell r="F4872">
            <v>164003.53947368418</v>
          </cell>
          <cell r="G4872">
            <v>164003.53947368418</v>
          </cell>
        </row>
        <row r="4873">
          <cell r="A4873" t="str">
            <v>D4.1104</v>
          </cell>
          <cell r="C4873" t="str">
            <v>Bảo vệ đường cáp ngầm bằng Xếp gạch chỉ</v>
          </cell>
          <cell r="D4873" t="str">
            <v>1000viên</v>
          </cell>
          <cell r="I4873">
            <v>656014.15789473674</v>
          </cell>
        </row>
        <row r="4874">
          <cell r="C4874" t="str">
            <v>Nhân công</v>
          </cell>
          <cell r="G4874">
            <v>656014.15789473674</v>
          </cell>
        </row>
        <row r="4875">
          <cell r="B4875" t="str">
            <v>NC1307</v>
          </cell>
          <cell r="C4875" t="str">
            <v>+ Nhân công bậc 3,0/7</v>
          </cell>
          <cell r="D4875" t="str">
            <v>Công</v>
          </cell>
          <cell r="E4875">
            <v>4</v>
          </cell>
          <cell r="F4875">
            <v>164003.53947368418</v>
          </cell>
          <cell r="G4875">
            <v>656014.15789473674</v>
          </cell>
        </row>
        <row r="4876">
          <cell r="A4876" t="str">
            <v>D4.1105</v>
          </cell>
          <cell r="C4876" t="str">
            <v>Bảo vệ đường cáp ngầm bằng Xếp tấm đan bê tông có trọng lượng &lt;=20kg</v>
          </cell>
          <cell r="D4876" t="str">
            <v>tấm</v>
          </cell>
          <cell r="I4876">
            <v>11480.247763157893</v>
          </cell>
        </row>
        <row r="4877">
          <cell r="C4877" t="str">
            <v>Nhân công</v>
          </cell>
          <cell r="G4877">
            <v>11480.247763157893</v>
          </cell>
        </row>
        <row r="4878">
          <cell r="B4878" t="str">
            <v>NC1307</v>
          </cell>
          <cell r="C4878" t="str">
            <v>+ Nhân công bậc 3,0/7</v>
          </cell>
          <cell r="D4878" t="str">
            <v>Công</v>
          </cell>
          <cell r="E4878">
            <v>7.0000000000000007E-2</v>
          </cell>
          <cell r="F4878">
            <v>164003.53947368418</v>
          </cell>
          <cell r="G4878">
            <v>11480.247763157893</v>
          </cell>
        </row>
        <row r="4879">
          <cell r="A4879" t="str">
            <v>D4.1106</v>
          </cell>
          <cell r="C4879" t="str">
            <v>Bảo vệ đường cáp ngầm bằng Xếp tấm đan bê tông có trọng lượng &gt; 20kg</v>
          </cell>
          <cell r="D4879" t="str">
            <v>tấm</v>
          </cell>
          <cell r="I4879">
            <v>16400.353947368418</v>
          </cell>
        </row>
        <row r="4880">
          <cell r="C4880" t="str">
            <v>Nhân công</v>
          </cell>
          <cell r="G4880">
            <v>16400.353947368418</v>
          </cell>
        </row>
        <row r="4881">
          <cell r="B4881" t="str">
            <v>NC1307</v>
          </cell>
          <cell r="C4881" t="str">
            <v>+ Nhân công bậc 3,0/7</v>
          </cell>
          <cell r="D4881" t="str">
            <v>Công</v>
          </cell>
          <cell r="E4881">
            <v>0.1</v>
          </cell>
          <cell r="F4881">
            <v>164003.53947368418</v>
          </cell>
          <cell r="G4881">
            <v>16400.353947368418</v>
          </cell>
        </row>
        <row r="4882">
          <cell r="A4882" t="str">
            <v>D4.1201</v>
          </cell>
          <cell r="C4882" t="str">
            <v>Lắp đặt ống thép bảo vệ cáp, ống có đường kính D &lt;= 25 mm</v>
          </cell>
          <cell r="D4882" t="str">
            <v>100m</v>
          </cell>
          <cell r="I4882">
            <v>4842234</v>
          </cell>
        </row>
        <row r="4883">
          <cell r="C4883" t="str">
            <v>Vật liệu</v>
          </cell>
          <cell r="G4883">
            <v>735525</v>
          </cell>
        </row>
        <row r="4884">
          <cell r="B4884">
            <v>30</v>
          </cell>
          <cell r="C4884" t="str">
            <v>+ Dây thép 4 ly</v>
          </cell>
          <cell r="D4884" t="str">
            <v>kg</v>
          </cell>
          <cell r="E4884">
            <v>0.5</v>
          </cell>
          <cell r="F4884">
            <v>1000</v>
          </cell>
          <cell r="G4884">
            <v>500</v>
          </cell>
        </row>
        <row r="4885">
          <cell r="B4885">
            <v>82</v>
          </cell>
          <cell r="C4885" t="str">
            <v>+ Vít nở sắt F4x40</v>
          </cell>
          <cell r="D4885" t="str">
            <v>bộ</v>
          </cell>
          <cell r="E4885">
            <v>100</v>
          </cell>
          <cell r="F4885">
            <v>2000</v>
          </cell>
          <cell r="G4885">
            <v>200000</v>
          </cell>
        </row>
        <row r="4886">
          <cell r="B4886">
            <v>28</v>
          </cell>
          <cell r="C4886" t="str">
            <v>+ Coliê sắt</v>
          </cell>
          <cell r="D4886" t="str">
            <v>bộ</v>
          </cell>
          <cell r="E4886">
            <v>100</v>
          </cell>
          <cell r="F4886">
            <v>5000</v>
          </cell>
          <cell r="G4886">
            <v>500000</v>
          </cell>
        </row>
        <row r="4887">
          <cell r="B4887">
            <v>137</v>
          </cell>
          <cell r="C4887" t="str">
            <v>Vật liệu khác</v>
          </cell>
          <cell r="D4887" t="str">
            <v>%</v>
          </cell>
          <cell r="E4887">
            <v>5</v>
          </cell>
          <cell r="F4887">
            <v>1500</v>
          </cell>
          <cell r="G4887">
            <v>35025</v>
          </cell>
        </row>
        <row r="4888">
          <cell r="C4888" t="str">
            <v>Nhân công</v>
          </cell>
          <cell r="G4888">
            <v>4842234</v>
          </cell>
        </row>
        <row r="4889">
          <cell r="B4889" t="str">
            <v>NC1357</v>
          </cell>
          <cell r="C4889" t="str">
            <v>+ Nhân công bậc 3,5/7</v>
          </cell>
          <cell r="D4889" t="str">
            <v>Công</v>
          </cell>
          <cell r="E4889">
            <v>27</v>
          </cell>
          <cell r="F4889">
            <v>179342</v>
          </cell>
          <cell r="G4889">
            <v>4842234</v>
          </cell>
        </row>
        <row r="4890">
          <cell r="A4890" t="str">
            <v>D4.1202</v>
          </cell>
          <cell r="C4890" t="str">
            <v>Lắp đặt ống thép bảo vệ cáp, ống có đường kính D &lt;= 50 mm</v>
          </cell>
          <cell r="D4890" t="str">
            <v>100m</v>
          </cell>
          <cell r="I4890">
            <v>5697695.3399999999</v>
          </cell>
        </row>
        <row r="4891">
          <cell r="C4891" t="str">
            <v>Vật liệu</v>
          </cell>
          <cell r="G4891">
            <v>892500</v>
          </cell>
        </row>
        <row r="4892">
          <cell r="B4892">
            <v>28</v>
          </cell>
          <cell r="C4892" t="str">
            <v>+ Coliê sắt</v>
          </cell>
          <cell r="D4892" t="str">
            <v>bộ</v>
          </cell>
          <cell r="E4892">
            <v>100</v>
          </cell>
          <cell r="F4892">
            <v>5000</v>
          </cell>
          <cell r="G4892">
            <v>500000</v>
          </cell>
        </row>
        <row r="4893">
          <cell r="B4893">
            <v>27</v>
          </cell>
          <cell r="C4893" t="str">
            <v>+ Bu lông M6x60 chẻ chân</v>
          </cell>
          <cell r="D4893" t="str">
            <v>Cái</v>
          </cell>
          <cell r="E4893">
            <v>100</v>
          </cell>
          <cell r="F4893">
            <v>3500</v>
          </cell>
          <cell r="G4893">
            <v>350000</v>
          </cell>
        </row>
        <row r="4894">
          <cell r="B4894">
            <v>137</v>
          </cell>
          <cell r="C4894" t="str">
            <v>Vật liệu khác</v>
          </cell>
          <cell r="D4894" t="str">
            <v>%</v>
          </cell>
          <cell r="E4894">
            <v>5</v>
          </cell>
          <cell r="F4894">
            <v>1500</v>
          </cell>
          <cell r="G4894">
            <v>42500</v>
          </cell>
        </row>
        <row r="4895">
          <cell r="C4895" t="str">
            <v>Nhân công</v>
          </cell>
          <cell r="G4895">
            <v>5697695.3399999999</v>
          </cell>
        </row>
        <row r="4896">
          <cell r="B4896" t="str">
            <v>NC1357</v>
          </cell>
          <cell r="C4896" t="str">
            <v>+ Nhân công bậc 3,5/7</v>
          </cell>
          <cell r="D4896" t="str">
            <v>Công</v>
          </cell>
          <cell r="E4896">
            <v>31.77</v>
          </cell>
          <cell r="F4896">
            <v>179342</v>
          </cell>
          <cell r="G4896">
            <v>5697695.3399999999</v>
          </cell>
        </row>
        <row r="4897">
          <cell r="A4897" t="str">
            <v>D4.1203</v>
          </cell>
          <cell r="C4897" t="str">
            <v>Lắp đặt ống thép bảo vệ cáp, ống có đường kính D &lt;= 75 mm</v>
          </cell>
          <cell r="D4897" t="str">
            <v>100m</v>
          </cell>
          <cell r="I4897">
            <v>6589025.0800000001</v>
          </cell>
        </row>
        <row r="4898">
          <cell r="C4898" t="str">
            <v>Vật liệu</v>
          </cell>
          <cell r="G4898">
            <v>892500</v>
          </cell>
        </row>
        <row r="4899">
          <cell r="B4899">
            <v>28</v>
          </cell>
          <cell r="C4899" t="str">
            <v>+ Coliê sắt</v>
          </cell>
          <cell r="D4899" t="str">
            <v>bộ</v>
          </cell>
          <cell r="E4899">
            <v>100</v>
          </cell>
          <cell r="F4899">
            <v>5000</v>
          </cell>
          <cell r="G4899">
            <v>500000</v>
          </cell>
        </row>
        <row r="4900">
          <cell r="B4900">
            <v>27</v>
          </cell>
          <cell r="C4900" t="str">
            <v>+ Bu lông M6x60 chẻ chân</v>
          </cell>
          <cell r="D4900" t="str">
            <v>Cái</v>
          </cell>
          <cell r="E4900">
            <v>100</v>
          </cell>
          <cell r="F4900">
            <v>3500</v>
          </cell>
          <cell r="G4900">
            <v>350000</v>
          </cell>
        </row>
        <row r="4901">
          <cell r="B4901">
            <v>137</v>
          </cell>
          <cell r="C4901" t="str">
            <v>Vật liệu khác</v>
          </cell>
          <cell r="D4901" t="str">
            <v>%</v>
          </cell>
          <cell r="E4901">
            <v>5</v>
          </cell>
          <cell r="F4901">
            <v>1500</v>
          </cell>
          <cell r="G4901">
            <v>42500</v>
          </cell>
        </row>
        <row r="4902">
          <cell r="C4902" t="str">
            <v>Nhân công</v>
          </cell>
          <cell r="G4902">
            <v>6589025.0800000001</v>
          </cell>
        </row>
        <row r="4903">
          <cell r="B4903" t="str">
            <v>NC1357</v>
          </cell>
          <cell r="C4903" t="str">
            <v>+ Nhân công bậc 3,5/7</v>
          </cell>
          <cell r="D4903" t="str">
            <v>Công</v>
          </cell>
          <cell r="E4903">
            <v>36.74</v>
          </cell>
          <cell r="F4903">
            <v>179342</v>
          </cell>
          <cell r="G4903">
            <v>6589025.0800000001</v>
          </cell>
        </row>
        <row r="4904">
          <cell r="A4904" t="str">
            <v>D4.1204</v>
          </cell>
          <cell r="C4904" t="str">
            <v>Lắp đặt ống thép bảo vệ cáp, ống có đường kính D &lt;= 100 mm</v>
          </cell>
          <cell r="D4904" t="str">
            <v>100m</v>
          </cell>
          <cell r="I4904">
            <v>7620241.5800000001</v>
          </cell>
        </row>
        <row r="4905">
          <cell r="C4905" t="str">
            <v>Vật liệu</v>
          </cell>
          <cell r="G4905">
            <v>892500</v>
          </cell>
        </row>
        <row r="4906">
          <cell r="B4906">
            <v>28</v>
          </cell>
          <cell r="C4906" t="str">
            <v>+ Coliê sắt</v>
          </cell>
          <cell r="D4906" t="str">
            <v>bộ</v>
          </cell>
          <cell r="E4906">
            <v>100</v>
          </cell>
          <cell r="F4906">
            <v>5000</v>
          </cell>
          <cell r="G4906">
            <v>500000</v>
          </cell>
        </row>
        <row r="4907">
          <cell r="B4907">
            <v>27</v>
          </cell>
          <cell r="C4907" t="str">
            <v>+ Bu lông M6x60 chẻ chân</v>
          </cell>
          <cell r="D4907" t="str">
            <v>Cái</v>
          </cell>
          <cell r="E4907">
            <v>100</v>
          </cell>
          <cell r="F4907">
            <v>3500</v>
          </cell>
          <cell r="G4907">
            <v>350000</v>
          </cell>
        </row>
        <row r="4908">
          <cell r="B4908">
            <v>137</v>
          </cell>
          <cell r="C4908" t="str">
            <v>Vật liệu khác</v>
          </cell>
          <cell r="D4908" t="str">
            <v>%</v>
          </cell>
          <cell r="E4908">
            <v>5</v>
          </cell>
          <cell r="F4908">
            <v>1500</v>
          </cell>
          <cell r="G4908">
            <v>42500</v>
          </cell>
        </row>
        <row r="4909">
          <cell r="C4909" t="str">
            <v>Nhân công</v>
          </cell>
          <cell r="G4909">
            <v>7620241.5800000001</v>
          </cell>
        </row>
        <row r="4910">
          <cell r="B4910" t="str">
            <v>NC1357</v>
          </cell>
          <cell r="C4910" t="str">
            <v>+ Nhân công bậc 3,5/7</v>
          </cell>
          <cell r="D4910" t="str">
            <v>Công</v>
          </cell>
          <cell r="E4910">
            <v>42.49</v>
          </cell>
          <cell r="F4910">
            <v>179342</v>
          </cell>
          <cell r="G4910">
            <v>7620241.5800000001</v>
          </cell>
        </row>
        <row r="4911">
          <cell r="A4911" t="str">
            <v>D4.1205</v>
          </cell>
          <cell r="C4911" t="str">
            <v>Lắp đặt ống thép bảo vệ cáp, ống có đường kính D &gt; 100 mm</v>
          </cell>
          <cell r="D4911" t="str">
            <v>100m</v>
          </cell>
          <cell r="I4911">
            <v>8839767.1799999997</v>
          </cell>
        </row>
        <row r="4912">
          <cell r="C4912" t="str">
            <v>Vật liệu</v>
          </cell>
          <cell r="G4912">
            <v>892500</v>
          </cell>
        </row>
        <row r="4913">
          <cell r="B4913">
            <v>28</v>
          </cell>
          <cell r="C4913" t="str">
            <v>+ Coliê sắt</v>
          </cell>
          <cell r="D4913" t="str">
            <v>bộ</v>
          </cell>
          <cell r="E4913">
            <v>100</v>
          </cell>
          <cell r="F4913">
            <v>5000</v>
          </cell>
          <cell r="G4913">
            <v>500000</v>
          </cell>
        </row>
        <row r="4914">
          <cell r="B4914">
            <v>27</v>
          </cell>
          <cell r="C4914" t="str">
            <v>+ Bu lông M6x60 chẻ chân</v>
          </cell>
          <cell r="D4914" t="str">
            <v>Cái</v>
          </cell>
          <cell r="E4914">
            <v>100</v>
          </cell>
          <cell r="F4914">
            <v>3500</v>
          </cell>
          <cell r="G4914">
            <v>350000</v>
          </cell>
        </row>
        <row r="4915">
          <cell r="B4915">
            <v>137</v>
          </cell>
          <cell r="C4915" t="str">
            <v>Vật liệu khác</v>
          </cell>
          <cell r="D4915" t="str">
            <v>%</v>
          </cell>
          <cell r="E4915">
            <v>5</v>
          </cell>
          <cell r="F4915">
            <v>1500</v>
          </cell>
          <cell r="G4915">
            <v>42500</v>
          </cell>
        </row>
        <row r="4916">
          <cell r="C4916" t="str">
            <v>Nhân công</v>
          </cell>
          <cell r="G4916">
            <v>8839767.1799999997</v>
          </cell>
        </row>
        <row r="4917">
          <cell r="B4917" t="str">
            <v>NC1357</v>
          </cell>
          <cell r="C4917" t="str">
            <v>+ Nhân công bậc 3,5/7</v>
          </cell>
          <cell r="D4917" t="str">
            <v>Công</v>
          </cell>
          <cell r="E4917">
            <v>49.29</v>
          </cell>
          <cell r="F4917">
            <v>179342</v>
          </cell>
          <cell r="G4917">
            <v>8839767.1799999997</v>
          </cell>
        </row>
        <row r="4918">
          <cell r="A4918" t="str">
            <v>D4.1301</v>
          </cell>
          <cell r="C4918" t="str">
            <v>Lắp đặt ống bảo vệ cáp qua đường, Loại bằng ống gang, ống thép, ống có đường kính D &lt;= 120mm</v>
          </cell>
          <cell r="D4918" t="str">
            <v>100m</v>
          </cell>
          <cell r="I4918">
            <v>2937621.96</v>
          </cell>
        </row>
        <row r="4919">
          <cell r="C4919" t="str">
            <v>Vật liệu</v>
          </cell>
          <cell r="G4919">
            <v>405130</v>
          </cell>
        </row>
        <row r="4920">
          <cell r="B4920">
            <v>14</v>
          </cell>
          <cell r="C4920" t="str">
            <v>+ Sơn</v>
          </cell>
          <cell r="D4920" t="str">
            <v>kg</v>
          </cell>
          <cell r="E4920">
            <v>8</v>
          </cell>
          <cell r="F4920">
            <v>47000</v>
          </cell>
          <cell r="G4920">
            <v>376000</v>
          </cell>
        </row>
        <row r="4921">
          <cell r="B4921">
            <v>9</v>
          </cell>
          <cell r="C4921" t="str">
            <v>+ Giẻ lau</v>
          </cell>
          <cell r="D4921" t="str">
            <v>Kg</v>
          </cell>
          <cell r="E4921">
            <v>1.5</v>
          </cell>
          <cell r="F4921">
            <v>9500</v>
          </cell>
          <cell r="G4921">
            <v>14250</v>
          </cell>
        </row>
        <row r="4922">
          <cell r="B4922">
            <v>12</v>
          </cell>
          <cell r="C4922" t="str">
            <v>+ Xi măng PC30</v>
          </cell>
          <cell r="D4922" t="str">
            <v>kg</v>
          </cell>
          <cell r="E4922">
            <v>12</v>
          </cell>
          <cell r="F4922">
            <v>1240</v>
          </cell>
          <cell r="G4922">
            <v>14880</v>
          </cell>
        </row>
        <row r="4923">
          <cell r="B4923">
            <v>83</v>
          </cell>
          <cell r="C4923" t="str">
            <v>+ Amiăng</v>
          </cell>
          <cell r="D4923" t="str">
            <v>Kg</v>
          </cell>
          <cell r="E4923">
            <v>6.25</v>
          </cell>
          <cell r="F4923">
            <v>0</v>
          </cell>
          <cell r="G4923">
            <v>0</v>
          </cell>
        </row>
        <row r="4924">
          <cell r="C4924" t="str">
            <v>Nhân công</v>
          </cell>
          <cell r="G4924">
            <v>2937621.96</v>
          </cell>
        </row>
        <row r="4925">
          <cell r="B4925" t="str">
            <v>NC1357</v>
          </cell>
          <cell r="C4925" t="str">
            <v>+ Nhân công bậc 3,5/7</v>
          </cell>
          <cell r="D4925" t="str">
            <v>Công</v>
          </cell>
          <cell r="E4925">
            <v>16.38</v>
          </cell>
          <cell r="F4925">
            <v>179342</v>
          </cell>
          <cell r="G4925">
            <v>2937621.96</v>
          </cell>
        </row>
        <row r="4926">
          <cell r="A4926" t="str">
            <v>D4.1302</v>
          </cell>
          <cell r="C4926" t="str">
            <v>Lắp đặt ống bảo vệ cáp qua đường, Loại bằng ống gang, ống thép, ống có đường kính D &lt;= 220mm</v>
          </cell>
          <cell r="D4926" t="str">
            <v>100m</v>
          </cell>
          <cell r="I4926">
            <v>4017260.8</v>
          </cell>
        </row>
        <row r="4927">
          <cell r="C4927" t="str">
            <v>Vật liệu</v>
          </cell>
          <cell r="G4927">
            <v>701590</v>
          </cell>
        </row>
        <row r="4928">
          <cell r="B4928">
            <v>14</v>
          </cell>
          <cell r="C4928" t="str">
            <v>+ Sơn</v>
          </cell>
          <cell r="D4928" t="str">
            <v>kg</v>
          </cell>
          <cell r="E4928">
            <v>14</v>
          </cell>
          <cell r="F4928">
            <v>47000</v>
          </cell>
          <cell r="G4928">
            <v>658000</v>
          </cell>
        </row>
        <row r="4929">
          <cell r="B4929">
            <v>9</v>
          </cell>
          <cell r="C4929" t="str">
            <v>+ Giẻ lau</v>
          </cell>
          <cell r="D4929" t="str">
            <v>Kg</v>
          </cell>
          <cell r="E4929">
            <v>2.5</v>
          </cell>
          <cell r="F4929">
            <v>9500</v>
          </cell>
          <cell r="G4929">
            <v>23750</v>
          </cell>
        </row>
        <row r="4930">
          <cell r="B4930">
            <v>12</v>
          </cell>
          <cell r="C4930" t="str">
            <v>+ Xi măng PC30</v>
          </cell>
          <cell r="D4930" t="str">
            <v>kg</v>
          </cell>
          <cell r="E4930">
            <v>16</v>
          </cell>
          <cell r="F4930">
            <v>1240</v>
          </cell>
          <cell r="G4930">
            <v>19840</v>
          </cell>
        </row>
        <row r="4931">
          <cell r="B4931">
            <v>83</v>
          </cell>
          <cell r="C4931" t="str">
            <v>+ Amiăng</v>
          </cell>
          <cell r="D4931" t="str">
            <v>Kg</v>
          </cell>
          <cell r="E4931">
            <v>8.75</v>
          </cell>
          <cell r="F4931">
            <v>0</v>
          </cell>
          <cell r="G4931">
            <v>0</v>
          </cell>
        </row>
        <row r="4932">
          <cell r="C4932" t="str">
            <v>Nhân công</v>
          </cell>
          <cell r="G4932">
            <v>4017260.8</v>
          </cell>
        </row>
        <row r="4933">
          <cell r="B4933" t="str">
            <v>NC1357</v>
          </cell>
          <cell r="C4933" t="str">
            <v>+ Nhân công bậc 3,5/7</v>
          </cell>
          <cell r="D4933" t="str">
            <v>Công</v>
          </cell>
          <cell r="E4933">
            <v>22.4</v>
          </cell>
          <cell r="F4933">
            <v>179342</v>
          </cell>
          <cell r="G4933">
            <v>4017260.8</v>
          </cell>
        </row>
        <row r="4934">
          <cell r="A4934" t="str">
            <v>D4.1303</v>
          </cell>
          <cell r="C4934" t="str">
            <v>Lắp đặt ống bảo vệ cáp qua đường, Loại ống bằng bê tông, ống có đường kính D &lt;= 150mm</v>
          </cell>
          <cell r="D4934" t="str">
            <v>100m</v>
          </cell>
          <cell r="I4934">
            <v>6904667</v>
          </cell>
        </row>
        <row r="4935">
          <cell r="C4935" t="str">
            <v>Vật liệu</v>
          </cell>
          <cell r="G4935">
            <v>515000</v>
          </cell>
        </row>
        <row r="4936">
          <cell r="B4936">
            <v>13</v>
          </cell>
          <cell r="C4936" t="str">
            <v>+ Cát vàng</v>
          </cell>
          <cell r="D4936" t="str">
            <v>M3</v>
          </cell>
          <cell r="E4936">
            <v>0.5</v>
          </cell>
          <cell r="F4936">
            <v>410000</v>
          </cell>
          <cell r="G4936">
            <v>205000</v>
          </cell>
        </row>
        <row r="4937">
          <cell r="B4937">
            <v>12</v>
          </cell>
          <cell r="C4937" t="str">
            <v>+ Xi măng PC30</v>
          </cell>
          <cell r="D4937" t="str">
            <v>kg</v>
          </cell>
          <cell r="E4937">
            <v>250</v>
          </cell>
          <cell r="F4937">
            <v>1240</v>
          </cell>
          <cell r="G4937">
            <v>310000</v>
          </cell>
        </row>
        <row r="4938">
          <cell r="C4938" t="str">
            <v>Nhân công</v>
          </cell>
          <cell r="G4938">
            <v>6904667</v>
          </cell>
        </row>
        <row r="4939">
          <cell r="B4939" t="str">
            <v>NC1357</v>
          </cell>
          <cell r="C4939" t="str">
            <v>+ Nhân công bậc 3,5/7</v>
          </cell>
          <cell r="D4939" t="str">
            <v>Công</v>
          </cell>
          <cell r="E4939">
            <v>38.5</v>
          </cell>
          <cell r="F4939">
            <v>179342</v>
          </cell>
          <cell r="G4939">
            <v>6904667</v>
          </cell>
        </row>
        <row r="4940">
          <cell r="A4940" t="str">
            <v>D4.1304</v>
          </cell>
          <cell r="C4940" t="str">
            <v>Lắp đặt ống bảo vệ cáp qua đường, Loại ống bằng bê tông, ống có đường kính D &lt;= 250mm</v>
          </cell>
          <cell r="D4940" t="str">
            <v>100m</v>
          </cell>
          <cell r="I4940">
            <v>8787758</v>
          </cell>
        </row>
        <row r="4941">
          <cell r="C4941" t="str">
            <v>Vật liệu</v>
          </cell>
          <cell r="G4941">
            <v>793000</v>
          </cell>
        </row>
        <row r="4942">
          <cell r="B4942">
            <v>13</v>
          </cell>
          <cell r="C4942" t="str">
            <v>+ Cát vàng</v>
          </cell>
          <cell r="D4942" t="str">
            <v>M3</v>
          </cell>
          <cell r="E4942">
            <v>0.8</v>
          </cell>
          <cell r="F4942">
            <v>410000</v>
          </cell>
          <cell r="G4942">
            <v>328000</v>
          </cell>
        </row>
        <row r="4943">
          <cell r="B4943">
            <v>12</v>
          </cell>
          <cell r="C4943" t="str">
            <v>+ Xi măng PC30</v>
          </cell>
          <cell r="D4943" t="str">
            <v>kg</v>
          </cell>
          <cell r="E4943">
            <v>375</v>
          </cell>
          <cell r="F4943">
            <v>1240</v>
          </cell>
          <cell r="G4943">
            <v>465000</v>
          </cell>
        </row>
        <row r="4944">
          <cell r="C4944" t="str">
            <v>Nhân công</v>
          </cell>
          <cell r="G4944">
            <v>8787758</v>
          </cell>
        </row>
        <row r="4945">
          <cell r="B4945" t="str">
            <v>NC1357</v>
          </cell>
          <cell r="C4945" t="str">
            <v>+ Nhân công bậc 3,5/7</v>
          </cell>
          <cell r="D4945" t="str">
            <v>Công</v>
          </cell>
          <cell r="E4945">
            <v>49</v>
          </cell>
          <cell r="F4945">
            <v>179342</v>
          </cell>
          <cell r="G4945">
            <v>8787758</v>
          </cell>
        </row>
        <row r="4946">
          <cell r="A4946" t="str">
            <v>D4.1401</v>
          </cell>
          <cell r="C4946" t="str">
            <v>Lắp đặt ống nhựa bảo vệ cáp, ống có đường kính &lt;= 15mm</v>
          </cell>
          <cell r="D4946" t="str">
            <v>100m</v>
          </cell>
          <cell r="I4946">
            <v>1793420</v>
          </cell>
        </row>
        <row r="4947">
          <cell r="C4947" t="str">
            <v>Vật liệu</v>
          </cell>
          <cell r="G4947">
            <v>882967.78795000003</v>
          </cell>
        </row>
        <row r="4948">
          <cell r="B4948">
            <v>85</v>
          </cell>
          <cell r="C4948" t="str">
            <v>+ Ông nhựa d15mm</v>
          </cell>
          <cell r="D4948" t="str">
            <v>M3</v>
          </cell>
          <cell r="E4948">
            <v>100.5</v>
          </cell>
          <cell r="F4948">
            <v>8000</v>
          </cell>
          <cell r="G4948">
            <v>804000</v>
          </cell>
        </row>
        <row r="4949">
          <cell r="B4949">
            <v>99</v>
          </cell>
          <cell r="C4949" t="str">
            <v>+ Măng sông nhựa d15mm</v>
          </cell>
          <cell r="D4949" t="str">
            <v>cái</v>
          </cell>
          <cell r="E4949">
            <v>12</v>
          </cell>
          <cell r="F4949">
            <v>6500</v>
          </cell>
          <cell r="G4949">
            <v>78000</v>
          </cell>
        </row>
        <row r="4950">
          <cell r="B4950">
            <v>1</v>
          </cell>
          <cell r="C4950" t="str">
            <v>+ Cồn công nghiệp</v>
          </cell>
          <cell r="D4950" t="str">
            <v>kg</v>
          </cell>
          <cell r="E4950">
            <v>1.0999999999999999E-2</v>
          </cell>
          <cell r="F4950">
            <v>9500</v>
          </cell>
          <cell r="G4950">
            <v>104.5</v>
          </cell>
        </row>
        <row r="4951">
          <cell r="B4951">
            <v>84</v>
          </cell>
          <cell r="C4951" t="str">
            <v>+ Nhựa dán</v>
          </cell>
          <cell r="D4951" t="str">
            <v>Kg</v>
          </cell>
          <cell r="E4951">
            <v>3.1E-2</v>
          </cell>
          <cell r="F4951">
            <v>25000</v>
          </cell>
          <cell r="G4951">
            <v>775</v>
          </cell>
        </row>
        <row r="4952">
          <cell r="B4952">
            <v>137</v>
          </cell>
          <cell r="C4952" t="str">
            <v>Vật liệu khác</v>
          </cell>
          <cell r="D4952" t="str">
            <v>%</v>
          </cell>
          <cell r="E4952">
            <v>0.01</v>
          </cell>
          <cell r="F4952">
            <v>1500</v>
          </cell>
          <cell r="G4952">
            <v>88.287950000000009</v>
          </cell>
        </row>
        <row r="4953">
          <cell r="C4953" t="str">
            <v>Nhân công</v>
          </cell>
          <cell r="G4953">
            <v>1793420</v>
          </cell>
        </row>
        <row r="4954">
          <cell r="B4954" t="str">
            <v>NC1357</v>
          </cell>
          <cell r="C4954" t="str">
            <v>+ Nhân công bậc 3,5/7</v>
          </cell>
          <cell r="D4954" t="str">
            <v>Công</v>
          </cell>
          <cell r="E4954">
            <v>10</v>
          </cell>
          <cell r="F4954">
            <v>179342</v>
          </cell>
          <cell r="G4954">
            <v>1793420</v>
          </cell>
        </row>
        <row r="4955">
          <cell r="A4955" t="str">
            <v>D4.1402</v>
          </cell>
          <cell r="C4955" t="str">
            <v>Lắp đặt ống nhựa bảo vệ cáp, ống có đường kính &lt;= 20mm</v>
          </cell>
          <cell r="D4955" t="str">
            <v>100m</v>
          </cell>
          <cell r="I4955">
            <v>1883091</v>
          </cell>
        </row>
        <row r="4956">
          <cell r="C4956" t="str">
            <v>Vật liệu</v>
          </cell>
          <cell r="G4956">
            <v>1102302.7192500001</v>
          </cell>
        </row>
        <row r="4957">
          <cell r="B4957">
            <v>86</v>
          </cell>
          <cell r="C4957" t="str">
            <v>+ Ông nhựa d20mm</v>
          </cell>
          <cell r="D4957" t="str">
            <v>M3</v>
          </cell>
          <cell r="E4957">
            <v>100.5</v>
          </cell>
          <cell r="F4957">
            <v>10000</v>
          </cell>
          <cell r="G4957">
            <v>1005000</v>
          </cell>
        </row>
        <row r="4958">
          <cell r="B4958">
            <v>100</v>
          </cell>
          <cell r="C4958" t="str">
            <v>+ Măng sông nhựa d20mm</v>
          </cell>
          <cell r="D4958" t="str">
            <v>cái</v>
          </cell>
          <cell r="E4958">
            <v>12</v>
          </cell>
          <cell r="F4958">
            <v>8000</v>
          </cell>
          <cell r="G4958">
            <v>96000</v>
          </cell>
        </row>
        <row r="4959">
          <cell r="B4959">
            <v>1</v>
          </cell>
          <cell r="C4959" t="str">
            <v>+ Cồn công nghiệp</v>
          </cell>
          <cell r="D4959" t="str">
            <v>kg</v>
          </cell>
          <cell r="E4959">
            <v>1.4999999999999999E-2</v>
          </cell>
          <cell r="F4959">
            <v>9500</v>
          </cell>
          <cell r="G4959">
            <v>142.5</v>
          </cell>
        </row>
        <row r="4960">
          <cell r="B4960">
            <v>84</v>
          </cell>
          <cell r="C4960" t="str">
            <v>+ Nhựa dán</v>
          </cell>
          <cell r="D4960" t="str">
            <v>Kg</v>
          </cell>
          <cell r="E4960">
            <v>4.2000000000000003E-2</v>
          </cell>
          <cell r="F4960">
            <v>25000</v>
          </cell>
          <cell r="G4960">
            <v>1050</v>
          </cell>
        </row>
        <row r="4961">
          <cell r="B4961">
            <v>137</v>
          </cell>
          <cell r="C4961" t="str">
            <v>Vật liệu khác</v>
          </cell>
          <cell r="D4961" t="str">
            <v>%</v>
          </cell>
          <cell r="E4961">
            <v>0.01</v>
          </cell>
          <cell r="F4961">
            <v>1500</v>
          </cell>
          <cell r="G4961">
            <v>110.21925</v>
          </cell>
        </row>
        <row r="4962">
          <cell r="C4962" t="str">
            <v>Nhân công</v>
          </cell>
          <cell r="G4962">
            <v>1883091</v>
          </cell>
        </row>
        <row r="4963">
          <cell r="B4963" t="str">
            <v>NC1357</v>
          </cell>
          <cell r="C4963" t="str">
            <v>+ Nhân công bậc 3,5/7</v>
          </cell>
          <cell r="D4963" t="str">
            <v>Công</v>
          </cell>
          <cell r="E4963">
            <v>10.5</v>
          </cell>
          <cell r="F4963">
            <v>179342</v>
          </cell>
          <cell r="G4963">
            <v>1883091</v>
          </cell>
        </row>
        <row r="4964">
          <cell r="A4964" t="str">
            <v>D4.1403</v>
          </cell>
          <cell r="C4964" t="str">
            <v>Lắp đặt ống nhựa bảo vệ cáp, ống có đường kính &lt;= 25mm</v>
          </cell>
          <cell r="D4964" t="str">
            <v>100m</v>
          </cell>
          <cell r="I4964">
            <v>1918959.4</v>
          </cell>
        </row>
        <row r="4965">
          <cell r="C4965" t="str">
            <v>Vật liệu</v>
          </cell>
          <cell r="G4965">
            <v>1414732.4591000001</v>
          </cell>
        </row>
        <row r="4966">
          <cell r="B4966">
            <v>87</v>
          </cell>
          <cell r="C4966" t="str">
            <v>+ Ông nhựa d25mm</v>
          </cell>
          <cell r="D4966" t="str">
            <v>M3</v>
          </cell>
          <cell r="E4966">
            <v>100.5</v>
          </cell>
          <cell r="F4966">
            <v>12800</v>
          </cell>
          <cell r="G4966">
            <v>1286400</v>
          </cell>
        </row>
        <row r="4967">
          <cell r="B4967">
            <v>101</v>
          </cell>
          <cell r="C4967" t="str">
            <v>+ Măng sông nhựa d25mm</v>
          </cell>
          <cell r="D4967" t="str">
            <v>cái</v>
          </cell>
          <cell r="E4967">
            <v>12</v>
          </cell>
          <cell r="F4967">
            <v>10560</v>
          </cell>
          <cell r="G4967">
            <v>126720</v>
          </cell>
        </row>
        <row r="4968">
          <cell r="B4968">
            <v>1</v>
          </cell>
          <cell r="C4968" t="str">
            <v>+ Cồn công nghiệp</v>
          </cell>
          <cell r="D4968" t="str">
            <v>kg</v>
          </cell>
          <cell r="E4968">
            <v>1.7999999999999999E-2</v>
          </cell>
          <cell r="F4968">
            <v>9500</v>
          </cell>
          <cell r="G4968">
            <v>171</v>
          </cell>
        </row>
        <row r="4969">
          <cell r="B4969">
            <v>84</v>
          </cell>
          <cell r="C4969" t="str">
            <v>+ Nhựa dán</v>
          </cell>
          <cell r="D4969" t="str">
            <v>Kg</v>
          </cell>
          <cell r="E4969">
            <v>5.1999999999999998E-2</v>
          </cell>
          <cell r="F4969">
            <v>25000</v>
          </cell>
          <cell r="G4969">
            <v>1300</v>
          </cell>
        </row>
        <row r="4970">
          <cell r="B4970">
            <v>137</v>
          </cell>
          <cell r="C4970" t="str">
            <v>Vật liệu khác</v>
          </cell>
          <cell r="D4970" t="str">
            <v>%</v>
          </cell>
          <cell r="E4970">
            <v>0.01</v>
          </cell>
          <cell r="F4970">
            <v>1500</v>
          </cell>
          <cell r="G4970">
            <v>141.45910000000001</v>
          </cell>
        </row>
        <row r="4971">
          <cell r="C4971" t="str">
            <v>Nhân công</v>
          </cell>
          <cell r="G4971">
            <v>1918959.4</v>
          </cell>
        </row>
        <row r="4972">
          <cell r="B4972" t="str">
            <v>NC1357</v>
          </cell>
          <cell r="C4972" t="str">
            <v>+ Nhân công bậc 3,5/7</v>
          </cell>
          <cell r="D4972" t="str">
            <v>Công</v>
          </cell>
          <cell r="E4972">
            <v>10.7</v>
          </cell>
          <cell r="F4972">
            <v>179342</v>
          </cell>
          <cell r="G4972">
            <v>1918959.4</v>
          </cell>
        </row>
        <row r="4973">
          <cell r="A4973" t="str">
            <v>D4.1404</v>
          </cell>
          <cell r="C4973" t="str">
            <v>Lắp đặt ống nhựa bảo vệ cáp, ống có đường kính &lt;= 32mm</v>
          </cell>
          <cell r="D4973" t="str">
            <v>100m</v>
          </cell>
          <cell r="I4973">
            <v>1972762</v>
          </cell>
        </row>
        <row r="4974">
          <cell r="C4974" t="str">
            <v>Vật liệu</v>
          </cell>
          <cell r="G4974">
            <v>1616074.5913</v>
          </cell>
        </row>
        <row r="4975">
          <cell r="B4975">
            <v>88</v>
          </cell>
          <cell r="C4975" t="str">
            <v>+ Ông nhựa d32mm</v>
          </cell>
          <cell r="D4975" t="str">
            <v>M3</v>
          </cell>
          <cell r="E4975">
            <v>100.5</v>
          </cell>
          <cell r="F4975">
            <v>14900</v>
          </cell>
          <cell r="G4975">
            <v>1497450</v>
          </cell>
        </row>
        <row r="4976">
          <cell r="B4976">
            <v>102</v>
          </cell>
          <cell r="C4976" t="str">
            <v>+ Măng sông nhựa d32mm</v>
          </cell>
          <cell r="D4976" t="str">
            <v>cái</v>
          </cell>
          <cell r="E4976">
            <v>12</v>
          </cell>
          <cell r="F4976">
            <v>9680</v>
          </cell>
          <cell r="G4976">
            <v>116160</v>
          </cell>
        </row>
        <row r="4977">
          <cell r="B4977">
            <v>1</v>
          </cell>
          <cell r="C4977" t="str">
            <v>+ Cồn công nghiệp</v>
          </cell>
          <cell r="D4977" t="str">
            <v>kg</v>
          </cell>
          <cell r="E4977">
            <v>2.4E-2</v>
          </cell>
          <cell r="F4977">
            <v>9500</v>
          </cell>
          <cell r="G4977">
            <v>228</v>
          </cell>
        </row>
        <row r="4978">
          <cell r="B4978">
            <v>84</v>
          </cell>
          <cell r="C4978" t="str">
            <v>+ Nhựa dán</v>
          </cell>
          <cell r="D4978" t="str">
            <v>Kg</v>
          </cell>
          <cell r="E4978">
            <v>8.3000000000000004E-2</v>
          </cell>
          <cell r="F4978">
            <v>25000</v>
          </cell>
          <cell r="G4978">
            <v>2075</v>
          </cell>
        </row>
        <row r="4979">
          <cell r="B4979">
            <v>137</v>
          </cell>
          <cell r="C4979" t="str">
            <v>Vật liệu khác</v>
          </cell>
          <cell r="D4979" t="str">
            <v>%</v>
          </cell>
          <cell r="E4979">
            <v>0.01</v>
          </cell>
          <cell r="F4979">
            <v>1500</v>
          </cell>
          <cell r="G4979">
            <v>161.59130000000002</v>
          </cell>
        </row>
        <row r="4980">
          <cell r="C4980" t="str">
            <v>Nhân công</v>
          </cell>
          <cell r="G4980">
            <v>1972762</v>
          </cell>
        </row>
        <row r="4981">
          <cell r="B4981" t="str">
            <v>NC1357</v>
          </cell>
          <cell r="C4981" t="str">
            <v>+ Nhân công bậc 3,5/7</v>
          </cell>
          <cell r="D4981" t="str">
            <v>Công</v>
          </cell>
          <cell r="E4981">
            <v>11</v>
          </cell>
          <cell r="F4981">
            <v>179342</v>
          </cell>
          <cell r="G4981">
            <v>1972762</v>
          </cell>
        </row>
        <row r="4982">
          <cell r="A4982" t="str">
            <v>D4.1405</v>
          </cell>
          <cell r="C4982" t="str">
            <v>Lắp đặt ống nhựa bảo vệ cáp, ống có đường kính &lt;= 40mm</v>
          </cell>
          <cell r="D4982" t="str">
            <v>100m</v>
          </cell>
          <cell r="I4982">
            <v>2474919.6</v>
          </cell>
        </row>
        <row r="4983">
          <cell r="C4983" t="str">
            <v>Vật liệu</v>
          </cell>
          <cell r="G4983">
            <v>2289430.9202000001</v>
          </cell>
        </row>
        <row r="4984">
          <cell r="B4984">
            <v>89</v>
          </cell>
          <cell r="C4984" t="str">
            <v>+ Ông nhựa d40mm</v>
          </cell>
          <cell r="D4984" t="str">
            <v>M3</v>
          </cell>
          <cell r="E4984">
            <v>100.5</v>
          </cell>
          <cell r="F4984">
            <v>21400</v>
          </cell>
          <cell r="G4984">
            <v>2150700</v>
          </cell>
        </row>
        <row r="4985">
          <cell r="B4985">
            <v>103</v>
          </cell>
          <cell r="C4985" t="str">
            <v>+ Măng sông nhựa d40mm</v>
          </cell>
          <cell r="D4985" t="str">
            <v>cái</v>
          </cell>
          <cell r="E4985">
            <v>12</v>
          </cell>
          <cell r="F4985">
            <v>11330</v>
          </cell>
          <cell r="G4985">
            <v>135960</v>
          </cell>
        </row>
        <row r="4986">
          <cell r="B4986">
            <v>1</v>
          </cell>
          <cell r="C4986" t="str">
            <v>+ Cồn công nghiệp</v>
          </cell>
          <cell r="D4986" t="str">
            <v>kg</v>
          </cell>
          <cell r="E4986">
            <v>3.5999999999999997E-2</v>
          </cell>
          <cell r="F4986">
            <v>9500</v>
          </cell>
          <cell r="G4986">
            <v>342</v>
          </cell>
        </row>
        <row r="4987">
          <cell r="B4987">
            <v>84</v>
          </cell>
          <cell r="C4987" t="str">
            <v>+ Nhựa dán</v>
          </cell>
          <cell r="D4987" t="str">
            <v>Kg</v>
          </cell>
          <cell r="E4987">
            <v>8.7999999999999995E-2</v>
          </cell>
          <cell r="F4987">
            <v>25000</v>
          </cell>
          <cell r="G4987">
            <v>2200</v>
          </cell>
        </row>
        <row r="4988">
          <cell r="B4988">
            <v>137</v>
          </cell>
          <cell r="C4988" t="str">
            <v>Vật liệu khác</v>
          </cell>
          <cell r="D4988" t="str">
            <v>%</v>
          </cell>
          <cell r="E4988">
            <v>0.01</v>
          </cell>
          <cell r="F4988">
            <v>1500</v>
          </cell>
          <cell r="G4988">
            <v>228.92020000000002</v>
          </cell>
        </row>
        <row r="4989">
          <cell r="C4989" t="str">
            <v>Nhân công</v>
          </cell>
          <cell r="G4989">
            <v>2474919.6</v>
          </cell>
        </row>
        <row r="4990">
          <cell r="B4990" t="str">
            <v>NC1357</v>
          </cell>
          <cell r="C4990" t="str">
            <v>+ Nhân công bậc 3,5/7</v>
          </cell>
          <cell r="D4990" t="str">
            <v>Công</v>
          </cell>
          <cell r="E4990">
            <v>13.8</v>
          </cell>
          <cell r="F4990">
            <v>179342</v>
          </cell>
          <cell r="G4990">
            <v>2474919.6</v>
          </cell>
        </row>
        <row r="4991">
          <cell r="A4991" t="str">
            <v>D4.1406</v>
          </cell>
          <cell r="C4991" t="str">
            <v>Lắp đặt ống nhựa bảo vệ cáp, ống có đường kính &lt;= 50mm</v>
          </cell>
          <cell r="D4991" t="str">
            <v>100m</v>
          </cell>
          <cell r="I4991">
            <v>2510788</v>
          </cell>
        </row>
        <row r="4992">
          <cell r="C4992" t="str">
            <v>Vật liệu</v>
          </cell>
          <cell r="G4992">
            <v>3150073.9759</v>
          </cell>
        </row>
        <row r="4993">
          <cell r="B4993">
            <v>90</v>
          </cell>
          <cell r="C4993" t="str">
            <v>+ Ông nhựa d50mm</v>
          </cell>
          <cell r="D4993" t="str">
            <v>M3</v>
          </cell>
          <cell r="E4993">
            <v>100.5</v>
          </cell>
          <cell r="F4993">
            <v>29300</v>
          </cell>
          <cell r="G4993">
            <v>2944650</v>
          </cell>
        </row>
        <row r="4994">
          <cell r="B4994">
            <v>104</v>
          </cell>
          <cell r="C4994" t="str">
            <v>+ Măng sông nhựa d50mm</v>
          </cell>
          <cell r="D4994" t="str">
            <v>cái</v>
          </cell>
          <cell r="E4994">
            <v>12</v>
          </cell>
          <cell r="F4994">
            <v>16830</v>
          </cell>
          <cell r="G4994">
            <v>201960</v>
          </cell>
        </row>
        <row r="4995">
          <cell r="B4995">
            <v>1</v>
          </cell>
          <cell r="C4995" t="str">
            <v>+ Cồn công nghiệp</v>
          </cell>
          <cell r="D4995" t="str">
            <v>kg</v>
          </cell>
          <cell r="E4995">
            <v>4.2000000000000003E-2</v>
          </cell>
          <cell r="F4995">
            <v>9500</v>
          </cell>
          <cell r="G4995">
            <v>399</v>
          </cell>
        </row>
        <row r="4996">
          <cell r="B4996">
            <v>84</v>
          </cell>
          <cell r="C4996" t="str">
            <v>+ Nhựa dán</v>
          </cell>
          <cell r="D4996" t="str">
            <v>Kg</v>
          </cell>
          <cell r="E4996">
            <v>0.11</v>
          </cell>
          <cell r="F4996">
            <v>25000</v>
          </cell>
          <cell r="G4996">
            <v>2750</v>
          </cell>
        </row>
        <row r="4997">
          <cell r="B4997">
            <v>137</v>
          </cell>
          <cell r="C4997" t="str">
            <v>Vật liệu khác</v>
          </cell>
          <cell r="D4997" t="str">
            <v>%</v>
          </cell>
          <cell r="E4997">
            <v>0.01</v>
          </cell>
          <cell r="F4997">
            <v>1500</v>
          </cell>
          <cell r="G4997">
            <v>314.97590000000002</v>
          </cell>
        </row>
        <row r="4998">
          <cell r="C4998" t="str">
            <v>Nhân công</v>
          </cell>
          <cell r="G4998">
            <v>2510788</v>
          </cell>
        </row>
        <row r="4999">
          <cell r="B4999" t="str">
            <v>NC1357</v>
          </cell>
          <cell r="C4999" t="str">
            <v>+ Nhân công bậc 3,5/7</v>
          </cell>
          <cell r="D4999" t="str">
            <v>Công</v>
          </cell>
          <cell r="E4999">
            <v>14</v>
          </cell>
          <cell r="F4999">
            <v>179342</v>
          </cell>
          <cell r="G4999">
            <v>2510788</v>
          </cell>
        </row>
        <row r="5000">
          <cell r="A5000" t="str">
            <v>D4.1407</v>
          </cell>
          <cell r="C5000" t="str">
            <v>Lắp đặt ống nhựa bảo vệ cáp, ống có đường kính &lt;= 67mm</v>
          </cell>
          <cell r="D5000" t="str">
            <v>100m</v>
          </cell>
          <cell r="I5000">
            <v>2691923.42</v>
          </cell>
        </row>
        <row r="5001">
          <cell r="C5001" t="str">
            <v>Vật liệu</v>
          </cell>
          <cell r="G5001">
            <v>4587155.6697000004</v>
          </cell>
        </row>
        <row r="5002">
          <cell r="B5002">
            <v>91</v>
          </cell>
          <cell r="C5002" t="str">
            <v>+ Ông nhựa d67mm</v>
          </cell>
          <cell r="D5002" t="str">
            <v>M3</v>
          </cell>
          <cell r="E5002">
            <v>100.5</v>
          </cell>
          <cell r="F5002">
            <v>42500</v>
          </cell>
          <cell r="G5002">
            <v>4271250</v>
          </cell>
        </row>
        <row r="5003">
          <cell r="B5003">
            <v>105</v>
          </cell>
          <cell r="C5003" t="str">
            <v>+ Măng sông nhựa d67mm</v>
          </cell>
          <cell r="D5003" t="str">
            <v>cái</v>
          </cell>
          <cell r="E5003">
            <v>12</v>
          </cell>
          <cell r="F5003">
            <v>25960</v>
          </cell>
          <cell r="G5003">
            <v>311520</v>
          </cell>
        </row>
        <row r="5004">
          <cell r="B5004">
            <v>1</v>
          </cell>
          <cell r="C5004" t="str">
            <v>+ Cồn công nghiệp</v>
          </cell>
          <cell r="D5004" t="str">
            <v>kg</v>
          </cell>
          <cell r="E5004">
            <v>6.6000000000000003E-2</v>
          </cell>
          <cell r="F5004">
            <v>9500</v>
          </cell>
          <cell r="G5004">
            <v>627</v>
          </cell>
        </row>
        <row r="5005">
          <cell r="B5005">
            <v>84</v>
          </cell>
          <cell r="C5005" t="str">
            <v>+ Nhựa dán</v>
          </cell>
          <cell r="D5005" t="str">
            <v>Kg</v>
          </cell>
          <cell r="E5005">
            <v>0.13200000000000001</v>
          </cell>
          <cell r="F5005">
            <v>25000</v>
          </cell>
          <cell r="G5005">
            <v>3300</v>
          </cell>
        </row>
        <row r="5006">
          <cell r="B5006">
            <v>137</v>
          </cell>
          <cell r="C5006" t="str">
            <v>Vật liệu khác</v>
          </cell>
          <cell r="D5006" t="str">
            <v>%</v>
          </cell>
          <cell r="E5006">
            <v>0.01</v>
          </cell>
          <cell r="F5006">
            <v>1500</v>
          </cell>
          <cell r="G5006">
            <v>458.66970000000003</v>
          </cell>
        </row>
        <row r="5007">
          <cell r="C5007" t="str">
            <v>Nhân công</v>
          </cell>
          <cell r="G5007">
            <v>2691923.42</v>
          </cell>
        </row>
        <row r="5008">
          <cell r="B5008" t="str">
            <v>NC1357</v>
          </cell>
          <cell r="C5008" t="str">
            <v>+ Nhân công bậc 3,5/7</v>
          </cell>
          <cell r="D5008" t="str">
            <v>Công</v>
          </cell>
          <cell r="E5008">
            <v>15.01</v>
          </cell>
          <cell r="F5008">
            <v>179342</v>
          </cell>
          <cell r="G5008">
            <v>2691923.42</v>
          </cell>
        </row>
        <row r="5009">
          <cell r="A5009" t="str">
            <v>D4.1408</v>
          </cell>
          <cell r="C5009" t="str">
            <v>Lắp đặt ống nhựa bảo vệ cáp, ống có đường kính &lt;= 76mm</v>
          </cell>
          <cell r="D5009" t="str">
            <v>100m</v>
          </cell>
          <cell r="I5009">
            <v>3052400.84</v>
          </cell>
        </row>
        <row r="5010">
          <cell r="C5010" t="str">
            <v>Vật liệu</v>
          </cell>
          <cell r="G5010">
            <v>5902374.6784499995</v>
          </cell>
        </row>
        <row r="5011">
          <cell r="B5011">
            <v>92</v>
          </cell>
          <cell r="C5011" t="str">
            <v>+ Ông nhựa d76mm</v>
          </cell>
          <cell r="D5011" t="str">
            <v>M3</v>
          </cell>
          <cell r="E5011">
            <v>100.5</v>
          </cell>
          <cell r="F5011">
            <v>55300</v>
          </cell>
          <cell r="G5011">
            <v>5557650</v>
          </cell>
        </row>
        <row r="5012">
          <cell r="B5012">
            <v>106</v>
          </cell>
          <cell r="C5012" t="str">
            <v>+ Măng sông nhựa d76mm</v>
          </cell>
          <cell r="D5012" t="str">
            <v>cái</v>
          </cell>
          <cell r="E5012">
            <v>12</v>
          </cell>
          <cell r="F5012">
            <v>28270</v>
          </cell>
          <cell r="G5012">
            <v>339240</v>
          </cell>
        </row>
        <row r="5013">
          <cell r="B5013">
            <v>1</v>
          </cell>
          <cell r="C5013" t="str">
            <v>+ Cồn công nghiệp</v>
          </cell>
          <cell r="D5013" t="str">
            <v>kg</v>
          </cell>
          <cell r="E5013">
            <v>8.1000000000000003E-2</v>
          </cell>
          <cell r="F5013">
            <v>9500</v>
          </cell>
          <cell r="G5013">
            <v>769.5</v>
          </cell>
        </row>
        <row r="5014">
          <cell r="B5014">
            <v>84</v>
          </cell>
          <cell r="C5014" t="str">
            <v>+ Nhựa dán</v>
          </cell>
          <cell r="D5014" t="str">
            <v>Kg</v>
          </cell>
          <cell r="E5014">
            <v>0.16500000000000001</v>
          </cell>
          <cell r="F5014">
            <v>25000</v>
          </cell>
          <cell r="G5014">
            <v>4125</v>
          </cell>
        </row>
        <row r="5015">
          <cell r="B5015">
            <v>137</v>
          </cell>
          <cell r="C5015" t="str">
            <v>Vật liệu khác</v>
          </cell>
          <cell r="D5015" t="str">
            <v>%</v>
          </cell>
          <cell r="E5015">
            <v>0.01</v>
          </cell>
          <cell r="F5015">
            <v>1500</v>
          </cell>
          <cell r="G5015">
            <v>590.17845</v>
          </cell>
        </row>
        <row r="5016">
          <cell r="C5016" t="str">
            <v>Nhân công</v>
          </cell>
          <cell r="G5016">
            <v>3052400.84</v>
          </cell>
        </row>
        <row r="5017">
          <cell r="B5017" t="str">
            <v>NC1357</v>
          </cell>
          <cell r="C5017" t="str">
            <v>+ Nhân công bậc 3,5/7</v>
          </cell>
          <cell r="D5017" t="str">
            <v>Công</v>
          </cell>
          <cell r="E5017">
            <v>17.02</v>
          </cell>
          <cell r="F5017">
            <v>179342</v>
          </cell>
          <cell r="G5017">
            <v>3052400.84</v>
          </cell>
        </row>
        <row r="5018">
          <cell r="A5018" t="str">
            <v>D4.1409</v>
          </cell>
          <cell r="C5018" t="str">
            <v>Lắp đặt ống nhựa bảo vệ cáp, ống có đường kính &lt;= 89mm</v>
          </cell>
          <cell r="D5018" t="str">
            <v>100m</v>
          </cell>
          <cell r="I5018">
            <v>3576079.4800000004</v>
          </cell>
        </row>
        <row r="5019">
          <cell r="C5019" t="str">
            <v>Vật liệu</v>
          </cell>
          <cell r="G5019">
            <v>8212083.1261999998</v>
          </cell>
        </row>
        <row r="5020">
          <cell r="B5020">
            <v>93</v>
          </cell>
          <cell r="C5020" t="str">
            <v>+ Ông nhựa d89mm</v>
          </cell>
          <cell r="D5020" t="str">
            <v>M3</v>
          </cell>
          <cell r="E5020">
            <v>100.5</v>
          </cell>
          <cell r="F5020">
            <v>78100</v>
          </cell>
          <cell r="G5020">
            <v>7849050</v>
          </cell>
        </row>
        <row r="5021">
          <cell r="B5021">
            <v>107</v>
          </cell>
          <cell r="C5021" t="str">
            <v>+ Măng sông nhựa d89mm</v>
          </cell>
          <cell r="D5021" t="str">
            <v>cái</v>
          </cell>
          <cell r="E5021">
            <v>12</v>
          </cell>
          <cell r="F5021">
            <v>29700</v>
          </cell>
          <cell r="G5021">
            <v>356400</v>
          </cell>
        </row>
        <row r="5022">
          <cell r="B5022">
            <v>1</v>
          </cell>
          <cell r="C5022" t="str">
            <v>+ Cồn công nghiệp</v>
          </cell>
          <cell r="D5022" t="str">
            <v>kg</v>
          </cell>
          <cell r="E5022">
            <v>9.6000000000000002E-2</v>
          </cell>
          <cell r="F5022">
            <v>9500</v>
          </cell>
          <cell r="G5022">
            <v>912</v>
          </cell>
        </row>
        <row r="5023">
          <cell r="B5023">
            <v>84</v>
          </cell>
          <cell r="C5023" t="str">
            <v>+ Nhựa dán</v>
          </cell>
          <cell r="D5023" t="str">
            <v>Kg</v>
          </cell>
          <cell r="E5023">
            <v>0.19600000000000001</v>
          </cell>
          <cell r="F5023">
            <v>25000</v>
          </cell>
          <cell r="G5023">
            <v>4900</v>
          </cell>
        </row>
        <row r="5024">
          <cell r="B5024">
            <v>137</v>
          </cell>
          <cell r="C5024" t="str">
            <v>Vật liệu khác</v>
          </cell>
          <cell r="D5024" t="str">
            <v>%</v>
          </cell>
          <cell r="E5024">
            <v>0.01</v>
          </cell>
          <cell r="F5024">
            <v>1500</v>
          </cell>
          <cell r="G5024">
            <v>821.12620000000004</v>
          </cell>
        </row>
        <row r="5025">
          <cell r="C5025" t="str">
            <v>Nhân công</v>
          </cell>
          <cell r="G5025">
            <v>3576079.4800000004</v>
          </cell>
        </row>
        <row r="5026">
          <cell r="B5026" t="str">
            <v>NC1357</v>
          </cell>
          <cell r="C5026" t="str">
            <v>+ Nhân công bậc 3,5/7</v>
          </cell>
          <cell r="D5026" t="str">
            <v>Công</v>
          </cell>
          <cell r="E5026">
            <v>19.940000000000001</v>
          </cell>
          <cell r="F5026">
            <v>179342</v>
          </cell>
          <cell r="G5026">
            <v>3576079.4800000004</v>
          </cell>
        </row>
        <row r="5027">
          <cell r="A5027" t="str">
            <v>D4.1410</v>
          </cell>
          <cell r="C5027" t="str">
            <v>Lắp đặt ống nhựa bảo vệ cáp, ống có đường kính &lt;= 100mm</v>
          </cell>
          <cell r="D5027" t="str">
            <v>100m</v>
          </cell>
          <cell r="I5027">
            <v>3816397.7600000002</v>
          </cell>
        </row>
        <row r="5028">
          <cell r="C5028" t="str">
            <v>Vật liệu</v>
          </cell>
          <cell r="G5028">
            <v>12617801.653999999</v>
          </cell>
        </row>
        <row r="5029">
          <cell r="B5029">
            <v>94</v>
          </cell>
          <cell r="C5029" t="str">
            <v>+ Ông nhựa d100mm</v>
          </cell>
          <cell r="D5029" t="str">
            <v>M3</v>
          </cell>
          <cell r="E5029">
            <v>100.5</v>
          </cell>
          <cell r="F5029">
            <v>121400</v>
          </cell>
          <cell r="G5029">
            <v>12200700</v>
          </cell>
        </row>
        <row r="5030">
          <cell r="B5030">
            <v>108</v>
          </cell>
          <cell r="C5030" t="str">
            <v>+ Măng sông nhựa d100mm</v>
          </cell>
          <cell r="D5030" t="str">
            <v>cái</v>
          </cell>
          <cell r="E5030">
            <v>12</v>
          </cell>
          <cell r="F5030">
            <v>34100</v>
          </cell>
          <cell r="G5030">
            <v>409200</v>
          </cell>
        </row>
        <row r="5031">
          <cell r="B5031">
            <v>1</v>
          </cell>
          <cell r="C5031" t="str">
            <v>+ Cồn công nghiệp</v>
          </cell>
          <cell r="D5031" t="str">
            <v>kg</v>
          </cell>
          <cell r="E5031">
            <v>0.12</v>
          </cell>
          <cell r="F5031">
            <v>9500</v>
          </cell>
          <cell r="G5031">
            <v>1140</v>
          </cell>
        </row>
        <row r="5032">
          <cell r="B5032">
            <v>84</v>
          </cell>
          <cell r="C5032" t="str">
            <v>+ Nhựa dán</v>
          </cell>
          <cell r="D5032" t="str">
            <v>Kg</v>
          </cell>
          <cell r="E5032">
            <v>0.22</v>
          </cell>
          <cell r="F5032">
            <v>25000</v>
          </cell>
          <cell r="G5032">
            <v>5500</v>
          </cell>
        </row>
        <row r="5033">
          <cell r="B5033">
            <v>137</v>
          </cell>
          <cell r="C5033" t="str">
            <v>Vật liệu khác</v>
          </cell>
          <cell r="D5033" t="str">
            <v>%</v>
          </cell>
          <cell r="E5033">
            <v>0.01</v>
          </cell>
          <cell r="F5033">
            <v>1500</v>
          </cell>
          <cell r="G5033">
            <v>1261.654</v>
          </cell>
        </row>
        <row r="5034">
          <cell r="C5034" t="str">
            <v>Nhân công</v>
          </cell>
          <cell r="G5034">
            <v>3816397.7600000002</v>
          </cell>
        </row>
        <row r="5035">
          <cell r="B5035" t="str">
            <v>NC1357</v>
          </cell>
          <cell r="C5035" t="str">
            <v>+ Nhân công bậc 3,5/7</v>
          </cell>
          <cell r="D5035" t="str">
            <v>Công</v>
          </cell>
          <cell r="E5035">
            <v>21.28</v>
          </cell>
          <cell r="F5035">
            <v>179342</v>
          </cell>
          <cell r="G5035">
            <v>3816397.7600000002</v>
          </cell>
        </row>
        <row r="5036">
          <cell r="A5036" t="str">
            <v>D4.1411</v>
          </cell>
          <cell r="C5036" t="str">
            <v>Lắp đặt ống nhựa bảo vệ cáp, ống có đường kính =&lt;110mm</v>
          </cell>
          <cell r="D5036" t="str">
            <v>100m</v>
          </cell>
          <cell r="I5036">
            <v>4198396.22</v>
          </cell>
        </row>
        <row r="5037">
          <cell r="C5037" t="str">
            <v>Vật liệu</v>
          </cell>
          <cell r="G5037">
            <v>17213075.135400001</v>
          </cell>
        </row>
        <row r="5038">
          <cell r="B5038">
            <v>95</v>
          </cell>
          <cell r="C5038" t="str">
            <v>+ Ông nhựa d110mm</v>
          </cell>
          <cell r="D5038" t="str">
            <v>M3</v>
          </cell>
          <cell r="E5038">
            <v>100.5</v>
          </cell>
          <cell r="F5038">
            <v>165800</v>
          </cell>
          <cell r="G5038">
            <v>16662900</v>
          </cell>
        </row>
        <row r="5039">
          <cell r="B5039">
            <v>109</v>
          </cell>
          <cell r="C5039" t="str">
            <v>+ Măng sông nhựa d110mm</v>
          </cell>
          <cell r="D5039" t="str">
            <v>cái</v>
          </cell>
          <cell r="E5039">
            <v>12</v>
          </cell>
          <cell r="F5039">
            <v>45100</v>
          </cell>
          <cell r="G5039">
            <v>541200</v>
          </cell>
        </row>
        <row r="5040">
          <cell r="B5040">
            <v>1</v>
          </cell>
          <cell r="C5040" t="str">
            <v>+ Cồn công nghiệp</v>
          </cell>
          <cell r="D5040" t="str">
            <v>kg</v>
          </cell>
          <cell r="E5040">
            <v>0.13200000000000001</v>
          </cell>
          <cell r="F5040">
            <v>9500</v>
          </cell>
          <cell r="G5040">
            <v>1254</v>
          </cell>
        </row>
        <row r="5041">
          <cell r="B5041">
            <v>84</v>
          </cell>
          <cell r="C5041" t="str">
            <v>+ Nhựa dán</v>
          </cell>
          <cell r="D5041" t="str">
            <v>Kg</v>
          </cell>
          <cell r="E5041">
            <v>0.24</v>
          </cell>
          <cell r="F5041">
            <v>25000</v>
          </cell>
          <cell r="G5041">
            <v>6000</v>
          </cell>
        </row>
        <row r="5042">
          <cell r="B5042">
            <v>137</v>
          </cell>
          <cell r="C5042" t="str">
            <v>Vật liệu khác</v>
          </cell>
          <cell r="D5042" t="str">
            <v>%</v>
          </cell>
          <cell r="E5042">
            <v>0.01</v>
          </cell>
          <cell r="F5042">
            <v>1500</v>
          </cell>
          <cell r="G5042">
            <v>1721.1354000000001</v>
          </cell>
        </row>
        <row r="5043">
          <cell r="C5043" t="str">
            <v>Nhân công</v>
          </cell>
          <cell r="G5043">
            <v>4198396.22</v>
          </cell>
        </row>
        <row r="5044">
          <cell r="B5044" t="str">
            <v>NC1357</v>
          </cell>
          <cell r="C5044" t="str">
            <v>+ Nhân công bậc 3,5/7</v>
          </cell>
          <cell r="D5044" t="str">
            <v>Công</v>
          </cell>
          <cell r="E5044">
            <v>23.41</v>
          </cell>
          <cell r="F5044">
            <v>179342</v>
          </cell>
          <cell r="G5044">
            <v>4198396.22</v>
          </cell>
        </row>
        <row r="5045">
          <cell r="A5045" t="str">
            <v>D4.1412</v>
          </cell>
          <cell r="C5045" t="str">
            <v>Lắp đặt ống nhựa bảo vệ cáp, ống có đường kính =&lt; 150mm</v>
          </cell>
          <cell r="D5045" t="str">
            <v>100m</v>
          </cell>
          <cell r="I5045">
            <v>5152495.66</v>
          </cell>
        </row>
        <row r="5046">
          <cell r="C5046" t="str">
            <v>Vật liệu</v>
          </cell>
          <cell r="G5046">
            <v>25479147.66</v>
          </cell>
        </row>
        <row r="5047">
          <cell r="B5047">
            <v>96</v>
          </cell>
          <cell r="C5047" t="str">
            <v>+ Ông nhựa d150mm</v>
          </cell>
          <cell r="D5047" t="str">
            <v>M3</v>
          </cell>
          <cell r="E5047">
            <v>100.5</v>
          </cell>
          <cell r="F5047">
            <v>247200</v>
          </cell>
          <cell r="G5047">
            <v>24843600</v>
          </cell>
        </row>
        <row r="5048">
          <cell r="B5048">
            <v>110</v>
          </cell>
          <cell r="C5048" t="str">
            <v>+ Măng sông nhựa d150mm</v>
          </cell>
          <cell r="D5048" t="str">
            <v>cái</v>
          </cell>
          <cell r="E5048">
            <v>12</v>
          </cell>
          <cell r="F5048">
            <v>51920</v>
          </cell>
          <cell r="G5048">
            <v>623040</v>
          </cell>
        </row>
        <row r="5049">
          <cell r="B5049">
            <v>1</v>
          </cell>
          <cell r="C5049" t="str">
            <v>+ Cồn công nghiệp</v>
          </cell>
          <cell r="D5049" t="str">
            <v>kg</v>
          </cell>
          <cell r="E5049">
            <v>0.18</v>
          </cell>
          <cell r="F5049">
            <v>9500</v>
          </cell>
          <cell r="G5049">
            <v>1710</v>
          </cell>
        </row>
        <row r="5050">
          <cell r="B5050">
            <v>84</v>
          </cell>
          <cell r="C5050" t="str">
            <v>+ Nhựa dán</v>
          </cell>
          <cell r="D5050" t="str">
            <v>Kg</v>
          </cell>
          <cell r="E5050">
            <v>0.33</v>
          </cell>
          <cell r="F5050">
            <v>25000</v>
          </cell>
          <cell r="G5050">
            <v>8250</v>
          </cell>
        </row>
        <row r="5051">
          <cell r="B5051">
            <v>137</v>
          </cell>
          <cell r="C5051" t="str">
            <v>Vật liệu khác</v>
          </cell>
          <cell r="D5051" t="str">
            <v>%</v>
          </cell>
          <cell r="E5051">
            <v>0.01</v>
          </cell>
          <cell r="F5051">
            <v>1500</v>
          </cell>
          <cell r="G5051">
            <v>2547.6600000000003</v>
          </cell>
        </row>
        <row r="5052">
          <cell r="C5052" t="str">
            <v>Nhân công</v>
          </cell>
          <cell r="G5052">
            <v>5152495.66</v>
          </cell>
        </row>
        <row r="5053">
          <cell r="B5053" t="str">
            <v>NC1357</v>
          </cell>
          <cell r="C5053" t="str">
            <v>+ Nhân công bậc 3,5/7</v>
          </cell>
          <cell r="D5053" t="str">
            <v>Công</v>
          </cell>
          <cell r="E5053">
            <v>28.73</v>
          </cell>
          <cell r="F5053">
            <v>179342</v>
          </cell>
          <cell r="G5053">
            <v>5152495.66</v>
          </cell>
        </row>
        <row r="5054">
          <cell r="A5054" t="str">
            <v>D4.1413</v>
          </cell>
          <cell r="C5054" t="str">
            <v>Lắp đặt ống nhựa bảo vệ cáp, ống có đường kính =&lt; 200mm</v>
          </cell>
          <cell r="D5054" t="str">
            <v>100m</v>
          </cell>
          <cell r="I5054">
            <v>6870592.0200000005</v>
          </cell>
        </row>
        <row r="5055">
          <cell r="C5055" t="str">
            <v>Vật liệu</v>
          </cell>
          <cell r="G5055">
            <v>31019611.651000001</v>
          </cell>
        </row>
        <row r="5056">
          <cell r="B5056">
            <v>97</v>
          </cell>
          <cell r="C5056" t="str">
            <v>+ Ông nhựa d200mm</v>
          </cell>
          <cell r="D5056" t="str">
            <v>M3</v>
          </cell>
          <cell r="E5056">
            <v>100.5</v>
          </cell>
          <cell r="F5056">
            <v>295500</v>
          </cell>
          <cell r="G5056">
            <v>29697750</v>
          </cell>
        </row>
        <row r="5057">
          <cell r="B5057">
            <v>112</v>
          </cell>
          <cell r="C5057" t="str">
            <v>+ Măng sông nhựa d200mm</v>
          </cell>
          <cell r="D5057" t="str">
            <v>cái</v>
          </cell>
          <cell r="E5057">
            <v>12</v>
          </cell>
          <cell r="F5057">
            <v>108790</v>
          </cell>
          <cell r="G5057">
            <v>1305480</v>
          </cell>
        </row>
        <row r="5058">
          <cell r="B5058">
            <v>1</v>
          </cell>
          <cell r="C5058" t="str">
            <v>+ Cồn công nghiệp</v>
          </cell>
          <cell r="D5058" t="str">
            <v>kg</v>
          </cell>
          <cell r="E5058">
            <v>0.24</v>
          </cell>
          <cell r="F5058">
            <v>9500</v>
          </cell>
          <cell r="G5058">
            <v>2280</v>
          </cell>
        </row>
        <row r="5059">
          <cell r="B5059">
            <v>84</v>
          </cell>
          <cell r="C5059" t="str">
            <v>+ Nhựa dán</v>
          </cell>
          <cell r="D5059" t="str">
            <v>Kg</v>
          </cell>
          <cell r="E5059">
            <v>0.44</v>
          </cell>
          <cell r="F5059">
            <v>25000</v>
          </cell>
          <cell r="G5059">
            <v>11000</v>
          </cell>
        </row>
        <row r="5060">
          <cell r="B5060">
            <v>137</v>
          </cell>
          <cell r="C5060" t="str">
            <v>Vật liệu khác</v>
          </cell>
          <cell r="D5060" t="str">
            <v>%</v>
          </cell>
          <cell r="E5060">
            <v>0.01</v>
          </cell>
          <cell r="F5060">
            <v>1500</v>
          </cell>
          <cell r="G5060">
            <v>3101.6510000000003</v>
          </cell>
        </row>
        <row r="5061">
          <cell r="C5061" t="str">
            <v>Nhân công</v>
          </cell>
          <cell r="G5061">
            <v>6870592.0200000005</v>
          </cell>
        </row>
        <row r="5062">
          <cell r="B5062" t="str">
            <v>NC1357</v>
          </cell>
          <cell r="C5062" t="str">
            <v>+ Nhân công bậc 3,5/7</v>
          </cell>
          <cell r="D5062" t="str">
            <v>Công</v>
          </cell>
          <cell r="E5062">
            <v>38.31</v>
          </cell>
          <cell r="F5062">
            <v>179342</v>
          </cell>
          <cell r="G5062">
            <v>6870592.0200000005</v>
          </cell>
        </row>
        <row r="5063">
          <cell r="A5063" t="str">
            <v>D4.1414</v>
          </cell>
          <cell r="C5063" t="str">
            <v>Lắp đặt ống nhựa bảo vệ cáp, ống có đường kính =&lt; 250mm</v>
          </cell>
          <cell r="D5063" t="str">
            <v>100m</v>
          </cell>
          <cell r="I5063">
            <v>8588688.3800000008</v>
          </cell>
        </row>
        <row r="5064">
          <cell r="C5064" t="str">
            <v>Vật liệu</v>
          </cell>
          <cell r="G5064">
            <v>32097789.458000001</v>
          </cell>
        </row>
        <row r="5065">
          <cell r="B5065">
            <v>98</v>
          </cell>
          <cell r="C5065" t="str">
            <v>+ Ông nhựa d250mm</v>
          </cell>
          <cell r="D5065" t="str">
            <v>M3</v>
          </cell>
          <cell r="E5065">
            <v>100.5</v>
          </cell>
          <cell r="F5065">
            <v>305000</v>
          </cell>
          <cell r="G5065">
            <v>30652500</v>
          </cell>
        </row>
        <row r="5066">
          <cell r="B5066">
            <v>113</v>
          </cell>
          <cell r="C5066" t="str">
            <v>+ Măng sông nhựa d250mm</v>
          </cell>
          <cell r="D5066" t="str">
            <v>cái</v>
          </cell>
          <cell r="E5066">
            <v>12</v>
          </cell>
          <cell r="F5066">
            <v>118790</v>
          </cell>
          <cell r="G5066">
            <v>1425480</v>
          </cell>
        </row>
        <row r="5067">
          <cell r="B5067">
            <v>1</v>
          </cell>
          <cell r="C5067" t="str">
            <v>+ Cồn công nghiệp</v>
          </cell>
          <cell r="D5067" t="str">
            <v>kg</v>
          </cell>
          <cell r="E5067">
            <v>0.3</v>
          </cell>
          <cell r="F5067">
            <v>9500</v>
          </cell>
          <cell r="G5067">
            <v>2850</v>
          </cell>
        </row>
        <row r="5068">
          <cell r="B5068">
            <v>84</v>
          </cell>
          <cell r="C5068" t="str">
            <v>+ Nhựa dán</v>
          </cell>
          <cell r="D5068" t="str">
            <v>Kg</v>
          </cell>
          <cell r="E5068">
            <v>0.55000000000000004</v>
          </cell>
          <cell r="F5068">
            <v>25000</v>
          </cell>
          <cell r="G5068">
            <v>13750.000000000002</v>
          </cell>
        </row>
        <row r="5069">
          <cell r="B5069">
            <v>137</v>
          </cell>
          <cell r="C5069" t="str">
            <v>Vật liệu khác</v>
          </cell>
          <cell r="D5069" t="str">
            <v>%</v>
          </cell>
          <cell r="E5069">
            <v>0.01</v>
          </cell>
          <cell r="F5069">
            <v>1500</v>
          </cell>
          <cell r="G5069">
            <v>3209.4580000000001</v>
          </cell>
        </row>
        <row r="5070">
          <cell r="C5070" t="str">
            <v>Nhân công</v>
          </cell>
          <cell r="G5070">
            <v>8588688.3800000008</v>
          </cell>
        </row>
        <row r="5071">
          <cell r="B5071" t="str">
            <v>NC1357</v>
          </cell>
          <cell r="C5071" t="str">
            <v>+ Nhân công bậc 3,5/7</v>
          </cell>
          <cell r="D5071" t="str">
            <v>Công</v>
          </cell>
          <cell r="E5071">
            <v>47.89</v>
          </cell>
          <cell r="F5071">
            <v>179342</v>
          </cell>
          <cell r="G5071">
            <v>8588688.3800000008</v>
          </cell>
        </row>
        <row r="5072">
          <cell r="A5072" t="str">
            <v>D4.2101</v>
          </cell>
          <cell r="C5072" t="str">
            <v>Kéo rải và lắp cố định đường cáp ngầm, Trọng lượng cáp &lt;= 1kg/m</v>
          </cell>
          <cell r="D5072" t="str">
            <v>100m</v>
          </cell>
          <cell r="H5072">
            <v>11100</v>
          </cell>
          <cell r="I5072">
            <v>346531.21973684209</v>
          </cell>
        </row>
        <row r="5073">
          <cell r="C5073" t="str">
            <v>Vật liệu</v>
          </cell>
          <cell r="G5073">
            <v>11100</v>
          </cell>
        </row>
        <row r="5074">
          <cell r="B5074">
            <v>25</v>
          </cell>
          <cell r="C5074" t="str">
            <v>+ Băng vải nhựa, ni lông ( băng dính )</v>
          </cell>
          <cell r="D5074" t="str">
            <v>cuộn</v>
          </cell>
          <cell r="E5074">
            <v>0.2</v>
          </cell>
          <cell r="F5074">
            <v>8000</v>
          </cell>
          <cell r="G5074">
            <v>1600</v>
          </cell>
        </row>
        <row r="5075">
          <cell r="B5075">
            <v>9</v>
          </cell>
          <cell r="C5075" t="str">
            <v>+ Giẻ lau</v>
          </cell>
          <cell r="D5075" t="str">
            <v>Kg</v>
          </cell>
          <cell r="E5075">
            <v>0.3</v>
          </cell>
          <cell r="F5075">
            <v>9500</v>
          </cell>
          <cell r="G5075">
            <v>2850</v>
          </cell>
        </row>
        <row r="5076">
          <cell r="B5076">
            <v>1</v>
          </cell>
          <cell r="C5076" t="str">
            <v>+ Cồn công nghiệp</v>
          </cell>
          <cell r="D5076" t="str">
            <v>kg</v>
          </cell>
          <cell r="E5076">
            <v>0.7</v>
          </cell>
          <cell r="F5076">
            <v>9500</v>
          </cell>
          <cell r="G5076">
            <v>6650</v>
          </cell>
        </row>
        <row r="5077">
          <cell r="C5077" t="str">
            <v>Nhân công</v>
          </cell>
          <cell r="G5077">
            <v>346531.21973684209</v>
          </cell>
        </row>
        <row r="5078">
          <cell r="B5078" t="str">
            <v>NC1407</v>
          </cell>
          <cell r="C5078" t="str">
            <v>+ Nhân công bậc 4,0/7</v>
          </cell>
          <cell r="D5078" t="str">
            <v>Công</v>
          </cell>
          <cell r="E5078">
            <v>1.78</v>
          </cell>
          <cell r="F5078">
            <v>194680.46052631579</v>
          </cell>
          <cell r="G5078">
            <v>346531.21973684209</v>
          </cell>
        </row>
        <row r="5079">
          <cell r="A5079" t="str">
            <v>D4.2102</v>
          </cell>
          <cell r="C5079" t="str">
            <v>Kéo rải và lắp cố định đường cáp ngầm, Trọng lượng cáp &lt;= 2kg/m</v>
          </cell>
          <cell r="D5079" t="str">
            <v>100m</v>
          </cell>
          <cell r="H5079">
            <v>11100</v>
          </cell>
          <cell r="I5079">
            <v>402988.55328947364</v>
          </cell>
        </row>
        <row r="5080">
          <cell r="C5080" t="str">
            <v>Vật liệu</v>
          </cell>
          <cell r="G5080">
            <v>11100</v>
          </cell>
        </row>
        <row r="5081">
          <cell r="B5081">
            <v>25</v>
          </cell>
          <cell r="C5081" t="str">
            <v>+ Băng vải nhựa, ni lông ( băng dính )</v>
          </cell>
          <cell r="D5081" t="str">
            <v>cuộn</v>
          </cell>
          <cell r="E5081">
            <v>0.2</v>
          </cell>
          <cell r="F5081">
            <v>8000</v>
          </cell>
          <cell r="G5081">
            <v>1600</v>
          </cell>
        </row>
        <row r="5082">
          <cell r="B5082">
            <v>9</v>
          </cell>
          <cell r="C5082" t="str">
            <v>+ Giẻ lau</v>
          </cell>
          <cell r="D5082" t="str">
            <v>Kg</v>
          </cell>
          <cell r="E5082">
            <v>0.3</v>
          </cell>
          <cell r="F5082">
            <v>9500</v>
          </cell>
          <cell r="G5082">
            <v>2850</v>
          </cell>
        </row>
        <row r="5083">
          <cell r="B5083">
            <v>1</v>
          </cell>
          <cell r="C5083" t="str">
            <v>+ Cồn công nghiệp</v>
          </cell>
          <cell r="D5083" t="str">
            <v>kg</v>
          </cell>
          <cell r="E5083">
            <v>0.7</v>
          </cell>
          <cell r="F5083">
            <v>9500</v>
          </cell>
          <cell r="G5083">
            <v>6650</v>
          </cell>
        </row>
        <row r="5084">
          <cell r="C5084" t="str">
            <v>Nhân công</v>
          </cell>
          <cell r="G5084">
            <v>402988.55328947364</v>
          </cell>
        </row>
        <row r="5085">
          <cell r="B5085" t="str">
            <v>NC1407</v>
          </cell>
          <cell r="C5085" t="str">
            <v>+ Nhân công bậc 4,0/7</v>
          </cell>
          <cell r="D5085" t="str">
            <v>Công</v>
          </cell>
          <cell r="E5085">
            <v>2.0699999999999998</v>
          </cell>
          <cell r="F5085">
            <v>194680.46052631579</v>
          </cell>
          <cell r="G5085">
            <v>402988.55328947364</v>
          </cell>
        </row>
        <row r="5086">
          <cell r="A5086" t="str">
            <v>D4.2103</v>
          </cell>
          <cell r="C5086" t="str">
            <v>Kéo rải và lắp cố định đường cáp ngầm, Trọng lượng cáp &lt;= 3kg/m</v>
          </cell>
          <cell r="D5086" t="str">
            <v>100m</v>
          </cell>
          <cell r="H5086">
            <v>11100</v>
          </cell>
          <cell r="I5086">
            <v>535371.26644736843</v>
          </cell>
        </row>
        <row r="5087">
          <cell r="C5087" t="str">
            <v>Vật liệu</v>
          </cell>
          <cell r="G5087">
            <v>11100</v>
          </cell>
        </row>
        <row r="5088">
          <cell r="B5088">
            <v>25</v>
          </cell>
          <cell r="C5088" t="str">
            <v>+ Băng vải nhựa, ni lông ( băng dính )</v>
          </cell>
          <cell r="D5088" t="str">
            <v>cuộn</v>
          </cell>
          <cell r="E5088">
            <v>0.2</v>
          </cell>
          <cell r="F5088">
            <v>8000</v>
          </cell>
          <cell r="G5088">
            <v>1600</v>
          </cell>
        </row>
        <row r="5089">
          <cell r="B5089">
            <v>9</v>
          </cell>
          <cell r="C5089" t="str">
            <v>+ Giẻ lau</v>
          </cell>
          <cell r="D5089" t="str">
            <v>Kg</v>
          </cell>
          <cell r="E5089">
            <v>0.3</v>
          </cell>
          <cell r="F5089">
            <v>9500</v>
          </cell>
          <cell r="G5089">
            <v>2850</v>
          </cell>
        </row>
        <row r="5090">
          <cell r="B5090">
            <v>1</v>
          </cell>
          <cell r="C5090" t="str">
            <v>+ Cồn công nghiệp</v>
          </cell>
          <cell r="D5090" t="str">
            <v>kg</v>
          </cell>
          <cell r="E5090">
            <v>0.7</v>
          </cell>
          <cell r="F5090">
            <v>9500</v>
          </cell>
          <cell r="G5090">
            <v>6650</v>
          </cell>
        </row>
        <row r="5091">
          <cell r="C5091" t="str">
            <v>Nhân công</v>
          </cell>
          <cell r="G5091">
            <v>535371.26644736843</v>
          </cell>
        </row>
        <row r="5092">
          <cell r="B5092" t="str">
            <v>NC1407</v>
          </cell>
          <cell r="C5092" t="str">
            <v>+ Nhân công bậc 4,0/7</v>
          </cell>
          <cell r="D5092" t="str">
            <v>Công</v>
          </cell>
          <cell r="E5092">
            <v>2.75</v>
          </cell>
          <cell r="F5092">
            <v>194680.46052631579</v>
          </cell>
          <cell r="G5092">
            <v>535371.26644736843</v>
          </cell>
        </row>
        <row r="5093">
          <cell r="A5093" t="str">
            <v>D4.2104</v>
          </cell>
          <cell r="C5093" t="str">
            <v>Kéo rải và lắp cố định đường cáp ngầm, Trọng lượng cáp &lt;= 4,5kg/m</v>
          </cell>
          <cell r="D5093" t="str">
            <v>100m</v>
          </cell>
          <cell r="H5093">
            <v>13800</v>
          </cell>
          <cell r="I5093">
            <v>696956.04868421052</v>
          </cell>
        </row>
        <row r="5094">
          <cell r="C5094" t="str">
            <v>Vật liệu</v>
          </cell>
          <cell r="G5094">
            <v>13800</v>
          </cell>
        </row>
        <row r="5095">
          <cell r="B5095">
            <v>25</v>
          </cell>
          <cell r="C5095" t="str">
            <v>+ Băng vải nhựa, ni lông ( băng dính )</v>
          </cell>
          <cell r="D5095" t="str">
            <v>cuộn</v>
          </cell>
          <cell r="E5095">
            <v>0.3</v>
          </cell>
          <cell r="F5095">
            <v>8000</v>
          </cell>
          <cell r="G5095">
            <v>2400</v>
          </cell>
        </row>
        <row r="5096">
          <cell r="B5096">
            <v>9</v>
          </cell>
          <cell r="C5096" t="str">
            <v>+ Giẻ lau</v>
          </cell>
          <cell r="D5096" t="str">
            <v>Kg</v>
          </cell>
          <cell r="E5096">
            <v>0.4</v>
          </cell>
          <cell r="F5096">
            <v>9500</v>
          </cell>
          <cell r="G5096">
            <v>3800</v>
          </cell>
        </row>
        <row r="5097">
          <cell r="B5097">
            <v>1</v>
          </cell>
          <cell r="C5097" t="str">
            <v>+ Cồn công nghiệp</v>
          </cell>
          <cell r="D5097" t="str">
            <v>kg</v>
          </cell>
          <cell r="E5097">
            <v>0.8</v>
          </cell>
          <cell r="F5097">
            <v>9500</v>
          </cell>
          <cell r="G5097">
            <v>7600</v>
          </cell>
        </row>
        <row r="5098">
          <cell r="C5098" t="str">
            <v>Nhân công</v>
          </cell>
          <cell r="G5098">
            <v>696956.04868421052</v>
          </cell>
        </row>
        <row r="5099">
          <cell r="B5099" t="str">
            <v>NC1407</v>
          </cell>
          <cell r="C5099" t="str">
            <v>+ Nhân công bậc 4,0/7</v>
          </cell>
          <cell r="D5099" t="str">
            <v>Công</v>
          </cell>
          <cell r="E5099">
            <v>3.58</v>
          </cell>
          <cell r="F5099">
            <v>194680.46052631579</v>
          </cell>
          <cell r="G5099">
            <v>696956.04868421052</v>
          </cell>
        </row>
        <row r="5100">
          <cell r="A5100" t="str">
            <v>D4.2105</v>
          </cell>
          <cell r="C5100" t="str">
            <v>Kéo rải và lắp cố định đường cáp ngầm, Trọng lượng cáp &lt;= 6kg/m</v>
          </cell>
          <cell r="D5100" t="str">
            <v>100m</v>
          </cell>
          <cell r="H5100">
            <v>13800</v>
          </cell>
          <cell r="I5100">
            <v>883849.29078947369</v>
          </cell>
        </row>
        <row r="5101">
          <cell r="C5101" t="str">
            <v>Vật liệu</v>
          </cell>
          <cell r="G5101">
            <v>13800</v>
          </cell>
        </row>
        <row r="5102">
          <cell r="B5102">
            <v>25</v>
          </cell>
          <cell r="C5102" t="str">
            <v>+ Băng vải nhựa, ni lông ( băng dính )</v>
          </cell>
          <cell r="D5102" t="str">
            <v>cuộn</v>
          </cell>
          <cell r="E5102">
            <v>0.3</v>
          </cell>
          <cell r="F5102">
            <v>8000</v>
          </cell>
          <cell r="G5102">
            <v>2400</v>
          </cell>
        </row>
        <row r="5103">
          <cell r="B5103">
            <v>9</v>
          </cell>
          <cell r="C5103" t="str">
            <v>+ Giẻ lau</v>
          </cell>
          <cell r="D5103" t="str">
            <v>Kg</v>
          </cell>
          <cell r="E5103">
            <v>0.4</v>
          </cell>
          <cell r="F5103">
            <v>9500</v>
          </cell>
          <cell r="G5103">
            <v>3800</v>
          </cell>
        </row>
        <row r="5104">
          <cell r="B5104">
            <v>1</v>
          </cell>
          <cell r="C5104" t="str">
            <v>+ Cồn công nghiệp</v>
          </cell>
          <cell r="D5104" t="str">
            <v>kg</v>
          </cell>
          <cell r="E5104">
            <v>0.8</v>
          </cell>
          <cell r="F5104">
            <v>9500</v>
          </cell>
          <cell r="G5104">
            <v>7600</v>
          </cell>
        </row>
        <row r="5105">
          <cell r="C5105" t="str">
            <v>Nhân công</v>
          </cell>
          <cell r="G5105">
            <v>883849.29078947369</v>
          </cell>
        </row>
        <row r="5106">
          <cell r="B5106" t="str">
            <v>NC1407</v>
          </cell>
          <cell r="C5106" t="str">
            <v>+ Nhân công bậc 4,0/7</v>
          </cell>
          <cell r="D5106" t="str">
            <v>Công</v>
          </cell>
          <cell r="E5106">
            <v>4.54</v>
          </cell>
          <cell r="F5106">
            <v>194680.46052631579</v>
          </cell>
          <cell r="G5106">
            <v>883849.29078947369</v>
          </cell>
        </row>
        <row r="5107">
          <cell r="A5107" t="str">
            <v>D4.2106</v>
          </cell>
          <cell r="C5107" t="str">
            <v>Kéo rải và lắp cố định đường cáp ngầm, Trọng lượng cáp &lt;=7,5kg/m</v>
          </cell>
          <cell r="D5107" t="str">
            <v>100m</v>
          </cell>
          <cell r="H5107">
            <v>16500</v>
          </cell>
          <cell r="I5107">
            <v>1125253.0618421054</v>
          </cell>
        </row>
        <row r="5108">
          <cell r="C5108" t="str">
            <v>Vật liệu</v>
          </cell>
          <cell r="G5108">
            <v>16500</v>
          </cell>
        </row>
        <row r="5109">
          <cell r="B5109">
            <v>25</v>
          </cell>
          <cell r="C5109" t="str">
            <v>+ Băng vải nhựa, ni lông ( băng dính )</v>
          </cell>
          <cell r="D5109" t="str">
            <v>cuộn</v>
          </cell>
          <cell r="E5109">
            <v>0.4</v>
          </cell>
          <cell r="F5109">
            <v>8000</v>
          </cell>
          <cell r="G5109">
            <v>3200</v>
          </cell>
        </row>
        <row r="5110">
          <cell r="B5110">
            <v>9</v>
          </cell>
          <cell r="C5110" t="str">
            <v>+ Giẻ lau</v>
          </cell>
          <cell r="D5110" t="str">
            <v>Kg</v>
          </cell>
          <cell r="E5110">
            <v>0.5</v>
          </cell>
          <cell r="F5110">
            <v>9500</v>
          </cell>
          <cell r="G5110">
            <v>4750</v>
          </cell>
        </row>
        <row r="5111">
          <cell r="B5111">
            <v>1</v>
          </cell>
          <cell r="C5111" t="str">
            <v>+ Cồn công nghiệp</v>
          </cell>
          <cell r="D5111" t="str">
            <v>kg</v>
          </cell>
          <cell r="E5111">
            <v>0.9</v>
          </cell>
          <cell r="F5111">
            <v>9500</v>
          </cell>
          <cell r="G5111">
            <v>8550</v>
          </cell>
        </row>
        <row r="5112">
          <cell r="C5112" t="str">
            <v>Nhân công</v>
          </cell>
          <cell r="G5112">
            <v>1125253.0618421054</v>
          </cell>
        </row>
        <row r="5113">
          <cell r="B5113" t="str">
            <v>NC1407</v>
          </cell>
          <cell r="C5113" t="str">
            <v>+ Nhân công bậc 4,0/7</v>
          </cell>
          <cell r="D5113" t="str">
            <v>Công</v>
          </cell>
          <cell r="E5113">
            <v>5.78</v>
          </cell>
          <cell r="F5113">
            <v>194680.46052631579</v>
          </cell>
          <cell r="G5113">
            <v>1125253.0618421054</v>
          </cell>
        </row>
        <row r="5114">
          <cell r="A5114" t="str">
            <v>D4.2107</v>
          </cell>
          <cell r="C5114" t="str">
            <v>Kéo rải và lắp cố định đường cáp ngầm, Trọng lượng cáp &lt;= 9kg/m</v>
          </cell>
          <cell r="D5114" t="str">
            <v>100m</v>
          </cell>
          <cell r="H5114">
            <v>16500</v>
          </cell>
          <cell r="I5114">
            <v>1413380.1434210525</v>
          </cell>
        </row>
        <row r="5115">
          <cell r="C5115" t="str">
            <v>Vật liệu</v>
          </cell>
          <cell r="G5115">
            <v>16500</v>
          </cell>
        </row>
        <row r="5116">
          <cell r="B5116">
            <v>25</v>
          </cell>
          <cell r="C5116" t="str">
            <v>+ Băng vải nhựa, ni lông ( băng dính )</v>
          </cell>
          <cell r="D5116" t="str">
            <v>cuộn</v>
          </cell>
          <cell r="E5116">
            <v>0.4</v>
          </cell>
          <cell r="F5116">
            <v>8000</v>
          </cell>
          <cell r="G5116">
            <v>3200</v>
          </cell>
        </row>
        <row r="5117">
          <cell r="B5117">
            <v>9</v>
          </cell>
          <cell r="C5117" t="str">
            <v>+ Giẻ lau</v>
          </cell>
          <cell r="D5117" t="str">
            <v>Kg</v>
          </cell>
          <cell r="E5117">
            <v>0.5</v>
          </cell>
          <cell r="F5117">
            <v>9500</v>
          </cell>
          <cell r="G5117">
            <v>4750</v>
          </cell>
        </row>
        <row r="5118">
          <cell r="B5118">
            <v>1</v>
          </cell>
          <cell r="C5118" t="str">
            <v>+ Cồn công nghiệp</v>
          </cell>
          <cell r="D5118" t="str">
            <v>kg</v>
          </cell>
          <cell r="E5118">
            <v>0.9</v>
          </cell>
          <cell r="F5118">
            <v>9500</v>
          </cell>
          <cell r="G5118">
            <v>8550</v>
          </cell>
        </row>
        <row r="5119">
          <cell r="C5119" t="str">
            <v>Nhân công</v>
          </cell>
          <cell r="G5119">
            <v>1413380.1434210525</v>
          </cell>
        </row>
        <row r="5120">
          <cell r="B5120" t="str">
            <v>NC1407</v>
          </cell>
          <cell r="C5120" t="str">
            <v>+ Nhân công bậc 4,0/7</v>
          </cell>
          <cell r="D5120" t="str">
            <v>Công</v>
          </cell>
          <cell r="E5120">
            <v>7.26</v>
          </cell>
          <cell r="F5120">
            <v>194680.46052631579</v>
          </cell>
          <cell r="G5120">
            <v>1413380.1434210525</v>
          </cell>
        </row>
        <row r="5121">
          <cell r="A5121" t="str">
            <v>D4.2108</v>
          </cell>
          <cell r="C5121" t="str">
            <v>Kéo rải và lắp cố định đường cáp ngầm, Trọng lượng cáp &lt;= 10,5kg/m</v>
          </cell>
          <cell r="D5121" t="str">
            <v>100m</v>
          </cell>
          <cell r="H5121">
            <v>18400</v>
          </cell>
          <cell r="I5121">
            <v>1857251.5934210524</v>
          </cell>
        </row>
        <row r="5122">
          <cell r="C5122" t="str">
            <v>Vật liệu</v>
          </cell>
          <cell r="G5122">
            <v>18400</v>
          </cell>
        </row>
        <row r="5123">
          <cell r="B5123">
            <v>25</v>
          </cell>
          <cell r="C5123" t="str">
            <v>+ Băng vải nhựa, ni lông ( băng dính )</v>
          </cell>
          <cell r="D5123" t="str">
            <v>cuộn</v>
          </cell>
          <cell r="E5123">
            <v>0.4</v>
          </cell>
          <cell r="F5123">
            <v>8000</v>
          </cell>
          <cell r="G5123">
            <v>3200</v>
          </cell>
        </row>
        <row r="5124">
          <cell r="B5124">
            <v>9</v>
          </cell>
          <cell r="C5124" t="str">
            <v>+ Giẻ lau</v>
          </cell>
          <cell r="D5124" t="str">
            <v>Kg</v>
          </cell>
          <cell r="E5124">
            <v>0.6</v>
          </cell>
          <cell r="F5124">
            <v>9500</v>
          </cell>
          <cell r="G5124">
            <v>5700</v>
          </cell>
        </row>
        <row r="5125">
          <cell r="B5125">
            <v>1</v>
          </cell>
          <cell r="C5125" t="str">
            <v>+ Cồn công nghiệp</v>
          </cell>
          <cell r="D5125" t="str">
            <v>kg</v>
          </cell>
          <cell r="E5125">
            <v>1</v>
          </cell>
          <cell r="F5125">
            <v>9500</v>
          </cell>
          <cell r="G5125">
            <v>9500</v>
          </cell>
        </row>
        <row r="5126">
          <cell r="C5126" t="str">
            <v>Nhân công</v>
          </cell>
          <cell r="G5126">
            <v>1857251.5934210524</v>
          </cell>
        </row>
        <row r="5127">
          <cell r="B5127" t="str">
            <v>NC1407</v>
          </cell>
          <cell r="C5127" t="str">
            <v>+ Nhân công bậc 4,0/7</v>
          </cell>
          <cell r="D5127" t="str">
            <v>Công</v>
          </cell>
          <cell r="E5127">
            <v>9.5399999999999991</v>
          </cell>
          <cell r="F5127">
            <v>194680.46052631579</v>
          </cell>
          <cell r="G5127">
            <v>1857251.5934210524</v>
          </cell>
        </row>
        <row r="5128">
          <cell r="A5128" t="str">
            <v>D4.2109</v>
          </cell>
          <cell r="C5128" t="str">
            <v>Kéo rải và lắp cố định đường cáp ngầm, Trọng lượng cáp &lt;= 12kg/m</v>
          </cell>
          <cell r="D5128" t="str">
            <v>100m</v>
          </cell>
          <cell r="H5128">
            <v>18400</v>
          </cell>
          <cell r="I5128">
            <v>2316697.4802631577</v>
          </cell>
        </row>
        <row r="5129">
          <cell r="C5129" t="str">
            <v>Vật liệu</v>
          </cell>
          <cell r="G5129">
            <v>18400</v>
          </cell>
        </row>
        <row r="5130">
          <cell r="B5130">
            <v>25</v>
          </cell>
          <cell r="C5130" t="str">
            <v>+ Băng vải nhựa, ni lông ( băng dính )</v>
          </cell>
          <cell r="D5130" t="str">
            <v>cuộn</v>
          </cell>
          <cell r="E5130">
            <v>0.4</v>
          </cell>
          <cell r="F5130">
            <v>8000</v>
          </cell>
          <cell r="G5130">
            <v>3200</v>
          </cell>
        </row>
        <row r="5131">
          <cell r="B5131">
            <v>9</v>
          </cell>
          <cell r="C5131" t="str">
            <v>+ Giẻ lau</v>
          </cell>
          <cell r="D5131" t="str">
            <v>Kg</v>
          </cell>
          <cell r="E5131">
            <v>0.6</v>
          </cell>
          <cell r="F5131">
            <v>9500</v>
          </cell>
          <cell r="G5131">
            <v>5700</v>
          </cell>
        </row>
        <row r="5132">
          <cell r="B5132">
            <v>1</v>
          </cell>
          <cell r="C5132" t="str">
            <v>+ Cồn công nghiệp</v>
          </cell>
          <cell r="D5132" t="str">
            <v>kg</v>
          </cell>
          <cell r="E5132">
            <v>1</v>
          </cell>
          <cell r="F5132">
            <v>9500</v>
          </cell>
          <cell r="G5132">
            <v>9500</v>
          </cell>
        </row>
        <row r="5133">
          <cell r="C5133" t="str">
            <v>Nhân công</v>
          </cell>
          <cell r="G5133">
            <v>2316697.4802631577</v>
          </cell>
        </row>
        <row r="5134">
          <cell r="B5134" t="str">
            <v>NC1407</v>
          </cell>
          <cell r="C5134" t="str">
            <v>+ Nhân công bậc 4,0/7</v>
          </cell>
          <cell r="D5134" t="str">
            <v>Công</v>
          </cell>
          <cell r="E5134">
            <v>11.9</v>
          </cell>
          <cell r="F5134">
            <v>194680.46052631579</v>
          </cell>
          <cell r="G5134">
            <v>2316697.4802631577</v>
          </cell>
        </row>
        <row r="5135">
          <cell r="A5135" t="str">
            <v>D4.2110</v>
          </cell>
          <cell r="C5135" t="str">
            <v>Kéo rải và lắp cố định đường cáp ngầm, Trọng lượng cáp &lt;= 15kg/m</v>
          </cell>
          <cell r="D5135" t="str">
            <v>100m</v>
          </cell>
          <cell r="H5135">
            <v>22200</v>
          </cell>
          <cell r="I5135">
            <v>2597037.3434210527</v>
          </cell>
        </row>
        <row r="5136">
          <cell r="C5136" t="str">
            <v>Vật liệu</v>
          </cell>
          <cell r="G5136">
            <v>22200</v>
          </cell>
        </row>
        <row r="5137">
          <cell r="B5137">
            <v>25</v>
          </cell>
          <cell r="C5137" t="str">
            <v>+ Băng vải nhựa, ni lông ( băng dính )</v>
          </cell>
          <cell r="D5137" t="str">
            <v>cuộn</v>
          </cell>
          <cell r="E5137">
            <v>0.4</v>
          </cell>
          <cell r="F5137">
            <v>8000</v>
          </cell>
          <cell r="G5137">
            <v>3200</v>
          </cell>
        </row>
        <row r="5138">
          <cell r="B5138">
            <v>9</v>
          </cell>
          <cell r="C5138" t="str">
            <v>+ Giẻ lau</v>
          </cell>
          <cell r="D5138" t="str">
            <v>Kg</v>
          </cell>
          <cell r="E5138">
            <v>0.8</v>
          </cell>
          <cell r="F5138">
            <v>9500</v>
          </cell>
          <cell r="G5138">
            <v>7600</v>
          </cell>
        </row>
        <row r="5139">
          <cell r="B5139">
            <v>1</v>
          </cell>
          <cell r="C5139" t="str">
            <v>+ Cồn công nghiệp</v>
          </cell>
          <cell r="D5139" t="str">
            <v>kg</v>
          </cell>
          <cell r="E5139">
            <v>1.2</v>
          </cell>
          <cell r="F5139">
            <v>9500</v>
          </cell>
          <cell r="G5139">
            <v>11400</v>
          </cell>
        </row>
        <row r="5140">
          <cell r="C5140" t="str">
            <v>Nhân công</v>
          </cell>
          <cell r="G5140">
            <v>2597037.3434210527</v>
          </cell>
        </row>
        <row r="5141">
          <cell r="B5141" t="str">
            <v>NC1407</v>
          </cell>
          <cell r="C5141" t="str">
            <v>+ Nhân công bậc 4,0/7</v>
          </cell>
          <cell r="D5141" t="str">
            <v>Công</v>
          </cell>
          <cell r="E5141">
            <v>13.34</v>
          </cell>
          <cell r="F5141">
            <v>194680.46052631579</v>
          </cell>
          <cell r="G5141">
            <v>2597037.3434210527</v>
          </cell>
        </row>
        <row r="5142">
          <cell r="A5142" t="str">
            <v>D4.2111</v>
          </cell>
          <cell r="C5142" t="str">
            <v>Kéo rải và lắp cố định đường cáp ngầm, Trọng lượng cáp &lt;= 18kg/m</v>
          </cell>
          <cell r="D5142" t="str">
            <v>100m</v>
          </cell>
          <cell r="H5142">
            <v>23000</v>
          </cell>
          <cell r="I5142">
            <v>3373812.3809210523</v>
          </cell>
        </row>
        <row r="5143">
          <cell r="C5143" t="str">
            <v>Vật liệu</v>
          </cell>
          <cell r="G5143">
            <v>23000</v>
          </cell>
        </row>
        <row r="5144">
          <cell r="B5144">
            <v>25</v>
          </cell>
          <cell r="C5144" t="str">
            <v>+ Băng vải nhựa, ni lông ( băng dính )</v>
          </cell>
          <cell r="D5144" t="str">
            <v>cuộn</v>
          </cell>
          <cell r="E5144">
            <v>0.5</v>
          </cell>
          <cell r="F5144">
            <v>8000</v>
          </cell>
          <cell r="G5144">
            <v>4000</v>
          </cell>
        </row>
        <row r="5145">
          <cell r="B5145">
            <v>9</v>
          </cell>
          <cell r="C5145" t="str">
            <v>+ Giẻ lau</v>
          </cell>
          <cell r="D5145" t="str">
            <v>Kg</v>
          </cell>
          <cell r="E5145">
            <v>0.8</v>
          </cell>
          <cell r="F5145">
            <v>9500</v>
          </cell>
          <cell r="G5145">
            <v>7600</v>
          </cell>
        </row>
        <row r="5146">
          <cell r="B5146">
            <v>1</v>
          </cell>
          <cell r="C5146" t="str">
            <v>+ Cồn công nghiệp</v>
          </cell>
          <cell r="D5146" t="str">
            <v>kg</v>
          </cell>
          <cell r="E5146">
            <v>1.2</v>
          </cell>
          <cell r="F5146">
            <v>9500</v>
          </cell>
          <cell r="G5146">
            <v>11400</v>
          </cell>
        </row>
        <row r="5147">
          <cell r="C5147" t="str">
            <v>Nhân công</v>
          </cell>
          <cell r="G5147">
            <v>3373812.3809210523</v>
          </cell>
        </row>
        <row r="5148">
          <cell r="B5148" t="str">
            <v>NC1407</v>
          </cell>
          <cell r="C5148" t="str">
            <v>+ Nhân công bậc 4,0/7</v>
          </cell>
          <cell r="D5148" t="str">
            <v>Công</v>
          </cell>
          <cell r="E5148">
            <v>17.329999999999998</v>
          </cell>
          <cell r="F5148">
            <v>194680.46052631579</v>
          </cell>
          <cell r="G5148">
            <v>3373812.3809210523</v>
          </cell>
        </row>
        <row r="5149">
          <cell r="A5149" t="str">
            <v>D4.2112</v>
          </cell>
          <cell r="C5149" t="str">
            <v>Kéo rải và lắp cố định đường cáp ngầm, Trọng lượng cáp &lt;= 21kg/m</v>
          </cell>
          <cell r="D5149" t="str">
            <v>100m</v>
          </cell>
          <cell r="H5149">
            <v>23000</v>
          </cell>
          <cell r="I5149">
            <v>4497118.6381578948</v>
          </cell>
        </row>
        <row r="5150">
          <cell r="C5150" t="str">
            <v>Vật liệu</v>
          </cell>
          <cell r="G5150">
            <v>23000</v>
          </cell>
        </row>
        <row r="5151">
          <cell r="B5151">
            <v>25</v>
          </cell>
          <cell r="C5151" t="str">
            <v>+ Băng vải nhựa, ni lông ( băng dính )</v>
          </cell>
          <cell r="D5151" t="str">
            <v>cuộn</v>
          </cell>
          <cell r="E5151">
            <v>0.5</v>
          </cell>
          <cell r="F5151">
            <v>8000</v>
          </cell>
          <cell r="G5151">
            <v>4000</v>
          </cell>
        </row>
        <row r="5152">
          <cell r="B5152">
            <v>9</v>
          </cell>
          <cell r="C5152" t="str">
            <v>+ Giẻ lau</v>
          </cell>
          <cell r="D5152" t="str">
            <v>Kg</v>
          </cell>
          <cell r="E5152">
            <v>0.8</v>
          </cell>
          <cell r="F5152">
            <v>9500</v>
          </cell>
          <cell r="G5152">
            <v>7600</v>
          </cell>
        </row>
        <row r="5153">
          <cell r="B5153">
            <v>1</v>
          </cell>
          <cell r="C5153" t="str">
            <v>+ Cồn công nghiệp</v>
          </cell>
          <cell r="D5153" t="str">
            <v>kg</v>
          </cell>
          <cell r="E5153">
            <v>1.2</v>
          </cell>
          <cell r="F5153">
            <v>9500</v>
          </cell>
          <cell r="G5153">
            <v>11400</v>
          </cell>
        </row>
        <row r="5154">
          <cell r="C5154" t="str">
            <v>Nhân công</v>
          </cell>
          <cell r="G5154">
            <v>4497118.6381578948</v>
          </cell>
        </row>
        <row r="5155">
          <cell r="B5155" t="str">
            <v>NC1407</v>
          </cell>
          <cell r="C5155" t="str">
            <v>+ Nhân công bậc 4,0/7</v>
          </cell>
          <cell r="D5155" t="str">
            <v>Công</v>
          </cell>
          <cell r="E5155">
            <v>23.1</v>
          </cell>
          <cell r="F5155">
            <v>194680.46052631579</v>
          </cell>
          <cell r="G5155">
            <v>4497118.6381578948</v>
          </cell>
        </row>
        <row r="5156">
          <cell r="A5156" t="str">
            <v>D4.2113</v>
          </cell>
          <cell r="C5156" t="str">
            <v>Kéo rải và lắp cố định đường cáp ngầm, Trọng lượng cáp &lt; =24kg/m</v>
          </cell>
          <cell r="D5156" t="str">
            <v>100m</v>
          </cell>
          <cell r="H5156">
            <v>26800</v>
          </cell>
          <cell r="I5156">
            <v>5996158.1842105268</v>
          </cell>
        </row>
        <row r="5157">
          <cell r="C5157" t="str">
            <v>Vật liệu</v>
          </cell>
          <cell r="G5157">
            <v>26800</v>
          </cell>
        </row>
        <row r="5158">
          <cell r="B5158">
            <v>25</v>
          </cell>
          <cell r="C5158" t="str">
            <v>+ Băng vải nhựa, ni lông ( băng dính )</v>
          </cell>
          <cell r="D5158" t="str">
            <v>cuộn</v>
          </cell>
          <cell r="E5158">
            <v>0.5</v>
          </cell>
          <cell r="F5158">
            <v>8000</v>
          </cell>
          <cell r="G5158">
            <v>4000</v>
          </cell>
        </row>
        <row r="5159">
          <cell r="B5159">
            <v>9</v>
          </cell>
          <cell r="C5159" t="str">
            <v>+ Giẻ lau</v>
          </cell>
          <cell r="D5159" t="str">
            <v>Kg</v>
          </cell>
          <cell r="E5159">
            <v>1</v>
          </cell>
          <cell r="F5159">
            <v>9500</v>
          </cell>
          <cell r="G5159">
            <v>9500</v>
          </cell>
        </row>
        <row r="5160">
          <cell r="B5160">
            <v>1</v>
          </cell>
          <cell r="C5160" t="str">
            <v>+ Cồn công nghiệp</v>
          </cell>
          <cell r="D5160" t="str">
            <v>kg</v>
          </cell>
          <cell r="E5160">
            <v>1.4</v>
          </cell>
          <cell r="F5160">
            <v>9500</v>
          </cell>
          <cell r="G5160">
            <v>13300</v>
          </cell>
        </row>
        <row r="5161">
          <cell r="C5161" t="str">
            <v>Nhân công</v>
          </cell>
          <cell r="G5161">
            <v>5996158.1842105268</v>
          </cell>
        </row>
        <row r="5162">
          <cell r="B5162" t="str">
            <v>NC1407</v>
          </cell>
          <cell r="C5162" t="str">
            <v>+ Nhân công bậc 4,0/7</v>
          </cell>
          <cell r="D5162" t="str">
            <v>Công</v>
          </cell>
          <cell r="E5162">
            <v>30.8</v>
          </cell>
          <cell r="F5162">
            <v>194680.46052631579</v>
          </cell>
          <cell r="G5162">
            <v>5996158.1842105268</v>
          </cell>
        </row>
        <row r="5163">
          <cell r="A5163" t="str">
            <v>D4.2114</v>
          </cell>
          <cell r="C5163" t="str">
            <v>Kéo rải và lắp cố định đường cáp ngầm, Trọng lượng cáp &lt;= 28kg/m</v>
          </cell>
          <cell r="D5163" t="str">
            <v>100m</v>
          </cell>
          <cell r="H5163">
            <v>28550</v>
          </cell>
          <cell r="I5163">
            <v>7793058.8348684208</v>
          </cell>
        </row>
        <row r="5164">
          <cell r="C5164" t="str">
            <v>Vật liệu</v>
          </cell>
          <cell r="G5164">
            <v>28550</v>
          </cell>
        </row>
        <row r="5165">
          <cell r="B5165">
            <v>25</v>
          </cell>
          <cell r="C5165" t="str">
            <v>+ Băng vải nhựa, ni lông ( băng dính )</v>
          </cell>
          <cell r="D5165" t="str">
            <v>cuộn</v>
          </cell>
          <cell r="E5165">
            <v>0.6</v>
          </cell>
          <cell r="F5165">
            <v>8000</v>
          </cell>
          <cell r="G5165">
            <v>4800</v>
          </cell>
        </row>
        <row r="5166">
          <cell r="B5166">
            <v>9</v>
          </cell>
          <cell r="C5166" t="str">
            <v>+ Giẻ lau</v>
          </cell>
          <cell r="D5166" t="str">
            <v>Kg</v>
          </cell>
          <cell r="E5166">
            <v>1</v>
          </cell>
          <cell r="F5166">
            <v>9500</v>
          </cell>
          <cell r="G5166">
            <v>9500</v>
          </cell>
        </row>
        <row r="5167">
          <cell r="B5167">
            <v>1</v>
          </cell>
          <cell r="C5167" t="str">
            <v>+ Cồn công nghiệp</v>
          </cell>
          <cell r="D5167" t="str">
            <v>kg</v>
          </cell>
          <cell r="E5167">
            <v>1.5</v>
          </cell>
          <cell r="F5167">
            <v>9500</v>
          </cell>
          <cell r="G5167">
            <v>14250</v>
          </cell>
        </row>
        <row r="5168">
          <cell r="C5168" t="str">
            <v>Nhân công</v>
          </cell>
          <cell r="G5168">
            <v>7793058.8348684208</v>
          </cell>
        </row>
        <row r="5169">
          <cell r="B5169" t="str">
            <v>NC1407</v>
          </cell>
          <cell r="C5169" t="str">
            <v>+ Nhân công bậc 4,0/7</v>
          </cell>
          <cell r="D5169" t="str">
            <v>Công</v>
          </cell>
          <cell r="E5169">
            <v>40.03</v>
          </cell>
          <cell r="F5169">
            <v>194680.46052631579</v>
          </cell>
          <cell r="G5169">
            <v>7793058.8348684208</v>
          </cell>
        </row>
        <row r="5170">
          <cell r="A5170" t="str">
            <v>D4.2115</v>
          </cell>
          <cell r="C5170" t="str">
            <v>Kéo rải và lắp cố định đường cáp ngầm, Trọng lượng cáp &lt;= 32kg/m</v>
          </cell>
          <cell r="D5170" t="str">
            <v>100m</v>
          </cell>
          <cell r="H5170">
            <v>29500</v>
          </cell>
          <cell r="I5170">
            <v>10129224.361184211</v>
          </cell>
        </row>
        <row r="5171">
          <cell r="C5171" t="str">
            <v>Vật liệu</v>
          </cell>
          <cell r="G5171">
            <v>29500</v>
          </cell>
        </row>
        <row r="5172">
          <cell r="B5172">
            <v>25</v>
          </cell>
          <cell r="C5172" t="str">
            <v>+ Băng vải nhựa, ni lông ( băng dính )</v>
          </cell>
          <cell r="D5172" t="str">
            <v>cuộn</v>
          </cell>
          <cell r="E5172">
            <v>0.6</v>
          </cell>
          <cell r="F5172">
            <v>8000</v>
          </cell>
          <cell r="G5172">
            <v>4800</v>
          </cell>
        </row>
        <row r="5173">
          <cell r="B5173">
            <v>9</v>
          </cell>
          <cell r="C5173" t="str">
            <v>+ Giẻ lau</v>
          </cell>
          <cell r="D5173" t="str">
            <v>Kg</v>
          </cell>
          <cell r="E5173">
            <v>1</v>
          </cell>
          <cell r="F5173">
            <v>9500</v>
          </cell>
          <cell r="G5173">
            <v>9500</v>
          </cell>
        </row>
        <row r="5174">
          <cell r="B5174">
            <v>1</v>
          </cell>
          <cell r="C5174" t="str">
            <v>+ Cồn công nghiệp</v>
          </cell>
          <cell r="D5174" t="str">
            <v>kg</v>
          </cell>
          <cell r="E5174">
            <v>1.6</v>
          </cell>
          <cell r="F5174">
            <v>9500</v>
          </cell>
          <cell r="G5174">
            <v>15200</v>
          </cell>
        </row>
        <row r="5175">
          <cell r="C5175" t="str">
            <v>Nhân công</v>
          </cell>
          <cell r="G5175">
            <v>10129224.361184211</v>
          </cell>
        </row>
        <row r="5176">
          <cell r="B5176" t="str">
            <v>NC1407</v>
          </cell>
          <cell r="C5176" t="str">
            <v>+ Nhân công bậc 4,0/7</v>
          </cell>
          <cell r="D5176" t="str">
            <v>Công</v>
          </cell>
          <cell r="E5176">
            <v>52.03</v>
          </cell>
          <cell r="F5176">
            <v>194680.46052631579</v>
          </cell>
          <cell r="G5176">
            <v>10129224.361184211</v>
          </cell>
        </row>
        <row r="5177">
          <cell r="A5177" t="str">
            <v>D4.2201</v>
          </cell>
          <cell r="C5177" t="str">
            <v>Lắp đặt cáp trên giá đỡ đặt ở tường, trong hầm cáp, Trọng lượng cáp &lt; =1kg/m</v>
          </cell>
          <cell r="D5177" t="str">
            <v>100m</v>
          </cell>
          <cell r="H5177">
            <v>51100</v>
          </cell>
          <cell r="I5177">
            <v>482807.54210526316</v>
          </cell>
        </row>
        <row r="5178">
          <cell r="C5178" t="str">
            <v>Vật liệu</v>
          </cell>
          <cell r="G5178">
            <v>51100</v>
          </cell>
        </row>
        <row r="5179">
          <cell r="B5179">
            <v>25</v>
          </cell>
          <cell r="C5179" t="str">
            <v>+ Băng vải nhựa, ni lông ( băng dính )</v>
          </cell>
          <cell r="D5179" t="str">
            <v>cuộn</v>
          </cell>
          <cell r="E5179">
            <v>0.2</v>
          </cell>
          <cell r="F5179">
            <v>8000</v>
          </cell>
          <cell r="G5179">
            <v>1600</v>
          </cell>
        </row>
        <row r="5180">
          <cell r="B5180">
            <v>9</v>
          </cell>
          <cell r="C5180" t="str">
            <v>+ Giẻ lau</v>
          </cell>
          <cell r="D5180" t="str">
            <v>Kg</v>
          </cell>
          <cell r="E5180">
            <v>0.3</v>
          </cell>
          <cell r="F5180">
            <v>9500</v>
          </cell>
          <cell r="G5180">
            <v>2850</v>
          </cell>
        </row>
        <row r="5181">
          <cell r="B5181">
            <v>1</v>
          </cell>
          <cell r="C5181" t="str">
            <v>+ Cồn công nghiệp</v>
          </cell>
          <cell r="D5181" t="str">
            <v>kg</v>
          </cell>
          <cell r="E5181">
            <v>0.7</v>
          </cell>
          <cell r="F5181">
            <v>9500</v>
          </cell>
          <cell r="G5181">
            <v>6650</v>
          </cell>
        </row>
        <row r="5182">
          <cell r="B5182">
            <v>28</v>
          </cell>
          <cell r="C5182" t="str">
            <v>+ Coliê sắt</v>
          </cell>
          <cell r="D5182" t="str">
            <v>bộ</v>
          </cell>
          <cell r="E5182">
            <v>8</v>
          </cell>
          <cell r="F5182">
            <v>5000</v>
          </cell>
          <cell r="G5182">
            <v>40000</v>
          </cell>
        </row>
        <row r="5183">
          <cell r="C5183" t="str">
            <v>Nhân công</v>
          </cell>
          <cell r="G5183">
            <v>482807.54210526316</v>
          </cell>
        </row>
        <row r="5184">
          <cell r="B5184" t="str">
            <v>NC1407</v>
          </cell>
          <cell r="C5184" t="str">
            <v>+ Nhân công bậc 4,0/7</v>
          </cell>
          <cell r="D5184" t="str">
            <v>Công</v>
          </cell>
          <cell r="E5184">
            <v>2.48</v>
          </cell>
          <cell r="F5184">
            <v>194680.46052631579</v>
          </cell>
          <cell r="G5184">
            <v>482807.54210526316</v>
          </cell>
        </row>
        <row r="5185">
          <cell r="A5185" t="str">
            <v>D4.2202</v>
          </cell>
          <cell r="C5185" t="str">
            <v>Lắp đặt cáp trên giá đỡ đặt ở tường, trong hầm cáp, Trọng lượng cáp &lt; =2kg/m</v>
          </cell>
          <cell r="D5185" t="str">
            <v>100m</v>
          </cell>
          <cell r="H5185">
            <v>51100</v>
          </cell>
          <cell r="I5185">
            <v>535371.26644736843</v>
          </cell>
        </row>
        <row r="5186">
          <cell r="C5186" t="str">
            <v>Vật liệu</v>
          </cell>
          <cell r="G5186">
            <v>51100</v>
          </cell>
        </row>
        <row r="5187">
          <cell r="B5187">
            <v>25</v>
          </cell>
          <cell r="C5187" t="str">
            <v>+ Băng vải nhựa, ni lông ( băng dính )</v>
          </cell>
          <cell r="D5187" t="str">
            <v>cuộn</v>
          </cell>
          <cell r="E5187">
            <v>0.2</v>
          </cell>
          <cell r="F5187">
            <v>8000</v>
          </cell>
          <cell r="G5187">
            <v>1600</v>
          </cell>
        </row>
        <row r="5188">
          <cell r="B5188">
            <v>9</v>
          </cell>
          <cell r="C5188" t="str">
            <v>+ Giẻ lau</v>
          </cell>
          <cell r="D5188" t="str">
            <v>Kg</v>
          </cell>
          <cell r="E5188">
            <v>0.3</v>
          </cell>
          <cell r="F5188">
            <v>9500</v>
          </cell>
          <cell r="G5188">
            <v>2850</v>
          </cell>
        </row>
        <row r="5189">
          <cell r="B5189">
            <v>1</v>
          </cell>
          <cell r="C5189" t="str">
            <v>+ Cồn công nghiệp</v>
          </cell>
          <cell r="D5189" t="str">
            <v>kg</v>
          </cell>
          <cell r="E5189">
            <v>0.7</v>
          </cell>
          <cell r="F5189">
            <v>9500</v>
          </cell>
          <cell r="G5189">
            <v>6650</v>
          </cell>
        </row>
        <row r="5190">
          <cell r="B5190">
            <v>28</v>
          </cell>
          <cell r="C5190" t="str">
            <v>+ Coliê sắt</v>
          </cell>
          <cell r="D5190" t="str">
            <v>bộ</v>
          </cell>
          <cell r="E5190">
            <v>8</v>
          </cell>
          <cell r="F5190">
            <v>5000</v>
          </cell>
          <cell r="G5190">
            <v>40000</v>
          </cell>
        </row>
        <row r="5191">
          <cell r="C5191" t="str">
            <v>Nhân công</v>
          </cell>
          <cell r="G5191">
            <v>535371.26644736843</v>
          </cell>
        </row>
        <row r="5192">
          <cell r="B5192" t="str">
            <v>NC1407</v>
          </cell>
          <cell r="C5192" t="str">
            <v>+ Nhân công bậc 4,0/7</v>
          </cell>
          <cell r="D5192" t="str">
            <v>Công</v>
          </cell>
          <cell r="E5192">
            <v>2.75</v>
          </cell>
          <cell r="F5192">
            <v>194680.46052631579</v>
          </cell>
          <cell r="G5192">
            <v>535371.26644736843</v>
          </cell>
        </row>
        <row r="5193">
          <cell r="A5193" t="str">
            <v>D4.2203</v>
          </cell>
          <cell r="C5193" t="str">
            <v>Lắp đặt cáp trên giá đỡ đặt ở tường, trong hầm cáp, Trọng lượng cáp &lt; =3kg/m</v>
          </cell>
          <cell r="D5193" t="str">
            <v>100m</v>
          </cell>
          <cell r="H5193">
            <v>51100</v>
          </cell>
          <cell r="I5193">
            <v>696956.04868421052</v>
          </cell>
        </row>
        <row r="5194">
          <cell r="C5194" t="str">
            <v>Vật liệu</v>
          </cell>
          <cell r="G5194">
            <v>51100</v>
          </cell>
        </row>
        <row r="5195">
          <cell r="B5195">
            <v>25</v>
          </cell>
          <cell r="C5195" t="str">
            <v>+ Băng vải nhựa, ni lông ( băng dính )</v>
          </cell>
          <cell r="D5195" t="str">
            <v>cuộn</v>
          </cell>
          <cell r="E5195">
            <v>0.2</v>
          </cell>
          <cell r="F5195">
            <v>8000</v>
          </cell>
          <cell r="G5195">
            <v>1600</v>
          </cell>
        </row>
        <row r="5196">
          <cell r="B5196">
            <v>9</v>
          </cell>
          <cell r="C5196" t="str">
            <v>+ Giẻ lau</v>
          </cell>
          <cell r="D5196" t="str">
            <v>Kg</v>
          </cell>
          <cell r="E5196">
            <v>0.3</v>
          </cell>
          <cell r="F5196">
            <v>9500</v>
          </cell>
          <cell r="G5196">
            <v>2850</v>
          </cell>
        </row>
        <row r="5197">
          <cell r="B5197">
            <v>1</v>
          </cell>
          <cell r="C5197" t="str">
            <v>+ Cồn công nghiệp</v>
          </cell>
          <cell r="D5197" t="str">
            <v>kg</v>
          </cell>
          <cell r="E5197">
            <v>0.7</v>
          </cell>
          <cell r="F5197">
            <v>9500</v>
          </cell>
          <cell r="G5197">
            <v>6650</v>
          </cell>
        </row>
        <row r="5198">
          <cell r="B5198">
            <v>28</v>
          </cell>
          <cell r="C5198" t="str">
            <v>+ Coliê sắt</v>
          </cell>
          <cell r="D5198" t="str">
            <v>bộ</v>
          </cell>
          <cell r="E5198">
            <v>8</v>
          </cell>
          <cell r="F5198">
            <v>5000</v>
          </cell>
          <cell r="G5198">
            <v>40000</v>
          </cell>
        </row>
        <row r="5199">
          <cell r="C5199" t="str">
            <v>Nhân công</v>
          </cell>
          <cell r="G5199">
            <v>696956.04868421052</v>
          </cell>
        </row>
        <row r="5200">
          <cell r="B5200" t="str">
            <v>NC1407</v>
          </cell>
          <cell r="C5200" t="str">
            <v>+ Nhân công bậc 4,0/7</v>
          </cell>
          <cell r="D5200" t="str">
            <v>Công</v>
          </cell>
          <cell r="E5200">
            <v>3.58</v>
          </cell>
          <cell r="F5200">
            <v>194680.46052631579</v>
          </cell>
          <cell r="G5200">
            <v>696956.04868421052</v>
          </cell>
        </row>
        <row r="5201">
          <cell r="A5201" t="str">
            <v>D4.2204</v>
          </cell>
          <cell r="C5201" t="str">
            <v>Lắp đặt cáp trên giá đỡ đặt ở tường, trong hầm cáp, Trọng lượng cáp &lt; =4,5kg/m</v>
          </cell>
          <cell r="D5201" t="str">
            <v>100m</v>
          </cell>
          <cell r="H5201">
            <v>53800</v>
          </cell>
          <cell r="I5201">
            <v>911104.55526315782</v>
          </cell>
        </row>
        <row r="5202">
          <cell r="C5202" t="str">
            <v>Vật liệu</v>
          </cell>
          <cell r="G5202">
            <v>53800</v>
          </cell>
        </row>
        <row r="5203">
          <cell r="B5203">
            <v>25</v>
          </cell>
          <cell r="C5203" t="str">
            <v>+ Băng vải nhựa, ni lông ( băng dính )</v>
          </cell>
          <cell r="D5203" t="str">
            <v>cuộn</v>
          </cell>
          <cell r="E5203">
            <v>0.3</v>
          </cell>
          <cell r="F5203">
            <v>8000</v>
          </cell>
          <cell r="G5203">
            <v>2400</v>
          </cell>
        </row>
        <row r="5204">
          <cell r="B5204">
            <v>9</v>
          </cell>
          <cell r="C5204" t="str">
            <v>+ Giẻ lau</v>
          </cell>
          <cell r="D5204" t="str">
            <v>Kg</v>
          </cell>
          <cell r="E5204">
            <v>0.4</v>
          </cell>
          <cell r="F5204">
            <v>9500</v>
          </cell>
          <cell r="G5204">
            <v>3800</v>
          </cell>
        </row>
        <row r="5205">
          <cell r="B5205">
            <v>1</v>
          </cell>
          <cell r="C5205" t="str">
            <v>+ Cồn công nghiệp</v>
          </cell>
          <cell r="D5205" t="str">
            <v>kg</v>
          </cell>
          <cell r="E5205">
            <v>0.8</v>
          </cell>
          <cell r="F5205">
            <v>9500</v>
          </cell>
          <cell r="G5205">
            <v>7600</v>
          </cell>
        </row>
        <row r="5206">
          <cell r="B5206">
            <v>28</v>
          </cell>
          <cell r="C5206" t="str">
            <v>+ Coliê sắt</v>
          </cell>
          <cell r="D5206" t="str">
            <v>bộ</v>
          </cell>
          <cell r="E5206">
            <v>8</v>
          </cell>
          <cell r="F5206">
            <v>5000</v>
          </cell>
          <cell r="G5206">
            <v>40000</v>
          </cell>
        </row>
        <row r="5207">
          <cell r="C5207" t="str">
            <v>Nhân công</v>
          </cell>
          <cell r="G5207">
            <v>911104.55526315782</v>
          </cell>
        </row>
        <row r="5208">
          <cell r="B5208" t="str">
            <v>NC1407</v>
          </cell>
          <cell r="C5208" t="str">
            <v>+ Nhân công bậc 4,0/7</v>
          </cell>
          <cell r="D5208" t="str">
            <v>Công</v>
          </cell>
          <cell r="E5208">
            <v>4.68</v>
          </cell>
          <cell r="F5208">
            <v>194680.46052631579</v>
          </cell>
          <cell r="G5208">
            <v>911104.55526315782</v>
          </cell>
        </row>
        <row r="5209">
          <cell r="A5209" t="str">
            <v>D4.2205</v>
          </cell>
          <cell r="C5209" t="str">
            <v>Lắp đặt cáp trên giá đỡ đặt ở tường, trong hầm cáp, Trọng lượng cáp  &lt;= 6kg/m</v>
          </cell>
          <cell r="D5209" t="str">
            <v>100m</v>
          </cell>
          <cell r="H5209">
            <v>63800</v>
          </cell>
          <cell r="I5209">
            <v>1070742.5328947369</v>
          </cell>
        </row>
        <row r="5210">
          <cell r="C5210" t="str">
            <v>Vật liệu</v>
          </cell>
          <cell r="G5210">
            <v>63800</v>
          </cell>
        </row>
        <row r="5211">
          <cell r="B5211">
            <v>25</v>
          </cell>
          <cell r="C5211" t="str">
            <v>+ Băng vải nhựa, ni lông ( băng dính )</v>
          </cell>
          <cell r="D5211" t="str">
            <v>cuộn</v>
          </cell>
          <cell r="E5211">
            <v>0.3</v>
          </cell>
          <cell r="F5211">
            <v>8000</v>
          </cell>
          <cell r="G5211">
            <v>2400</v>
          </cell>
        </row>
        <row r="5212">
          <cell r="B5212">
            <v>9</v>
          </cell>
          <cell r="C5212" t="str">
            <v>+ Giẻ lau</v>
          </cell>
          <cell r="D5212" t="str">
            <v>Kg</v>
          </cell>
          <cell r="E5212">
            <v>0.4</v>
          </cell>
          <cell r="F5212">
            <v>9500</v>
          </cell>
          <cell r="G5212">
            <v>3800</v>
          </cell>
        </row>
        <row r="5213">
          <cell r="B5213">
            <v>1</v>
          </cell>
          <cell r="C5213" t="str">
            <v>+ Cồn công nghiệp</v>
          </cell>
          <cell r="D5213" t="str">
            <v>kg</v>
          </cell>
          <cell r="E5213">
            <v>0.8</v>
          </cell>
          <cell r="F5213">
            <v>9500</v>
          </cell>
          <cell r="G5213">
            <v>7600</v>
          </cell>
        </row>
        <row r="5214">
          <cell r="B5214">
            <v>28</v>
          </cell>
          <cell r="C5214" t="str">
            <v>+ Coliê sắt</v>
          </cell>
          <cell r="D5214" t="str">
            <v>bộ</v>
          </cell>
          <cell r="E5214">
            <v>10</v>
          </cell>
          <cell r="F5214">
            <v>5000</v>
          </cell>
          <cell r="G5214">
            <v>50000</v>
          </cell>
        </row>
        <row r="5215">
          <cell r="C5215" t="str">
            <v>Nhân công</v>
          </cell>
          <cell r="G5215">
            <v>1070742.5328947369</v>
          </cell>
        </row>
        <row r="5216">
          <cell r="B5216" t="str">
            <v>NC1407</v>
          </cell>
          <cell r="C5216" t="str">
            <v>+ Nhân công bậc 4,0/7</v>
          </cell>
          <cell r="D5216" t="str">
            <v>Công</v>
          </cell>
          <cell r="E5216">
            <v>5.5</v>
          </cell>
          <cell r="F5216">
            <v>194680.46052631579</v>
          </cell>
          <cell r="G5216">
            <v>1070742.5328947369</v>
          </cell>
        </row>
        <row r="5217">
          <cell r="A5217" t="str">
            <v>D4.2206</v>
          </cell>
          <cell r="C5217" t="str">
            <v>Lắp đặt cáp trên giá đỡ đặt ở tường, trong hầm cáp, Trọng lượng cáp &lt; =7,8kg/m</v>
          </cell>
          <cell r="D5217" t="str">
            <v>100m</v>
          </cell>
          <cell r="H5217">
            <v>66500</v>
          </cell>
          <cell r="I5217">
            <v>1339401.5684210525</v>
          </cell>
        </row>
        <row r="5218">
          <cell r="C5218" t="str">
            <v>Vật liệu</v>
          </cell>
          <cell r="G5218">
            <v>66500</v>
          </cell>
        </row>
        <row r="5219">
          <cell r="B5219">
            <v>25</v>
          </cell>
          <cell r="C5219" t="str">
            <v>+ Băng vải nhựa, ni lông ( băng dính )</v>
          </cell>
          <cell r="D5219" t="str">
            <v>cuộn</v>
          </cell>
          <cell r="E5219">
            <v>0.4</v>
          </cell>
          <cell r="F5219">
            <v>8000</v>
          </cell>
          <cell r="G5219">
            <v>3200</v>
          </cell>
        </row>
        <row r="5220">
          <cell r="B5220">
            <v>9</v>
          </cell>
          <cell r="C5220" t="str">
            <v>+ Giẻ lau</v>
          </cell>
          <cell r="D5220" t="str">
            <v>Kg</v>
          </cell>
          <cell r="E5220">
            <v>0.5</v>
          </cell>
          <cell r="F5220">
            <v>9500</v>
          </cell>
          <cell r="G5220">
            <v>4750</v>
          </cell>
        </row>
        <row r="5221">
          <cell r="B5221">
            <v>1</v>
          </cell>
          <cell r="C5221" t="str">
            <v>+ Cồn công nghiệp</v>
          </cell>
          <cell r="D5221" t="str">
            <v>kg</v>
          </cell>
          <cell r="E5221">
            <v>0.9</v>
          </cell>
          <cell r="F5221">
            <v>9500</v>
          </cell>
          <cell r="G5221">
            <v>8550</v>
          </cell>
        </row>
        <row r="5222">
          <cell r="B5222">
            <v>28</v>
          </cell>
          <cell r="C5222" t="str">
            <v>+ Coliê sắt</v>
          </cell>
          <cell r="D5222" t="str">
            <v>bộ</v>
          </cell>
          <cell r="E5222">
            <v>10</v>
          </cell>
          <cell r="F5222">
            <v>5000</v>
          </cell>
          <cell r="G5222">
            <v>50000</v>
          </cell>
        </row>
        <row r="5223">
          <cell r="C5223" t="str">
            <v>Nhân công</v>
          </cell>
          <cell r="G5223">
            <v>1339401.5684210525</v>
          </cell>
        </row>
        <row r="5224">
          <cell r="B5224" t="str">
            <v>NC1407</v>
          </cell>
          <cell r="C5224" t="str">
            <v>+ Nhân công bậc 4,0/7</v>
          </cell>
          <cell r="D5224" t="str">
            <v>Công</v>
          </cell>
          <cell r="E5224">
            <v>6.88</v>
          </cell>
          <cell r="F5224">
            <v>194680.46052631579</v>
          </cell>
          <cell r="G5224">
            <v>1339401.5684210525</v>
          </cell>
        </row>
        <row r="5225">
          <cell r="A5225" t="str">
            <v>D4.2207</v>
          </cell>
          <cell r="C5225" t="str">
            <v>Lắp đặt cáp trên giá đỡ đặt ở tường, trong hầm cáp, Trọng lượng cáp &lt; =9kg/m</v>
          </cell>
          <cell r="D5225" t="str">
            <v>100m</v>
          </cell>
          <cell r="H5225">
            <v>66500</v>
          </cell>
          <cell r="I5225">
            <v>1660624.3282894734</v>
          </cell>
        </row>
        <row r="5226">
          <cell r="C5226" t="str">
            <v>Vật liệu</v>
          </cell>
          <cell r="G5226">
            <v>66500</v>
          </cell>
        </row>
        <row r="5227">
          <cell r="B5227">
            <v>25</v>
          </cell>
          <cell r="C5227" t="str">
            <v>+ Băng vải nhựa, ni lông ( băng dính )</v>
          </cell>
          <cell r="D5227" t="str">
            <v>cuộn</v>
          </cell>
          <cell r="E5227">
            <v>0.4</v>
          </cell>
          <cell r="F5227">
            <v>8000</v>
          </cell>
          <cell r="G5227">
            <v>3200</v>
          </cell>
        </row>
        <row r="5228">
          <cell r="B5228">
            <v>9</v>
          </cell>
          <cell r="C5228" t="str">
            <v>+ Giẻ lau</v>
          </cell>
          <cell r="D5228" t="str">
            <v>Kg</v>
          </cell>
          <cell r="E5228">
            <v>0.5</v>
          </cell>
          <cell r="F5228">
            <v>9500</v>
          </cell>
          <cell r="G5228">
            <v>4750</v>
          </cell>
        </row>
        <row r="5229">
          <cell r="B5229">
            <v>1</v>
          </cell>
          <cell r="C5229" t="str">
            <v>+ Cồn công nghiệp</v>
          </cell>
          <cell r="D5229" t="str">
            <v>kg</v>
          </cell>
          <cell r="E5229">
            <v>0.9</v>
          </cell>
          <cell r="F5229">
            <v>9500</v>
          </cell>
          <cell r="G5229">
            <v>8550</v>
          </cell>
        </row>
        <row r="5230">
          <cell r="B5230">
            <v>28</v>
          </cell>
          <cell r="C5230" t="str">
            <v>+ Coliê sắt</v>
          </cell>
          <cell r="D5230" t="str">
            <v>bộ</v>
          </cell>
          <cell r="E5230">
            <v>10</v>
          </cell>
          <cell r="F5230">
            <v>5000</v>
          </cell>
          <cell r="G5230">
            <v>50000</v>
          </cell>
        </row>
        <row r="5231">
          <cell r="C5231" t="str">
            <v>Nhân công</v>
          </cell>
          <cell r="G5231">
            <v>1660624.3282894734</v>
          </cell>
        </row>
        <row r="5232">
          <cell r="B5232" t="str">
            <v>NC1407</v>
          </cell>
          <cell r="C5232" t="str">
            <v>+ Nhân công bậc 4,0/7</v>
          </cell>
          <cell r="D5232" t="str">
            <v>Công</v>
          </cell>
          <cell r="E5232">
            <v>8.5299999999999994</v>
          </cell>
          <cell r="F5232">
            <v>194680.46052631579</v>
          </cell>
          <cell r="G5232">
            <v>1660624.3282894734</v>
          </cell>
        </row>
        <row r="5233">
          <cell r="A5233" t="str">
            <v>D4.2208</v>
          </cell>
          <cell r="C5233" t="str">
            <v>Lắp đặt cáp trên giá đỡ đặt ở tường, trong hầm cáp, Trọng lượng cáp &lt; =10,5kg/m</v>
          </cell>
          <cell r="D5233" t="str">
            <v>100m</v>
          </cell>
          <cell r="H5233">
            <v>68400</v>
          </cell>
          <cell r="I5233">
            <v>2009102.3526315789</v>
          </cell>
        </row>
        <row r="5234">
          <cell r="C5234" t="str">
            <v>Vật liệu</v>
          </cell>
          <cell r="G5234">
            <v>68400</v>
          </cell>
        </row>
        <row r="5235">
          <cell r="B5235">
            <v>25</v>
          </cell>
          <cell r="C5235" t="str">
            <v>+ Băng vải nhựa, ni lông ( băng dính )</v>
          </cell>
          <cell r="D5235" t="str">
            <v>cuộn</v>
          </cell>
          <cell r="E5235">
            <v>0.4</v>
          </cell>
          <cell r="F5235">
            <v>8000</v>
          </cell>
          <cell r="G5235">
            <v>3200</v>
          </cell>
        </row>
        <row r="5236">
          <cell r="B5236">
            <v>9</v>
          </cell>
          <cell r="C5236" t="str">
            <v>+ Giẻ lau</v>
          </cell>
          <cell r="D5236" t="str">
            <v>Kg</v>
          </cell>
          <cell r="E5236">
            <v>0.6</v>
          </cell>
          <cell r="F5236">
            <v>9500</v>
          </cell>
          <cell r="G5236">
            <v>5700</v>
          </cell>
        </row>
        <row r="5237">
          <cell r="B5237">
            <v>1</v>
          </cell>
          <cell r="C5237" t="str">
            <v>+ Cồn công nghiệp</v>
          </cell>
          <cell r="D5237" t="str">
            <v>kg</v>
          </cell>
          <cell r="E5237">
            <v>1</v>
          </cell>
          <cell r="F5237">
            <v>9500</v>
          </cell>
          <cell r="G5237">
            <v>9500</v>
          </cell>
        </row>
        <row r="5238">
          <cell r="B5238">
            <v>28</v>
          </cell>
          <cell r="C5238" t="str">
            <v>+ Coliê sắt</v>
          </cell>
          <cell r="D5238" t="str">
            <v>bộ</v>
          </cell>
          <cell r="E5238">
            <v>10</v>
          </cell>
          <cell r="F5238">
            <v>5000</v>
          </cell>
          <cell r="G5238">
            <v>50000</v>
          </cell>
        </row>
        <row r="5239">
          <cell r="C5239" t="str">
            <v>Nhân công</v>
          </cell>
          <cell r="G5239">
            <v>2009102.3526315789</v>
          </cell>
        </row>
        <row r="5240">
          <cell r="B5240" t="str">
            <v>NC1407</v>
          </cell>
          <cell r="C5240" t="str">
            <v>+ Nhân công bậc 4,0/7</v>
          </cell>
          <cell r="D5240" t="str">
            <v>Công</v>
          </cell>
          <cell r="E5240">
            <v>10.32</v>
          </cell>
          <cell r="F5240">
            <v>194680.46052631579</v>
          </cell>
          <cell r="G5240">
            <v>2009102.3526315789</v>
          </cell>
        </row>
        <row r="5241">
          <cell r="A5241" t="str">
            <v>D4.2209</v>
          </cell>
          <cell r="C5241" t="str">
            <v>Lắp đặt cáp trên giá đỡ đặt ở tường, trong hầm cáp, Trọng lượng cáp &lt; =12kg/m</v>
          </cell>
          <cell r="D5241" t="str">
            <v>100m</v>
          </cell>
          <cell r="H5241">
            <v>68400</v>
          </cell>
          <cell r="I5241">
            <v>2330325.1125000003</v>
          </cell>
        </row>
        <row r="5242">
          <cell r="C5242" t="str">
            <v>Vật liệu</v>
          </cell>
          <cell r="G5242">
            <v>68400</v>
          </cell>
        </row>
        <row r="5243">
          <cell r="B5243">
            <v>25</v>
          </cell>
          <cell r="C5243" t="str">
            <v>+ Băng vải nhựa, ni lông ( băng dính )</v>
          </cell>
          <cell r="D5243" t="str">
            <v>cuộn</v>
          </cell>
          <cell r="E5243">
            <v>0.4</v>
          </cell>
          <cell r="F5243">
            <v>8000</v>
          </cell>
          <cell r="G5243">
            <v>3200</v>
          </cell>
        </row>
        <row r="5244">
          <cell r="B5244">
            <v>9</v>
          </cell>
          <cell r="C5244" t="str">
            <v>+ Giẻ lau</v>
          </cell>
          <cell r="D5244" t="str">
            <v>Kg</v>
          </cell>
          <cell r="E5244">
            <v>0.6</v>
          </cell>
          <cell r="F5244">
            <v>9500</v>
          </cell>
          <cell r="G5244">
            <v>5700</v>
          </cell>
        </row>
        <row r="5245">
          <cell r="B5245">
            <v>1</v>
          </cell>
          <cell r="C5245" t="str">
            <v>+ Cồn công nghiệp</v>
          </cell>
          <cell r="D5245" t="str">
            <v>kg</v>
          </cell>
          <cell r="E5245">
            <v>1</v>
          </cell>
          <cell r="F5245">
            <v>9500</v>
          </cell>
          <cell r="G5245">
            <v>9500</v>
          </cell>
        </row>
        <row r="5246">
          <cell r="B5246">
            <v>28</v>
          </cell>
          <cell r="C5246" t="str">
            <v>+ Coliê sắt</v>
          </cell>
          <cell r="D5246" t="str">
            <v>bộ</v>
          </cell>
          <cell r="E5246">
            <v>10</v>
          </cell>
          <cell r="F5246">
            <v>5000</v>
          </cell>
          <cell r="G5246">
            <v>50000</v>
          </cell>
        </row>
        <row r="5247">
          <cell r="C5247" t="str">
            <v>Nhân công</v>
          </cell>
          <cell r="G5247">
            <v>2330325.1125000003</v>
          </cell>
        </row>
        <row r="5248">
          <cell r="B5248" t="str">
            <v>NC1407</v>
          </cell>
          <cell r="C5248" t="str">
            <v>+ Nhân công bậc 4,0/7</v>
          </cell>
          <cell r="D5248" t="str">
            <v>Công</v>
          </cell>
          <cell r="E5248">
            <v>11.97</v>
          </cell>
          <cell r="F5248">
            <v>194680.46052631579</v>
          </cell>
          <cell r="G5248">
            <v>2330325.1125000003</v>
          </cell>
        </row>
        <row r="5249">
          <cell r="A5249" t="str">
            <v>D4.2210</v>
          </cell>
          <cell r="C5249" t="str">
            <v>Lắp đặt cáp trên giá đỡ đặt ở tường, trong hầm cáp, Trọng lượng cáp &lt; =15kg/m</v>
          </cell>
          <cell r="D5249" t="str">
            <v>100m</v>
          </cell>
          <cell r="H5249">
            <v>72200</v>
          </cell>
          <cell r="I5249">
            <v>2945515.3677631579</v>
          </cell>
        </row>
        <row r="5250">
          <cell r="C5250" t="str">
            <v>Vật liệu</v>
          </cell>
          <cell r="G5250">
            <v>72200</v>
          </cell>
        </row>
        <row r="5251">
          <cell r="B5251">
            <v>25</v>
          </cell>
          <cell r="C5251" t="str">
            <v>+ Băng vải nhựa, ni lông ( băng dính )</v>
          </cell>
          <cell r="D5251" t="str">
            <v>cuộn</v>
          </cell>
          <cell r="E5251">
            <v>0.4</v>
          </cell>
          <cell r="F5251">
            <v>8000</v>
          </cell>
          <cell r="G5251">
            <v>3200</v>
          </cell>
        </row>
        <row r="5252">
          <cell r="B5252">
            <v>9</v>
          </cell>
          <cell r="C5252" t="str">
            <v>+ Giẻ lau</v>
          </cell>
          <cell r="D5252" t="str">
            <v>Kg</v>
          </cell>
          <cell r="E5252">
            <v>0.8</v>
          </cell>
          <cell r="F5252">
            <v>9500</v>
          </cell>
          <cell r="G5252">
            <v>7600</v>
          </cell>
        </row>
        <row r="5253">
          <cell r="B5253">
            <v>1</v>
          </cell>
          <cell r="C5253" t="str">
            <v>+ Cồn công nghiệp</v>
          </cell>
          <cell r="D5253" t="str">
            <v>kg</v>
          </cell>
          <cell r="E5253">
            <v>1.2</v>
          </cell>
          <cell r="F5253">
            <v>9500</v>
          </cell>
          <cell r="G5253">
            <v>11400</v>
          </cell>
        </row>
        <row r="5254">
          <cell r="B5254">
            <v>28</v>
          </cell>
          <cell r="C5254" t="str">
            <v>+ Coliê sắt</v>
          </cell>
          <cell r="D5254" t="str">
            <v>bộ</v>
          </cell>
          <cell r="E5254">
            <v>10</v>
          </cell>
          <cell r="F5254">
            <v>5000</v>
          </cell>
          <cell r="G5254">
            <v>50000</v>
          </cell>
        </row>
        <row r="5255">
          <cell r="C5255" t="str">
            <v>Nhân công</v>
          </cell>
          <cell r="G5255">
            <v>2945515.3677631579</v>
          </cell>
        </row>
        <row r="5256">
          <cell r="B5256" t="str">
            <v>NC1407</v>
          </cell>
          <cell r="C5256" t="str">
            <v>+ Nhân công bậc 4,0/7</v>
          </cell>
          <cell r="D5256" t="str">
            <v>Công</v>
          </cell>
          <cell r="E5256">
            <v>15.13</v>
          </cell>
          <cell r="F5256">
            <v>194680.46052631579</v>
          </cell>
          <cell r="G5256">
            <v>2945515.3677631579</v>
          </cell>
        </row>
        <row r="5257">
          <cell r="A5257" t="str">
            <v>D4.2211</v>
          </cell>
          <cell r="C5257" t="str">
            <v>Lắp đặt cáp trên giá đỡ đặt ở tường, trong hầm cáp, Trọng lượng cáp  &lt;= 18kg/m</v>
          </cell>
          <cell r="D5257" t="str">
            <v>100m</v>
          </cell>
          <cell r="H5257">
            <v>83000</v>
          </cell>
          <cell r="I5257">
            <v>3747598.8651315789</v>
          </cell>
        </row>
        <row r="5258">
          <cell r="C5258" t="str">
            <v>Vật liệu</v>
          </cell>
          <cell r="G5258">
            <v>83000</v>
          </cell>
        </row>
        <row r="5259">
          <cell r="B5259">
            <v>25</v>
          </cell>
          <cell r="C5259" t="str">
            <v>+ Băng vải nhựa, ni lông ( băng dính )</v>
          </cell>
          <cell r="D5259" t="str">
            <v>cuộn</v>
          </cell>
          <cell r="E5259">
            <v>0.5</v>
          </cell>
          <cell r="F5259">
            <v>8000</v>
          </cell>
          <cell r="G5259">
            <v>4000</v>
          </cell>
        </row>
        <row r="5260">
          <cell r="B5260">
            <v>9</v>
          </cell>
          <cell r="C5260" t="str">
            <v>+ Giẻ lau</v>
          </cell>
          <cell r="D5260" t="str">
            <v>Kg</v>
          </cell>
          <cell r="E5260">
            <v>0.8</v>
          </cell>
          <cell r="F5260">
            <v>9500</v>
          </cell>
          <cell r="G5260">
            <v>7600</v>
          </cell>
        </row>
        <row r="5261">
          <cell r="B5261">
            <v>1</v>
          </cell>
          <cell r="C5261" t="str">
            <v>+ Cồn công nghiệp</v>
          </cell>
          <cell r="D5261" t="str">
            <v>kg</v>
          </cell>
          <cell r="E5261">
            <v>1.2</v>
          </cell>
          <cell r="F5261">
            <v>9500</v>
          </cell>
          <cell r="G5261">
            <v>11400</v>
          </cell>
        </row>
        <row r="5262">
          <cell r="B5262">
            <v>28</v>
          </cell>
          <cell r="C5262" t="str">
            <v>+ Coliê sắt</v>
          </cell>
          <cell r="D5262" t="str">
            <v>bộ</v>
          </cell>
          <cell r="E5262">
            <v>12</v>
          </cell>
          <cell r="F5262">
            <v>5000</v>
          </cell>
          <cell r="G5262">
            <v>60000</v>
          </cell>
        </row>
        <row r="5263">
          <cell r="C5263" t="str">
            <v>Nhân công</v>
          </cell>
          <cell r="G5263">
            <v>3747598.8651315789</v>
          </cell>
        </row>
        <row r="5264">
          <cell r="B5264" t="str">
            <v>NC1407</v>
          </cell>
          <cell r="C5264" t="str">
            <v>+ Nhân công bậc 4,0/7</v>
          </cell>
          <cell r="D5264" t="str">
            <v>Công</v>
          </cell>
          <cell r="E5264">
            <v>19.25</v>
          </cell>
          <cell r="F5264">
            <v>194680.46052631579</v>
          </cell>
          <cell r="G5264">
            <v>3747598.8651315789</v>
          </cell>
        </row>
        <row r="5265">
          <cell r="A5265" t="str">
            <v>D4.2212</v>
          </cell>
          <cell r="C5265" t="str">
            <v>Lắp đặt cáp trên giá đỡ đặt ở tường, trong hầm cáp, Trọng lượng cáp &lt;= 21kg/m</v>
          </cell>
          <cell r="D5265" t="str">
            <v>100m</v>
          </cell>
          <cell r="H5265">
            <v>83000</v>
          </cell>
          <cell r="I5265">
            <v>4979926.1802631579</v>
          </cell>
        </row>
        <row r="5266">
          <cell r="C5266" t="str">
            <v>Vật liệu</v>
          </cell>
          <cell r="G5266">
            <v>83000</v>
          </cell>
        </row>
        <row r="5267">
          <cell r="B5267">
            <v>25</v>
          </cell>
          <cell r="C5267" t="str">
            <v>+ Băng vải nhựa, ni lông ( băng dính )</v>
          </cell>
          <cell r="D5267" t="str">
            <v>cuộn</v>
          </cell>
          <cell r="E5267">
            <v>0.5</v>
          </cell>
          <cell r="F5267">
            <v>8000</v>
          </cell>
          <cell r="G5267">
            <v>4000</v>
          </cell>
        </row>
        <row r="5268">
          <cell r="B5268">
            <v>9</v>
          </cell>
          <cell r="C5268" t="str">
            <v>+ Giẻ lau</v>
          </cell>
          <cell r="D5268" t="str">
            <v>Kg</v>
          </cell>
          <cell r="E5268">
            <v>0.8</v>
          </cell>
          <cell r="F5268">
            <v>9500</v>
          </cell>
          <cell r="G5268">
            <v>7600</v>
          </cell>
        </row>
        <row r="5269">
          <cell r="B5269">
            <v>1</v>
          </cell>
          <cell r="C5269" t="str">
            <v>+ Cồn công nghiệp</v>
          </cell>
          <cell r="D5269" t="str">
            <v>kg</v>
          </cell>
          <cell r="E5269">
            <v>1.2</v>
          </cell>
          <cell r="F5269">
            <v>9500</v>
          </cell>
          <cell r="G5269">
            <v>11400</v>
          </cell>
        </row>
        <row r="5270">
          <cell r="B5270">
            <v>28</v>
          </cell>
          <cell r="C5270" t="str">
            <v>+ Coliê sắt</v>
          </cell>
          <cell r="D5270" t="str">
            <v>bộ</v>
          </cell>
          <cell r="E5270">
            <v>12</v>
          </cell>
          <cell r="F5270">
            <v>5000</v>
          </cell>
          <cell r="G5270">
            <v>60000</v>
          </cell>
        </row>
        <row r="5271">
          <cell r="C5271" t="str">
            <v>Nhân công</v>
          </cell>
          <cell r="G5271">
            <v>4979926.1802631579</v>
          </cell>
        </row>
        <row r="5272">
          <cell r="B5272" t="str">
            <v>NC1407</v>
          </cell>
          <cell r="C5272" t="str">
            <v>+ Nhân công bậc 4,0/7</v>
          </cell>
          <cell r="D5272" t="str">
            <v>Công</v>
          </cell>
          <cell r="E5272">
            <v>25.58</v>
          </cell>
          <cell r="F5272">
            <v>194680.46052631579</v>
          </cell>
          <cell r="G5272">
            <v>4979926.1802631579</v>
          </cell>
        </row>
        <row r="5273">
          <cell r="A5273" t="str">
            <v>D4.2213</v>
          </cell>
          <cell r="C5273" t="str">
            <v>Lắp đặt cáp trên giá đỡ đặt ở tường, trong hầm cáp, Trọng lượng cáp &lt;= 24kg/m</v>
          </cell>
          <cell r="D5273" t="str">
            <v>100m</v>
          </cell>
          <cell r="H5273">
            <v>86800</v>
          </cell>
          <cell r="I5273">
            <v>6615242.0486842096</v>
          </cell>
        </row>
        <row r="5274">
          <cell r="C5274" t="str">
            <v>Vật liệu</v>
          </cell>
          <cell r="G5274">
            <v>86800</v>
          </cell>
        </row>
        <row r="5275">
          <cell r="B5275">
            <v>25</v>
          </cell>
          <cell r="C5275" t="str">
            <v>+ Băng vải nhựa, ni lông ( băng dính )</v>
          </cell>
          <cell r="D5275" t="str">
            <v>cuộn</v>
          </cell>
          <cell r="E5275">
            <v>0.5</v>
          </cell>
          <cell r="F5275">
            <v>8000</v>
          </cell>
          <cell r="G5275">
            <v>4000</v>
          </cell>
        </row>
        <row r="5276">
          <cell r="B5276">
            <v>9</v>
          </cell>
          <cell r="C5276" t="str">
            <v>+ Giẻ lau</v>
          </cell>
          <cell r="D5276" t="str">
            <v>Kg</v>
          </cell>
          <cell r="E5276">
            <v>1</v>
          </cell>
          <cell r="F5276">
            <v>9500</v>
          </cell>
          <cell r="G5276">
            <v>9500</v>
          </cell>
        </row>
        <row r="5277">
          <cell r="B5277">
            <v>1</v>
          </cell>
          <cell r="C5277" t="str">
            <v>+ Cồn công nghiệp</v>
          </cell>
          <cell r="D5277" t="str">
            <v>kg</v>
          </cell>
          <cell r="E5277">
            <v>1.4</v>
          </cell>
          <cell r="F5277">
            <v>9500</v>
          </cell>
          <cell r="G5277">
            <v>13300</v>
          </cell>
        </row>
        <row r="5278">
          <cell r="B5278">
            <v>28</v>
          </cell>
          <cell r="C5278" t="str">
            <v>+ Coliê sắt</v>
          </cell>
          <cell r="D5278" t="str">
            <v>bộ</v>
          </cell>
          <cell r="E5278">
            <v>12</v>
          </cell>
          <cell r="F5278">
            <v>5000</v>
          </cell>
          <cell r="G5278">
            <v>60000</v>
          </cell>
        </row>
        <row r="5279">
          <cell r="C5279" t="str">
            <v>Nhân công</v>
          </cell>
          <cell r="G5279">
            <v>6615242.0486842096</v>
          </cell>
        </row>
        <row r="5280">
          <cell r="B5280" t="str">
            <v>NC1407</v>
          </cell>
          <cell r="C5280" t="str">
            <v>+ Nhân công bậc 4,0/7</v>
          </cell>
          <cell r="D5280" t="str">
            <v>Công</v>
          </cell>
          <cell r="E5280">
            <v>33.979999999999997</v>
          </cell>
          <cell r="F5280">
            <v>194680.46052631579</v>
          </cell>
          <cell r="G5280">
            <v>6615242.0486842096</v>
          </cell>
        </row>
        <row r="5281">
          <cell r="A5281" t="str">
            <v>D4.2214</v>
          </cell>
          <cell r="C5281" t="str">
            <v>Lắp đặt cáp trên giá đỡ đặt ở tường, trong hầm cáp, Trọng lượng cáp &lt;= 28kg/m</v>
          </cell>
          <cell r="D5281" t="str">
            <v>100m</v>
          </cell>
          <cell r="H5281">
            <v>88550</v>
          </cell>
          <cell r="I5281">
            <v>8600982.7460526321</v>
          </cell>
        </row>
        <row r="5282">
          <cell r="C5282" t="str">
            <v>Vật liệu</v>
          </cell>
          <cell r="G5282">
            <v>88550</v>
          </cell>
        </row>
        <row r="5283">
          <cell r="B5283">
            <v>25</v>
          </cell>
          <cell r="C5283" t="str">
            <v>+ Băng vải nhựa, ni lông ( băng dính )</v>
          </cell>
          <cell r="D5283" t="str">
            <v>cuộn</v>
          </cell>
          <cell r="E5283">
            <v>0.6</v>
          </cell>
          <cell r="F5283">
            <v>8000</v>
          </cell>
          <cell r="G5283">
            <v>4800</v>
          </cell>
        </row>
        <row r="5284">
          <cell r="B5284">
            <v>9</v>
          </cell>
          <cell r="C5284" t="str">
            <v>+ Giẻ lau</v>
          </cell>
          <cell r="D5284" t="str">
            <v>Kg</v>
          </cell>
          <cell r="E5284">
            <v>1</v>
          </cell>
          <cell r="F5284">
            <v>9500</v>
          </cell>
          <cell r="G5284">
            <v>9500</v>
          </cell>
        </row>
        <row r="5285">
          <cell r="B5285">
            <v>1</v>
          </cell>
          <cell r="C5285" t="str">
            <v>+ Cồn công nghiệp</v>
          </cell>
          <cell r="D5285" t="str">
            <v>kg</v>
          </cell>
          <cell r="E5285">
            <v>1.5</v>
          </cell>
          <cell r="F5285">
            <v>9500</v>
          </cell>
          <cell r="G5285">
            <v>14250</v>
          </cell>
        </row>
        <row r="5286">
          <cell r="B5286">
            <v>28</v>
          </cell>
          <cell r="C5286" t="str">
            <v>+ Coliê sắt</v>
          </cell>
          <cell r="D5286" t="str">
            <v>bộ</v>
          </cell>
          <cell r="E5286">
            <v>12</v>
          </cell>
          <cell r="F5286">
            <v>5000</v>
          </cell>
          <cell r="G5286">
            <v>60000</v>
          </cell>
        </row>
        <row r="5287">
          <cell r="C5287" t="str">
            <v>Nhân công</v>
          </cell>
          <cell r="G5287">
            <v>8600982.7460526321</v>
          </cell>
        </row>
        <row r="5288">
          <cell r="B5288" t="str">
            <v>NC1407</v>
          </cell>
          <cell r="C5288" t="str">
            <v>+ Nhân công bậc 4,0/7</v>
          </cell>
          <cell r="D5288" t="str">
            <v>Công</v>
          </cell>
          <cell r="E5288">
            <v>44.18</v>
          </cell>
          <cell r="F5288">
            <v>194680.46052631579</v>
          </cell>
          <cell r="G5288">
            <v>8600982.7460526321</v>
          </cell>
        </row>
        <row r="5289">
          <cell r="A5289" t="str">
            <v>D4.2215</v>
          </cell>
          <cell r="C5289" t="str">
            <v>Lắp đặt cáp trên giá đỡ đặt ở tường, trong hầm cáp, Trọng lượng cáp &lt;= 32kg/m</v>
          </cell>
          <cell r="D5289" t="str">
            <v>100m</v>
          </cell>
          <cell r="H5289">
            <v>89500</v>
          </cell>
          <cell r="I5289">
            <v>10752201.83486842</v>
          </cell>
        </row>
        <row r="5290">
          <cell r="C5290" t="str">
            <v>Vật liệu</v>
          </cell>
          <cell r="G5290">
            <v>89500</v>
          </cell>
        </row>
        <row r="5291">
          <cell r="B5291">
            <v>25</v>
          </cell>
          <cell r="C5291" t="str">
            <v>+ Băng vải nhựa, ni lông ( băng dính )</v>
          </cell>
          <cell r="D5291" t="str">
            <v>cuộn</v>
          </cell>
          <cell r="E5291">
            <v>0.6</v>
          </cell>
          <cell r="F5291">
            <v>8000</v>
          </cell>
          <cell r="G5291">
            <v>4800</v>
          </cell>
        </row>
        <row r="5292">
          <cell r="B5292">
            <v>9</v>
          </cell>
          <cell r="C5292" t="str">
            <v>+ Giẻ lau</v>
          </cell>
          <cell r="D5292" t="str">
            <v>Kg</v>
          </cell>
          <cell r="E5292">
            <v>1</v>
          </cell>
          <cell r="F5292">
            <v>9500</v>
          </cell>
          <cell r="G5292">
            <v>9500</v>
          </cell>
        </row>
        <row r="5293">
          <cell r="B5293">
            <v>1</v>
          </cell>
          <cell r="C5293" t="str">
            <v>+ Cồn công nghiệp</v>
          </cell>
          <cell r="D5293" t="str">
            <v>kg</v>
          </cell>
          <cell r="E5293">
            <v>1.6</v>
          </cell>
          <cell r="F5293">
            <v>9500</v>
          </cell>
          <cell r="G5293">
            <v>15200</v>
          </cell>
        </row>
        <row r="5294">
          <cell r="B5294">
            <v>28</v>
          </cell>
          <cell r="C5294" t="str">
            <v>+ Coliê sắt</v>
          </cell>
          <cell r="D5294" t="str">
            <v>bộ</v>
          </cell>
          <cell r="E5294">
            <v>12</v>
          </cell>
          <cell r="F5294">
            <v>5000</v>
          </cell>
          <cell r="G5294">
            <v>60000</v>
          </cell>
        </row>
        <row r="5295">
          <cell r="C5295" t="str">
            <v>Nhân công</v>
          </cell>
          <cell r="G5295">
            <v>10752201.83486842</v>
          </cell>
        </row>
        <row r="5296">
          <cell r="B5296" t="str">
            <v>NC1407</v>
          </cell>
          <cell r="C5296" t="str">
            <v>+ Nhân công bậc 4,0/7</v>
          </cell>
          <cell r="D5296" t="str">
            <v>Công</v>
          </cell>
          <cell r="E5296">
            <v>55.23</v>
          </cell>
          <cell r="F5296">
            <v>194680.46052631579</v>
          </cell>
          <cell r="G5296">
            <v>10752201.83486842</v>
          </cell>
        </row>
        <row r="5297">
          <cell r="A5297" t="str">
            <v>D4.2301</v>
          </cell>
          <cell r="C5297" t="str">
            <v>Lắp đặt cáp treo trên dây thép, Trọng lượng cáp &lt;= 1kg/m</v>
          </cell>
          <cell r="D5297" t="str">
            <v>100m</v>
          </cell>
          <cell r="H5297">
            <v>511100</v>
          </cell>
          <cell r="I5297">
            <v>724211.31315789477</v>
          </cell>
        </row>
        <row r="5298">
          <cell r="C5298" t="str">
            <v>Vật liệu</v>
          </cell>
          <cell r="G5298">
            <v>511100</v>
          </cell>
        </row>
        <row r="5299">
          <cell r="B5299">
            <v>25</v>
          </cell>
          <cell r="C5299" t="str">
            <v>+ Băng vải nhựa, ni lông ( băng dính )</v>
          </cell>
          <cell r="D5299" t="str">
            <v>cuộn</v>
          </cell>
          <cell r="E5299">
            <v>0.2</v>
          </cell>
          <cell r="F5299">
            <v>8000</v>
          </cell>
          <cell r="G5299">
            <v>1600</v>
          </cell>
        </row>
        <row r="5300">
          <cell r="B5300">
            <v>9</v>
          </cell>
          <cell r="C5300" t="str">
            <v>+ Giẻ lau</v>
          </cell>
          <cell r="D5300" t="str">
            <v>Kg</v>
          </cell>
          <cell r="E5300">
            <v>0.3</v>
          </cell>
          <cell r="F5300">
            <v>9500</v>
          </cell>
          <cell r="G5300">
            <v>2850</v>
          </cell>
        </row>
        <row r="5301">
          <cell r="B5301">
            <v>1</v>
          </cell>
          <cell r="C5301" t="str">
            <v>+ Cồn công nghiệp</v>
          </cell>
          <cell r="D5301" t="str">
            <v>kg</v>
          </cell>
          <cell r="E5301">
            <v>0.7</v>
          </cell>
          <cell r="F5301">
            <v>9500</v>
          </cell>
          <cell r="G5301">
            <v>6650</v>
          </cell>
        </row>
        <row r="5302">
          <cell r="B5302">
            <v>28</v>
          </cell>
          <cell r="C5302" t="str">
            <v>+ Coliê sắt</v>
          </cell>
          <cell r="D5302" t="str">
            <v>bộ</v>
          </cell>
          <cell r="E5302">
            <v>100</v>
          </cell>
          <cell r="F5302">
            <v>5000</v>
          </cell>
          <cell r="G5302">
            <v>500000</v>
          </cell>
        </row>
        <row r="5303">
          <cell r="B5303">
            <v>30</v>
          </cell>
          <cell r="C5303" t="str">
            <v>+ Dây thép d=4</v>
          </cell>
          <cell r="D5303" t="str">
            <v>m</v>
          </cell>
          <cell r="E5303">
            <v>103</v>
          </cell>
          <cell r="F5303">
            <v>1000</v>
          </cell>
          <cell r="G5303">
            <v>103000</v>
          </cell>
        </row>
        <row r="5304">
          <cell r="C5304" t="str">
            <v>Nhân công</v>
          </cell>
          <cell r="G5304">
            <v>724211.31315789477</v>
          </cell>
        </row>
        <row r="5305">
          <cell r="B5305" t="str">
            <v>NC1407</v>
          </cell>
          <cell r="C5305" t="str">
            <v>+ Nhân công bậc 4,0/7</v>
          </cell>
          <cell r="D5305" t="str">
            <v>Công</v>
          </cell>
          <cell r="E5305">
            <v>3.72</v>
          </cell>
          <cell r="F5305">
            <v>194680.46052631579</v>
          </cell>
          <cell r="G5305">
            <v>724211.31315789477</v>
          </cell>
        </row>
        <row r="5306">
          <cell r="A5306" t="str">
            <v>D4.2302</v>
          </cell>
          <cell r="C5306" t="str">
            <v>Lắp đặt cáp treo trên dây thép, Trọng lượng cáp &lt; =2kg/m</v>
          </cell>
          <cell r="D5306" t="str">
            <v>100m</v>
          </cell>
          <cell r="H5306">
            <v>614100</v>
          </cell>
          <cell r="I5306">
            <v>804030.30197368423</v>
          </cell>
        </row>
        <row r="5307">
          <cell r="C5307" t="str">
            <v>Vật liệu</v>
          </cell>
          <cell r="G5307">
            <v>614100</v>
          </cell>
        </row>
        <row r="5308">
          <cell r="B5308">
            <v>25</v>
          </cell>
          <cell r="C5308" t="str">
            <v>+ Băng vải nhựa, ni lông ( băng dính )</v>
          </cell>
          <cell r="D5308" t="str">
            <v>cuộn</v>
          </cell>
          <cell r="E5308">
            <v>0.2</v>
          </cell>
          <cell r="F5308">
            <v>8000</v>
          </cell>
          <cell r="G5308">
            <v>1600</v>
          </cell>
        </row>
        <row r="5309">
          <cell r="B5309">
            <v>9</v>
          </cell>
          <cell r="C5309" t="str">
            <v>+ Giẻ lau</v>
          </cell>
          <cell r="D5309" t="str">
            <v>Kg</v>
          </cell>
          <cell r="E5309">
            <v>0.3</v>
          </cell>
          <cell r="F5309">
            <v>9500</v>
          </cell>
          <cell r="G5309">
            <v>2850</v>
          </cell>
        </row>
        <row r="5310">
          <cell r="B5310">
            <v>1</v>
          </cell>
          <cell r="C5310" t="str">
            <v>+ Cồn công nghiệp</v>
          </cell>
          <cell r="D5310" t="str">
            <v>kg</v>
          </cell>
          <cell r="E5310">
            <v>0.7</v>
          </cell>
          <cell r="F5310">
            <v>9500</v>
          </cell>
          <cell r="G5310">
            <v>6650</v>
          </cell>
        </row>
        <row r="5311">
          <cell r="B5311">
            <v>28</v>
          </cell>
          <cell r="C5311" t="str">
            <v>+ Coliê sắt</v>
          </cell>
          <cell r="D5311" t="str">
            <v>bộ</v>
          </cell>
          <cell r="E5311">
            <v>100</v>
          </cell>
          <cell r="F5311">
            <v>5000</v>
          </cell>
          <cell r="G5311">
            <v>500000</v>
          </cell>
        </row>
        <row r="5312">
          <cell r="B5312">
            <v>30</v>
          </cell>
          <cell r="C5312" t="str">
            <v>+ Dây thép d=4</v>
          </cell>
          <cell r="D5312" t="str">
            <v>m</v>
          </cell>
          <cell r="E5312">
            <v>103</v>
          </cell>
          <cell r="F5312">
            <v>1000</v>
          </cell>
          <cell r="G5312">
            <v>103000</v>
          </cell>
        </row>
        <row r="5313">
          <cell r="C5313" t="str">
            <v>Nhân công</v>
          </cell>
          <cell r="G5313">
            <v>804030.30197368423</v>
          </cell>
        </row>
        <row r="5314">
          <cell r="B5314" t="str">
            <v>NC1407</v>
          </cell>
          <cell r="C5314" t="str">
            <v>+ Nhân công bậc 4,0/7</v>
          </cell>
          <cell r="D5314" t="str">
            <v>Công</v>
          </cell>
          <cell r="E5314">
            <v>4.13</v>
          </cell>
          <cell r="F5314">
            <v>194680.46052631579</v>
          </cell>
          <cell r="G5314">
            <v>804030.30197368423</v>
          </cell>
        </row>
        <row r="5315">
          <cell r="A5315" t="str">
            <v>D4.2303</v>
          </cell>
          <cell r="C5315" t="str">
            <v>Lắp đặt cáp treo trên dây thép, Trọng lượng cáp &lt; =3kg/m</v>
          </cell>
          <cell r="D5315" t="str">
            <v>100m</v>
          </cell>
          <cell r="H5315">
            <v>614900</v>
          </cell>
          <cell r="I5315">
            <v>1018178.8085526316</v>
          </cell>
        </row>
        <row r="5316">
          <cell r="C5316" t="str">
            <v>Vật liệu</v>
          </cell>
          <cell r="G5316">
            <v>614900</v>
          </cell>
        </row>
        <row r="5317">
          <cell r="B5317">
            <v>25</v>
          </cell>
          <cell r="C5317" t="str">
            <v>+ Băng vải nhựa, ni lông ( băng dính )</v>
          </cell>
          <cell r="D5317" t="str">
            <v>cuộn</v>
          </cell>
          <cell r="E5317">
            <v>0.3</v>
          </cell>
          <cell r="F5317">
            <v>8000</v>
          </cell>
          <cell r="G5317">
            <v>2400</v>
          </cell>
        </row>
        <row r="5318">
          <cell r="B5318">
            <v>9</v>
          </cell>
          <cell r="C5318" t="str">
            <v>+ Giẻ lau</v>
          </cell>
          <cell r="D5318" t="str">
            <v>Kg</v>
          </cell>
          <cell r="E5318">
            <v>0.3</v>
          </cell>
          <cell r="F5318">
            <v>9500</v>
          </cell>
          <cell r="G5318">
            <v>2850</v>
          </cell>
        </row>
        <row r="5319">
          <cell r="B5319">
            <v>1</v>
          </cell>
          <cell r="C5319" t="str">
            <v>+ Cồn công nghiệp</v>
          </cell>
          <cell r="D5319" t="str">
            <v>kg</v>
          </cell>
          <cell r="E5319">
            <v>0.7</v>
          </cell>
          <cell r="F5319">
            <v>9500</v>
          </cell>
          <cell r="G5319">
            <v>6650</v>
          </cell>
        </row>
        <row r="5320">
          <cell r="B5320">
            <v>28</v>
          </cell>
          <cell r="C5320" t="str">
            <v>+ Coliê sắt</v>
          </cell>
          <cell r="D5320" t="str">
            <v>bộ</v>
          </cell>
          <cell r="E5320">
            <v>100</v>
          </cell>
          <cell r="F5320">
            <v>5000</v>
          </cell>
          <cell r="G5320">
            <v>500000</v>
          </cell>
        </row>
        <row r="5321">
          <cell r="B5321">
            <v>30</v>
          </cell>
          <cell r="C5321" t="str">
            <v>+ Dây thép d=4</v>
          </cell>
          <cell r="D5321" t="str">
            <v>m</v>
          </cell>
          <cell r="E5321">
            <v>103</v>
          </cell>
          <cell r="F5321">
            <v>1000</v>
          </cell>
          <cell r="G5321">
            <v>103000</v>
          </cell>
        </row>
        <row r="5322">
          <cell r="C5322" t="str">
            <v>Nhân công</v>
          </cell>
          <cell r="G5322">
            <v>1018178.8085526316</v>
          </cell>
        </row>
        <row r="5323">
          <cell r="B5323" t="str">
            <v>NC1407</v>
          </cell>
          <cell r="C5323" t="str">
            <v>+ Nhân công bậc 4,0/7</v>
          </cell>
          <cell r="D5323" t="str">
            <v>Công</v>
          </cell>
          <cell r="E5323">
            <v>5.23</v>
          </cell>
          <cell r="F5323">
            <v>194680.46052631579</v>
          </cell>
          <cell r="G5323">
            <v>1018178.8085526316</v>
          </cell>
        </row>
        <row r="5324">
          <cell r="A5324" t="str">
            <v>D4.2304</v>
          </cell>
          <cell r="C5324" t="str">
            <v>Lắp đặt cáp treo trên dây thép, Trọng lượng cáp &lt;= 4,5kg/m</v>
          </cell>
          <cell r="D5324" t="str">
            <v>100m</v>
          </cell>
          <cell r="H5324">
            <v>637400</v>
          </cell>
          <cell r="I5324">
            <v>1364710.0282894736</v>
          </cell>
        </row>
        <row r="5325">
          <cell r="C5325" t="str">
            <v>Vật liệu</v>
          </cell>
          <cell r="G5325">
            <v>637400</v>
          </cell>
        </row>
        <row r="5326">
          <cell r="B5326">
            <v>25</v>
          </cell>
          <cell r="C5326" t="str">
            <v>+ Băng vải nhựa, ni lông ( băng dính )</v>
          </cell>
          <cell r="D5326" t="str">
            <v>cuộn</v>
          </cell>
          <cell r="E5326">
            <v>0.3</v>
          </cell>
          <cell r="F5326">
            <v>8000</v>
          </cell>
          <cell r="G5326">
            <v>2400</v>
          </cell>
        </row>
        <row r="5327">
          <cell r="B5327">
            <v>9</v>
          </cell>
          <cell r="C5327" t="str">
            <v>+ Giẻ lau</v>
          </cell>
          <cell r="D5327" t="str">
            <v>Kg</v>
          </cell>
          <cell r="E5327">
            <v>0.4</v>
          </cell>
          <cell r="F5327">
            <v>9500</v>
          </cell>
          <cell r="G5327">
            <v>3800</v>
          </cell>
        </row>
        <row r="5328">
          <cell r="B5328">
            <v>1</v>
          </cell>
          <cell r="C5328" t="str">
            <v>+ Cồn công nghiệp</v>
          </cell>
          <cell r="D5328" t="str">
            <v>kg</v>
          </cell>
          <cell r="E5328">
            <v>0.8</v>
          </cell>
          <cell r="F5328">
            <v>9500</v>
          </cell>
          <cell r="G5328">
            <v>7600</v>
          </cell>
        </row>
        <row r="5329">
          <cell r="B5329">
            <v>28</v>
          </cell>
          <cell r="C5329" t="str">
            <v>+ Coliê sắt</v>
          </cell>
          <cell r="D5329" t="str">
            <v>bộ</v>
          </cell>
          <cell r="E5329">
            <v>100</v>
          </cell>
          <cell r="F5329">
            <v>5000</v>
          </cell>
          <cell r="G5329">
            <v>500000</v>
          </cell>
        </row>
        <row r="5330">
          <cell r="B5330">
            <v>31</v>
          </cell>
          <cell r="C5330" t="str">
            <v>+ Dây thép d=6</v>
          </cell>
          <cell r="D5330" t="str">
            <v>m</v>
          </cell>
          <cell r="E5330">
            <v>103</v>
          </cell>
          <cell r="F5330">
            <v>1200</v>
          </cell>
          <cell r="G5330">
            <v>123600</v>
          </cell>
        </row>
        <row r="5331">
          <cell r="C5331" t="str">
            <v>Nhân công</v>
          </cell>
          <cell r="G5331">
            <v>1364710.0282894736</v>
          </cell>
        </row>
        <row r="5332">
          <cell r="B5332" t="str">
            <v>NC1407</v>
          </cell>
          <cell r="C5332" t="str">
            <v>+ Nhân công bậc 4,0/7</v>
          </cell>
          <cell r="D5332" t="str">
            <v>Công</v>
          </cell>
          <cell r="E5332">
            <v>7.01</v>
          </cell>
          <cell r="F5332">
            <v>194680.46052631579</v>
          </cell>
          <cell r="G5332">
            <v>1364710.0282894736</v>
          </cell>
        </row>
        <row r="5333">
          <cell r="A5333" t="str">
            <v>D4.2305</v>
          </cell>
          <cell r="C5333" t="str">
            <v>Lắp đặt cáp treo trên dây thép, Trọng lượng cáp &lt;= 6kg/m</v>
          </cell>
          <cell r="D5333" t="str">
            <v>100m</v>
          </cell>
          <cell r="H5333">
            <v>638200</v>
          </cell>
          <cell r="I5333">
            <v>1713188.0526315791</v>
          </cell>
        </row>
        <row r="5334">
          <cell r="C5334" t="str">
            <v>Vật liệu</v>
          </cell>
          <cell r="G5334">
            <v>638200</v>
          </cell>
        </row>
        <row r="5335">
          <cell r="B5335">
            <v>25</v>
          </cell>
          <cell r="C5335" t="str">
            <v>+ Băng vải nhựa, ni lông ( băng dính )</v>
          </cell>
          <cell r="D5335" t="str">
            <v>cuộn</v>
          </cell>
          <cell r="E5335">
            <v>0.4</v>
          </cell>
          <cell r="F5335">
            <v>8000</v>
          </cell>
          <cell r="G5335">
            <v>3200</v>
          </cell>
        </row>
        <row r="5336">
          <cell r="B5336">
            <v>9</v>
          </cell>
          <cell r="C5336" t="str">
            <v>+ Giẻ lau</v>
          </cell>
          <cell r="D5336" t="str">
            <v>Kg</v>
          </cell>
          <cell r="E5336">
            <v>0.4</v>
          </cell>
          <cell r="F5336">
            <v>9500</v>
          </cell>
          <cell r="G5336">
            <v>3800</v>
          </cell>
        </row>
        <row r="5337">
          <cell r="B5337">
            <v>1</v>
          </cell>
          <cell r="C5337" t="str">
            <v>+ Cồn công nghiệp</v>
          </cell>
          <cell r="D5337" t="str">
            <v>kg</v>
          </cell>
          <cell r="E5337">
            <v>0.8</v>
          </cell>
          <cell r="F5337">
            <v>9500</v>
          </cell>
          <cell r="G5337">
            <v>7600</v>
          </cell>
        </row>
        <row r="5338">
          <cell r="B5338">
            <v>28</v>
          </cell>
          <cell r="C5338" t="str">
            <v>+ Coliê sắt</v>
          </cell>
          <cell r="D5338" t="str">
            <v>bộ</v>
          </cell>
          <cell r="E5338">
            <v>100</v>
          </cell>
          <cell r="F5338">
            <v>5000</v>
          </cell>
          <cell r="G5338">
            <v>500000</v>
          </cell>
        </row>
        <row r="5339">
          <cell r="B5339">
            <v>31</v>
          </cell>
          <cell r="C5339" t="str">
            <v>+ Dây thép d=6</v>
          </cell>
          <cell r="D5339" t="str">
            <v>m</v>
          </cell>
          <cell r="E5339">
            <v>103</v>
          </cell>
          <cell r="F5339">
            <v>1200</v>
          </cell>
          <cell r="G5339">
            <v>123600</v>
          </cell>
        </row>
        <row r="5340">
          <cell r="C5340" t="str">
            <v>Nhân công</v>
          </cell>
          <cell r="G5340">
            <v>1713188.0526315791</v>
          </cell>
        </row>
        <row r="5341">
          <cell r="B5341" t="str">
            <v>NC1407</v>
          </cell>
          <cell r="C5341" t="str">
            <v>+ Nhân công bậc 4,0/7</v>
          </cell>
          <cell r="D5341" t="str">
            <v>Công</v>
          </cell>
          <cell r="E5341">
            <v>8.8000000000000007</v>
          </cell>
          <cell r="F5341">
            <v>194680.46052631579</v>
          </cell>
          <cell r="G5341">
            <v>1713188.0526315791</v>
          </cell>
        </row>
        <row r="5342">
          <cell r="A5342" t="str">
            <v>D4.2306</v>
          </cell>
          <cell r="C5342" t="str">
            <v>Lắp đặt cáp treo trên dây thép, Trọng lượng cáp &lt; =7,5kg/m</v>
          </cell>
          <cell r="D5342" t="str">
            <v>100m</v>
          </cell>
          <cell r="H5342">
            <v>616780</v>
          </cell>
          <cell r="I5342">
            <v>2170687.1348684211</v>
          </cell>
        </row>
        <row r="5343">
          <cell r="C5343" t="str">
            <v>Vật liệu</v>
          </cell>
          <cell r="G5343">
            <v>616780</v>
          </cell>
        </row>
        <row r="5344">
          <cell r="B5344">
            <v>9</v>
          </cell>
          <cell r="C5344" t="str">
            <v>+ Giẻ lau</v>
          </cell>
          <cell r="D5344" t="str">
            <v>Kg</v>
          </cell>
          <cell r="E5344">
            <v>0.5</v>
          </cell>
          <cell r="F5344">
            <v>9500</v>
          </cell>
          <cell r="G5344">
            <v>4750</v>
          </cell>
        </row>
        <row r="5345">
          <cell r="B5345">
            <v>1</v>
          </cell>
          <cell r="C5345" t="str">
            <v>+ Cồn công nghiệp</v>
          </cell>
          <cell r="D5345" t="str">
            <v>kg</v>
          </cell>
          <cell r="E5345">
            <v>0.9</v>
          </cell>
          <cell r="F5345">
            <v>9500</v>
          </cell>
          <cell r="G5345">
            <v>8550</v>
          </cell>
        </row>
        <row r="5346">
          <cell r="B5346">
            <v>28</v>
          </cell>
          <cell r="C5346" t="str">
            <v>+ Coliê sắt</v>
          </cell>
          <cell r="D5346" t="str">
            <v>bộ</v>
          </cell>
          <cell r="E5346">
            <v>100</v>
          </cell>
          <cell r="F5346">
            <v>5000</v>
          </cell>
          <cell r="G5346">
            <v>500000</v>
          </cell>
        </row>
        <row r="5347">
          <cell r="B5347">
            <v>30</v>
          </cell>
          <cell r="C5347" t="str">
            <v>+ Dây thép d=4</v>
          </cell>
          <cell r="D5347" t="str">
            <v>m</v>
          </cell>
          <cell r="E5347">
            <v>103</v>
          </cell>
          <cell r="F5347">
            <v>1000</v>
          </cell>
          <cell r="G5347">
            <v>103000</v>
          </cell>
        </row>
        <row r="5348">
          <cell r="B5348">
            <v>31</v>
          </cell>
          <cell r="C5348" t="str">
            <v>+ Dây thép d=6</v>
          </cell>
          <cell r="D5348" t="str">
            <v>m</v>
          </cell>
          <cell r="E5348">
            <v>0.4</v>
          </cell>
          <cell r="F5348">
            <v>1200</v>
          </cell>
          <cell r="G5348">
            <v>480</v>
          </cell>
        </row>
        <row r="5349">
          <cell r="C5349" t="str">
            <v>Nhân công</v>
          </cell>
          <cell r="G5349">
            <v>2170687.1348684211</v>
          </cell>
        </row>
        <row r="5350">
          <cell r="B5350" t="str">
            <v>NC1407</v>
          </cell>
          <cell r="C5350" t="str">
            <v>+ Nhân công bậc 4,0/7</v>
          </cell>
          <cell r="D5350" t="str">
            <v>Công</v>
          </cell>
          <cell r="E5350">
            <v>11.15</v>
          </cell>
          <cell r="F5350">
            <v>194680.46052631579</v>
          </cell>
          <cell r="G5350">
            <v>2170687.1348684211</v>
          </cell>
        </row>
        <row r="5351">
          <cell r="A5351" t="str">
            <v>D4.2307</v>
          </cell>
          <cell r="C5351" t="str">
            <v>Lắp đặt cáp treo trên dây thép, Trọng lượng cáp &lt;= 9kg/m</v>
          </cell>
          <cell r="D5351" t="str">
            <v>100m</v>
          </cell>
          <cell r="H5351">
            <v>616780</v>
          </cell>
          <cell r="I5351">
            <v>3212227.5986842103</v>
          </cell>
        </row>
        <row r="5352">
          <cell r="C5352" t="str">
            <v>Vật liệu</v>
          </cell>
          <cell r="G5352">
            <v>616780</v>
          </cell>
        </row>
        <row r="5353">
          <cell r="B5353">
            <v>9</v>
          </cell>
          <cell r="C5353" t="str">
            <v>+ Giẻ lau</v>
          </cell>
          <cell r="D5353" t="str">
            <v>Kg</v>
          </cell>
          <cell r="E5353">
            <v>0.5</v>
          </cell>
          <cell r="F5353">
            <v>9500</v>
          </cell>
          <cell r="G5353">
            <v>4750</v>
          </cell>
        </row>
        <row r="5354">
          <cell r="B5354">
            <v>1</v>
          </cell>
          <cell r="C5354" t="str">
            <v>+ Cồn công nghiệp</v>
          </cell>
          <cell r="D5354" t="str">
            <v>kg</v>
          </cell>
          <cell r="E5354">
            <v>0.9</v>
          </cell>
          <cell r="F5354">
            <v>9500</v>
          </cell>
          <cell r="G5354">
            <v>8550</v>
          </cell>
        </row>
        <row r="5355">
          <cell r="B5355">
            <v>28</v>
          </cell>
          <cell r="C5355" t="str">
            <v>+ Coliê sắt</v>
          </cell>
          <cell r="D5355" t="str">
            <v>bộ</v>
          </cell>
          <cell r="E5355">
            <v>100</v>
          </cell>
          <cell r="F5355">
            <v>5000</v>
          </cell>
          <cell r="G5355">
            <v>500000</v>
          </cell>
        </row>
        <row r="5356">
          <cell r="B5356">
            <v>30</v>
          </cell>
          <cell r="C5356" t="str">
            <v>+ Dây thép d=4</v>
          </cell>
          <cell r="D5356" t="str">
            <v>m</v>
          </cell>
          <cell r="E5356">
            <v>103</v>
          </cell>
          <cell r="F5356">
            <v>1000</v>
          </cell>
          <cell r="G5356">
            <v>103000</v>
          </cell>
        </row>
        <row r="5357">
          <cell r="B5357">
            <v>31</v>
          </cell>
          <cell r="C5357" t="str">
            <v>+ Dây thép d=6</v>
          </cell>
          <cell r="D5357" t="str">
            <v>m</v>
          </cell>
          <cell r="E5357">
            <v>0.4</v>
          </cell>
          <cell r="F5357">
            <v>1200</v>
          </cell>
          <cell r="G5357">
            <v>480</v>
          </cell>
        </row>
        <row r="5358">
          <cell r="C5358" t="str">
            <v>Nhân công</v>
          </cell>
          <cell r="G5358">
            <v>3212227.5986842103</v>
          </cell>
        </row>
        <row r="5359">
          <cell r="B5359" t="str">
            <v>NC1407</v>
          </cell>
          <cell r="C5359" t="str">
            <v>+ Nhân công bậc 4,0/7</v>
          </cell>
          <cell r="D5359" t="str">
            <v>Công</v>
          </cell>
          <cell r="E5359">
            <v>16.5</v>
          </cell>
          <cell r="F5359">
            <v>194680.46052631579</v>
          </cell>
          <cell r="G5359">
            <v>3212227.5986842103</v>
          </cell>
        </row>
        <row r="5360">
          <cell r="A5360" t="str">
            <v>D4.2308</v>
          </cell>
          <cell r="C5360" t="str">
            <v>Lắp đặt cáp treo trên dây thép, Trọng lượng cáp &lt;= 10,5kg/m</v>
          </cell>
          <cell r="D5360" t="str">
            <v>100m</v>
          </cell>
          <cell r="H5360">
            <v>618800</v>
          </cell>
          <cell r="I5360">
            <v>3747598.8651315789</v>
          </cell>
        </row>
        <row r="5361">
          <cell r="C5361" t="str">
            <v>Vật liệu</v>
          </cell>
          <cell r="G5361">
            <v>618800</v>
          </cell>
        </row>
        <row r="5362">
          <cell r="B5362">
            <v>9</v>
          </cell>
          <cell r="C5362" t="str">
            <v>+ Giẻ lau</v>
          </cell>
          <cell r="D5362" t="str">
            <v>Kg</v>
          </cell>
          <cell r="E5362">
            <v>0.6</v>
          </cell>
          <cell r="F5362">
            <v>9500</v>
          </cell>
          <cell r="G5362">
            <v>5700</v>
          </cell>
        </row>
        <row r="5363">
          <cell r="B5363">
            <v>1</v>
          </cell>
          <cell r="C5363" t="str">
            <v>+ Cồn công nghiệp</v>
          </cell>
          <cell r="D5363" t="str">
            <v>kg</v>
          </cell>
          <cell r="E5363">
            <v>1</v>
          </cell>
          <cell r="F5363">
            <v>9500</v>
          </cell>
          <cell r="G5363">
            <v>9500</v>
          </cell>
        </row>
        <row r="5364">
          <cell r="B5364">
            <v>28</v>
          </cell>
          <cell r="C5364" t="str">
            <v>+ Coliê sắt</v>
          </cell>
          <cell r="D5364" t="str">
            <v>bộ</v>
          </cell>
          <cell r="E5364">
            <v>100</v>
          </cell>
          <cell r="F5364">
            <v>5000</v>
          </cell>
          <cell r="G5364">
            <v>500000</v>
          </cell>
        </row>
        <row r="5365">
          <cell r="B5365">
            <v>30</v>
          </cell>
          <cell r="C5365" t="str">
            <v>+ Dây thép d=4</v>
          </cell>
          <cell r="D5365" t="str">
            <v>m</v>
          </cell>
          <cell r="E5365">
            <v>103</v>
          </cell>
          <cell r="F5365">
            <v>1000</v>
          </cell>
          <cell r="G5365">
            <v>103000</v>
          </cell>
        </row>
        <row r="5366">
          <cell r="B5366">
            <v>31</v>
          </cell>
          <cell r="C5366" t="str">
            <v>+ Dây thép d=6</v>
          </cell>
          <cell r="D5366" t="str">
            <v>m</v>
          </cell>
          <cell r="E5366">
            <v>0.5</v>
          </cell>
          <cell r="F5366">
            <v>1200</v>
          </cell>
          <cell r="G5366">
            <v>600</v>
          </cell>
        </row>
        <row r="5367">
          <cell r="C5367" t="str">
            <v>Nhân công</v>
          </cell>
          <cell r="G5367">
            <v>3747598.8651315789</v>
          </cell>
        </row>
        <row r="5368">
          <cell r="B5368" t="str">
            <v>NC1407</v>
          </cell>
          <cell r="C5368" t="str">
            <v>+ Nhân công bậc 4,0/7</v>
          </cell>
          <cell r="D5368" t="str">
            <v>Công</v>
          </cell>
          <cell r="E5368">
            <v>19.25</v>
          </cell>
          <cell r="F5368">
            <v>194680.46052631579</v>
          </cell>
          <cell r="G5368">
            <v>3747598.8651315789</v>
          </cell>
        </row>
        <row r="5369">
          <cell r="A5369" t="str">
            <v>D4.2309</v>
          </cell>
          <cell r="C5369" t="str">
            <v>Lắp đặt cáp treo trên dây thép, Trọng lượng cáp  &lt;=12kg/m</v>
          </cell>
          <cell r="D5369" t="str">
            <v>100m</v>
          </cell>
          <cell r="H5369">
            <v>618800</v>
          </cell>
          <cell r="I5369">
            <v>4282970.1315789474</v>
          </cell>
        </row>
        <row r="5370">
          <cell r="C5370" t="str">
            <v>Vật liệu</v>
          </cell>
          <cell r="G5370">
            <v>618800</v>
          </cell>
        </row>
        <row r="5371">
          <cell r="B5371">
            <v>9</v>
          </cell>
          <cell r="C5371" t="str">
            <v>+ Giẻ lau</v>
          </cell>
          <cell r="D5371" t="str">
            <v>Kg</v>
          </cell>
          <cell r="E5371">
            <v>0.6</v>
          </cell>
          <cell r="F5371">
            <v>9500</v>
          </cell>
          <cell r="G5371">
            <v>5700</v>
          </cell>
        </row>
        <row r="5372">
          <cell r="B5372">
            <v>1</v>
          </cell>
          <cell r="C5372" t="str">
            <v>+ Cồn công nghiệp</v>
          </cell>
          <cell r="D5372" t="str">
            <v>kg</v>
          </cell>
          <cell r="E5372">
            <v>1</v>
          </cell>
          <cell r="F5372">
            <v>9500</v>
          </cell>
          <cell r="G5372">
            <v>9500</v>
          </cell>
        </row>
        <row r="5373">
          <cell r="B5373">
            <v>28</v>
          </cell>
          <cell r="C5373" t="str">
            <v>+ Coliê sắt</v>
          </cell>
          <cell r="D5373" t="str">
            <v>bộ</v>
          </cell>
          <cell r="E5373">
            <v>100</v>
          </cell>
          <cell r="F5373">
            <v>5000</v>
          </cell>
          <cell r="G5373">
            <v>500000</v>
          </cell>
        </row>
        <row r="5374">
          <cell r="B5374">
            <v>30</v>
          </cell>
          <cell r="C5374" t="str">
            <v>+ Dây thép d=4</v>
          </cell>
          <cell r="D5374" t="str">
            <v>m</v>
          </cell>
          <cell r="E5374">
            <v>103</v>
          </cell>
          <cell r="F5374">
            <v>1000</v>
          </cell>
          <cell r="G5374">
            <v>103000</v>
          </cell>
        </row>
        <row r="5375">
          <cell r="B5375">
            <v>31</v>
          </cell>
          <cell r="C5375" t="str">
            <v>+ Dây thép d=6</v>
          </cell>
          <cell r="D5375" t="str">
            <v>m</v>
          </cell>
          <cell r="E5375">
            <v>0.5</v>
          </cell>
          <cell r="F5375">
            <v>1200</v>
          </cell>
          <cell r="G5375">
            <v>600</v>
          </cell>
        </row>
        <row r="5376">
          <cell r="C5376" t="str">
            <v>Nhân công</v>
          </cell>
          <cell r="G5376">
            <v>4282970.1315789474</v>
          </cell>
        </row>
        <row r="5377">
          <cell r="B5377" t="str">
            <v>NC1407</v>
          </cell>
          <cell r="C5377" t="str">
            <v>+ Nhân công bậc 4,0/7</v>
          </cell>
          <cell r="D5377" t="str">
            <v>Công</v>
          </cell>
          <cell r="E5377">
            <v>22</v>
          </cell>
          <cell r="F5377">
            <v>194680.46052631579</v>
          </cell>
          <cell r="G5377">
            <v>4282970.1315789474</v>
          </cell>
        </row>
        <row r="5378">
          <cell r="A5378" t="str">
            <v>D4.2401</v>
          </cell>
          <cell r="C5378" t="str">
            <v>Lắp đặt cáp trong ống bảo vệ, Trọng lượng cáp &lt;= 1kg/m</v>
          </cell>
          <cell r="D5378" t="str">
            <v>100m</v>
          </cell>
          <cell r="H5378">
            <v>19900</v>
          </cell>
          <cell r="I5378">
            <v>562626.53092105268</v>
          </cell>
        </row>
        <row r="5379">
          <cell r="C5379" t="str">
            <v>Vật liệu</v>
          </cell>
          <cell r="G5379">
            <v>19900</v>
          </cell>
        </row>
        <row r="5380">
          <cell r="B5380">
            <v>25</v>
          </cell>
          <cell r="C5380" t="str">
            <v>+ Băng vải nhựa, ni lông ( băng dính )</v>
          </cell>
          <cell r="D5380" t="str">
            <v>cuộn</v>
          </cell>
          <cell r="E5380">
            <v>0.2</v>
          </cell>
          <cell r="F5380">
            <v>8000</v>
          </cell>
          <cell r="G5380">
            <v>1600</v>
          </cell>
        </row>
        <row r="5381">
          <cell r="B5381">
            <v>9</v>
          </cell>
          <cell r="C5381" t="str">
            <v>+ Giẻ lau</v>
          </cell>
          <cell r="D5381" t="str">
            <v>Kg</v>
          </cell>
          <cell r="E5381">
            <v>0.3</v>
          </cell>
          <cell r="F5381">
            <v>9500</v>
          </cell>
          <cell r="G5381">
            <v>2850</v>
          </cell>
        </row>
        <row r="5382">
          <cell r="B5382">
            <v>1</v>
          </cell>
          <cell r="C5382" t="str">
            <v>+ Cồn công nghiệp</v>
          </cell>
          <cell r="D5382" t="str">
            <v>kg</v>
          </cell>
          <cell r="E5382">
            <v>0.7</v>
          </cell>
          <cell r="F5382">
            <v>9500</v>
          </cell>
          <cell r="G5382">
            <v>6650</v>
          </cell>
        </row>
        <row r="5383">
          <cell r="B5383">
            <v>29</v>
          </cell>
          <cell r="C5383" t="str">
            <v>+ Dây thép =2</v>
          </cell>
          <cell r="D5383" t="str">
            <v>m</v>
          </cell>
          <cell r="E5383">
            <v>11</v>
          </cell>
          <cell r="F5383">
            <v>800</v>
          </cell>
          <cell r="G5383">
            <v>8800</v>
          </cell>
        </row>
        <row r="5384">
          <cell r="B5384" t="str">
            <v>NC1407</v>
          </cell>
          <cell r="C5384" t="str">
            <v>+ Nhân công bậc 4,0/7</v>
          </cell>
          <cell r="D5384" t="str">
            <v>Công</v>
          </cell>
          <cell r="E5384">
            <v>2.89</v>
          </cell>
          <cell r="F5384">
            <v>194680.46052631579</v>
          </cell>
          <cell r="G5384">
            <v>562626.53092105268</v>
          </cell>
        </row>
        <row r="5385">
          <cell r="A5385" t="str">
            <v>D4.2402</v>
          </cell>
          <cell r="C5385" t="str">
            <v>Lắp đặt cáp trong ống bảo vệ, Trọng lượng cáp &lt;= 2kg/m</v>
          </cell>
          <cell r="D5385" t="str">
            <v>100m</v>
          </cell>
          <cell r="H5385">
            <v>19900</v>
          </cell>
          <cell r="I5385">
            <v>642445.51973684202</v>
          </cell>
        </row>
        <row r="5386">
          <cell r="C5386" t="str">
            <v>Vật liệu</v>
          </cell>
          <cell r="G5386">
            <v>19900</v>
          </cell>
        </row>
        <row r="5387">
          <cell r="B5387">
            <v>25</v>
          </cell>
          <cell r="C5387" t="str">
            <v>+ Băng vải nhựa, ni lông ( băng dính )</v>
          </cell>
          <cell r="D5387" t="str">
            <v>cuộn</v>
          </cell>
          <cell r="E5387">
            <v>0.2</v>
          </cell>
          <cell r="F5387">
            <v>8000</v>
          </cell>
          <cell r="G5387">
            <v>1600</v>
          </cell>
        </row>
        <row r="5388">
          <cell r="B5388">
            <v>9</v>
          </cell>
          <cell r="C5388" t="str">
            <v>+ Giẻ lau</v>
          </cell>
          <cell r="D5388" t="str">
            <v>Kg</v>
          </cell>
          <cell r="E5388">
            <v>0.3</v>
          </cell>
          <cell r="F5388">
            <v>9500</v>
          </cell>
          <cell r="G5388">
            <v>2850</v>
          </cell>
        </row>
        <row r="5389">
          <cell r="B5389">
            <v>1</v>
          </cell>
          <cell r="C5389" t="str">
            <v>+ Cồn công nghiệp</v>
          </cell>
          <cell r="D5389" t="str">
            <v>kg</v>
          </cell>
          <cell r="E5389">
            <v>0.7</v>
          </cell>
          <cell r="F5389">
            <v>9500</v>
          </cell>
          <cell r="G5389">
            <v>6650</v>
          </cell>
        </row>
        <row r="5390">
          <cell r="B5390">
            <v>29</v>
          </cell>
          <cell r="C5390" t="str">
            <v>+ Dây thép =2</v>
          </cell>
          <cell r="D5390" t="str">
            <v>m</v>
          </cell>
          <cell r="E5390">
            <v>11</v>
          </cell>
          <cell r="F5390">
            <v>800</v>
          </cell>
          <cell r="G5390">
            <v>8800</v>
          </cell>
        </row>
        <row r="5391">
          <cell r="B5391" t="str">
            <v>NC1407</v>
          </cell>
          <cell r="C5391" t="str">
            <v>+ Nhân công bậc 4,0/7</v>
          </cell>
          <cell r="D5391" t="str">
            <v>Công</v>
          </cell>
          <cell r="E5391">
            <v>3.3</v>
          </cell>
          <cell r="F5391">
            <v>194680.46052631579</v>
          </cell>
          <cell r="G5391">
            <v>642445.51973684202</v>
          </cell>
        </row>
        <row r="5392">
          <cell r="A5392" t="str">
            <v>D4.2403</v>
          </cell>
          <cell r="C5392" t="str">
            <v>Lắp đặt cáp trong ống bảo vệ, Trọng lượng cáp &lt; =3kg/m</v>
          </cell>
          <cell r="D5392" t="str">
            <v>100m</v>
          </cell>
          <cell r="H5392">
            <v>19900</v>
          </cell>
          <cell r="I5392">
            <v>804030.30197368423</v>
          </cell>
        </row>
        <row r="5393">
          <cell r="C5393" t="str">
            <v>Vật liệu</v>
          </cell>
          <cell r="G5393">
            <v>19900</v>
          </cell>
        </row>
        <row r="5394">
          <cell r="B5394">
            <v>25</v>
          </cell>
          <cell r="C5394" t="str">
            <v>+ Băng vải nhựa, ni lông ( băng dính )</v>
          </cell>
          <cell r="D5394" t="str">
            <v>cuộn</v>
          </cell>
          <cell r="E5394">
            <v>0.2</v>
          </cell>
          <cell r="F5394">
            <v>8000</v>
          </cell>
          <cell r="G5394">
            <v>1600</v>
          </cell>
        </row>
        <row r="5395">
          <cell r="B5395">
            <v>9</v>
          </cell>
          <cell r="C5395" t="str">
            <v>+ Giẻ lau</v>
          </cell>
          <cell r="D5395" t="str">
            <v>Kg</v>
          </cell>
          <cell r="E5395">
            <v>0.3</v>
          </cell>
          <cell r="F5395">
            <v>9500</v>
          </cell>
          <cell r="G5395">
            <v>2850</v>
          </cell>
        </row>
        <row r="5396">
          <cell r="B5396">
            <v>1</v>
          </cell>
          <cell r="C5396" t="str">
            <v>+ Cồn công nghiệp</v>
          </cell>
          <cell r="D5396" t="str">
            <v>kg</v>
          </cell>
          <cell r="E5396">
            <v>0.7</v>
          </cell>
          <cell r="F5396">
            <v>9500</v>
          </cell>
          <cell r="G5396">
            <v>6650</v>
          </cell>
        </row>
        <row r="5397">
          <cell r="B5397">
            <v>29</v>
          </cell>
          <cell r="C5397" t="str">
            <v>+ Dây thép =2</v>
          </cell>
          <cell r="D5397" t="str">
            <v>m</v>
          </cell>
          <cell r="E5397">
            <v>11</v>
          </cell>
          <cell r="F5397">
            <v>800</v>
          </cell>
          <cell r="G5397">
            <v>8800</v>
          </cell>
        </row>
        <row r="5398">
          <cell r="B5398" t="str">
            <v>NC1407</v>
          </cell>
          <cell r="C5398" t="str">
            <v>+ Nhân công bậc 4,0/7</v>
          </cell>
          <cell r="D5398" t="str">
            <v>Công</v>
          </cell>
          <cell r="E5398">
            <v>4.13</v>
          </cell>
          <cell r="F5398">
            <v>194680.46052631579</v>
          </cell>
          <cell r="G5398">
            <v>804030.30197368423</v>
          </cell>
        </row>
        <row r="5399">
          <cell r="A5399" t="str">
            <v>D4.2404</v>
          </cell>
          <cell r="C5399" t="str">
            <v>Lắp đặt cáp trong ống bảo vệ, Trọng lượng cáp &lt; =4,5kg/m</v>
          </cell>
          <cell r="D5399" t="str">
            <v>100m</v>
          </cell>
          <cell r="H5399">
            <v>22600</v>
          </cell>
          <cell r="I5399">
            <v>1070742.5328947369</v>
          </cell>
        </row>
        <row r="5400">
          <cell r="C5400" t="str">
            <v>Vật liệu</v>
          </cell>
          <cell r="G5400">
            <v>22600</v>
          </cell>
        </row>
        <row r="5401">
          <cell r="B5401">
            <v>25</v>
          </cell>
          <cell r="C5401" t="str">
            <v>+ Băng vải nhựa, ni lông ( băng dính )</v>
          </cell>
          <cell r="D5401" t="str">
            <v>cuộn</v>
          </cell>
          <cell r="E5401">
            <v>0.3</v>
          </cell>
          <cell r="F5401">
            <v>8000</v>
          </cell>
          <cell r="G5401">
            <v>2400</v>
          </cell>
        </row>
        <row r="5402">
          <cell r="B5402">
            <v>9</v>
          </cell>
          <cell r="C5402" t="str">
            <v>+ Giẻ lau</v>
          </cell>
          <cell r="D5402" t="str">
            <v>Kg</v>
          </cell>
          <cell r="E5402">
            <v>0.4</v>
          </cell>
          <cell r="F5402">
            <v>9500</v>
          </cell>
          <cell r="G5402">
            <v>3800</v>
          </cell>
        </row>
        <row r="5403">
          <cell r="B5403">
            <v>1</v>
          </cell>
          <cell r="C5403" t="str">
            <v>+ Cồn công nghiệp</v>
          </cell>
          <cell r="D5403" t="str">
            <v>kg</v>
          </cell>
          <cell r="E5403">
            <v>0.8</v>
          </cell>
          <cell r="F5403">
            <v>9500</v>
          </cell>
          <cell r="G5403">
            <v>7600</v>
          </cell>
        </row>
        <row r="5404">
          <cell r="B5404">
            <v>29</v>
          </cell>
          <cell r="C5404" t="str">
            <v>+ Dây thép =2</v>
          </cell>
          <cell r="D5404" t="str">
            <v>m</v>
          </cell>
          <cell r="E5404">
            <v>11</v>
          </cell>
          <cell r="F5404">
            <v>800</v>
          </cell>
          <cell r="G5404">
            <v>8800</v>
          </cell>
        </row>
        <row r="5405">
          <cell r="B5405" t="str">
            <v>NC1407</v>
          </cell>
          <cell r="C5405" t="str">
            <v>+ Nhân công bậc 4,0/7</v>
          </cell>
          <cell r="D5405" t="str">
            <v>Công</v>
          </cell>
          <cell r="E5405">
            <v>5.5</v>
          </cell>
          <cell r="F5405">
            <v>194680.46052631579</v>
          </cell>
          <cell r="G5405">
            <v>1070742.5328947369</v>
          </cell>
        </row>
        <row r="5406">
          <cell r="A5406" t="str">
            <v>D4.2405</v>
          </cell>
          <cell r="C5406" t="str">
            <v>Lắp đặt cáp trong ống bảo vệ, Trọng lượng cáp &lt;= 6kg/m</v>
          </cell>
          <cell r="D5406" t="str">
            <v>100m</v>
          </cell>
          <cell r="H5406">
            <v>22600</v>
          </cell>
          <cell r="I5406">
            <v>1364710.0282894736</v>
          </cell>
        </row>
        <row r="5407">
          <cell r="C5407" t="str">
            <v>Vật liệu</v>
          </cell>
          <cell r="G5407">
            <v>22600</v>
          </cell>
        </row>
        <row r="5408">
          <cell r="B5408">
            <v>25</v>
          </cell>
          <cell r="C5408" t="str">
            <v>+ Băng vải nhựa, ni lông ( băng dính )</v>
          </cell>
          <cell r="D5408" t="str">
            <v>cuộn</v>
          </cell>
          <cell r="E5408">
            <v>0.3</v>
          </cell>
          <cell r="F5408">
            <v>8000</v>
          </cell>
          <cell r="G5408">
            <v>2400</v>
          </cell>
        </row>
        <row r="5409">
          <cell r="B5409">
            <v>9</v>
          </cell>
          <cell r="C5409" t="str">
            <v>+ Giẻ lau</v>
          </cell>
          <cell r="D5409" t="str">
            <v>Kg</v>
          </cell>
          <cell r="E5409">
            <v>0.4</v>
          </cell>
          <cell r="F5409">
            <v>9500</v>
          </cell>
          <cell r="G5409">
            <v>3800</v>
          </cell>
        </row>
        <row r="5410">
          <cell r="B5410">
            <v>1</v>
          </cell>
          <cell r="C5410" t="str">
            <v>+ Cồn công nghiệp</v>
          </cell>
          <cell r="D5410" t="str">
            <v>kg</v>
          </cell>
          <cell r="E5410">
            <v>0.8</v>
          </cell>
          <cell r="F5410">
            <v>9500</v>
          </cell>
          <cell r="G5410">
            <v>7600</v>
          </cell>
        </row>
        <row r="5411">
          <cell r="B5411">
            <v>29</v>
          </cell>
          <cell r="C5411" t="str">
            <v>+ Dây thép =2</v>
          </cell>
          <cell r="D5411" t="str">
            <v>m</v>
          </cell>
          <cell r="E5411">
            <v>11</v>
          </cell>
          <cell r="F5411">
            <v>800</v>
          </cell>
          <cell r="G5411">
            <v>8800</v>
          </cell>
        </row>
        <row r="5412">
          <cell r="B5412" t="str">
            <v>NC1407</v>
          </cell>
          <cell r="C5412" t="str">
            <v>+ Nhân công bậc 4,0/7</v>
          </cell>
          <cell r="D5412" t="str">
            <v>Công</v>
          </cell>
          <cell r="E5412">
            <v>7.01</v>
          </cell>
          <cell r="F5412">
            <v>194680.46052631579</v>
          </cell>
          <cell r="G5412">
            <v>1364710.0282894736</v>
          </cell>
        </row>
        <row r="5413">
          <cell r="A5413" t="str">
            <v>D4.2406</v>
          </cell>
          <cell r="C5413" t="str">
            <v>Lắp đặt cáp trong ống bảo vệ, Trọng lượng cáp &lt;= 7,5kg/m</v>
          </cell>
          <cell r="D5413" t="str">
            <v>100m</v>
          </cell>
          <cell r="H5413">
            <v>27500</v>
          </cell>
          <cell r="I5413">
            <v>1767698.5815789474</v>
          </cell>
        </row>
        <row r="5414">
          <cell r="C5414" t="str">
            <v>Vật liệu</v>
          </cell>
          <cell r="G5414">
            <v>27500</v>
          </cell>
        </row>
        <row r="5415">
          <cell r="B5415">
            <v>25</v>
          </cell>
          <cell r="C5415" t="str">
            <v>+ Băng vải nhựa, ni lông ( băng dính )</v>
          </cell>
          <cell r="D5415" t="str">
            <v>cuộn</v>
          </cell>
          <cell r="E5415">
            <v>0.4</v>
          </cell>
          <cell r="F5415">
            <v>8000</v>
          </cell>
          <cell r="G5415">
            <v>3200</v>
          </cell>
        </row>
        <row r="5416">
          <cell r="B5416">
            <v>9</v>
          </cell>
          <cell r="C5416" t="str">
            <v>+ Giẻ lau</v>
          </cell>
          <cell r="D5416" t="str">
            <v>Kg</v>
          </cell>
          <cell r="E5416">
            <v>0.5</v>
          </cell>
          <cell r="F5416">
            <v>9500</v>
          </cell>
          <cell r="G5416">
            <v>4750</v>
          </cell>
        </row>
        <row r="5417">
          <cell r="B5417">
            <v>1</v>
          </cell>
          <cell r="C5417" t="str">
            <v>+ Cồn công nghiệp</v>
          </cell>
          <cell r="D5417" t="str">
            <v>kg</v>
          </cell>
          <cell r="E5417">
            <v>0.9</v>
          </cell>
          <cell r="F5417">
            <v>9500</v>
          </cell>
          <cell r="G5417">
            <v>8550</v>
          </cell>
        </row>
        <row r="5418">
          <cell r="B5418">
            <v>30</v>
          </cell>
          <cell r="C5418" t="str">
            <v>+ Dây thép d=4</v>
          </cell>
          <cell r="D5418" t="str">
            <v>m</v>
          </cell>
          <cell r="E5418">
            <v>11</v>
          </cell>
          <cell r="F5418">
            <v>1000</v>
          </cell>
          <cell r="G5418">
            <v>11000</v>
          </cell>
        </row>
        <row r="5419">
          <cell r="B5419" t="str">
            <v>NC1407</v>
          </cell>
          <cell r="C5419" t="str">
            <v>+ Nhân công bậc 4,0/7</v>
          </cell>
          <cell r="D5419" t="str">
            <v>Công</v>
          </cell>
          <cell r="E5419">
            <v>9.08</v>
          </cell>
          <cell r="F5419">
            <v>194680.46052631579</v>
          </cell>
          <cell r="G5419">
            <v>1767698.5815789474</v>
          </cell>
        </row>
        <row r="5420">
          <cell r="A5420" t="str">
            <v>D4.2407</v>
          </cell>
          <cell r="C5420" t="str">
            <v>Lắp đặt cáp trong ống bảo vệ, Trọng lượng cáp &lt; =9kg/m</v>
          </cell>
          <cell r="D5420" t="str">
            <v>100m</v>
          </cell>
          <cell r="H5420">
            <v>27500</v>
          </cell>
          <cell r="I5420">
            <v>2168740.3302631578</v>
          </cell>
        </row>
        <row r="5421">
          <cell r="C5421" t="str">
            <v>Vật liệu</v>
          </cell>
          <cell r="G5421">
            <v>27500</v>
          </cell>
        </row>
        <row r="5422">
          <cell r="B5422">
            <v>25</v>
          </cell>
          <cell r="C5422" t="str">
            <v>+ Băng vải nhựa, ni lông ( băng dính )</v>
          </cell>
          <cell r="D5422" t="str">
            <v>cuộn</v>
          </cell>
          <cell r="E5422">
            <v>0.4</v>
          </cell>
          <cell r="F5422">
            <v>8000</v>
          </cell>
          <cell r="G5422">
            <v>3200</v>
          </cell>
        </row>
        <row r="5423">
          <cell r="B5423">
            <v>9</v>
          </cell>
          <cell r="C5423" t="str">
            <v>+ Giẻ lau</v>
          </cell>
          <cell r="D5423" t="str">
            <v>Kg</v>
          </cell>
          <cell r="E5423">
            <v>0.5</v>
          </cell>
          <cell r="F5423">
            <v>9500</v>
          </cell>
          <cell r="G5423">
            <v>4750</v>
          </cell>
        </row>
        <row r="5424">
          <cell r="B5424">
            <v>1</v>
          </cell>
          <cell r="C5424" t="str">
            <v>+ Cồn công nghiệp</v>
          </cell>
          <cell r="D5424" t="str">
            <v>kg</v>
          </cell>
          <cell r="E5424">
            <v>0.9</v>
          </cell>
          <cell r="F5424">
            <v>9500</v>
          </cell>
          <cell r="G5424">
            <v>8550</v>
          </cell>
        </row>
        <row r="5425">
          <cell r="B5425">
            <v>30</v>
          </cell>
          <cell r="C5425" t="str">
            <v>+ Dây thép d=4</v>
          </cell>
          <cell r="D5425" t="str">
            <v>m</v>
          </cell>
          <cell r="E5425">
            <v>11</v>
          </cell>
          <cell r="F5425">
            <v>1000</v>
          </cell>
          <cell r="G5425">
            <v>11000</v>
          </cell>
        </row>
        <row r="5426">
          <cell r="B5426" t="str">
            <v>NC1407</v>
          </cell>
          <cell r="C5426" t="str">
            <v>+ Nhân công bậc 4,0/7</v>
          </cell>
          <cell r="D5426" t="str">
            <v>Công</v>
          </cell>
          <cell r="E5426">
            <v>11.14</v>
          </cell>
          <cell r="F5426">
            <v>194680.46052631579</v>
          </cell>
          <cell r="G5426">
            <v>2168740.3302631578</v>
          </cell>
        </row>
        <row r="5427">
          <cell r="A5427" t="str">
            <v>D4.2408</v>
          </cell>
          <cell r="C5427" t="str">
            <v>Lắp đặt cáp trong ống bảo vệ, Trọng lượng cáp &lt;= 10,5kg/m</v>
          </cell>
          <cell r="D5427" t="str">
            <v>100m</v>
          </cell>
          <cell r="H5427">
            <v>29400</v>
          </cell>
          <cell r="I5427">
            <v>2624292.6078947368</v>
          </cell>
        </row>
        <row r="5428">
          <cell r="C5428" t="str">
            <v>Vật liệu</v>
          </cell>
          <cell r="G5428">
            <v>29400</v>
          </cell>
        </row>
        <row r="5429">
          <cell r="B5429">
            <v>25</v>
          </cell>
          <cell r="C5429" t="str">
            <v>+ Băng vải nhựa, ni lông ( băng dính )</v>
          </cell>
          <cell r="D5429" t="str">
            <v>cuộn</v>
          </cell>
          <cell r="E5429">
            <v>0.4</v>
          </cell>
          <cell r="F5429">
            <v>8000</v>
          </cell>
          <cell r="G5429">
            <v>3200</v>
          </cell>
        </row>
        <row r="5430">
          <cell r="B5430">
            <v>9</v>
          </cell>
          <cell r="C5430" t="str">
            <v>+ Giẻ lau</v>
          </cell>
          <cell r="D5430" t="str">
            <v>Kg</v>
          </cell>
          <cell r="E5430">
            <v>0.6</v>
          </cell>
          <cell r="F5430">
            <v>9500</v>
          </cell>
          <cell r="G5430">
            <v>5700</v>
          </cell>
        </row>
        <row r="5431">
          <cell r="B5431">
            <v>1</v>
          </cell>
          <cell r="C5431" t="str">
            <v>+ Cồn công nghiệp</v>
          </cell>
          <cell r="D5431" t="str">
            <v>kg</v>
          </cell>
          <cell r="E5431">
            <v>1</v>
          </cell>
          <cell r="F5431">
            <v>9500</v>
          </cell>
          <cell r="G5431">
            <v>9500</v>
          </cell>
        </row>
        <row r="5432">
          <cell r="B5432">
            <v>30</v>
          </cell>
          <cell r="C5432" t="str">
            <v>+ Dây thép d=4</v>
          </cell>
          <cell r="D5432" t="str">
            <v>m</v>
          </cell>
          <cell r="E5432">
            <v>11</v>
          </cell>
          <cell r="F5432">
            <v>1000</v>
          </cell>
          <cell r="G5432">
            <v>11000</v>
          </cell>
        </row>
        <row r="5433">
          <cell r="B5433" t="str">
            <v>NC1407</v>
          </cell>
          <cell r="C5433" t="str">
            <v>+ Nhân công bậc 4,0/7</v>
          </cell>
          <cell r="D5433" t="str">
            <v>Công</v>
          </cell>
          <cell r="E5433">
            <v>13.48</v>
          </cell>
          <cell r="F5433">
            <v>194680.46052631579</v>
          </cell>
          <cell r="G5433">
            <v>2624292.6078947368</v>
          </cell>
        </row>
        <row r="5434">
          <cell r="A5434" t="str">
            <v>D4.2409</v>
          </cell>
          <cell r="C5434" t="str">
            <v>Lắp đặt cáp trong ống bảo vệ, Trọng lượng cáp  &lt;= 12kg/m</v>
          </cell>
          <cell r="D5434" t="str">
            <v>100m</v>
          </cell>
          <cell r="H5434">
            <v>29400</v>
          </cell>
          <cell r="I5434">
            <v>3052589.6210526316</v>
          </cell>
        </row>
        <row r="5435">
          <cell r="C5435" t="str">
            <v>Vật liệu</v>
          </cell>
          <cell r="G5435">
            <v>29400</v>
          </cell>
        </row>
        <row r="5436">
          <cell r="B5436">
            <v>25</v>
          </cell>
          <cell r="C5436" t="str">
            <v>+ Băng vải nhựa, ni lông ( băng dính )</v>
          </cell>
          <cell r="D5436" t="str">
            <v>cuộn</v>
          </cell>
          <cell r="E5436">
            <v>0.4</v>
          </cell>
          <cell r="F5436">
            <v>8000</v>
          </cell>
          <cell r="G5436">
            <v>3200</v>
          </cell>
        </row>
        <row r="5437">
          <cell r="B5437">
            <v>9</v>
          </cell>
          <cell r="C5437" t="str">
            <v>+ Giẻ lau</v>
          </cell>
          <cell r="D5437" t="str">
            <v>Kg</v>
          </cell>
          <cell r="E5437">
            <v>0.6</v>
          </cell>
          <cell r="F5437">
            <v>9500</v>
          </cell>
          <cell r="G5437">
            <v>5700</v>
          </cell>
        </row>
        <row r="5438">
          <cell r="B5438">
            <v>1</v>
          </cell>
          <cell r="C5438" t="str">
            <v>+ Cồn công nghiệp</v>
          </cell>
          <cell r="D5438" t="str">
            <v>kg</v>
          </cell>
          <cell r="E5438">
            <v>1</v>
          </cell>
          <cell r="F5438">
            <v>9500</v>
          </cell>
          <cell r="G5438">
            <v>9500</v>
          </cell>
        </row>
        <row r="5439">
          <cell r="B5439">
            <v>30</v>
          </cell>
          <cell r="C5439" t="str">
            <v>+ Dây thép d=4</v>
          </cell>
          <cell r="D5439" t="str">
            <v>m</v>
          </cell>
          <cell r="E5439">
            <v>11</v>
          </cell>
          <cell r="F5439">
            <v>1000</v>
          </cell>
          <cell r="G5439">
            <v>11000</v>
          </cell>
        </row>
        <row r="5440">
          <cell r="B5440" t="str">
            <v>NC1407</v>
          </cell>
          <cell r="C5440" t="str">
            <v>+ Nhân công bậc 4,0/7</v>
          </cell>
          <cell r="D5440" t="str">
            <v>Công</v>
          </cell>
          <cell r="E5440">
            <v>15.68</v>
          </cell>
          <cell r="F5440">
            <v>194680.46052631579</v>
          </cell>
          <cell r="G5440">
            <v>3052589.6210526316</v>
          </cell>
        </row>
        <row r="5441">
          <cell r="A5441" t="str">
            <v>D4.2410</v>
          </cell>
          <cell r="C5441" t="str">
            <v>Lắp đặt cáp trong ống bảo vệ, Trọng lượng cáp &lt;=15kg/m</v>
          </cell>
          <cell r="D5441" t="str">
            <v>100m</v>
          </cell>
          <cell r="H5441">
            <v>33200</v>
          </cell>
          <cell r="I5441">
            <v>3909183.6473684208</v>
          </cell>
        </row>
        <row r="5442">
          <cell r="C5442" t="str">
            <v>Vật liệu</v>
          </cell>
          <cell r="G5442">
            <v>33200</v>
          </cell>
        </row>
        <row r="5443">
          <cell r="B5443">
            <v>25</v>
          </cell>
          <cell r="C5443" t="str">
            <v>+ Băng vải nhựa, ni lông ( băng dính )</v>
          </cell>
          <cell r="D5443" t="str">
            <v>cuộn</v>
          </cell>
          <cell r="E5443">
            <v>0.4</v>
          </cell>
          <cell r="F5443">
            <v>8000</v>
          </cell>
          <cell r="G5443">
            <v>3200</v>
          </cell>
        </row>
        <row r="5444">
          <cell r="B5444">
            <v>9</v>
          </cell>
          <cell r="C5444" t="str">
            <v>+ Giẻ lau</v>
          </cell>
          <cell r="D5444" t="str">
            <v>Kg</v>
          </cell>
          <cell r="E5444">
            <v>0.8</v>
          </cell>
          <cell r="F5444">
            <v>9500</v>
          </cell>
          <cell r="G5444">
            <v>7600</v>
          </cell>
        </row>
        <row r="5445">
          <cell r="B5445">
            <v>1</v>
          </cell>
          <cell r="C5445" t="str">
            <v>+ Cồn công nghiệp</v>
          </cell>
          <cell r="D5445" t="str">
            <v>kg</v>
          </cell>
          <cell r="E5445">
            <v>1.2</v>
          </cell>
          <cell r="F5445">
            <v>9500</v>
          </cell>
          <cell r="G5445">
            <v>11400</v>
          </cell>
        </row>
        <row r="5446">
          <cell r="B5446">
            <v>30</v>
          </cell>
          <cell r="C5446" t="str">
            <v>+ Dây thép d=4</v>
          </cell>
          <cell r="D5446" t="str">
            <v>m</v>
          </cell>
          <cell r="E5446">
            <v>11</v>
          </cell>
          <cell r="F5446">
            <v>1000</v>
          </cell>
          <cell r="G5446">
            <v>11000</v>
          </cell>
        </row>
        <row r="5447">
          <cell r="B5447" t="str">
            <v>NC1407</v>
          </cell>
          <cell r="C5447" t="str">
            <v>+ Nhân công bậc 4,0/7</v>
          </cell>
          <cell r="D5447" t="str">
            <v>Công</v>
          </cell>
          <cell r="E5447">
            <v>20.079999999999998</v>
          </cell>
          <cell r="F5447">
            <v>194680.46052631579</v>
          </cell>
          <cell r="G5447">
            <v>3909183.6473684208</v>
          </cell>
        </row>
        <row r="5448">
          <cell r="A5448" t="str">
            <v>D4.2411</v>
          </cell>
          <cell r="C5448" t="str">
            <v>Lắp đặt cáp trong ống bảo vệ, Trọng lượng cáp &lt;= 18kg/m</v>
          </cell>
          <cell r="D5448" t="str">
            <v>100m</v>
          </cell>
          <cell r="H5448">
            <v>34000</v>
          </cell>
          <cell r="I5448">
            <v>5460786.9177631577</v>
          </cell>
        </row>
        <row r="5449">
          <cell r="C5449" t="str">
            <v>Vật liệu</v>
          </cell>
          <cell r="G5449">
            <v>34000</v>
          </cell>
        </row>
        <row r="5450">
          <cell r="B5450">
            <v>25</v>
          </cell>
          <cell r="C5450" t="str">
            <v>+ Băng vải nhựa, ni lông ( băng dính )</v>
          </cell>
          <cell r="D5450" t="str">
            <v>cuộn</v>
          </cell>
          <cell r="E5450">
            <v>0.5</v>
          </cell>
          <cell r="F5450">
            <v>8000</v>
          </cell>
          <cell r="G5450">
            <v>4000</v>
          </cell>
        </row>
        <row r="5451">
          <cell r="B5451">
            <v>9</v>
          </cell>
          <cell r="C5451" t="str">
            <v>+ Giẻ lau</v>
          </cell>
          <cell r="D5451" t="str">
            <v>Kg</v>
          </cell>
          <cell r="E5451">
            <v>0.8</v>
          </cell>
          <cell r="F5451">
            <v>9500</v>
          </cell>
          <cell r="G5451">
            <v>7600</v>
          </cell>
        </row>
        <row r="5452">
          <cell r="B5452">
            <v>1</v>
          </cell>
          <cell r="C5452" t="str">
            <v>+ Cồn công nghiệp</v>
          </cell>
          <cell r="D5452" t="str">
            <v>kg</v>
          </cell>
          <cell r="E5452">
            <v>1.2</v>
          </cell>
          <cell r="F5452">
            <v>9500</v>
          </cell>
          <cell r="G5452">
            <v>11400</v>
          </cell>
        </row>
        <row r="5453">
          <cell r="B5453">
            <v>30</v>
          </cell>
          <cell r="C5453" t="str">
            <v>+ Dây thép d=4</v>
          </cell>
          <cell r="D5453" t="str">
            <v>m</v>
          </cell>
          <cell r="E5453">
            <v>11</v>
          </cell>
          <cell r="F5453">
            <v>1000</v>
          </cell>
          <cell r="G5453">
            <v>11000</v>
          </cell>
        </row>
        <row r="5454">
          <cell r="B5454" t="str">
            <v>NC1407</v>
          </cell>
          <cell r="C5454" t="str">
            <v>+ Nhân công bậc 4,0/7</v>
          </cell>
          <cell r="D5454" t="str">
            <v>Công</v>
          </cell>
          <cell r="E5454">
            <v>28.05</v>
          </cell>
          <cell r="F5454">
            <v>194680.46052631579</v>
          </cell>
          <cell r="G5454">
            <v>5460786.9177631577</v>
          </cell>
        </row>
        <row r="5455">
          <cell r="A5455" t="str">
            <v>D4.2412</v>
          </cell>
          <cell r="C5455" t="str">
            <v>Lắp đặt cáp trong ống bảo vệ, Trọng lượng cáp &lt;= 21kg/m</v>
          </cell>
          <cell r="D5455" t="str">
            <v>100m</v>
          </cell>
          <cell r="H5455">
            <v>34000</v>
          </cell>
          <cell r="I5455">
            <v>6745677.9572368413</v>
          </cell>
        </row>
        <row r="5456">
          <cell r="C5456" t="str">
            <v>Vật liệu</v>
          </cell>
          <cell r="G5456">
            <v>34000</v>
          </cell>
        </row>
        <row r="5457">
          <cell r="B5457">
            <v>25</v>
          </cell>
          <cell r="C5457" t="str">
            <v>+ Băng vải nhựa, ni lông ( băng dính )</v>
          </cell>
          <cell r="D5457" t="str">
            <v>cuộn</v>
          </cell>
          <cell r="E5457">
            <v>0.5</v>
          </cell>
          <cell r="F5457">
            <v>8000</v>
          </cell>
          <cell r="G5457">
            <v>4000</v>
          </cell>
        </row>
        <row r="5458">
          <cell r="B5458">
            <v>9</v>
          </cell>
          <cell r="C5458" t="str">
            <v>+ Giẻ lau</v>
          </cell>
          <cell r="D5458" t="str">
            <v>Kg</v>
          </cell>
          <cell r="E5458">
            <v>0.8</v>
          </cell>
          <cell r="F5458">
            <v>9500</v>
          </cell>
          <cell r="G5458">
            <v>7600</v>
          </cell>
        </row>
        <row r="5459">
          <cell r="B5459">
            <v>1</v>
          </cell>
          <cell r="C5459" t="str">
            <v>+ Cồn công nghiệp</v>
          </cell>
          <cell r="D5459" t="str">
            <v>kg</v>
          </cell>
          <cell r="E5459">
            <v>1.2</v>
          </cell>
          <cell r="F5459">
            <v>9500</v>
          </cell>
          <cell r="G5459">
            <v>11400</v>
          </cell>
        </row>
        <row r="5460">
          <cell r="B5460">
            <v>30</v>
          </cell>
          <cell r="C5460" t="str">
            <v>+ Dây thép d=4</v>
          </cell>
          <cell r="D5460" t="str">
            <v>m</v>
          </cell>
          <cell r="E5460">
            <v>11</v>
          </cell>
          <cell r="F5460">
            <v>1000</v>
          </cell>
          <cell r="G5460">
            <v>11000</v>
          </cell>
        </row>
        <row r="5461">
          <cell r="B5461" t="str">
            <v>NC1407</v>
          </cell>
          <cell r="C5461" t="str">
            <v>+ Nhân công bậc 4,0/7</v>
          </cell>
          <cell r="D5461" t="str">
            <v>Công</v>
          </cell>
          <cell r="E5461">
            <v>34.65</v>
          </cell>
          <cell r="F5461">
            <v>194680.46052631579</v>
          </cell>
          <cell r="G5461">
            <v>6745677.9572368413</v>
          </cell>
        </row>
        <row r="5462">
          <cell r="A5462" t="str">
            <v>D4.2413</v>
          </cell>
          <cell r="C5462" t="str">
            <v>Lắp đặt cáp trong ống bảo vệ, Trọng lượng cáp &lt;= 24kg/m</v>
          </cell>
          <cell r="D5462" t="str">
            <v>100m</v>
          </cell>
          <cell r="H5462">
            <v>37800</v>
          </cell>
          <cell r="I5462">
            <v>8330376.9059210522</v>
          </cell>
        </row>
        <row r="5463">
          <cell r="C5463" t="str">
            <v>Vật liệu</v>
          </cell>
          <cell r="G5463">
            <v>37800</v>
          </cell>
        </row>
        <row r="5464">
          <cell r="B5464">
            <v>25</v>
          </cell>
          <cell r="C5464" t="str">
            <v>+ Băng vải nhựa, ni lông ( băng dính )</v>
          </cell>
          <cell r="D5464" t="str">
            <v>cuộn</v>
          </cell>
          <cell r="E5464">
            <v>0.5</v>
          </cell>
          <cell r="F5464">
            <v>8000</v>
          </cell>
          <cell r="G5464">
            <v>4000</v>
          </cell>
        </row>
        <row r="5465">
          <cell r="B5465">
            <v>9</v>
          </cell>
          <cell r="C5465" t="str">
            <v>+ Giẻ lau</v>
          </cell>
          <cell r="D5465" t="str">
            <v>Kg</v>
          </cell>
          <cell r="E5465">
            <v>1</v>
          </cell>
          <cell r="F5465">
            <v>9500</v>
          </cell>
          <cell r="G5465">
            <v>9500</v>
          </cell>
        </row>
        <row r="5466">
          <cell r="B5466">
            <v>1</v>
          </cell>
          <cell r="C5466" t="str">
            <v>+ Cồn công nghiệp</v>
          </cell>
          <cell r="D5466" t="str">
            <v>kg</v>
          </cell>
          <cell r="E5466">
            <v>1.4</v>
          </cell>
          <cell r="F5466">
            <v>9500</v>
          </cell>
          <cell r="G5466">
            <v>13300</v>
          </cell>
        </row>
        <row r="5467">
          <cell r="B5467">
            <v>30</v>
          </cell>
          <cell r="C5467" t="str">
            <v>+ Dây thép d=4</v>
          </cell>
          <cell r="D5467" t="str">
            <v>m</v>
          </cell>
          <cell r="E5467">
            <v>11</v>
          </cell>
          <cell r="F5467">
            <v>1000</v>
          </cell>
          <cell r="G5467">
            <v>11000</v>
          </cell>
        </row>
        <row r="5468">
          <cell r="B5468" t="str">
            <v>NC1407</v>
          </cell>
          <cell r="C5468" t="str">
            <v>+ Nhân công bậc 4,0/7</v>
          </cell>
          <cell r="D5468" t="str">
            <v>Công</v>
          </cell>
          <cell r="E5468">
            <v>42.79</v>
          </cell>
          <cell r="F5468">
            <v>194680.46052631579</v>
          </cell>
          <cell r="G5468">
            <v>8330376.9059210522</v>
          </cell>
        </row>
        <row r="5469">
          <cell r="A5469" t="str">
            <v>D4.2414</v>
          </cell>
          <cell r="C5469" t="str">
            <v>Lắp đặt cáp trong ống bảo vệ, Trọng lượng cáp &lt;=28kg/m</v>
          </cell>
          <cell r="D5469" t="str">
            <v>100m</v>
          </cell>
          <cell r="H5469">
            <v>39550</v>
          </cell>
          <cell r="I5469">
            <v>10257713.465131579</v>
          </cell>
        </row>
        <row r="5470">
          <cell r="C5470" t="str">
            <v>Vật liệu</v>
          </cell>
          <cell r="G5470">
            <v>39550</v>
          </cell>
        </row>
        <row r="5471">
          <cell r="B5471">
            <v>25</v>
          </cell>
          <cell r="C5471" t="str">
            <v>+ Băng vải nhựa, ni lông ( băng dính )</v>
          </cell>
          <cell r="D5471" t="str">
            <v>cuộn</v>
          </cell>
          <cell r="E5471">
            <v>0.6</v>
          </cell>
          <cell r="F5471">
            <v>8000</v>
          </cell>
          <cell r="G5471">
            <v>4800</v>
          </cell>
        </row>
        <row r="5472">
          <cell r="B5472">
            <v>9</v>
          </cell>
          <cell r="C5472" t="str">
            <v>+ Giẻ lau</v>
          </cell>
          <cell r="D5472" t="str">
            <v>Kg</v>
          </cell>
          <cell r="E5472">
            <v>1</v>
          </cell>
          <cell r="F5472">
            <v>9500</v>
          </cell>
          <cell r="G5472">
            <v>9500</v>
          </cell>
        </row>
        <row r="5473">
          <cell r="B5473">
            <v>1</v>
          </cell>
          <cell r="C5473" t="str">
            <v>+ Cồn công nghiệp</v>
          </cell>
          <cell r="D5473" t="str">
            <v>kg</v>
          </cell>
          <cell r="E5473">
            <v>1.5</v>
          </cell>
          <cell r="F5473">
            <v>9500</v>
          </cell>
          <cell r="G5473">
            <v>14250</v>
          </cell>
        </row>
        <row r="5474">
          <cell r="B5474">
            <v>30</v>
          </cell>
          <cell r="C5474" t="str">
            <v>+ Dây thép d=4</v>
          </cell>
          <cell r="D5474" t="str">
            <v>m</v>
          </cell>
          <cell r="E5474">
            <v>11</v>
          </cell>
          <cell r="F5474">
            <v>1000</v>
          </cell>
          <cell r="G5474">
            <v>11000</v>
          </cell>
        </row>
        <row r="5475">
          <cell r="B5475" t="str">
            <v>NC1407</v>
          </cell>
          <cell r="C5475" t="str">
            <v>+ Nhân công bậc 4,0/7</v>
          </cell>
          <cell r="D5475" t="str">
            <v>Công</v>
          </cell>
          <cell r="E5475">
            <v>52.69</v>
          </cell>
          <cell r="F5475">
            <v>194680.46052631579</v>
          </cell>
          <cell r="G5475">
            <v>10257713.465131579</v>
          </cell>
        </row>
        <row r="5476">
          <cell r="A5476" t="str">
            <v>D4.2415</v>
          </cell>
          <cell r="C5476" t="str">
            <v>Lắp đặt cáp trong ống bảo vệ, Trọng lượng cáp &lt;= 32kg/m</v>
          </cell>
          <cell r="D5476" t="str">
            <v>100m</v>
          </cell>
          <cell r="H5476">
            <v>40500</v>
          </cell>
          <cell r="I5476">
            <v>12292124.277631579</v>
          </cell>
        </row>
        <row r="5477">
          <cell r="C5477" t="str">
            <v>Vật liệu</v>
          </cell>
          <cell r="G5477">
            <v>40500</v>
          </cell>
        </row>
        <row r="5478">
          <cell r="B5478">
            <v>25</v>
          </cell>
          <cell r="C5478" t="str">
            <v>+ Băng vải nhựa, ni lông ( băng dính )</v>
          </cell>
          <cell r="D5478" t="str">
            <v>cuộn</v>
          </cell>
          <cell r="E5478">
            <v>0.6</v>
          </cell>
          <cell r="F5478">
            <v>8000</v>
          </cell>
          <cell r="G5478">
            <v>4800</v>
          </cell>
        </row>
        <row r="5479">
          <cell r="B5479">
            <v>9</v>
          </cell>
          <cell r="C5479" t="str">
            <v>+ Giẻ lau</v>
          </cell>
          <cell r="D5479" t="str">
            <v>Kg</v>
          </cell>
          <cell r="E5479">
            <v>1</v>
          </cell>
          <cell r="F5479">
            <v>9500</v>
          </cell>
          <cell r="G5479">
            <v>9500</v>
          </cell>
        </row>
        <row r="5480">
          <cell r="B5480">
            <v>1</v>
          </cell>
          <cell r="C5480" t="str">
            <v>+ Cồn công nghiệp</v>
          </cell>
          <cell r="D5480" t="str">
            <v>kg</v>
          </cell>
          <cell r="E5480">
            <v>1.6</v>
          </cell>
          <cell r="F5480">
            <v>9500</v>
          </cell>
          <cell r="G5480">
            <v>15200</v>
          </cell>
        </row>
        <row r="5481">
          <cell r="B5481">
            <v>30</v>
          </cell>
          <cell r="C5481" t="str">
            <v>+ Dây thép d=4</v>
          </cell>
          <cell r="D5481" t="str">
            <v>m</v>
          </cell>
          <cell r="E5481">
            <v>11</v>
          </cell>
          <cell r="F5481">
            <v>1000</v>
          </cell>
          <cell r="G5481">
            <v>11000</v>
          </cell>
        </row>
        <row r="5482">
          <cell r="B5482" t="str">
            <v>NC1407</v>
          </cell>
          <cell r="C5482" t="str">
            <v>+ Nhân công bậc 4,0/7</v>
          </cell>
          <cell r="D5482" t="str">
            <v>Công</v>
          </cell>
          <cell r="E5482">
            <v>63.14</v>
          </cell>
          <cell r="F5482">
            <v>194680.46052631579</v>
          </cell>
          <cell r="G5482">
            <v>12292124.277631579</v>
          </cell>
        </row>
        <row r="5483">
          <cell r="A5483" t="str">
            <v>D4.3111</v>
          </cell>
          <cell r="C5483" t="str">
            <v>Làm đầu cáp khô 3-6Kv từ 3 đến 4 ruột, Cáp có tiết diện &lt;= 35mm2</v>
          </cell>
          <cell r="D5483" t="str">
            <v>đầu</v>
          </cell>
          <cell r="H5483">
            <v>4588.5</v>
          </cell>
          <cell r="I5483">
            <v>167313.1073026316</v>
          </cell>
        </row>
        <row r="5484">
          <cell r="C5484" t="str">
            <v>Vật liệu</v>
          </cell>
          <cell r="G5484">
            <v>4588.5</v>
          </cell>
        </row>
        <row r="5485">
          <cell r="B5485">
            <v>1</v>
          </cell>
          <cell r="C5485" t="str">
            <v>+ Cồn công nghiệp</v>
          </cell>
          <cell r="D5485" t="str">
            <v>kg</v>
          </cell>
          <cell r="E5485">
            <v>0.3</v>
          </cell>
          <cell r="F5485">
            <v>9500</v>
          </cell>
          <cell r="G5485">
            <v>2850</v>
          </cell>
        </row>
        <row r="5486">
          <cell r="B5486">
            <v>9</v>
          </cell>
          <cell r="C5486" t="str">
            <v>+ Giẻ lau</v>
          </cell>
          <cell r="D5486" t="str">
            <v>Kg</v>
          </cell>
          <cell r="E5486">
            <v>0.16</v>
          </cell>
          <cell r="F5486">
            <v>9500</v>
          </cell>
          <cell r="G5486">
            <v>1520</v>
          </cell>
        </row>
        <row r="5487">
          <cell r="B5487">
            <v>137</v>
          </cell>
          <cell r="C5487" t="str">
            <v>Vật liệu khác</v>
          </cell>
          <cell r="D5487" t="str">
            <v>%</v>
          </cell>
          <cell r="E5487">
            <v>5</v>
          </cell>
          <cell r="F5487">
            <v>1500</v>
          </cell>
          <cell r="G5487">
            <v>218.5</v>
          </cell>
        </row>
        <row r="5488">
          <cell r="C5488" t="str">
            <v>Nhân công</v>
          </cell>
          <cell r="G5488">
            <v>167313.1073026316</v>
          </cell>
        </row>
        <row r="5489">
          <cell r="B5489" t="str">
            <v>NC1457</v>
          </cell>
          <cell r="C5489" t="str">
            <v>+ Nhân công bậc 4,5/7</v>
          </cell>
          <cell r="D5489" t="str">
            <v>Công</v>
          </cell>
          <cell r="E5489">
            <v>0.79</v>
          </cell>
          <cell r="F5489">
            <v>211788.74342105264</v>
          </cell>
          <cell r="G5489">
            <v>167313.1073026316</v>
          </cell>
        </row>
        <row r="5490">
          <cell r="A5490" t="str">
            <v>D4.3112</v>
          </cell>
          <cell r="C5490" t="str">
            <v>Làm đầu cáp khô 3-6Kv từ 3 đến 4 ruột, Cáp có tiết diện &lt;= 70mm2</v>
          </cell>
          <cell r="D5490" t="str">
            <v>đầu</v>
          </cell>
          <cell r="H5490">
            <v>4588.5</v>
          </cell>
          <cell r="I5490">
            <v>192727.75651315792</v>
          </cell>
        </row>
        <row r="5491">
          <cell r="C5491" t="str">
            <v>Vật liệu</v>
          </cell>
          <cell r="G5491">
            <v>4588.5</v>
          </cell>
        </row>
        <row r="5492">
          <cell r="B5492">
            <v>1</v>
          </cell>
          <cell r="C5492" t="str">
            <v>+ Cồn công nghiệp</v>
          </cell>
          <cell r="D5492" t="str">
            <v>kg</v>
          </cell>
          <cell r="E5492">
            <v>0.3</v>
          </cell>
          <cell r="F5492">
            <v>9500</v>
          </cell>
          <cell r="G5492">
            <v>2850</v>
          </cell>
        </row>
        <row r="5493">
          <cell r="B5493">
            <v>9</v>
          </cell>
          <cell r="C5493" t="str">
            <v>+ Giẻ lau</v>
          </cell>
          <cell r="D5493" t="str">
            <v>Kg</v>
          </cell>
          <cell r="E5493">
            <v>0.16</v>
          </cell>
          <cell r="F5493">
            <v>9500</v>
          </cell>
          <cell r="G5493">
            <v>1520</v>
          </cell>
        </row>
        <row r="5494">
          <cell r="B5494">
            <v>137</v>
          </cell>
          <cell r="C5494" t="str">
            <v>Vật liệu khác</v>
          </cell>
          <cell r="D5494" t="str">
            <v>%</v>
          </cell>
          <cell r="E5494">
            <v>5</v>
          </cell>
          <cell r="F5494">
            <v>1500</v>
          </cell>
          <cell r="G5494">
            <v>218.5</v>
          </cell>
        </row>
        <row r="5495">
          <cell r="C5495" t="str">
            <v>Nhân công</v>
          </cell>
          <cell r="G5495">
            <v>192727.75651315792</v>
          </cell>
        </row>
        <row r="5496">
          <cell r="B5496" t="str">
            <v>NC1457</v>
          </cell>
          <cell r="C5496" t="str">
            <v>+ Nhân công bậc 4,5/7</v>
          </cell>
          <cell r="D5496" t="str">
            <v>Công</v>
          </cell>
          <cell r="E5496">
            <v>0.91</v>
          </cell>
          <cell r="F5496">
            <v>211788.74342105264</v>
          </cell>
          <cell r="G5496">
            <v>192727.75651315792</v>
          </cell>
        </row>
        <row r="5497">
          <cell r="A5497" t="str">
            <v>D4.3113</v>
          </cell>
          <cell r="C5497" t="str">
            <v>Làm đầu cáp khô 3-6Kv từ 3 đến 4 ruột, Cáp có tiết diện &lt;= 120mm2</v>
          </cell>
          <cell r="D5497" t="str">
            <v>đầu</v>
          </cell>
          <cell r="H5497">
            <v>4987.5</v>
          </cell>
          <cell r="I5497">
            <v>228731.84289473688</v>
          </cell>
        </row>
        <row r="5498">
          <cell r="C5498" t="str">
            <v>Vật liệu</v>
          </cell>
          <cell r="G5498">
            <v>4987.5</v>
          </cell>
        </row>
        <row r="5499">
          <cell r="B5499">
            <v>1</v>
          </cell>
          <cell r="C5499" t="str">
            <v>+ Cồn công nghiệp</v>
          </cell>
          <cell r="D5499" t="str">
            <v>kg</v>
          </cell>
          <cell r="E5499">
            <v>0.3</v>
          </cell>
          <cell r="F5499">
            <v>9500</v>
          </cell>
          <cell r="G5499">
            <v>2850</v>
          </cell>
        </row>
        <row r="5500">
          <cell r="B5500">
            <v>9</v>
          </cell>
          <cell r="C5500" t="str">
            <v>+ Giẻ lau</v>
          </cell>
          <cell r="D5500" t="str">
            <v>Kg</v>
          </cell>
          <cell r="E5500">
            <v>0.2</v>
          </cell>
          <cell r="F5500">
            <v>9500</v>
          </cell>
          <cell r="G5500">
            <v>1900</v>
          </cell>
        </row>
        <row r="5501">
          <cell r="B5501">
            <v>137</v>
          </cell>
          <cell r="C5501" t="str">
            <v>Vật liệu khác</v>
          </cell>
          <cell r="D5501" t="str">
            <v>%</v>
          </cell>
          <cell r="E5501">
            <v>5</v>
          </cell>
          <cell r="F5501">
            <v>1500</v>
          </cell>
          <cell r="G5501">
            <v>237.5</v>
          </cell>
        </row>
        <row r="5502">
          <cell r="C5502" t="str">
            <v>Nhân công</v>
          </cell>
          <cell r="G5502">
            <v>228731.84289473688</v>
          </cell>
        </row>
        <row r="5503">
          <cell r="B5503" t="str">
            <v>NC1457</v>
          </cell>
          <cell r="C5503" t="str">
            <v>+ Nhân công bậc 4,5/7</v>
          </cell>
          <cell r="D5503" t="str">
            <v>Công</v>
          </cell>
          <cell r="E5503">
            <v>1.08</v>
          </cell>
          <cell r="F5503">
            <v>211788.74342105264</v>
          </cell>
          <cell r="G5503">
            <v>228731.84289473688</v>
          </cell>
        </row>
        <row r="5504">
          <cell r="A5504" t="str">
            <v>D4.3114</v>
          </cell>
          <cell r="C5504" t="str">
            <v>Làm đầu cáp khô 3-6Kv từ 3 đến 4 ruột, Cáp có tiết diện &lt;=185mm2</v>
          </cell>
          <cell r="D5504" t="str">
            <v>đầu</v>
          </cell>
          <cell r="H5504">
            <v>5985</v>
          </cell>
          <cell r="I5504">
            <v>241439.16749999998</v>
          </cell>
        </row>
        <row r="5505">
          <cell r="C5505" t="str">
            <v>Vật liệu</v>
          </cell>
          <cell r="G5505">
            <v>5985</v>
          </cell>
        </row>
        <row r="5506">
          <cell r="B5506">
            <v>1</v>
          </cell>
          <cell r="C5506" t="str">
            <v>+ Cồn công nghiệp</v>
          </cell>
          <cell r="D5506" t="str">
            <v>kg</v>
          </cell>
          <cell r="E5506">
            <v>0.4</v>
          </cell>
          <cell r="F5506">
            <v>9500</v>
          </cell>
          <cell r="G5506">
            <v>3800</v>
          </cell>
        </row>
        <row r="5507">
          <cell r="B5507">
            <v>9</v>
          </cell>
          <cell r="C5507" t="str">
            <v>+ Giẻ lau</v>
          </cell>
          <cell r="D5507" t="str">
            <v>Kg</v>
          </cell>
          <cell r="E5507">
            <v>0.2</v>
          </cell>
          <cell r="F5507">
            <v>9500</v>
          </cell>
          <cell r="G5507">
            <v>1900</v>
          </cell>
        </row>
        <row r="5508">
          <cell r="B5508">
            <v>137</v>
          </cell>
          <cell r="C5508" t="str">
            <v>Vật liệu khác</v>
          </cell>
          <cell r="D5508" t="str">
            <v>%</v>
          </cell>
          <cell r="E5508">
            <v>5</v>
          </cell>
          <cell r="F5508">
            <v>1500</v>
          </cell>
          <cell r="G5508">
            <v>285</v>
          </cell>
        </row>
        <row r="5509">
          <cell r="C5509" t="str">
            <v>Nhân công</v>
          </cell>
          <cell r="G5509">
            <v>241439.16749999998</v>
          </cell>
        </row>
        <row r="5510">
          <cell r="B5510" t="str">
            <v>NC1457</v>
          </cell>
          <cell r="C5510" t="str">
            <v>+ Nhân công bậc 4,5/7</v>
          </cell>
          <cell r="D5510" t="str">
            <v>Công</v>
          </cell>
          <cell r="E5510">
            <v>1.1399999999999999</v>
          </cell>
          <cell r="F5510">
            <v>211788.74342105264</v>
          </cell>
          <cell r="G5510">
            <v>241439.16749999998</v>
          </cell>
        </row>
        <row r="5511">
          <cell r="A5511" t="str">
            <v>D4.3115</v>
          </cell>
          <cell r="C5511" t="str">
            <v>Làm đầu cáp khô 3-6Kv từ 3 đến 4 ruột, Cáp có tiết diện &lt;= 240mm2</v>
          </cell>
          <cell r="D5511" t="str">
            <v>đầu</v>
          </cell>
          <cell r="H5511">
            <v>6384</v>
          </cell>
          <cell r="I5511">
            <v>271089.59157894738</v>
          </cell>
        </row>
        <row r="5512">
          <cell r="C5512" t="str">
            <v>Vật liệu</v>
          </cell>
          <cell r="G5512">
            <v>6384</v>
          </cell>
        </row>
        <row r="5513">
          <cell r="B5513">
            <v>1</v>
          </cell>
          <cell r="C5513" t="str">
            <v>+ Cồn công nghiệp</v>
          </cell>
          <cell r="D5513" t="str">
            <v>kg</v>
          </cell>
          <cell r="E5513">
            <v>0.4</v>
          </cell>
          <cell r="F5513">
            <v>9500</v>
          </cell>
          <cell r="G5513">
            <v>3800</v>
          </cell>
        </row>
        <row r="5514">
          <cell r="B5514">
            <v>9</v>
          </cell>
          <cell r="C5514" t="str">
            <v>+ Giẻ lau</v>
          </cell>
          <cell r="D5514" t="str">
            <v>Kg</v>
          </cell>
          <cell r="E5514">
            <v>0.24</v>
          </cell>
          <cell r="F5514">
            <v>9500</v>
          </cell>
          <cell r="G5514">
            <v>2280</v>
          </cell>
        </row>
        <row r="5515">
          <cell r="B5515">
            <v>137</v>
          </cell>
          <cell r="C5515" t="str">
            <v>Vật liệu khác</v>
          </cell>
          <cell r="D5515" t="str">
            <v>%</v>
          </cell>
          <cell r="E5515">
            <v>5</v>
          </cell>
          <cell r="F5515">
            <v>1500</v>
          </cell>
          <cell r="G5515">
            <v>304</v>
          </cell>
        </row>
        <row r="5516">
          <cell r="C5516" t="str">
            <v>Nhân công</v>
          </cell>
          <cell r="G5516">
            <v>271089.59157894738</v>
          </cell>
        </row>
        <row r="5517">
          <cell r="B5517" t="str">
            <v>NC1457</v>
          </cell>
          <cell r="C5517" t="str">
            <v>+ Nhân công bậc 4,5/7</v>
          </cell>
          <cell r="D5517" t="str">
            <v>Công</v>
          </cell>
          <cell r="E5517">
            <v>1.28</v>
          </cell>
          <cell r="F5517">
            <v>211788.74342105264</v>
          </cell>
          <cell r="G5517">
            <v>271089.59157894738</v>
          </cell>
        </row>
        <row r="5518">
          <cell r="A5518" t="str">
            <v>D4.3116</v>
          </cell>
          <cell r="C5518" t="str">
            <v>Làm đầu cáp khô 3-6Kv từ 3 đến 4 ruột, Cáp có tiết diện &lt;=300mm2</v>
          </cell>
          <cell r="D5518" t="str">
            <v>đầu</v>
          </cell>
          <cell r="H5518">
            <v>6384</v>
          </cell>
          <cell r="I5518">
            <v>304975.7905263158</v>
          </cell>
        </row>
        <row r="5519">
          <cell r="C5519" t="str">
            <v>Vật liệu</v>
          </cell>
          <cell r="G5519">
            <v>6384</v>
          </cell>
        </row>
        <row r="5520">
          <cell r="B5520">
            <v>1</v>
          </cell>
          <cell r="C5520" t="str">
            <v>+ Cồn công nghiệp</v>
          </cell>
          <cell r="D5520" t="str">
            <v>kg</v>
          </cell>
          <cell r="E5520">
            <v>0.4</v>
          </cell>
          <cell r="F5520">
            <v>9500</v>
          </cell>
          <cell r="G5520">
            <v>3800</v>
          </cell>
        </row>
        <row r="5521">
          <cell r="B5521">
            <v>9</v>
          </cell>
          <cell r="C5521" t="str">
            <v>+ Giẻ lau</v>
          </cell>
          <cell r="D5521" t="str">
            <v>Kg</v>
          </cell>
          <cell r="E5521">
            <v>0.24</v>
          </cell>
          <cell r="F5521">
            <v>9500</v>
          </cell>
          <cell r="G5521">
            <v>2280</v>
          </cell>
        </row>
        <row r="5522">
          <cell r="B5522">
            <v>137</v>
          </cell>
          <cell r="C5522" t="str">
            <v>Vật liệu khác</v>
          </cell>
          <cell r="D5522" t="str">
            <v>%</v>
          </cell>
          <cell r="E5522">
            <v>5</v>
          </cell>
          <cell r="F5522">
            <v>1500</v>
          </cell>
          <cell r="G5522">
            <v>304</v>
          </cell>
        </row>
        <row r="5523">
          <cell r="C5523" t="str">
            <v>Nhân công</v>
          </cell>
          <cell r="G5523">
            <v>304975.7905263158</v>
          </cell>
        </row>
        <row r="5524">
          <cell r="B5524" t="str">
            <v>NC1457</v>
          </cell>
          <cell r="C5524" t="str">
            <v>+ Nhân công bậc 4,5/7</v>
          </cell>
          <cell r="D5524" t="str">
            <v>Công</v>
          </cell>
          <cell r="E5524">
            <v>1.44</v>
          </cell>
          <cell r="F5524">
            <v>211788.74342105264</v>
          </cell>
          <cell r="G5524">
            <v>304975.7905263158</v>
          </cell>
        </row>
        <row r="5525">
          <cell r="A5525" t="str">
            <v>D4.3117</v>
          </cell>
          <cell r="C5525" t="str">
            <v>Làm đầu cáp khô 3-6Kv từ 3 đến 4 ruột, Cáp có tiết diện &lt;=400mm2</v>
          </cell>
          <cell r="D5525" t="str">
            <v>đầu</v>
          </cell>
          <cell r="H5525">
            <v>7880.25</v>
          </cell>
          <cell r="I5525">
            <v>366394.52611842105</v>
          </cell>
        </row>
        <row r="5526">
          <cell r="C5526" t="str">
            <v>Vật liệu</v>
          </cell>
          <cell r="G5526">
            <v>7880.25</v>
          </cell>
        </row>
        <row r="5527">
          <cell r="B5527">
            <v>1</v>
          </cell>
          <cell r="C5527" t="str">
            <v>+ Cồn công nghiệp</v>
          </cell>
          <cell r="D5527" t="str">
            <v>kg</v>
          </cell>
          <cell r="E5527">
            <v>0.5</v>
          </cell>
          <cell r="F5527">
            <v>9500</v>
          </cell>
          <cell r="G5527">
            <v>4750</v>
          </cell>
        </row>
        <row r="5528">
          <cell r="B5528">
            <v>9</v>
          </cell>
          <cell r="C5528" t="str">
            <v>+ Giẻ lau</v>
          </cell>
          <cell r="D5528" t="str">
            <v>Kg</v>
          </cell>
          <cell r="E5528">
            <v>0.28999999999999998</v>
          </cell>
          <cell r="F5528">
            <v>9500</v>
          </cell>
          <cell r="G5528">
            <v>2755</v>
          </cell>
        </row>
        <row r="5529">
          <cell r="B5529">
            <v>137</v>
          </cell>
          <cell r="C5529" t="str">
            <v>Vật liệu khác</v>
          </cell>
          <cell r="D5529" t="str">
            <v>%</v>
          </cell>
          <cell r="E5529">
            <v>5</v>
          </cell>
          <cell r="F5529">
            <v>1500</v>
          </cell>
          <cell r="G5529">
            <v>375.25</v>
          </cell>
        </row>
        <row r="5530">
          <cell r="C5530" t="str">
            <v>Nhân công</v>
          </cell>
          <cell r="G5530">
            <v>366394.52611842105</v>
          </cell>
        </row>
        <row r="5531">
          <cell r="B5531" t="str">
            <v>NC1457</v>
          </cell>
          <cell r="C5531" t="str">
            <v>+ Nhân công bậc 4,5/7</v>
          </cell>
          <cell r="D5531" t="str">
            <v>Công</v>
          </cell>
          <cell r="E5531">
            <v>1.73</v>
          </cell>
          <cell r="F5531">
            <v>211788.74342105264</v>
          </cell>
          <cell r="G5531">
            <v>366394.52611842105</v>
          </cell>
        </row>
        <row r="5532">
          <cell r="A5532" t="str">
            <v>D4.3121</v>
          </cell>
          <cell r="C5532" t="str">
            <v>Làm đầu cáp khô 3-6Kv, Phễu cáp bằng tôn, Cáp có tiết diện &lt;=35mm2</v>
          </cell>
          <cell r="D5532" t="str">
            <v>1 đầu 3 pha</v>
          </cell>
          <cell r="H5532">
            <v>117712.14</v>
          </cell>
          <cell r="I5532">
            <v>302857.90309210529</v>
          </cell>
        </row>
        <row r="5533">
          <cell r="C5533" t="str">
            <v>Vật liệu</v>
          </cell>
          <cell r="G5533">
            <v>117712.14</v>
          </cell>
        </row>
        <row r="5534">
          <cell r="B5534">
            <v>115</v>
          </cell>
          <cell r="C5534" t="str">
            <v>+ Phễu cáp bằng tôn loại =&lt;35mm2</v>
          </cell>
          <cell r="D5534" t="str">
            <v>cái</v>
          </cell>
          <cell r="E5534">
            <v>1</v>
          </cell>
          <cell r="F5534">
            <v>0</v>
          </cell>
          <cell r="G5534">
            <v>0</v>
          </cell>
        </row>
        <row r="5535">
          <cell r="B5535">
            <v>28</v>
          </cell>
          <cell r="C5535" t="str">
            <v>+ Coliê sắt</v>
          </cell>
          <cell r="D5535" t="str">
            <v>bộ</v>
          </cell>
          <cell r="E5535">
            <v>2</v>
          </cell>
          <cell r="F5535">
            <v>5000</v>
          </cell>
          <cell r="G5535">
            <v>10000</v>
          </cell>
        </row>
        <row r="5536">
          <cell r="B5536">
            <v>114</v>
          </cell>
          <cell r="C5536" t="str">
            <v>+ Dây đồng 25mm2</v>
          </cell>
          <cell r="D5536" t="str">
            <v>m</v>
          </cell>
          <cell r="E5536">
            <v>1</v>
          </cell>
          <cell r="F5536">
            <v>69454</v>
          </cell>
          <cell r="G5536">
            <v>69454</v>
          </cell>
        </row>
        <row r="5537">
          <cell r="B5537">
            <v>35</v>
          </cell>
          <cell r="C5537" t="str">
            <v>+ Chất cách điện</v>
          </cell>
          <cell r="D5537" t="str">
            <v>kg</v>
          </cell>
          <cell r="E5537">
            <v>1</v>
          </cell>
          <cell r="F5537">
            <v>15450</v>
          </cell>
          <cell r="G5537">
            <v>15450</v>
          </cell>
        </row>
        <row r="5538">
          <cell r="B5538">
            <v>25</v>
          </cell>
          <cell r="C5538" t="str">
            <v>+ Băng vải nhựa, ni lông ( băng dính )</v>
          </cell>
          <cell r="D5538" t="str">
            <v>cuộn</v>
          </cell>
          <cell r="E5538">
            <v>0.4</v>
          </cell>
          <cell r="F5538">
            <v>8000</v>
          </cell>
          <cell r="G5538">
            <v>3200</v>
          </cell>
        </row>
        <row r="5539">
          <cell r="B5539">
            <v>3</v>
          </cell>
          <cell r="C5539" t="str">
            <v>+ Xăng</v>
          </cell>
          <cell r="D5539" t="str">
            <v>kg</v>
          </cell>
          <cell r="E5539">
            <v>0.4</v>
          </cell>
          <cell r="F5539">
            <v>18382</v>
          </cell>
          <cell r="G5539">
            <v>7352.8</v>
          </cell>
        </row>
        <row r="5540">
          <cell r="B5540">
            <v>1</v>
          </cell>
          <cell r="C5540" t="str">
            <v>+ Cồn công nghiệp</v>
          </cell>
          <cell r="D5540" t="str">
            <v>kg</v>
          </cell>
          <cell r="E5540">
            <v>0.5</v>
          </cell>
          <cell r="F5540">
            <v>9500</v>
          </cell>
          <cell r="G5540">
            <v>4750</v>
          </cell>
        </row>
        <row r="5541">
          <cell r="B5541">
            <v>9</v>
          </cell>
          <cell r="C5541" t="str">
            <v>+ Giẻ lau</v>
          </cell>
          <cell r="D5541" t="str">
            <v>Kg</v>
          </cell>
          <cell r="E5541">
            <v>0.2</v>
          </cell>
          <cell r="F5541">
            <v>9500</v>
          </cell>
          <cell r="G5541">
            <v>1900</v>
          </cell>
        </row>
        <row r="5542">
          <cell r="B5542">
            <v>137</v>
          </cell>
          <cell r="C5542" t="str">
            <v>Vật liệu khác</v>
          </cell>
          <cell r="D5542" t="str">
            <v>%</v>
          </cell>
          <cell r="E5542">
            <v>5</v>
          </cell>
          <cell r="F5542">
            <v>1500</v>
          </cell>
          <cell r="G5542">
            <v>5605.34</v>
          </cell>
        </row>
        <row r="5543">
          <cell r="C5543" t="str">
            <v>Nhân công</v>
          </cell>
          <cell r="G5543">
            <v>302857.90309210529</v>
          </cell>
        </row>
        <row r="5544">
          <cell r="B5544" t="str">
            <v>NC1457</v>
          </cell>
          <cell r="C5544" t="str">
            <v>+ Nhân công bậc 4,5/7</v>
          </cell>
          <cell r="D5544" t="str">
            <v>Công</v>
          </cell>
          <cell r="E5544">
            <v>1.43</v>
          </cell>
          <cell r="F5544">
            <v>211788.74342105264</v>
          </cell>
          <cell r="G5544">
            <v>302857.90309210529</v>
          </cell>
        </row>
        <row r="5545">
          <cell r="A5545" t="str">
            <v>D4.3122</v>
          </cell>
          <cell r="C5545" t="str">
            <v>Làm đầu cáp khô 3-6Kv, Phễu cáp bằng tôn, Cáp có tiết diện &lt;=70mm2</v>
          </cell>
          <cell r="D5545" t="str">
            <v>1 đầu 3 pha</v>
          </cell>
          <cell r="H5545">
            <v>140836.28999999998</v>
          </cell>
          <cell r="I5545">
            <v>351569.31407894735</v>
          </cell>
        </row>
        <row r="5546">
          <cell r="C5546" t="str">
            <v>Vật liệu</v>
          </cell>
          <cell r="G5546">
            <v>140836.28999999998</v>
          </cell>
        </row>
        <row r="5547">
          <cell r="B5547">
            <v>16</v>
          </cell>
          <cell r="C5547" t="str">
            <v>+ Phễu cáp bằng tôn loại =&lt;70mm2</v>
          </cell>
          <cell r="D5547" t="str">
            <v>cái</v>
          </cell>
          <cell r="E5547">
            <v>1</v>
          </cell>
          <cell r="F5547">
            <v>12753</v>
          </cell>
          <cell r="G5547">
            <v>12753</v>
          </cell>
        </row>
        <row r="5548">
          <cell r="B5548">
            <v>28</v>
          </cell>
          <cell r="C5548" t="str">
            <v>+ Coliê sắt</v>
          </cell>
          <cell r="D5548" t="str">
            <v>bộ</v>
          </cell>
          <cell r="E5548">
            <v>2</v>
          </cell>
          <cell r="F5548">
            <v>5000</v>
          </cell>
          <cell r="G5548">
            <v>10000</v>
          </cell>
        </row>
        <row r="5549">
          <cell r="B5549">
            <v>114</v>
          </cell>
          <cell r="C5549" t="str">
            <v>+ Dây đồng 25mm2</v>
          </cell>
          <cell r="D5549" t="str">
            <v>m</v>
          </cell>
          <cell r="E5549">
            <v>1</v>
          </cell>
          <cell r="F5549">
            <v>69454</v>
          </cell>
          <cell r="G5549">
            <v>69454</v>
          </cell>
        </row>
        <row r="5550">
          <cell r="B5550">
            <v>35</v>
          </cell>
          <cell r="C5550" t="str">
            <v>+ Chất cách điện</v>
          </cell>
          <cell r="D5550" t="str">
            <v>kg</v>
          </cell>
          <cell r="E5550">
            <v>1.6</v>
          </cell>
          <cell r="F5550">
            <v>15450</v>
          </cell>
          <cell r="G5550">
            <v>24720</v>
          </cell>
        </row>
        <row r="5551">
          <cell r="B5551">
            <v>25</v>
          </cell>
          <cell r="C5551" t="str">
            <v>+ Băng vải nhựa, ni lông ( băng dính )</v>
          </cell>
          <cell r="D5551" t="str">
            <v>cuộn</v>
          </cell>
          <cell r="E5551">
            <v>0.4</v>
          </cell>
          <cell r="F5551">
            <v>8000</v>
          </cell>
          <cell r="G5551">
            <v>3200</v>
          </cell>
        </row>
        <row r="5552">
          <cell r="B5552">
            <v>3</v>
          </cell>
          <cell r="C5552" t="str">
            <v>+ Xăng</v>
          </cell>
          <cell r="D5552" t="str">
            <v>kg</v>
          </cell>
          <cell r="E5552">
            <v>0.4</v>
          </cell>
          <cell r="F5552">
            <v>18382</v>
          </cell>
          <cell r="G5552">
            <v>7352.8</v>
          </cell>
        </row>
        <row r="5553">
          <cell r="B5553">
            <v>1</v>
          </cell>
          <cell r="C5553" t="str">
            <v>+ Cồn công nghiệp</v>
          </cell>
          <cell r="D5553" t="str">
            <v>kg</v>
          </cell>
          <cell r="E5553">
            <v>0.5</v>
          </cell>
          <cell r="F5553">
            <v>9500</v>
          </cell>
          <cell r="G5553">
            <v>4750</v>
          </cell>
        </row>
        <row r="5554">
          <cell r="B5554">
            <v>9</v>
          </cell>
          <cell r="C5554" t="str">
            <v>+ Giẻ lau</v>
          </cell>
          <cell r="D5554" t="str">
            <v>Kg</v>
          </cell>
          <cell r="E5554">
            <v>0.2</v>
          </cell>
          <cell r="F5554">
            <v>9500</v>
          </cell>
          <cell r="G5554">
            <v>1900</v>
          </cell>
        </row>
        <row r="5555">
          <cell r="B5555">
            <v>137</v>
          </cell>
          <cell r="C5555" t="str">
            <v>Vật liệu khác</v>
          </cell>
          <cell r="D5555" t="str">
            <v>%</v>
          </cell>
          <cell r="E5555">
            <v>5</v>
          </cell>
          <cell r="F5555">
            <v>1500</v>
          </cell>
          <cell r="G5555">
            <v>6706.49</v>
          </cell>
        </row>
        <row r="5556">
          <cell r="C5556" t="str">
            <v>Nhân công</v>
          </cell>
          <cell r="G5556">
            <v>351569.31407894735</v>
          </cell>
        </row>
        <row r="5557">
          <cell r="B5557" t="str">
            <v>NC1457</v>
          </cell>
          <cell r="C5557" t="str">
            <v>+ Nhân công bậc 4,5/7</v>
          </cell>
          <cell r="D5557" t="str">
            <v>Công</v>
          </cell>
          <cell r="E5557">
            <v>1.66</v>
          </cell>
          <cell r="F5557">
            <v>211788.74342105264</v>
          </cell>
          <cell r="G5557">
            <v>351569.31407894735</v>
          </cell>
        </row>
        <row r="5558">
          <cell r="A5558" t="str">
            <v>D4.3123</v>
          </cell>
          <cell r="C5558" t="str">
            <v>Làm đầu cáp khô 3-6Kv, Phễu cáp bằng tôn, Cáp có tiết diện &lt;=120mm2</v>
          </cell>
          <cell r="D5558" t="str">
            <v>1 đầu 3 pha</v>
          </cell>
          <cell r="H5558">
            <v>147405.09</v>
          </cell>
          <cell r="I5558">
            <v>453227.91092105268</v>
          </cell>
        </row>
        <row r="5559">
          <cell r="C5559" t="str">
            <v>Vật liệu</v>
          </cell>
          <cell r="G5559">
            <v>147405.09</v>
          </cell>
        </row>
        <row r="5560">
          <cell r="B5560">
            <v>17</v>
          </cell>
          <cell r="C5560" t="str">
            <v>+ Phễu cáp bằng tôn loại =&lt;120mm2</v>
          </cell>
          <cell r="D5560" t="str">
            <v>cái</v>
          </cell>
          <cell r="E5560">
            <v>1</v>
          </cell>
          <cell r="F5560">
            <v>14644</v>
          </cell>
          <cell r="G5560">
            <v>14644</v>
          </cell>
        </row>
        <row r="5561">
          <cell r="B5561">
            <v>28</v>
          </cell>
          <cell r="C5561" t="str">
            <v>+ Coliê sắt</v>
          </cell>
          <cell r="D5561" t="str">
            <v>bộ</v>
          </cell>
          <cell r="E5561">
            <v>2</v>
          </cell>
          <cell r="F5561">
            <v>5000</v>
          </cell>
          <cell r="G5561">
            <v>10000</v>
          </cell>
        </row>
        <row r="5562">
          <cell r="B5562">
            <v>114</v>
          </cell>
          <cell r="C5562" t="str">
            <v>+ Dây đồng 25mm2</v>
          </cell>
          <cell r="D5562" t="str">
            <v>m</v>
          </cell>
          <cell r="E5562">
            <v>1</v>
          </cell>
          <cell r="F5562">
            <v>69454</v>
          </cell>
          <cell r="G5562">
            <v>69454</v>
          </cell>
        </row>
        <row r="5563">
          <cell r="B5563">
            <v>35</v>
          </cell>
          <cell r="C5563" t="str">
            <v>+ Chất cách điện</v>
          </cell>
          <cell r="D5563" t="str">
            <v>kg</v>
          </cell>
          <cell r="E5563">
            <v>1.8</v>
          </cell>
          <cell r="F5563">
            <v>15450</v>
          </cell>
          <cell r="G5563">
            <v>27810</v>
          </cell>
        </row>
        <row r="5564">
          <cell r="B5564">
            <v>25</v>
          </cell>
          <cell r="C5564" t="str">
            <v>+ Băng vải nhựa, ni lông ( băng dính )</v>
          </cell>
          <cell r="D5564" t="str">
            <v>cuộn</v>
          </cell>
          <cell r="E5564">
            <v>0.5</v>
          </cell>
          <cell r="F5564">
            <v>8000</v>
          </cell>
          <cell r="G5564">
            <v>4000</v>
          </cell>
        </row>
        <row r="5565">
          <cell r="B5565">
            <v>3</v>
          </cell>
          <cell r="C5565" t="str">
            <v>+ Xăng</v>
          </cell>
          <cell r="D5565" t="str">
            <v>kg</v>
          </cell>
          <cell r="E5565">
            <v>0.4</v>
          </cell>
          <cell r="F5565">
            <v>18382</v>
          </cell>
          <cell r="G5565">
            <v>7352.8</v>
          </cell>
        </row>
        <row r="5566">
          <cell r="B5566">
            <v>1</v>
          </cell>
          <cell r="C5566" t="str">
            <v>+ Cồn công nghiệp</v>
          </cell>
          <cell r="D5566" t="str">
            <v>kg</v>
          </cell>
          <cell r="E5566">
            <v>0.5</v>
          </cell>
          <cell r="F5566">
            <v>9500</v>
          </cell>
          <cell r="G5566">
            <v>4750</v>
          </cell>
        </row>
        <row r="5567">
          <cell r="B5567">
            <v>9</v>
          </cell>
          <cell r="C5567" t="str">
            <v>+ Giẻ lau</v>
          </cell>
          <cell r="D5567" t="str">
            <v>Kg</v>
          </cell>
          <cell r="E5567">
            <v>0.25</v>
          </cell>
          <cell r="F5567">
            <v>9500</v>
          </cell>
          <cell r="G5567">
            <v>2375</v>
          </cell>
        </row>
        <row r="5568">
          <cell r="B5568">
            <v>137</v>
          </cell>
          <cell r="C5568" t="str">
            <v>Vật liệu khác</v>
          </cell>
          <cell r="D5568" t="str">
            <v>%</v>
          </cell>
          <cell r="E5568">
            <v>5</v>
          </cell>
          <cell r="F5568">
            <v>1500</v>
          </cell>
          <cell r="G5568">
            <v>7019.29</v>
          </cell>
        </row>
        <row r="5569">
          <cell r="C5569" t="str">
            <v>Nhân công</v>
          </cell>
          <cell r="G5569">
            <v>453227.91092105268</v>
          </cell>
        </row>
        <row r="5570">
          <cell r="B5570" t="str">
            <v>NC1457</v>
          </cell>
          <cell r="C5570" t="str">
            <v>+ Nhân công bậc 4,5/7</v>
          </cell>
          <cell r="D5570" t="str">
            <v>Công</v>
          </cell>
          <cell r="E5570">
            <v>2.14</v>
          </cell>
          <cell r="F5570">
            <v>211788.74342105264</v>
          </cell>
          <cell r="G5570">
            <v>453227.91092105268</v>
          </cell>
        </row>
        <row r="5571">
          <cell r="A5571" t="str">
            <v>D4.3124</v>
          </cell>
          <cell r="C5571" t="str">
            <v>Làm đầu cáp khô 3-6Kv, Phễu cáp bằng tôn, Cáp có tiết diện &lt;=185mm2</v>
          </cell>
          <cell r="D5571" t="str">
            <v>1 đầu 3 pha</v>
          </cell>
          <cell r="H5571">
            <v>147710.63999999998</v>
          </cell>
          <cell r="I5571">
            <v>552768.62032894732</v>
          </cell>
        </row>
        <row r="5572">
          <cell r="C5572" t="str">
            <v>Vật liệu</v>
          </cell>
          <cell r="G5572">
            <v>147710.63999999998</v>
          </cell>
        </row>
        <row r="5573">
          <cell r="B5573">
            <v>18</v>
          </cell>
          <cell r="C5573" t="str">
            <v>+ Phễu cáp bằng tôn loại =&lt;185mm2</v>
          </cell>
          <cell r="D5573" t="str">
            <v>cái</v>
          </cell>
          <cell r="E5573">
            <v>1</v>
          </cell>
          <cell r="F5573">
            <v>10300</v>
          </cell>
          <cell r="G5573">
            <v>10300</v>
          </cell>
        </row>
        <row r="5574">
          <cell r="B5574">
            <v>28</v>
          </cell>
          <cell r="C5574" t="str">
            <v>+ Coliê sắt</v>
          </cell>
          <cell r="D5574" t="str">
            <v>bộ</v>
          </cell>
          <cell r="E5574">
            <v>2</v>
          </cell>
          <cell r="F5574">
            <v>5000</v>
          </cell>
          <cell r="G5574">
            <v>10000</v>
          </cell>
        </row>
        <row r="5575">
          <cell r="B5575">
            <v>114</v>
          </cell>
          <cell r="C5575" t="str">
            <v>+ Dây đồng 25mm2</v>
          </cell>
          <cell r="D5575" t="str">
            <v>m</v>
          </cell>
          <cell r="E5575">
            <v>1</v>
          </cell>
          <cell r="F5575">
            <v>69454</v>
          </cell>
          <cell r="G5575">
            <v>69454</v>
          </cell>
        </row>
        <row r="5576">
          <cell r="B5576">
            <v>35</v>
          </cell>
          <cell r="C5576" t="str">
            <v>+ Chất cách điện</v>
          </cell>
          <cell r="D5576" t="str">
            <v>kg</v>
          </cell>
          <cell r="E5576">
            <v>2.1</v>
          </cell>
          <cell r="F5576">
            <v>15450</v>
          </cell>
          <cell r="G5576">
            <v>32445</v>
          </cell>
        </row>
        <row r="5577">
          <cell r="B5577">
            <v>25</v>
          </cell>
          <cell r="C5577" t="str">
            <v>+ Băng vải nhựa, ni lông ( băng dính )</v>
          </cell>
          <cell r="D5577" t="str">
            <v>cuộn</v>
          </cell>
          <cell r="E5577">
            <v>0.5</v>
          </cell>
          <cell r="F5577">
            <v>8000</v>
          </cell>
          <cell r="G5577">
            <v>4000</v>
          </cell>
        </row>
        <row r="5578">
          <cell r="B5578">
            <v>3</v>
          </cell>
          <cell r="C5578" t="str">
            <v>+ Xăng</v>
          </cell>
          <cell r="D5578" t="str">
            <v>kg</v>
          </cell>
          <cell r="E5578">
            <v>0.4</v>
          </cell>
          <cell r="F5578">
            <v>18382</v>
          </cell>
          <cell r="G5578">
            <v>7352.8</v>
          </cell>
        </row>
        <row r="5579">
          <cell r="B5579">
            <v>1</v>
          </cell>
          <cell r="C5579" t="str">
            <v>+ Cồn công nghiệp</v>
          </cell>
          <cell r="D5579" t="str">
            <v>kg</v>
          </cell>
          <cell r="E5579">
            <v>0.5</v>
          </cell>
          <cell r="F5579">
            <v>9500</v>
          </cell>
          <cell r="G5579">
            <v>4750</v>
          </cell>
        </row>
        <row r="5580">
          <cell r="B5580">
            <v>9</v>
          </cell>
          <cell r="C5580" t="str">
            <v>+ Giẻ lau</v>
          </cell>
          <cell r="D5580" t="str">
            <v>Kg</v>
          </cell>
          <cell r="E5580">
            <v>0.25</v>
          </cell>
          <cell r="F5580">
            <v>9500</v>
          </cell>
          <cell r="G5580">
            <v>2375</v>
          </cell>
        </row>
        <row r="5581">
          <cell r="B5581">
            <v>137</v>
          </cell>
          <cell r="C5581" t="str">
            <v>Vật liệu khác</v>
          </cell>
          <cell r="D5581" t="str">
            <v>%</v>
          </cell>
          <cell r="E5581">
            <v>5</v>
          </cell>
          <cell r="F5581">
            <v>1500</v>
          </cell>
          <cell r="G5581">
            <v>7033.84</v>
          </cell>
        </row>
        <row r="5582">
          <cell r="C5582" t="str">
            <v>Nhân công</v>
          </cell>
          <cell r="G5582">
            <v>552768.62032894732</v>
          </cell>
        </row>
        <row r="5583">
          <cell r="B5583" t="str">
            <v>NC1457</v>
          </cell>
          <cell r="C5583" t="str">
            <v>+ Nhân công bậc 4,5/7</v>
          </cell>
          <cell r="D5583" t="str">
            <v>Công</v>
          </cell>
          <cell r="E5583">
            <v>2.61</v>
          </cell>
          <cell r="F5583">
            <v>211788.74342105264</v>
          </cell>
          <cell r="G5583">
            <v>552768.62032894732</v>
          </cell>
        </row>
        <row r="5584">
          <cell r="A5584" t="str">
            <v>D4.3125</v>
          </cell>
          <cell r="C5584" t="str">
            <v>Làm đầu cáp khô 3-6Kv, Phễu cáp bằng tôn, Cáp có tiết diện &lt;=240mm2</v>
          </cell>
          <cell r="D5584" t="str">
            <v>1 đầu 3 pha</v>
          </cell>
          <cell r="H5584">
            <v>170590.13999999998</v>
          </cell>
          <cell r="I5584">
            <v>603597.91875000007</v>
          </cell>
        </row>
        <row r="5585">
          <cell r="C5585" t="str">
            <v>Vật liệu</v>
          </cell>
          <cell r="G5585">
            <v>170590.13999999998</v>
          </cell>
        </row>
        <row r="5586">
          <cell r="B5586">
            <v>19</v>
          </cell>
          <cell r="C5586" t="str">
            <v>+ Phễu cáp bằng tôn loại =&lt;240mm2</v>
          </cell>
          <cell r="D5586" t="str">
            <v>cái</v>
          </cell>
          <cell r="E5586">
            <v>1</v>
          </cell>
          <cell r="F5586">
            <v>20000</v>
          </cell>
          <cell r="G5586">
            <v>20000</v>
          </cell>
        </row>
        <row r="5587">
          <cell r="B5587">
            <v>28</v>
          </cell>
          <cell r="C5587" t="str">
            <v>+ Coliê sắt</v>
          </cell>
          <cell r="D5587" t="str">
            <v>bộ</v>
          </cell>
          <cell r="E5587">
            <v>2</v>
          </cell>
          <cell r="F5587">
            <v>5000</v>
          </cell>
          <cell r="G5587">
            <v>10000</v>
          </cell>
        </row>
        <row r="5588">
          <cell r="B5588">
            <v>114</v>
          </cell>
          <cell r="C5588" t="str">
            <v>+ Dây đồng 25mm2</v>
          </cell>
          <cell r="D5588" t="str">
            <v>m</v>
          </cell>
          <cell r="E5588">
            <v>1</v>
          </cell>
          <cell r="F5588">
            <v>69454</v>
          </cell>
          <cell r="G5588">
            <v>69454</v>
          </cell>
        </row>
        <row r="5589">
          <cell r="B5589">
            <v>35</v>
          </cell>
          <cell r="C5589" t="str">
            <v>+ Chất cách điện</v>
          </cell>
          <cell r="D5589" t="str">
            <v>kg</v>
          </cell>
          <cell r="E5589">
            <v>2.8</v>
          </cell>
          <cell r="F5589">
            <v>15450</v>
          </cell>
          <cell r="G5589">
            <v>43260</v>
          </cell>
        </row>
        <row r="5590">
          <cell r="B5590">
            <v>25</v>
          </cell>
          <cell r="C5590" t="str">
            <v>+ Băng vải nhựa, ni lông ( băng dính )</v>
          </cell>
          <cell r="D5590" t="str">
            <v>cuộn</v>
          </cell>
          <cell r="E5590">
            <v>0.6</v>
          </cell>
          <cell r="F5590">
            <v>8000</v>
          </cell>
          <cell r="G5590">
            <v>4800</v>
          </cell>
        </row>
        <row r="5591">
          <cell r="B5591">
            <v>3</v>
          </cell>
          <cell r="C5591" t="str">
            <v>+ Xăng</v>
          </cell>
          <cell r="D5591" t="str">
            <v>kg</v>
          </cell>
          <cell r="E5591">
            <v>0.4</v>
          </cell>
          <cell r="F5591">
            <v>18382</v>
          </cell>
          <cell r="G5591">
            <v>7352.8</v>
          </cell>
        </row>
        <row r="5592">
          <cell r="B5592">
            <v>1</v>
          </cell>
          <cell r="C5592" t="str">
            <v>+ Cồn công nghiệp</v>
          </cell>
          <cell r="D5592" t="str">
            <v>kg</v>
          </cell>
          <cell r="E5592">
            <v>0.5</v>
          </cell>
          <cell r="F5592">
            <v>9500</v>
          </cell>
          <cell r="G5592">
            <v>4750</v>
          </cell>
        </row>
        <row r="5593">
          <cell r="B5593">
            <v>9</v>
          </cell>
          <cell r="C5593" t="str">
            <v>+ Giẻ lau</v>
          </cell>
          <cell r="D5593" t="str">
            <v>Kg</v>
          </cell>
          <cell r="E5593">
            <v>0.3</v>
          </cell>
          <cell r="F5593">
            <v>9500</v>
          </cell>
          <cell r="G5593">
            <v>2850</v>
          </cell>
        </row>
        <row r="5594">
          <cell r="B5594">
            <v>137</v>
          </cell>
          <cell r="C5594" t="str">
            <v>Vật liệu khác</v>
          </cell>
          <cell r="D5594" t="str">
            <v>%</v>
          </cell>
          <cell r="E5594">
            <v>5</v>
          </cell>
          <cell r="F5594">
            <v>1500</v>
          </cell>
          <cell r="G5594">
            <v>8123.34</v>
          </cell>
        </row>
        <row r="5595">
          <cell r="C5595" t="str">
            <v>Nhân công</v>
          </cell>
          <cell r="G5595">
            <v>603597.91875000007</v>
          </cell>
        </row>
        <row r="5596">
          <cell r="B5596" t="str">
            <v>NC1457</v>
          </cell>
          <cell r="C5596" t="str">
            <v>+ Nhân công bậc 4,5/7</v>
          </cell>
          <cell r="D5596" t="str">
            <v>Công</v>
          </cell>
          <cell r="E5596">
            <v>2.85</v>
          </cell>
          <cell r="F5596">
            <v>211788.74342105264</v>
          </cell>
          <cell r="G5596">
            <v>603597.91875000007</v>
          </cell>
        </row>
        <row r="5597">
          <cell r="A5597" t="str">
            <v>D4.3126</v>
          </cell>
          <cell r="C5597" t="str">
            <v>Làm đầu cáp khô 3-6Kv, Phễu cáp bằng tôn, Cáp có tiết diện &lt;=300mm2</v>
          </cell>
          <cell r="D5597" t="str">
            <v>1 đầu 3 pha</v>
          </cell>
          <cell r="H5597">
            <v>156079.13999999998</v>
          </cell>
          <cell r="I5597">
            <v>724317.50250000006</v>
          </cell>
        </row>
        <row r="5598">
          <cell r="C5598" t="str">
            <v>Vật liệu</v>
          </cell>
          <cell r="G5598">
            <v>156079.13999999998</v>
          </cell>
        </row>
        <row r="5599">
          <cell r="B5599">
            <v>120</v>
          </cell>
          <cell r="C5599" t="str">
            <v>+ Phễu cáp bằng tôn loại =&lt;300mm2</v>
          </cell>
          <cell r="D5599" t="str">
            <v>cái</v>
          </cell>
          <cell r="E5599">
            <v>1</v>
          </cell>
          <cell r="F5599">
            <v>0</v>
          </cell>
          <cell r="G5599">
            <v>0</v>
          </cell>
        </row>
        <row r="5600">
          <cell r="B5600">
            <v>28</v>
          </cell>
          <cell r="C5600" t="str">
            <v>+ Coliê sắt</v>
          </cell>
          <cell r="D5600" t="str">
            <v>bộ</v>
          </cell>
          <cell r="E5600">
            <v>2</v>
          </cell>
          <cell r="F5600">
            <v>5000</v>
          </cell>
          <cell r="G5600">
            <v>10000</v>
          </cell>
        </row>
        <row r="5601">
          <cell r="B5601">
            <v>114</v>
          </cell>
          <cell r="C5601" t="str">
            <v>+ Dây đồng 25mm2</v>
          </cell>
          <cell r="D5601" t="str">
            <v>m</v>
          </cell>
          <cell r="E5601">
            <v>1</v>
          </cell>
          <cell r="F5601">
            <v>69454</v>
          </cell>
          <cell r="G5601">
            <v>69454</v>
          </cell>
        </row>
        <row r="5602">
          <cell r="B5602">
            <v>35</v>
          </cell>
          <cell r="C5602" t="str">
            <v>+ Chất cách điện</v>
          </cell>
          <cell r="D5602" t="str">
            <v>kg</v>
          </cell>
          <cell r="E5602">
            <v>3.2</v>
          </cell>
          <cell r="F5602">
            <v>15450</v>
          </cell>
          <cell r="G5602">
            <v>49440</v>
          </cell>
        </row>
        <row r="5603">
          <cell r="B5603">
            <v>25</v>
          </cell>
          <cell r="C5603" t="str">
            <v>+ Băng vải nhựa, ni lông ( băng dính )</v>
          </cell>
          <cell r="D5603" t="str">
            <v>cuộn</v>
          </cell>
          <cell r="E5603">
            <v>0.6</v>
          </cell>
          <cell r="F5603">
            <v>8000</v>
          </cell>
          <cell r="G5603">
            <v>4800</v>
          </cell>
        </row>
        <row r="5604">
          <cell r="B5604">
            <v>3</v>
          </cell>
          <cell r="C5604" t="str">
            <v>+ Xăng</v>
          </cell>
          <cell r="D5604" t="str">
            <v>kg</v>
          </cell>
          <cell r="E5604">
            <v>0.4</v>
          </cell>
          <cell r="F5604">
            <v>18382</v>
          </cell>
          <cell r="G5604">
            <v>7352.8</v>
          </cell>
        </row>
        <row r="5605">
          <cell r="B5605">
            <v>1</v>
          </cell>
          <cell r="C5605" t="str">
            <v>+ Cồn công nghiệp</v>
          </cell>
          <cell r="D5605" t="str">
            <v>kg</v>
          </cell>
          <cell r="E5605">
            <v>0.5</v>
          </cell>
          <cell r="F5605">
            <v>9500</v>
          </cell>
          <cell r="G5605">
            <v>4750</v>
          </cell>
        </row>
        <row r="5606">
          <cell r="B5606">
            <v>9</v>
          </cell>
          <cell r="C5606" t="str">
            <v>+ Giẻ lau</v>
          </cell>
          <cell r="D5606" t="str">
            <v>Kg</v>
          </cell>
          <cell r="E5606">
            <v>0.3</v>
          </cell>
          <cell r="F5606">
            <v>9500</v>
          </cell>
          <cell r="G5606">
            <v>2850</v>
          </cell>
        </row>
        <row r="5607">
          <cell r="B5607">
            <v>137</v>
          </cell>
          <cell r="C5607" t="str">
            <v>Vật liệu khác</v>
          </cell>
          <cell r="D5607" t="str">
            <v>%</v>
          </cell>
          <cell r="E5607">
            <v>5</v>
          </cell>
          <cell r="F5607">
            <v>1500</v>
          </cell>
          <cell r="G5607">
            <v>7432.34</v>
          </cell>
        </row>
        <row r="5608">
          <cell r="C5608" t="str">
            <v>Nhân công</v>
          </cell>
          <cell r="G5608">
            <v>724317.50250000006</v>
          </cell>
        </row>
        <row r="5609">
          <cell r="B5609" t="str">
            <v>NC1457</v>
          </cell>
          <cell r="C5609" t="str">
            <v>+ Nhân công bậc 4,5/7</v>
          </cell>
          <cell r="D5609" t="str">
            <v>Công</v>
          </cell>
          <cell r="E5609">
            <v>3.42</v>
          </cell>
          <cell r="F5609">
            <v>211788.74342105264</v>
          </cell>
          <cell r="G5609">
            <v>724317.50250000006</v>
          </cell>
        </row>
        <row r="5610">
          <cell r="A5610" t="str">
            <v>D4.3127</v>
          </cell>
          <cell r="C5610" t="str">
            <v>Làm đầu cáp khô 3-6Kv, Phễu cáp bằng tôn, Cáp có tiết diện &lt;=400mm2</v>
          </cell>
          <cell r="D5610" t="str">
            <v>1 đầu 3 pha</v>
          </cell>
          <cell r="H5610">
            <v>170609.628</v>
          </cell>
          <cell r="I5610">
            <v>868333.8480263158</v>
          </cell>
        </row>
        <row r="5611">
          <cell r="C5611" t="str">
            <v>Vật liệu</v>
          </cell>
          <cell r="G5611">
            <v>170609.628</v>
          </cell>
        </row>
        <row r="5612">
          <cell r="B5612">
            <v>121</v>
          </cell>
          <cell r="C5612" t="str">
            <v>+ Phễu cáp bằng tôn loại =&lt;400mm2</v>
          </cell>
          <cell r="D5612" t="str">
            <v>cái</v>
          </cell>
          <cell r="E5612">
            <v>1</v>
          </cell>
          <cell r="F5612">
            <v>0</v>
          </cell>
          <cell r="G5612">
            <v>0</v>
          </cell>
        </row>
        <row r="5613">
          <cell r="B5613">
            <v>28</v>
          </cell>
          <cell r="C5613" t="str">
            <v>+ Coliê sắt</v>
          </cell>
          <cell r="D5613" t="str">
            <v>bộ</v>
          </cell>
          <cell r="E5613">
            <v>2</v>
          </cell>
          <cell r="F5613">
            <v>5000</v>
          </cell>
          <cell r="G5613">
            <v>10000</v>
          </cell>
        </row>
        <row r="5614">
          <cell r="B5614">
            <v>114</v>
          </cell>
          <cell r="C5614" t="str">
            <v>+ Dây đồng 25mm2</v>
          </cell>
          <cell r="D5614" t="str">
            <v>m</v>
          </cell>
          <cell r="E5614">
            <v>1</v>
          </cell>
          <cell r="F5614">
            <v>69454</v>
          </cell>
          <cell r="G5614">
            <v>69454</v>
          </cell>
        </row>
        <row r="5615">
          <cell r="B5615">
            <v>35</v>
          </cell>
          <cell r="C5615" t="str">
            <v>+ Chất cách điện</v>
          </cell>
          <cell r="D5615" t="str">
            <v>kg</v>
          </cell>
          <cell r="E5615">
            <v>3.84</v>
          </cell>
          <cell r="F5615">
            <v>15450</v>
          </cell>
          <cell r="G5615">
            <v>59328</v>
          </cell>
        </row>
        <row r="5616">
          <cell r="B5616">
            <v>25</v>
          </cell>
          <cell r="C5616" t="str">
            <v>+ Băng vải nhựa, ni lông ( băng dính )</v>
          </cell>
          <cell r="D5616" t="str">
            <v>cuộn</v>
          </cell>
          <cell r="E5616">
            <v>0.72</v>
          </cell>
          <cell r="F5616">
            <v>8000</v>
          </cell>
          <cell r="G5616">
            <v>5760</v>
          </cell>
        </row>
        <row r="5617">
          <cell r="B5617">
            <v>3</v>
          </cell>
          <cell r="C5617" t="str">
            <v>+ Xăng</v>
          </cell>
          <cell r="D5617" t="str">
            <v>kg</v>
          </cell>
          <cell r="E5617">
            <v>0.48</v>
          </cell>
          <cell r="F5617">
            <v>18382</v>
          </cell>
          <cell r="G5617">
            <v>8823.36</v>
          </cell>
        </row>
        <row r="5618">
          <cell r="B5618">
            <v>1</v>
          </cell>
          <cell r="C5618" t="str">
            <v>+ Cồn công nghiệp</v>
          </cell>
          <cell r="D5618" t="str">
            <v>kg</v>
          </cell>
          <cell r="E5618">
            <v>0.6</v>
          </cell>
          <cell r="F5618">
            <v>9500</v>
          </cell>
          <cell r="G5618">
            <v>5700</v>
          </cell>
        </row>
        <row r="5619">
          <cell r="B5619">
            <v>9</v>
          </cell>
          <cell r="C5619" t="str">
            <v>+ Giẻ lau</v>
          </cell>
          <cell r="D5619" t="str">
            <v>Kg</v>
          </cell>
          <cell r="E5619">
            <v>0.36</v>
          </cell>
          <cell r="F5619">
            <v>9500</v>
          </cell>
          <cell r="G5619">
            <v>3420</v>
          </cell>
        </row>
        <row r="5620">
          <cell r="B5620">
            <v>137</v>
          </cell>
          <cell r="C5620" t="str">
            <v>Vật liệu khác</v>
          </cell>
          <cell r="D5620" t="str">
            <v>%</v>
          </cell>
          <cell r="E5620">
            <v>5</v>
          </cell>
          <cell r="F5620">
            <v>1500</v>
          </cell>
          <cell r="G5620">
            <v>8124.268</v>
          </cell>
        </row>
        <row r="5621">
          <cell r="C5621" t="str">
            <v>Nhân công</v>
          </cell>
          <cell r="G5621">
            <v>868333.8480263158</v>
          </cell>
        </row>
        <row r="5622">
          <cell r="B5622" t="str">
            <v>NC1457</v>
          </cell>
          <cell r="C5622" t="str">
            <v>+ Nhân công bậc 4,5/7</v>
          </cell>
          <cell r="D5622" t="str">
            <v>Công</v>
          </cell>
          <cell r="E5622">
            <v>4.0999999999999996</v>
          </cell>
          <cell r="F5622">
            <v>211788.74342105264</v>
          </cell>
          <cell r="G5622">
            <v>868333.8480263158</v>
          </cell>
        </row>
        <row r="5623">
          <cell r="A5623" t="str">
            <v>D4.3131</v>
          </cell>
          <cell r="C5623" t="str">
            <v>Làm đầu cáp khô 3-6Kv, Phễu cáp bằng gang, Cáp có tiết diện &lt;=35mm2</v>
          </cell>
          <cell r="D5623" t="str">
            <v>1 đầu 3 pha</v>
          </cell>
          <cell r="H5623">
            <v>117712.14</v>
          </cell>
          <cell r="I5623">
            <v>603597.91875000007</v>
          </cell>
        </row>
        <row r="5624">
          <cell r="C5624" t="str">
            <v>Vật liệu</v>
          </cell>
          <cell r="G5624">
            <v>117712.14</v>
          </cell>
        </row>
        <row r="5625">
          <cell r="B5625">
            <v>122</v>
          </cell>
          <cell r="C5625" t="str">
            <v>+ Phễu cáp bằng gang loại =&lt;35mm2</v>
          </cell>
          <cell r="D5625" t="str">
            <v>cái</v>
          </cell>
          <cell r="E5625">
            <v>1</v>
          </cell>
          <cell r="F5625">
            <v>0</v>
          </cell>
          <cell r="G5625">
            <v>0</v>
          </cell>
        </row>
        <row r="5626">
          <cell r="B5626">
            <v>28</v>
          </cell>
          <cell r="C5626" t="str">
            <v>+ Coliê sắt</v>
          </cell>
          <cell r="D5626" t="str">
            <v>bộ</v>
          </cell>
          <cell r="E5626">
            <v>2</v>
          </cell>
          <cell r="F5626">
            <v>5000</v>
          </cell>
          <cell r="G5626">
            <v>10000</v>
          </cell>
        </row>
        <row r="5627">
          <cell r="B5627">
            <v>114</v>
          </cell>
          <cell r="C5627" t="str">
            <v>+ Dây đồng 25mm2</v>
          </cell>
          <cell r="D5627" t="str">
            <v>m</v>
          </cell>
          <cell r="E5627">
            <v>1</v>
          </cell>
          <cell r="F5627">
            <v>69454</v>
          </cell>
          <cell r="G5627">
            <v>69454</v>
          </cell>
        </row>
        <row r="5628">
          <cell r="B5628">
            <v>35</v>
          </cell>
          <cell r="C5628" t="str">
            <v>+ Chất cách điện</v>
          </cell>
          <cell r="D5628" t="str">
            <v>kg</v>
          </cell>
          <cell r="E5628">
            <v>1</v>
          </cell>
          <cell r="F5628">
            <v>15450</v>
          </cell>
          <cell r="G5628">
            <v>15450</v>
          </cell>
        </row>
        <row r="5629">
          <cell r="B5629">
            <v>25</v>
          </cell>
          <cell r="C5629" t="str">
            <v>+ Băng vải nhựa, ni lông ( băng dính )</v>
          </cell>
          <cell r="D5629" t="str">
            <v>cuộn</v>
          </cell>
          <cell r="E5629">
            <v>0.4</v>
          </cell>
          <cell r="F5629">
            <v>8000</v>
          </cell>
          <cell r="G5629">
            <v>3200</v>
          </cell>
        </row>
        <row r="5630">
          <cell r="B5630">
            <v>3</v>
          </cell>
          <cell r="C5630" t="str">
            <v>+ Xăng</v>
          </cell>
          <cell r="D5630" t="str">
            <v>kg</v>
          </cell>
          <cell r="E5630">
            <v>0.4</v>
          </cell>
          <cell r="F5630">
            <v>18382</v>
          </cell>
          <cell r="G5630">
            <v>7352.8</v>
          </cell>
        </row>
        <row r="5631">
          <cell r="B5631">
            <v>1</v>
          </cell>
          <cell r="C5631" t="str">
            <v>+ Cồn công nghiệp</v>
          </cell>
          <cell r="D5631" t="str">
            <v>kg</v>
          </cell>
          <cell r="E5631">
            <v>0.5</v>
          </cell>
          <cell r="F5631">
            <v>9500</v>
          </cell>
          <cell r="G5631">
            <v>4750</v>
          </cell>
        </row>
        <row r="5632">
          <cell r="B5632">
            <v>9</v>
          </cell>
          <cell r="C5632" t="str">
            <v>+ Giẻ lau</v>
          </cell>
          <cell r="D5632" t="str">
            <v>Kg</v>
          </cell>
          <cell r="E5632">
            <v>0.2</v>
          </cell>
          <cell r="F5632">
            <v>9500</v>
          </cell>
          <cell r="G5632">
            <v>1900</v>
          </cell>
        </row>
        <row r="5633">
          <cell r="B5633">
            <v>137</v>
          </cell>
          <cell r="C5633" t="str">
            <v>Vật liệu khác</v>
          </cell>
          <cell r="D5633" t="str">
            <v>%</v>
          </cell>
          <cell r="E5633">
            <v>5</v>
          </cell>
          <cell r="F5633">
            <v>1500</v>
          </cell>
          <cell r="G5633">
            <v>5605.34</v>
          </cell>
        </row>
        <row r="5634">
          <cell r="C5634" t="str">
            <v>Nhân công</v>
          </cell>
          <cell r="G5634">
            <v>603597.91875000007</v>
          </cell>
        </row>
        <row r="5635">
          <cell r="B5635" t="str">
            <v>NC1457</v>
          </cell>
          <cell r="C5635" t="str">
            <v>+ Nhân công bậc 4,5/7</v>
          </cell>
          <cell r="D5635" t="str">
            <v>Công</v>
          </cell>
          <cell r="E5635">
            <v>2.85</v>
          </cell>
          <cell r="F5635">
            <v>211788.74342105264</v>
          </cell>
          <cell r="G5635">
            <v>603597.91875000007</v>
          </cell>
        </row>
        <row r="5636">
          <cell r="A5636" t="str">
            <v>D4.3132</v>
          </cell>
          <cell r="C5636" t="str">
            <v>Làm đầu cáp khô 3-6Kv, Phễu cáp bằng gang, Cáp có tiết diện &lt;=70mm2</v>
          </cell>
          <cell r="D5636" t="str">
            <v>1 đầu 3 pha</v>
          </cell>
          <cell r="H5636">
            <v>127445.64</v>
          </cell>
          <cell r="I5636">
            <v>679841.86638157896</v>
          </cell>
        </row>
        <row r="5637">
          <cell r="C5637" t="str">
            <v>Vật liệu</v>
          </cell>
          <cell r="G5637">
            <v>127445.64</v>
          </cell>
        </row>
        <row r="5638">
          <cell r="B5638">
            <v>123</v>
          </cell>
          <cell r="C5638" t="str">
            <v>+ Phễu cáp bằng gang loại =&lt;70mm2</v>
          </cell>
          <cell r="D5638" t="str">
            <v>cái</v>
          </cell>
          <cell r="E5638">
            <v>1</v>
          </cell>
          <cell r="F5638">
            <v>0</v>
          </cell>
          <cell r="G5638">
            <v>0</v>
          </cell>
        </row>
        <row r="5639">
          <cell r="B5639">
            <v>28</v>
          </cell>
          <cell r="C5639" t="str">
            <v>+ Coliê sắt</v>
          </cell>
          <cell r="D5639" t="str">
            <v>bộ</v>
          </cell>
          <cell r="E5639">
            <v>2</v>
          </cell>
          <cell r="F5639">
            <v>5000</v>
          </cell>
          <cell r="G5639">
            <v>10000</v>
          </cell>
        </row>
        <row r="5640">
          <cell r="B5640">
            <v>114</v>
          </cell>
          <cell r="C5640" t="str">
            <v>+ Dây đồng 25mm2</v>
          </cell>
          <cell r="D5640" t="str">
            <v>m</v>
          </cell>
          <cell r="E5640">
            <v>1</v>
          </cell>
          <cell r="F5640">
            <v>69454</v>
          </cell>
          <cell r="G5640">
            <v>69454</v>
          </cell>
        </row>
        <row r="5641">
          <cell r="B5641">
            <v>35</v>
          </cell>
          <cell r="C5641" t="str">
            <v>+ Chất cách điện</v>
          </cell>
          <cell r="D5641" t="str">
            <v>kg</v>
          </cell>
          <cell r="E5641">
            <v>1.6</v>
          </cell>
          <cell r="F5641">
            <v>15450</v>
          </cell>
          <cell r="G5641">
            <v>24720</v>
          </cell>
        </row>
        <row r="5642">
          <cell r="B5642">
            <v>25</v>
          </cell>
          <cell r="C5642" t="str">
            <v>+ Băng vải nhựa, ni lông ( băng dính )</v>
          </cell>
          <cell r="D5642" t="str">
            <v>cuộn</v>
          </cell>
          <cell r="E5642">
            <v>0.4</v>
          </cell>
          <cell r="F5642">
            <v>8000</v>
          </cell>
          <cell r="G5642">
            <v>3200</v>
          </cell>
        </row>
        <row r="5643">
          <cell r="B5643">
            <v>3</v>
          </cell>
          <cell r="C5643" t="str">
            <v>+ Xăng</v>
          </cell>
          <cell r="D5643" t="str">
            <v>kg</v>
          </cell>
          <cell r="E5643">
            <v>0.4</v>
          </cell>
          <cell r="F5643">
            <v>18382</v>
          </cell>
          <cell r="G5643">
            <v>7352.8</v>
          </cell>
        </row>
        <row r="5644">
          <cell r="B5644">
            <v>1</v>
          </cell>
          <cell r="C5644" t="str">
            <v>+ Cồn công nghiệp</v>
          </cell>
          <cell r="D5644" t="str">
            <v>kg</v>
          </cell>
          <cell r="E5644">
            <v>0.5</v>
          </cell>
          <cell r="F5644">
            <v>9500</v>
          </cell>
          <cell r="G5644">
            <v>4750</v>
          </cell>
        </row>
        <row r="5645">
          <cell r="B5645">
            <v>9</v>
          </cell>
          <cell r="C5645" t="str">
            <v>+ Giẻ lau</v>
          </cell>
          <cell r="D5645" t="str">
            <v>Kg</v>
          </cell>
          <cell r="E5645">
            <v>0.2</v>
          </cell>
          <cell r="F5645">
            <v>9500</v>
          </cell>
          <cell r="G5645">
            <v>1900</v>
          </cell>
        </row>
        <row r="5646">
          <cell r="B5646">
            <v>137</v>
          </cell>
          <cell r="C5646" t="str">
            <v>Vật liệu khác</v>
          </cell>
          <cell r="D5646" t="str">
            <v>%</v>
          </cell>
          <cell r="E5646">
            <v>5</v>
          </cell>
          <cell r="F5646">
            <v>1500</v>
          </cell>
          <cell r="G5646">
            <v>6068.84</v>
          </cell>
        </row>
        <row r="5647">
          <cell r="C5647" t="str">
            <v>Nhân công</v>
          </cell>
          <cell r="G5647">
            <v>679841.86638157896</v>
          </cell>
        </row>
        <row r="5648">
          <cell r="B5648" t="str">
            <v>NC1457</v>
          </cell>
          <cell r="C5648" t="str">
            <v>+ Nhân công bậc 4,5/7</v>
          </cell>
          <cell r="D5648" t="str">
            <v>Công</v>
          </cell>
          <cell r="E5648">
            <v>3.21</v>
          </cell>
          <cell r="F5648">
            <v>211788.74342105264</v>
          </cell>
          <cell r="G5648">
            <v>679841.86638157896</v>
          </cell>
        </row>
        <row r="5649">
          <cell r="A5649" t="str">
            <v>D4.3133</v>
          </cell>
          <cell r="C5649" t="str">
            <v>Làm đầu cáp khô 3-6Kv, Phễu cáp bằng gang, Cáp có tiết diện &lt;=120mm2</v>
          </cell>
          <cell r="D5649" t="str">
            <v>1 đầu 3 pha</v>
          </cell>
          <cell r="H5649">
            <v>132028.89000000001</v>
          </cell>
          <cell r="I5649">
            <v>753967.92657894746</v>
          </cell>
        </row>
        <row r="5650">
          <cell r="C5650" t="str">
            <v>Vật liệu</v>
          </cell>
          <cell r="G5650">
            <v>132028.89000000001</v>
          </cell>
        </row>
        <row r="5651">
          <cell r="B5651">
            <v>124</v>
          </cell>
          <cell r="C5651" t="str">
            <v>+ Phễu cáp bằng gang loại =&lt;120mm2</v>
          </cell>
          <cell r="D5651" t="str">
            <v>cái</v>
          </cell>
          <cell r="E5651">
            <v>1</v>
          </cell>
          <cell r="F5651">
            <v>0</v>
          </cell>
          <cell r="G5651">
            <v>0</v>
          </cell>
        </row>
        <row r="5652">
          <cell r="B5652">
            <v>28</v>
          </cell>
          <cell r="C5652" t="str">
            <v>+ Coliê sắt</v>
          </cell>
          <cell r="D5652" t="str">
            <v>bộ</v>
          </cell>
          <cell r="E5652">
            <v>2</v>
          </cell>
          <cell r="F5652">
            <v>5000</v>
          </cell>
          <cell r="G5652">
            <v>10000</v>
          </cell>
        </row>
        <row r="5653">
          <cell r="B5653">
            <v>114</v>
          </cell>
          <cell r="C5653" t="str">
            <v>+ Dây đồng 25mm2</v>
          </cell>
          <cell r="D5653" t="str">
            <v>m</v>
          </cell>
          <cell r="E5653">
            <v>1</v>
          </cell>
          <cell r="F5653">
            <v>69454</v>
          </cell>
          <cell r="G5653">
            <v>69454</v>
          </cell>
        </row>
        <row r="5654">
          <cell r="B5654">
            <v>35</v>
          </cell>
          <cell r="C5654" t="str">
            <v>+ Chất cách điện</v>
          </cell>
          <cell r="D5654" t="str">
            <v>kg</v>
          </cell>
          <cell r="E5654">
            <v>1.8</v>
          </cell>
          <cell r="F5654">
            <v>15450</v>
          </cell>
          <cell r="G5654">
            <v>27810</v>
          </cell>
        </row>
        <row r="5655">
          <cell r="B5655">
            <v>25</v>
          </cell>
          <cell r="C5655" t="str">
            <v>+ Băng vải nhựa, ni lông ( băng dính )</v>
          </cell>
          <cell r="D5655" t="str">
            <v>cuộn</v>
          </cell>
          <cell r="E5655">
            <v>0.5</v>
          </cell>
          <cell r="F5655">
            <v>8000</v>
          </cell>
          <cell r="G5655">
            <v>4000</v>
          </cell>
        </row>
        <row r="5656">
          <cell r="B5656">
            <v>3</v>
          </cell>
          <cell r="C5656" t="str">
            <v>+ Xăng</v>
          </cell>
          <cell r="D5656" t="str">
            <v>kg</v>
          </cell>
          <cell r="E5656">
            <v>0.4</v>
          </cell>
          <cell r="F5656">
            <v>18382</v>
          </cell>
          <cell r="G5656">
            <v>7352.8</v>
          </cell>
        </row>
        <row r="5657">
          <cell r="B5657">
            <v>1</v>
          </cell>
          <cell r="C5657" t="str">
            <v>+ Cồn công nghiệp</v>
          </cell>
          <cell r="D5657" t="str">
            <v>kg</v>
          </cell>
          <cell r="E5657">
            <v>0.5</v>
          </cell>
          <cell r="F5657">
            <v>9500</v>
          </cell>
          <cell r="G5657">
            <v>4750</v>
          </cell>
        </row>
        <row r="5658">
          <cell r="B5658">
            <v>9</v>
          </cell>
          <cell r="C5658" t="str">
            <v>+ Giẻ lau</v>
          </cell>
          <cell r="D5658" t="str">
            <v>Kg</v>
          </cell>
          <cell r="E5658">
            <v>0.25</v>
          </cell>
          <cell r="F5658">
            <v>9500</v>
          </cell>
          <cell r="G5658">
            <v>2375</v>
          </cell>
        </row>
        <row r="5659">
          <cell r="B5659">
            <v>137</v>
          </cell>
          <cell r="C5659" t="str">
            <v>Vật liệu khác</v>
          </cell>
          <cell r="D5659" t="str">
            <v>%</v>
          </cell>
          <cell r="E5659">
            <v>5</v>
          </cell>
          <cell r="F5659">
            <v>1500</v>
          </cell>
          <cell r="G5659">
            <v>6287.09</v>
          </cell>
        </row>
        <row r="5660">
          <cell r="C5660" t="str">
            <v>Nhân công</v>
          </cell>
          <cell r="G5660">
            <v>753967.92657894746</v>
          </cell>
        </row>
        <row r="5661">
          <cell r="B5661" t="str">
            <v>NC1457</v>
          </cell>
          <cell r="C5661" t="str">
            <v>+ Nhân công bậc 4,5/7</v>
          </cell>
          <cell r="D5661" t="str">
            <v>Công</v>
          </cell>
          <cell r="E5661">
            <v>3.56</v>
          </cell>
          <cell r="F5661">
            <v>211788.74342105264</v>
          </cell>
          <cell r="G5661">
            <v>753967.92657894746</v>
          </cell>
        </row>
        <row r="5662">
          <cell r="A5662" t="str">
            <v>D4.3134</v>
          </cell>
          <cell r="C5662" t="str">
            <v>Làm đầu cáp khô 3-6Kv, Phễu cáp bằng gang, Cáp có tiết diện &lt;=185mm2</v>
          </cell>
          <cell r="D5662" t="str">
            <v>1 đầu 3 pha</v>
          </cell>
          <cell r="H5662">
            <v>136895.64000000001</v>
          </cell>
          <cell r="I5662">
            <v>830211.87421052635</v>
          </cell>
        </row>
        <row r="5663">
          <cell r="C5663" t="str">
            <v>Vật liệu</v>
          </cell>
          <cell r="G5663">
            <v>136895.64000000001</v>
          </cell>
        </row>
        <row r="5664">
          <cell r="B5664">
            <v>125</v>
          </cell>
          <cell r="C5664" t="str">
            <v>+ Phễu cáp bằng gang loại =&lt;185mm2</v>
          </cell>
          <cell r="D5664" t="str">
            <v>cái</v>
          </cell>
          <cell r="E5664">
            <v>1</v>
          </cell>
          <cell r="F5664">
            <v>0</v>
          </cell>
          <cell r="G5664">
            <v>0</v>
          </cell>
        </row>
        <row r="5665">
          <cell r="B5665">
            <v>28</v>
          </cell>
          <cell r="C5665" t="str">
            <v>+ Coliê sắt</v>
          </cell>
          <cell r="D5665" t="str">
            <v>bộ</v>
          </cell>
          <cell r="E5665">
            <v>2</v>
          </cell>
          <cell r="F5665">
            <v>5000</v>
          </cell>
          <cell r="G5665">
            <v>10000</v>
          </cell>
        </row>
        <row r="5666">
          <cell r="B5666">
            <v>114</v>
          </cell>
          <cell r="C5666" t="str">
            <v>+ Dây đồng 25mm2</v>
          </cell>
          <cell r="D5666" t="str">
            <v>m</v>
          </cell>
          <cell r="E5666">
            <v>1</v>
          </cell>
          <cell r="F5666">
            <v>69454</v>
          </cell>
          <cell r="G5666">
            <v>69454</v>
          </cell>
        </row>
        <row r="5667">
          <cell r="B5667">
            <v>35</v>
          </cell>
          <cell r="C5667" t="str">
            <v>+ Chất cách điện</v>
          </cell>
          <cell r="D5667" t="str">
            <v>kg</v>
          </cell>
          <cell r="E5667">
            <v>2.1</v>
          </cell>
          <cell r="F5667">
            <v>15450</v>
          </cell>
          <cell r="G5667">
            <v>32445</v>
          </cell>
        </row>
        <row r="5668">
          <cell r="B5668">
            <v>25</v>
          </cell>
          <cell r="C5668" t="str">
            <v>+ Băng vải nhựa, ni lông ( băng dính )</v>
          </cell>
          <cell r="D5668" t="str">
            <v>cuộn</v>
          </cell>
          <cell r="E5668">
            <v>0.5</v>
          </cell>
          <cell r="F5668">
            <v>8000</v>
          </cell>
          <cell r="G5668">
            <v>4000</v>
          </cell>
        </row>
        <row r="5669">
          <cell r="B5669">
            <v>3</v>
          </cell>
          <cell r="C5669" t="str">
            <v>+ Xăng</v>
          </cell>
          <cell r="D5669" t="str">
            <v>kg</v>
          </cell>
          <cell r="E5669">
            <v>0.4</v>
          </cell>
          <cell r="F5669">
            <v>18382</v>
          </cell>
          <cell r="G5669">
            <v>7352.8</v>
          </cell>
        </row>
        <row r="5670">
          <cell r="B5670">
            <v>1</v>
          </cell>
          <cell r="C5670" t="str">
            <v>+ Cồn công nghiệp</v>
          </cell>
          <cell r="D5670" t="str">
            <v>kg</v>
          </cell>
          <cell r="E5670">
            <v>0.5</v>
          </cell>
          <cell r="F5670">
            <v>9500</v>
          </cell>
          <cell r="G5670">
            <v>4750</v>
          </cell>
        </row>
        <row r="5671">
          <cell r="B5671">
            <v>9</v>
          </cell>
          <cell r="C5671" t="str">
            <v>+ Giẻ lau</v>
          </cell>
          <cell r="D5671" t="str">
            <v>Kg</v>
          </cell>
          <cell r="E5671">
            <v>0.25</v>
          </cell>
          <cell r="F5671">
            <v>9500</v>
          </cell>
          <cell r="G5671">
            <v>2375</v>
          </cell>
        </row>
        <row r="5672">
          <cell r="B5672">
            <v>137</v>
          </cell>
          <cell r="C5672" t="str">
            <v>Vật liệu khác</v>
          </cell>
          <cell r="D5672" t="str">
            <v>%</v>
          </cell>
          <cell r="E5672">
            <v>5</v>
          </cell>
          <cell r="F5672">
            <v>1500</v>
          </cell>
          <cell r="G5672">
            <v>6518.84</v>
          </cell>
        </row>
        <row r="5673">
          <cell r="C5673" t="str">
            <v>Nhân công</v>
          </cell>
          <cell r="G5673">
            <v>830211.87421052635</v>
          </cell>
        </row>
        <row r="5674">
          <cell r="B5674" t="str">
            <v>NC1457</v>
          </cell>
          <cell r="C5674" t="str">
            <v>+ Nhân công bậc 4,5/7</v>
          </cell>
          <cell r="D5674" t="str">
            <v>Công</v>
          </cell>
          <cell r="E5674">
            <v>3.92</v>
          </cell>
          <cell r="F5674">
            <v>211788.74342105264</v>
          </cell>
          <cell r="G5674">
            <v>830211.87421052635</v>
          </cell>
        </row>
        <row r="5675">
          <cell r="A5675" t="str">
            <v>D4.3135</v>
          </cell>
          <cell r="C5675" t="str">
            <v>Làm đầu cáp khô 3-6Kv, Phễu cáp bằng gang, Cáp có tiết diện &lt;=240mm2</v>
          </cell>
          <cell r="D5675" t="str">
            <v>1 đầu 3 pha</v>
          </cell>
          <cell r="H5675">
            <v>149590.13999999998</v>
          </cell>
          <cell r="I5675">
            <v>906455.82184210536</v>
          </cell>
        </row>
        <row r="5676">
          <cell r="C5676" t="str">
            <v>Vật liệu</v>
          </cell>
          <cell r="G5676">
            <v>149590.13999999998</v>
          </cell>
        </row>
        <row r="5677">
          <cell r="B5677">
            <v>126</v>
          </cell>
          <cell r="C5677" t="str">
            <v>+ Phễu cáp bằng gang loại =&lt;240mm2</v>
          </cell>
          <cell r="D5677" t="str">
            <v>cái</v>
          </cell>
          <cell r="E5677">
            <v>1</v>
          </cell>
          <cell r="F5677">
            <v>0</v>
          </cell>
          <cell r="G5677">
            <v>0</v>
          </cell>
        </row>
        <row r="5678">
          <cell r="B5678">
            <v>28</v>
          </cell>
          <cell r="C5678" t="str">
            <v>+ Coliê sắt</v>
          </cell>
          <cell r="D5678" t="str">
            <v>bộ</v>
          </cell>
          <cell r="E5678">
            <v>2</v>
          </cell>
          <cell r="F5678">
            <v>5000</v>
          </cell>
          <cell r="G5678">
            <v>10000</v>
          </cell>
        </row>
        <row r="5679">
          <cell r="B5679">
            <v>114</v>
          </cell>
          <cell r="C5679" t="str">
            <v>+ Dây đồng 25mm2</v>
          </cell>
          <cell r="D5679" t="str">
            <v>m</v>
          </cell>
          <cell r="E5679">
            <v>1</v>
          </cell>
          <cell r="F5679">
            <v>69454</v>
          </cell>
          <cell r="G5679">
            <v>69454</v>
          </cell>
        </row>
        <row r="5680">
          <cell r="B5680">
            <v>35</v>
          </cell>
          <cell r="C5680" t="str">
            <v>+ Chất cách điện</v>
          </cell>
          <cell r="D5680" t="str">
            <v>kg</v>
          </cell>
          <cell r="E5680">
            <v>2.8</v>
          </cell>
          <cell r="F5680">
            <v>15450</v>
          </cell>
          <cell r="G5680">
            <v>43260</v>
          </cell>
        </row>
        <row r="5681">
          <cell r="B5681">
            <v>25</v>
          </cell>
          <cell r="C5681" t="str">
            <v>+ Băng vải nhựa, ni lông ( băng dính )</v>
          </cell>
          <cell r="D5681" t="str">
            <v>cuộn</v>
          </cell>
          <cell r="E5681">
            <v>0.6</v>
          </cell>
          <cell r="F5681">
            <v>8000</v>
          </cell>
          <cell r="G5681">
            <v>4800</v>
          </cell>
        </row>
        <row r="5682">
          <cell r="B5682">
            <v>3</v>
          </cell>
          <cell r="C5682" t="str">
            <v>+ Xăng</v>
          </cell>
          <cell r="D5682" t="str">
            <v>kg</v>
          </cell>
          <cell r="E5682">
            <v>0.4</v>
          </cell>
          <cell r="F5682">
            <v>18382</v>
          </cell>
          <cell r="G5682">
            <v>7352.8</v>
          </cell>
        </row>
        <row r="5683">
          <cell r="B5683">
            <v>1</v>
          </cell>
          <cell r="C5683" t="str">
            <v>+ Cồn công nghiệp</v>
          </cell>
          <cell r="D5683" t="str">
            <v>kg</v>
          </cell>
          <cell r="E5683">
            <v>0.5</v>
          </cell>
          <cell r="F5683">
            <v>9500</v>
          </cell>
          <cell r="G5683">
            <v>4750</v>
          </cell>
        </row>
        <row r="5684">
          <cell r="B5684">
            <v>9</v>
          </cell>
          <cell r="C5684" t="str">
            <v>+ Giẻ lau</v>
          </cell>
          <cell r="D5684" t="str">
            <v>Kg</v>
          </cell>
          <cell r="E5684">
            <v>0.3</v>
          </cell>
          <cell r="F5684">
            <v>9500</v>
          </cell>
          <cell r="G5684">
            <v>2850</v>
          </cell>
        </row>
        <row r="5685">
          <cell r="B5685">
            <v>137</v>
          </cell>
          <cell r="C5685" t="str">
            <v>Vật liệu khác</v>
          </cell>
          <cell r="D5685" t="str">
            <v>%</v>
          </cell>
          <cell r="E5685">
            <v>5</v>
          </cell>
          <cell r="F5685">
            <v>1500</v>
          </cell>
          <cell r="G5685">
            <v>7123.34</v>
          </cell>
        </row>
        <row r="5686">
          <cell r="C5686" t="str">
            <v>Nhân công</v>
          </cell>
          <cell r="G5686">
            <v>906455.82184210536</v>
          </cell>
        </row>
        <row r="5687">
          <cell r="B5687" t="str">
            <v>NC1457</v>
          </cell>
          <cell r="C5687" t="str">
            <v>+ Nhân công bậc 4,5/7</v>
          </cell>
          <cell r="D5687" t="str">
            <v>Công</v>
          </cell>
          <cell r="E5687">
            <v>4.28</v>
          </cell>
          <cell r="F5687">
            <v>211788.74342105264</v>
          </cell>
          <cell r="G5687">
            <v>906455.82184210536</v>
          </cell>
        </row>
        <row r="5688">
          <cell r="A5688" t="str">
            <v>D4.3136</v>
          </cell>
          <cell r="C5688" t="str">
            <v>Làm đầu cáp khô 3-6Kv, Phễu cáp bằng gang, Cáp có tiết diện &lt;=300mm2</v>
          </cell>
          <cell r="D5688" t="str">
            <v>1 đầu 3 pha</v>
          </cell>
          <cell r="H5688">
            <v>156079.13999999998</v>
          </cell>
          <cell r="I5688">
            <v>965756.66999999993</v>
          </cell>
        </row>
        <row r="5689">
          <cell r="C5689" t="str">
            <v>Vật liệu</v>
          </cell>
          <cell r="G5689">
            <v>156079.13999999998</v>
          </cell>
        </row>
        <row r="5690">
          <cell r="B5690">
            <v>127</v>
          </cell>
          <cell r="C5690" t="str">
            <v>+ Phễu cáp bằng gang loại =&lt;300mm2</v>
          </cell>
          <cell r="D5690" t="str">
            <v>cái</v>
          </cell>
          <cell r="E5690">
            <v>1</v>
          </cell>
          <cell r="F5690">
            <v>0</v>
          </cell>
          <cell r="G5690">
            <v>0</v>
          </cell>
        </row>
        <row r="5691">
          <cell r="B5691">
            <v>28</v>
          </cell>
          <cell r="C5691" t="str">
            <v>+ Coliê sắt</v>
          </cell>
          <cell r="D5691" t="str">
            <v>bộ</v>
          </cell>
          <cell r="E5691">
            <v>2</v>
          </cell>
          <cell r="F5691">
            <v>5000</v>
          </cell>
          <cell r="G5691">
            <v>10000</v>
          </cell>
        </row>
        <row r="5692">
          <cell r="B5692">
            <v>114</v>
          </cell>
          <cell r="C5692" t="str">
            <v>+ Dây đồng 25mm2</v>
          </cell>
          <cell r="D5692" t="str">
            <v>m</v>
          </cell>
          <cell r="E5692">
            <v>1</v>
          </cell>
          <cell r="F5692">
            <v>69454</v>
          </cell>
          <cell r="G5692">
            <v>69454</v>
          </cell>
        </row>
        <row r="5693">
          <cell r="B5693">
            <v>35</v>
          </cell>
          <cell r="C5693" t="str">
            <v>+ Chất cách điện</v>
          </cell>
          <cell r="D5693" t="str">
            <v>kg</v>
          </cell>
          <cell r="E5693">
            <v>3.2</v>
          </cell>
          <cell r="F5693">
            <v>15450</v>
          </cell>
          <cell r="G5693">
            <v>49440</v>
          </cell>
        </row>
        <row r="5694">
          <cell r="B5694">
            <v>25</v>
          </cell>
          <cell r="C5694" t="str">
            <v>+ Băng vải nhựa, ni lông ( băng dính )</v>
          </cell>
          <cell r="D5694" t="str">
            <v>cuộn</v>
          </cell>
          <cell r="E5694">
            <v>0.6</v>
          </cell>
          <cell r="F5694">
            <v>8000</v>
          </cell>
          <cell r="G5694">
            <v>4800</v>
          </cell>
        </row>
        <row r="5695">
          <cell r="B5695">
            <v>3</v>
          </cell>
          <cell r="C5695" t="str">
            <v>+ Xăng</v>
          </cell>
          <cell r="D5695" t="str">
            <v>kg</v>
          </cell>
          <cell r="E5695">
            <v>0.4</v>
          </cell>
          <cell r="F5695">
            <v>18382</v>
          </cell>
          <cell r="G5695">
            <v>7352.8</v>
          </cell>
        </row>
        <row r="5696">
          <cell r="B5696">
            <v>1</v>
          </cell>
          <cell r="C5696" t="str">
            <v>+ Cồn công nghiệp</v>
          </cell>
          <cell r="D5696" t="str">
            <v>kg</v>
          </cell>
          <cell r="E5696">
            <v>0.5</v>
          </cell>
          <cell r="F5696">
            <v>9500</v>
          </cell>
          <cell r="G5696">
            <v>4750</v>
          </cell>
        </row>
        <row r="5697">
          <cell r="B5697">
            <v>9</v>
          </cell>
          <cell r="C5697" t="str">
            <v>+ Giẻ lau</v>
          </cell>
          <cell r="D5697" t="str">
            <v>Kg</v>
          </cell>
          <cell r="E5697">
            <v>0.3</v>
          </cell>
          <cell r="F5697">
            <v>9500</v>
          </cell>
          <cell r="G5697">
            <v>2850</v>
          </cell>
        </row>
        <row r="5698">
          <cell r="B5698">
            <v>137</v>
          </cell>
          <cell r="C5698" t="str">
            <v>Vật liệu khác</v>
          </cell>
          <cell r="D5698" t="str">
            <v>%</v>
          </cell>
          <cell r="E5698">
            <v>5</v>
          </cell>
          <cell r="F5698">
            <v>1500</v>
          </cell>
          <cell r="G5698">
            <v>7432.34</v>
          </cell>
        </row>
        <row r="5699">
          <cell r="C5699" t="str">
            <v>Nhân công</v>
          </cell>
          <cell r="G5699">
            <v>965756.66999999993</v>
          </cell>
        </row>
        <row r="5700">
          <cell r="B5700" t="str">
            <v>NC1457</v>
          </cell>
          <cell r="C5700" t="str">
            <v>+ Nhân công bậc 4,5/7</v>
          </cell>
          <cell r="D5700" t="str">
            <v>Công</v>
          </cell>
          <cell r="E5700">
            <v>4.5599999999999996</v>
          </cell>
          <cell r="F5700">
            <v>211788.74342105264</v>
          </cell>
          <cell r="G5700">
            <v>965756.66999999993</v>
          </cell>
        </row>
        <row r="5701">
          <cell r="A5701" t="str">
            <v>D4.3137</v>
          </cell>
          <cell r="C5701" t="str">
            <v>Làm đầu cáp khô 3-6Kv, Phễu cáp bằng gang, Cáp có tiết diện &lt;=400mm2</v>
          </cell>
          <cell r="D5701" t="str">
            <v>1 đầu 3 pha</v>
          </cell>
          <cell r="H5701">
            <v>170609.628</v>
          </cell>
          <cell r="I5701">
            <v>1158484.4265131578</v>
          </cell>
        </row>
        <row r="5702">
          <cell r="C5702" t="str">
            <v>Vật liệu</v>
          </cell>
          <cell r="G5702">
            <v>170609.628</v>
          </cell>
        </row>
        <row r="5703">
          <cell r="B5703">
            <v>128</v>
          </cell>
          <cell r="C5703" t="str">
            <v>+ Phễu cáp bằng gang loại =&lt;400mm2</v>
          </cell>
          <cell r="D5703" t="str">
            <v>cái</v>
          </cell>
          <cell r="E5703">
            <v>1</v>
          </cell>
          <cell r="F5703">
            <v>0</v>
          </cell>
          <cell r="G5703">
            <v>0</v>
          </cell>
        </row>
        <row r="5704">
          <cell r="B5704">
            <v>28</v>
          </cell>
          <cell r="C5704" t="str">
            <v>+ Coliê sắt</v>
          </cell>
          <cell r="D5704" t="str">
            <v>bộ</v>
          </cell>
          <cell r="E5704">
            <v>2</v>
          </cell>
          <cell r="F5704">
            <v>5000</v>
          </cell>
          <cell r="G5704">
            <v>10000</v>
          </cell>
        </row>
        <row r="5705">
          <cell r="B5705">
            <v>114</v>
          </cell>
          <cell r="C5705" t="str">
            <v>+ Dây đồng 25mm2</v>
          </cell>
          <cell r="D5705" t="str">
            <v>m</v>
          </cell>
          <cell r="E5705">
            <v>1</v>
          </cell>
          <cell r="F5705">
            <v>69454</v>
          </cell>
          <cell r="G5705">
            <v>69454</v>
          </cell>
        </row>
        <row r="5706">
          <cell r="B5706">
            <v>35</v>
          </cell>
          <cell r="C5706" t="str">
            <v>+ Chất cách điện</v>
          </cell>
          <cell r="D5706" t="str">
            <v>kg</v>
          </cell>
          <cell r="E5706">
            <v>3.84</v>
          </cell>
          <cell r="F5706">
            <v>15450</v>
          </cell>
          <cell r="G5706">
            <v>59328</v>
          </cell>
        </row>
        <row r="5707">
          <cell r="B5707">
            <v>25</v>
          </cell>
          <cell r="C5707" t="str">
            <v>+ Băng vải nhựa, ni lông ( băng dính )</v>
          </cell>
          <cell r="D5707" t="str">
            <v>cuộn</v>
          </cell>
          <cell r="E5707">
            <v>0.72</v>
          </cell>
          <cell r="F5707">
            <v>8000</v>
          </cell>
          <cell r="G5707">
            <v>5760</v>
          </cell>
        </row>
        <row r="5708">
          <cell r="B5708">
            <v>3</v>
          </cell>
          <cell r="C5708" t="str">
            <v>+ Xăng</v>
          </cell>
          <cell r="D5708" t="str">
            <v>kg</v>
          </cell>
          <cell r="E5708">
            <v>0.48</v>
          </cell>
          <cell r="F5708">
            <v>18382</v>
          </cell>
          <cell r="G5708">
            <v>8823.36</v>
          </cell>
        </row>
        <row r="5709">
          <cell r="B5709">
            <v>1</v>
          </cell>
          <cell r="C5709" t="str">
            <v>+ Cồn công nghiệp</v>
          </cell>
          <cell r="D5709" t="str">
            <v>kg</v>
          </cell>
          <cell r="E5709">
            <v>0.6</v>
          </cell>
          <cell r="F5709">
            <v>9500</v>
          </cell>
          <cell r="G5709">
            <v>5700</v>
          </cell>
        </row>
        <row r="5710">
          <cell r="B5710">
            <v>9</v>
          </cell>
          <cell r="C5710" t="str">
            <v>+ Giẻ lau</v>
          </cell>
          <cell r="D5710" t="str">
            <v>Kg</v>
          </cell>
          <cell r="E5710">
            <v>0.36</v>
          </cell>
          <cell r="F5710">
            <v>9500</v>
          </cell>
          <cell r="G5710">
            <v>3420</v>
          </cell>
        </row>
        <row r="5711">
          <cell r="B5711">
            <v>137</v>
          </cell>
          <cell r="C5711" t="str">
            <v>Vật liệu khác</v>
          </cell>
          <cell r="D5711" t="str">
            <v>%</v>
          </cell>
          <cell r="E5711">
            <v>5</v>
          </cell>
          <cell r="F5711">
            <v>1500</v>
          </cell>
          <cell r="G5711">
            <v>8124.268</v>
          </cell>
        </row>
        <row r="5712">
          <cell r="C5712" t="str">
            <v>Nhân công</v>
          </cell>
          <cell r="G5712">
            <v>1158484.4265131578</v>
          </cell>
        </row>
        <row r="5713">
          <cell r="B5713" t="str">
            <v>NC1457</v>
          </cell>
          <cell r="C5713" t="str">
            <v>+ Nhân công bậc 4,5/7</v>
          </cell>
          <cell r="D5713" t="str">
            <v>Công</v>
          </cell>
          <cell r="E5713">
            <v>5.47</v>
          </cell>
          <cell r="F5713">
            <v>211788.74342105264</v>
          </cell>
          <cell r="G5713">
            <v>1158484.4265131578</v>
          </cell>
        </row>
        <row r="5714">
          <cell r="A5714" t="str">
            <v>D4.3211</v>
          </cell>
          <cell r="C5714" t="str">
            <v>Làm đầu cáp lực 3 đến 6KV 1 pha, Cáp có tiết diện &lt;=35mm2</v>
          </cell>
          <cell r="D5714" t="str">
            <v>đầu</v>
          </cell>
          <cell r="H5714">
            <v>4588.5</v>
          </cell>
          <cell r="I5714">
            <v>192727.75651315792</v>
          </cell>
        </row>
        <row r="5715">
          <cell r="C5715" t="str">
            <v>Vật liệu</v>
          </cell>
          <cell r="G5715">
            <v>4588.5</v>
          </cell>
        </row>
        <row r="5716">
          <cell r="B5716">
            <v>1</v>
          </cell>
          <cell r="C5716" t="str">
            <v>+ Cồn công nghiệp</v>
          </cell>
          <cell r="D5716" t="str">
            <v>kg</v>
          </cell>
          <cell r="E5716">
            <v>0.3</v>
          </cell>
          <cell r="F5716">
            <v>9500</v>
          </cell>
          <cell r="G5716">
            <v>2850</v>
          </cell>
        </row>
        <row r="5717">
          <cell r="B5717">
            <v>9</v>
          </cell>
          <cell r="C5717" t="str">
            <v>+ Giẻ lau</v>
          </cell>
          <cell r="D5717" t="str">
            <v>Kg</v>
          </cell>
          <cell r="E5717">
            <v>0.16</v>
          </cell>
          <cell r="F5717">
            <v>9500</v>
          </cell>
          <cell r="G5717">
            <v>1520</v>
          </cell>
        </row>
        <row r="5718">
          <cell r="B5718">
            <v>137</v>
          </cell>
          <cell r="C5718" t="str">
            <v>Vật liệu khác</v>
          </cell>
          <cell r="D5718" t="str">
            <v>%</v>
          </cell>
          <cell r="E5718">
            <v>5</v>
          </cell>
          <cell r="F5718">
            <v>1500</v>
          </cell>
          <cell r="G5718">
            <v>218.5</v>
          </cell>
        </row>
        <row r="5719">
          <cell r="C5719" t="str">
            <v>Nhân công</v>
          </cell>
          <cell r="G5719">
            <v>192727.75651315792</v>
          </cell>
        </row>
        <row r="5720">
          <cell r="B5720" t="str">
            <v>NC1457</v>
          </cell>
          <cell r="C5720" t="str">
            <v>+ Nhân công bậc 4,5/7</v>
          </cell>
          <cell r="D5720" t="str">
            <v>Công</v>
          </cell>
          <cell r="E5720">
            <v>0.91</v>
          </cell>
          <cell r="F5720">
            <v>211788.74342105264</v>
          </cell>
          <cell r="G5720">
            <v>192727.75651315792</v>
          </cell>
        </row>
        <row r="5721">
          <cell r="A5721" t="str">
            <v>D4.3212</v>
          </cell>
          <cell r="C5721" t="str">
            <v>Làm đầu cáp lực 3 đến 6KV 1 pha, Cáp có tiết diện &lt; =70mm2</v>
          </cell>
          <cell r="D5721" t="str">
            <v>đầu</v>
          </cell>
          <cell r="H5721">
            <v>4588.5</v>
          </cell>
          <cell r="I5721">
            <v>213906.63085526318</v>
          </cell>
        </row>
        <row r="5722">
          <cell r="C5722" t="str">
            <v>Vật liệu</v>
          </cell>
          <cell r="G5722">
            <v>4588.5</v>
          </cell>
        </row>
        <row r="5723">
          <cell r="B5723">
            <v>1</v>
          </cell>
          <cell r="C5723" t="str">
            <v>+ Cồn công nghiệp</v>
          </cell>
          <cell r="D5723" t="str">
            <v>kg</v>
          </cell>
          <cell r="E5723">
            <v>0.3</v>
          </cell>
          <cell r="F5723">
            <v>9500</v>
          </cell>
          <cell r="G5723">
            <v>2850</v>
          </cell>
        </row>
        <row r="5724">
          <cell r="B5724">
            <v>9</v>
          </cell>
          <cell r="C5724" t="str">
            <v>+ Giẻ lau</v>
          </cell>
          <cell r="D5724" t="str">
            <v>Kg</v>
          </cell>
          <cell r="E5724">
            <v>0.16</v>
          </cell>
          <cell r="F5724">
            <v>9500</v>
          </cell>
          <cell r="G5724">
            <v>1520</v>
          </cell>
        </row>
        <row r="5725">
          <cell r="B5725">
            <v>137</v>
          </cell>
          <cell r="C5725" t="str">
            <v>Vật liệu khác</v>
          </cell>
          <cell r="D5725" t="str">
            <v>%</v>
          </cell>
          <cell r="E5725">
            <v>5</v>
          </cell>
          <cell r="F5725">
            <v>1500</v>
          </cell>
          <cell r="G5725">
            <v>218.5</v>
          </cell>
        </row>
        <row r="5726">
          <cell r="C5726" t="str">
            <v>Nhân công</v>
          </cell>
          <cell r="G5726">
            <v>213906.63085526318</v>
          </cell>
        </row>
        <row r="5727">
          <cell r="B5727" t="str">
            <v>NC1457</v>
          </cell>
          <cell r="C5727" t="str">
            <v>+ Nhân công bậc 4,5/7</v>
          </cell>
          <cell r="D5727" t="str">
            <v>Công</v>
          </cell>
          <cell r="E5727">
            <v>1.01</v>
          </cell>
          <cell r="F5727">
            <v>211788.74342105264</v>
          </cell>
          <cell r="G5727">
            <v>213906.63085526318</v>
          </cell>
        </row>
        <row r="5728">
          <cell r="A5728" t="str">
            <v>D4.3213</v>
          </cell>
          <cell r="C5728" t="str">
            <v>Làm đầu cáp lực 3 đến 6KV 1 pha, Cáp có tiết diện &lt; =120mm2</v>
          </cell>
          <cell r="D5728" t="str">
            <v>đầu</v>
          </cell>
          <cell r="H5728">
            <v>5985</v>
          </cell>
          <cell r="I5728">
            <v>237203.39263157899</v>
          </cell>
        </row>
        <row r="5729">
          <cell r="C5729" t="str">
            <v>Vật liệu</v>
          </cell>
          <cell r="G5729">
            <v>5985</v>
          </cell>
        </row>
        <row r="5730">
          <cell r="B5730">
            <v>1</v>
          </cell>
          <cell r="C5730" t="str">
            <v>+ Cồn công nghiệp</v>
          </cell>
          <cell r="D5730" t="str">
            <v>kg</v>
          </cell>
          <cell r="E5730">
            <v>0.4</v>
          </cell>
          <cell r="F5730">
            <v>9500</v>
          </cell>
          <cell r="G5730">
            <v>3800</v>
          </cell>
        </row>
        <row r="5731">
          <cell r="B5731">
            <v>9</v>
          </cell>
          <cell r="C5731" t="str">
            <v>+ Giẻ lau</v>
          </cell>
          <cell r="D5731" t="str">
            <v>Kg</v>
          </cell>
          <cell r="E5731">
            <v>0.2</v>
          </cell>
          <cell r="F5731">
            <v>9500</v>
          </cell>
          <cell r="G5731">
            <v>1900</v>
          </cell>
        </row>
        <row r="5732">
          <cell r="B5732">
            <v>137</v>
          </cell>
          <cell r="C5732" t="str">
            <v>Vật liệu khác</v>
          </cell>
          <cell r="D5732" t="str">
            <v>%</v>
          </cell>
          <cell r="E5732">
            <v>5</v>
          </cell>
          <cell r="F5732">
            <v>1500</v>
          </cell>
          <cell r="G5732">
            <v>285</v>
          </cell>
        </row>
        <row r="5733">
          <cell r="C5733" t="str">
            <v>Nhân công</v>
          </cell>
          <cell r="G5733">
            <v>237203.39263157899</v>
          </cell>
        </row>
        <row r="5734">
          <cell r="B5734" t="str">
            <v>NC1457</v>
          </cell>
          <cell r="C5734" t="str">
            <v>+ Nhân công bậc 4,5/7</v>
          </cell>
          <cell r="D5734" t="str">
            <v>Công</v>
          </cell>
          <cell r="E5734">
            <v>1.1200000000000001</v>
          </cell>
          <cell r="F5734">
            <v>211788.74342105264</v>
          </cell>
          <cell r="G5734">
            <v>237203.39263157899</v>
          </cell>
        </row>
        <row r="5735">
          <cell r="A5735" t="str">
            <v>D4.3214</v>
          </cell>
          <cell r="C5735" t="str">
            <v>Làm đầu cáp lực 3 đến 6KV 1 pha, Cáp có tiết diện &lt;=185mm2</v>
          </cell>
          <cell r="D5735" t="str">
            <v>đầu</v>
          </cell>
          <cell r="H5735">
            <v>5985</v>
          </cell>
          <cell r="I5735">
            <v>277443.25388157897</v>
          </cell>
        </row>
        <row r="5736">
          <cell r="C5736" t="str">
            <v>Vật liệu</v>
          </cell>
          <cell r="G5736">
            <v>5985</v>
          </cell>
        </row>
        <row r="5737">
          <cell r="B5737">
            <v>1</v>
          </cell>
          <cell r="C5737" t="str">
            <v>+ Cồn công nghiệp</v>
          </cell>
          <cell r="D5737" t="str">
            <v>kg</v>
          </cell>
          <cell r="E5737">
            <v>0.4</v>
          </cell>
          <cell r="F5737">
            <v>9500</v>
          </cell>
          <cell r="G5737">
            <v>3800</v>
          </cell>
        </row>
        <row r="5738">
          <cell r="B5738">
            <v>9</v>
          </cell>
          <cell r="C5738" t="str">
            <v>+ Giẻ lau</v>
          </cell>
          <cell r="D5738" t="str">
            <v>Kg</v>
          </cell>
          <cell r="E5738">
            <v>0.2</v>
          </cell>
          <cell r="F5738">
            <v>9500</v>
          </cell>
          <cell r="G5738">
            <v>1900</v>
          </cell>
        </row>
        <row r="5739">
          <cell r="B5739">
            <v>137</v>
          </cell>
          <cell r="C5739" t="str">
            <v>Vật liệu khác</v>
          </cell>
          <cell r="D5739" t="str">
            <v>%</v>
          </cell>
          <cell r="E5739">
            <v>5</v>
          </cell>
          <cell r="F5739">
            <v>1500</v>
          </cell>
          <cell r="G5739">
            <v>285</v>
          </cell>
        </row>
        <row r="5740">
          <cell r="C5740" t="str">
            <v>Nhân công</v>
          </cell>
          <cell r="G5740">
            <v>277443.25388157897</v>
          </cell>
        </row>
        <row r="5741">
          <cell r="B5741" t="str">
            <v>NC1457</v>
          </cell>
          <cell r="C5741" t="str">
            <v>+ Nhân công bậc 4,5/7</v>
          </cell>
          <cell r="D5741" t="str">
            <v>Công</v>
          </cell>
          <cell r="E5741">
            <v>1.31</v>
          </cell>
          <cell r="F5741">
            <v>211788.74342105264</v>
          </cell>
          <cell r="G5741">
            <v>277443.25388157897</v>
          </cell>
        </row>
        <row r="5742">
          <cell r="A5742" t="str">
            <v>D4.3215</v>
          </cell>
          <cell r="C5742" t="str">
            <v>Làm đầu cáp lực 3 đến 6KV 1 pha, Cáp có tiết diện &lt;= 240mm2</v>
          </cell>
          <cell r="D5742" t="str">
            <v>đầu</v>
          </cell>
          <cell r="H5742">
            <v>7381.5</v>
          </cell>
          <cell r="I5742">
            <v>294386.35335526313</v>
          </cell>
        </row>
        <row r="5743">
          <cell r="C5743" t="str">
            <v>Vật liệu</v>
          </cell>
          <cell r="G5743">
            <v>7381.5</v>
          </cell>
        </row>
        <row r="5744">
          <cell r="B5744">
            <v>1</v>
          </cell>
          <cell r="C5744" t="str">
            <v>+ Cồn công nghiệp</v>
          </cell>
          <cell r="D5744" t="str">
            <v>kg</v>
          </cell>
          <cell r="E5744">
            <v>0.5</v>
          </cell>
          <cell r="F5744">
            <v>9500</v>
          </cell>
          <cell r="G5744">
            <v>4750</v>
          </cell>
        </row>
        <row r="5745">
          <cell r="B5745">
            <v>9</v>
          </cell>
          <cell r="C5745" t="str">
            <v>+ Giẻ lau</v>
          </cell>
          <cell r="D5745" t="str">
            <v>Kg</v>
          </cell>
          <cell r="E5745">
            <v>0.24</v>
          </cell>
          <cell r="F5745">
            <v>9500</v>
          </cell>
          <cell r="G5745">
            <v>2280</v>
          </cell>
        </row>
        <row r="5746">
          <cell r="B5746">
            <v>137</v>
          </cell>
          <cell r="C5746" t="str">
            <v>Vật liệu khác</v>
          </cell>
          <cell r="D5746" t="str">
            <v>%</v>
          </cell>
          <cell r="E5746">
            <v>5</v>
          </cell>
          <cell r="F5746">
            <v>1500</v>
          </cell>
          <cell r="G5746">
            <v>351.5</v>
          </cell>
        </row>
        <row r="5747">
          <cell r="C5747" t="str">
            <v>Nhân công</v>
          </cell>
          <cell r="G5747">
            <v>294386.35335526313</v>
          </cell>
        </row>
        <row r="5748">
          <cell r="B5748" t="str">
            <v>NC1457</v>
          </cell>
          <cell r="C5748" t="str">
            <v>+ Nhân công bậc 4,5/7</v>
          </cell>
          <cell r="D5748" t="str">
            <v>Công</v>
          </cell>
          <cell r="E5748">
            <v>1.39</v>
          </cell>
          <cell r="F5748">
            <v>211788.74342105264</v>
          </cell>
          <cell r="G5748">
            <v>294386.35335526313</v>
          </cell>
        </row>
        <row r="5749">
          <cell r="A5749" t="str">
            <v>D4.3216</v>
          </cell>
          <cell r="C5749" t="str">
            <v>Làm đầu cáp lực 3 đến 6KV 1 pha, Cáp có tiết diện &lt;=300mm2</v>
          </cell>
          <cell r="D5749" t="str">
            <v>đầu</v>
          </cell>
          <cell r="H5749">
            <v>7381.5</v>
          </cell>
          <cell r="I5749">
            <v>383337.62559210527</v>
          </cell>
        </row>
        <row r="5750">
          <cell r="C5750" t="str">
            <v>Vật liệu</v>
          </cell>
          <cell r="G5750">
            <v>7381.5</v>
          </cell>
        </row>
        <row r="5751">
          <cell r="B5751">
            <v>1</v>
          </cell>
          <cell r="C5751" t="str">
            <v>+ Cồn công nghiệp</v>
          </cell>
          <cell r="D5751" t="str">
            <v>kg</v>
          </cell>
          <cell r="E5751">
            <v>0.5</v>
          </cell>
          <cell r="F5751">
            <v>9500</v>
          </cell>
          <cell r="G5751">
            <v>4750</v>
          </cell>
        </row>
        <row r="5752">
          <cell r="B5752">
            <v>9</v>
          </cell>
          <cell r="C5752" t="str">
            <v>+ Giẻ lau</v>
          </cell>
          <cell r="D5752" t="str">
            <v>Kg</v>
          </cell>
          <cell r="E5752">
            <v>0.24</v>
          </cell>
          <cell r="F5752">
            <v>9500</v>
          </cell>
          <cell r="G5752">
            <v>2280</v>
          </cell>
        </row>
        <row r="5753">
          <cell r="B5753">
            <v>137</v>
          </cell>
          <cell r="C5753" t="str">
            <v>Vật liệu khác</v>
          </cell>
          <cell r="D5753" t="str">
            <v>%</v>
          </cell>
          <cell r="E5753">
            <v>5</v>
          </cell>
          <cell r="F5753">
            <v>1500</v>
          </cell>
          <cell r="G5753">
            <v>351.5</v>
          </cell>
        </row>
        <row r="5754">
          <cell r="C5754" t="str">
            <v>Nhân công</v>
          </cell>
          <cell r="G5754">
            <v>383337.62559210527</v>
          </cell>
        </row>
        <row r="5755">
          <cell r="B5755" t="str">
            <v>NC1457</v>
          </cell>
          <cell r="C5755" t="str">
            <v>+ Nhân công bậc 4,5/7</v>
          </cell>
          <cell r="D5755" t="str">
            <v>Công</v>
          </cell>
          <cell r="E5755">
            <v>1.81</v>
          </cell>
          <cell r="F5755">
            <v>211788.74342105264</v>
          </cell>
          <cell r="G5755">
            <v>383337.62559210527</v>
          </cell>
        </row>
        <row r="5756">
          <cell r="A5756" t="str">
            <v>D4.3217</v>
          </cell>
          <cell r="C5756" t="str">
            <v>Làm đầu cáp lực 3 đến 6KV 1 pha, Cáp có tiết diện &lt;=400mm2</v>
          </cell>
          <cell r="D5756" t="str">
            <v>đầu</v>
          </cell>
          <cell r="H5756">
            <v>8877.75</v>
          </cell>
          <cell r="I5756">
            <v>459581.57322368422</v>
          </cell>
        </row>
        <row r="5757">
          <cell r="C5757" t="str">
            <v>Vật liệu</v>
          </cell>
          <cell r="G5757">
            <v>8877.75</v>
          </cell>
        </row>
        <row r="5758">
          <cell r="B5758">
            <v>1</v>
          </cell>
          <cell r="C5758" t="str">
            <v>+ Cồn công nghiệp</v>
          </cell>
          <cell r="D5758" t="str">
            <v>kg</v>
          </cell>
          <cell r="E5758">
            <v>0.6</v>
          </cell>
          <cell r="F5758">
            <v>9500</v>
          </cell>
          <cell r="G5758">
            <v>5700</v>
          </cell>
        </row>
        <row r="5759">
          <cell r="B5759">
            <v>9</v>
          </cell>
          <cell r="C5759" t="str">
            <v>+ Giẻ lau</v>
          </cell>
          <cell r="D5759" t="str">
            <v>Kg</v>
          </cell>
          <cell r="E5759">
            <v>0.28999999999999998</v>
          </cell>
          <cell r="F5759">
            <v>9500</v>
          </cell>
          <cell r="G5759">
            <v>2755</v>
          </cell>
        </row>
        <row r="5760">
          <cell r="B5760">
            <v>137</v>
          </cell>
          <cell r="C5760" t="str">
            <v>Vật liệu khác</v>
          </cell>
          <cell r="D5760" t="str">
            <v>%</v>
          </cell>
          <cell r="E5760">
            <v>5</v>
          </cell>
          <cell r="F5760">
            <v>1500</v>
          </cell>
          <cell r="G5760">
            <v>422.75</v>
          </cell>
        </row>
        <row r="5761">
          <cell r="C5761" t="str">
            <v>Nhân công</v>
          </cell>
          <cell r="G5761">
            <v>459581.57322368422</v>
          </cell>
        </row>
        <row r="5762">
          <cell r="B5762" t="str">
            <v>NC1457</v>
          </cell>
          <cell r="C5762" t="str">
            <v>+ Nhân công bậc 4,5/7</v>
          </cell>
          <cell r="D5762" t="str">
            <v>Công</v>
          </cell>
          <cell r="E5762">
            <v>2.17</v>
          </cell>
          <cell r="F5762">
            <v>211788.74342105264</v>
          </cell>
          <cell r="G5762">
            <v>459581.57322368422</v>
          </cell>
        </row>
        <row r="5763">
          <cell r="A5763" t="str">
            <v>D4.3221</v>
          </cell>
          <cell r="C5763" t="str">
            <v>Làm đầu cáp lực10 đến 15KV 1 pha, Cáp có tiết diện &lt;= 35mm2</v>
          </cell>
          <cell r="D5763" t="str">
            <v>đầu</v>
          </cell>
          <cell r="H5763">
            <v>4588.5</v>
          </cell>
          <cell r="I5763">
            <v>302857.90309210529</v>
          </cell>
        </row>
        <row r="5764">
          <cell r="C5764" t="str">
            <v>Vật liệu</v>
          </cell>
          <cell r="G5764">
            <v>4588.5</v>
          </cell>
        </row>
        <row r="5765">
          <cell r="B5765">
            <v>1</v>
          </cell>
          <cell r="C5765" t="str">
            <v>+ Cồn công nghiệp</v>
          </cell>
          <cell r="D5765" t="str">
            <v>kg</v>
          </cell>
          <cell r="E5765">
            <v>0.3</v>
          </cell>
          <cell r="F5765">
            <v>9500</v>
          </cell>
          <cell r="G5765">
            <v>2850</v>
          </cell>
        </row>
        <row r="5766">
          <cell r="B5766">
            <v>9</v>
          </cell>
          <cell r="C5766" t="str">
            <v>+ Giẻ lau</v>
          </cell>
          <cell r="D5766" t="str">
            <v>Kg</v>
          </cell>
          <cell r="E5766">
            <v>0.16</v>
          </cell>
          <cell r="F5766">
            <v>9500</v>
          </cell>
          <cell r="G5766">
            <v>1520</v>
          </cell>
        </row>
        <row r="5767">
          <cell r="B5767">
            <v>137</v>
          </cell>
          <cell r="C5767" t="str">
            <v>Vật liệu khác</v>
          </cell>
          <cell r="D5767" t="str">
            <v>%</v>
          </cell>
          <cell r="E5767">
            <v>5</v>
          </cell>
          <cell r="F5767">
            <v>1500</v>
          </cell>
          <cell r="G5767">
            <v>218.5</v>
          </cell>
        </row>
        <row r="5768">
          <cell r="C5768" t="str">
            <v>Nhân công</v>
          </cell>
          <cell r="G5768">
            <v>302857.90309210529</v>
          </cell>
        </row>
        <row r="5769">
          <cell r="B5769" t="str">
            <v>NC1457</v>
          </cell>
          <cell r="C5769" t="str">
            <v>+ Nhân công bậc 4,5/7</v>
          </cell>
          <cell r="D5769" t="str">
            <v>Công</v>
          </cell>
          <cell r="E5769">
            <v>1.43</v>
          </cell>
          <cell r="F5769">
            <v>211788.74342105264</v>
          </cell>
          <cell r="G5769">
            <v>302857.90309210529</v>
          </cell>
        </row>
        <row r="5770">
          <cell r="A5770" t="str">
            <v>D4.3222</v>
          </cell>
          <cell r="C5770" t="str">
            <v>Làm đầu cáp lực10 đến 15KV 1 pha, Cáp có tiết diện &lt;= 70mm2</v>
          </cell>
          <cell r="D5770" t="str">
            <v>đầu</v>
          </cell>
          <cell r="H5770">
            <v>4588.5</v>
          </cell>
          <cell r="I5770">
            <v>334626.2146052632</v>
          </cell>
        </row>
        <row r="5771">
          <cell r="C5771" t="str">
            <v>Vật liệu</v>
          </cell>
          <cell r="G5771">
            <v>4588.5</v>
          </cell>
        </row>
        <row r="5772">
          <cell r="B5772">
            <v>1</v>
          </cell>
          <cell r="C5772" t="str">
            <v>+ Cồn công nghiệp</v>
          </cell>
          <cell r="D5772" t="str">
            <v>kg</v>
          </cell>
          <cell r="E5772">
            <v>0.3</v>
          </cell>
          <cell r="F5772">
            <v>9500</v>
          </cell>
          <cell r="G5772">
            <v>2850</v>
          </cell>
        </row>
        <row r="5773">
          <cell r="B5773">
            <v>9</v>
          </cell>
          <cell r="C5773" t="str">
            <v>+ Giẻ lau</v>
          </cell>
          <cell r="D5773" t="str">
            <v>Kg</v>
          </cell>
          <cell r="E5773">
            <v>0.16</v>
          </cell>
          <cell r="F5773">
            <v>9500</v>
          </cell>
          <cell r="G5773">
            <v>1520</v>
          </cell>
        </row>
        <row r="5774">
          <cell r="B5774">
            <v>137</v>
          </cell>
          <cell r="C5774" t="str">
            <v>Vật liệu khác</v>
          </cell>
          <cell r="D5774" t="str">
            <v>%</v>
          </cell>
          <cell r="E5774">
            <v>5</v>
          </cell>
          <cell r="F5774">
            <v>1500</v>
          </cell>
          <cell r="G5774">
            <v>218.5</v>
          </cell>
        </row>
        <row r="5775">
          <cell r="C5775" t="str">
            <v>Nhân công</v>
          </cell>
          <cell r="G5775">
            <v>334626.2146052632</v>
          </cell>
        </row>
        <row r="5776">
          <cell r="B5776" t="str">
            <v>NC1457</v>
          </cell>
          <cell r="C5776" t="str">
            <v>+ Nhân công bậc 4,5/7</v>
          </cell>
          <cell r="D5776" t="str">
            <v>Công</v>
          </cell>
          <cell r="E5776">
            <v>1.58</v>
          </cell>
          <cell r="F5776">
            <v>211788.74342105264</v>
          </cell>
          <cell r="G5776">
            <v>334626.2146052632</v>
          </cell>
        </row>
        <row r="5777">
          <cell r="A5777" t="str">
            <v>D4.3223</v>
          </cell>
          <cell r="C5777" t="str">
            <v>Làm đầu cáp lực10 đến 15KV 1 pha, Cáp có tiết diện &lt;= 120mm2</v>
          </cell>
          <cell r="D5777" t="str">
            <v>đầu</v>
          </cell>
          <cell r="H5777">
            <v>5985</v>
          </cell>
          <cell r="I5777">
            <v>370630.30098684214</v>
          </cell>
        </row>
        <row r="5778">
          <cell r="C5778" t="str">
            <v>Vật liệu</v>
          </cell>
          <cell r="G5778">
            <v>5985</v>
          </cell>
        </row>
        <row r="5779">
          <cell r="B5779">
            <v>1</v>
          </cell>
          <cell r="C5779" t="str">
            <v>+ Cồn công nghiệp</v>
          </cell>
          <cell r="D5779" t="str">
            <v>kg</v>
          </cell>
          <cell r="E5779">
            <v>0.4</v>
          </cell>
          <cell r="F5779">
            <v>9500</v>
          </cell>
          <cell r="G5779">
            <v>3800</v>
          </cell>
        </row>
        <row r="5780">
          <cell r="B5780">
            <v>9</v>
          </cell>
          <cell r="C5780" t="str">
            <v>+ Giẻ lau</v>
          </cell>
          <cell r="D5780" t="str">
            <v>Kg</v>
          </cell>
          <cell r="E5780">
            <v>0.2</v>
          </cell>
          <cell r="F5780">
            <v>9500</v>
          </cell>
          <cell r="G5780">
            <v>1900</v>
          </cell>
        </row>
        <row r="5781">
          <cell r="B5781">
            <v>137</v>
          </cell>
          <cell r="C5781" t="str">
            <v>Vật liệu khác</v>
          </cell>
          <cell r="D5781" t="str">
            <v>%</v>
          </cell>
          <cell r="E5781">
            <v>5</v>
          </cell>
          <cell r="F5781">
            <v>1500</v>
          </cell>
          <cell r="G5781">
            <v>285</v>
          </cell>
        </row>
        <row r="5782">
          <cell r="C5782" t="str">
            <v>Nhân công</v>
          </cell>
          <cell r="G5782">
            <v>370630.30098684214</v>
          </cell>
        </row>
        <row r="5783">
          <cell r="B5783" t="str">
            <v>NC1457</v>
          </cell>
          <cell r="C5783" t="str">
            <v>+ Nhân công bậc 4,5/7</v>
          </cell>
          <cell r="D5783" t="str">
            <v>Công</v>
          </cell>
          <cell r="E5783">
            <v>1.75</v>
          </cell>
          <cell r="F5783">
            <v>211788.74342105264</v>
          </cell>
          <cell r="G5783">
            <v>370630.30098684214</v>
          </cell>
        </row>
        <row r="5784">
          <cell r="A5784" t="str">
            <v>D4.3224</v>
          </cell>
          <cell r="C5784" t="str">
            <v>Làm đầu cáp lực10 đến 15KV 1 pha, Cáp có tiết diện &lt;= 185mm2</v>
          </cell>
          <cell r="D5784" t="str">
            <v>đầu</v>
          </cell>
          <cell r="H5784">
            <v>5985</v>
          </cell>
          <cell r="I5784">
            <v>406634.38736842107</v>
          </cell>
        </row>
        <row r="5785">
          <cell r="C5785" t="str">
            <v>Vật liệu</v>
          </cell>
          <cell r="G5785">
            <v>5985</v>
          </cell>
        </row>
        <row r="5786">
          <cell r="B5786">
            <v>1</v>
          </cell>
          <cell r="C5786" t="str">
            <v>+ Cồn công nghiệp</v>
          </cell>
          <cell r="D5786" t="str">
            <v>kg</v>
          </cell>
          <cell r="E5786">
            <v>0.4</v>
          </cell>
          <cell r="F5786">
            <v>9500</v>
          </cell>
          <cell r="G5786">
            <v>3800</v>
          </cell>
        </row>
        <row r="5787">
          <cell r="B5787">
            <v>9</v>
          </cell>
          <cell r="C5787" t="str">
            <v>+ Giẻ lau</v>
          </cell>
          <cell r="D5787" t="str">
            <v>Kg</v>
          </cell>
          <cell r="E5787">
            <v>0.2</v>
          </cell>
          <cell r="F5787">
            <v>9500</v>
          </cell>
          <cell r="G5787">
            <v>1900</v>
          </cell>
        </row>
        <row r="5788">
          <cell r="B5788">
            <v>137</v>
          </cell>
          <cell r="C5788" t="str">
            <v>Vật liệu khác</v>
          </cell>
          <cell r="D5788" t="str">
            <v>%</v>
          </cell>
          <cell r="E5788">
            <v>5</v>
          </cell>
          <cell r="F5788">
            <v>1500</v>
          </cell>
          <cell r="G5788">
            <v>285</v>
          </cell>
        </row>
        <row r="5789">
          <cell r="C5789" t="str">
            <v>Nhân công</v>
          </cell>
          <cell r="G5789">
            <v>406634.38736842107</v>
          </cell>
        </row>
        <row r="5790">
          <cell r="B5790" t="str">
            <v>NC1457</v>
          </cell>
          <cell r="C5790" t="str">
            <v>+ Nhân công bậc 4,5/7</v>
          </cell>
          <cell r="D5790" t="str">
            <v>Công</v>
          </cell>
          <cell r="E5790">
            <v>1.92</v>
          </cell>
          <cell r="F5790">
            <v>211788.74342105264</v>
          </cell>
          <cell r="G5790">
            <v>406634.38736842107</v>
          </cell>
        </row>
        <row r="5791">
          <cell r="A5791" t="str">
            <v>D4.3225</v>
          </cell>
          <cell r="C5791" t="str">
            <v>Làm đầu cáp lực10 đến 15KV 1 pha, Cáp có tiết diện &lt;= 240mm2</v>
          </cell>
          <cell r="D5791" t="str">
            <v>đầu</v>
          </cell>
          <cell r="H5791">
            <v>7381.5</v>
          </cell>
          <cell r="I5791">
            <v>455345.79835526313</v>
          </cell>
        </row>
        <row r="5792">
          <cell r="C5792" t="str">
            <v>Vật liệu</v>
          </cell>
          <cell r="G5792">
            <v>7381.5</v>
          </cell>
        </row>
        <row r="5793">
          <cell r="B5793">
            <v>1</v>
          </cell>
          <cell r="C5793" t="str">
            <v>+ Cồn công nghiệp</v>
          </cell>
          <cell r="D5793" t="str">
            <v>kg</v>
          </cell>
          <cell r="E5793">
            <v>0.5</v>
          </cell>
          <cell r="F5793">
            <v>9500</v>
          </cell>
          <cell r="G5793">
            <v>4750</v>
          </cell>
        </row>
        <row r="5794">
          <cell r="B5794">
            <v>9</v>
          </cell>
          <cell r="C5794" t="str">
            <v>+ Giẻ lau</v>
          </cell>
          <cell r="D5794" t="str">
            <v>Kg</v>
          </cell>
          <cell r="E5794">
            <v>0.24</v>
          </cell>
          <cell r="F5794">
            <v>9500</v>
          </cell>
          <cell r="G5794">
            <v>2280</v>
          </cell>
        </row>
        <row r="5795">
          <cell r="B5795">
            <v>137</v>
          </cell>
          <cell r="C5795" t="str">
            <v>Vật liệu khác</v>
          </cell>
          <cell r="D5795" t="str">
            <v>%</v>
          </cell>
          <cell r="E5795">
            <v>5</v>
          </cell>
          <cell r="F5795">
            <v>1500</v>
          </cell>
          <cell r="G5795">
            <v>351.5</v>
          </cell>
        </row>
        <row r="5796">
          <cell r="C5796" t="str">
            <v>Nhân công</v>
          </cell>
          <cell r="G5796">
            <v>455345.79835526313</v>
          </cell>
        </row>
        <row r="5797">
          <cell r="B5797" t="str">
            <v>NC1457</v>
          </cell>
          <cell r="C5797" t="str">
            <v>+ Nhân công bậc 4,5/7</v>
          </cell>
          <cell r="D5797" t="str">
            <v>Công</v>
          </cell>
          <cell r="E5797">
            <v>2.15</v>
          </cell>
          <cell r="F5797">
            <v>211788.74342105264</v>
          </cell>
          <cell r="G5797">
            <v>455345.79835526313</v>
          </cell>
        </row>
        <row r="5798">
          <cell r="A5798" t="str">
            <v>D4.3226</v>
          </cell>
          <cell r="C5798" t="str">
            <v>Làm đầu cáp lực10 đến 15KV 1 pha, Cáp có tiết diện &lt;= 300mm2</v>
          </cell>
          <cell r="D5798" t="str">
            <v>đầu</v>
          </cell>
          <cell r="H5798">
            <v>7381.5</v>
          </cell>
          <cell r="I5798">
            <v>588772.70671052625</v>
          </cell>
        </row>
        <row r="5799">
          <cell r="C5799" t="str">
            <v>Vật liệu</v>
          </cell>
          <cell r="G5799">
            <v>7381.5</v>
          </cell>
        </row>
        <row r="5800">
          <cell r="B5800">
            <v>1</v>
          </cell>
          <cell r="C5800" t="str">
            <v>+ Cồn công nghiệp</v>
          </cell>
          <cell r="D5800" t="str">
            <v>kg</v>
          </cell>
          <cell r="E5800">
            <v>0.5</v>
          </cell>
          <cell r="F5800">
            <v>9500</v>
          </cell>
          <cell r="G5800">
            <v>4750</v>
          </cell>
        </row>
        <row r="5801">
          <cell r="B5801">
            <v>9</v>
          </cell>
          <cell r="C5801" t="str">
            <v>+ Giẻ lau</v>
          </cell>
          <cell r="D5801" t="str">
            <v>Kg</v>
          </cell>
          <cell r="E5801">
            <v>0.24</v>
          </cell>
          <cell r="F5801">
            <v>9500</v>
          </cell>
          <cell r="G5801">
            <v>2280</v>
          </cell>
        </row>
        <row r="5802">
          <cell r="B5802">
            <v>137</v>
          </cell>
          <cell r="C5802" t="str">
            <v>Vật liệu khác</v>
          </cell>
          <cell r="D5802" t="str">
            <v>%</v>
          </cell>
          <cell r="E5802">
            <v>5</v>
          </cell>
          <cell r="F5802">
            <v>1500</v>
          </cell>
          <cell r="G5802">
            <v>351.5</v>
          </cell>
        </row>
        <row r="5803">
          <cell r="C5803" t="str">
            <v>Nhân công</v>
          </cell>
          <cell r="G5803">
            <v>588772.70671052625</v>
          </cell>
        </row>
        <row r="5804">
          <cell r="B5804" t="str">
            <v>NC1457</v>
          </cell>
          <cell r="C5804" t="str">
            <v>+ Nhân công bậc 4,5/7</v>
          </cell>
          <cell r="D5804" t="str">
            <v>Công</v>
          </cell>
          <cell r="E5804">
            <v>2.78</v>
          </cell>
          <cell r="F5804">
            <v>211788.74342105264</v>
          </cell>
          <cell r="G5804">
            <v>588772.70671052625</v>
          </cell>
        </row>
        <row r="5805">
          <cell r="A5805" t="str">
            <v>D4.3227</v>
          </cell>
          <cell r="C5805" t="str">
            <v>Làm đầu cáp lực10 đến 15KV 1 pha, Cáp có tiết diện &lt;= 400mm2</v>
          </cell>
          <cell r="D5805" t="str">
            <v>đầu</v>
          </cell>
          <cell r="H5805">
            <v>8877.75</v>
          </cell>
          <cell r="I5805">
            <v>707374.40302631573</v>
          </cell>
        </row>
        <row r="5806">
          <cell r="C5806" t="str">
            <v>Vật liệu</v>
          </cell>
          <cell r="G5806">
            <v>8877.75</v>
          </cell>
        </row>
        <row r="5807">
          <cell r="B5807">
            <v>1</v>
          </cell>
          <cell r="C5807" t="str">
            <v>+ Cồn công nghiệp</v>
          </cell>
          <cell r="D5807" t="str">
            <v>kg</v>
          </cell>
          <cell r="E5807">
            <v>0.6</v>
          </cell>
          <cell r="F5807">
            <v>9500</v>
          </cell>
          <cell r="G5807">
            <v>5700</v>
          </cell>
        </row>
        <row r="5808">
          <cell r="B5808">
            <v>9</v>
          </cell>
          <cell r="C5808" t="str">
            <v>+ Giẻ lau</v>
          </cell>
          <cell r="D5808" t="str">
            <v>Kg</v>
          </cell>
          <cell r="E5808">
            <v>0.28999999999999998</v>
          </cell>
          <cell r="F5808">
            <v>9500</v>
          </cell>
          <cell r="G5808">
            <v>2755</v>
          </cell>
        </row>
        <row r="5809">
          <cell r="B5809">
            <v>137</v>
          </cell>
          <cell r="C5809" t="str">
            <v>Vật liệu khác</v>
          </cell>
          <cell r="D5809" t="str">
            <v>%</v>
          </cell>
          <cell r="E5809">
            <v>5</v>
          </cell>
          <cell r="F5809">
            <v>1500</v>
          </cell>
          <cell r="G5809">
            <v>422.75</v>
          </cell>
        </row>
        <row r="5810">
          <cell r="C5810" t="str">
            <v>Nhân công</v>
          </cell>
          <cell r="G5810">
            <v>707374.40302631573</v>
          </cell>
        </row>
        <row r="5811">
          <cell r="B5811" t="str">
            <v>NC1457</v>
          </cell>
          <cell r="C5811" t="str">
            <v>+ Nhân công bậc 4,5/7</v>
          </cell>
          <cell r="D5811" t="str">
            <v>Công</v>
          </cell>
          <cell r="E5811">
            <v>3.34</v>
          </cell>
          <cell r="F5811">
            <v>211788.74342105264</v>
          </cell>
          <cell r="G5811">
            <v>707374.40302631573</v>
          </cell>
        </row>
        <row r="5812">
          <cell r="A5812" t="str">
            <v>D4.3231</v>
          </cell>
          <cell r="C5812" t="str">
            <v>Làm đầu cáp lực 3-6Kv, Phễu cáp bằng tôn, Cáp có tiết diện &lt;=35mm2</v>
          </cell>
          <cell r="D5812" t="str">
            <v>1 đầu 3 pha</v>
          </cell>
          <cell r="H5812">
            <v>140715.75</v>
          </cell>
          <cell r="I5812">
            <v>328272.55230263161</v>
          </cell>
        </row>
        <row r="5813">
          <cell r="C5813" t="str">
            <v>Vật liệu</v>
          </cell>
          <cell r="G5813">
            <v>140715.75</v>
          </cell>
        </row>
        <row r="5814">
          <cell r="B5814">
            <v>115</v>
          </cell>
          <cell r="C5814" t="str">
            <v>+ Phễu cáp bằng tôn loại =&lt;35mm2</v>
          </cell>
          <cell r="D5814" t="str">
            <v>cái</v>
          </cell>
          <cell r="E5814">
            <v>1</v>
          </cell>
          <cell r="F5814">
            <v>0</v>
          </cell>
          <cell r="G5814">
            <v>0</v>
          </cell>
        </row>
        <row r="5815">
          <cell r="B5815">
            <v>25</v>
          </cell>
          <cell r="C5815" t="str">
            <v>+ Coliê sắt</v>
          </cell>
          <cell r="D5815" t="str">
            <v>bộ</v>
          </cell>
          <cell r="E5815">
            <v>2</v>
          </cell>
          <cell r="F5815">
            <v>8000</v>
          </cell>
          <cell r="G5815">
            <v>16000</v>
          </cell>
        </row>
        <row r="5816">
          <cell r="B5816">
            <v>114</v>
          </cell>
          <cell r="C5816" t="str">
            <v>+ Dây đồng 25mm2</v>
          </cell>
          <cell r="D5816" t="str">
            <v>m</v>
          </cell>
          <cell r="E5816">
            <v>1</v>
          </cell>
          <cell r="F5816">
            <v>69454</v>
          </cell>
          <cell r="G5816">
            <v>69454</v>
          </cell>
        </row>
        <row r="5817">
          <cell r="B5817">
            <v>35</v>
          </cell>
          <cell r="C5817" t="str">
            <v>+ Chất cách điện</v>
          </cell>
          <cell r="D5817" t="str">
            <v>kg</v>
          </cell>
          <cell r="E5817">
            <v>1.6</v>
          </cell>
          <cell r="F5817">
            <v>15450</v>
          </cell>
          <cell r="G5817">
            <v>24720</v>
          </cell>
        </row>
        <row r="5818">
          <cell r="B5818">
            <v>25</v>
          </cell>
          <cell r="C5818" t="str">
            <v>+ Băng vải nhựa, ni lông ( băng dính )</v>
          </cell>
          <cell r="D5818" t="str">
            <v>cuộn</v>
          </cell>
          <cell r="E5818">
            <v>1</v>
          </cell>
          <cell r="F5818">
            <v>8000</v>
          </cell>
          <cell r="G5818">
            <v>8000</v>
          </cell>
        </row>
        <row r="5819">
          <cell r="B5819">
            <v>3</v>
          </cell>
          <cell r="C5819" t="str">
            <v>+ Xăng</v>
          </cell>
          <cell r="D5819" t="str">
            <v>kg</v>
          </cell>
          <cell r="E5819">
            <v>0.5</v>
          </cell>
          <cell r="F5819">
            <v>18382</v>
          </cell>
          <cell r="G5819">
            <v>9191</v>
          </cell>
        </row>
        <row r="5820">
          <cell r="B5820">
            <v>1</v>
          </cell>
          <cell r="C5820" t="str">
            <v>+ Cồn công nghiệp</v>
          </cell>
          <cell r="D5820" t="str">
            <v>kg</v>
          </cell>
          <cell r="E5820">
            <v>0.5</v>
          </cell>
          <cell r="F5820">
            <v>9500</v>
          </cell>
          <cell r="G5820">
            <v>4750</v>
          </cell>
        </row>
        <row r="5821">
          <cell r="B5821">
            <v>9</v>
          </cell>
          <cell r="C5821" t="str">
            <v>+ Giẻ lau</v>
          </cell>
          <cell r="D5821" t="str">
            <v>Kg</v>
          </cell>
          <cell r="E5821">
            <v>0.2</v>
          </cell>
          <cell r="F5821">
            <v>9500</v>
          </cell>
          <cell r="G5821">
            <v>1900</v>
          </cell>
        </row>
        <row r="5822">
          <cell r="B5822">
            <v>137</v>
          </cell>
          <cell r="C5822" t="str">
            <v>Vật liệu khác</v>
          </cell>
          <cell r="D5822" t="str">
            <v>%</v>
          </cell>
          <cell r="E5822">
            <v>5</v>
          </cell>
          <cell r="F5822">
            <v>1500</v>
          </cell>
          <cell r="G5822">
            <v>6700.75</v>
          </cell>
        </row>
        <row r="5823">
          <cell r="C5823" t="str">
            <v>Nhân công</v>
          </cell>
          <cell r="G5823">
            <v>328272.55230263161</v>
          </cell>
        </row>
        <row r="5824">
          <cell r="B5824" t="str">
            <v>NC1457</v>
          </cell>
          <cell r="C5824" t="str">
            <v>+ Nhân công bậc 4,5/7</v>
          </cell>
          <cell r="D5824" t="str">
            <v>Công</v>
          </cell>
          <cell r="E5824">
            <v>1.55</v>
          </cell>
          <cell r="F5824">
            <v>211788.74342105264</v>
          </cell>
          <cell r="G5824">
            <v>328272.55230263161</v>
          </cell>
        </row>
        <row r="5825">
          <cell r="A5825" t="str">
            <v>D4.3232</v>
          </cell>
          <cell r="C5825" t="str">
            <v>Làm đầu cáp lực 3-6Kv, Phễu cáp bằng tôn, Cáp có tiết diện &lt;=70mm2</v>
          </cell>
          <cell r="D5825" t="str">
            <v>1 đầu 3 pha</v>
          </cell>
          <cell r="H5825">
            <v>148827</v>
          </cell>
          <cell r="I5825">
            <v>379101.85072368424</v>
          </cell>
        </row>
        <row r="5826">
          <cell r="C5826" t="str">
            <v>Vật liệu</v>
          </cell>
          <cell r="G5826">
            <v>148827</v>
          </cell>
        </row>
        <row r="5827">
          <cell r="B5827">
            <v>116</v>
          </cell>
          <cell r="C5827" t="str">
            <v>+ Phễu cáp bằng tôn loại =&lt;70mm2</v>
          </cell>
          <cell r="D5827" t="str">
            <v>cái</v>
          </cell>
          <cell r="E5827">
            <v>1</v>
          </cell>
          <cell r="F5827">
            <v>0</v>
          </cell>
          <cell r="G5827">
            <v>0</v>
          </cell>
        </row>
        <row r="5828">
          <cell r="B5828">
            <v>25</v>
          </cell>
          <cell r="C5828" t="str">
            <v>+ Coliê sắt</v>
          </cell>
          <cell r="D5828" t="str">
            <v>bộ</v>
          </cell>
          <cell r="E5828">
            <v>2</v>
          </cell>
          <cell r="F5828">
            <v>8000</v>
          </cell>
          <cell r="G5828">
            <v>16000</v>
          </cell>
        </row>
        <row r="5829">
          <cell r="B5829">
            <v>114</v>
          </cell>
          <cell r="C5829" t="str">
            <v>+ Dây đồng 25mm2</v>
          </cell>
          <cell r="D5829" t="str">
            <v>m</v>
          </cell>
          <cell r="E5829">
            <v>1</v>
          </cell>
          <cell r="F5829">
            <v>69454</v>
          </cell>
          <cell r="G5829">
            <v>69454</v>
          </cell>
        </row>
        <row r="5830">
          <cell r="B5830">
            <v>35</v>
          </cell>
          <cell r="C5830" t="str">
            <v>+ Chất cách điện</v>
          </cell>
          <cell r="D5830" t="str">
            <v>kg</v>
          </cell>
          <cell r="E5830">
            <v>2.1</v>
          </cell>
          <cell r="F5830">
            <v>15450</v>
          </cell>
          <cell r="G5830">
            <v>32445</v>
          </cell>
        </row>
        <row r="5831">
          <cell r="B5831">
            <v>25</v>
          </cell>
          <cell r="C5831" t="str">
            <v>+ Băng vải nhựa, ni lông ( băng dính )</v>
          </cell>
          <cell r="D5831" t="str">
            <v>cuộn</v>
          </cell>
          <cell r="E5831">
            <v>1</v>
          </cell>
          <cell r="F5831">
            <v>8000</v>
          </cell>
          <cell r="G5831">
            <v>8000</v>
          </cell>
        </row>
        <row r="5832">
          <cell r="B5832">
            <v>3</v>
          </cell>
          <cell r="C5832" t="str">
            <v>+ Xăng</v>
          </cell>
          <cell r="D5832" t="str">
            <v>kg</v>
          </cell>
          <cell r="E5832">
            <v>0.5</v>
          </cell>
          <cell r="F5832">
            <v>18382</v>
          </cell>
          <cell r="G5832">
            <v>9191</v>
          </cell>
        </row>
        <row r="5833">
          <cell r="B5833">
            <v>1</v>
          </cell>
          <cell r="C5833" t="str">
            <v>+ Cồn công nghiệp</v>
          </cell>
          <cell r="D5833" t="str">
            <v>kg</v>
          </cell>
          <cell r="E5833">
            <v>0.5</v>
          </cell>
          <cell r="F5833">
            <v>9500</v>
          </cell>
          <cell r="G5833">
            <v>4750</v>
          </cell>
        </row>
        <row r="5834">
          <cell r="B5834">
            <v>9</v>
          </cell>
          <cell r="C5834" t="str">
            <v>+ Giẻ lau</v>
          </cell>
          <cell r="D5834" t="str">
            <v>Kg</v>
          </cell>
          <cell r="E5834">
            <v>0.2</v>
          </cell>
          <cell r="F5834">
            <v>9500</v>
          </cell>
          <cell r="G5834">
            <v>1900</v>
          </cell>
        </row>
        <row r="5835">
          <cell r="B5835">
            <v>137</v>
          </cell>
          <cell r="C5835" t="str">
            <v>Vật liệu khác</v>
          </cell>
          <cell r="D5835" t="str">
            <v>%</v>
          </cell>
          <cell r="E5835">
            <v>5</v>
          </cell>
          <cell r="F5835">
            <v>1500</v>
          </cell>
          <cell r="G5835">
            <v>7087</v>
          </cell>
        </row>
        <row r="5836">
          <cell r="C5836" t="str">
            <v>Nhân công</v>
          </cell>
          <cell r="G5836">
            <v>379101.85072368424</v>
          </cell>
        </row>
        <row r="5837">
          <cell r="B5837" t="str">
            <v>NC1457</v>
          </cell>
          <cell r="C5837" t="str">
            <v>+ Nhân công bậc 4,5/7</v>
          </cell>
          <cell r="D5837" t="str">
            <v>Công</v>
          </cell>
          <cell r="E5837">
            <v>1.79</v>
          </cell>
          <cell r="F5837">
            <v>211788.74342105264</v>
          </cell>
          <cell r="G5837">
            <v>379101.85072368424</v>
          </cell>
        </row>
        <row r="5838">
          <cell r="A5838" t="str">
            <v>D4.3233</v>
          </cell>
          <cell r="C5838" t="str">
            <v>Làm đầu cáp lực 3-6Kv, Phễu cáp bằng tôn, Cáp có tiết diện &lt;=120mm2</v>
          </cell>
          <cell r="D5838" t="str">
            <v>1 đầu 3 pha</v>
          </cell>
          <cell r="H5838">
            <v>154192.5</v>
          </cell>
          <cell r="I5838">
            <v>504057.20934210526</v>
          </cell>
        </row>
        <row r="5839">
          <cell r="C5839" t="str">
            <v>Vật liệu</v>
          </cell>
          <cell r="G5839">
            <v>154192.5</v>
          </cell>
        </row>
        <row r="5840">
          <cell r="B5840">
            <v>117</v>
          </cell>
          <cell r="C5840" t="str">
            <v>+ Phễu cáp bằng tôn loại =&lt;120mm2</v>
          </cell>
          <cell r="D5840" t="str">
            <v>cái</v>
          </cell>
          <cell r="E5840">
            <v>1</v>
          </cell>
          <cell r="F5840">
            <v>0</v>
          </cell>
          <cell r="G5840">
            <v>0</v>
          </cell>
        </row>
        <row r="5841">
          <cell r="B5841">
            <v>25</v>
          </cell>
          <cell r="C5841" t="str">
            <v>+ Coliê sắt</v>
          </cell>
          <cell r="D5841" t="str">
            <v>bộ</v>
          </cell>
          <cell r="E5841">
            <v>2</v>
          </cell>
          <cell r="F5841">
            <v>8000</v>
          </cell>
          <cell r="G5841">
            <v>16000</v>
          </cell>
        </row>
        <row r="5842">
          <cell r="B5842">
            <v>114</v>
          </cell>
          <cell r="C5842" t="str">
            <v>+ Dây đồng 25mm2</v>
          </cell>
          <cell r="D5842" t="str">
            <v>m</v>
          </cell>
          <cell r="E5842">
            <v>1</v>
          </cell>
          <cell r="F5842">
            <v>69454</v>
          </cell>
          <cell r="G5842">
            <v>69454</v>
          </cell>
        </row>
        <row r="5843">
          <cell r="B5843">
            <v>35</v>
          </cell>
          <cell r="C5843" t="str">
            <v>+ Chất cách điện</v>
          </cell>
          <cell r="D5843" t="str">
            <v>kg</v>
          </cell>
          <cell r="E5843">
            <v>2.4</v>
          </cell>
          <cell r="F5843">
            <v>15450</v>
          </cell>
          <cell r="G5843">
            <v>37080</v>
          </cell>
        </row>
        <row r="5844">
          <cell r="B5844">
            <v>25</v>
          </cell>
          <cell r="C5844" t="str">
            <v>+ Băng vải nhựa, ni lông ( băng dính )</v>
          </cell>
          <cell r="D5844" t="str">
            <v>cuộn</v>
          </cell>
          <cell r="E5844">
            <v>1</v>
          </cell>
          <cell r="F5844">
            <v>8000</v>
          </cell>
          <cell r="G5844">
            <v>8000</v>
          </cell>
        </row>
        <row r="5845">
          <cell r="B5845">
            <v>3</v>
          </cell>
          <cell r="C5845" t="str">
            <v>+ Xăng</v>
          </cell>
          <cell r="D5845" t="str">
            <v>kg</v>
          </cell>
          <cell r="E5845">
            <v>0.5</v>
          </cell>
          <cell r="F5845">
            <v>18382</v>
          </cell>
          <cell r="G5845">
            <v>9191</v>
          </cell>
        </row>
        <row r="5846">
          <cell r="B5846">
            <v>1</v>
          </cell>
          <cell r="C5846" t="str">
            <v>+ Cồn công nghiệp</v>
          </cell>
          <cell r="D5846" t="str">
            <v>kg</v>
          </cell>
          <cell r="E5846">
            <v>0.5</v>
          </cell>
          <cell r="F5846">
            <v>9500</v>
          </cell>
          <cell r="G5846">
            <v>4750</v>
          </cell>
        </row>
        <row r="5847">
          <cell r="B5847">
            <v>9</v>
          </cell>
          <cell r="C5847" t="str">
            <v>+ Giẻ lau</v>
          </cell>
          <cell r="D5847" t="str">
            <v>Kg</v>
          </cell>
          <cell r="E5847">
            <v>0.25</v>
          </cell>
          <cell r="F5847">
            <v>9500</v>
          </cell>
          <cell r="G5847">
            <v>2375</v>
          </cell>
        </row>
        <row r="5848">
          <cell r="B5848">
            <v>137</v>
          </cell>
          <cell r="C5848" t="str">
            <v>Vật liệu khác</v>
          </cell>
          <cell r="D5848" t="str">
            <v>%</v>
          </cell>
          <cell r="E5848">
            <v>5</v>
          </cell>
          <cell r="F5848">
            <v>1500</v>
          </cell>
          <cell r="G5848">
            <v>7342.5</v>
          </cell>
        </row>
        <row r="5849">
          <cell r="C5849" t="str">
            <v>Nhân công</v>
          </cell>
          <cell r="G5849">
            <v>504057.20934210526</v>
          </cell>
        </row>
        <row r="5850">
          <cell r="B5850" t="str">
            <v>NC1457</v>
          </cell>
          <cell r="C5850" t="str">
            <v>+ Nhân công bậc 4,5/7</v>
          </cell>
          <cell r="D5850" t="str">
            <v>Công</v>
          </cell>
          <cell r="E5850">
            <v>2.38</v>
          </cell>
          <cell r="F5850">
            <v>211788.74342105264</v>
          </cell>
          <cell r="G5850">
            <v>504057.20934210526</v>
          </cell>
        </row>
        <row r="5851">
          <cell r="A5851" t="str">
            <v>D4.3234</v>
          </cell>
          <cell r="C5851" t="str">
            <v>Làm đầu cáp lực 3-6Kv, Phễu cáp bằng tôn, Cáp có tiết diện &lt;=185mm2</v>
          </cell>
          <cell r="D5851" t="str">
            <v>1 đầu 3 pha</v>
          </cell>
          <cell r="H5851">
            <v>165879</v>
          </cell>
          <cell r="I5851">
            <v>603597.91875000007</v>
          </cell>
        </row>
        <row r="5852">
          <cell r="C5852" t="str">
            <v>Vật liệu</v>
          </cell>
          <cell r="G5852">
            <v>165879</v>
          </cell>
        </row>
        <row r="5853">
          <cell r="B5853">
            <v>118</v>
          </cell>
          <cell r="C5853" t="str">
            <v>+ Phễu cáp bằng tôn loại =&lt;185mm2</v>
          </cell>
          <cell r="D5853" t="str">
            <v>cái</v>
          </cell>
          <cell r="E5853">
            <v>1</v>
          </cell>
          <cell r="F5853">
            <v>0</v>
          </cell>
          <cell r="G5853">
            <v>0</v>
          </cell>
        </row>
        <row r="5854">
          <cell r="B5854">
            <v>25</v>
          </cell>
          <cell r="C5854" t="str">
            <v>+ Coliê sắt</v>
          </cell>
          <cell r="D5854" t="str">
            <v>bộ</v>
          </cell>
          <cell r="E5854">
            <v>2</v>
          </cell>
          <cell r="F5854">
            <v>8000</v>
          </cell>
          <cell r="G5854">
            <v>16000</v>
          </cell>
        </row>
        <row r="5855">
          <cell r="B5855">
            <v>114</v>
          </cell>
          <cell r="C5855" t="str">
            <v>+ Dây đồng 25mm2</v>
          </cell>
          <cell r="D5855" t="str">
            <v>m</v>
          </cell>
          <cell r="E5855">
            <v>1</v>
          </cell>
          <cell r="F5855">
            <v>69454</v>
          </cell>
          <cell r="G5855">
            <v>69454</v>
          </cell>
        </row>
        <row r="5856">
          <cell r="B5856">
            <v>35</v>
          </cell>
          <cell r="C5856" t="str">
            <v>+ Chất cách điện</v>
          </cell>
          <cell r="D5856" t="str">
            <v>kg</v>
          </cell>
          <cell r="E5856">
            <v>2.8</v>
          </cell>
          <cell r="F5856">
            <v>15450</v>
          </cell>
          <cell r="G5856">
            <v>43260</v>
          </cell>
        </row>
        <row r="5857">
          <cell r="B5857">
            <v>25</v>
          </cell>
          <cell r="C5857" t="str">
            <v>+ Băng vải nhựa, ni lông ( băng dính )</v>
          </cell>
          <cell r="D5857" t="str">
            <v>cuộn</v>
          </cell>
          <cell r="E5857">
            <v>1.5</v>
          </cell>
          <cell r="F5857">
            <v>8000</v>
          </cell>
          <cell r="G5857">
            <v>12000</v>
          </cell>
        </row>
        <row r="5858">
          <cell r="B5858">
            <v>3</v>
          </cell>
          <cell r="C5858" t="str">
            <v>+ Xăng</v>
          </cell>
          <cell r="D5858" t="str">
            <v>kg</v>
          </cell>
          <cell r="E5858">
            <v>0.5</v>
          </cell>
          <cell r="F5858">
            <v>18382</v>
          </cell>
          <cell r="G5858">
            <v>9191</v>
          </cell>
        </row>
        <row r="5859">
          <cell r="B5859">
            <v>1</v>
          </cell>
          <cell r="C5859" t="str">
            <v>+ Cồn công nghiệp</v>
          </cell>
          <cell r="D5859" t="str">
            <v>kg</v>
          </cell>
          <cell r="E5859">
            <v>0.6</v>
          </cell>
          <cell r="F5859">
            <v>9500</v>
          </cell>
          <cell r="G5859">
            <v>5700</v>
          </cell>
        </row>
        <row r="5860">
          <cell r="B5860">
            <v>9</v>
          </cell>
          <cell r="C5860" t="str">
            <v>+ Giẻ lau</v>
          </cell>
          <cell r="D5860" t="str">
            <v>Kg</v>
          </cell>
          <cell r="E5860">
            <v>0.25</v>
          </cell>
          <cell r="F5860">
            <v>9500</v>
          </cell>
          <cell r="G5860">
            <v>2375</v>
          </cell>
        </row>
        <row r="5861">
          <cell r="B5861">
            <v>137</v>
          </cell>
          <cell r="C5861" t="str">
            <v>Vật liệu khác</v>
          </cell>
          <cell r="D5861" t="str">
            <v>%</v>
          </cell>
          <cell r="E5861">
            <v>5</v>
          </cell>
          <cell r="F5861">
            <v>1500</v>
          </cell>
          <cell r="G5861">
            <v>7899</v>
          </cell>
        </row>
        <row r="5862">
          <cell r="C5862" t="str">
            <v>Nhân công</v>
          </cell>
          <cell r="G5862">
            <v>603597.91875000007</v>
          </cell>
        </row>
        <row r="5863">
          <cell r="B5863" t="str">
            <v>NC1457</v>
          </cell>
          <cell r="C5863" t="str">
            <v>+ Nhân công bậc 4,5/7</v>
          </cell>
          <cell r="D5863" t="str">
            <v>Công</v>
          </cell>
          <cell r="E5863">
            <v>2.85</v>
          </cell>
          <cell r="F5863">
            <v>211788.74342105264</v>
          </cell>
          <cell r="G5863">
            <v>603597.91875000007</v>
          </cell>
        </row>
        <row r="5864">
          <cell r="A5864" t="str">
            <v>D4.3235</v>
          </cell>
          <cell r="C5864" t="str">
            <v>Làm đầu cáp lực 3-6Kv, Phễu cáp bằng tôn, Cáp có tiết diện &lt;=240mm2</v>
          </cell>
          <cell r="D5864" t="str">
            <v>1 đầu 3 pha</v>
          </cell>
          <cell r="H5864">
            <v>177733.5</v>
          </cell>
          <cell r="I5864">
            <v>654427.21717105259</v>
          </cell>
        </row>
        <row r="5865">
          <cell r="C5865" t="str">
            <v>Vật liệu</v>
          </cell>
          <cell r="G5865">
            <v>177733.5</v>
          </cell>
        </row>
        <row r="5866">
          <cell r="B5866">
            <v>119</v>
          </cell>
          <cell r="C5866" t="str">
            <v>+ Phễu cáp bằng tôn loại =&lt;240mm2</v>
          </cell>
          <cell r="D5866" t="str">
            <v>cái</v>
          </cell>
          <cell r="E5866">
            <v>1</v>
          </cell>
          <cell r="F5866">
            <v>0</v>
          </cell>
          <cell r="G5866">
            <v>0</v>
          </cell>
        </row>
        <row r="5867">
          <cell r="B5867">
            <v>25</v>
          </cell>
          <cell r="C5867" t="str">
            <v>+ Coliê sắt</v>
          </cell>
          <cell r="D5867" t="str">
            <v>bộ</v>
          </cell>
          <cell r="E5867">
            <v>2</v>
          </cell>
          <cell r="F5867">
            <v>8000</v>
          </cell>
          <cell r="G5867">
            <v>16000</v>
          </cell>
        </row>
        <row r="5868">
          <cell r="B5868">
            <v>114</v>
          </cell>
          <cell r="C5868" t="str">
            <v>+ Dây đồng 25mm2</v>
          </cell>
          <cell r="D5868" t="str">
            <v>m</v>
          </cell>
          <cell r="E5868">
            <v>1</v>
          </cell>
          <cell r="F5868">
            <v>69454</v>
          </cell>
          <cell r="G5868">
            <v>69454</v>
          </cell>
        </row>
        <row r="5869">
          <cell r="B5869">
            <v>35</v>
          </cell>
          <cell r="C5869" t="str">
            <v>+ Chất cách điện</v>
          </cell>
          <cell r="D5869" t="str">
            <v>kg</v>
          </cell>
          <cell r="E5869">
            <v>3.5</v>
          </cell>
          <cell r="F5869">
            <v>15450</v>
          </cell>
          <cell r="G5869">
            <v>54075</v>
          </cell>
        </row>
        <row r="5870">
          <cell r="B5870">
            <v>25</v>
          </cell>
          <cell r="C5870" t="str">
            <v>+ Băng vải nhựa, ni lông ( băng dính )</v>
          </cell>
          <cell r="D5870" t="str">
            <v>cuộn</v>
          </cell>
          <cell r="E5870">
            <v>1.5</v>
          </cell>
          <cell r="F5870">
            <v>8000</v>
          </cell>
          <cell r="G5870">
            <v>12000</v>
          </cell>
        </row>
        <row r="5871">
          <cell r="B5871">
            <v>3</v>
          </cell>
          <cell r="C5871" t="str">
            <v>+ Xăng</v>
          </cell>
          <cell r="D5871" t="str">
            <v>kg</v>
          </cell>
          <cell r="E5871">
            <v>0.5</v>
          </cell>
          <cell r="F5871">
            <v>18382</v>
          </cell>
          <cell r="G5871">
            <v>9191</v>
          </cell>
        </row>
        <row r="5872">
          <cell r="B5872">
            <v>1</v>
          </cell>
          <cell r="C5872" t="str">
            <v>+ Cồn công nghiệp</v>
          </cell>
          <cell r="D5872" t="str">
            <v>kg</v>
          </cell>
          <cell r="E5872">
            <v>0.6</v>
          </cell>
          <cell r="F5872">
            <v>9500</v>
          </cell>
          <cell r="G5872">
            <v>5700</v>
          </cell>
        </row>
        <row r="5873">
          <cell r="B5873">
            <v>9</v>
          </cell>
          <cell r="C5873" t="str">
            <v>+ Giẻ lau</v>
          </cell>
          <cell r="D5873" t="str">
            <v>Kg</v>
          </cell>
          <cell r="E5873">
            <v>0.3</v>
          </cell>
          <cell r="F5873">
            <v>9500</v>
          </cell>
          <cell r="G5873">
            <v>2850</v>
          </cell>
        </row>
        <row r="5874">
          <cell r="B5874">
            <v>137</v>
          </cell>
          <cell r="C5874" t="str">
            <v>Vật liệu khác</v>
          </cell>
          <cell r="D5874" t="str">
            <v>%</v>
          </cell>
          <cell r="E5874">
            <v>5</v>
          </cell>
          <cell r="F5874">
            <v>1500</v>
          </cell>
          <cell r="G5874">
            <v>8463.5</v>
          </cell>
        </row>
        <row r="5875">
          <cell r="C5875" t="str">
            <v>Nhân công</v>
          </cell>
          <cell r="G5875">
            <v>654427.21717105259</v>
          </cell>
        </row>
        <row r="5876">
          <cell r="B5876" t="str">
            <v>NC1457</v>
          </cell>
          <cell r="C5876" t="str">
            <v>+ Nhân công bậc 4,5/7</v>
          </cell>
          <cell r="D5876" t="str">
            <v>Công</v>
          </cell>
          <cell r="E5876">
            <v>3.09</v>
          </cell>
          <cell r="F5876">
            <v>211788.74342105264</v>
          </cell>
          <cell r="G5876">
            <v>654427.21717105259</v>
          </cell>
        </row>
        <row r="5877">
          <cell r="A5877" t="str">
            <v>D4.3236</v>
          </cell>
          <cell r="C5877" t="str">
            <v>Làm đầu cáp lực 3-6Kv, Phễu cáp bằng tôn, Cáp có tiết diện &lt;=300mm2</v>
          </cell>
          <cell r="D5877" t="str">
            <v>1 đầu 3 pha</v>
          </cell>
          <cell r="H5877">
            <v>185844.75</v>
          </cell>
          <cell r="I5877">
            <v>730671.1648026316</v>
          </cell>
        </row>
        <row r="5878">
          <cell r="C5878" t="str">
            <v>Vật liệu</v>
          </cell>
          <cell r="G5878">
            <v>185844.75</v>
          </cell>
        </row>
        <row r="5879">
          <cell r="B5879">
            <v>120</v>
          </cell>
          <cell r="C5879" t="str">
            <v>+ Phễu cáp bằng tôn loại =&lt;300mm2</v>
          </cell>
          <cell r="D5879" t="str">
            <v>cái</v>
          </cell>
          <cell r="E5879">
            <v>1</v>
          </cell>
          <cell r="F5879">
            <v>0</v>
          </cell>
          <cell r="G5879">
            <v>0</v>
          </cell>
        </row>
        <row r="5880">
          <cell r="B5880">
            <v>25</v>
          </cell>
          <cell r="C5880" t="str">
            <v>+ Coliê sắt</v>
          </cell>
          <cell r="D5880" t="str">
            <v>bộ</v>
          </cell>
          <cell r="E5880">
            <v>2</v>
          </cell>
          <cell r="F5880">
            <v>8000</v>
          </cell>
          <cell r="G5880">
            <v>16000</v>
          </cell>
        </row>
        <row r="5881">
          <cell r="B5881">
            <v>114</v>
          </cell>
          <cell r="C5881" t="str">
            <v>+ Dây đồng 25mm2</v>
          </cell>
          <cell r="D5881" t="str">
            <v>m</v>
          </cell>
          <cell r="E5881">
            <v>1</v>
          </cell>
          <cell r="F5881">
            <v>69454</v>
          </cell>
          <cell r="G5881">
            <v>69454</v>
          </cell>
        </row>
        <row r="5882">
          <cell r="B5882">
            <v>35</v>
          </cell>
          <cell r="C5882" t="str">
            <v>+ Chất cách điện</v>
          </cell>
          <cell r="D5882" t="str">
            <v>kg</v>
          </cell>
          <cell r="E5882">
            <v>4</v>
          </cell>
          <cell r="F5882">
            <v>15450</v>
          </cell>
          <cell r="G5882">
            <v>61800</v>
          </cell>
        </row>
        <row r="5883">
          <cell r="B5883">
            <v>25</v>
          </cell>
          <cell r="C5883" t="str">
            <v>+ Băng vải nhựa, ni lông ( băng dính )</v>
          </cell>
          <cell r="D5883" t="str">
            <v>cuộn</v>
          </cell>
          <cell r="E5883">
            <v>1.5</v>
          </cell>
          <cell r="F5883">
            <v>8000</v>
          </cell>
          <cell r="G5883">
            <v>12000</v>
          </cell>
        </row>
        <row r="5884">
          <cell r="B5884">
            <v>3</v>
          </cell>
          <cell r="C5884" t="str">
            <v>+ Xăng</v>
          </cell>
          <cell r="D5884" t="str">
            <v>kg</v>
          </cell>
          <cell r="E5884">
            <v>0.5</v>
          </cell>
          <cell r="F5884">
            <v>18382</v>
          </cell>
          <cell r="G5884">
            <v>9191</v>
          </cell>
        </row>
        <row r="5885">
          <cell r="B5885">
            <v>1</v>
          </cell>
          <cell r="C5885" t="str">
            <v>+ Cồn công nghiệp</v>
          </cell>
          <cell r="D5885" t="str">
            <v>kg</v>
          </cell>
          <cell r="E5885">
            <v>0.6</v>
          </cell>
          <cell r="F5885">
            <v>9500</v>
          </cell>
          <cell r="G5885">
            <v>5700</v>
          </cell>
        </row>
        <row r="5886">
          <cell r="B5886">
            <v>9</v>
          </cell>
          <cell r="C5886" t="str">
            <v>+ Giẻ lau</v>
          </cell>
          <cell r="D5886" t="str">
            <v>Kg</v>
          </cell>
          <cell r="E5886">
            <v>0.3</v>
          </cell>
          <cell r="F5886">
            <v>9500</v>
          </cell>
          <cell r="G5886">
            <v>2850</v>
          </cell>
        </row>
        <row r="5887">
          <cell r="B5887">
            <v>137</v>
          </cell>
          <cell r="C5887" t="str">
            <v>Vật liệu khác</v>
          </cell>
          <cell r="D5887" t="str">
            <v>%</v>
          </cell>
          <cell r="E5887">
            <v>5</v>
          </cell>
          <cell r="F5887">
            <v>1500</v>
          </cell>
          <cell r="G5887">
            <v>8849.75</v>
          </cell>
        </row>
        <row r="5888">
          <cell r="C5888" t="str">
            <v>Nhân công</v>
          </cell>
          <cell r="G5888">
            <v>730671.1648026316</v>
          </cell>
        </row>
        <row r="5889">
          <cell r="B5889" t="str">
            <v>NC1457</v>
          </cell>
          <cell r="C5889" t="str">
            <v>+ Nhân công bậc 4,5/7</v>
          </cell>
          <cell r="D5889" t="str">
            <v>Công</v>
          </cell>
          <cell r="E5889">
            <v>3.45</v>
          </cell>
          <cell r="F5889">
            <v>211788.74342105264</v>
          </cell>
          <cell r="G5889">
            <v>730671.1648026316</v>
          </cell>
        </row>
        <row r="5890">
          <cell r="A5890" t="str">
            <v>D4.3237</v>
          </cell>
          <cell r="C5890" t="str">
            <v>Làm đầu cáp lực 3-6Kv, Phễu cáp bằng tôn, Cáp có tiết diện &lt;=400mm2</v>
          </cell>
          <cell r="D5890" t="str">
            <v>1 đầu 3 pha</v>
          </cell>
          <cell r="H5890">
            <v>205068.36000000002</v>
          </cell>
          <cell r="I5890">
            <v>876805.39776315785</v>
          </cell>
        </row>
        <row r="5891">
          <cell r="C5891" t="str">
            <v>Vật liệu</v>
          </cell>
          <cell r="G5891">
            <v>205068.36000000002</v>
          </cell>
        </row>
        <row r="5892">
          <cell r="B5892">
            <v>121</v>
          </cell>
          <cell r="C5892" t="str">
            <v>+ Phễu cáp bằng tôn loại =&lt;400mm2</v>
          </cell>
          <cell r="D5892" t="str">
            <v>cái</v>
          </cell>
          <cell r="E5892">
            <v>1</v>
          </cell>
          <cell r="F5892">
            <v>0</v>
          </cell>
          <cell r="G5892">
            <v>0</v>
          </cell>
        </row>
        <row r="5893">
          <cell r="B5893">
            <v>25</v>
          </cell>
          <cell r="C5893" t="str">
            <v>+ Coliê sắt</v>
          </cell>
          <cell r="D5893" t="str">
            <v>bộ</v>
          </cell>
          <cell r="E5893">
            <v>2</v>
          </cell>
          <cell r="F5893">
            <v>8000</v>
          </cell>
          <cell r="G5893">
            <v>16000</v>
          </cell>
        </row>
        <row r="5894">
          <cell r="B5894">
            <v>114</v>
          </cell>
          <cell r="C5894" t="str">
            <v>+ Dây đồng 25mm2</v>
          </cell>
          <cell r="D5894" t="str">
            <v>m</v>
          </cell>
          <cell r="E5894">
            <v>1</v>
          </cell>
          <cell r="F5894">
            <v>69454</v>
          </cell>
          <cell r="G5894">
            <v>69454</v>
          </cell>
        </row>
        <row r="5895">
          <cell r="B5895">
            <v>35</v>
          </cell>
          <cell r="C5895" t="str">
            <v>+ Chất cách điện</v>
          </cell>
          <cell r="D5895" t="str">
            <v>kg</v>
          </cell>
          <cell r="E5895">
            <v>4.8</v>
          </cell>
          <cell r="F5895">
            <v>15450</v>
          </cell>
          <cell r="G5895">
            <v>74160</v>
          </cell>
        </row>
        <row r="5896">
          <cell r="B5896">
            <v>25</v>
          </cell>
          <cell r="C5896" t="str">
            <v>+ Băng vải nhựa, ni lông ( băng dính )</v>
          </cell>
          <cell r="D5896" t="str">
            <v>cuộn</v>
          </cell>
          <cell r="E5896">
            <v>1.8</v>
          </cell>
          <cell r="F5896">
            <v>8000</v>
          </cell>
          <cell r="G5896">
            <v>14400</v>
          </cell>
        </row>
        <row r="5897">
          <cell r="B5897">
            <v>3</v>
          </cell>
          <cell r="C5897" t="str">
            <v>+ Xăng</v>
          </cell>
          <cell r="D5897" t="str">
            <v>kg</v>
          </cell>
          <cell r="E5897">
            <v>0.6</v>
          </cell>
          <cell r="F5897">
            <v>18382</v>
          </cell>
          <cell r="G5897">
            <v>11029.199999999999</v>
          </cell>
        </row>
        <row r="5898">
          <cell r="B5898">
            <v>1</v>
          </cell>
          <cell r="C5898" t="str">
            <v>+ Cồn công nghiệp</v>
          </cell>
          <cell r="D5898" t="str">
            <v>kg</v>
          </cell>
          <cell r="E5898">
            <v>0.72</v>
          </cell>
          <cell r="F5898">
            <v>9500</v>
          </cell>
          <cell r="G5898">
            <v>6840</v>
          </cell>
        </row>
        <row r="5899">
          <cell r="B5899">
            <v>9</v>
          </cell>
          <cell r="C5899" t="str">
            <v>+ Giẻ lau</v>
          </cell>
          <cell r="D5899" t="str">
            <v>Kg</v>
          </cell>
          <cell r="E5899">
            <v>0.36</v>
          </cell>
          <cell r="F5899">
            <v>9500</v>
          </cell>
          <cell r="G5899">
            <v>3420</v>
          </cell>
        </row>
        <row r="5900">
          <cell r="B5900">
            <v>137</v>
          </cell>
          <cell r="C5900" t="str">
            <v>Vật liệu khác</v>
          </cell>
          <cell r="D5900" t="str">
            <v>%</v>
          </cell>
          <cell r="E5900">
            <v>5</v>
          </cell>
          <cell r="F5900">
            <v>1500</v>
          </cell>
          <cell r="G5900">
            <v>9765.1600000000017</v>
          </cell>
        </row>
        <row r="5901">
          <cell r="C5901" t="str">
            <v>Nhân công</v>
          </cell>
          <cell r="G5901">
            <v>876805.39776315785</v>
          </cell>
        </row>
        <row r="5902">
          <cell r="B5902" t="str">
            <v>NC1457</v>
          </cell>
          <cell r="C5902" t="str">
            <v>+ Nhân công bậc 4,5/7</v>
          </cell>
          <cell r="D5902" t="str">
            <v>Công</v>
          </cell>
          <cell r="E5902">
            <v>4.1399999999999997</v>
          </cell>
          <cell r="F5902">
            <v>211788.74342105264</v>
          </cell>
          <cell r="G5902">
            <v>876805.39776315785</v>
          </cell>
        </row>
        <row r="5903">
          <cell r="A5903" t="str">
            <v>D4.3241</v>
          </cell>
          <cell r="C5903" t="str">
            <v>Làm đầu cáp lực 10-15Kv, Phễu cáp bằng tôn, Cáp có tiết diện &lt;=35mm2</v>
          </cell>
          <cell r="D5903" t="str">
            <v>1 đầu 3 pha</v>
          </cell>
          <cell r="H5903">
            <v>140715.75</v>
          </cell>
          <cell r="I5903">
            <v>427813.26171052636</v>
          </cell>
        </row>
        <row r="5904">
          <cell r="C5904" t="str">
            <v>Vật liệu</v>
          </cell>
          <cell r="G5904">
            <v>140715.75</v>
          </cell>
        </row>
        <row r="5905">
          <cell r="B5905">
            <v>115</v>
          </cell>
          <cell r="C5905" t="str">
            <v>+ Phễu cáp bằng tôn loại =&lt;35mm2</v>
          </cell>
          <cell r="D5905" t="str">
            <v>cái</v>
          </cell>
          <cell r="E5905">
            <v>1</v>
          </cell>
          <cell r="F5905">
            <v>0</v>
          </cell>
          <cell r="G5905">
            <v>0</v>
          </cell>
        </row>
        <row r="5906">
          <cell r="B5906">
            <v>25</v>
          </cell>
          <cell r="C5906" t="str">
            <v>+ Coliê sắt</v>
          </cell>
          <cell r="D5906" t="str">
            <v>bộ</v>
          </cell>
          <cell r="E5906">
            <v>2</v>
          </cell>
          <cell r="F5906">
            <v>8000</v>
          </cell>
          <cell r="G5906">
            <v>16000</v>
          </cell>
        </row>
        <row r="5907">
          <cell r="B5907">
            <v>114</v>
          </cell>
          <cell r="C5907" t="str">
            <v>+ Dây đồng 25mm2</v>
          </cell>
          <cell r="D5907" t="str">
            <v>m</v>
          </cell>
          <cell r="E5907">
            <v>1</v>
          </cell>
          <cell r="F5907">
            <v>69454</v>
          </cell>
          <cell r="G5907">
            <v>69454</v>
          </cell>
        </row>
        <row r="5908">
          <cell r="B5908">
            <v>35</v>
          </cell>
          <cell r="C5908" t="str">
            <v>+ Chất cách điện</v>
          </cell>
          <cell r="D5908" t="str">
            <v>kg</v>
          </cell>
          <cell r="E5908">
            <v>1.6</v>
          </cell>
          <cell r="F5908">
            <v>15450</v>
          </cell>
          <cell r="G5908">
            <v>24720</v>
          </cell>
        </row>
        <row r="5909">
          <cell r="B5909">
            <v>25</v>
          </cell>
          <cell r="C5909" t="str">
            <v>+ Băng vải nhựa, ni lông ( băng dính )</v>
          </cell>
          <cell r="D5909" t="str">
            <v>cuộn</v>
          </cell>
          <cell r="E5909">
            <v>1</v>
          </cell>
          <cell r="F5909">
            <v>8000</v>
          </cell>
          <cell r="G5909">
            <v>8000</v>
          </cell>
        </row>
        <row r="5910">
          <cell r="B5910">
            <v>3</v>
          </cell>
          <cell r="C5910" t="str">
            <v>+ Xăng</v>
          </cell>
          <cell r="D5910" t="str">
            <v>kg</v>
          </cell>
          <cell r="E5910">
            <v>0.5</v>
          </cell>
          <cell r="F5910">
            <v>18382</v>
          </cell>
          <cell r="G5910">
            <v>9191</v>
          </cell>
        </row>
        <row r="5911">
          <cell r="B5911">
            <v>1</v>
          </cell>
          <cell r="C5911" t="str">
            <v>+ Cồn công nghiệp</v>
          </cell>
          <cell r="D5911" t="str">
            <v>kg</v>
          </cell>
          <cell r="E5911">
            <v>0.5</v>
          </cell>
          <cell r="F5911">
            <v>9500</v>
          </cell>
          <cell r="G5911">
            <v>4750</v>
          </cell>
        </row>
        <row r="5912">
          <cell r="B5912">
            <v>9</v>
          </cell>
          <cell r="C5912" t="str">
            <v>+ Giẻ lau</v>
          </cell>
          <cell r="D5912" t="str">
            <v>Kg</v>
          </cell>
          <cell r="E5912">
            <v>0.2</v>
          </cell>
          <cell r="F5912">
            <v>9500</v>
          </cell>
          <cell r="G5912">
            <v>1900</v>
          </cell>
        </row>
        <row r="5913">
          <cell r="B5913">
            <v>137</v>
          </cell>
          <cell r="C5913" t="str">
            <v>Vật liệu khác</v>
          </cell>
          <cell r="D5913" t="str">
            <v>%</v>
          </cell>
          <cell r="E5913">
            <v>5</v>
          </cell>
          <cell r="F5913">
            <v>1500</v>
          </cell>
          <cell r="G5913">
            <v>6700.75</v>
          </cell>
        </row>
        <row r="5914">
          <cell r="C5914" t="str">
            <v>Nhân công</v>
          </cell>
          <cell r="G5914">
            <v>427813.26171052636</v>
          </cell>
        </row>
        <row r="5915">
          <cell r="B5915" t="str">
            <v>NC1457</v>
          </cell>
          <cell r="C5915" t="str">
            <v>+ Nhân công bậc 4,5/7</v>
          </cell>
          <cell r="D5915" t="str">
            <v>Công</v>
          </cell>
          <cell r="E5915">
            <v>2.02</v>
          </cell>
          <cell r="F5915">
            <v>211788.74342105264</v>
          </cell>
          <cell r="G5915">
            <v>427813.26171052636</v>
          </cell>
        </row>
        <row r="5916">
          <cell r="A5916" t="str">
            <v>D4.3242</v>
          </cell>
          <cell r="C5916" t="str">
            <v>Làm đầu cáp lực 10-15Kv, Phễu cáp bằng tôn, Cáp có tiết diện &lt;=70mm2</v>
          </cell>
          <cell r="D5916" t="str">
            <v>1 đầu 3 pha</v>
          </cell>
          <cell r="H5916">
            <v>148827</v>
          </cell>
          <cell r="I5916">
            <v>478642.56013157894</v>
          </cell>
        </row>
        <row r="5917">
          <cell r="C5917" t="str">
            <v>Vật liệu</v>
          </cell>
          <cell r="G5917">
            <v>148827</v>
          </cell>
        </row>
        <row r="5918">
          <cell r="B5918">
            <v>116</v>
          </cell>
          <cell r="C5918" t="str">
            <v>+ Phễu cáp bằng tôn loại =&lt;70mm2</v>
          </cell>
          <cell r="D5918" t="str">
            <v>cái</v>
          </cell>
          <cell r="E5918">
            <v>1</v>
          </cell>
          <cell r="F5918">
            <v>0</v>
          </cell>
          <cell r="G5918">
            <v>0</v>
          </cell>
        </row>
        <row r="5919">
          <cell r="B5919">
            <v>25</v>
          </cell>
          <cell r="C5919" t="str">
            <v>+ Coliê sắt</v>
          </cell>
          <cell r="D5919" t="str">
            <v>bộ</v>
          </cell>
          <cell r="E5919">
            <v>2</v>
          </cell>
          <cell r="F5919">
            <v>8000</v>
          </cell>
          <cell r="G5919">
            <v>16000</v>
          </cell>
        </row>
        <row r="5920">
          <cell r="B5920">
            <v>114</v>
          </cell>
          <cell r="C5920" t="str">
            <v>+ Dây đồng 25mm2</v>
          </cell>
          <cell r="D5920" t="str">
            <v>m</v>
          </cell>
          <cell r="E5920">
            <v>1</v>
          </cell>
          <cell r="F5920">
            <v>69454</v>
          </cell>
          <cell r="G5920">
            <v>69454</v>
          </cell>
        </row>
        <row r="5921">
          <cell r="B5921">
            <v>35</v>
          </cell>
          <cell r="C5921" t="str">
            <v>+ Chất cách điện</v>
          </cell>
          <cell r="D5921" t="str">
            <v>kg</v>
          </cell>
          <cell r="E5921">
            <v>2.1</v>
          </cell>
          <cell r="F5921">
            <v>15450</v>
          </cell>
          <cell r="G5921">
            <v>32445</v>
          </cell>
        </row>
        <row r="5922">
          <cell r="B5922">
            <v>25</v>
          </cell>
          <cell r="C5922" t="str">
            <v>+ Băng vải nhựa, ni lông ( băng dính )</v>
          </cell>
          <cell r="D5922" t="str">
            <v>cuộn</v>
          </cell>
          <cell r="E5922">
            <v>1</v>
          </cell>
          <cell r="F5922">
            <v>8000</v>
          </cell>
          <cell r="G5922">
            <v>8000</v>
          </cell>
        </row>
        <row r="5923">
          <cell r="B5923">
            <v>3</v>
          </cell>
          <cell r="C5923" t="str">
            <v>+ Xăng</v>
          </cell>
          <cell r="D5923" t="str">
            <v>kg</v>
          </cell>
          <cell r="E5923">
            <v>0.5</v>
          </cell>
          <cell r="F5923">
            <v>18382</v>
          </cell>
          <cell r="G5923">
            <v>9191</v>
          </cell>
        </row>
        <row r="5924">
          <cell r="B5924">
            <v>1</v>
          </cell>
          <cell r="C5924" t="str">
            <v>+ Cồn công nghiệp</v>
          </cell>
          <cell r="D5924" t="str">
            <v>kg</v>
          </cell>
          <cell r="E5924">
            <v>0.5</v>
          </cell>
          <cell r="F5924">
            <v>9500</v>
          </cell>
          <cell r="G5924">
            <v>4750</v>
          </cell>
        </row>
        <row r="5925">
          <cell r="B5925">
            <v>9</v>
          </cell>
          <cell r="C5925" t="str">
            <v>+ Giẻ lau</v>
          </cell>
          <cell r="D5925" t="str">
            <v>Kg</v>
          </cell>
          <cell r="E5925">
            <v>0.2</v>
          </cell>
          <cell r="F5925">
            <v>9500</v>
          </cell>
          <cell r="G5925">
            <v>1900</v>
          </cell>
        </row>
        <row r="5926">
          <cell r="B5926">
            <v>137</v>
          </cell>
          <cell r="C5926" t="str">
            <v>Vật liệu khác</v>
          </cell>
          <cell r="D5926" t="str">
            <v>%</v>
          </cell>
          <cell r="E5926">
            <v>5</v>
          </cell>
          <cell r="F5926">
            <v>1500</v>
          </cell>
          <cell r="G5926">
            <v>7087</v>
          </cell>
        </row>
        <row r="5927">
          <cell r="C5927" t="str">
            <v>Nhân công</v>
          </cell>
          <cell r="G5927">
            <v>478642.56013157894</v>
          </cell>
        </row>
        <row r="5928">
          <cell r="B5928" t="str">
            <v>NC1457</v>
          </cell>
          <cell r="C5928" t="str">
            <v>+ Nhân công bậc 4,5/7</v>
          </cell>
          <cell r="D5928" t="str">
            <v>Công</v>
          </cell>
          <cell r="E5928">
            <v>2.2599999999999998</v>
          </cell>
          <cell r="F5928">
            <v>211788.74342105264</v>
          </cell>
          <cell r="G5928">
            <v>478642.56013157894</v>
          </cell>
        </row>
        <row r="5929">
          <cell r="A5929" t="str">
            <v>D4.3243</v>
          </cell>
          <cell r="C5929" t="str">
            <v>Làm đầu cáp lực 10-15Kv, Phễu cáp bằng tôn, Cáp có tiết diện &lt;=120mm2</v>
          </cell>
          <cell r="D5929" t="str">
            <v>1 đầu 3 pha</v>
          </cell>
          <cell r="H5929">
            <v>154192.5</v>
          </cell>
          <cell r="I5929">
            <v>603597.91875000007</v>
          </cell>
        </row>
        <row r="5930">
          <cell r="C5930" t="str">
            <v>Vật liệu</v>
          </cell>
          <cell r="G5930">
            <v>154192.5</v>
          </cell>
        </row>
        <row r="5931">
          <cell r="B5931">
            <v>117</v>
          </cell>
          <cell r="C5931" t="str">
            <v>+ Phễu cáp bằng tôn loại =&lt;120mm2</v>
          </cell>
          <cell r="D5931" t="str">
            <v>cái</v>
          </cell>
          <cell r="E5931">
            <v>1</v>
          </cell>
          <cell r="F5931">
            <v>0</v>
          </cell>
          <cell r="G5931">
            <v>0</v>
          </cell>
        </row>
        <row r="5932">
          <cell r="B5932">
            <v>25</v>
          </cell>
          <cell r="C5932" t="str">
            <v>+ Coliê sắt</v>
          </cell>
          <cell r="D5932" t="str">
            <v>bộ</v>
          </cell>
          <cell r="E5932">
            <v>2</v>
          </cell>
          <cell r="F5932">
            <v>8000</v>
          </cell>
          <cell r="G5932">
            <v>16000</v>
          </cell>
        </row>
        <row r="5933">
          <cell r="B5933">
            <v>114</v>
          </cell>
          <cell r="C5933" t="str">
            <v>+ Dây đồng 25mm2</v>
          </cell>
          <cell r="D5933" t="str">
            <v>m</v>
          </cell>
          <cell r="E5933">
            <v>1</v>
          </cell>
          <cell r="F5933">
            <v>69454</v>
          </cell>
          <cell r="G5933">
            <v>69454</v>
          </cell>
        </row>
        <row r="5934">
          <cell r="B5934">
            <v>35</v>
          </cell>
          <cell r="C5934" t="str">
            <v>+ Chất cách điện</v>
          </cell>
          <cell r="D5934" t="str">
            <v>kg</v>
          </cell>
          <cell r="E5934">
            <v>2.4</v>
          </cell>
          <cell r="F5934">
            <v>15450</v>
          </cell>
          <cell r="G5934">
            <v>37080</v>
          </cell>
        </row>
        <row r="5935">
          <cell r="B5935">
            <v>25</v>
          </cell>
          <cell r="C5935" t="str">
            <v>+ Băng vải nhựa, ni lông ( băng dính )</v>
          </cell>
          <cell r="D5935" t="str">
            <v>cuộn</v>
          </cell>
          <cell r="E5935">
            <v>1</v>
          </cell>
          <cell r="F5935">
            <v>8000</v>
          </cell>
          <cell r="G5935">
            <v>8000</v>
          </cell>
        </row>
        <row r="5936">
          <cell r="B5936">
            <v>3</v>
          </cell>
          <cell r="C5936" t="str">
            <v>+ Xăng</v>
          </cell>
          <cell r="D5936" t="str">
            <v>kg</v>
          </cell>
          <cell r="E5936">
            <v>0.5</v>
          </cell>
          <cell r="F5936">
            <v>18382</v>
          </cell>
          <cell r="G5936">
            <v>9191</v>
          </cell>
        </row>
        <row r="5937">
          <cell r="B5937">
            <v>1</v>
          </cell>
          <cell r="C5937" t="str">
            <v>+ Cồn công nghiệp</v>
          </cell>
          <cell r="D5937" t="str">
            <v>kg</v>
          </cell>
          <cell r="E5937">
            <v>0.5</v>
          </cell>
          <cell r="F5937">
            <v>9500</v>
          </cell>
          <cell r="G5937">
            <v>4750</v>
          </cell>
        </row>
        <row r="5938">
          <cell r="B5938">
            <v>9</v>
          </cell>
          <cell r="C5938" t="str">
            <v>+ Giẻ lau</v>
          </cell>
          <cell r="D5938" t="str">
            <v>Kg</v>
          </cell>
          <cell r="E5938">
            <v>0.25</v>
          </cell>
          <cell r="F5938">
            <v>9500</v>
          </cell>
          <cell r="G5938">
            <v>2375</v>
          </cell>
        </row>
        <row r="5939">
          <cell r="B5939">
            <v>137</v>
          </cell>
          <cell r="C5939" t="str">
            <v>Vật liệu khác</v>
          </cell>
          <cell r="D5939" t="str">
            <v>%</v>
          </cell>
          <cell r="E5939">
            <v>5</v>
          </cell>
          <cell r="F5939">
            <v>1500</v>
          </cell>
          <cell r="G5939">
            <v>7342.5</v>
          </cell>
        </row>
        <row r="5940">
          <cell r="C5940" t="str">
            <v>Nhân công</v>
          </cell>
          <cell r="G5940">
            <v>603597.91875000007</v>
          </cell>
        </row>
        <row r="5941">
          <cell r="B5941" t="str">
            <v>NC1457</v>
          </cell>
          <cell r="C5941" t="str">
            <v>+ Nhân công bậc 4,5/7</v>
          </cell>
          <cell r="D5941" t="str">
            <v>Công</v>
          </cell>
          <cell r="E5941">
            <v>2.85</v>
          </cell>
          <cell r="F5941">
            <v>211788.74342105264</v>
          </cell>
          <cell r="G5941">
            <v>603597.91875000007</v>
          </cell>
        </row>
        <row r="5942">
          <cell r="A5942" t="str">
            <v>D4.3244</v>
          </cell>
          <cell r="C5942" t="str">
            <v>Làm đầu cáp lực 10-15Kv, Phễu cáp bằng tôn, Cáp có tiết diện &lt;=185mm2</v>
          </cell>
          <cell r="D5942" t="str">
            <v>1 đầu 3 pha</v>
          </cell>
          <cell r="H5942">
            <v>165879</v>
          </cell>
          <cell r="I5942">
            <v>730671.1648026316</v>
          </cell>
        </row>
        <row r="5943">
          <cell r="C5943" t="str">
            <v>Vật liệu</v>
          </cell>
          <cell r="G5943">
            <v>165879</v>
          </cell>
        </row>
        <row r="5944">
          <cell r="B5944">
            <v>118</v>
          </cell>
          <cell r="C5944" t="str">
            <v>+ Phễu cáp bằng tôn loại =&lt;185mm2</v>
          </cell>
          <cell r="D5944" t="str">
            <v>cái</v>
          </cell>
          <cell r="E5944">
            <v>1</v>
          </cell>
          <cell r="F5944">
            <v>0</v>
          </cell>
          <cell r="G5944">
            <v>0</v>
          </cell>
        </row>
        <row r="5945">
          <cell r="B5945">
            <v>25</v>
          </cell>
          <cell r="C5945" t="str">
            <v>+ Coliê sắt</v>
          </cell>
          <cell r="D5945" t="str">
            <v>bộ</v>
          </cell>
          <cell r="E5945">
            <v>2</v>
          </cell>
          <cell r="F5945">
            <v>8000</v>
          </cell>
          <cell r="G5945">
            <v>16000</v>
          </cell>
        </row>
        <row r="5946">
          <cell r="B5946">
            <v>114</v>
          </cell>
          <cell r="C5946" t="str">
            <v>+ Dây đồng 25mm2</v>
          </cell>
          <cell r="D5946" t="str">
            <v>m</v>
          </cell>
          <cell r="E5946">
            <v>1</v>
          </cell>
          <cell r="F5946">
            <v>69454</v>
          </cell>
          <cell r="G5946">
            <v>69454</v>
          </cell>
        </row>
        <row r="5947">
          <cell r="B5947">
            <v>35</v>
          </cell>
          <cell r="C5947" t="str">
            <v>+ Chất cách điện</v>
          </cell>
          <cell r="D5947" t="str">
            <v>kg</v>
          </cell>
          <cell r="E5947">
            <v>2.8</v>
          </cell>
          <cell r="F5947">
            <v>15450</v>
          </cell>
          <cell r="G5947">
            <v>43260</v>
          </cell>
        </row>
        <row r="5948">
          <cell r="B5948">
            <v>25</v>
          </cell>
          <cell r="C5948" t="str">
            <v>+ Băng vải nhựa, ni lông ( băng dính )</v>
          </cell>
          <cell r="D5948" t="str">
            <v>cuộn</v>
          </cell>
          <cell r="E5948">
            <v>1.5</v>
          </cell>
          <cell r="F5948">
            <v>8000</v>
          </cell>
          <cell r="G5948">
            <v>12000</v>
          </cell>
        </row>
        <row r="5949">
          <cell r="B5949">
            <v>3</v>
          </cell>
          <cell r="C5949" t="str">
            <v>+ Xăng</v>
          </cell>
          <cell r="D5949" t="str">
            <v>kg</v>
          </cell>
          <cell r="E5949">
            <v>0.5</v>
          </cell>
          <cell r="F5949">
            <v>18382</v>
          </cell>
          <cell r="G5949">
            <v>9191</v>
          </cell>
        </row>
        <row r="5950">
          <cell r="B5950">
            <v>1</v>
          </cell>
          <cell r="C5950" t="str">
            <v>+ Cồn công nghiệp</v>
          </cell>
          <cell r="D5950" t="str">
            <v>kg</v>
          </cell>
          <cell r="E5950">
            <v>0.6</v>
          </cell>
          <cell r="F5950">
            <v>9500</v>
          </cell>
          <cell r="G5950">
            <v>5700</v>
          </cell>
        </row>
        <row r="5951">
          <cell r="B5951">
            <v>9</v>
          </cell>
          <cell r="C5951" t="str">
            <v>+ Giẻ lau</v>
          </cell>
          <cell r="D5951" t="str">
            <v>Kg</v>
          </cell>
          <cell r="E5951">
            <v>0.25</v>
          </cell>
          <cell r="F5951">
            <v>9500</v>
          </cell>
          <cell r="G5951">
            <v>2375</v>
          </cell>
        </row>
        <row r="5952">
          <cell r="B5952">
            <v>137</v>
          </cell>
          <cell r="C5952" t="str">
            <v>Vật liệu khác</v>
          </cell>
          <cell r="D5952" t="str">
            <v>%</v>
          </cell>
          <cell r="E5952">
            <v>5</v>
          </cell>
          <cell r="F5952">
            <v>1500</v>
          </cell>
          <cell r="G5952">
            <v>7899</v>
          </cell>
        </row>
        <row r="5953">
          <cell r="C5953" t="str">
            <v>Nhân công</v>
          </cell>
          <cell r="G5953">
            <v>730671.1648026316</v>
          </cell>
        </row>
        <row r="5954">
          <cell r="B5954" t="str">
            <v>NC1457</v>
          </cell>
          <cell r="C5954" t="str">
            <v>+ Nhân công bậc 4,5/7</v>
          </cell>
          <cell r="D5954" t="str">
            <v>Công</v>
          </cell>
          <cell r="E5954">
            <v>3.45</v>
          </cell>
          <cell r="F5954">
            <v>211788.74342105264</v>
          </cell>
          <cell r="G5954">
            <v>730671.1648026316</v>
          </cell>
        </row>
        <row r="5955">
          <cell r="A5955" t="str">
            <v>D4.3245</v>
          </cell>
          <cell r="C5955" t="str">
            <v>Làm đầu cáp lực 10-15Kv, Phễu cáp bằng tôn, Cáp có tiết diện &lt;=240mm2</v>
          </cell>
          <cell r="D5955" t="str">
            <v>1 đầu 3 pha</v>
          </cell>
          <cell r="H5955">
            <v>177733.5</v>
          </cell>
          <cell r="I5955">
            <v>804797.22499999998</v>
          </cell>
        </row>
        <row r="5956">
          <cell r="C5956" t="str">
            <v>Vật liệu</v>
          </cell>
          <cell r="G5956">
            <v>177733.5</v>
          </cell>
        </row>
        <row r="5957">
          <cell r="B5957">
            <v>119</v>
          </cell>
          <cell r="C5957" t="str">
            <v>+ Phễu cáp bằng tôn loại =&lt;240mm2</v>
          </cell>
          <cell r="D5957" t="str">
            <v>cái</v>
          </cell>
          <cell r="E5957">
            <v>1</v>
          </cell>
          <cell r="F5957">
            <v>0</v>
          </cell>
          <cell r="G5957">
            <v>0</v>
          </cell>
        </row>
        <row r="5958">
          <cell r="B5958">
            <v>25</v>
          </cell>
          <cell r="C5958" t="str">
            <v>+ Coliê sắt</v>
          </cell>
          <cell r="D5958" t="str">
            <v>bộ</v>
          </cell>
          <cell r="E5958">
            <v>2</v>
          </cell>
          <cell r="F5958">
            <v>8000</v>
          </cell>
          <cell r="G5958">
            <v>16000</v>
          </cell>
        </row>
        <row r="5959">
          <cell r="B5959">
            <v>114</v>
          </cell>
          <cell r="C5959" t="str">
            <v>+ Dây đồng 25mm2</v>
          </cell>
          <cell r="D5959" t="str">
            <v>m</v>
          </cell>
          <cell r="E5959">
            <v>1</v>
          </cell>
          <cell r="F5959">
            <v>69454</v>
          </cell>
          <cell r="G5959">
            <v>69454</v>
          </cell>
        </row>
        <row r="5960">
          <cell r="B5960">
            <v>35</v>
          </cell>
          <cell r="C5960" t="str">
            <v>+ Chất cách điện</v>
          </cell>
          <cell r="D5960" t="str">
            <v>kg</v>
          </cell>
          <cell r="E5960">
            <v>3.5</v>
          </cell>
          <cell r="F5960">
            <v>15450</v>
          </cell>
          <cell r="G5960">
            <v>54075</v>
          </cell>
        </row>
        <row r="5961">
          <cell r="B5961">
            <v>25</v>
          </cell>
          <cell r="C5961" t="str">
            <v>+ Băng vải nhựa, ni lông ( băng dính )</v>
          </cell>
          <cell r="D5961" t="str">
            <v>cuộn</v>
          </cell>
          <cell r="E5961">
            <v>1.5</v>
          </cell>
          <cell r="F5961">
            <v>8000</v>
          </cell>
          <cell r="G5961">
            <v>12000</v>
          </cell>
        </row>
        <row r="5962">
          <cell r="B5962">
            <v>3</v>
          </cell>
          <cell r="C5962" t="str">
            <v>+ Xăng</v>
          </cell>
          <cell r="D5962" t="str">
            <v>kg</v>
          </cell>
          <cell r="E5962">
            <v>0.5</v>
          </cell>
          <cell r="F5962">
            <v>18382</v>
          </cell>
          <cell r="G5962">
            <v>9191</v>
          </cell>
        </row>
        <row r="5963">
          <cell r="B5963">
            <v>1</v>
          </cell>
          <cell r="C5963" t="str">
            <v>+ Cồn công nghiệp</v>
          </cell>
          <cell r="D5963" t="str">
            <v>kg</v>
          </cell>
          <cell r="E5963">
            <v>0.6</v>
          </cell>
          <cell r="F5963">
            <v>9500</v>
          </cell>
          <cell r="G5963">
            <v>5700</v>
          </cell>
        </row>
        <row r="5964">
          <cell r="B5964">
            <v>9</v>
          </cell>
          <cell r="C5964" t="str">
            <v>+ Giẻ lau</v>
          </cell>
          <cell r="D5964" t="str">
            <v>Kg</v>
          </cell>
          <cell r="E5964">
            <v>0.3</v>
          </cell>
          <cell r="F5964">
            <v>9500</v>
          </cell>
          <cell r="G5964">
            <v>2850</v>
          </cell>
        </row>
        <row r="5965">
          <cell r="B5965">
            <v>137</v>
          </cell>
          <cell r="C5965" t="str">
            <v>Vật liệu khác</v>
          </cell>
          <cell r="D5965" t="str">
            <v>%</v>
          </cell>
          <cell r="E5965">
            <v>5</v>
          </cell>
          <cell r="F5965">
            <v>1500</v>
          </cell>
          <cell r="G5965">
            <v>8463.5</v>
          </cell>
        </row>
        <row r="5966">
          <cell r="C5966" t="str">
            <v>Nhân công</v>
          </cell>
          <cell r="G5966">
            <v>804797.22499999998</v>
          </cell>
        </row>
        <row r="5967">
          <cell r="B5967" t="str">
            <v>NC1457</v>
          </cell>
          <cell r="C5967" t="str">
            <v>+ Nhân công bậc 4,5/7</v>
          </cell>
          <cell r="D5967" t="str">
            <v>Công</v>
          </cell>
          <cell r="E5967">
            <v>3.8</v>
          </cell>
          <cell r="F5967">
            <v>211788.74342105264</v>
          </cell>
          <cell r="G5967">
            <v>804797.22499999998</v>
          </cell>
        </row>
        <row r="5968">
          <cell r="A5968" t="str">
            <v>D4.3246</v>
          </cell>
          <cell r="C5968" t="str">
            <v>Làm đầu cáp lực 10-15Kv, Phễu cáp bằng tôn, Cáp có tiết diện &lt;=300mm2</v>
          </cell>
          <cell r="D5968" t="str">
            <v>1 đầu 3 pha</v>
          </cell>
          <cell r="H5968">
            <v>185844.75</v>
          </cell>
          <cell r="I5968">
            <v>887394.83493421064</v>
          </cell>
        </row>
        <row r="5969">
          <cell r="C5969" t="str">
            <v>Vật liệu</v>
          </cell>
          <cell r="G5969">
            <v>185844.75</v>
          </cell>
        </row>
        <row r="5970">
          <cell r="B5970">
            <v>120</v>
          </cell>
          <cell r="C5970" t="str">
            <v>+ Phễu cáp bằng tôn loại =&lt;300mm2</v>
          </cell>
          <cell r="D5970" t="str">
            <v>cái</v>
          </cell>
          <cell r="E5970">
            <v>1</v>
          </cell>
          <cell r="F5970">
            <v>0</v>
          </cell>
          <cell r="G5970">
            <v>0</v>
          </cell>
        </row>
        <row r="5971">
          <cell r="B5971">
            <v>25</v>
          </cell>
          <cell r="C5971" t="str">
            <v>+ Coliê sắt</v>
          </cell>
          <cell r="D5971" t="str">
            <v>bộ</v>
          </cell>
          <cell r="E5971">
            <v>2</v>
          </cell>
          <cell r="F5971">
            <v>8000</v>
          </cell>
          <cell r="G5971">
            <v>16000</v>
          </cell>
        </row>
        <row r="5972">
          <cell r="B5972">
            <v>114</v>
          </cell>
          <cell r="C5972" t="str">
            <v>+ Dây đồng 25mm2</v>
          </cell>
          <cell r="D5972" t="str">
            <v>m</v>
          </cell>
          <cell r="E5972">
            <v>1</v>
          </cell>
          <cell r="F5972">
            <v>69454</v>
          </cell>
          <cell r="G5972">
            <v>69454</v>
          </cell>
        </row>
        <row r="5973">
          <cell r="B5973">
            <v>35</v>
          </cell>
          <cell r="C5973" t="str">
            <v>+ Chất cách điện</v>
          </cell>
          <cell r="D5973" t="str">
            <v>kg</v>
          </cell>
          <cell r="E5973">
            <v>4</v>
          </cell>
          <cell r="F5973">
            <v>15450</v>
          </cell>
          <cell r="G5973">
            <v>61800</v>
          </cell>
        </row>
        <row r="5974">
          <cell r="B5974">
            <v>25</v>
          </cell>
          <cell r="C5974" t="str">
            <v>+ Băng vải nhựa, ni lông ( băng dính )</v>
          </cell>
          <cell r="D5974" t="str">
            <v>cuộn</v>
          </cell>
          <cell r="E5974">
            <v>1.5</v>
          </cell>
          <cell r="F5974">
            <v>8000</v>
          </cell>
          <cell r="G5974">
            <v>12000</v>
          </cell>
        </row>
        <row r="5975">
          <cell r="B5975">
            <v>3</v>
          </cell>
          <cell r="C5975" t="str">
            <v>+ Xăng</v>
          </cell>
          <cell r="D5975" t="str">
            <v>kg</v>
          </cell>
          <cell r="E5975">
            <v>0.5</v>
          </cell>
          <cell r="F5975">
            <v>18382</v>
          </cell>
          <cell r="G5975">
            <v>9191</v>
          </cell>
        </row>
        <row r="5976">
          <cell r="B5976">
            <v>1</v>
          </cell>
          <cell r="C5976" t="str">
            <v>+ Cồn công nghiệp</v>
          </cell>
          <cell r="D5976" t="str">
            <v>kg</v>
          </cell>
          <cell r="E5976">
            <v>0.6</v>
          </cell>
          <cell r="F5976">
            <v>9500</v>
          </cell>
          <cell r="G5976">
            <v>5700</v>
          </cell>
        </row>
        <row r="5977">
          <cell r="B5977">
            <v>9</v>
          </cell>
          <cell r="C5977" t="str">
            <v>+ Giẻ lau</v>
          </cell>
          <cell r="D5977" t="str">
            <v>Kg</v>
          </cell>
          <cell r="E5977">
            <v>0.3</v>
          </cell>
          <cell r="F5977">
            <v>9500</v>
          </cell>
          <cell r="G5977">
            <v>2850</v>
          </cell>
        </row>
        <row r="5978">
          <cell r="B5978">
            <v>137</v>
          </cell>
          <cell r="C5978" t="str">
            <v>Vật liệu khác</v>
          </cell>
          <cell r="D5978" t="str">
            <v>%</v>
          </cell>
          <cell r="E5978">
            <v>5</v>
          </cell>
          <cell r="F5978">
            <v>1500</v>
          </cell>
          <cell r="G5978">
            <v>8849.75</v>
          </cell>
        </row>
        <row r="5979">
          <cell r="C5979" t="str">
            <v>Nhân công</v>
          </cell>
          <cell r="G5979">
            <v>887394.83493421064</v>
          </cell>
        </row>
        <row r="5980">
          <cell r="B5980" t="str">
            <v>NC1457</v>
          </cell>
          <cell r="C5980" t="str">
            <v>+ Nhân công bậc 4,5/7</v>
          </cell>
          <cell r="D5980" t="str">
            <v>Công</v>
          </cell>
          <cell r="E5980">
            <v>4.1900000000000004</v>
          </cell>
          <cell r="F5980">
            <v>211788.74342105264</v>
          </cell>
          <cell r="G5980">
            <v>887394.83493421064</v>
          </cell>
        </row>
        <row r="5981">
          <cell r="A5981" t="str">
            <v>D4.3247</v>
          </cell>
          <cell r="C5981" t="str">
            <v>Làm đầu cáp lực 10-15Kv, Phễu cáp bằng tôn, Cáp có tiết diện &lt;=400mm2</v>
          </cell>
          <cell r="D5981" t="str">
            <v>1 đầu 3 pha</v>
          </cell>
          <cell r="H5981">
            <v>205068.36000000002</v>
          </cell>
          <cell r="I5981">
            <v>1065297.3794078948</v>
          </cell>
        </row>
        <row r="5982">
          <cell r="C5982" t="str">
            <v>Vật liệu</v>
          </cell>
          <cell r="G5982">
            <v>205068.36000000002</v>
          </cell>
        </row>
        <row r="5983">
          <cell r="B5983">
            <v>121</v>
          </cell>
          <cell r="C5983" t="str">
            <v>+ Phễu cáp bằng tôn loại =&lt;400mm2</v>
          </cell>
          <cell r="D5983" t="str">
            <v>cái</v>
          </cell>
          <cell r="E5983">
            <v>1</v>
          </cell>
          <cell r="F5983">
            <v>0</v>
          </cell>
          <cell r="G5983">
            <v>0</v>
          </cell>
        </row>
        <row r="5984">
          <cell r="B5984">
            <v>25</v>
          </cell>
          <cell r="C5984" t="str">
            <v>+ Coliê sắt</v>
          </cell>
          <cell r="D5984" t="str">
            <v>bộ</v>
          </cell>
          <cell r="E5984">
            <v>2</v>
          </cell>
          <cell r="F5984">
            <v>8000</v>
          </cell>
          <cell r="G5984">
            <v>16000</v>
          </cell>
        </row>
        <row r="5985">
          <cell r="B5985">
            <v>114</v>
          </cell>
          <cell r="C5985" t="str">
            <v>+ Dây đồng 25mm2</v>
          </cell>
          <cell r="D5985" t="str">
            <v>m</v>
          </cell>
          <cell r="E5985">
            <v>1</v>
          </cell>
          <cell r="F5985">
            <v>69454</v>
          </cell>
          <cell r="G5985">
            <v>69454</v>
          </cell>
        </row>
        <row r="5986">
          <cell r="B5986">
            <v>35</v>
          </cell>
          <cell r="C5986" t="str">
            <v>+ Chất cách điện</v>
          </cell>
          <cell r="D5986" t="str">
            <v>kg</v>
          </cell>
          <cell r="E5986">
            <v>4.8</v>
          </cell>
          <cell r="F5986">
            <v>15450</v>
          </cell>
          <cell r="G5986">
            <v>74160</v>
          </cell>
        </row>
        <row r="5987">
          <cell r="B5987">
            <v>25</v>
          </cell>
          <cell r="C5987" t="str">
            <v>+ Băng vải nhựa, ni lông ( băng dính )</v>
          </cell>
          <cell r="D5987" t="str">
            <v>cuộn</v>
          </cell>
          <cell r="E5987">
            <v>1.8</v>
          </cell>
          <cell r="F5987">
            <v>8000</v>
          </cell>
          <cell r="G5987">
            <v>14400</v>
          </cell>
        </row>
        <row r="5988">
          <cell r="B5988">
            <v>3</v>
          </cell>
          <cell r="C5988" t="str">
            <v>+ Xăng</v>
          </cell>
          <cell r="D5988" t="str">
            <v>kg</v>
          </cell>
          <cell r="E5988">
            <v>0.6</v>
          </cell>
          <cell r="F5988">
            <v>18382</v>
          </cell>
          <cell r="G5988">
            <v>11029.199999999999</v>
          </cell>
        </row>
        <row r="5989">
          <cell r="B5989">
            <v>1</v>
          </cell>
          <cell r="C5989" t="str">
            <v>+ Cồn công nghiệp</v>
          </cell>
          <cell r="D5989" t="str">
            <v>kg</v>
          </cell>
          <cell r="E5989">
            <v>0.72</v>
          </cell>
          <cell r="F5989">
            <v>9500</v>
          </cell>
          <cell r="G5989">
            <v>6840</v>
          </cell>
        </row>
        <row r="5990">
          <cell r="B5990">
            <v>9</v>
          </cell>
          <cell r="C5990" t="str">
            <v>+ Giẻ lau</v>
          </cell>
          <cell r="D5990" t="str">
            <v>Kg</v>
          </cell>
          <cell r="E5990">
            <v>0.36</v>
          </cell>
          <cell r="F5990">
            <v>9500</v>
          </cell>
          <cell r="G5990">
            <v>3420</v>
          </cell>
        </row>
        <row r="5991">
          <cell r="B5991">
            <v>137</v>
          </cell>
          <cell r="C5991" t="str">
            <v>Vật liệu khác</v>
          </cell>
          <cell r="D5991" t="str">
            <v>%</v>
          </cell>
          <cell r="E5991">
            <v>5</v>
          </cell>
          <cell r="F5991">
            <v>1500</v>
          </cell>
          <cell r="G5991">
            <v>9765.1600000000017</v>
          </cell>
        </row>
        <row r="5992">
          <cell r="C5992" t="str">
            <v>Nhân công</v>
          </cell>
          <cell r="G5992">
            <v>1065297.3794078948</v>
          </cell>
        </row>
        <row r="5993">
          <cell r="B5993" t="str">
            <v>NC1457</v>
          </cell>
          <cell r="C5993" t="str">
            <v>+ Nhân công bậc 4,5/7</v>
          </cell>
          <cell r="D5993" t="str">
            <v>Công</v>
          </cell>
          <cell r="E5993">
            <v>5.03</v>
          </cell>
          <cell r="F5993">
            <v>211788.74342105264</v>
          </cell>
          <cell r="G5993">
            <v>1065297.3794078948</v>
          </cell>
        </row>
        <row r="5994">
          <cell r="A5994" t="str">
            <v>D4.3251</v>
          </cell>
          <cell r="C5994" t="str">
            <v>Làm đầu cáp lực 3-6Kv, Phễu cáp bằng gang, Cáp có tiết diện &lt;=35mm2</v>
          </cell>
          <cell r="D5994" t="str">
            <v>1 đầu 3 pha</v>
          </cell>
          <cell r="H5994">
            <v>140715.75</v>
          </cell>
          <cell r="I5994">
            <v>654427.21717105259</v>
          </cell>
        </row>
        <row r="5995">
          <cell r="C5995" t="str">
            <v>Vật liệu</v>
          </cell>
          <cell r="G5995">
            <v>140715.75</v>
          </cell>
        </row>
        <row r="5996">
          <cell r="B5996">
            <v>122</v>
          </cell>
          <cell r="C5996" t="str">
            <v>+ Phễu cáp bằng gang loại =&lt;35mm2</v>
          </cell>
          <cell r="D5996" t="str">
            <v>cái</v>
          </cell>
          <cell r="E5996">
            <v>1</v>
          </cell>
          <cell r="F5996">
            <v>0</v>
          </cell>
          <cell r="G5996">
            <v>0</v>
          </cell>
        </row>
        <row r="5997">
          <cell r="B5997">
            <v>25</v>
          </cell>
          <cell r="C5997" t="str">
            <v>+ Coliê sắt</v>
          </cell>
          <cell r="D5997" t="str">
            <v>bộ</v>
          </cell>
          <cell r="E5997">
            <v>2</v>
          </cell>
          <cell r="F5997">
            <v>8000</v>
          </cell>
          <cell r="G5997">
            <v>16000</v>
          </cell>
        </row>
        <row r="5998">
          <cell r="B5998">
            <v>114</v>
          </cell>
          <cell r="C5998" t="str">
            <v>+ Dây đồng 25mm2</v>
          </cell>
          <cell r="D5998" t="str">
            <v>m</v>
          </cell>
          <cell r="E5998">
            <v>1</v>
          </cell>
          <cell r="F5998">
            <v>69454</v>
          </cell>
          <cell r="G5998">
            <v>69454</v>
          </cell>
        </row>
        <row r="5999">
          <cell r="B5999">
            <v>35</v>
          </cell>
          <cell r="C5999" t="str">
            <v>+ Chất cách điện</v>
          </cell>
          <cell r="D5999" t="str">
            <v>kg</v>
          </cell>
          <cell r="E5999">
            <v>1.6</v>
          </cell>
          <cell r="F5999">
            <v>15450</v>
          </cell>
          <cell r="G5999">
            <v>24720</v>
          </cell>
        </row>
        <row r="6000">
          <cell r="B6000">
            <v>25</v>
          </cell>
          <cell r="C6000" t="str">
            <v>+ Băng vải nhựa, ni lông ( băng dính )</v>
          </cell>
          <cell r="D6000" t="str">
            <v>cuộn</v>
          </cell>
          <cell r="E6000">
            <v>1</v>
          </cell>
          <cell r="F6000">
            <v>8000</v>
          </cell>
          <cell r="G6000">
            <v>8000</v>
          </cell>
        </row>
        <row r="6001">
          <cell r="B6001">
            <v>3</v>
          </cell>
          <cell r="C6001" t="str">
            <v>+ Xăng</v>
          </cell>
          <cell r="D6001" t="str">
            <v>kg</v>
          </cell>
          <cell r="E6001">
            <v>0.5</v>
          </cell>
          <cell r="F6001">
            <v>18382</v>
          </cell>
          <cell r="G6001">
            <v>9191</v>
          </cell>
        </row>
        <row r="6002">
          <cell r="B6002">
            <v>1</v>
          </cell>
          <cell r="C6002" t="str">
            <v>+ Cồn công nghiệp</v>
          </cell>
          <cell r="D6002" t="str">
            <v>kg</v>
          </cell>
          <cell r="E6002">
            <v>0.5</v>
          </cell>
          <cell r="F6002">
            <v>9500</v>
          </cell>
          <cell r="G6002">
            <v>4750</v>
          </cell>
        </row>
        <row r="6003">
          <cell r="B6003">
            <v>9</v>
          </cell>
          <cell r="C6003" t="str">
            <v>+ Giẻ lau</v>
          </cell>
          <cell r="D6003" t="str">
            <v>Kg</v>
          </cell>
          <cell r="E6003">
            <v>0.2</v>
          </cell>
          <cell r="F6003">
            <v>9500</v>
          </cell>
          <cell r="G6003">
            <v>1900</v>
          </cell>
        </row>
        <row r="6004">
          <cell r="B6004">
            <v>137</v>
          </cell>
          <cell r="C6004" t="str">
            <v>Vật liệu khác</v>
          </cell>
          <cell r="D6004" t="str">
            <v>%</v>
          </cell>
          <cell r="E6004">
            <v>5</v>
          </cell>
          <cell r="F6004">
            <v>1500</v>
          </cell>
          <cell r="G6004">
            <v>6700.75</v>
          </cell>
        </row>
        <row r="6005">
          <cell r="C6005" t="str">
            <v>Nhân công</v>
          </cell>
          <cell r="G6005">
            <v>654427.21717105259</v>
          </cell>
        </row>
        <row r="6006">
          <cell r="B6006" t="str">
            <v>NC1457</v>
          </cell>
          <cell r="C6006" t="str">
            <v>+ Nhân công bậc 4,5/7</v>
          </cell>
          <cell r="D6006" t="str">
            <v>Công</v>
          </cell>
          <cell r="E6006">
            <v>3.09</v>
          </cell>
          <cell r="F6006">
            <v>211788.74342105264</v>
          </cell>
          <cell r="G6006">
            <v>654427.21717105259</v>
          </cell>
        </row>
        <row r="6007">
          <cell r="A6007" t="str">
            <v>D4.3252</v>
          </cell>
          <cell r="C6007" t="str">
            <v>Làm đầu cáp lực 3-6Kv, Phễu cáp bằng gang, Cáp có tiết diện &lt;=70mm2</v>
          </cell>
          <cell r="D6007" t="str">
            <v>1 đầu 3 pha</v>
          </cell>
          <cell r="H6007">
            <v>148827</v>
          </cell>
          <cell r="I6007">
            <v>730671.1648026316</v>
          </cell>
        </row>
        <row r="6008">
          <cell r="C6008" t="str">
            <v>Vật liệu</v>
          </cell>
          <cell r="G6008">
            <v>148827</v>
          </cell>
        </row>
        <row r="6009">
          <cell r="B6009">
            <v>123</v>
          </cell>
          <cell r="C6009" t="str">
            <v>+ Phễu cáp bằng gang loại =&lt;70mm2</v>
          </cell>
          <cell r="D6009" t="str">
            <v>cái</v>
          </cell>
          <cell r="E6009">
            <v>1</v>
          </cell>
          <cell r="F6009">
            <v>0</v>
          </cell>
          <cell r="G6009">
            <v>0</v>
          </cell>
        </row>
        <row r="6010">
          <cell r="B6010">
            <v>25</v>
          </cell>
          <cell r="C6010" t="str">
            <v>+ Coliê sắt</v>
          </cell>
          <cell r="D6010" t="str">
            <v>bộ</v>
          </cell>
          <cell r="E6010">
            <v>2</v>
          </cell>
          <cell r="F6010">
            <v>8000</v>
          </cell>
          <cell r="G6010">
            <v>16000</v>
          </cell>
        </row>
        <row r="6011">
          <cell r="B6011">
            <v>114</v>
          </cell>
          <cell r="C6011" t="str">
            <v>+ Dây đồng 25mm2</v>
          </cell>
          <cell r="D6011" t="str">
            <v>m</v>
          </cell>
          <cell r="E6011">
            <v>1</v>
          </cell>
          <cell r="F6011">
            <v>69454</v>
          </cell>
          <cell r="G6011">
            <v>69454</v>
          </cell>
        </row>
        <row r="6012">
          <cell r="B6012">
            <v>35</v>
          </cell>
          <cell r="C6012" t="str">
            <v>+ Chất cách điện</v>
          </cell>
          <cell r="D6012" t="str">
            <v>kg</v>
          </cell>
          <cell r="E6012">
            <v>2.1</v>
          </cell>
          <cell r="F6012">
            <v>15450</v>
          </cell>
          <cell r="G6012">
            <v>32445</v>
          </cell>
        </row>
        <row r="6013">
          <cell r="B6013">
            <v>25</v>
          </cell>
          <cell r="C6013" t="str">
            <v>+ Băng vải nhựa, ni lông ( băng dính )</v>
          </cell>
          <cell r="D6013" t="str">
            <v>cuộn</v>
          </cell>
          <cell r="E6013">
            <v>1</v>
          </cell>
          <cell r="F6013">
            <v>8000</v>
          </cell>
          <cell r="G6013">
            <v>8000</v>
          </cell>
        </row>
        <row r="6014">
          <cell r="B6014">
            <v>3</v>
          </cell>
          <cell r="C6014" t="str">
            <v>+ Xăng</v>
          </cell>
          <cell r="D6014" t="str">
            <v>kg</v>
          </cell>
          <cell r="E6014">
            <v>0.5</v>
          </cell>
          <cell r="F6014">
            <v>18382</v>
          </cell>
          <cell r="G6014">
            <v>9191</v>
          </cell>
        </row>
        <row r="6015">
          <cell r="B6015">
            <v>1</v>
          </cell>
          <cell r="C6015" t="str">
            <v>+ Cồn công nghiệp</v>
          </cell>
          <cell r="D6015" t="str">
            <v>kg</v>
          </cell>
          <cell r="E6015">
            <v>0.5</v>
          </cell>
          <cell r="F6015">
            <v>9500</v>
          </cell>
          <cell r="G6015">
            <v>4750</v>
          </cell>
        </row>
        <row r="6016">
          <cell r="B6016">
            <v>9</v>
          </cell>
          <cell r="C6016" t="str">
            <v>+ Giẻ lau</v>
          </cell>
          <cell r="D6016" t="str">
            <v>Kg</v>
          </cell>
          <cell r="E6016">
            <v>0.2</v>
          </cell>
          <cell r="F6016">
            <v>9500</v>
          </cell>
          <cell r="G6016">
            <v>1900</v>
          </cell>
        </row>
        <row r="6017">
          <cell r="B6017">
            <v>137</v>
          </cell>
          <cell r="C6017" t="str">
            <v>Vật liệu khác</v>
          </cell>
          <cell r="D6017" t="str">
            <v>%</v>
          </cell>
          <cell r="E6017">
            <v>5</v>
          </cell>
          <cell r="F6017">
            <v>1500</v>
          </cell>
          <cell r="G6017">
            <v>7087</v>
          </cell>
        </row>
        <row r="6018">
          <cell r="C6018" t="str">
            <v>Nhân công</v>
          </cell>
          <cell r="G6018">
            <v>730671.1648026316</v>
          </cell>
        </row>
        <row r="6019">
          <cell r="B6019" t="str">
            <v>NC1457</v>
          </cell>
          <cell r="C6019" t="str">
            <v>+ Nhân công bậc 4,5/7</v>
          </cell>
          <cell r="D6019" t="str">
            <v>Công</v>
          </cell>
          <cell r="E6019">
            <v>3.45</v>
          </cell>
          <cell r="F6019">
            <v>211788.74342105264</v>
          </cell>
          <cell r="G6019">
            <v>730671.1648026316</v>
          </cell>
        </row>
        <row r="6020">
          <cell r="A6020" t="str">
            <v>D4.3253</v>
          </cell>
          <cell r="C6020" t="str">
            <v>Làm đầu cáp lực 3-6Kv, Phễu cáp bằng gang, Cáp có tiết diện &lt;=120mm2</v>
          </cell>
          <cell r="D6020" t="str">
            <v>1 đầu 3 pha</v>
          </cell>
          <cell r="H6020">
            <v>154192.5</v>
          </cell>
          <cell r="I6020">
            <v>804797.22499999998</v>
          </cell>
        </row>
        <row r="6021">
          <cell r="C6021" t="str">
            <v>Vật liệu</v>
          </cell>
          <cell r="G6021">
            <v>154192.5</v>
          </cell>
        </row>
        <row r="6022">
          <cell r="B6022">
            <v>124</v>
          </cell>
          <cell r="C6022" t="str">
            <v>+ Phễu cáp bằng gang loại =&lt;120mm2</v>
          </cell>
          <cell r="D6022" t="str">
            <v>cái</v>
          </cell>
          <cell r="E6022">
            <v>1</v>
          </cell>
          <cell r="F6022">
            <v>0</v>
          </cell>
          <cell r="G6022">
            <v>0</v>
          </cell>
        </row>
        <row r="6023">
          <cell r="B6023">
            <v>25</v>
          </cell>
          <cell r="C6023" t="str">
            <v>+ Coliê sắt</v>
          </cell>
          <cell r="D6023" t="str">
            <v>bộ</v>
          </cell>
          <cell r="E6023">
            <v>2</v>
          </cell>
          <cell r="F6023">
            <v>8000</v>
          </cell>
          <cell r="G6023">
            <v>16000</v>
          </cell>
        </row>
        <row r="6024">
          <cell r="B6024">
            <v>114</v>
          </cell>
          <cell r="C6024" t="str">
            <v>+ Dây đồng 25mm2</v>
          </cell>
          <cell r="D6024" t="str">
            <v>m</v>
          </cell>
          <cell r="E6024">
            <v>1</v>
          </cell>
          <cell r="F6024">
            <v>69454</v>
          </cell>
          <cell r="G6024">
            <v>69454</v>
          </cell>
        </row>
        <row r="6025">
          <cell r="B6025">
            <v>35</v>
          </cell>
          <cell r="C6025" t="str">
            <v>+ Chất cách điện</v>
          </cell>
          <cell r="D6025" t="str">
            <v>kg</v>
          </cell>
          <cell r="E6025">
            <v>2.4</v>
          </cell>
          <cell r="F6025">
            <v>15450</v>
          </cell>
          <cell r="G6025">
            <v>37080</v>
          </cell>
        </row>
        <row r="6026">
          <cell r="B6026">
            <v>25</v>
          </cell>
          <cell r="C6026" t="str">
            <v>+ Băng vải nhựa, ni lông ( băng dính )</v>
          </cell>
          <cell r="D6026" t="str">
            <v>cuộn</v>
          </cell>
          <cell r="E6026">
            <v>1</v>
          </cell>
          <cell r="F6026">
            <v>8000</v>
          </cell>
          <cell r="G6026">
            <v>8000</v>
          </cell>
        </row>
        <row r="6027">
          <cell r="B6027">
            <v>3</v>
          </cell>
          <cell r="C6027" t="str">
            <v>+ Xăng</v>
          </cell>
          <cell r="D6027" t="str">
            <v>kg</v>
          </cell>
          <cell r="E6027">
            <v>0.5</v>
          </cell>
          <cell r="F6027">
            <v>18382</v>
          </cell>
          <cell r="G6027">
            <v>9191</v>
          </cell>
        </row>
        <row r="6028">
          <cell r="B6028">
            <v>1</v>
          </cell>
          <cell r="C6028" t="str">
            <v>+ Cồn công nghiệp</v>
          </cell>
          <cell r="D6028" t="str">
            <v>kg</v>
          </cell>
          <cell r="E6028">
            <v>0.5</v>
          </cell>
          <cell r="F6028">
            <v>9500</v>
          </cell>
          <cell r="G6028">
            <v>4750</v>
          </cell>
        </row>
        <row r="6029">
          <cell r="B6029">
            <v>9</v>
          </cell>
          <cell r="C6029" t="str">
            <v>+ Giẻ lau</v>
          </cell>
          <cell r="D6029" t="str">
            <v>Kg</v>
          </cell>
          <cell r="E6029">
            <v>0.25</v>
          </cell>
          <cell r="F6029">
            <v>9500</v>
          </cell>
          <cell r="G6029">
            <v>2375</v>
          </cell>
        </row>
        <row r="6030">
          <cell r="B6030">
            <v>137</v>
          </cell>
          <cell r="C6030" t="str">
            <v>Vật liệu khác</v>
          </cell>
          <cell r="D6030" t="str">
            <v>%</v>
          </cell>
          <cell r="E6030">
            <v>5</v>
          </cell>
          <cell r="F6030">
            <v>1500</v>
          </cell>
          <cell r="G6030">
            <v>7342.5</v>
          </cell>
        </row>
        <row r="6031">
          <cell r="C6031" t="str">
            <v>Nhân công</v>
          </cell>
          <cell r="G6031">
            <v>804797.22499999998</v>
          </cell>
        </row>
        <row r="6032">
          <cell r="B6032" t="str">
            <v>NC1457</v>
          </cell>
          <cell r="C6032" t="str">
            <v>+ Nhân công bậc 4,5/7</v>
          </cell>
          <cell r="D6032" t="str">
            <v>Công</v>
          </cell>
          <cell r="E6032">
            <v>3.8</v>
          </cell>
          <cell r="F6032">
            <v>211788.74342105264</v>
          </cell>
          <cell r="G6032">
            <v>804797.22499999998</v>
          </cell>
        </row>
        <row r="6033">
          <cell r="A6033" t="str">
            <v>D4.3254</v>
          </cell>
          <cell r="C6033" t="str">
            <v>Làm đầu cáp lực 3-6Kv, Phễu cáp bằng gang, Cáp có tiết diện &lt;=185mm2</v>
          </cell>
          <cell r="D6033" t="str">
            <v>1 đầu 3 pha</v>
          </cell>
          <cell r="H6033">
            <v>165879</v>
          </cell>
          <cell r="I6033">
            <v>881041.17263157899</v>
          </cell>
        </row>
        <row r="6034">
          <cell r="C6034" t="str">
            <v>Vật liệu</v>
          </cell>
          <cell r="G6034">
            <v>165879</v>
          </cell>
        </row>
        <row r="6035">
          <cell r="B6035">
            <v>125</v>
          </cell>
          <cell r="C6035" t="str">
            <v>+ Phễu cáp bằng gang loại =&lt;185mm2</v>
          </cell>
          <cell r="D6035" t="str">
            <v>cái</v>
          </cell>
          <cell r="E6035">
            <v>1</v>
          </cell>
          <cell r="F6035">
            <v>0</v>
          </cell>
          <cell r="G6035">
            <v>0</v>
          </cell>
        </row>
        <row r="6036">
          <cell r="B6036">
            <v>25</v>
          </cell>
          <cell r="C6036" t="str">
            <v>+ Coliê sắt</v>
          </cell>
          <cell r="D6036" t="str">
            <v>bộ</v>
          </cell>
          <cell r="E6036">
            <v>2</v>
          </cell>
          <cell r="F6036">
            <v>8000</v>
          </cell>
          <cell r="G6036">
            <v>16000</v>
          </cell>
        </row>
        <row r="6037">
          <cell r="B6037">
            <v>114</v>
          </cell>
          <cell r="C6037" t="str">
            <v>+ Dây đồng 25mm2</v>
          </cell>
          <cell r="D6037" t="str">
            <v>m</v>
          </cell>
          <cell r="E6037">
            <v>1</v>
          </cell>
          <cell r="F6037">
            <v>69454</v>
          </cell>
          <cell r="G6037">
            <v>69454</v>
          </cell>
        </row>
        <row r="6038">
          <cell r="B6038">
            <v>35</v>
          </cell>
          <cell r="C6038" t="str">
            <v>+ Chất cách điện</v>
          </cell>
          <cell r="D6038" t="str">
            <v>kg</v>
          </cell>
          <cell r="E6038">
            <v>2.8</v>
          </cell>
          <cell r="F6038">
            <v>15450</v>
          </cell>
          <cell r="G6038">
            <v>43260</v>
          </cell>
        </row>
        <row r="6039">
          <cell r="B6039">
            <v>25</v>
          </cell>
          <cell r="C6039" t="str">
            <v>+ Băng vải nhựa, ni lông ( băng dính )</v>
          </cell>
          <cell r="D6039" t="str">
            <v>cuộn</v>
          </cell>
          <cell r="E6039">
            <v>1.5</v>
          </cell>
          <cell r="F6039">
            <v>8000</v>
          </cell>
          <cell r="G6039">
            <v>12000</v>
          </cell>
        </row>
        <row r="6040">
          <cell r="B6040">
            <v>3</v>
          </cell>
          <cell r="C6040" t="str">
            <v>+ Xăng</v>
          </cell>
          <cell r="D6040" t="str">
            <v>kg</v>
          </cell>
          <cell r="E6040">
            <v>0.5</v>
          </cell>
          <cell r="F6040">
            <v>18382</v>
          </cell>
          <cell r="G6040">
            <v>9191</v>
          </cell>
        </row>
        <row r="6041">
          <cell r="B6041">
            <v>1</v>
          </cell>
          <cell r="C6041" t="str">
            <v>+ Cồn công nghiệp</v>
          </cell>
          <cell r="D6041" t="str">
            <v>kg</v>
          </cell>
          <cell r="E6041">
            <v>0.6</v>
          </cell>
          <cell r="F6041">
            <v>9500</v>
          </cell>
          <cell r="G6041">
            <v>5700</v>
          </cell>
        </row>
        <row r="6042">
          <cell r="B6042">
            <v>9</v>
          </cell>
          <cell r="C6042" t="str">
            <v>+ Giẻ lau</v>
          </cell>
          <cell r="D6042" t="str">
            <v>Kg</v>
          </cell>
          <cell r="E6042">
            <v>0.25</v>
          </cell>
          <cell r="F6042">
            <v>9500</v>
          </cell>
          <cell r="G6042">
            <v>2375</v>
          </cell>
        </row>
        <row r="6043">
          <cell r="B6043">
            <v>137</v>
          </cell>
          <cell r="C6043" t="str">
            <v>Vật liệu khác</v>
          </cell>
          <cell r="D6043" t="str">
            <v>%</v>
          </cell>
          <cell r="E6043">
            <v>5</v>
          </cell>
          <cell r="F6043">
            <v>1500</v>
          </cell>
          <cell r="G6043">
            <v>7899</v>
          </cell>
        </row>
        <row r="6044">
          <cell r="C6044" t="str">
            <v>Nhân công</v>
          </cell>
          <cell r="G6044">
            <v>881041.17263157899</v>
          </cell>
        </row>
        <row r="6045">
          <cell r="B6045" t="str">
            <v>NC1457</v>
          </cell>
          <cell r="C6045" t="str">
            <v>+ Nhân công bậc 4,5/7</v>
          </cell>
          <cell r="D6045" t="str">
            <v>Công</v>
          </cell>
          <cell r="E6045">
            <v>4.16</v>
          </cell>
          <cell r="F6045">
            <v>211788.74342105264</v>
          </cell>
          <cell r="G6045">
            <v>881041.17263157899</v>
          </cell>
        </row>
        <row r="6046">
          <cell r="A6046" t="str">
            <v>D4.3255</v>
          </cell>
          <cell r="C6046" t="str">
            <v>Làm đầu cáp lực 3-6Kv, Phễu cáp bằng gang, Cáp có tiết diện &lt;=240mm2</v>
          </cell>
          <cell r="D6046" t="str">
            <v>1 đầu 3 pha</v>
          </cell>
          <cell r="H6046">
            <v>177733.5</v>
          </cell>
          <cell r="I6046">
            <v>982699.76947368414</v>
          </cell>
        </row>
        <row r="6047">
          <cell r="C6047" t="str">
            <v>Vật liệu</v>
          </cell>
          <cell r="G6047">
            <v>177733.5</v>
          </cell>
        </row>
        <row r="6048">
          <cell r="B6048">
            <v>126</v>
          </cell>
          <cell r="C6048" t="str">
            <v>+ Phễu cáp bằng gang loại =&lt;240mm2</v>
          </cell>
          <cell r="D6048" t="str">
            <v>cái</v>
          </cell>
          <cell r="E6048">
            <v>1</v>
          </cell>
          <cell r="F6048">
            <v>0</v>
          </cell>
          <cell r="G6048">
            <v>0</v>
          </cell>
        </row>
        <row r="6049">
          <cell r="B6049">
            <v>25</v>
          </cell>
          <cell r="C6049" t="str">
            <v>+ Coliê sắt</v>
          </cell>
          <cell r="D6049" t="str">
            <v>bộ</v>
          </cell>
          <cell r="E6049">
            <v>2</v>
          </cell>
          <cell r="F6049">
            <v>8000</v>
          </cell>
          <cell r="G6049">
            <v>16000</v>
          </cell>
        </row>
        <row r="6050">
          <cell r="B6050">
            <v>114</v>
          </cell>
          <cell r="C6050" t="str">
            <v>+ Dây đồng 25mm2</v>
          </cell>
          <cell r="D6050" t="str">
            <v>m</v>
          </cell>
          <cell r="E6050">
            <v>1</v>
          </cell>
          <cell r="F6050">
            <v>69454</v>
          </cell>
          <cell r="G6050">
            <v>69454</v>
          </cell>
        </row>
        <row r="6051">
          <cell r="B6051">
            <v>35</v>
          </cell>
          <cell r="C6051" t="str">
            <v>+ Chất cách điện</v>
          </cell>
          <cell r="D6051" t="str">
            <v>kg</v>
          </cell>
          <cell r="E6051">
            <v>3.5</v>
          </cell>
          <cell r="F6051">
            <v>15450</v>
          </cell>
          <cell r="G6051">
            <v>54075</v>
          </cell>
        </row>
        <row r="6052">
          <cell r="B6052">
            <v>25</v>
          </cell>
          <cell r="C6052" t="str">
            <v>+ Băng vải nhựa, ni lông ( băng dính )</v>
          </cell>
          <cell r="D6052" t="str">
            <v>cuộn</v>
          </cell>
          <cell r="E6052">
            <v>1.5</v>
          </cell>
          <cell r="F6052">
            <v>8000</v>
          </cell>
          <cell r="G6052">
            <v>12000</v>
          </cell>
        </row>
        <row r="6053">
          <cell r="B6053">
            <v>3</v>
          </cell>
          <cell r="C6053" t="str">
            <v>+ Xăng</v>
          </cell>
          <cell r="D6053" t="str">
            <v>kg</v>
          </cell>
          <cell r="E6053">
            <v>0.5</v>
          </cell>
          <cell r="F6053">
            <v>18382</v>
          </cell>
          <cell r="G6053">
            <v>9191</v>
          </cell>
        </row>
        <row r="6054">
          <cell r="B6054">
            <v>1</v>
          </cell>
          <cell r="C6054" t="str">
            <v>+ Cồn công nghiệp</v>
          </cell>
          <cell r="D6054" t="str">
            <v>kg</v>
          </cell>
          <cell r="E6054">
            <v>0.6</v>
          </cell>
          <cell r="F6054">
            <v>9500</v>
          </cell>
          <cell r="G6054">
            <v>5700</v>
          </cell>
        </row>
        <row r="6055">
          <cell r="B6055">
            <v>9</v>
          </cell>
          <cell r="C6055" t="str">
            <v>+ Giẻ lau</v>
          </cell>
          <cell r="D6055" t="str">
            <v>Kg</v>
          </cell>
          <cell r="E6055">
            <v>0.3</v>
          </cell>
          <cell r="F6055">
            <v>9500</v>
          </cell>
          <cell r="G6055">
            <v>2850</v>
          </cell>
        </row>
        <row r="6056">
          <cell r="B6056">
            <v>137</v>
          </cell>
          <cell r="C6056" t="str">
            <v>Vật liệu khác</v>
          </cell>
          <cell r="D6056" t="str">
            <v>%</v>
          </cell>
          <cell r="E6056">
            <v>5</v>
          </cell>
          <cell r="F6056">
            <v>1500</v>
          </cell>
          <cell r="G6056">
            <v>8463.5</v>
          </cell>
        </row>
        <row r="6057">
          <cell r="C6057" t="str">
            <v>Nhân công</v>
          </cell>
          <cell r="G6057">
            <v>982699.76947368414</v>
          </cell>
        </row>
        <row r="6058">
          <cell r="B6058" t="str">
            <v>NC1457</v>
          </cell>
          <cell r="C6058" t="str">
            <v>+ Nhân công bậc 4,5/7</v>
          </cell>
          <cell r="D6058" t="str">
            <v>Công</v>
          </cell>
          <cell r="E6058">
            <v>4.6399999999999997</v>
          </cell>
          <cell r="F6058">
            <v>211788.74342105264</v>
          </cell>
          <cell r="G6058">
            <v>982699.76947368414</v>
          </cell>
        </row>
        <row r="6059">
          <cell r="A6059" t="str">
            <v>D4.3256</v>
          </cell>
          <cell r="C6059" t="str">
            <v>Làm đầu cáp lực 3-6Kv, Phễu cáp bằng gang, Cáp có tiết diện &lt;=300mm2</v>
          </cell>
          <cell r="D6059" t="str">
            <v>1 đầu 3 pha</v>
          </cell>
          <cell r="H6059">
            <v>185844.75</v>
          </cell>
          <cell r="I6059">
            <v>1082240.4788815791</v>
          </cell>
        </row>
        <row r="6060">
          <cell r="C6060" t="str">
            <v>Vật liệu</v>
          </cell>
          <cell r="G6060">
            <v>185844.75</v>
          </cell>
        </row>
        <row r="6061">
          <cell r="B6061">
            <v>127</v>
          </cell>
          <cell r="C6061" t="str">
            <v>+ Phễu cáp bằng gang loại =&lt;300mm2</v>
          </cell>
          <cell r="D6061" t="str">
            <v>cái</v>
          </cell>
          <cell r="E6061">
            <v>1</v>
          </cell>
          <cell r="F6061">
            <v>0</v>
          </cell>
          <cell r="G6061">
            <v>0</v>
          </cell>
        </row>
        <row r="6062">
          <cell r="B6062">
            <v>25</v>
          </cell>
          <cell r="C6062" t="str">
            <v>+ Coliê sắt</v>
          </cell>
          <cell r="D6062" t="str">
            <v>bộ</v>
          </cell>
          <cell r="E6062">
            <v>2</v>
          </cell>
          <cell r="F6062">
            <v>8000</v>
          </cell>
          <cell r="G6062">
            <v>16000</v>
          </cell>
        </row>
        <row r="6063">
          <cell r="B6063">
            <v>114</v>
          </cell>
          <cell r="C6063" t="str">
            <v>+ Dây đồng 25mm2</v>
          </cell>
          <cell r="D6063" t="str">
            <v>m</v>
          </cell>
          <cell r="E6063">
            <v>1</v>
          </cell>
          <cell r="F6063">
            <v>69454</v>
          </cell>
          <cell r="G6063">
            <v>69454</v>
          </cell>
        </row>
        <row r="6064">
          <cell r="B6064">
            <v>35</v>
          </cell>
          <cell r="C6064" t="str">
            <v>+ Chất cách điện</v>
          </cell>
          <cell r="D6064" t="str">
            <v>kg</v>
          </cell>
          <cell r="E6064">
            <v>4</v>
          </cell>
          <cell r="F6064">
            <v>15450</v>
          </cell>
          <cell r="G6064">
            <v>61800</v>
          </cell>
        </row>
        <row r="6065">
          <cell r="B6065">
            <v>25</v>
          </cell>
          <cell r="C6065" t="str">
            <v>+ Băng vải nhựa, ni lông ( băng dính )</v>
          </cell>
          <cell r="D6065" t="str">
            <v>cuộn</v>
          </cell>
          <cell r="E6065">
            <v>1.5</v>
          </cell>
          <cell r="F6065">
            <v>8000</v>
          </cell>
          <cell r="G6065">
            <v>12000</v>
          </cell>
        </row>
        <row r="6066">
          <cell r="B6066">
            <v>3</v>
          </cell>
          <cell r="C6066" t="str">
            <v>+ Xăng</v>
          </cell>
          <cell r="D6066" t="str">
            <v>kg</v>
          </cell>
          <cell r="E6066">
            <v>0.5</v>
          </cell>
          <cell r="F6066">
            <v>18382</v>
          </cell>
          <cell r="G6066">
            <v>9191</v>
          </cell>
        </row>
        <row r="6067">
          <cell r="B6067">
            <v>1</v>
          </cell>
          <cell r="C6067" t="str">
            <v>+ Cồn công nghiệp</v>
          </cell>
          <cell r="D6067" t="str">
            <v>kg</v>
          </cell>
          <cell r="E6067">
            <v>0.6</v>
          </cell>
          <cell r="F6067">
            <v>9500</v>
          </cell>
          <cell r="G6067">
            <v>5700</v>
          </cell>
        </row>
        <row r="6068">
          <cell r="B6068">
            <v>9</v>
          </cell>
          <cell r="C6068" t="str">
            <v>+ Giẻ lau</v>
          </cell>
          <cell r="D6068" t="str">
            <v>Kg</v>
          </cell>
          <cell r="E6068">
            <v>0.3</v>
          </cell>
          <cell r="F6068">
            <v>9500</v>
          </cell>
          <cell r="G6068">
            <v>2850</v>
          </cell>
        </row>
        <row r="6069">
          <cell r="B6069">
            <v>137</v>
          </cell>
          <cell r="C6069" t="str">
            <v>Vật liệu khác</v>
          </cell>
          <cell r="D6069" t="str">
            <v>%</v>
          </cell>
          <cell r="E6069">
            <v>5</v>
          </cell>
          <cell r="F6069">
            <v>1500</v>
          </cell>
          <cell r="G6069">
            <v>8849.75</v>
          </cell>
        </row>
        <row r="6070">
          <cell r="C6070" t="str">
            <v>Nhân công</v>
          </cell>
          <cell r="G6070">
            <v>1082240.4788815791</v>
          </cell>
        </row>
        <row r="6071">
          <cell r="B6071" t="str">
            <v>NC1457</v>
          </cell>
          <cell r="C6071" t="str">
            <v>+ Nhân công bậc 4,5/7</v>
          </cell>
          <cell r="D6071" t="str">
            <v>Công</v>
          </cell>
          <cell r="E6071">
            <v>5.1100000000000003</v>
          </cell>
          <cell r="F6071">
            <v>211788.74342105264</v>
          </cell>
          <cell r="G6071">
            <v>1082240.4788815791</v>
          </cell>
        </row>
        <row r="6072">
          <cell r="A6072" t="str">
            <v>D4.3257</v>
          </cell>
          <cell r="C6072" t="str">
            <v>Làm đầu cáp lực 3-6Kv, Phễu cáp bằng gang, Cáp có tiết diện &lt;=400mm2</v>
          </cell>
          <cell r="D6072" t="str">
            <v>1 đầu 3 pha</v>
          </cell>
          <cell r="H6072">
            <v>205068.36000000002</v>
          </cell>
          <cell r="I6072">
            <v>1298264.9971710527</v>
          </cell>
        </row>
        <row r="6073">
          <cell r="C6073" t="str">
            <v>Vật liệu</v>
          </cell>
          <cell r="G6073">
            <v>205068.36000000002</v>
          </cell>
        </row>
        <row r="6074">
          <cell r="B6074">
            <v>128</v>
          </cell>
          <cell r="C6074" t="str">
            <v>+ Phễu cáp bằng gang loại =&lt;400mm2</v>
          </cell>
          <cell r="D6074" t="str">
            <v>cái</v>
          </cell>
          <cell r="E6074">
            <v>1</v>
          </cell>
          <cell r="F6074">
            <v>0</v>
          </cell>
          <cell r="G6074">
            <v>0</v>
          </cell>
        </row>
        <row r="6075">
          <cell r="B6075">
            <v>25</v>
          </cell>
          <cell r="C6075" t="str">
            <v>+ Coliê sắt</v>
          </cell>
          <cell r="D6075" t="str">
            <v>bộ</v>
          </cell>
          <cell r="E6075">
            <v>2</v>
          </cell>
          <cell r="F6075">
            <v>8000</v>
          </cell>
          <cell r="G6075">
            <v>16000</v>
          </cell>
        </row>
        <row r="6076">
          <cell r="B6076">
            <v>114</v>
          </cell>
          <cell r="C6076" t="str">
            <v>+ Dây đồng 25mm2</v>
          </cell>
          <cell r="D6076" t="str">
            <v>m</v>
          </cell>
          <cell r="E6076">
            <v>1</v>
          </cell>
          <cell r="F6076">
            <v>69454</v>
          </cell>
          <cell r="G6076">
            <v>69454</v>
          </cell>
        </row>
        <row r="6077">
          <cell r="B6077">
            <v>35</v>
          </cell>
          <cell r="C6077" t="str">
            <v>+ Chất cách điện</v>
          </cell>
          <cell r="D6077" t="str">
            <v>kg</v>
          </cell>
          <cell r="E6077">
            <v>4.8</v>
          </cell>
          <cell r="F6077">
            <v>15450</v>
          </cell>
          <cell r="G6077">
            <v>74160</v>
          </cell>
        </row>
        <row r="6078">
          <cell r="B6078">
            <v>25</v>
          </cell>
          <cell r="C6078" t="str">
            <v>+ Băng vải nhựa, ni lông ( băng dính )</v>
          </cell>
          <cell r="D6078" t="str">
            <v>cuộn</v>
          </cell>
          <cell r="E6078">
            <v>1.8</v>
          </cell>
          <cell r="F6078">
            <v>8000</v>
          </cell>
          <cell r="G6078">
            <v>14400</v>
          </cell>
        </row>
        <row r="6079">
          <cell r="B6079">
            <v>3</v>
          </cell>
          <cell r="C6079" t="str">
            <v>+ Xăng</v>
          </cell>
          <cell r="D6079" t="str">
            <v>kg</v>
          </cell>
          <cell r="E6079">
            <v>0.6</v>
          </cell>
          <cell r="F6079">
            <v>18382</v>
          </cell>
          <cell r="G6079">
            <v>11029.199999999999</v>
          </cell>
        </row>
        <row r="6080">
          <cell r="B6080">
            <v>1</v>
          </cell>
          <cell r="C6080" t="str">
            <v>+ Cồn công nghiệp</v>
          </cell>
          <cell r="D6080" t="str">
            <v>kg</v>
          </cell>
          <cell r="E6080">
            <v>0.72</v>
          </cell>
          <cell r="F6080">
            <v>9500</v>
          </cell>
          <cell r="G6080">
            <v>6840</v>
          </cell>
        </row>
        <row r="6081">
          <cell r="B6081">
            <v>9</v>
          </cell>
          <cell r="C6081" t="str">
            <v>+ Giẻ lau</v>
          </cell>
          <cell r="D6081" t="str">
            <v>Kg</v>
          </cell>
          <cell r="E6081">
            <v>0.36</v>
          </cell>
          <cell r="F6081">
            <v>9500</v>
          </cell>
          <cell r="G6081">
            <v>3420</v>
          </cell>
        </row>
        <row r="6082">
          <cell r="B6082">
            <v>137</v>
          </cell>
          <cell r="C6082" t="str">
            <v>Vật liệu khác</v>
          </cell>
          <cell r="D6082" t="str">
            <v>%</v>
          </cell>
          <cell r="E6082">
            <v>5</v>
          </cell>
          <cell r="F6082">
            <v>1500</v>
          </cell>
          <cell r="G6082">
            <v>9765.1600000000017</v>
          </cell>
        </row>
        <row r="6083">
          <cell r="C6083" t="str">
            <v>Nhân công</v>
          </cell>
          <cell r="G6083">
            <v>1298264.9971710527</v>
          </cell>
        </row>
        <row r="6084">
          <cell r="B6084" t="str">
            <v>NC1457</v>
          </cell>
          <cell r="C6084" t="str">
            <v>+ Nhân công bậc 4,5/7</v>
          </cell>
          <cell r="D6084" t="str">
            <v>Công</v>
          </cell>
          <cell r="E6084">
            <v>6.13</v>
          </cell>
          <cell r="F6084">
            <v>211788.74342105264</v>
          </cell>
          <cell r="G6084">
            <v>1298264.9971710527</v>
          </cell>
        </row>
        <row r="6085">
          <cell r="A6085" t="str">
            <v>D4.3261</v>
          </cell>
          <cell r="C6085" t="str">
            <v>Làm đầu cáp lực 10-15Kv, Phễu cáp bằng gang, Cáp có tiết diện &lt;=35mm2</v>
          </cell>
          <cell r="D6085" t="str">
            <v>1 đầu 3 pha</v>
          </cell>
          <cell r="H6085">
            <v>140715.75</v>
          </cell>
          <cell r="I6085">
            <v>804797.22499999998</v>
          </cell>
        </row>
        <row r="6086">
          <cell r="C6086" t="str">
            <v>Vật liệu</v>
          </cell>
          <cell r="G6086">
            <v>140715.75</v>
          </cell>
        </row>
        <row r="6087">
          <cell r="B6087">
            <v>122</v>
          </cell>
          <cell r="C6087" t="str">
            <v>+ Phễu cáp bằng gang loại =&lt;35mm2</v>
          </cell>
          <cell r="D6087" t="str">
            <v>cái</v>
          </cell>
          <cell r="E6087">
            <v>1</v>
          </cell>
          <cell r="F6087">
            <v>0</v>
          </cell>
          <cell r="G6087">
            <v>0</v>
          </cell>
        </row>
        <row r="6088">
          <cell r="B6088">
            <v>25</v>
          </cell>
          <cell r="C6088" t="str">
            <v>+ Coliê sắt</v>
          </cell>
          <cell r="D6088" t="str">
            <v>bộ</v>
          </cell>
          <cell r="E6088">
            <v>2</v>
          </cell>
          <cell r="F6088">
            <v>8000</v>
          </cell>
          <cell r="G6088">
            <v>16000</v>
          </cell>
        </row>
        <row r="6089">
          <cell r="B6089">
            <v>114</v>
          </cell>
          <cell r="C6089" t="str">
            <v>+ Dây đồng 25mm2</v>
          </cell>
          <cell r="D6089" t="str">
            <v>m</v>
          </cell>
          <cell r="E6089">
            <v>1</v>
          </cell>
          <cell r="F6089">
            <v>69454</v>
          </cell>
          <cell r="G6089">
            <v>69454</v>
          </cell>
        </row>
        <row r="6090">
          <cell r="B6090">
            <v>35</v>
          </cell>
          <cell r="C6090" t="str">
            <v>+ Chất cách điện</v>
          </cell>
          <cell r="D6090" t="str">
            <v>kg</v>
          </cell>
          <cell r="E6090">
            <v>1.6</v>
          </cell>
          <cell r="F6090">
            <v>15450</v>
          </cell>
          <cell r="G6090">
            <v>24720</v>
          </cell>
        </row>
        <row r="6091">
          <cell r="B6091">
            <v>25</v>
          </cell>
          <cell r="C6091" t="str">
            <v>+ Băng vải nhựa, ni lông ( băng dính )</v>
          </cell>
          <cell r="D6091" t="str">
            <v>cuộn</v>
          </cell>
          <cell r="E6091">
            <v>1</v>
          </cell>
          <cell r="F6091">
            <v>8000</v>
          </cell>
          <cell r="G6091">
            <v>8000</v>
          </cell>
        </row>
        <row r="6092">
          <cell r="B6092">
            <v>3</v>
          </cell>
          <cell r="C6092" t="str">
            <v>+ Xăng</v>
          </cell>
          <cell r="D6092" t="str">
            <v>kg</v>
          </cell>
          <cell r="E6092">
            <v>0.5</v>
          </cell>
          <cell r="F6092">
            <v>18382</v>
          </cell>
          <cell r="G6092">
            <v>9191</v>
          </cell>
        </row>
        <row r="6093">
          <cell r="B6093">
            <v>1</v>
          </cell>
          <cell r="C6093" t="str">
            <v>+ Cồn công nghiệp</v>
          </cell>
          <cell r="D6093" t="str">
            <v>kg</v>
          </cell>
          <cell r="E6093">
            <v>0.5</v>
          </cell>
          <cell r="F6093">
            <v>9500</v>
          </cell>
          <cell r="G6093">
            <v>4750</v>
          </cell>
        </row>
        <row r="6094">
          <cell r="B6094">
            <v>9</v>
          </cell>
          <cell r="C6094" t="str">
            <v>+ Giẻ lau</v>
          </cell>
          <cell r="D6094" t="str">
            <v>Kg</v>
          </cell>
          <cell r="E6094">
            <v>0.2</v>
          </cell>
          <cell r="F6094">
            <v>9500</v>
          </cell>
          <cell r="G6094">
            <v>1900</v>
          </cell>
        </row>
        <row r="6095">
          <cell r="B6095">
            <v>137</v>
          </cell>
          <cell r="C6095" t="str">
            <v>Vật liệu khác</v>
          </cell>
          <cell r="D6095" t="str">
            <v>%</v>
          </cell>
          <cell r="E6095">
            <v>5</v>
          </cell>
          <cell r="F6095">
            <v>1500</v>
          </cell>
          <cell r="G6095">
            <v>6700.75</v>
          </cell>
        </row>
        <row r="6096">
          <cell r="C6096" t="str">
            <v>Nhân công</v>
          </cell>
          <cell r="G6096">
            <v>804797.22499999998</v>
          </cell>
        </row>
        <row r="6097">
          <cell r="B6097" t="str">
            <v>NC1457</v>
          </cell>
          <cell r="C6097" t="str">
            <v>+ Nhân công bậc 4,5/7</v>
          </cell>
          <cell r="D6097" t="str">
            <v>Công</v>
          </cell>
          <cell r="E6097">
            <v>3.8</v>
          </cell>
          <cell r="F6097">
            <v>211788.74342105264</v>
          </cell>
          <cell r="G6097">
            <v>804797.22499999998</v>
          </cell>
        </row>
        <row r="6098">
          <cell r="A6098" t="str">
            <v>D4.3262</v>
          </cell>
          <cell r="C6098" t="str">
            <v>Làm đầu cáp lực 10-15Kv, Phễu cáp bằng gang, Cáp có tiết diện &lt;=70mm2</v>
          </cell>
          <cell r="D6098" t="str">
            <v>1 đầu 3 pha</v>
          </cell>
          <cell r="H6098">
            <v>148827</v>
          </cell>
          <cell r="I6098">
            <v>881041.17263157899</v>
          </cell>
        </row>
        <row r="6099">
          <cell r="C6099" t="str">
            <v>Vật liệu</v>
          </cell>
          <cell r="G6099">
            <v>148827</v>
          </cell>
        </row>
        <row r="6100">
          <cell r="B6100">
            <v>123</v>
          </cell>
          <cell r="C6100" t="str">
            <v>+ Phễu cáp bằng gang loại =&lt;70mm2</v>
          </cell>
          <cell r="D6100" t="str">
            <v>cái</v>
          </cell>
          <cell r="E6100">
            <v>1</v>
          </cell>
          <cell r="F6100">
            <v>0</v>
          </cell>
          <cell r="G6100">
            <v>0</v>
          </cell>
        </row>
        <row r="6101">
          <cell r="B6101">
            <v>25</v>
          </cell>
          <cell r="C6101" t="str">
            <v>+ Coliê sắt</v>
          </cell>
          <cell r="D6101" t="str">
            <v>bộ</v>
          </cell>
          <cell r="E6101">
            <v>2</v>
          </cell>
          <cell r="F6101">
            <v>8000</v>
          </cell>
          <cell r="G6101">
            <v>16000</v>
          </cell>
        </row>
        <row r="6102">
          <cell r="B6102">
            <v>114</v>
          </cell>
          <cell r="C6102" t="str">
            <v>+ Dây đồng 25mm2</v>
          </cell>
          <cell r="D6102" t="str">
            <v>m</v>
          </cell>
          <cell r="E6102">
            <v>1</v>
          </cell>
          <cell r="F6102">
            <v>69454</v>
          </cell>
          <cell r="G6102">
            <v>69454</v>
          </cell>
        </row>
        <row r="6103">
          <cell r="B6103">
            <v>35</v>
          </cell>
          <cell r="C6103" t="str">
            <v>+ Chất cách điện</v>
          </cell>
          <cell r="D6103" t="str">
            <v>kg</v>
          </cell>
          <cell r="E6103">
            <v>2.1</v>
          </cell>
          <cell r="F6103">
            <v>15450</v>
          </cell>
          <cell r="G6103">
            <v>32445</v>
          </cell>
        </row>
        <row r="6104">
          <cell r="B6104">
            <v>25</v>
          </cell>
          <cell r="C6104" t="str">
            <v>+ Băng vải nhựa, ni lông ( băng dính )</v>
          </cell>
          <cell r="D6104" t="str">
            <v>cuộn</v>
          </cell>
          <cell r="E6104">
            <v>1</v>
          </cell>
          <cell r="F6104">
            <v>8000</v>
          </cell>
          <cell r="G6104">
            <v>8000</v>
          </cell>
        </row>
        <row r="6105">
          <cell r="B6105">
            <v>3</v>
          </cell>
          <cell r="C6105" t="str">
            <v>+ Xăng</v>
          </cell>
          <cell r="D6105" t="str">
            <v>kg</v>
          </cell>
          <cell r="E6105">
            <v>0.5</v>
          </cell>
          <cell r="F6105">
            <v>18382</v>
          </cell>
          <cell r="G6105">
            <v>9191</v>
          </cell>
        </row>
        <row r="6106">
          <cell r="B6106">
            <v>1</v>
          </cell>
          <cell r="C6106" t="str">
            <v>+ Cồn công nghiệp</v>
          </cell>
          <cell r="D6106" t="str">
            <v>kg</v>
          </cell>
          <cell r="E6106">
            <v>0.5</v>
          </cell>
          <cell r="F6106">
            <v>9500</v>
          </cell>
          <cell r="G6106">
            <v>4750</v>
          </cell>
        </row>
        <row r="6107">
          <cell r="B6107">
            <v>9</v>
          </cell>
          <cell r="C6107" t="str">
            <v>+ Giẻ lau</v>
          </cell>
          <cell r="D6107" t="str">
            <v>Kg</v>
          </cell>
          <cell r="E6107">
            <v>0.2</v>
          </cell>
          <cell r="F6107">
            <v>9500</v>
          </cell>
          <cell r="G6107">
            <v>1900</v>
          </cell>
        </row>
        <row r="6108">
          <cell r="B6108">
            <v>137</v>
          </cell>
          <cell r="C6108" t="str">
            <v>Vật liệu khác</v>
          </cell>
          <cell r="D6108" t="str">
            <v>%</v>
          </cell>
          <cell r="E6108">
            <v>5</v>
          </cell>
          <cell r="F6108">
            <v>1500</v>
          </cell>
          <cell r="G6108">
            <v>7087</v>
          </cell>
        </row>
        <row r="6109">
          <cell r="C6109" t="str">
            <v>Nhân công</v>
          </cell>
          <cell r="G6109">
            <v>881041.17263157899</v>
          </cell>
        </row>
        <row r="6110">
          <cell r="B6110" t="str">
            <v>NC1457</v>
          </cell>
          <cell r="C6110" t="str">
            <v>+ Nhân công bậc 4,5/7</v>
          </cell>
          <cell r="D6110" t="str">
            <v>Công</v>
          </cell>
          <cell r="E6110">
            <v>4.16</v>
          </cell>
          <cell r="F6110">
            <v>211788.74342105264</v>
          </cell>
          <cell r="G6110">
            <v>881041.17263157899</v>
          </cell>
        </row>
        <row r="6111">
          <cell r="A6111" t="str">
            <v>D4.3263</v>
          </cell>
          <cell r="C6111" t="str">
            <v>Làm đầu cáp lực 10-15Kv, Phễu cáp bằng gang, Cáp có tiết diện &lt;=120mm2</v>
          </cell>
          <cell r="D6111" t="str">
            <v>1 đầu 3 pha</v>
          </cell>
          <cell r="H6111">
            <v>154192.5</v>
          </cell>
          <cell r="I6111">
            <v>982699.76947368414</v>
          </cell>
        </row>
        <row r="6112">
          <cell r="C6112" t="str">
            <v>Vật liệu</v>
          </cell>
          <cell r="G6112">
            <v>154192.5</v>
          </cell>
        </row>
        <row r="6113">
          <cell r="B6113">
            <v>124</v>
          </cell>
          <cell r="C6113" t="str">
            <v>+ Phễu cáp bằng gang loại =&lt;120mm2</v>
          </cell>
          <cell r="D6113" t="str">
            <v>cái</v>
          </cell>
          <cell r="E6113">
            <v>1</v>
          </cell>
          <cell r="F6113">
            <v>0</v>
          </cell>
          <cell r="G6113">
            <v>0</v>
          </cell>
        </row>
        <row r="6114">
          <cell r="B6114">
            <v>25</v>
          </cell>
          <cell r="C6114" t="str">
            <v>+ Coliê sắt</v>
          </cell>
          <cell r="D6114" t="str">
            <v>bộ</v>
          </cell>
          <cell r="E6114">
            <v>2</v>
          </cell>
          <cell r="F6114">
            <v>8000</v>
          </cell>
          <cell r="G6114">
            <v>16000</v>
          </cell>
        </row>
        <row r="6115">
          <cell r="B6115">
            <v>114</v>
          </cell>
          <cell r="C6115" t="str">
            <v>+ Dây đồng 25mm2</v>
          </cell>
          <cell r="D6115" t="str">
            <v>m</v>
          </cell>
          <cell r="E6115">
            <v>1</v>
          </cell>
          <cell r="F6115">
            <v>69454</v>
          </cell>
          <cell r="G6115">
            <v>69454</v>
          </cell>
        </row>
        <row r="6116">
          <cell r="B6116">
            <v>35</v>
          </cell>
          <cell r="C6116" t="str">
            <v>+ Chất cách điện</v>
          </cell>
          <cell r="D6116" t="str">
            <v>kg</v>
          </cell>
          <cell r="E6116">
            <v>2.4</v>
          </cell>
          <cell r="F6116">
            <v>15450</v>
          </cell>
          <cell r="G6116">
            <v>37080</v>
          </cell>
        </row>
        <row r="6117">
          <cell r="B6117">
            <v>25</v>
          </cell>
          <cell r="C6117" t="str">
            <v>+ Băng vải nhựa, ni lông ( băng dính )</v>
          </cell>
          <cell r="D6117" t="str">
            <v>cuộn</v>
          </cell>
          <cell r="E6117">
            <v>1</v>
          </cell>
          <cell r="F6117">
            <v>8000</v>
          </cell>
          <cell r="G6117">
            <v>8000</v>
          </cell>
        </row>
        <row r="6118">
          <cell r="B6118">
            <v>3</v>
          </cell>
          <cell r="C6118" t="str">
            <v>+ Xăng</v>
          </cell>
          <cell r="D6118" t="str">
            <v>kg</v>
          </cell>
          <cell r="E6118">
            <v>0.5</v>
          </cell>
          <cell r="F6118">
            <v>18382</v>
          </cell>
          <cell r="G6118">
            <v>9191</v>
          </cell>
        </row>
        <row r="6119">
          <cell r="B6119">
            <v>1</v>
          </cell>
          <cell r="C6119" t="str">
            <v>+ Cồn công nghiệp</v>
          </cell>
          <cell r="D6119" t="str">
            <v>kg</v>
          </cell>
          <cell r="E6119">
            <v>0.5</v>
          </cell>
          <cell r="F6119">
            <v>9500</v>
          </cell>
          <cell r="G6119">
            <v>4750</v>
          </cell>
        </row>
        <row r="6120">
          <cell r="B6120">
            <v>9</v>
          </cell>
          <cell r="C6120" t="str">
            <v>+ Giẻ lau</v>
          </cell>
          <cell r="D6120" t="str">
            <v>Kg</v>
          </cell>
          <cell r="E6120">
            <v>0.25</v>
          </cell>
          <cell r="F6120">
            <v>9500</v>
          </cell>
          <cell r="G6120">
            <v>2375</v>
          </cell>
        </row>
        <row r="6121">
          <cell r="B6121">
            <v>137</v>
          </cell>
          <cell r="C6121" t="str">
            <v>Vật liệu khác</v>
          </cell>
          <cell r="D6121" t="str">
            <v>%</v>
          </cell>
          <cell r="E6121">
            <v>5</v>
          </cell>
          <cell r="F6121">
            <v>1500</v>
          </cell>
          <cell r="G6121">
            <v>7342.5</v>
          </cell>
        </row>
        <row r="6122">
          <cell r="C6122" t="str">
            <v>Nhân công</v>
          </cell>
          <cell r="G6122">
            <v>982699.76947368414</v>
          </cell>
        </row>
        <row r="6123">
          <cell r="B6123" t="str">
            <v>NC1457</v>
          </cell>
          <cell r="C6123" t="str">
            <v>+ Nhân công bậc 4,5/7</v>
          </cell>
          <cell r="D6123" t="str">
            <v>Công</v>
          </cell>
          <cell r="E6123">
            <v>4.6399999999999997</v>
          </cell>
          <cell r="F6123">
            <v>211788.74342105264</v>
          </cell>
          <cell r="G6123">
            <v>982699.76947368414</v>
          </cell>
        </row>
        <row r="6124">
          <cell r="A6124" t="str">
            <v>D4.3264</v>
          </cell>
          <cell r="C6124" t="str">
            <v>Làm đầu cáp lực 10-15Kv, Phễu cáp bằng gang, Cáp có tiết diện &lt;=185mm2</v>
          </cell>
          <cell r="D6124" t="str">
            <v>1 đầu 3 pha</v>
          </cell>
          <cell r="H6124">
            <v>165879</v>
          </cell>
          <cell r="I6124">
            <v>1082240.4788815791</v>
          </cell>
        </row>
        <row r="6125">
          <cell r="C6125" t="str">
            <v>Vật liệu</v>
          </cell>
          <cell r="G6125">
            <v>165879</v>
          </cell>
        </row>
        <row r="6126">
          <cell r="B6126">
            <v>125</v>
          </cell>
          <cell r="C6126" t="str">
            <v>+ Phễu cáp bằng gang loại =&lt;185mm2</v>
          </cell>
          <cell r="D6126" t="str">
            <v>cái</v>
          </cell>
          <cell r="E6126">
            <v>1</v>
          </cell>
          <cell r="F6126">
            <v>0</v>
          </cell>
          <cell r="G6126">
            <v>0</v>
          </cell>
        </row>
        <row r="6127">
          <cell r="B6127">
            <v>25</v>
          </cell>
          <cell r="C6127" t="str">
            <v>+ Coliê sắt</v>
          </cell>
          <cell r="D6127" t="str">
            <v>bộ</v>
          </cell>
          <cell r="E6127">
            <v>2</v>
          </cell>
          <cell r="F6127">
            <v>8000</v>
          </cell>
          <cell r="G6127">
            <v>16000</v>
          </cell>
        </row>
        <row r="6128">
          <cell r="B6128">
            <v>114</v>
          </cell>
          <cell r="C6128" t="str">
            <v>+ Dây đồng 25mm2</v>
          </cell>
          <cell r="D6128" t="str">
            <v>m</v>
          </cell>
          <cell r="E6128">
            <v>1</v>
          </cell>
          <cell r="F6128">
            <v>69454</v>
          </cell>
          <cell r="G6128">
            <v>69454</v>
          </cell>
        </row>
        <row r="6129">
          <cell r="B6129">
            <v>35</v>
          </cell>
          <cell r="C6129" t="str">
            <v>+ Chất cách điện</v>
          </cell>
          <cell r="D6129" t="str">
            <v>kg</v>
          </cell>
          <cell r="E6129">
            <v>2.8</v>
          </cell>
          <cell r="F6129">
            <v>15450</v>
          </cell>
          <cell r="G6129">
            <v>43260</v>
          </cell>
        </row>
        <row r="6130">
          <cell r="B6130">
            <v>25</v>
          </cell>
          <cell r="C6130" t="str">
            <v>+ Băng vải nhựa, ni lông ( băng dính )</v>
          </cell>
          <cell r="D6130" t="str">
            <v>cuộn</v>
          </cell>
          <cell r="E6130">
            <v>1.5</v>
          </cell>
          <cell r="F6130">
            <v>8000</v>
          </cell>
          <cell r="G6130">
            <v>12000</v>
          </cell>
        </row>
        <row r="6131">
          <cell r="B6131">
            <v>3</v>
          </cell>
          <cell r="C6131" t="str">
            <v>+ Xăng</v>
          </cell>
          <cell r="D6131" t="str">
            <v>kg</v>
          </cell>
          <cell r="E6131">
            <v>0.5</v>
          </cell>
          <cell r="F6131">
            <v>18382</v>
          </cell>
          <cell r="G6131">
            <v>9191</v>
          </cell>
        </row>
        <row r="6132">
          <cell r="B6132">
            <v>1</v>
          </cell>
          <cell r="C6132" t="str">
            <v>+ Cồn công nghiệp</v>
          </cell>
          <cell r="D6132" t="str">
            <v>kg</v>
          </cell>
          <cell r="E6132">
            <v>0.6</v>
          </cell>
          <cell r="F6132">
            <v>9500</v>
          </cell>
          <cell r="G6132">
            <v>5700</v>
          </cell>
        </row>
        <row r="6133">
          <cell r="B6133">
            <v>9</v>
          </cell>
          <cell r="C6133" t="str">
            <v>+ Giẻ lau</v>
          </cell>
          <cell r="D6133" t="str">
            <v>Kg</v>
          </cell>
          <cell r="E6133">
            <v>0.25</v>
          </cell>
          <cell r="F6133">
            <v>9500</v>
          </cell>
          <cell r="G6133">
            <v>2375</v>
          </cell>
        </row>
        <row r="6134">
          <cell r="B6134">
            <v>137</v>
          </cell>
          <cell r="C6134" t="str">
            <v>Vật liệu khác</v>
          </cell>
          <cell r="D6134" t="str">
            <v>%</v>
          </cell>
          <cell r="E6134">
            <v>5</v>
          </cell>
          <cell r="F6134">
            <v>1500</v>
          </cell>
          <cell r="G6134">
            <v>7899</v>
          </cell>
        </row>
        <row r="6135">
          <cell r="C6135" t="str">
            <v>Nhân công</v>
          </cell>
          <cell r="G6135">
            <v>1082240.4788815791</v>
          </cell>
        </row>
        <row r="6136">
          <cell r="B6136" t="str">
            <v>NC1457</v>
          </cell>
          <cell r="C6136" t="str">
            <v>+ Nhân công bậc 4,5/7</v>
          </cell>
          <cell r="D6136" t="str">
            <v>Công</v>
          </cell>
          <cell r="E6136">
            <v>5.1100000000000003</v>
          </cell>
          <cell r="F6136">
            <v>211788.74342105264</v>
          </cell>
          <cell r="G6136">
            <v>1082240.4788815791</v>
          </cell>
        </row>
        <row r="6137">
          <cell r="A6137" t="str">
            <v>D4.3265</v>
          </cell>
          <cell r="C6137" t="str">
            <v>Làm đầu cáp lực 10-15Kv, Phễu cáp bằng gang, Cáp có tiết diện &lt;=240mm2</v>
          </cell>
          <cell r="D6137" t="str">
            <v>1 đầu 3 pha</v>
          </cell>
          <cell r="H6137">
            <v>177733.5</v>
          </cell>
          <cell r="I6137">
            <v>1183899.0757236842</v>
          </cell>
        </row>
        <row r="6138">
          <cell r="C6138" t="str">
            <v>Vật liệu</v>
          </cell>
          <cell r="G6138">
            <v>177733.5</v>
          </cell>
        </row>
        <row r="6139">
          <cell r="B6139">
            <v>126</v>
          </cell>
          <cell r="C6139" t="str">
            <v>+ Phễu cáp bằng gang loại =&lt;240mm2</v>
          </cell>
          <cell r="D6139" t="str">
            <v>cái</v>
          </cell>
          <cell r="E6139">
            <v>1</v>
          </cell>
          <cell r="F6139">
            <v>0</v>
          </cell>
          <cell r="G6139">
            <v>0</v>
          </cell>
        </row>
        <row r="6140">
          <cell r="B6140">
            <v>25</v>
          </cell>
          <cell r="C6140" t="str">
            <v>+ Coliê sắt</v>
          </cell>
          <cell r="D6140" t="str">
            <v>bộ</v>
          </cell>
          <cell r="E6140">
            <v>2</v>
          </cell>
          <cell r="F6140">
            <v>8000</v>
          </cell>
          <cell r="G6140">
            <v>16000</v>
          </cell>
        </row>
        <row r="6141">
          <cell r="B6141">
            <v>114</v>
          </cell>
          <cell r="C6141" t="str">
            <v>+ Dây đồng 25mm2</v>
          </cell>
          <cell r="D6141" t="str">
            <v>m</v>
          </cell>
          <cell r="E6141">
            <v>1</v>
          </cell>
          <cell r="F6141">
            <v>69454</v>
          </cell>
          <cell r="G6141">
            <v>69454</v>
          </cell>
        </row>
        <row r="6142">
          <cell r="B6142">
            <v>35</v>
          </cell>
          <cell r="C6142" t="str">
            <v>+ Chất cách điện</v>
          </cell>
          <cell r="D6142" t="str">
            <v>kg</v>
          </cell>
          <cell r="E6142">
            <v>3.5</v>
          </cell>
          <cell r="F6142">
            <v>15450</v>
          </cell>
          <cell r="G6142">
            <v>54075</v>
          </cell>
        </row>
        <row r="6143">
          <cell r="B6143">
            <v>25</v>
          </cell>
          <cell r="C6143" t="str">
            <v>+ Băng vải nhựa, ni lông ( băng dính )</v>
          </cell>
          <cell r="D6143" t="str">
            <v>cuộn</v>
          </cell>
          <cell r="E6143">
            <v>1.5</v>
          </cell>
          <cell r="F6143">
            <v>8000</v>
          </cell>
          <cell r="G6143">
            <v>12000</v>
          </cell>
        </row>
        <row r="6144">
          <cell r="B6144">
            <v>3</v>
          </cell>
          <cell r="C6144" t="str">
            <v>+ Xăng</v>
          </cell>
          <cell r="D6144" t="str">
            <v>kg</v>
          </cell>
          <cell r="E6144">
            <v>0.5</v>
          </cell>
          <cell r="F6144">
            <v>18382</v>
          </cell>
          <cell r="G6144">
            <v>9191</v>
          </cell>
        </row>
        <row r="6145">
          <cell r="B6145">
            <v>1</v>
          </cell>
          <cell r="C6145" t="str">
            <v>+ Cồn công nghiệp</v>
          </cell>
          <cell r="D6145" t="str">
            <v>kg</v>
          </cell>
          <cell r="E6145">
            <v>0.6</v>
          </cell>
          <cell r="F6145">
            <v>9500</v>
          </cell>
          <cell r="G6145">
            <v>5700</v>
          </cell>
        </row>
        <row r="6146">
          <cell r="B6146">
            <v>9</v>
          </cell>
          <cell r="C6146" t="str">
            <v>+ Giẻ lau</v>
          </cell>
          <cell r="D6146" t="str">
            <v>Kg</v>
          </cell>
          <cell r="E6146">
            <v>0.3</v>
          </cell>
          <cell r="F6146">
            <v>9500</v>
          </cell>
          <cell r="G6146">
            <v>2850</v>
          </cell>
        </row>
        <row r="6147">
          <cell r="B6147">
            <v>137</v>
          </cell>
          <cell r="C6147" t="str">
            <v>Vật liệu khác</v>
          </cell>
          <cell r="D6147" t="str">
            <v>%</v>
          </cell>
          <cell r="E6147">
            <v>5</v>
          </cell>
          <cell r="F6147">
            <v>1500</v>
          </cell>
          <cell r="G6147">
            <v>8463.5</v>
          </cell>
        </row>
        <row r="6148">
          <cell r="C6148" t="str">
            <v>Nhân công</v>
          </cell>
          <cell r="G6148">
            <v>1183899.0757236842</v>
          </cell>
        </row>
        <row r="6149">
          <cell r="B6149" t="str">
            <v>NC1457</v>
          </cell>
          <cell r="C6149" t="str">
            <v>+ Nhân công bậc 4,5/7</v>
          </cell>
          <cell r="D6149" t="str">
            <v>Công</v>
          </cell>
          <cell r="E6149">
            <v>5.59</v>
          </cell>
          <cell r="F6149">
            <v>211788.74342105264</v>
          </cell>
          <cell r="G6149">
            <v>1183899.0757236842</v>
          </cell>
        </row>
        <row r="6150">
          <cell r="A6150" t="str">
            <v>D4.3266</v>
          </cell>
          <cell r="C6150" t="str">
            <v>Làm đầu cáp lực 10-15Kv, Phễu cáp bằng gang, Cáp có tiết diện &lt;=300mm2</v>
          </cell>
          <cell r="D6150" t="str">
            <v>1 đầu 3 pha</v>
          </cell>
          <cell r="H6150">
            <v>185844.75</v>
          </cell>
          <cell r="I6150">
            <v>1300382.8846052631</v>
          </cell>
        </row>
        <row r="6151">
          <cell r="C6151" t="str">
            <v>Vật liệu</v>
          </cell>
          <cell r="G6151">
            <v>185844.75</v>
          </cell>
        </row>
        <row r="6152">
          <cell r="B6152">
            <v>127</v>
          </cell>
          <cell r="C6152" t="str">
            <v>+ Phễu cáp bằng gang loại =&lt;300mm2</v>
          </cell>
          <cell r="D6152" t="str">
            <v>cái</v>
          </cell>
          <cell r="E6152">
            <v>1</v>
          </cell>
          <cell r="F6152">
            <v>0</v>
          </cell>
          <cell r="G6152">
            <v>0</v>
          </cell>
        </row>
        <row r="6153">
          <cell r="B6153">
            <v>25</v>
          </cell>
          <cell r="C6153" t="str">
            <v>+ Coliê sắt</v>
          </cell>
          <cell r="D6153" t="str">
            <v>bộ</v>
          </cell>
          <cell r="E6153">
            <v>2</v>
          </cell>
          <cell r="F6153">
            <v>8000</v>
          </cell>
          <cell r="G6153">
            <v>16000</v>
          </cell>
        </row>
        <row r="6154">
          <cell r="B6154">
            <v>114</v>
          </cell>
          <cell r="C6154" t="str">
            <v>+ Dây đồng 25mm2</v>
          </cell>
          <cell r="D6154" t="str">
            <v>m</v>
          </cell>
          <cell r="E6154">
            <v>1</v>
          </cell>
          <cell r="F6154">
            <v>69454</v>
          </cell>
          <cell r="G6154">
            <v>69454</v>
          </cell>
        </row>
        <row r="6155">
          <cell r="B6155">
            <v>35</v>
          </cell>
          <cell r="C6155" t="str">
            <v>+ Chất cách điện</v>
          </cell>
          <cell r="D6155" t="str">
            <v>kg</v>
          </cell>
          <cell r="E6155">
            <v>4</v>
          </cell>
          <cell r="F6155">
            <v>15450</v>
          </cell>
          <cell r="G6155">
            <v>61800</v>
          </cell>
        </row>
        <row r="6156">
          <cell r="B6156">
            <v>25</v>
          </cell>
          <cell r="C6156" t="str">
            <v>+ Băng vải nhựa, ni lông ( băng dính )</v>
          </cell>
          <cell r="D6156" t="str">
            <v>cuộn</v>
          </cell>
          <cell r="E6156">
            <v>1.5</v>
          </cell>
          <cell r="F6156">
            <v>8000</v>
          </cell>
          <cell r="G6156">
            <v>12000</v>
          </cell>
        </row>
        <row r="6157">
          <cell r="B6157">
            <v>3</v>
          </cell>
          <cell r="C6157" t="str">
            <v>+ Xăng</v>
          </cell>
          <cell r="D6157" t="str">
            <v>kg</v>
          </cell>
          <cell r="E6157">
            <v>0.5</v>
          </cell>
          <cell r="F6157">
            <v>18382</v>
          </cell>
          <cell r="G6157">
            <v>9191</v>
          </cell>
        </row>
        <row r="6158">
          <cell r="B6158">
            <v>1</v>
          </cell>
          <cell r="C6158" t="str">
            <v>+ Cồn công nghiệp</v>
          </cell>
          <cell r="D6158" t="str">
            <v>kg</v>
          </cell>
          <cell r="E6158">
            <v>0.6</v>
          </cell>
          <cell r="F6158">
            <v>9500</v>
          </cell>
          <cell r="G6158">
            <v>5700</v>
          </cell>
        </row>
        <row r="6159">
          <cell r="B6159">
            <v>9</v>
          </cell>
          <cell r="C6159" t="str">
            <v>+ Giẻ lau</v>
          </cell>
          <cell r="D6159" t="str">
            <v>Kg</v>
          </cell>
          <cell r="E6159">
            <v>0.3</v>
          </cell>
          <cell r="F6159">
            <v>9500</v>
          </cell>
          <cell r="G6159">
            <v>2850</v>
          </cell>
        </row>
        <row r="6160">
          <cell r="B6160">
            <v>137</v>
          </cell>
          <cell r="C6160" t="str">
            <v>Vật liệu khác</v>
          </cell>
          <cell r="D6160" t="str">
            <v>%</v>
          </cell>
          <cell r="E6160">
            <v>5</v>
          </cell>
          <cell r="F6160">
            <v>1500</v>
          </cell>
          <cell r="G6160">
            <v>8849.75</v>
          </cell>
        </row>
        <row r="6161">
          <cell r="C6161" t="str">
            <v>Nhân công</v>
          </cell>
          <cell r="G6161">
            <v>1300382.8846052631</v>
          </cell>
        </row>
        <row r="6162">
          <cell r="B6162" t="str">
            <v>NC1457</v>
          </cell>
          <cell r="C6162" t="str">
            <v>+ Nhân công bậc 4,5/7</v>
          </cell>
          <cell r="D6162" t="str">
            <v>Công</v>
          </cell>
          <cell r="E6162">
            <v>6.14</v>
          </cell>
          <cell r="F6162">
            <v>211788.74342105264</v>
          </cell>
          <cell r="G6162">
            <v>1300382.8846052631</v>
          </cell>
        </row>
        <row r="6163">
          <cell r="A6163" t="str">
            <v>D4.3267</v>
          </cell>
          <cell r="C6163" t="str">
            <v>Làm đầu cáp lực 10-15Kv, Phễu cáp bằng gang, Cáp có tiết diện &lt;=400mm2</v>
          </cell>
          <cell r="D6163" t="str">
            <v>1 đầu 3 pha</v>
          </cell>
          <cell r="H6163">
            <v>205068.36000000002</v>
          </cell>
          <cell r="I6163">
            <v>1558765.1515789474</v>
          </cell>
        </row>
        <row r="6164">
          <cell r="C6164" t="str">
            <v>Vật liệu</v>
          </cell>
          <cell r="G6164">
            <v>205068.36000000002</v>
          </cell>
        </row>
        <row r="6165">
          <cell r="B6165">
            <v>128</v>
          </cell>
          <cell r="C6165" t="str">
            <v>+ Phễu cáp bằng gang loại =&lt;400mm2</v>
          </cell>
          <cell r="D6165" t="str">
            <v>cái</v>
          </cell>
          <cell r="E6165">
            <v>1</v>
          </cell>
          <cell r="F6165">
            <v>0</v>
          </cell>
          <cell r="G6165">
            <v>0</v>
          </cell>
        </row>
        <row r="6166">
          <cell r="B6166">
            <v>25</v>
          </cell>
          <cell r="C6166" t="str">
            <v>+ Coliê sắt</v>
          </cell>
          <cell r="D6166" t="str">
            <v>bộ</v>
          </cell>
          <cell r="E6166">
            <v>2</v>
          </cell>
          <cell r="F6166">
            <v>8000</v>
          </cell>
          <cell r="G6166">
            <v>16000</v>
          </cell>
        </row>
        <row r="6167">
          <cell r="B6167">
            <v>114</v>
          </cell>
          <cell r="C6167" t="str">
            <v>+ Dây đồng 25mm2</v>
          </cell>
          <cell r="D6167" t="str">
            <v>m</v>
          </cell>
          <cell r="E6167">
            <v>1</v>
          </cell>
          <cell r="F6167">
            <v>69454</v>
          </cell>
          <cell r="G6167">
            <v>69454</v>
          </cell>
        </row>
        <row r="6168">
          <cell r="B6168">
            <v>35</v>
          </cell>
          <cell r="C6168" t="str">
            <v>+ Chất cách điện</v>
          </cell>
          <cell r="D6168" t="str">
            <v>kg</v>
          </cell>
          <cell r="E6168">
            <v>4.8</v>
          </cell>
          <cell r="F6168">
            <v>15450</v>
          </cell>
          <cell r="G6168">
            <v>74160</v>
          </cell>
        </row>
        <row r="6169">
          <cell r="B6169">
            <v>25</v>
          </cell>
          <cell r="C6169" t="str">
            <v>+ Băng vải nhựa, ni lông ( băng dính )</v>
          </cell>
          <cell r="D6169" t="str">
            <v>cuộn</v>
          </cell>
          <cell r="E6169">
            <v>1.8</v>
          </cell>
          <cell r="F6169">
            <v>8000</v>
          </cell>
          <cell r="G6169">
            <v>14400</v>
          </cell>
        </row>
        <row r="6170">
          <cell r="B6170">
            <v>3</v>
          </cell>
          <cell r="C6170" t="str">
            <v>+ Xăng</v>
          </cell>
          <cell r="D6170" t="str">
            <v>kg</v>
          </cell>
          <cell r="E6170">
            <v>0.6</v>
          </cell>
          <cell r="F6170">
            <v>18382</v>
          </cell>
          <cell r="G6170">
            <v>11029.199999999999</v>
          </cell>
        </row>
        <row r="6171">
          <cell r="B6171">
            <v>1</v>
          </cell>
          <cell r="C6171" t="str">
            <v>+ Cồn công nghiệp</v>
          </cell>
          <cell r="D6171" t="str">
            <v>kg</v>
          </cell>
          <cell r="E6171">
            <v>0.72</v>
          </cell>
          <cell r="F6171">
            <v>9500</v>
          </cell>
          <cell r="G6171">
            <v>6840</v>
          </cell>
        </row>
        <row r="6172">
          <cell r="B6172">
            <v>9</v>
          </cell>
          <cell r="C6172" t="str">
            <v>+ Giẻ lau</v>
          </cell>
          <cell r="D6172" t="str">
            <v>Kg</v>
          </cell>
          <cell r="E6172">
            <v>0.36</v>
          </cell>
          <cell r="F6172">
            <v>9500</v>
          </cell>
          <cell r="G6172">
            <v>3420</v>
          </cell>
        </row>
        <row r="6173">
          <cell r="B6173">
            <v>137</v>
          </cell>
          <cell r="C6173" t="str">
            <v>Vật liệu khác</v>
          </cell>
          <cell r="D6173" t="str">
            <v>%</v>
          </cell>
          <cell r="E6173">
            <v>5</v>
          </cell>
          <cell r="F6173">
            <v>1500</v>
          </cell>
          <cell r="G6173">
            <v>9765.1600000000017</v>
          </cell>
        </row>
        <row r="6174">
          <cell r="C6174" t="str">
            <v>Nhân công</v>
          </cell>
          <cell r="G6174">
            <v>1558765.1515789474</v>
          </cell>
        </row>
        <row r="6175">
          <cell r="B6175" t="str">
            <v>NC1457</v>
          </cell>
          <cell r="C6175" t="str">
            <v>+ Nhân công bậc 4,5/7</v>
          </cell>
          <cell r="D6175" t="str">
            <v>Công</v>
          </cell>
          <cell r="E6175">
            <v>7.36</v>
          </cell>
          <cell r="F6175">
            <v>211788.74342105264</v>
          </cell>
          <cell r="G6175">
            <v>1558765.1515789474</v>
          </cell>
        </row>
        <row r="6176">
          <cell r="A6176" t="str">
            <v>D4.3311</v>
          </cell>
          <cell r="C6176" t="str">
            <v>Làm đầu cáp lực, cáp khô 22KV 1 pha, Cáp có tiết diện &lt;=35mm2</v>
          </cell>
          <cell r="D6176" t="str">
            <v>đầu</v>
          </cell>
          <cell r="H6176">
            <v>7581</v>
          </cell>
          <cell r="I6176">
            <v>391809.17532894743</v>
          </cell>
        </row>
        <row r="6177">
          <cell r="C6177" t="str">
            <v>Vật liệu</v>
          </cell>
          <cell r="G6177">
            <v>7581</v>
          </cell>
        </row>
        <row r="6178">
          <cell r="B6178">
            <v>1</v>
          </cell>
          <cell r="C6178" t="str">
            <v>+ Cồn công nghiệp</v>
          </cell>
          <cell r="D6178" t="str">
            <v>kg</v>
          </cell>
          <cell r="E6178">
            <v>0.6</v>
          </cell>
          <cell r="F6178">
            <v>9500</v>
          </cell>
          <cell r="G6178">
            <v>5700</v>
          </cell>
        </row>
        <row r="6179">
          <cell r="B6179">
            <v>9</v>
          </cell>
          <cell r="C6179" t="str">
            <v>+ Giẻ lau</v>
          </cell>
          <cell r="D6179" t="str">
            <v>Kg</v>
          </cell>
          <cell r="E6179">
            <v>0.16</v>
          </cell>
          <cell r="F6179">
            <v>9500</v>
          </cell>
          <cell r="G6179">
            <v>1520</v>
          </cell>
        </row>
        <row r="6180">
          <cell r="B6180">
            <v>137</v>
          </cell>
          <cell r="C6180" t="str">
            <v>Vật liệu khác</v>
          </cell>
          <cell r="D6180" t="str">
            <v>%</v>
          </cell>
          <cell r="E6180">
            <v>5</v>
          </cell>
          <cell r="F6180">
            <v>1500</v>
          </cell>
          <cell r="G6180">
            <v>361</v>
          </cell>
        </row>
        <row r="6181">
          <cell r="C6181" t="str">
            <v>Nhân công</v>
          </cell>
          <cell r="G6181">
            <v>391809.17532894743</v>
          </cell>
        </row>
        <row r="6182">
          <cell r="B6182" t="str">
            <v>NC1457</v>
          </cell>
          <cell r="C6182" t="str">
            <v>+ Nhân công bậc 4,5/7</v>
          </cell>
          <cell r="D6182" t="str">
            <v>Công</v>
          </cell>
          <cell r="E6182">
            <v>1.85</v>
          </cell>
          <cell r="F6182">
            <v>211788.74342105264</v>
          </cell>
          <cell r="G6182">
            <v>391809.17532894743</v>
          </cell>
        </row>
        <row r="6183">
          <cell r="A6183" t="str">
            <v>D4.3312</v>
          </cell>
          <cell r="C6183" t="str">
            <v>Làm đầu cáp lực, cáp khô 22KV 1 pha, Cáp có tiết diện &lt; =70mm2</v>
          </cell>
          <cell r="D6183" t="str">
            <v>đầu</v>
          </cell>
          <cell r="H6183">
            <v>7581</v>
          </cell>
          <cell r="I6183">
            <v>434166.9240131579</v>
          </cell>
        </row>
        <row r="6184">
          <cell r="C6184" t="str">
            <v>Vật liệu</v>
          </cell>
          <cell r="G6184">
            <v>7581</v>
          </cell>
        </row>
        <row r="6185">
          <cell r="B6185">
            <v>1</v>
          </cell>
          <cell r="C6185" t="str">
            <v>+ Cồn công nghiệp</v>
          </cell>
          <cell r="D6185" t="str">
            <v>kg</v>
          </cell>
          <cell r="E6185">
            <v>0.6</v>
          </cell>
          <cell r="F6185">
            <v>9500</v>
          </cell>
          <cell r="G6185">
            <v>5700</v>
          </cell>
        </row>
        <row r="6186">
          <cell r="B6186">
            <v>9</v>
          </cell>
          <cell r="C6186" t="str">
            <v>+ Giẻ lau</v>
          </cell>
          <cell r="D6186" t="str">
            <v>Kg</v>
          </cell>
          <cell r="E6186">
            <v>0.16</v>
          </cell>
          <cell r="F6186">
            <v>9500</v>
          </cell>
          <cell r="G6186">
            <v>1520</v>
          </cell>
        </row>
        <row r="6187">
          <cell r="B6187">
            <v>137</v>
          </cell>
          <cell r="C6187" t="str">
            <v>Vật liệu khác</v>
          </cell>
          <cell r="D6187" t="str">
            <v>%</v>
          </cell>
          <cell r="E6187">
            <v>5</v>
          </cell>
          <cell r="F6187">
            <v>1500</v>
          </cell>
          <cell r="G6187">
            <v>361</v>
          </cell>
        </row>
        <row r="6188">
          <cell r="C6188" t="str">
            <v>Nhân công</v>
          </cell>
          <cell r="G6188">
            <v>434166.9240131579</v>
          </cell>
        </row>
        <row r="6189">
          <cell r="B6189" t="str">
            <v>NC1457</v>
          </cell>
          <cell r="C6189" t="str">
            <v>+ Nhân công bậc 4,5/7</v>
          </cell>
          <cell r="D6189" t="str">
            <v>Công</v>
          </cell>
          <cell r="E6189">
            <v>2.0499999999999998</v>
          </cell>
          <cell r="F6189">
            <v>211788.74342105264</v>
          </cell>
          <cell r="G6189">
            <v>434166.9240131579</v>
          </cell>
        </row>
        <row r="6190">
          <cell r="A6190" t="str">
            <v>D4.3313</v>
          </cell>
          <cell r="C6190" t="str">
            <v>Làm đầu cáp lực, cáp khô 22KV 1 pha, Cáp có tiết diện &lt; =120mm2</v>
          </cell>
          <cell r="D6190" t="str">
            <v>đầu</v>
          </cell>
          <cell r="H6190">
            <v>7980</v>
          </cell>
          <cell r="I6190">
            <v>480760.44756578951</v>
          </cell>
        </row>
        <row r="6191">
          <cell r="C6191" t="str">
            <v>Vật liệu</v>
          </cell>
          <cell r="G6191">
            <v>7980</v>
          </cell>
        </row>
        <row r="6192">
          <cell r="B6192">
            <v>1</v>
          </cell>
          <cell r="C6192" t="str">
            <v>+ Cồn công nghiệp</v>
          </cell>
          <cell r="D6192" t="str">
            <v>kg</v>
          </cell>
          <cell r="E6192">
            <v>0.6</v>
          </cell>
          <cell r="F6192">
            <v>9500</v>
          </cell>
          <cell r="G6192">
            <v>5700</v>
          </cell>
        </row>
        <row r="6193">
          <cell r="B6193">
            <v>9</v>
          </cell>
          <cell r="C6193" t="str">
            <v>+ Giẻ lau</v>
          </cell>
          <cell r="D6193" t="str">
            <v>Kg</v>
          </cell>
          <cell r="E6193">
            <v>0.2</v>
          </cell>
          <cell r="F6193">
            <v>9500</v>
          </cell>
          <cell r="G6193">
            <v>1900</v>
          </cell>
        </row>
        <row r="6194">
          <cell r="B6194">
            <v>137</v>
          </cell>
          <cell r="C6194" t="str">
            <v>Vật liệu khác</v>
          </cell>
          <cell r="D6194" t="str">
            <v>%</v>
          </cell>
          <cell r="E6194">
            <v>5</v>
          </cell>
          <cell r="F6194">
            <v>1500</v>
          </cell>
          <cell r="G6194">
            <v>380</v>
          </cell>
        </row>
        <row r="6195">
          <cell r="C6195" t="str">
            <v>Nhân công</v>
          </cell>
          <cell r="G6195">
            <v>480760.44756578951</v>
          </cell>
        </row>
        <row r="6196">
          <cell r="B6196" t="str">
            <v>NC1457</v>
          </cell>
          <cell r="C6196" t="str">
            <v>+ Nhân công bậc 4,5/7</v>
          </cell>
          <cell r="D6196" t="str">
            <v>Công</v>
          </cell>
          <cell r="E6196">
            <v>2.27</v>
          </cell>
          <cell r="F6196">
            <v>211788.74342105264</v>
          </cell>
          <cell r="G6196">
            <v>480760.44756578951</v>
          </cell>
        </row>
        <row r="6197">
          <cell r="A6197" t="str">
            <v>D4.3314</v>
          </cell>
          <cell r="C6197" t="str">
            <v>Làm đầu cáp lực, cáp khô 22KV 1 pha, Cáp có tiết diện &lt;=185mm2</v>
          </cell>
          <cell r="D6197" t="str">
            <v>đầu</v>
          </cell>
          <cell r="H6197">
            <v>8977.5</v>
          </cell>
          <cell r="I6197">
            <v>529471.85855263157</v>
          </cell>
        </row>
        <row r="6198">
          <cell r="C6198" t="str">
            <v>Vật liệu</v>
          </cell>
          <cell r="G6198">
            <v>8977.5</v>
          </cell>
        </row>
        <row r="6199">
          <cell r="B6199">
            <v>1</v>
          </cell>
          <cell r="C6199" t="str">
            <v>+ Cồn công nghiệp</v>
          </cell>
          <cell r="D6199" t="str">
            <v>kg</v>
          </cell>
          <cell r="E6199">
            <v>0.7</v>
          </cell>
          <cell r="F6199">
            <v>9500</v>
          </cell>
          <cell r="G6199">
            <v>6650</v>
          </cell>
        </row>
        <row r="6200">
          <cell r="B6200">
            <v>9</v>
          </cell>
          <cell r="C6200" t="str">
            <v>+ Giẻ lau</v>
          </cell>
          <cell r="D6200" t="str">
            <v>Kg</v>
          </cell>
          <cell r="E6200">
            <v>0.2</v>
          </cell>
          <cell r="F6200">
            <v>9500</v>
          </cell>
          <cell r="G6200">
            <v>1900</v>
          </cell>
        </row>
        <row r="6201">
          <cell r="B6201">
            <v>137</v>
          </cell>
          <cell r="C6201" t="str">
            <v>Vật liệu khác</v>
          </cell>
          <cell r="D6201" t="str">
            <v>%</v>
          </cell>
          <cell r="E6201">
            <v>5</v>
          </cell>
          <cell r="F6201">
            <v>1500</v>
          </cell>
          <cell r="G6201">
            <v>427.5</v>
          </cell>
        </row>
        <row r="6202">
          <cell r="C6202" t="str">
            <v>Nhân công</v>
          </cell>
          <cell r="G6202">
            <v>529471.85855263157</v>
          </cell>
        </row>
        <row r="6203">
          <cell r="B6203" t="str">
            <v>NC1457</v>
          </cell>
          <cell r="C6203" t="str">
            <v>+ Nhân công bậc 4,5/7</v>
          </cell>
          <cell r="D6203" t="str">
            <v>Công</v>
          </cell>
          <cell r="E6203">
            <v>2.5</v>
          </cell>
          <cell r="F6203">
            <v>211788.74342105264</v>
          </cell>
          <cell r="G6203">
            <v>529471.85855263157</v>
          </cell>
        </row>
        <row r="6204">
          <cell r="A6204" t="str">
            <v>D4.3315</v>
          </cell>
          <cell r="C6204" t="str">
            <v>Làm đầu cáp lực, cáp khô 22KV 1 pha, Cáp có tiết diện &lt;= 240mm2</v>
          </cell>
          <cell r="D6204" t="str">
            <v>đầu</v>
          </cell>
          <cell r="H6204">
            <v>9376.5</v>
          </cell>
          <cell r="I6204">
            <v>590890.59414473688</v>
          </cell>
        </row>
        <row r="6205">
          <cell r="C6205" t="str">
            <v>Vật liệu</v>
          </cell>
          <cell r="G6205">
            <v>9376.5</v>
          </cell>
        </row>
        <row r="6206">
          <cell r="B6206">
            <v>1</v>
          </cell>
          <cell r="C6206" t="str">
            <v>+ Cồn công nghiệp</v>
          </cell>
          <cell r="D6206" t="str">
            <v>kg</v>
          </cell>
          <cell r="E6206">
            <v>0.7</v>
          </cell>
          <cell r="F6206">
            <v>9500</v>
          </cell>
          <cell r="G6206">
            <v>6650</v>
          </cell>
        </row>
        <row r="6207">
          <cell r="B6207">
            <v>9</v>
          </cell>
          <cell r="C6207" t="str">
            <v>+ Giẻ lau</v>
          </cell>
          <cell r="D6207" t="str">
            <v>Kg</v>
          </cell>
          <cell r="E6207">
            <v>0.24</v>
          </cell>
          <cell r="F6207">
            <v>9500</v>
          </cell>
          <cell r="G6207">
            <v>2280</v>
          </cell>
        </row>
        <row r="6208">
          <cell r="B6208">
            <v>137</v>
          </cell>
          <cell r="C6208" t="str">
            <v>Vật liệu khác</v>
          </cell>
          <cell r="D6208" t="str">
            <v>%</v>
          </cell>
          <cell r="E6208">
            <v>5</v>
          </cell>
          <cell r="F6208">
            <v>1500</v>
          </cell>
          <cell r="G6208">
            <v>446.5</v>
          </cell>
        </row>
        <row r="6209">
          <cell r="C6209" t="str">
            <v>Nhân công</v>
          </cell>
          <cell r="G6209">
            <v>590890.59414473688</v>
          </cell>
        </row>
        <row r="6210">
          <cell r="B6210" t="str">
            <v>NC1457</v>
          </cell>
          <cell r="C6210" t="str">
            <v>+ Nhân công bậc 4,5/7</v>
          </cell>
          <cell r="D6210" t="str">
            <v>Công</v>
          </cell>
          <cell r="E6210">
            <v>2.79</v>
          </cell>
          <cell r="F6210">
            <v>211788.74342105264</v>
          </cell>
          <cell r="G6210">
            <v>590890.59414473688</v>
          </cell>
        </row>
        <row r="6211">
          <cell r="A6211" t="str">
            <v>D4.3316</v>
          </cell>
          <cell r="C6211" t="str">
            <v>Làm đầu cáp lực, cáp khô 22KV 1 pha, Cáp có tiết diện &lt;=300mm2</v>
          </cell>
          <cell r="D6211" t="str">
            <v>đầu</v>
          </cell>
          <cell r="H6211">
            <v>9376.5</v>
          </cell>
          <cell r="I6211">
            <v>766675.25118421053</v>
          </cell>
        </row>
        <row r="6212">
          <cell r="C6212" t="str">
            <v>Vật liệu</v>
          </cell>
          <cell r="G6212">
            <v>9376.5</v>
          </cell>
        </row>
        <row r="6213">
          <cell r="B6213">
            <v>1</v>
          </cell>
          <cell r="C6213" t="str">
            <v>+ Cồn công nghiệp</v>
          </cell>
          <cell r="D6213" t="str">
            <v>kg</v>
          </cell>
          <cell r="E6213">
            <v>0.7</v>
          </cell>
          <cell r="F6213">
            <v>9500</v>
          </cell>
          <cell r="G6213">
            <v>6650</v>
          </cell>
        </row>
        <row r="6214">
          <cell r="B6214">
            <v>9</v>
          </cell>
          <cell r="C6214" t="str">
            <v>+ Giẻ lau</v>
          </cell>
          <cell r="D6214" t="str">
            <v>Kg</v>
          </cell>
          <cell r="E6214">
            <v>0.24</v>
          </cell>
          <cell r="F6214">
            <v>9500</v>
          </cell>
          <cell r="G6214">
            <v>2280</v>
          </cell>
        </row>
        <row r="6215">
          <cell r="B6215">
            <v>137</v>
          </cell>
          <cell r="C6215" t="str">
            <v>Vật liệu khác</v>
          </cell>
          <cell r="D6215" t="str">
            <v>%</v>
          </cell>
          <cell r="E6215">
            <v>5</v>
          </cell>
          <cell r="F6215">
            <v>1500</v>
          </cell>
          <cell r="G6215">
            <v>446.5</v>
          </cell>
        </row>
        <row r="6216">
          <cell r="C6216" t="str">
            <v>Nhân công</v>
          </cell>
          <cell r="G6216">
            <v>766675.25118421053</v>
          </cell>
        </row>
        <row r="6217">
          <cell r="B6217" t="str">
            <v>NC1457</v>
          </cell>
          <cell r="C6217" t="str">
            <v>+ Nhân công bậc 4,5/7</v>
          </cell>
          <cell r="D6217" t="str">
            <v>Công</v>
          </cell>
          <cell r="E6217">
            <v>3.62</v>
          </cell>
          <cell r="F6217">
            <v>211788.74342105264</v>
          </cell>
          <cell r="G6217">
            <v>766675.25118421053</v>
          </cell>
        </row>
        <row r="6218">
          <cell r="A6218" t="str">
            <v>D4.3317</v>
          </cell>
          <cell r="C6218" t="str">
            <v>Làm đầu cáp lực, cáp khô 22KV 1 pha, Cáp có tiết diện &lt;=400mm2</v>
          </cell>
          <cell r="D6218" t="str">
            <v>đầu</v>
          </cell>
          <cell r="H6218">
            <v>11271.75</v>
          </cell>
          <cell r="I6218">
            <v>919163.14644736843</v>
          </cell>
        </row>
        <row r="6219">
          <cell r="C6219" t="str">
            <v>Vật liệu</v>
          </cell>
          <cell r="G6219">
            <v>11271.75</v>
          </cell>
        </row>
        <row r="6220">
          <cell r="B6220">
            <v>1</v>
          </cell>
          <cell r="C6220" t="str">
            <v>+ Cồn công nghiệp</v>
          </cell>
          <cell r="D6220" t="str">
            <v>kg</v>
          </cell>
          <cell r="E6220">
            <v>0.84</v>
          </cell>
          <cell r="F6220">
            <v>9500</v>
          </cell>
          <cell r="G6220">
            <v>7980</v>
          </cell>
        </row>
        <row r="6221">
          <cell r="B6221">
            <v>9</v>
          </cell>
          <cell r="C6221" t="str">
            <v>+ Giẻ lau</v>
          </cell>
          <cell r="D6221" t="str">
            <v>Kg</v>
          </cell>
          <cell r="E6221">
            <v>0.28999999999999998</v>
          </cell>
          <cell r="F6221">
            <v>9500</v>
          </cell>
          <cell r="G6221">
            <v>2755</v>
          </cell>
        </row>
        <row r="6222">
          <cell r="B6222">
            <v>137</v>
          </cell>
          <cell r="C6222" t="str">
            <v>Vật liệu khác</v>
          </cell>
          <cell r="D6222" t="str">
            <v>%</v>
          </cell>
          <cell r="E6222">
            <v>5</v>
          </cell>
          <cell r="F6222">
            <v>1500</v>
          </cell>
          <cell r="G6222">
            <v>536.75</v>
          </cell>
        </row>
        <row r="6223">
          <cell r="C6223" t="str">
            <v>Nhân công</v>
          </cell>
          <cell r="G6223">
            <v>919163.14644736843</v>
          </cell>
        </row>
        <row r="6224">
          <cell r="B6224" t="str">
            <v>NC1457</v>
          </cell>
          <cell r="C6224" t="str">
            <v>+ Nhân công bậc 4,5/7</v>
          </cell>
          <cell r="D6224" t="str">
            <v>Công</v>
          </cell>
          <cell r="E6224">
            <v>4.34</v>
          </cell>
          <cell r="F6224">
            <v>211788.74342105264</v>
          </cell>
          <cell r="G6224">
            <v>919163.14644736843</v>
          </cell>
        </row>
        <row r="6225">
          <cell r="A6225" t="str">
            <v>D4.3321</v>
          </cell>
          <cell r="C6225" t="str">
            <v>Làm đầu cáp lực, cáp khô 35KV 1 pha, Cáp có tiết diện &lt;=35mm2</v>
          </cell>
          <cell r="D6225" t="str">
            <v>đầu</v>
          </cell>
          <cell r="H6225">
            <v>7581</v>
          </cell>
          <cell r="I6225">
            <v>510410.87164473691</v>
          </cell>
        </row>
        <row r="6226">
          <cell r="C6226" t="str">
            <v>Vật liệu</v>
          </cell>
          <cell r="G6226">
            <v>7581</v>
          </cell>
        </row>
        <row r="6227">
          <cell r="B6227">
            <v>1</v>
          </cell>
          <cell r="C6227" t="str">
            <v>+ Cồn công nghiệp</v>
          </cell>
          <cell r="D6227" t="str">
            <v>kg</v>
          </cell>
          <cell r="E6227">
            <v>0.6</v>
          </cell>
          <cell r="F6227">
            <v>9500</v>
          </cell>
          <cell r="G6227">
            <v>5700</v>
          </cell>
        </row>
        <row r="6228">
          <cell r="B6228">
            <v>9</v>
          </cell>
          <cell r="C6228" t="str">
            <v>+ Giẻ lau</v>
          </cell>
          <cell r="D6228" t="str">
            <v>Kg</v>
          </cell>
          <cell r="E6228">
            <v>0.16</v>
          </cell>
          <cell r="F6228">
            <v>9500</v>
          </cell>
          <cell r="G6228">
            <v>1520</v>
          </cell>
        </row>
        <row r="6229">
          <cell r="B6229">
            <v>137</v>
          </cell>
          <cell r="C6229" t="str">
            <v>Vật liệu khác</v>
          </cell>
          <cell r="D6229" t="str">
            <v>%</v>
          </cell>
          <cell r="E6229">
            <v>5</v>
          </cell>
          <cell r="F6229">
            <v>1500</v>
          </cell>
          <cell r="G6229">
            <v>361</v>
          </cell>
        </row>
        <row r="6230">
          <cell r="C6230" t="str">
            <v>Nhân công</v>
          </cell>
          <cell r="G6230">
            <v>510410.87164473691</v>
          </cell>
        </row>
        <row r="6231">
          <cell r="B6231" t="str">
            <v>NC1457</v>
          </cell>
          <cell r="C6231" t="str">
            <v>+ Nhân công bậc 4,5/7</v>
          </cell>
          <cell r="D6231" t="str">
            <v>Công</v>
          </cell>
          <cell r="E6231">
            <v>2.41</v>
          </cell>
          <cell r="F6231">
            <v>211788.74342105264</v>
          </cell>
          <cell r="G6231">
            <v>510410.87164473691</v>
          </cell>
        </row>
        <row r="6232">
          <cell r="A6232" t="str">
            <v>D4.3322</v>
          </cell>
          <cell r="C6232" t="str">
            <v>Làm đầu cáp lực, cáp khô 35KV 1 pha, Cáp có tiết diện &lt; =70mm2</v>
          </cell>
          <cell r="D6232" t="str">
            <v>đầu</v>
          </cell>
          <cell r="H6232">
            <v>7581</v>
          </cell>
          <cell r="I6232">
            <v>565475.94493421051</v>
          </cell>
        </row>
        <row r="6233">
          <cell r="C6233" t="str">
            <v>Vật liệu</v>
          </cell>
          <cell r="G6233">
            <v>7581</v>
          </cell>
        </row>
        <row r="6234">
          <cell r="B6234">
            <v>1</v>
          </cell>
          <cell r="C6234" t="str">
            <v>+ Cồn công nghiệp</v>
          </cell>
          <cell r="D6234" t="str">
            <v>kg</v>
          </cell>
          <cell r="E6234">
            <v>0.6</v>
          </cell>
          <cell r="F6234">
            <v>9500</v>
          </cell>
          <cell r="G6234">
            <v>5700</v>
          </cell>
        </row>
        <row r="6235">
          <cell r="B6235">
            <v>9</v>
          </cell>
          <cell r="C6235" t="str">
            <v>+ Giẻ lau</v>
          </cell>
          <cell r="D6235" t="str">
            <v>Kg</v>
          </cell>
          <cell r="E6235">
            <v>0.16</v>
          </cell>
          <cell r="F6235">
            <v>9500</v>
          </cell>
          <cell r="G6235">
            <v>1520</v>
          </cell>
        </row>
        <row r="6236">
          <cell r="B6236">
            <v>137</v>
          </cell>
          <cell r="C6236" t="str">
            <v>Vật liệu khác</v>
          </cell>
          <cell r="D6236" t="str">
            <v>%</v>
          </cell>
          <cell r="E6236">
            <v>5</v>
          </cell>
          <cell r="F6236">
            <v>1500</v>
          </cell>
          <cell r="G6236">
            <v>361</v>
          </cell>
        </row>
        <row r="6237">
          <cell r="C6237" t="str">
            <v>Nhân công</v>
          </cell>
          <cell r="G6237">
            <v>565475.94493421051</v>
          </cell>
        </row>
        <row r="6238">
          <cell r="B6238" t="str">
            <v>NC1457</v>
          </cell>
          <cell r="C6238" t="str">
            <v>+ Nhân công bậc 4,5/7</v>
          </cell>
          <cell r="D6238" t="str">
            <v>Công</v>
          </cell>
          <cell r="E6238">
            <v>2.67</v>
          </cell>
          <cell r="F6238">
            <v>211788.74342105264</v>
          </cell>
          <cell r="G6238">
            <v>565475.94493421051</v>
          </cell>
        </row>
        <row r="6239">
          <cell r="A6239" t="str">
            <v>D4.3323</v>
          </cell>
          <cell r="C6239" t="str">
            <v>Làm đầu cáp lực, cáp khô 35KV 1 pha, Cáp có tiết diện &lt; =120mm2</v>
          </cell>
          <cell r="D6239" t="str">
            <v>đầu</v>
          </cell>
          <cell r="H6239">
            <v>7980</v>
          </cell>
          <cell r="I6239">
            <v>624776.7930921053</v>
          </cell>
        </row>
        <row r="6240">
          <cell r="C6240" t="str">
            <v>Vật liệu</v>
          </cell>
          <cell r="G6240">
            <v>7980</v>
          </cell>
        </row>
        <row r="6241">
          <cell r="B6241">
            <v>1</v>
          </cell>
          <cell r="C6241" t="str">
            <v>+ Cồn công nghiệp</v>
          </cell>
          <cell r="D6241" t="str">
            <v>kg</v>
          </cell>
          <cell r="E6241">
            <v>0.6</v>
          </cell>
          <cell r="F6241">
            <v>9500</v>
          </cell>
          <cell r="G6241">
            <v>5700</v>
          </cell>
        </row>
        <row r="6242">
          <cell r="B6242">
            <v>9</v>
          </cell>
          <cell r="C6242" t="str">
            <v>+ Giẻ lau</v>
          </cell>
          <cell r="D6242" t="str">
            <v>Kg</v>
          </cell>
          <cell r="E6242">
            <v>0.2</v>
          </cell>
          <cell r="F6242">
            <v>9500</v>
          </cell>
          <cell r="G6242">
            <v>1900</v>
          </cell>
        </row>
        <row r="6243">
          <cell r="B6243">
            <v>137</v>
          </cell>
          <cell r="C6243" t="str">
            <v>Vật liệu khác</v>
          </cell>
          <cell r="D6243" t="str">
            <v>%</v>
          </cell>
          <cell r="E6243">
            <v>5</v>
          </cell>
          <cell r="F6243">
            <v>1500</v>
          </cell>
          <cell r="G6243">
            <v>380</v>
          </cell>
        </row>
        <row r="6244">
          <cell r="C6244" t="str">
            <v>Nhân công</v>
          </cell>
          <cell r="G6244">
            <v>624776.7930921053</v>
          </cell>
        </row>
        <row r="6245">
          <cell r="B6245" t="str">
            <v>NC1457</v>
          </cell>
          <cell r="C6245" t="str">
            <v>+ Nhân công bậc 4,5/7</v>
          </cell>
          <cell r="D6245" t="str">
            <v>Công</v>
          </cell>
          <cell r="E6245">
            <v>2.95</v>
          </cell>
          <cell r="F6245">
            <v>211788.74342105264</v>
          </cell>
          <cell r="G6245">
            <v>624776.7930921053</v>
          </cell>
        </row>
        <row r="6246">
          <cell r="A6246" t="str">
            <v>D4.3324</v>
          </cell>
          <cell r="C6246" t="str">
            <v>Làm đầu cáp lực, cáp khô 35KV 1 pha, Cáp có tiết diện &lt;=185mm2</v>
          </cell>
          <cell r="D6246" t="str">
            <v>đầu</v>
          </cell>
          <cell r="H6246">
            <v>8977.5</v>
          </cell>
          <cell r="I6246">
            <v>686195.52868421061</v>
          </cell>
        </row>
        <row r="6247">
          <cell r="C6247" t="str">
            <v>Vật liệu</v>
          </cell>
          <cell r="G6247">
            <v>8977.5</v>
          </cell>
        </row>
        <row r="6248">
          <cell r="B6248">
            <v>1</v>
          </cell>
          <cell r="C6248" t="str">
            <v>+ Cồn công nghiệp</v>
          </cell>
          <cell r="D6248" t="str">
            <v>kg</v>
          </cell>
          <cell r="E6248">
            <v>0.7</v>
          </cell>
          <cell r="F6248">
            <v>9500</v>
          </cell>
          <cell r="G6248">
            <v>6650</v>
          </cell>
        </row>
        <row r="6249">
          <cell r="B6249">
            <v>9</v>
          </cell>
          <cell r="C6249" t="str">
            <v>+ Giẻ lau</v>
          </cell>
          <cell r="D6249" t="str">
            <v>Kg</v>
          </cell>
          <cell r="E6249">
            <v>0.2</v>
          </cell>
          <cell r="F6249">
            <v>9500</v>
          </cell>
          <cell r="G6249">
            <v>1900</v>
          </cell>
        </row>
        <row r="6250">
          <cell r="B6250">
            <v>137</v>
          </cell>
          <cell r="C6250" t="str">
            <v>Vật liệu khác</v>
          </cell>
          <cell r="D6250" t="str">
            <v>%</v>
          </cell>
          <cell r="E6250">
            <v>5</v>
          </cell>
          <cell r="F6250">
            <v>1500</v>
          </cell>
          <cell r="G6250">
            <v>427.5</v>
          </cell>
        </row>
        <row r="6251">
          <cell r="C6251" t="str">
            <v>Nhân công</v>
          </cell>
          <cell r="G6251">
            <v>686195.52868421061</v>
          </cell>
        </row>
        <row r="6252">
          <cell r="B6252" t="str">
            <v>NC1457</v>
          </cell>
          <cell r="C6252" t="str">
            <v>+ Nhân công bậc 4,5/7</v>
          </cell>
          <cell r="D6252" t="str">
            <v>Công</v>
          </cell>
          <cell r="E6252">
            <v>3.24</v>
          </cell>
          <cell r="F6252">
            <v>211788.74342105264</v>
          </cell>
          <cell r="G6252">
            <v>686195.52868421061</v>
          </cell>
        </row>
        <row r="6253">
          <cell r="A6253" t="str">
            <v>D4.3325</v>
          </cell>
          <cell r="C6253" t="str">
            <v>Làm đầu cáp lực, cáp khô 35KV 1 pha, Cáp có tiết diện &lt;= 240mm2</v>
          </cell>
          <cell r="D6253" t="str">
            <v>đầu</v>
          </cell>
          <cell r="H6253">
            <v>9376.5</v>
          </cell>
          <cell r="I6253">
            <v>768793.13861842104</v>
          </cell>
        </row>
        <row r="6254">
          <cell r="C6254" t="str">
            <v>Vật liệu</v>
          </cell>
          <cell r="G6254">
            <v>9376.5</v>
          </cell>
        </row>
        <row r="6255">
          <cell r="B6255">
            <v>1</v>
          </cell>
          <cell r="C6255" t="str">
            <v>+ Cồn công nghiệp</v>
          </cell>
          <cell r="D6255" t="str">
            <v>kg</v>
          </cell>
          <cell r="E6255">
            <v>0.7</v>
          </cell>
          <cell r="F6255">
            <v>9500</v>
          </cell>
          <cell r="G6255">
            <v>6650</v>
          </cell>
        </row>
        <row r="6256">
          <cell r="B6256">
            <v>9</v>
          </cell>
          <cell r="C6256" t="str">
            <v>+ Giẻ lau</v>
          </cell>
          <cell r="D6256" t="str">
            <v>Kg</v>
          </cell>
          <cell r="E6256">
            <v>0.24</v>
          </cell>
          <cell r="F6256">
            <v>9500</v>
          </cell>
          <cell r="G6256">
            <v>2280</v>
          </cell>
        </row>
        <row r="6257">
          <cell r="B6257">
            <v>137</v>
          </cell>
          <cell r="C6257" t="str">
            <v>Vật liệu khác</v>
          </cell>
          <cell r="D6257" t="str">
            <v>%</v>
          </cell>
          <cell r="E6257">
            <v>5</v>
          </cell>
          <cell r="F6257">
            <v>1500</v>
          </cell>
          <cell r="G6257">
            <v>446.5</v>
          </cell>
        </row>
        <row r="6258">
          <cell r="C6258" t="str">
            <v>Nhân công</v>
          </cell>
          <cell r="G6258">
            <v>768793.13861842104</v>
          </cell>
        </row>
        <row r="6259">
          <cell r="B6259" t="str">
            <v>NC1457</v>
          </cell>
          <cell r="C6259" t="str">
            <v>+ Nhân công bậc 4,5/7</v>
          </cell>
          <cell r="D6259" t="str">
            <v>Công</v>
          </cell>
          <cell r="E6259">
            <v>3.63</v>
          </cell>
          <cell r="F6259">
            <v>211788.74342105264</v>
          </cell>
          <cell r="G6259">
            <v>768793.13861842104</v>
          </cell>
        </row>
        <row r="6260">
          <cell r="A6260" t="str">
            <v>D4.3326</v>
          </cell>
          <cell r="C6260" t="str">
            <v>Làm đầu cáp lực, cáp khô 35KV 1 pha, Cáp có tiết diện &lt;=300mm2</v>
          </cell>
          <cell r="D6260" t="str">
            <v>đầu</v>
          </cell>
          <cell r="H6260">
            <v>9376.5</v>
          </cell>
          <cell r="I6260">
            <v>995407.09407894744</v>
          </cell>
        </row>
        <row r="6261">
          <cell r="C6261" t="str">
            <v>Vật liệu</v>
          </cell>
          <cell r="G6261">
            <v>9376.5</v>
          </cell>
        </row>
        <row r="6262">
          <cell r="B6262">
            <v>1</v>
          </cell>
          <cell r="C6262" t="str">
            <v>+ Cồn công nghiệp</v>
          </cell>
          <cell r="D6262" t="str">
            <v>kg</v>
          </cell>
          <cell r="E6262">
            <v>0.7</v>
          </cell>
          <cell r="F6262">
            <v>9500</v>
          </cell>
          <cell r="G6262">
            <v>6650</v>
          </cell>
        </row>
        <row r="6263">
          <cell r="B6263">
            <v>9</v>
          </cell>
          <cell r="C6263" t="str">
            <v>+ Giẻ lau</v>
          </cell>
          <cell r="D6263" t="str">
            <v>Kg</v>
          </cell>
          <cell r="E6263">
            <v>0.24</v>
          </cell>
          <cell r="F6263">
            <v>9500</v>
          </cell>
          <cell r="G6263">
            <v>2280</v>
          </cell>
        </row>
        <row r="6264">
          <cell r="B6264">
            <v>137</v>
          </cell>
          <cell r="C6264" t="str">
            <v>Vật liệu khác</v>
          </cell>
          <cell r="D6264" t="str">
            <v>%</v>
          </cell>
          <cell r="E6264">
            <v>5</v>
          </cell>
          <cell r="F6264">
            <v>1500</v>
          </cell>
          <cell r="G6264">
            <v>446.5</v>
          </cell>
        </row>
        <row r="6265">
          <cell r="C6265" t="str">
            <v>Nhân công</v>
          </cell>
          <cell r="G6265">
            <v>995407.09407894744</v>
          </cell>
        </row>
        <row r="6266">
          <cell r="B6266" t="str">
            <v>NC1457</v>
          </cell>
          <cell r="C6266" t="str">
            <v>+ Nhân công bậc 4,5/7</v>
          </cell>
          <cell r="D6266" t="str">
            <v>Công</v>
          </cell>
          <cell r="E6266">
            <v>4.7</v>
          </cell>
          <cell r="F6266">
            <v>211788.74342105264</v>
          </cell>
          <cell r="G6266">
            <v>995407.09407894744</v>
          </cell>
        </row>
        <row r="6267">
          <cell r="A6267" t="str">
            <v>D4.3327</v>
          </cell>
          <cell r="C6267" t="str">
            <v>Làm đầu cáp lực, cáp khô 35KV 1 pha, Cáp có tiết diện &lt;=400mm2</v>
          </cell>
          <cell r="D6267" t="str">
            <v>đầu</v>
          </cell>
          <cell r="H6267">
            <v>11271.75</v>
          </cell>
          <cell r="I6267">
            <v>1194488.5128947368</v>
          </cell>
        </row>
        <row r="6268">
          <cell r="C6268" t="str">
            <v>Vật liệu</v>
          </cell>
          <cell r="G6268">
            <v>11271.75</v>
          </cell>
        </row>
        <row r="6269">
          <cell r="B6269">
            <v>1</v>
          </cell>
          <cell r="C6269" t="str">
            <v>+ Cồn công nghiệp</v>
          </cell>
          <cell r="D6269" t="str">
            <v>kg</v>
          </cell>
          <cell r="E6269">
            <v>0.84</v>
          </cell>
          <cell r="F6269">
            <v>9500</v>
          </cell>
          <cell r="G6269">
            <v>7980</v>
          </cell>
        </row>
        <row r="6270">
          <cell r="B6270">
            <v>9</v>
          </cell>
          <cell r="C6270" t="str">
            <v>+ Giẻ lau</v>
          </cell>
          <cell r="D6270" t="str">
            <v>Kg</v>
          </cell>
          <cell r="E6270">
            <v>0.28999999999999998</v>
          </cell>
          <cell r="F6270">
            <v>9500</v>
          </cell>
          <cell r="G6270">
            <v>2755</v>
          </cell>
        </row>
        <row r="6271">
          <cell r="B6271">
            <v>137</v>
          </cell>
          <cell r="C6271" t="str">
            <v>Vật liệu khác</v>
          </cell>
          <cell r="D6271" t="str">
            <v>%</v>
          </cell>
          <cell r="E6271">
            <v>5</v>
          </cell>
          <cell r="F6271">
            <v>1500</v>
          </cell>
          <cell r="G6271">
            <v>536.75</v>
          </cell>
        </row>
        <row r="6272">
          <cell r="C6272" t="str">
            <v>Nhân công</v>
          </cell>
          <cell r="G6272">
            <v>1194488.5128947368</v>
          </cell>
        </row>
        <row r="6273">
          <cell r="B6273" t="str">
            <v>NC1457</v>
          </cell>
          <cell r="C6273" t="str">
            <v>+ Nhân công bậc 4,5/7</v>
          </cell>
          <cell r="D6273" t="str">
            <v>Công</v>
          </cell>
          <cell r="E6273">
            <v>5.64</v>
          </cell>
          <cell r="F6273">
            <v>211788.74342105264</v>
          </cell>
          <cell r="G6273">
            <v>1194488.5128947368</v>
          </cell>
        </row>
        <row r="6274">
          <cell r="A6274" t="str">
            <v>D4.3331</v>
          </cell>
          <cell r="C6274" t="str">
            <v>Làm đầu cáp lực 22KV, Phễu cáp bằng tôn, Cáp có tiết diện &lt;=35mm2</v>
          </cell>
          <cell r="D6274" t="str">
            <v>1 đầu 3 pha</v>
          </cell>
          <cell r="H6274">
            <v>427966.35</v>
          </cell>
          <cell r="I6274">
            <v>612069.46848684212</v>
          </cell>
        </row>
        <row r="6275">
          <cell r="C6275" t="str">
            <v>Vật liệu</v>
          </cell>
          <cell r="G6275">
            <v>427966.35</v>
          </cell>
        </row>
        <row r="6276">
          <cell r="B6276">
            <v>115</v>
          </cell>
          <cell r="C6276" t="str">
            <v>+ Phễu cáp bằng tôn loại =&lt;35mm2</v>
          </cell>
          <cell r="D6276" t="str">
            <v>cái</v>
          </cell>
          <cell r="E6276">
            <v>1</v>
          </cell>
          <cell r="F6276">
            <v>0</v>
          </cell>
          <cell r="G6276">
            <v>0</v>
          </cell>
        </row>
        <row r="6277">
          <cell r="B6277">
            <v>25</v>
          </cell>
          <cell r="C6277" t="str">
            <v>+ Coliê sắt</v>
          </cell>
          <cell r="D6277" t="str">
            <v>bộ</v>
          </cell>
          <cell r="E6277">
            <v>2</v>
          </cell>
          <cell r="F6277">
            <v>8000</v>
          </cell>
          <cell r="G6277">
            <v>16000</v>
          </cell>
        </row>
        <row r="6278">
          <cell r="B6278">
            <v>114</v>
          </cell>
          <cell r="C6278" t="str">
            <v>+ Dây đồng 25mm2</v>
          </cell>
          <cell r="D6278" t="str">
            <v>m</v>
          </cell>
          <cell r="E6278">
            <v>4</v>
          </cell>
          <cell r="F6278">
            <v>69454</v>
          </cell>
          <cell r="G6278">
            <v>277816</v>
          </cell>
        </row>
        <row r="6279">
          <cell r="B6279">
            <v>35</v>
          </cell>
          <cell r="C6279" t="str">
            <v>+ Chất cách điện</v>
          </cell>
          <cell r="D6279" t="str">
            <v>kg</v>
          </cell>
          <cell r="E6279">
            <v>5</v>
          </cell>
          <cell r="F6279">
            <v>15450</v>
          </cell>
          <cell r="G6279">
            <v>77250</v>
          </cell>
        </row>
        <row r="6280">
          <cell r="B6280">
            <v>25</v>
          </cell>
          <cell r="C6280" t="str">
            <v>+ Băng vải nhựa, ni lông ( băng dính )</v>
          </cell>
          <cell r="D6280" t="str">
            <v>cuộn</v>
          </cell>
          <cell r="E6280">
            <v>1</v>
          </cell>
          <cell r="F6280">
            <v>8000</v>
          </cell>
          <cell r="G6280">
            <v>8000</v>
          </cell>
        </row>
        <row r="6281">
          <cell r="B6281">
            <v>3</v>
          </cell>
          <cell r="C6281" t="str">
            <v>+ Xăng</v>
          </cell>
          <cell r="D6281" t="str">
            <v>kg</v>
          </cell>
          <cell r="E6281">
            <v>0.5</v>
          </cell>
          <cell r="F6281">
            <v>18382</v>
          </cell>
          <cell r="G6281">
            <v>9191</v>
          </cell>
        </row>
        <row r="6282">
          <cell r="B6282">
            <v>1</v>
          </cell>
          <cell r="C6282" t="str">
            <v>+ Cồn công nghiệp</v>
          </cell>
          <cell r="D6282" t="str">
            <v>kg</v>
          </cell>
          <cell r="E6282">
            <v>0.6</v>
          </cell>
          <cell r="F6282">
            <v>9500</v>
          </cell>
          <cell r="G6282">
            <v>5700</v>
          </cell>
        </row>
        <row r="6283">
          <cell r="B6283">
            <v>9</v>
          </cell>
          <cell r="C6283" t="str">
            <v>+ Giẻ lau</v>
          </cell>
          <cell r="D6283" t="str">
            <v>Kg</v>
          </cell>
          <cell r="E6283">
            <v>0.2</v>
          </cell>
          <cell r="F6283">
            <v>9500</v>
          </cell>
          <cell r="G6283">
            <v>1900</v>
          </cell>
        </row>
        <row r="6284">
          <cell r="B6284">
            <v>4</v>
          </cell>
          <cell r="C6284" t="str">
            <v>+ Giấy ráp</v>
          </cell>
          <cell r="D6284" t="str">
            <v>tờ</v>
          </cell>
          <cell r="E6284">
            <v>1</v>
          </cell>
          <cell r="F6284">
            <v>10000</v>
          </cell>
          <cell r="G6284">
            <v>10000</v>
          </cell>
        </row>
        <row r="6285">
          <cell r="B6285">
            <v>33</v>
          </cell>
          <cell r="C6285" t="str">
            <v>+ Ma tít</v>
          </cell>
          <cell r="D6285" t="str">
            <v>kg</v>
          </cell>
          <cell r="E6285">
            <v>0.1</v>
          </cell>
          <cell r="F6285">
            <v>17300</v>
          </cell>
          <cell r="G6285">
            <v>1730</v>
          </cell>
        </row>
        <row r="6286">
          <cell r="B6286">
            <v>137</v>
          </cell>
          <cell r="C6286" t="str">
            <v>Vật liệu khác</v>
          </cell>
          <cell r="D6286" t="str">
            <v>%</v>
          </cell>
          <cell r="E6286">
            <v>5</v>
          </cell>
          <cell r="F6286">
            <v>1500</v>
          </cell>
          <cell r="G6286">
            <v>20379.350000000002</v>
          </cell>
        </row>
        <row r="6287">
          <cell r="C6287" t="str">
            <v>Nhân công</v>
          </cell>
          <cell r="G6287">
            <v>612069.46848684212</v>
          </cell>
        </row>
        <row r="6288">
          <cell r="B6288" t="str">
            <v>NC1457</v>
          </cell>
          <cell r="C6288" t="str">
            <v>+ Nhân công bậc 4,5/7</v>
          </cell>
          <cell r="D6288" t="str">
            <v>Công</v>
          </cell>
          <cell r="E6288">
            <v>2.89</v>
          </cell>
          <cell r="F6288">
            <v>211788.74342105264</v>
          </cell>
          <cell r="G6288">
            <v>612069.46848684212</v>
          </cell>
        </row>
        <row r="6289">
          <cell r="A6289" t="str">
            <v>D4.3332</v>
          </cell>
          <cell r="C6289" t="str">
            <v>Làm đầu cáp lực 22KV, Phễu cáp bằng tôn, Cáp có tiết diện &lt;=70mm2</v>
          </cell>
          <cell r="D6289" t="str">
            <v>1 đầu 3 pha</v>
          </cell>
          <cell r="H6289">
            <v>427966.35</v>
          </cell>
          <cell r="I6289">
            <v>764557.36375000002</v>
          </cell>
        </row>
        <row r="6290">
          <cell r="C6290" t="str">
            <v>Vật liệu</v>
          </cell>
          <cell r="G6290">
            <v>427966.35</v>
          </cell>
        </row>
        <row r="6291">
          <cell r="B6291">
            <v>116</v>
          </cell>
          <cell r="C6291" t="str">
            <v>+ Phễu cáp bằng tôn loại =&lt;70mm2</v>
          </cell>
          <cell r="D6291" t="str">
            <v>cái</v>
          </cell>
          <cell r="E6291">
            <v>1</v>
          </cell>
          <cell r="F6291">
            <v>0</v>
          </cell>
          <cell r="G6291">
            <v>0</v>
          </cell>
        </row>
        <row r="6292">
          <cell r="B6292">
            <v>25</v>
          </cell>
          <cell r="C6292" t="str">
            <v>+ Coliê sắt</v>
          </cell>
          <cell r="D6292" t="str">
            <v>bộ</v>
          </cell>
          <cell r="E6292">
            <v>2</v>
          </cell>
          <cell r="F6292">
            <v>8000</v>
          </cell>
          <cell r="G6292">
            <v>16000</v>
          </cell>
        </row>
        <row r="6293">
          <cell r="B6293">
            <v>114</v>
          </cell>
          <cell r="C6293" t="str">
            <v>+ Dây đồng 25mm2</v>
          </cell>
          <cell r="D6293" t="str">
            <v>m</v>
          </cell>
          <cell r="E6293">
            <v>4</v>
          </cell>
          <cell r="F6293">
            <v>69454</v>
          </cell>
          <cell r="G6293">
            <v>277816</v>
          </cell>
        </row>
        <row r="6294">
          <cell r="B6294">
            <v>35</v>
          </cell>
          <cell r="C6294" t="str">
            <v>+ Chất cách điện</v>
          </cell>
          <cell r="D6294" t="str">
            <v>kg</v>
          </cell>
          <cell r="E6294">
            <v>5</v>
          </cell>
          <cell r="F6294">
            <v>15450</v>
          </cell>
          <cell r="G6294">
            <v>77250</v>
          </cell>
        </row>
        <row r="6295">
          <cell r="B6295">
            <v>25</v>
          </cell>
          <cell r="C6295" t="str">
            <v>+ Băng vải nhựa, ni lông ( băng dính )</v>
          </cell>
          <cell r="D6295" t="str">
            <v>cuộn</v>
          </cell>
          <cell r="E6295">
            <v>1</v>
          </cell>
          <cell r="F6295">
            <v>8000</v>
          </cell>
          <cell r="G6295">
            <v>8000</v>
          </cell>
        </row>
        <row r="6296">
          <cell r="B6296">
            <v>3</v>
          </cell>
          <cell r="C6296" t="str">
            <v>+ Xăng</v>
          </cell>
          <cell r="D6296" t="str">
            <v>kg</v>
          </cell>
          <cell r="E6296">
            <v>0.5</v>
          </cell>
          <cell r="F6296">
            <v>18382</v>
          </cell>
          <cell r="G6296">
            <v>9191</v>
          </cell>
        </row>
        <row r="6297">
          <cell r="B6297">
            <v>1</v>
          </cell>
          <cell r="C6297" t="str">
            <v>+ Cồn công nghiệp</v>
          </cell>
          <cell r="D6297" t="str">
            <v>kg</v>
          </cell>
          <cell r="E6297">
            <v>0.6</v>
          </cell>
          <cell r="F6297">
            <v>9500</v>
          </cell>
          <cell r="G6297">
            <v>5700</v>
          </cell>
        </row>
        <row r="6298">
          <cell r="B6298">
            <v>9</v>
          </cell>
          <cell r="C6298" t="str">
            <v>+ Giẻ lau</v>
          </cell>
          <cell r="D6298" t="str">
            <v>Kg</v>
          </cell>
          <cell r="E6298">
            <v>0.2</v>
          </cell>
          <cell r="F6298">
            <v>9500</v>
          </cell>
          <cell r="G6298">
            <v>1900</v>
          </cell>
        </row>
        <row r="6299">
          <cell r="B6299">
            <v>4</v>
          </cell>
          <cell r="C6299" t="str">
            <v>+ Giấy ráp</v>
          </cell>
          <cell r="D6299" t="str">
            <v>tờ</v>
          </cell>
          <cell r="E6299">
            <v>1</v>
          </cell>
          <cell r="F6299">
            <v>10000</v>
          </cell>
          <cell r="G6299">
            <v>10000</v>
          </cell>
        </row>
        <row r="6300">
          <cell r="B6300">
            <v>33</v>
          </cell>
          <cell r="C6300" t="str">
            <v>+ Ma tít</v>
          </cell>
          <cell r="D6300" t="str">
            <v>kg</v>
          </cell>
          <cell r="E6300">
            <v>0.1</v>
          </cell>
          <cell r="F6300">
            <v>17300</v>
          </cell>
          <cell r="G6300">
            <v>1730</v>
          </cell>
        </row>
        <row r="6301">
          <cell r="B6301">
            <v>137</v>
          </cell>
          <cell r="C6301" t="str">
            <v>Vật liệu khác</v>
          </cell>
          <cell r="D6301" t="str">
            <v>%</v>
          </cell>
          <cell r="E6301">
            <v>5</v>
          </cell>
          <cell r="F6301">
            <v>1500</v>
          </cell>
          <cell r="G6301">
            <v>20379.350000000002</v>
          </cell>
        </row>
        <row r="6302">
          <cell r="C6302" t="str">
            <v>Nhân công</v>
          </cell>
          <cell r="G6302">
            <v>764557.36375000002</v>
          </cell>
        </row>
        <row r="6303">
          <cell r="B6303" t="str">
            <v>NC1457</v>
          </cell>
          <cell r="C6303" t="str">
            <v>+ Nhân công bậc 4,5/7</v>
          </cell>
          <cell r="D6303" t="str">
            <v>Công</v>
          </cell>
          <cell r="E6303">
            <v>3.61</v>
          </cell>
          <cell r="F6303">
            <v>211788.74342105264</v>
          </cell>
          <cell r="G6303">
            <v>764557.36375000002</v>
          </cell>
        </row>
        <row r="6304">
          <cell r="A6304" t="str">
            <v>D4.3333</v>
          </cell>
          <cell r="C6304" t="str">
            <v>Làm đầu cáp lực 22KV, Phễu cáp bằng tôn, Cáp có tiết diện &lt;=120mm2</v>
          </cell>
          <cell r="D6304" t="str">
            <v>1 đầu 3 pha</v>
          </cell>
          <cell r="H6304">
            <v>428465.1</v>
          </cell>
          <cell r="I6304">
            <v>917045.25901315792</v>
          </cell>
        </row>
        <row r="6305">
          <cell r="C6305" t="str">
            <v>Vật liệu</v>
          </cell>
          <cell r="G6305">
            <v>428465.1</v>
          </cell>
        </row>
        <row r="6306">
          <cell r="B6306">
            <v>117</v>
          </cell>
          <cell r="C6306" t="str">
            <v>+ Phễu cáp bằng tôn loại =&lt;120mm2</v>
          </cell>
          <cell r="D6306" t="str">
            <v>cái</v>
          </cell>
          <cell r="E6306">
            <v>1</v>
          </cell>
          <cell r="F6306">
            <v>0</v>
          </cell>
          <cell r="G6306">
            <v>0</v>
          </cell>
        </row>
        <row r="6307">
          <cell r="B6307">
            <v>25</v>
          </cell>
          <cell r="C6307" t="str">
            <v>+ Coliê sắt</v>
          </cell>
          <cell r="D6307" t="str">
            <v>bộ</v>
          </cell>
          <cell r="E6307">
            <v>2</v>
          </cell>
          <cell r="F6307">
            <v>8000</v>
          </cell>
          <cell r="G6307">
            <v>16000</v>
          </cell>
        </row>
        <row r="6308">
          <cell r="B6308">
            <v>114</v>
          </cell>
          <cell r="C6308" t="str">
            <v>+ Dây đồng 25mm2</v>
          </cell>
          <cell r="D6308" t="str">
            <v>m</v>
          </cell>
          <cell r="E6308">
            <v>4</v>
          </cell>
          <cell r="F6308">
            <v>69454</v>
          </cell>
          <cell r="G6308">
            <v>277816</v>
          </cell>
        </row>
        <row r="6309">
          <cell r="B6309">
            <v>35</v>
          </cell>
          <cell r="C6309" t="str">
            <v>+ Chất cách điện</v>
          </cell>
          <cell r="D6309" t="str">
            <v>kg</v>
          </cell>
          <cell r="E6309">
            <v>5</v>
          </cell>
          <cell r="F6309">
            <v>15450</v>
          </cell>
          <cell r="G6309">
            <v>77250</v>
          </cell>
        </row>
        <row r="6310">
          <cell r="B6310">
            <v>25</v>
          </cell>
          <cell r="C6310" t="str">
            <v>+ Băng vải nhựa, ni lông ( băng dính )</v>
          </cell>
          <cell r="D6310" t="str">
            <v>cuộn</v>
          </cell>
          <cell r="E6310">
            <v>1</v>
          </cell>
          <cell r="F6310">
            <v>8000</v>
          </cell>
          <cell r="G6310">
            <v>8000</v>
          </cell>
        </row>
        <row r="6311">
          <cell r="B6311">
            <v>3</v>
          </cell>
          <cell r="C6311" t="str">
            <v>+ Xăng</v>
          </cell>
          <cell r="D6311" t="str">
            <v>kg</v>
          </cell>
          <cell r="E6311">
            <v>0.5</v>
          </cell>
          <cell r="F6311">
            <v>18382</v>
          </cell>
          <cell r="G6311">
            <v>9191</v>
          </cell>
        </row>
        <row r="6312">
          <cell r="B6312">
            <v>1</v>
          </cell>
          <cell r="C6312" t="str">
            <v>+ Cồn công nghiệp</v>
          </cell>
          <cell r="D6312" t="str">
            <v>kg</v>
          </cell>
          <cell r="E6312">
            <v>0.6</v>
          </cell>
          <cell r="F6312">
            <v>9500</v>
          </cell>
          <cell r="G6312">
            <v>5700</v>
          </cell>
        </row>
        <row r="6313">
          <cell r="B6313">
            <v>9</v>
          </cell>
          <cell r="C6313" t="str">
            <v>+ Giẻ lau</v>
          </cell>
          <cell r="D6313" t="str">
            <v>Kg</v>
          </cell>
          <cell r="E6313">
            <v>0.25</v>
          </cell>
          <cell r="F6313">
            <v>9500</v>
          </cell>
          <cell r="G6313">
            <v>2375</v>
          </cell>
        </row>
        <row r="6314">
          <cell r="B6314">
            <v>4</v>
          </cell>
          <cell r="C6314" t="str">
            <v>+ Giấy ráp</v>
          </cell>
          <cell r="D6314" t="str">
            <v>tờ</v>
          </cell>
          <cell r="E6314">
            <v>1</v>
          </cell>
          <cell r="F6314">
            <v>10000</v>
          </cell>
          <cell r="G6314">
            <v>10000</v>
          </cell>
        </row>
        <row r="6315">
          <cell r="B6315">
            <v>33</v>
          </cell>
          <cell r="C6315" t="str">
            <v>+ Ma tít</v>
          </cell>
          <cell r="D6315" t="str">
            <v>kg</v>
          </cell>
          <cell r="E6315">
            <v>0.1</v>
          </cell>
          <cell r="F6315">
            <v>17300</v>
          </cell>
          <cell r="G6315">
            <v>1730</v>
          </cell>
        </row>
        <row r="6316">
          <cell r="B6316">
            <v>137</v>
          </cell>
          <cell r="C6316" t="str">
            <v>Vật liệu khác</v>
          </cell>
          <cell r="D6316" t="str">
            <v>%</v>
          </cell>
          <cell r="E6316">
            <v>5</v>
          </cell>
          <cell r="F6316">
            <v>1500</v>
          </cell>
          <cell r="G6316">
            <v>20403.100000000002</v>
          </cell>
        </row>
        <row r="6317">
          <cell r="C6317" t="str">
            <v>Nhân công</v>
          </cell>
          <cell r="G6317">
            <v>917045.25901315792</v>
          </cell>
        </row>
        <row r="6318">
          <cell r="B6318" t="str">
            <v>NC1457</v>
          </cell>
          <cell r="C6318" t="str">
            <v>+ Nhân công bậc 4,5/7</v>
          </cell>
          <cell r="D6318" t="str">
            <v>Công</v>
          </cell>
          <cell r="E6318">
            <v>4.33</v>
          </cell>
          <cell r="F6318">
            <v>211788.74342105264</v>
          </cell>
          <cell r="G6318">
            <v>917045.25901315792</v>
          </cell>
        </row>
        <row r="6319">
          <cell r="A6319" t="str">
            <v>D4.3334</v>
          </cell>
          <cell r="C6319" t="str">
            <v>Làm đầu cáp lực 22KV, Phễu cáp bằng tôn, Cáp có tiết diện &lt;=185mm2</v>
          </cell>
          <cell r="D6319" t="str">
            <v>1 đầu 3 pha</v>
          </cell>
          <cell r="H6319">
            <v>450992.85</v>
          </cell>
          <cell r="I6319">
            <v>1054707.9422368424</v>
          </cell>
        </row>
        <row r="6320">
          <cell r="C6320" t="str">
            <v>Vật liệu</v>
          </cell>
          <cell r="G6320">
            <v>450992.85</v>
          </cell>
        </row>
        <row r="6321">
          <cell r="B6321">
            <v>118</v>
          </cell>
          <cell r="C6321" t="str">
            <v>+ Phễu cáp bằng tôn loại =&lt;185mm2</v>
          </cell>
          <cell r="D6321" t="str">
            <v>cái</v>
          </cell>
          <cell r="E6321">
            <v>1</v>
          </cell>
          <cell r="F6321">
            <v>0</v>
          </cell>
          <cell r="G6321">
            <v>0</v>
          </cell>
        </row>
        <row r="6322">
          <cell r="B6322">
            <v>25</v>
          </cell>
          <cell r="C6322" t="str">
            <v>+ Coliê sắt</v>
          </cell>
          <cell r="D6322" t="str">
            <v>bộ</v>
          </cell>
          <cell r="E6322">
            <v>2</v>
          </cell>
          <cell r="F6322">
            <v>8000</v>
          </cell>
          <cell r="G6322">
            <v>16000</v>
          </cell>
        </row>
        <row r="6323">
          <cell r="B6323">
            <v>114</v>
          </cell>
          <cell r="C6323" t="str">
            <v>+ Dây đồng 25mm2</v>
          </cell>
          <cell r="D6323" t="str">
            <v>m</v>
          </cell>
          <cell r="E6323">
            <v>4</v>
          </cell>
          <cell r="F6323">
            <v>69454</v>
          </cell>
          <cell r="G6323">
            <v>277816</v>
          </cell>
        </row>
        <row r="6324">
          <cell r="B6324">
            <v>35</v>
          </cell>
          <cell r="C6324" t="str">
            <v>+ Chất cách điện</v>
          </cell>
          <cell r="D6324" t="str">
            <v>kg</v>
          </cell>
          <cell r="E6324">
            <v>6</v>
          </cell>
          <cell r="F6324">
            <v>15450</v>
          </cell>
          <cell r="G6324">
            <v>92700</v>
          </cell>
        </row>
        <row r="6325">
          <cell r="B6325">
            <v>25</v>
          </cell>
          <cell r="C6325" t="str">
            <v>+ Băng vải nhựa, ni lông ( băng dính )</v>
          </cell>
          <cell r="D6325" t="str">
            <v>cuộn</v>
          </cell>
          <cell r="E6325">
            <v>1.5</v>
          </cell>
          <cell r="F6325">
            <v>8000</v>
          </cell>
          <cell r="G6325">
            <v>12000</v>
          </cell>
        </row>
        <row r="6326">
          <cell r="B6326">
            <v>3</v>
          </cell>
          <cell r="C6326" t="str">
            <v>+ Xăng</v>
          </cell>
          <cell r="D6326" t="str">
            <v>kg</v>
          </cell>
          <cell r="E6326">
            <v>0.5</v>
          </cell>
          <cell r="F6326">
            <v>18382</v>
          </cell>
          <cell r="G6326">
            <v>9191</v>
          </cell>
        </row>
        <row r="6327">
          <cell r="B6327">
            <v>1</v>
          </cell>
          <cell r="C6327" t="str">
            <v>+ Cồn công nghiệp</v>
          </cell>
          <cell r="D6327" t="str">
            <v>kg</v>
          </cell>
          <cell r="E6327">
            <v>0.72</v>
          </cell>
          <cell r="F6327">
            <v>9500</v>
          </cell>
          <cell r="G6327">
            <v>6840</v>
          </cell>
        </row>
        <row r="6328">
          <cell r="B6328">
            <v>9</v>
          </cell>
          <cell r="C6328" t="str">
            <v>+ Giẻ lau</v>
          </cell>
          <cell r="D6328" t="str">
            <v>Kg</v>
          </cell>
          <cell r="E6328">
            <v>0.25</v>
          </cell>
          <cell r="F6328">
            <v>9500</v>
          </cell>
          <cell r="G6328">
            <v>2375</v>
          </cell>
        </row>
        <row r="6329">
          <cell r="B6329">
            <v>4</v>
          </cell>
          <cell r="C6329" t="str">
            <v>+ Giấy ráp</v>
          </cell>
          <cell r="D6329" t="str">
            <v>tờ</v>
          </cell>
          <cell r="E6329">
            <v>1</v>
          </cell>
          <cell r="F6329">
            <v>10000</v>
          </cell>
          <cell r="G6329">
            <v>10000</v>
          </cell>
        </row>
        <row r="6330">
          <cell r="B6330">
            <v>33</v>
          </cell>
          <cell r="C6330" t="str">
            <v>+ Ma tít</v>
          </cell>
          <cell r="D6330" t="str">
            <v>kg</v>
          </cell>
          <cell r="E6330">
            <v>0.15</v>
          </cell>
          <cell r="F6330">
            <v>17300</v>
          </cell>
          <cell r="G6330">
            <v>2595</v>
          </cell>
        </row>
        <row r="6331">
          <cell r="B6331">
            <v>137</v>
          </cell>
          <cell r="C6331" t="str">
            <v>Vật liệu khác</v>
          </cell>
          <cell r="D6331" t="str">
            <v>%</v>
          </cell>
          <cell r="E6331">
            <v>5</v>
          </cell>
          <cell r="F6331">
            <v>1500</v>
          </cell>
          <cell r="G6331">
            <v>21475.850000000002</v>
          </cell>
        </row>
        <row r="6332">
          <cell r="C6332" t="str">
            <v>Nhân công</v>
          </cell>
          <cell r="G6332">
            <v>1054707.9422368424</v>
          </cell>
        </row>
        <row r="6333">
          <cell r="B6333" t="str">
            <v>NC1457</v>
          </cell>
          <cell r="C6333" t="str">
            <v>+ Nhân công bậc 4,5/7</v>
          </cell>
          <cell r="D6333" t="str">
            <v>Công</v>
          </cell>
          <cell r="E6333">
            <v>4.9800000000000004</v>
          </cell>
          <cell r="F6333">
            <v>211788.74342105264</v>
          </cell>
          <cell r="G6333">
            <v>1054707.9422368424</v>
          </cell>
        </row>
        <row r="6334">
          <cell r="A6334" t="str">
            <v>D4.3335</v>
          </cell>
          <cell r="C6334" t="str">
            <v>Làm đầu cáp lực 22KV, Phễu cáp bằng tôn, Cáp có tiết diện &lt;=240mm2</v>
          </cell>
          <cell r="D6334" t="str">
            <v>1 đầu 3 pha</v>
          </cell>
          <cell r="H6334">
            <v>451491.6</v>
          </cell>
          <cell r="I6334">
            <v>1179663.3008552634</v>
          </cell>
        </row>
        <row r="6335">
          <cell r="C6335" t="str">
            <v>Vật liệu</v>
          </cell>
          <cell r="G6335">
            <v>451491.6</v>
          </cell>
        </row>
        <row r="6336">
          <cell r="B6336">
            <v>119</v>
          </cell>
          <cell r="C6336" t="str">
            <v>+ Phễu cáp bằng tôn loại =&lt;240mm2</v>
          </cell>
          <cell r="D6336" t="str">
            <v>cái</v>
          </cell>
          <cell r="E6336">
            <v>1</v>
          </cell>
          <cell r="F6336">
            <v>0</v>
          </cell>
          <cell r="G6336">
            <v>0</v>
          </cell>
        </row>
        <row r="6337">
          <cell r="B6337">
            <v>25</v>
          </cell>
          <cell r="C6337" t="str">
            <v>+ Coliê sắt</v>
          </cell>
          <cell r="D6337" t="str">
            <v>bộ</v>
          </cell>
          <cell r="E6337">
            <v>2</v>
          </cell>
          <cell r="F6337">
            <v>8000</v>
          </cell>
          <cell r="G6337">
            <v>16000</v>
          </cell>
        </row>
        <row r="6338">
          <cell r="B6338">
            <v>114</v>
          </cell>
          <cell r="C6338" t="str">
            <v>+ Dây đồng 25mm2</v>
          </cell>
          <cell r="D6338" t="str">
            <v>m</v>
          </cell>
          <cell r="E6338">
            <v>4</v>
          </cell>
          <cell r="F6338">
            <v>69454</v>
          </cell>
          <cell r="G6338">
            <v>277816</v>
          </cell>
        </row>
        <row r="6339">
          <cell r="B6339">
            <v>35</v>
          </cell>
          <cell r="C6339" t="str">
            <v>+ Chất cách điện</v>
          </cell>
          <cell r="D6339" t="str">
            <v>kg</v>
          </cell>
          <cell r="E6339">
            <v>6</v>
          </cell>
          <cell r="F6339">
            <v>15450</v>
          </cell>
          <cell r="G6339">
            <v>92700</v>
          </cell>
        </row>
        <row r="6340">
          <cell r="B6340">
            <v>25</v>
          </cell>
          <cell r="C6340" t="str">
            <v>+ Băng vải nhựa, ni lông ( băng dính )</v>
          </cell>
          <cell r="D6340" t="str">
            <v>cuộn</v>
          </cell>
          <cell r="E6340">
            <v>1.5</v>
          </cell>
          <cell r="F6340">
            <v>8000</v>
          </cell>
          <cell r="G6340">
            <v>12000</v>
          </cell>
        </row>
        <row r="6341">
          <cell r="B6341">
            <v>3</v>
          </cell>
          <cell r="C6341" t="str">
            <v>+ Xăng</v>
          </cell>
          <cell r="D6341" t="str">
            <v>kg</v>
          </cell>
          <cell r="E6341">
            <v>0.5</v>
          </cell>
          <cell r="F6341">
            <v>18382</v>
          </cell>
          <cell r="G6341">
            <v>9191</v>
          </cell>
        </row>
        <row r="6342">
          <cell r="B6342">
            <v>1</v>
          </cell>
          <cell r="C6342" t="str">
            <v>+ Cồn công nghiệp</v>
          </cell>
          <cell r="D6342" t="str">
            <v>kg</v>
          </cell>
          <cell r="E6342">
            <v>0.72</v>
          </cell>
          <cell r="F6342">
            <v>9500</v>
          </cell>
          <cell r="G6342">
            <v>6840</v>
          </cell>
        </row>
        <row r="6343">
          <cell r="B6343">
            <v>9</v>
          </cell>
          <cell r="C6343" t="str">
            <v>+ Giẻ lau</v>
          </cell>
          <cell r="D6343" t="str">
            <v>Kg</v>
          </cell>
          <cell r="E6343">
            <v>0.3</v>
          </cell>
          <cell r="F6343">
            <v>9500</v>
          </cell>
          <cell r="G6343">
            <v>2850</v>
          </cell>
        </row>
        <row r="6344">
          <cell r="B6344">
            <v>4</v>
          </cell>
          <cell r="C6344" t="str">
            <v>+ Giấy ráp</v>
          </cell>
          <cell r="D6344" t="str">
            <v>tờ</v>
          </cell>
          <cell r="E6344">
            <v>1</v>
          </cell>
          <cell r="F6344">
            <v>10000</v>
          </cell>
          <cell r="G6344">
            <v>10000</v>
          </cell>
        </row>
        <row r="6345">
          <cell r="B6345">
            <v>33</v>
          </cell>
          <cell r="C6345" t="str">
            <v>+ Ma tít</v>
          </cell>
          <cell r="D6345" t="str">
            <v>kg</v>
          </cell>
          <cell r="E6345">
            <v>0.15</v>
          </cell>
          <cell r="F6345">
            <v>17300</v>
          </cell>
          <cell r="G6345">
            <v>2595</v>
          </cell>
        </row>
        <row r="6346">
          <cell r="B6346">
            <v>137</v>
          </cell>
          <cell r="C6346" t="str">
            <v>Vật liệu khác</v>
          </cell>
          <cell r="D6346" t="str">
            <v>%</v>
          </cell>
          <cell r="E6346">
            <v>5</v>
          </cell>
          <cell r="F6346">
            <v>1500</v>
          </cell>
          <cell r="G6346">
            <v>21499.600000000002</v>
          </cell>
        </row>
        <row r="6347">
          <cell r="C6347" t="str">
            <v>Nhân công</v>
          </cell>
          <cell r="G6347">
            <v>1179663.3008552634</v>
          </cell>
        </row>
        <row r="6348">
          <cell r="B6348" t="str">
            <v>NC1457</v>
          </cell>
          <cell r="C6348" t="str">
            <v>+ Nhân công bậc 4,5/7</v>
          </cell>
          <cell r="D6348" t="str">
            <v>Công</v>
          </cell>
          <cell r="E6348">
            <v>5.57</v>
          </cell>
          <cell r="F6348">
            <v>211788.74342105264</v>
          </cell>
          <cell r="G6348">
            <v>1179663.3008552634</v>
          </cell>
        </row>
        <row r="6349">
          <cell r="A6349" t="str">
            <v>D4.3336</v>
          </cell>
          <cell r="C6349" t="str">
            <v>Làm đầu cáp lực 22KV, Phễu cáp bằng tôn, Cáp có tiết diện &lt;=300mm2</v>
          </cell>
          <cell r="D6349" t="str">
            <v>1 đầu 3 pha</v>
          </cell>
          <cell r="H6349">
            <v>451491.6</v>
          </cell>
          <cell r="I6349">
            <v>1283439.785131579</v>
          </cell>
        </row>
        <row r="6350">
          <cell r="C6350" t="str">
            <v>Vật liệu</v>
          </cell>
          <cell r="G6350">
            <v>451491.6</v>
          </cell>
        </row>
        <row r="6351">
          <cell r="B6351">
            <v>120</v>
          </cell>
          <cell r="C6351" t="str">
            <v>+ Phễu cáp bằng tôn loại =&lt;300mm2</v>
          </cell>
          <cell r="D6351" t="str">
            <v>cái</v>
          </cell>
          <cell r="E6351">
            <v>1</v>
          </cell>
          <cell r="F6351">
            <v>0</v>
          </cell>
          <cell r="G6351">
            <v>0</v>
          </cell>
        </row>
        <row r="6352">
          <cell r="B6352">
            <v>25</v>
          </cell>
          <cell r="C6352" t="str">
            <v>+ Coliê sắt</v>
          </cell>
          <cell r="D6352" t="str">
            <v>bộ</v>
          </cell>
          <cell r="E6352">
            <v>2</v>
          </cell>
          <cell r="F6352">
            <v>8000</v>
          </cell>
          <cell r="G6352">
            <v>16000</v>
          </cell>
        </row>
        <row r="6353">
          <cell r="B6353">
            <v>114</v>
          </cell>
          <cell r="C6353" t="str">
            <v>+ Dây đồng 25mm2</v>
          </cell>
          <cell r="D6353" t="str">
            <v>m</v>
          </cell>
          <cell r="E6353">
            <v>4</v>
          </cell>
          <cell r="F6353">
            <v>69454</v>
          </cell>
          <cell r="G6353">
            <v>277816</v>
          </cell>
        </row>
        <row r="6354">
          <cell r="B6354">
            <v>35</v>
          </cell>
          <cell r="C6354" t="str">
            <v>+ Chất cách điện</v>
          </cell>
          <cell r="D6354" t="str">
            <v>kg</v>
          </cell>
          <cell r="E6354">
            <v>6</v>
          </cell>
          <cell r="F6354">
            <v>15450</v>
          </cell>
          <cell r="G6354">
            <v>92700</v>
          </cell>
        </row>
        <row r="6355">
          <cell r="B6355">
            <v>25</v>
          </cell>
          <cell r="C6355" t="str">
            <v>+ Băng vải nhựa, ni lông ( băng dính )</v>
          </cell>
          <cell r="D6355" t="str">
            <v>cuộn</v>
          </cell>
          <cell r="E6355">
            <v>1.5</v>
          </cell>
          <cell r="F6355">
            <v>8000</v>
          </cell>
          <cell r="G6355">
            <v>12000</v>
          </cell>
        </row>
        <row r="6356">
          <cell r="B6356">
            <v>3</v>
          </cell>
          <cell r="C6356" t="str">
            <v>+ Xăng</v>
          </cell>
          <cell r="D6356" t="str">
            <v>kg</v>
          </cell>
          <cell r="E6356">
            <v>0.5</v>
          </cell>
          <cell r="F6356">
            <v>18382</v>
          </cell>
          <cell r="G6356">
            <v>9191</v>
          </cell>
        </row>
        <row r="6357">
          <cell r="B6357">
            <v>1</v>
          </cell>
          <cell r="C6357" t="str">
            <v>+ Cồn công nghiệp</v>
          </cell>
          <cell r="D6357" t="str">
            <v>kg</v>
          </cell>
          <cell r="E6357">
            <v>0.72</v>
          </cell>
          <cell r="F6357">
            <v>9500</v>
          </cell>
          <cell r="G6357">
            <v>6840</v>
          </cell>
        </row>
        <row r="6358">
          <cell r="B6358">
            <v>9</v>
          </cell>
          <cell r="C6358" t="str">
            <v>+ Giẻ lau</v>
          </cell>
          <cell r="D6358" t="str">
            <v>Kg</v>
          </cell>
          <cell r="E6358">
            <v>0.3</v>
          </cell>
          <cell r="F6358">
            <v>9500</v>
          </cell>
          <cell r="G6358">
            <v>2850</v>
          </cell>
        </row>
        <row r="6359">
          <cell r="B6359">
            <v>4</v>
          </cell>
          <cell r="C6359" t="str">
            <v>+ Giấy ráp</v>
          </cell>
          <cell r="D6359" t="str">
            <v>tờ</v>
          </cell>
          <cell r="E6359">
            <v>1</v>
          </cell>
          <cell r="F6359">
            <v>10000</v>
          </cell>
          <cell r="G6359">
            <v>10000</v>
          </cell>
        </row>
        <row r="6360">
          <cell r="B6360">
            <v>33</v>
          </cell>
          <cell r="C6360" t="str">
            <v>+ Ma tít</v>
          </cell>
          <cell r="D6360" t="str">
            <v>kg</v>
          </cell>
          <cell r="E6360">
            <v>0.15</v>
          </cell>
          <cell r="F6360">
            <v>17300</v>
          </cell>
          <cell r="G6360">
            <v>2595</v>
          </cell>
        </row>
        <row r="6361">
          <cell r="B6361">
            <v>137</v>
          </cell>
          <cell r="C6361" t="str">
            <v>Vật liệu khác</v>
          </cell>
          <cell r="D6361" t="str">
            <v>%</v>
          </cell>
          <cell r="E6361">
            <v>5</v>
          </cell>
          <cell r="F6361">
            <v>1500</v>
          </cell>
          <cell r="G6361">
            <v>21499.600000000002</v>
          </cell>
        </row>
        <row r="6362">
          <cell r="C6362" t="str">
            <v>Nhân công</v>
          </cell>
          <cell r="G6362">
            <v>1283439.785131579</v>
          </cell>
        </row>
        <row r="6363">
          <cell r="B6363" t="str">
            <v>NC1457</v>
          </cell>
          <cell r="C6363" t="str">
            <v>+ Nhân công bậc 4,5/7</v>
          </cell>
          <cell r="D6363" t="str">
            <v>Công</v>
          </cell>
          <cell r="E6363">
            <v>6.06</v>
          </cell>
          <cell r="F6363">
            <v>211788.74342105264</v>
          </cell>
          <cell r="G6363">
            <v>1283439.785131579</v>
          </cell>
        </row>
        <row r="6364">
          <cell r="A6364" t="str">
            <v>D4.3337</v>
          </cell>
          <cell r="C6364" t="str">
            <v>Làm đầu cáp lực 22KV, Phễu cáp bằng tôn, Cáp có tiết diện &lt;=400mm2</v>
          </cell>
          <cell r="D6364" t="str">
            <v>1 đầu 3 pha</v>
          </cell>
          <cell r="H6364">
            <v>480048.66000000003</v>
          </cell>
          <cell r="I6364">
            <v>1539704.1646710527</v>
          </cell>
        </row>
        <row r="6365">
          <cell r="C6365" t="str">
            <v>Vật liệu</v>
          </cell>
          <cell r="G6365">
            <v>480048.66000000003</v>
          </cell>
        </row>
        <row r="6366">
          <cell r="B6366">
            <v>121</v>
          </cell>
          <cell r="C6366" t="str">
            <v>+ Phễu cáp bằng tôn loại =&lt;400mm2</v>
          </cell>
          <cell r="D6366" t="str">
            <v>cái</v>
          </cell>
          <cell r="E6366">
            <v>1</v>
          </cell>
          <cell r="F6366">
            <v>0</v>
          </cell>
          <cell r="G6366">
            <v>0</v>
          </cell>
        </row>
        <row r="6367">
          <cell r="B6367">
            <v>25</v>
          </cell>
          <cell r="C6367" t="str">
            <v>+ Coliê sắt</v>
          </cell>
          <cell r="D6367" t="str">
            <v>bộ</v>
          </cell>
          <cell r="E6367">
            <v>2</v>
          </cell>
          <cell r="F6367">
            <v>8000</v>
          </cell>
          <cell r="G6367">
            <v>16000</v>
          </cell>
        </row>
        <row r="6368">
          <cell r="B6368">
            <v>114</v>
          </cell>
          <cell r="C6368" t="str">
            <v>+ Dây đồng 25mm2</v>
          </cell>
          <cell r="D6368" t="str">
            <v>m</v>
          </cell>
          <cell r="E6368">
            <v>4</v>
          </cell>
          <cell r="F6368">
            <v>69454</v>
          </cell>
          <cell r="G6368">
            <v>277816</v>
          </cell>
        </row>
        <row r="6369">
          <cell r="B6369">
            <v>35</v>
          </cell>
          <cell r="C6369" t="str">
            <v>+ Chất cách điện</v>
          </cell>
          <cell r="D6369" t="str">
            <v>kg</v>
          </cell>
          <cell r="E6369">
            <v>7.2</v>
          </cell>
          <cell r="F6369">
            <v>15450</v>
          </cell>
          <cell r="G6369">
            <v>111240</v>
          </cell>
        </row>
        <row r="6370">
          <cell r="B6370">
            <v>25</v>
          </cell>
          <cell r="C6370" t="str">
            <v>+ Băng vải nhựa, ni lông ( băng dính )</v>
          </cell>
          <cell r="D6370" t="str">
            <v>cuộn</v>
          </cell>
          <cell r="E6370">
            <v>1.8</v>
          </cell>
          <cell r="F6370">
            <v>8000</v>
          </cell>
          <cell r="G6370">
            <v>14400</v>
          </cell>
        </row>
        <row r="6371">
          <cell r="B6371">
            <v>3</v>
          </cell>
          <cell r="C6371" t="str">
            <v>+ Xăng</v>
          </cell>
          <cell r="D6371" t="str">
            <v>kg</v>
          </cell>
          <cell r="E6371">
            <v>0.6</v>
          </cell>
          <cell r="F6371">
            <v>18382</v>
          </cell>
          <cell r="G6371">
            <v>11029.199999999999</v>
          </cell>
        </row>
        <row r="6372">
          <cell r="B6372">
            <v>1</v>
          </cell>
          <cell r="C6372" t="str">
            <v>+ Cồn công nghiệp</v>
          </cell>
          <cell r="D6372" t="str">
            <v>kg</v>
          </cell>
          <cell r="E6372">
            <v>0.86</v>
          </cell>
          <cell r="F6372">
            <v>9500</v>
          </cell>
          <cell r="G6372">
            <v>8170</v>
          </cell>
        </row>
        <row r="6373">
          <cell r="B6373">
            <v>9</v>
          </cell>
          <cell r="C6373" t="str">
            <v>+ Giẻ lau</v>
          </cell>
          <cell r="D6373" t="str">
            <v>Kg</v>
          </cell>
          <cell r="E6373">
            <v>0.36</v>
          </cell>
          <cell r="F6373">
            <v>9500</v>
          </cell>
          <cell r="G6373">
            <v>3420</v>
          </cell>
        </row>
        <row r="6374">
          <cell r="B6374">
            <v>4</v>
          </cell>
          <cell r="C6374" t="str">
            <v>+ Giấy ráp</v>
          </cell>
          <cell r="D6374" t="str">
            <v>tờ</v>
          </cell>
          <cell r="E6374">
            <v>1.2</v>
          </cell>
          <cell r="F6374">
            <v>10000</v>
          </cell>
          <cell r="G6374">
            <v>12000</v>
          </cell>
        </row>
        <row r="6375">
          <cell r="B6375">
            <v>33</v>
          </cell>
          <cell r="C6375" t="str">
            <v>+ Ma tít</v>
          </cell>
          <cell r="D6375" t="str">
            <v>kg</v>
          </cell>
          <cell r="E6375">
            <v>0.18</v>
          </cell>
          <cell r="F6375">
            <v>17300</v>
          </cell>
          <cell r="G6375">
            <v>3114</v>
          </cell>
        </row>
        <row r="6376">
          <cell r="B6376">
            <v>137</v>
          </cell>
          <cell r="C6376" t="str">
            <v>Vật liệu khác</v>
          </cell>
          <cell r="D6376" t="str">
            <v>%</v>
          </cell>
          <cell r="E6376">
            <v>5</v>
          </cell>
          <cell r="F6376">
            <v>1500</v>
          </cell>
          <cell r="G6376">
            <v>22859.460000000003</v>
          </cell>
        </row>
        <row r="6377">
          <cell r="C6377" t="str">
            <v>Nhân công</v>
          </cell>
          <cell r="G6377">
            <v>1539704.1646710527</v>
          </cell>
        </row>
        <row r="6378">
          <cell r="B6378" t="str">
            <v>NC1457</v>
          </cell>
          <cell r="C6378" t="str">
            <v>+ Nhân công bậc 4,5/7</v>
          </cell>
          <cell r="D6378" t="str">
            <v>Công</v>
          </cell>
          <cell r="E6378">
            <v>7.27</v>
          </cell>
          <cell r="F6378">
            <v>211788.74342105264</v>
          </cell>
          <cell r="G6378">
            <v>1539704.1646710527</v>
          </cell>
        </row>
        <row r="6379">
          <cell r="A6379" t="str">
            <v>D4.3341</v>
          </cell>
          <cell r="C6379" t="str">
            <v>Làm đầu cáp lực 35KV, Phễu cáp bằng tôn, Cáp có tiết diện &lt;=35mm2</v>
          </cell>
          <cell r="D6379" t="str">
            <v>1 đầu 3 pha</v>
          </cell>
          <cell r="H6379">
            <v>427966.35</v>
          </cell>
          <cell r="I6379">
            <v>734906.93967105274</v>
          </cell>
        </row>
        <row r="6380">
          <cell r="C6380" t="str">
            <v>Vật liệu</v>
          </cell>
          <cell r="G6380">
            <v>427966.35</v>
          </cell>
        </row>
        <row r="6381">
          <cell r="B6381">
            <v>115</v>
          </cell>
          <cell r="C6381" t="str">
            <v>+ Phễu cáp bằng tôn loại =&lt;35mm2</v>
          </cell>
          <cell r="D6381" t="str">
            <v>cái</v>
          </cell>
          <cell r="E6381">
            <v>1</v>
          </cell>
          <cell r="F6381">
            <v>0</v>
          </cell>
          <cell r="G6381">
            <v>0</v>
          </cell>
        </row>
        <row r="6382">
          <cell r="B6382">
            <v>25</v>
          </cell>
          <cell r="C6382" t="str">
            <v>+ Coliê sắt</v>
          </cell>
          <cell r="D6382" t="str">
            <v>bộ</v>
          </cell>
          <cell r="E6382">
            <v>2</v>
          </cell>
          <cell r="F6382">
            <v>8000</v>
          </cell>
          <cell r="G6382">
            <v>16000</v>
          </cell>
        </row>
        <row r="6383">
          <cell r="B6383">
            <v>114</v>
          </cell>
          <cell r="C6383" t="str">
            <v>+ Dây đồng 25mm2</v>
          </cell>
          <cell r="D6383" t="str">
            <v>m</v>
          </cell>
          <cell r="E6383">
            <v>4</v>
          </cell>
          <cell r="F6383">
            <v>69454</v>
          </cell>
          <cell r="G6383">
            <v>277816</v>
          </cell>
        </row>
        <row r="6384">
          <cell r="B6384">
            <v>35</v>
          </cell>
          <cell r="C6384" t="str">
            <v>+ Chất cách điện</v>
          </cell>
          <cell r="D6384" t="str">
            <v>kg</v>
          </cell>
          <cell r="E6384">
            <v>5</v>
          </cell>
          <cell r="F6384">
            <v>15450</v>
          </cell>
          <cell r="G6384">
            <v>77250</v>
          </cell>
        </row>
        <row r="6385">
          <cell r="B6385">
            <v>25</v>
          </cell>
          <cell r="C6385" t="str">
            <v>+ Băng vải nhựa, ni lông ( băng dính )</v>
          </cell>
          <cell r="D6385" t="str">
            <v>cuộn</v>
          </cell>
          <cell r="E6385">
            <v>1</v>
          </cell>
          <cell r="F6385">
            <v>8000</v>
          </cell>
          <cell r="G6385">
            <v>8000</v>
          </cell>
        </row>
        <row r="6386">
          <cell r="B6386">
            <v>3</v>
          </cell>
          <cell r="C6386" t="str">
            <v>+ Xăng</v>
          </cell>
          <cell r="D6386" t="str">
            <v>kg</v>
          </cell>
          <cell r="E6386">
            <v>0.5</v>
          </cell>
          <cell r="F6386">
            <v>18382</v>
          </cell>
          <cell r="G6386">
            <v>9191</v>
          </cell>
        </row>
        <row r="6387">
          <cell r="B6387">
            <v>1</v>
          </cell>
          <cell r="C6387" t="str">
            <v>+ Cồn công nghiệp</v>
          </cell>
          <cell r="D6387" t="str">
            <v>kg</v>
          </cell>
          <cell r="E6387">
            <v>0.6</v>
          </cell>
          <cell r="F6387">
            <v>9500</v>
          </cell>
          <cell r="G6387">
            <v>5700</v>
          </cell>
        </row>
        <row r="6388">
          <cell r="B6388">
            <v>9</v>
          </cell>
          <cell r="C6388" t="str">
            <v>+ Giẻ lau</v>
          </cell>
          <cell r="D6388" t="str">
            <v>Kg</v>
          </cell>
          <cell r="E6388">
            <v>0.2</v>
          </cell>
          <cell r="F6388">
            <v>9500</v>
          </cell>
          <cell r="G6388">
            <v>1900</v>
          </cell>
        </row>
        <row r="6389">
          <cell r="B6389">
            <v>4</v>
          </cell>
          <cell r="C6389" t="str">
            <v>+ Giấy ráp</v>
          </cell>
          <cell r="D6389" t="str">
            <v>tờ</v>
          </cell>
          <cell r="E6389">
            <v>1</v>
          </cell>
          <cell r="F6389">
            <v>10000</v>
          </cell>
          <cell r="G6389">
            <v>10000</v>
          </cell>
        </row>
        <row r="6390">
          <cell r="B6390">
            <v>33</v>
          </cell>
          <cell r="C6390" t="str">
            <v>+ Ma tít</v>
          </cell>
          <cell r="D6390" t="str">
            <v>kg</v>
          </cell>
          <cell r="E6390">
            <v>0.1</v>
          </cell>
          <cell r="F6390">
            <v>17300</v>
          </cell>
          <cell r="G6390">
            <v>1730</v>
          </cell>
        </row>
        <row r="6391">
          <cell r="B6391">
            <v>137</v>
          </cell>
          <cell r="C6391" t="str">
            <v>Vật liệu khác</v>
          </cell>
          <cell r="D6391" t="str">
            <v>%</v>
          </cell>
          <cell r="E6391">
            <v>5</v>
          </cell>
          <cell r="F6391">
            <v>1500</v>
          </cell>
          <cell r="G6391">
            <v>20379.350000000002</v>
          </cell>
        </row>
        <row r="6392">
          <cell r="C6392" t="str">
            <v>Nhân công</v>
          </cell>
          <cell r="G6392">
            <v>734906.93967105274</v>
          </cell>
        </row>
        <row r="6393">
          <cell r="B6393" t="str">
            <v>NC1457</v>
          </cell>
          <cell r="C6393" t="str">
            <v>+ Nhân công bậc 4,5/7</v>
          </cell>
          <cell r="D6393" t="str">
            <v>Công</v>
          </cell>
          <cell r="E6393">
            <v>3.47</v>
          </cell>
          <cell r="F6393">
            <v>211788.74342105264</v>
          </cell>
          <cell r="G6393">
            <v>734906.93967105274</v>
          </cell>
        </row>
        <row r="6394">
          <cell r="A6394" t="str">
            <v>D4.3342</v>
          </cell>
          <cell r="C6394" t="str">
            <v>Làm đầu cáp lực 35KV, Phễu cáp bằng tôn, Cáp có tiết diện &lt;=70mm2</v>
          </cell>
          <cell r="D6394" t="str">
            <v>1 đầu 3 pha</v>
          </cell>
          <cell r="H6394">
            <v>427966.35</v>
          </cell>
          <cell r="I6394">
            <v>917045.25901315792</v>
          </cell>
        </row>
        <row r="6395">
          <cell r="C6395" t="str">
            <v>Vật liệu</v>
          </cell>
          <cell r="G6395">
            <v>427966.35</v>
          </cell>
        </row>
        <row r="6396">
          <cell r="B6396">
            <v>116</v>
          </cell>
          <cell r="C6396" t="str">
            <v>+ Phễu cáp bằng tôn loại =&lt;70mm2</v>
          </cell>
          <cell r="D6396" t="str">
            <v>cái</v>
          </cell>
          <cell r="E6396">
            <v>1</v>
          </cell>
          <cell r="F6396">
            <v>0</v>
          </cell>
          <cell r="G6396">
            <v>0</v>
          </cell>
        </row>
        <row r="6397">
          <cell r="B6397">
            <v>25</v>
          </cell>
          <cell r="C6397" t="str">
            <v>+ Coliê sắt</v>
          </cell>
          <cell r="D6397" t="str">
            <v>bộ</v>
          </cell>
          <cell r="E6397">
            <v>2</v>
          </cell>
          <cell r="F6397">
            <v>8000</v>
          </cell>
          <cell r="G6397">
            <v>16000</v>
          </cell>
        </row>
        <row r="6398">
          <cell r="B6398">
            <v>114</v>
          </cell>
          <cell r="C6398" t="str">
            <v>+ Dây đồng 25mm2</v>
          </cell>
          <cell r="D6398" t="str">
            <v>m</v>
          </cell>
          <cell r="E6398">
            <v>4</v>
          </cell>
          <cell r="F6398">
            <v>69454</v>
          </cell>
          <cell r="G6398">
            <v>277816</v>
          </cell>
        </row>
        <row r="6399">
          <cell r="B6399">
            <v>35</v>
          </cell>
          <cell r="C6399" t="str">
            <v>+ Chất cách điện</v>
          </cell>
          <cell r="D6399" t="str">
            <v>kg</v>
          </cell>
          <cell r="E6399">
            <v>5</v>
          </cell>
          <cell r="F6399">
            <v>15450</v>
          </cell>
          <cell r="G6399">
            <v>77250</v>
          </cell>
        </row>
        <row r="6400">
          <cell r="B6400">
            <v>25</v>
          </cell>
          <cell r="C6400" t="str">
            <v>+ Băng vải nhựa, ni lông ( băng dính )</v>
          </cell>
          <cell r="D6400" t="str">
            <v>cuộn</v>
          </cell>
          <cell r="E6400">
            <v>1</v>
          </cell>
          <cell r="F6400">
            <v>8000</v>
          </cell>
          <cell r="G6400">
            <v>8000</v>
          </cell>
        </row>
        <row r="6401">
          <cell r="B6401">
            <v>3</v>
          </cell>
          <cell r="C6401" t="str">
            <v>+ Xăng</v>
          </cell>
          <cell r="D6401" t="str">
            <v>kg</v>
          </cell>
          <cell r="E6401">
            <v>0.5</v>
          </cell>
          <cell r="F6401">
            <v>18382</v>
          </cell>
          <cell r="G6401">
            <v>9191</v>
          </cell>
        </row>
        <row r="6402">
          <cell r="B6402">
            <v>1</v>
          </cell>
          <cell r="C6402" t="str">
            <v>+ Cồn công nghiệp</v>
          </cell>
          <cell r="D6402" t="str">
            <v>kg</v>
          </cell>
          <cell r="E6402">
            <v>0.6</v>
          </cell>
          <cell r="F6402">
            <v>9500</v>
          </cell>
          <cell r="G6402">
            <v>5700</v>
          </cell>
        </row>
        <row r="6403">
          <cell r="B6403">
            <v>9</v>
          </cell>
          <cell r="C6403" t="str">
            <v>+ Giẻ lau</v>
          </cell>
          <cell r="D6403" t="str">
            <v>Kg</v>
          </cell>
          <cell r="E6403">
            <v>0.2</v>
          </cell>
          <cell r="F6403">
            <v>9500</v>
          </cell>
          <cell r="G6403">
            <v>1900</v>
          </cell>
        </row>
        <row r="6404">
          <cell r="B6404">
            <v>4</v>
          </cell>
          <cell r="C6404" t="str">
            <v>+ Giấy ráp</v>
          </cell>
          <cell r="D6404" t="str">
            <v>tờ</v>
          </cell>
          <cell r="E6404">
            <v>1</v>
          </cell>
          <cell r="F6404">
            <v>10000</v>
          </cell>
          <cell r="G6404">
            <v>10000</v>
          </cell>
        </row>
        <row r="6405">
          <cell r="B6405">
            <v>33</v>
          </cell>
          <cell r="C6405" t="str">
            <v>+ Ma tít</v>
          </cell>
          <cell r="D6405" t="str">
            <v>kg</v>
          </cell>
          <cell r="E6405">
            <v>0.1</v>
          </cell>
          <cell r="F6405">
            <v>17300</v>
          </cell>
          <cell r="G6405">
            <v>1730</v>
          </cell>
        </row>
        <row r="6406">
          <cell r="B6406">
            <v>137</v>
          </cell>
          <cell r="C6406" t="str">
            <v>Vật liệu khác</v>
          </cell>
          <cell r="D6406" t="str">
            <v>%</v>
          </cell>
          <cell r="E6406">
            <v>5</v>
          </cell>
          <cell r="F6406">
            <v>1500</v>
          </cell>
          <cell r="G6406">
            <v>20379.350000000002</v>
          </cell>
        </row>
        <row r="6407">
          <cell r="C6407" t="str">
            <v>Nhân công</v>
          </cell>
          <cell r="G6407">
            <v>917045.25901315792</v>
          </cell>
        </row>
        <row r="6408">
          <cell r="B6408" t="str">
            <v>NC1457</v>
          </cell>
          <cell r="C6408" t="str">
            <v>+ Nhân công bậc 4,5/7</v>
          </cell>
          <cell r="D6408" t="str">
            <v>Công</v>
          </cell>
          <cell r="E6408">
            <v>4.33</v>
          </cell>
          <cell r="F6408">
            <v>211788.74342105264</v>
          </cell>
          <cell r="G6408">
            <v>917045.25901315792</v>
          </cell>
        </row>
        <row r="6409">
          <cell r="A6409" t="str">
            <v>D4.3343</v>
          </cell>
          <cell r="C6409" t="str">
            <v>Làm đầu cáp lực 35KV, Phễu cáp bằng tôn, Cáp có tiết diện &lt;=120mm2</v>
          </cell>
          <cell r="D6409" t="str">
            <v>1 đầu 3 pha</v>
          </cell>
          <cell r="H6409">
            <v>428465.1</v>
          </cell>
          <cell r="I6409">
            <v>1101301.4657894738</v>
          </cell>
        </row>
        <row r="6410">
          <cell r="C6410" t="str">
            <v>Vật liệu</v>
          </cell>
          <cell r="G6410">
            <v>428465.1</v>
          </cell>
        </row>
        <row r="6411">
          <cell r="B6411">
            <v>117</v>
          </cell>
          <cell r="C6411" t="str">
            <v>+ Phễu cáp bằng tôn loại =&lt;120mm2</v>
          </cell>
          <cell r="D6411" t="str">
            <v>cái</v>
          </cell>
          <cell r="E6411">
            <v>1</v>
          </cell>
          <cell r="F6411">
            <v>0</v>
          </cell>
          <cell r="G6411">
            <v>0</v>
          </cell>
        </row>
        <row r="6412">
          <cell r="B6412">
            <v>25</v>
          </cell>
          <cell r="C6412" t="str">
            <v>+ Coliê sắt</v>
          </cell>
          <cell r="D6412" t="str">
            <v>bộ</v>
          </cell>
          <cell r="E6412">
            <v>2</v>
          </cell>
          <cell r="F6412">
            <v>8000</v>
          </cell>
          <cell r="G6412">
            <v>16000</v>
          </cell>
        </row>
        <row r="6413">
          <cell r="B6413">
            <v>114</v>
          </cell>
          <cell r="C6413" t="str">
            <v>+ Dây đồng 25mm2</v>
          </cell>
          <cell r="D6413" t="str">
            <v>m</v>
          </cell>
          <cell r="E6413">
            <v>4</v>
          </cell>
          <cell r="F6413">
            <v>69454</v>
          </cell>
          <cell r="G6413">
            <v>277816</v>
          </cell>
        </row>
        <row r="6414">
          <cell r="B6414">
            <v>35</v>
          </cell>
          <cell r="C6414" t="str">
            <v>+ Chất cách điện</v>
          </cell>
          <cell r="D6414" t="str">
            <v>kg</v>
          </cell>
          <cell r="E6414">
            <v>5</v>
          </cell>
          <cell r="F6414">
            <v>15450</v>
          </cell>
          <cell r="G6414">
            <v>77250</v>
          </cell>
        </row>
        <row r="6415">
          <cell r="B6415">
            <v>25</v>
          </cell>
          <cell r="C6415" t="str">
            <v>+ Băng vải nhựa, ni lông ( băng dính )</v>
          </cell>
          <cell r="D6415" t="str">
            <v>cuộn</v>
          </cell>
          <cell r="E6415">
            <v>1</v>
          </cell>
          <cell r="F6415">
            <v>8000</v>
          </cell>
          <cell r="G6415">
            <v>8000</v>
          </cell>
        </row>
        <row r="6416">
          <cell r="B6416">
            <v>3</v>
          </cell>
          <cell r="C6416" t="str">
            <v>+ Xăng</v>
          </cell>
          <cell r="D6416" t="str">
            <v>kg</v>
          </cell>
          <cell r="E6416">
            <v>0.5</v>
          </cell>
          <cell r="F6416">
            <v>18382</v>
          </cell>
          <cell r="G6416">
            <v>9191</v>
          </cell>
        </row>
        <row r="6417">
          <cell r="B6417">
            <v>1</v>
          </cell>
          <cell r="C6417" t="str">
            <v>+ Cồn công nghiệp</v>
          </cell>
          <cell r="D6417" t="str">
            <v>kg</v>
          </cell>
          <cell r="E6417">
            <v>0.6</v>
          </cell>
          <cell r="F6417">
            <v>9500</v>
          </cell>
          <cell r="G6417">
            <v>5700</v>
          </cell>
        </row>
        <row r="6418">
          <cell r="B6418">
            <v>9</v>
          </cell>
          <cell r="C6418" t="str">
            <v>+ Giẻ lau</v>
          </cell>
          <cell r="D6418" t="str">
            <v>Kg</v>
          </cell>
          <cell r="E6418">
            <v>0.25</v>
          </cell>
          <cell r="F6418">
            <v>9500</v>
          </cell>
          <cell r="G6418">
            <v>2375</v>
          </cell>
        </row>
        <row r="6419">
          <cell r="B6419">
            <v>4</v>
          </cell>
          <cell r="C6419" t="str">
            <v>+ Giấy ráp</v>
          </cell>
          <cell r="D6419" t="str">
            <v>tờ</v>
          </cell>
          <cell r="E6419">
            <v>1</v>
          </cell>
          <cell r="F6419">
            <v>10000</v>
          </cell>
          <cell r="G6419">
            <v>10000</v>
          </cell>
        </row>
        <row r="6420">
          <cell r="B6420">
            <v>33</v>
          </cell>
          <cell r="C6420" t="str">
            <v>+ Ma tít</v>
          </cell>
          <cell r="D6420" t="str">
            <v>kg</v>
          </cell>
          <cell r="E6420">
            <v>0.1</v>
          </cell>
          <cell r="F6420">
            <v>17300</v>
          </cell>
          <cell r="G6420">
            <v>1730</v>
          </cell>
        </row>
        <row r="6421">
          <cell r="B6421">
            <v>137</v>
          </cell>
          <cell r="C6421" t="str">
            <v>Vật liệu khác</v>
          </cell>
          <cell r="D6421" t="str">
            <v>%</v>
          </cell>
          <cell r="E6421">
            <v>5</v>
          </cell>
          <cell r="F6421">
            <v>1500</v>
          </cell>
          <cell r="G6421">
            <v>20403.100000000002</v>
          </cell>
        </row>
        <row r="6422">
          <cell r="C6422" t="str">
            <v>Nhân công</v>
          </cell>
          <cell r="G6422">
            <v>1101301.4657894738</v>
          </cell>
        </row>
        <row r="6423">
          <cell r="B6423" t="str">
            <v>NC1457</v>
          </cell>
          <cell r="C6423" t="str">
            <v>+ Nhân công bậc 4,5/7</v>
          </cell>
          <cell r="D6423" t="str">
            <v>Công</v>
          </cell>
          <cell r="E6423">
            <v>5.2</v>
          </cell>
          <cell r="F6423">
            <v>211788.74342105264</v>
          </cell>
          <cell r="G6423">
            <v>1101301.4657894738</v>
          </cell>
        </row>
        <row r="6424">
          <cell r="A6424" t="str">
            <v>D4.3344</v>
          </cell>
          <cell r="C6424" t="str">
            <v>Làm đầu cáp lực 35KV, Phễu cáp bằng tôn, Cáp có tiết diện &lt;=185mm2</v>
          </cell>
          <cell r="D6424" t="str">
            <v>1 đầu 3 pha</v>
          </cell>
          <cell r="H6424">
            <v>450992.85</v>
          </cell>
          <cell r="I6424">
            <v>1266496.6856578949</v>
          </cell>
        </row>
        <row r="6425">
          <cell r="C6425" t="str">
            <v>Vật liệu</v>
          </cell>
          <cell r="G6425">
            <v>450992.85</v>
          </cell>
        </row>
        <row r="6426">
          <cell r="B6426">
            <v>118</v>
          </cell>
          <cell r="C6426" t="str">
            <v>+ Phễu cáp bằng tôn loại =&lt;185mm2</v>
          </cell>
          <cell r="D6426" t="str">
            <v>cái</v>
          </cell>
          <cell r="E6426">
            <v>1</v>
          </cell>
          <cell r="F6426">
            <v>0</v>
          </cell>
          <cell r="G6426">
            <v>0</v>
          </cell>
        </row>
        <row r="6427">
          <cell r="B6427">
            <v>25</v>
          </cell>
          <cell r="C6427" t="str">
            <v>+ Coliê sắt</v>
          </cell>
          <cell r="D6427" t="str">
            <v>bộ</v>
          </cell>
          <cell r="E6427">
            <v>2</v>
          </cell>
          <cell r="F6427">
            <v>8000</v>
          </cell>
          <cell r="G6427">
            <v>16000</v>
          </cell>
        </row>
        <row r="6428">
          <cell r="B6428">
            <v>114</v>
          </cell>
          <cell r="C6428" t="str">
            <v>+ Dây đồng 25mm2</v>
          </cell>
          <cell r="D6428" t="str">
            <v>m</v>
          </cell>
          <cell r="E6428">
            <v>4</v>
          </cell>
          <cell r="F6428">
            <v>69454</v>
          </cell>
          <cell r="G6428">
            <v>277816</v>
          </cell>
        </row>
        <row r="6429">
          <cell r="B6429">
            <v>35</v>
          </cell>
          <cell r="C6429" t="str">
            <v>+ Chất cách điện</v>
          </cell>
          <cell r="D6429" t="str">
            <v>kg</v>
          </cell>
          <cell r="E6429">
            <v>6</v>
          </cell>
          <cell r="F6429">
            <v>15450</v>
          </cell>
          <cell r="G6429">
            <v>92700</v>
          </cell>
        </row>
        <row r="6430">
          <cell r="B6430">
            <v>25</v>
          </cell>
          <cell r="C6430" t="str">
            <v>+ Băng vải nhựa, ni lông ( băng dính )</v>
          </cell>
          <cell r="D6430" t="str">
            <v>cuộn</v>
          </cell>
          <cell r="E6430">
            <v>1.5</v>
          </cell>
          <cell r="F6430">
            <v>8000</v>
          </cell>
          <cell r="G6430">
            <v>12000</v>
          </cell>
        </row>
        <row r="6431">
          <cell r="B6431">
            <v>3</v>
          </cell>
          <cell r="C6431" t="str">
            <v>+ Xăng</v>
          </cell>
          <cell r="D6431" t="str">
            <v>kg</v>
          </cell>
          <cell r="E6431">
            <v>0.5</v>
          </cell>
          <cell r="F6431">
            <v>18382</v>
          </cell>
          <cell r="G6431">
            <v>9191</v>
          </cell>
        </row>
        <row r="6432">
          <cell r="B6432">
            <v>1</v>
          </cell>
          <cell r="C6432" t="str">
            <v>+ Cồn công nghiệp</v>
          </cell>
          <cell r="D6432" t="str">
            <v>kg</v>
          </cell>
          <cell r="E6432">
            <v>0.72</v>
          </cell>
          <cell r="F6432">
            <v>9500</v>
          </cell>
          <cell r="G6432">
            <v>6840</v>
          </cell>
        </row>
        <row r="6433">
          <cell r="B6433">
            <v>9</v>
          </cell>
          <cell r="C6433" t="str">
            <v>+ Giẻ lau</v>
          </cell>
          <cell r="D6433" t="str">
            <v>Kg</v>
          </cell>
          <cell r="E6433">
            <v>0.25</v>
          </cell>
          <cell r="F6433">
            <v>9500</v>
          </cell>
          <cell r="G6433">
            <v>2375</v>
          </cell>
        </row>
        <row r="6434">
          <cell r="B6434">
            <v>4</v>
          </cell>
          <cell r="C6434" t="str">
            <v>+ Giấy ráp</v>
          </cell>
          <cell r="D6434" t="str">
            <v>tờ</v>
          </cell>
          <cell r="E6434">
            <v>1</v>
          </cell>
          <cell r="F6434">
            <v>10000</v>
          </cell>
          <cell r="G6434">
            <v>10000</v>
          </cell>
        </row>
        <row r="6435">
          <cell r="B6435">
            <v>33</v>
          </cell>
          <cell r="C6435" t="str">
            <v>+ Ma tít</v>
          </cell>
          <cell r="D6435" t="str">
            <v>kg</v>
          </cell>
          <cell r="E6435">
            <v>0.15</v>
          </cell>
          <cell r="F6435">
            <v>17300</v>
          </cell>
          <cell r="G6435">
            <v>2595</v>
          </cell>
        </row>
        <row r="6436">
          <cell r="B6436">
            <v>137</v>
          </cell>
          <cell r="C6436" t="str">
            <v>Vật liệu khác</v>
          </cell>
          <cell r="D6436" t="str">
            <v>%</v>
          </cell>
          <cell r="E6436">
            <v>5</v>
          </cell>
          <cell r="F6436">
            <v>1500</v>
          </cell>
          <cell r="G6436">
            <v>21475.850000000002</v>
          </cell>
        </row>
        <row r="6437">
          <cell r="C6437" t="str">
            <v>Nhân công</v>
          </cell>
          <cell r="G6437">
            <v>1266496.6856578949</v>
          </cell>
        </row>
        <row r="6438">
          <cell r="B6438" t="str">
            <v>NC1457</v>
          </cell>
          <cell r="C6438" t="str">
            <v>+ Nhân công bậc 4,5/7</v>
          </cell>
          <cell r="D6438" t="str">
            <v>Công</v>
          </cell>
          <cell r="E6438">
            <v>5.98</v>
          </cell>
          <cell r="F6438">
            <v>211788.74342105264</v>
          </cell>
          <cell r="G6438">
            <v>1266496.6856578949</v>
          </cell>
        </row>
        <row r="6439">
          <cell r="A6439" t="str">
            <v>D4.3345</v>
          </cell>
          <cell r="C6439" t="str">
            <v>Làm đầu cáp lực 35KV, Phễu cáp bằng tôn, Cáp có tiết diện &lt;=240mm2</v>
          </cell>
          <cell r="D6439" t="str">
            <v>1 đầu 3 pha</v>
          </cell>
          <cell r="H6439">
            <v>451491.6</v>
          </cell>
          <cell r="I6439">
            <v>1414748.8060526315</v>
          </cell>
        </row>
        <row r="6440">
          <cell r="C6440" t="str">
            <v>Vật liệu</v>
          </cell>
          <cell r="G6440">
            <v>451491.6</v>
          </cell>
        </row>
        <row r="6441">
          <cell r="B6441">
            <v>119</v>
          </cell>
          <cell r="C6441" t="str">
            <v>+ Phễu cáp bằng tôn loại =&lt;240mm2</v>
          </cell>
          <cell r="D6441" t="str">
            <v>cái</v>
          </cell>
          <cell r="E6441">
            <v>1</v>
          </cell>
          <cell r="F6441">
            <v>0</v>
          </cell>
          <cell r="G6441">
            <v>0</v>
          </cell>
        </row>
        <row r="6442">
          <cell r="B6442">
            <v>25</v>
          </cell>
          <cell r="C6442" t="str">
            <v>+ Coliê sắt</v>
          </cell>
          <cell r="D6442" t="str">
            <v>bộ</v>
          </cell>
          <cell r="E6442">
            <v>2</v>
          </cell>
          <cell r="F6442">
            <v>8000</v>
          </cell>
          <cell r="G6442">
            <v>16000</v>
          </cell>
        </row>
        <row r="6443">
          <cell r="B6443">
            <v>114</v>
          </cell>
          <cell r="C6443" t="str">
            <v>+ Dây đồng 25mm2</v>
          </cell>
          <cell r="D6443" t="str">
            <v>m</v>
          </cell>
          <cell r="E6443">
            <v>4</v>
          </cell>
          <cell r="F6443">
            <v>69454</v>
          </cell>
          <cell r="G6443">
            <v>277816</v>
          </cell>
        </row>
        <row r="6444">
          <cell r="B6444">
            <v>35</v>
          </cell>
          <cell r="C6444" t="str">
            <v>+ Chất cách điện</v>
          </cell>
          <cell r="D6444" t="str">
            <v>kg</v>
          </cell>
          <cell r="E6444">
            <v>6</v>
          </cell>
          <cell r="F6444">
            <v>15450</v>
          </cell>
          <cell r="G6444">
            <v>92700</v>
          </cell>
        </row>
        <row r="6445">
          <cell r="B6445">
            <v>25</v>
          </cell>
          <cell r="C6445" t="str">
            <v>+ Băng vải nhựa, ni lông ( băng dính )</v>
          </cell>
          <cell r="D6445" t="str">
            <v>cuộn</v>
          </cell>
          <cell r="E6445">
            <v>1.5</v>
          </cell>
          <cell r="F6445">
            <v>8000</v>
          </cell>
          <cell r="G6445">
            <v>12000</v>
          </cell>
        </row>
        <row r="6446">
          <cell r="B6446">
            <v>3</v>
          </cell>
          <cell r="C6446" t="str">
            <v>+ Xăng</v>
          </cell>
          <cell r="D6446" t="str">
            <v>kg</v>
          </cell>
          <cell r="E6446">
            <v>0.5</v>
          </cell>
          <cell r="F6446">
            <v>18382</v>
          </cell>
          <cell r="G6446">
            <v>9191</v>
          </cell>
        </row>
        <row r="6447">
          <cell r="B6447">
            <v>1</v>
          </cell>
          <cell r="C6447" t="str">
            <v>+ Cồn công nghiệp</v>
          </cell>
          <cell r="D6447" t="str">
            <v>kg</v>
          </cell>
          <cell r="E6447">
            <v>0.72</v>
          </cell>
          <cell r="F6447">
            <v>9500</v>
          </cell>
          <cell r="G6447">
            <v>6840</v>
          </cell>
        </row>
        <row r="6448">
          <cell r="B6448">
            <v>9</v>
          </cell>
          <cell r="C6448" t="str">
            <v>+ Giẻ lau</v>
          </cell>
          <cell r="D6448" t="str">
            <v>Kg</v>
          </cell>
          <cell r="E6448">
            <v>0.3</v>
          </cell>
          <cell r="F6448">
            <v>9500</v>
          </cell>
          <cell r="G6448">
            <v>2850</v>
          </cell>
        </row>
        <row r="6449">
          <cell r="B6449">
            <v>4</v>
          </cell>
          <cell r="C6449" t="str">
            <v>+ Giấy ráp</v>
          </cell>
          <cell r="D6449" t="str">
            <v>tờ</v>
          </cell>
          <cell r="E6449">
            <v>1</v>
          </cell>
          <cell r="F6449">
            <v>10000</v>
          </cell>
          <cell r="G6449">
            <v>10000</v>
          </cell>
        </row>
        <row r="6450">
          <cell r="B6450">
            <v>33</v>
          </cell>
          <cell r="C6450" t="str">
            <v>+ Ma tít</v>
          </cell>
          <cell r="D6450" t="str">
            <v>kg</v>
          </cell>
          <cell r="E6450">
            <v>0.15</v>
          </cell>
          <cell r="F6450">
            <v>17300</v>
          </cell>
          <cell r="G6450">
            <v>2595</v>
          </cell>
        </row>
        <row r="6451">
          <cell r="B6451">
            <v>137</v>
          </cell>
          <cell r="C6451" t="str">
            <v>Vật liệu khác</v>
          </cell>
          <cell r="D6451" t="str">
            <v>%</v>
          </cell>
          <cell r="E6451">
            <v>5</v>
          </cell>
          <cell r="F6451">
            <v>1500</v>
          </cell>
          <cell r="G6451">
            <v>21499.600000000002</v>
          </cell>
        </row>
        <row r="6452">
          <cell r="C6452" t="str">
            <v>Nhân công</v>
          </cell>
          <cell r="G6452">
            <v>1414748.8060526315</v>
          </cell>
        </row>
        <row r="6453">
          <cell r="B6453" t="str">
            <v>NC1457</v>
          </cell>
          <cell r="C6453" t="str">
            <v>+ Nhân công bậc 4,5/7</v>
          </cell>
          <cell r="D6453" t="str">
            <v>Công</v>
          </cell>
          <cell r="E6453">
            <v>6.68</v>
          </cell>
          <cell r="F6453">
            <v>211788.74342105264</v>
          </cell>
          <cell r="G6453">
            <v>1414748.8060526315</v>
          </cell>
        </row>
        <row r="6454">
          <cell r="A6454" t="str">
            <v>D4.3346</v>
          </cell>
          <cell r="C6454" t="str">
            <v>Làm đầu cáp lực 35KV, Phễu cáp bằng tôn, Cáp có tiết diện &lt;=300mm2</v>
          </cell>
          <cell r="D6454" t="str">
            <v>1 đầu 3 pha</v>
          </cell>
          <cell r="H6454">
            <v>451491.6</v>
          </cell>
          <cell r="I6454">
            <v>1541822.0521052633</v>
          </cell>
        </row>
        <row r="6455">
          <cell r="C6455" t="str">
            <v>Vật liệu</v>
          </cell>
          <cell r="G6455">
            <v>451491.6</v>
          </cell>
        </row>
        <row r="6456">
          <cell r="B6456">
            <v>120</v>
          </cell>
          <cell r="C6456" t="str">
            <v>+ Phễu cáp bằng tôn loại =&lt;300mm2</v>
          </cell>
          <cell r="D6456" t="str">
            <v>cái</v>
          </cell>
          <cell r="E6456">
            <v>1</v>
          </cell>
          <cell r="F6456">
            <v>0</v>
          </cell>
          <cell r="G6456">
            <v>0</v>
          </cell>
        </row>
        <row r="6457">
          <cell r="B6457">
            <v>25</v>
          </cell>
          <cell r="C6457" t="str">
            <v>+ Coliê sắt</v>
          </cell>
          <cell r="D6457" t="str">
            <v>bộ</v>
          </cell>
          <cell r="E6457">
            <v>2</v>
          </cell>
          <cell r="F6457">
            <v>8000</v>
          </cell>
          <cell r="G6457">
            <v>16000</v>
          </cell>
        </row>
        <row r="6458">
          <cell r="B6458">
            <v>114</v>
          </cell>
          <cell r="C6458" t="str">
            <v>+ Dây đồng 25mm2</v>
          </cell>
          <cell r="D6458" t="str">
            <v>m</v>
          </cell>
          <cell r="E6458">
            <v>4</v>
          </cell>
          <cell r="F6458">
            <v>69454</v>
          </cell>
          <cell r="G6458">
            <v>277816</v>
          </cell>
        </row>
        <row r="6459">
          <cell r="B6459">
            <v>35</v>
          </cell>
          <cell r="C6459" t="str">
            <v>+ Chất cách điện</v>
          </cell>
          <cell r="D6459" t="str">
            <v>kg</v>
          </cell>
          <cell r="E6459">
            <v>6</v>
          </cell>
          <cell r="F6459">
            <v>15450</v>
          </cell>
          <cell r="G6459">
            <v>92700</v>
          </cell>
        </row>
        <row r="6460">
          <cell r="B6460">
            <v>25</v>
          </cell>
          <cell r="C6460" t="str">
            <v>+ Băng vải nhựa, ni lông ( băng dính )</v>
          </cell>
          <cell r="D6460" t="str">
            <v>cuộn</v>
          </cell>
          <cell r="E6460">
            <v>1.5</v>
          </cell>
          <cell r="F6460">
            <v>8000</v>
          </cell>
          <cell r="G6460">
            <v>12000</v>
          </cell>
        </row>
        <row r="6461">
          <cell r="B6461">
            <v>3</v>
          </cell>
          <cell r="C6461" t="str">
            <v>+ Xăng</v>
          </cell>
          <cell r="D6461" t="str">
            <v>kg</v>
          </cell>
          <cell r="E6461">
            <v>0.5</v>
          </cell>
          <cell r="F6461">
            <v>18382</v>
          </cell>
          <cell r="G6461">
            <v>9191</v>
          </cell>
        </row>
        <row r="6462">
          <cell r="B6462">
            <v>1</v>
          </cell>
          <cell r="C6462" t="str">
            <v>+ Cồn công nghiệp</v>
          </cell>
          <cell r="D6462" t="str">
            <v>kg</v>
          </cell>
          <cell r="E6462">
            <v>0.72</v>
          </cell>
          <cell r="F6462">
            <v>9500</v>
          </cell>
          <cell r="G6462">
            <v>6840</v>
          </cell>
        </row>
        <row r="6463">
          <cell r="B6463">
            <v>9</v>
          </cell>
          <cell r="C6463" t="str">
            <v>+ Giẻ lau</v>
          </cell>
          <cell r="D6463" t="str">
            <v>Kg</v>
          </cell>
          <cell r="E6463">
            <v>0.3</v>
          </cell>
          <cell r="F6463">
            <v>9500</v>
          </cell>
          <cell r="G6463">
            <v>2850</v>
          </cell>
        </row>
        <row r="6464">
          <cell r="B6464">
            <v>4</v>
          </cell>
          <cell r="C6464" t="str">
            <v>+ Giấy ráp</v>
          </cell>
          <cell r="D6464" t="str">
            <v>tờ</v>
          </cell>
          <cell r="E6464">
            <v>1</v>
          </cell>
          <cell r="F6464">
            <v>10000</v>
          </cell>
          <cell r="G6464">
            <v>10000</v>
          </cell>
        </row>
        <row r="6465">
          <cell r="B6465">
            <v>33</v>
          </cell>
          <cell r="C6465" t="str">
            <v>+ Ma tít</v>
          </cell>
          <cell r="D6465" t="str">
            <v>kg</v>
          </cell>
          <cell r="E6465">
            <v>0.15</v>
          </cell>
          <cell r="F6465">
            <v>17300</v>
          </cell>
          <cell r="G6465">
            <v>2595</v>
          </cell>
        </row>
        <row r="6466">
          <cell r="B6466">
            <v>137</v>
          </cell>
          <cell r="C6466" t="str">
            <v>Vật liệu khác</v>
          </cell>
          <cell r="D6466" t="str">
            <v>%</v>
          </cell>
          <cell r="E6466">
            <v>5</v>
          </cell>
          <cell r="F6466">
            <v>1500</v>
          </cell>
          <cell r="G6466">
            <v>21499.600000000002</v>
          </cell>
        </row>
        <row r="6467">
          <cell r="C6467" t="str">
            <v>Nhân công</v>
          </cell>
          <cell r="G6467">
            <v>1541822.0521052633</v>
          </cell>
        </row>
        <row r="6468">
          <cell r="B6468" t="str">
            <v>NC1457</v>
          </cell>
          <cell r="C6468" t="str">
            <v>+ Nhân công bậc 4,5/7</v>
          </cell>
          <cell r="D6468" t="str">
            <v>Công</v>
          </cell>
          <cell r="E6468">
            <v>7.28</v>
          </cell>
          <cell r="F6468">
            <v>211788.74342105264</v>
          </cell>
          <cell r="G6468">
            <v>1541822.0521052633</v>
          </cell>
        </row>
        <row r="6469">
          <cell r="A6469" t="str">
            <v>D4.3347</v>
          </cell>
          <cell r="C6469" t="str">
            <v>Làm đầu cáp lực 35KV, Phễu cáp bằng tôn, Cáp có tiết diện &lt;=400mm2</v>
          </cell>
          <cell r="D6469" t="str">
            <v>1 đầu 3 pha</v>
          </cell>
          <cell r="H6469">
            <v>480048.66000000003</v>
          </cell>
          <cell r="I6469">
            <v>1848915.7300657895</v>
          </cell>
        </row>
        <row r="6470">
          <cell r="C6470" t="str">
            <v>Vật liệu</v>
          </cell>
          <cell r="G6470">
            <v>480048.66000000003</v>
          </cell>
        </row>
        <row r="6471">
          <cell r="B6471">
            <v>121</v>
          </cell>
          <cell r="C6471" t="str">
            <v>+ Phễu cáp bằng tôn loại =&lt;400mm2</v>
          </cell>
          <cell r="D6471" t="str">
            <v>cái</v>
          </cell>
          <cell r="E6471">
            <v>1</v>
          </cell>
          <cell r="F6471">
            <v>0</v>
          </cell>
          <cell r="G6471">
            <v>0</v>
          </cell>
        </row>
        <row r="6472">
          <cell r="B6472">
            <v>25</v>
          </cell>
          <cell r="C6472" t="str">
            <v>+ Coliê sắt</v>
          </cell>
          <cell r="D6472" t="str">
            <v>bộ</v>
          </cell>
          <cell r="E6472">
            <v>2</v>
          </cell>
          <cell r="F6472">
            <v>8000</v>
          </cell>
          <cell r="G6472">
            <v>16000</v>
          </cell>
        </row>
        <row r="6473">
          <cell r="B6473">
            <v>114</v>
          </cell>
          <cell r="C6473" t="str">
            <v>+ Dây đồng 25mm2</v>
          </cell>
          <cell r="D6473" t="str">
            <v>m</v>
          </cell>
          <cell r="E6473">
            <v>4</v>
          </cell>
          <cell r="F6473">
            <v>69454</v>
          </cell>
          <cell r="G6473">
            <v>277816</v>
          </cell>
        </row>
        <row r="6474">
          <cell r="B6474">
            <v>35</v>
          </cell>
          <cell r="C6474" t="str">
            <v>+ Chất cách điện</v>
          </cell>
          <cell r="D6474" t="str">
            <v>kg</v>
          </cell>
          <cell r="E6474">
            <v>7.2</v>
          </cell>
          <cell r="F6474">
            <v>15450</v>
          </cell>
          <cell r="G6474">
            <v>111240</v>
          </cell>
        </row>
        <row r="6475">
          <cell r="B6475">
            <v>25</v>
          </cell>
          <cell r="C6475" t="str">
            <v>+ Băng vải nhựa, ni lông ( băng dính )</v>
          </cell>
          <cell r="D6475" t="str">
            <v>cuộn</v>
          </cell>
          <cell r="E6475">
            <v>1.8</v>
          </cell>
          <cell r="F6475">
            <v>8000</v>
          </cell>
          <cell r="G6475">
            <v>14400</v>
          </cell>
        </row>
        <row r="6476">
          <cell r="B6476">
            <v>3</v>
          </cell>
          <cell r="C6476" t="str">
            <v>+ Xăng</v>
          </cell>
          <cell r="D6476" t="str">
            <v>kg</v>
          </cell>
          <cell r="E6476">
            <v>0.6</v>
          </cell>
          <cell r="F6476">
            <v>18382</v>
          </cell>
          <cell r="G6476">
            <v>11029.199999999999</v>
          </cell>
        </row>
        <row r="6477">
          <cell r="B6477">
            <v>1</v>
          </cell>
          <cell r="C6477" t="str">
            <v>+ Cồn công nghiệp</v>
          </cell>
          <cell r="D6477" t="str">
            <v>kg</v>
          </cell>
          <cell r="E6477">
            <v>0.86</v>
          </cell>
          <cell r="F6477">
            <v>9500</v>
          </cell>
          <cell r="G6477">
            <v>8170</v>
          </cell>
        </row>
        <row r="6478">
          <cell r="B6478">
            <v>9</v>
          </cell>
          <cell r="C6478" t="str">
            <v>+ Giẻ lau</v>
          </cell>
          <cell r="D6478" t="str">
            <v>Kg</v>
          </cell>
          <cell r="E6478">
            <v>0.36</v>
          </cell>
          <cell r="F6478">
            <v>9500</v>
          </cell>
          <cell r="G6478">
            <v>3420</v>
          </cell>
        </row>
        <row r="6479">
          <cell r="B6479">
            <v>4</v>
          </cell>
          <cell r="C6479" t="str">
            <v>+ Giấy ráp</v>
          </cell>
          <cell r="D6479" t="str">
            <v>tờ</v>
          </cell>
          <cell r="E6479">
            <v>1.2</v>
          </cell>
          <cell r="F6479">
            <v>10000</v>
          </cell>
          <cell r="G6479">
            <v>12000</v>
          </cell>
        </row>
        <row r="6480">
          <cell r="B6480">
            <v>33</v>
          </cell>
          <cell r="C6480" t="str">
            <v>+ Ma tít</v>
          </cell>
          <cell r="D6480" t="str">
            <v>kg</v>
          </cell>
          <cell r="E6480">
            <v>0.18</v>
          </cell>
          <cell r="F6480">
            <v>17300</v>
          </cell>
          <cell r="G6480">
            <v>3114</v>
          </cell>
        </row>
        <row r="6481">
          <cell r="B6481">
            <v>137</v>
          </cell>
          <cell r="C6481" t="str">
            <v>Vật liệu khác</v>
          </cell>
          <cell r="D6481" t="str">
            <v>%</v>
          </cell>
          <cell r="E6481">
            <v>5</v>
          </cell>
          <cell r="F6481">
            <v>1500</v>
          </cell>
          <cell r="G6481">
            <v>22859.460000000003</v>
          </cell>
        </row>
        <row r="6482">
          <cell r="C6482" t="str">
            <v>Nhân công</v>
          </cell>
          <cell r="G6482">
            <v>1848915.7300657895</v>
          </cell>
        </row>
        <row r="6483">
          <cell r="B6483" t="str">
            <v>NC1457</v>
          </cell>
          <cell r="C6483" t="str">
            <v>+ Nhân công bậc 4,5/7</v>
          </cell>
          <cell r="D6483" t="str">
            <v>Công</v>
          </cell>
          <cell r="E6483">
            <v>8.73</v>
          </cell>
          <cell r="F6483">
            <v>211788.74342105264</v>
          </cell>
          <cell r="G6483">
            <v>1848915.7300657895</v>
          </cell>
        </row>
        <row r="6484">
          <cell r="A6484" t="str">
            <v>D4.3351</v>
          </cell>
          <cell r="C6484" t="str">
            <v>Làm đầu cáp lực 22KV, Phễu cáp bằng gang, Cáp có tiết diện &lt;=35mm2</v>
          </cell>
          <cell r="D6484" t="str">
            <v>1 đầu 3 pha</v>
          </cell>
          <cell r="H6484">
            <v>427966.35</v>
          </cell>
          <cell r="I6484">
            <v>1145777.1019078947</v>
          </cell>
        </row>
        <row r="6485">
          <cell r="C6485" t="str">
            <v>Vật liệu</v>
          </cell>
          <cell r="G6485">
            <v>427966.35</v>
          </cell>
        </row>
        <row r="6486">
          <cell r="B6486">
            <v>122</v>
          </cell>
          <cell r="C6486" t="str">
            <v>+ Phễu cáp bằng gang loại =&lt;35mm2</v>
          </cell>
          <cell r="D6486" t="str">
            <v>cái</v>
          </cell>
          <cell r="E6486">
            <v>1</v>
          </cell>
          <cell r="F6486">
            <v>0</v>
          </cell>
          <cell r="G6486">
            <v>0</v>
          </cell>
        </row>
        <row r="6487">
          <cell r="B6487">
            <v>25</v>
          </cell>
          <cell r="C6487" t="str">
            <v>+ Coliê sắt</v>
          </cell>
          <cell r="D6487" t="str">
            <v>bộ</v>
          </cell>
          <cell r="E6487">
            <v>2</v>
          </cell>
          <cell r="F6487">
            <v>8000</v>
          </cell>
          <cell r="G6487">
            <v>16000</v>
          </cell>
        </row>
        <row r="6488">
          <cell r="B6488">
            <v>114</v>
          </cell>
          <cell r="C6488" t="str">
            <v>+ Dây đồng 25mm2</v>
          </cell>
          <cell r="D6488" t="str">
            <v>m</v>
          </cell>
          <cell r="E6488">
            <v>4</v>
          </cell>
          <cell r="F6488">
            <v>69454</v>
          </cell>
          <cell r="G6488">
            <v>277816</v>
          </cell>
        </row>
        <row r="6489">
          <cell r="B6489">
            <v>35</v>
          </cell>
          <cell r="C6489" t="str">
            <v>+ Chất cách điện</v>
          </cell>
          <cell r="D6489" t="str">
            <v>kg</v>
          </cell>
          <cell r="E6489">
            <v>5</v>
          </cell>
          <cell r="F6489">
            <v>15450</v>
          </cell>
          <cell r="G6489">
            <v>77250</v>
          </cell>
        </row>
        <row r="6490">
          <cell r="B6490">
            <v>25</v>
          </cell>
          <cell r="C6490" t="str">
            <v>+ Băng vải nhựa, ni lông ( băng dính )</v>
          </cell>
          <cell r="D6490" t="str">
            <v>cuộn</v>
          </cell>
          <cell r="E6490">
            <v>1</v>
          </cell>
          <cell r="F6490">
            <v>8000</v>
          </cell>
          <cell r="G6490">
            <v>8000</v>
          </cell>
        </row>
        <row r="6491">
          <cell r="B6491">
            <v>3</v>
          </cell>
          <cell r="C6491" t="str">
            <v>+ Xăng</v>
          </cell>
          <cell r="D6491" t="str">
            <v>kg</v>
          </cell>
          <cell r="E6491">
            <v>0.5</v>
          </cell>
          <cell r="F6491">
            <v>18382</v>
          </cell>
          <cell r="G6491">
            <v>9191</v>
          </cell>
        </row>
        <row r="6492">
          <cell r="B6492">
            <v>1</v>
          </cell>
          <cell r="C6492" t="str">
            <v>+ Cồn công nghiệp</v>
          </cell>
          <cell r="D6492" t="str">
            <v>kg</v>
          </cell>
          <cell r="E6492">
            <v>0.6</v>
          </cell>
          <cell r="F6492">
            <v>9500</v>
          </cell>
          <cell r="G6492">
            <v>5700</v>
          </cell>
        </row>
        <row r="6493">
          <cell r="B6493">
            <v>9</v>
          </cell>
          <cell r="C6493" t="str">
            <v>+ Giẻ lau</v>
          </cell>
          <cell r="D6493" t="str">
            <v>Kg</v>
          </cell>
          <cell r="E6493">
            <v>0.2</v>
          </cell>
          <cell r="F6493">
            <v>9500</v>
          </cell>
          <cell r="G6493">
            <v>1900</v>
          </cell>
        </row>
        <row r="6494">
          <cell r="B6494">
            <v>4</v>
          </cell>
          <cell r="C6494" t="str">
            <v>+ Giấy ráp</v>
          </cell>
          <cell r="D6494" t="str">
            <v>tờ</v>
          </cell>
          <cell r="E6494">
            <v>1</v>
          </cell>
          <cell r="F6494">
            <v>10000</v>
          </cell>
          <cell r="G6494">
            <v>10000</v>
          </cell>
        </row>
        <row r="6495">
          <cell r="B6495">
            <v>33</v>
          </cell>
          <cell r="C6495" t="str">
            <v>+ Ma tít</v>
          </cell>
          <cell r="D6495" t="str">
            <v>kg</v>
          </cell>
          <cell r="E6495">
            <v>0.1</v>
          </cell>
          <cell r="F6495">
            <v>17300</v>
          </cell>
          <cell r="G6495">
            <v>1730</v>
          </cell>
        </row>
        <row r="6496">
          <cell r="B6496">
            <v>137</v>
          </cell>
          <cell r="C6496" t="str">
            <v>Vật liệu khác</v>
          </cell>
          <cell r="D6496" t="str">
            <v>%</v>
          </cell>
          <cell r="E6496">
            <v>5</v>
          </cell>
          <cell r="F6496">
            <v>1500</v>
          </cell>
          <cell r="G6496">
            <v>20379.350000000002</v>
          </cell>
        </row>
        <row r="6497">
          <cell r="C6497" t="str">
            <v>Nhân công</v>
          </cell>
          <cell r="G6497">
            <v>1145777.1019078947</v>
          </cell>
        </row>
        <row r="6498">
          <cell r="B6498" t="str">
            <v>NC1457</v>
          </cell>
          <cell r="C6498" t="str">
            <v>+ Nhân công bậc 4,5/7</v>
          </cell>
          <cell r="D6498" t="str">
            <v>Công</v>
          </cell>
          <cell r="E6498">
            <v>5.41</v>
          </cell>
          <cell r="F6498">
            <v>211788.74342105264</v>
          </cell>
          <cell r="G6498">
            <v>1145777.1019078947</v>
          </cell>
        </row>
        <row r="6499">
          <cell r="A6499" t="str">
            <v>D4.3352</v>
          </cell>
          <cell r="C6499" t="str">
            <v>Làm đầu cáp lực 22KV, Phễu cáp bằng gang, Cáp có tiết diện &lt;=70mm2</v>
          </cell>
          <cell r="D6499" t="str">
            <v>1 đầu 3 pha</v>
          </cell>
          <cell r="H6499">
            <v>427966.35</v>
          </cell>
          <cell r="I6499">
            <v>1274968.2353947368</v>
          </cell>
        </row>
        <row r="6500">
          <cell r="C6500" t="str">
            <v>Vật liệu</v>
          </cell>
          <cell r="G6500">
            <v>427966.35</v>
          </cell>
        </row>
        <row r="6501">
          <cell r="B6501">
            <v>123</v>
          </cell>
          <cell r="C6501" t="str">
            <v>+ Phễu cáp bằng gang loại =&lt;70mm2</v>
          </cell>
          <cell r="D6501" t="str">
            <v>cái</v>
          </cell>
          <cell r="E6501">
            <v>1</v>
          </cell>
          <cell r="F6501">
            <v>0</v>
          </cell>
          <cell r="G6501">
            <v>0</v>
          </cell>
        </row>
        <row r="6502">
          <cell r="B6502">
            <v>25</v>
          </cell>
          <cell r="C6502" t="str">
            <v>+ Coliê sắt</v>
          </cell>
          <cell r="D6502" t="str">
            <v>bộ</v>
          </cell>
          <cell r="E6502">
            <v>2</v>
          </cell>
          <cell r="F6502">
            <v>8000</v>
          </cell>
          <cell r="G6502">
            <v>16000</v>
          </cell>
        </row>
        <row r="6503">
          <cell r="B6503">
            <v>114</v>
          </cell>
          <cell r="C6503" t="str">
            <v>+ Dây đồng 25mm2</v>
          </cell>
          <cell r="D6503" t="str">
            <v>m</v>
          </cell>
          <cell r="E6503">
            <v>4</v>
          </cell>
          <cell r="F6503">
            <v>69454</v>
          </cell>
          <cell r="G6503">
            <v>277816</v>
          </cell>
        </row>
        <row r="6504">
          <cell r="B6504">
            <v>35</v>
          </cell>
          <cell r="C6504" t="str">
            <v>+ Chất cách điện</v>
          </cell>
          <cell r="D6504" t="str">
            <v>kg</v>
          </cell>
          <cell r="E6504">
            <v>5</v>
          </cell>
          <cell r="F6504">
            <v>15450</v>
          </cell>
          <cell r="G6504">
            <v>77250</v>
          </cell>
        </row>
        <row r="6505">
          <cell r="B6505">
            <v>25</v>
          </cell>
          <cell r="C6505" t="str">
            <v>+ Băng vải nhựa, ni lông ( băng dính )</v>
          </cell>
          <cell r="D6505" t="str">
            <v>cuộn</v>
          </cell>
          <cell r="E6505">
            <v>1</v>
          </cell>
          <cell r="F6505">
            <v>8000</v>
          </cell>
          <cell r="G6505">
            <v>8000</v>
          </cell>
        </row>
        <row r="6506">
          <cell r="B6506">
            <v>3</v>
          </cell>
          <cell r="C6506" t="str">
            <v>+ Xăng</v>
          </cell>
          <cell r="D6506" t="str">
            <v>kg</v>
          </cell>
          <cell r="E6506">
            <v>0.5</v>
          </cell>
          <cell r="F6506">
            <v>18382</v>
          </cell>
          <cell r="G6506">
            <v>9191</v>
          </cell>
        </row>
        <row r="6507">
          <cell r="B6507">
            <v>1</v>
          </cell>
          <cell r="C6507" t="str">
            <v>+ Cồn công nghiệp</v>
          </cell>
          <cell r="D6507" t="str">
            <v>kg</v>
          </cell>
          <cell r="E6507">
            <v>0.6</v>
          </cell>
          <cell r="F6507">
            <v>9500</v>
          </cell>
          <cell r="G6507">
            <v>5700</v>
          </cell>
        </row>
        <row r="6508">
          <cell r="B6508">
            <v>9</v>
          </cell>
          <cell r="C6508" t="str">
            <v>+ Giẻ lau</v>
          </cell>
          <cell r="D6508" t="str">
            <v>Kg</v>
          </cell>
          <cell r="E6508">
            <v>0.2</v>
          </cell>
          <cell r="F6508">
            <v>9500</v>
          </cell>
          <cell r="G6508">
            <v>1900</v>
          </cell>
        </row>
        <row r="6509">
          <cell r="B6509">
            <v>4</v>
          </cell>
          <cell r="C6509" t="str">
            <v>+ Giấy ráp</v>
          </cell>
          <cell r="D6509" t="str">
            <v>tờ</v>
          </cell>
          <cell r="E6509">
            <v>1</v>
          </cell>
          <cell r="F6509">
            <v>10000</v>
          </cell>
          <cell r="G6509">
            <v>10000</v>
          </cell>
        </row>
        <row r="6510">
          <cell r="B6510">
            <v>33</v>
          </cell>
          <cell r="C6510" t="str">
            <v>+ Ma tít</v>
          </cell>
          <cell r="D6510" t="str">
            <v>kg</v>
          </cell>
          <cell r="E6510">
            <v>0.1</v>
          </cell>
          <cell r="F6510">
            <v>17300</v>
          </cell>
          <cell r="G6510">
            <v>1730</v>
          </cell>
        </row>
        <row r="6511">
          <cell r="B6511">
            <v>137</v>
          </cell>
          <cell r="C6511" t="str">
            <v>Vật liệu khác</v>
          </cell>
          <cell r="D6511" t="str">
            <v>%</v>
          </cell>
          <cell r="E6511">
            <v>5</v>
          </cell>
          <cell r="F6511">
            <v>1500</v>
          </cell>
          <cell r="G6511">
            <v>20379.350000000002</v>
          </cell>
        </row>
        <row r="6512">
          <cell r="C6512" t="str">
            <v>Nhân công</v>
          </cell>
          <cell r="G6512">
            <v>1274968.2353947368</v>
          </cell>
        </row>
        <row r="6513">
          <cell r="B6513" t="str">
            <v>NC1457</v>
          </cell>
          <cell r="C6513" t="str">
            <v>+ Nhân công bậc 4,5/7</v>
          </cell>
          <cell r="D6513" t="str">
            <v>Công</v>
          </cell>
          <cell r="E6513">
            <v>6.02</v>
          </cell>
          <cell r="F6513">
            <v>211788.74342105264</v>
          </cell>
          <cell r="G6513">
            <v>1274968.2353947368</v>
          </cell>
        </row>
        <row r="6514">
          <cell r="A6514" t="str">
            <v>D4.3353</v>
          </cell>
          <cell r="C6514" t="str">
            <v>Làm đầu cáp lực 22KV, Phễu cáp bằng gang, Cáp có tiết diện &lt;=120mm2</v>
          </cell>
          <cell r="D6514" t="str">
            <v>1 đầu 3 pha</v>
          </cell>
          <cell r="H6514">
            <v>428465.1</v>
          </cell>
          <cell r="I6514">
            <v>1408395.14375</v>
          </cell>
        </row>
        <row r="6515">
          <cell r="C6515" t="str">
            <v>Vật liệu</v>
          </cell>
          <cell r="G6515">
            <v>428465.1</v>
          </cell>
        </row>
        <row r="6516">
          <cell r="B6516">
            <v>124</v>
          </cell>
          <cell r="C6516" t="str">
            <v>+ Phễu cáp bằng gang loại =&lt;120mm2</v>
          </cell>
          <cell r="D6516" t="str">
            <v>cái</v>
          </cell>
          <cell r="E6516">
            <v>1</v>
          </cell>
          <cell r="F6516">
            <v>0</v>
          </cell>
          <cell r="G6516">
            <v>0</v>
          </cell>
        </row>
        <row r="6517">
          <cell r="B6517">
            <v>25</v>
          </cell>
          <cell r="C6517" t="str">
            <v>+ Coliê sắt</v>
          </cell>
          <cell r="D6517" t="str">
            <v>bộ</v>
          </cell>
          <cell r="E6517">
            <v>2</v>
          </cell>
          <cell r="F6517">
            <v>8000</v>
          </cell>
          <cell r="G6517">
            <v>16000</v>
          </cell>
        </row>
        <row r="6518">
          <cell r="B6518">
            <v>114</v>
          </cell>
          <cell r="C6518" t="str">
            <v>+ Dây đồng 25mm2</v>
          </cell>
          <cell r="D6518" t="str">
            <v>m</v>
          </cell>
          <cell r="E6518">
            <v>4</v>
          </cell>
          <cell r="F6518">
            <v>69454</v>
          </cell>
          <cell r="G6518">
            <v>277816</v>
          </cell>
        </row>
        <row r="6519">
          <cell r="B6519">
            <v>35</v>
          </cell>
          <cell r="C6519" t="str">
            <v>+ Chất cách điện</v>
          </cell>
          <cell r="D6519" t="str">
            <v>kg</v>
          </cell>
          <cell r="E6519">
            <v>5</v>
          </cell>
          <cell r="F6519">
            <v>15450</v>
          </cell>
          <cell r="G6519">
            <v>77250</v>
          </cell>
        </row>
        <row r="6520">
          <cell r="B6520">
            <v>25</v>
          </cell>
          <cell r="C6520" t="str">
            <v>+ Băng vải nhựa, ni lông ( băng dính )</v>
          </cell>
          <cell r="D6520" t="str">
            <v>cuộn</v>
          </cell>
          <cell r="E6520">
            <v>1</v>
          </cell>
          <cell r="F6520">
            <v>8000</v>
          </cell>
          <cell r="G6520">
            <v>8000</v>
          </cell>
        </row>
        <row r="6521">
          <cell r="B6521">
            <v>3</v>
          </cell>
          <cell r="C6521" t="str">
            <v>+ Xăng</v>
          </cell>
          <cell r="D6521" t="str">
            <v>kg</v>
          </cell>
          <cell r="E6521">
            <v>0.5</v>
          </cell>
          <cell r="F6521">
            <v>18382</v>
          </cell>
          <cell r="G6521">
            <v>9191</v>
          </cell>
        </row>
        <row r="6522">
          <cell r="B6522">
            <v>1</v>
          </cell>
          <cell r="C6522" t="str">
            <v>+ Cồn công nghiệp</v>
          </cell>
          <cell r="D6522" t="str">
            <v>kg</v>
          </cell>
          <cell r="E6522">
            <v>0.6</v>
          </cell>
          <cell r="F6522">
            <v>9500</v>
          </cell>
          <cell r="G6522">
            <v>5700</v>
          </cell>
        </row>
        <row r="6523">
          <cell r="B6523">
            <v>9</v>
          </cell>
          <cell r="C6523" t="str">
            <v>+ Giẻ lau</v>
          </cell>
          <cell r="D6523" t="str">
            <v>Kg</v>
          </cell>
          <cell r="E6523">
            <v>0.25</v>
          </cell>
          <cell r="F6523">
            <v>9500</v>
          </cell>
          <cell r="G6523">
            <v>2375</v>
          </cell>
        </row>
        <row r="6524">
          <cell r="B6524">
            <v>4</v>
          </cell>
          <cell r="C6524" t="str">
            <v>+ Giấy ráp</v>
          </cell>
          <cell r="D6524" t="str">
            <v>tờ</v>
          </cell>
          <cell r="E6524">
            <v>1</v>
          </cell>
          <cell r="F6524">
            <v>10000</v>
          </cell>
          <cell r="G6524">
            <v>10000</v>
          </cell>
        </row>
        <row r="6525">
          <cell r="B6525">
            <v>33</v>
          </cell>
          <cell r="C6525" t="str">
            <v>+ Ma tít</v>
          </cell>
          <cell r="D6525" t="str">
            <v>kg</v>
          </cell>
          <cell r="E6525">
            <v>0.1</v>
          </cell>
          <cell r="F6525">
            <v>17300</v>
          </cell>
          <cell r="G6525">
            <v>1730</v>
          </cell>
        </row>
        <row r="6526">
          <cell r="B6526">
            <v>137</v>
          </cell>
          <cell r="C6526" t="str">
            <v>Vật liệu khác</v>
          </cell>
          <cell r="D6526" t="str">
            <v>%</v>
          </cell>
          <cell r="E6526">
            <v>5</v>
          </cell>
          <cell r="F6526">
            <v>1500</v>
          </cell>
          <cell r="G6526">
            <v>20403.100000000002</v>
          </cell>
        </row>
        <row r="6527">
          <cell r="C6527" t="str">
            <v>Nhân công</v>
          </cell>
          <cell r="G6527">
            <v>1408395.14375</v>
          </cell>
        </row>
        <row r="6528">
          <cell r="B6528" t="str">
            <v>NC1457</v>
          </cell>
          <cell r="C6528" t="str">
            <v>+ Nhân công bậc 4,5/7</v>
          </cell>
          <cell r="D6528" t="str">
            <v>Công</v>
          </cell>
          <cell r="E6528">
            <v>6.65</v>
          </cell>
          <cell r="F6528">
            <v>211788.74342105264</v>
          </cell>
          <cell r="G6528">
            <v>1408395.14375</v>
          </cell>
        </row>
        <row r="6529">
          <cell r="A6529" t="str">
            <v>D4.3354</v>
          </cell>
          <cell r="C6529" t="str">
            <v>Làm đầu cáp lực 22KV, Phễu cáp bằng gang, Cáp có tiết diện &lt;=185mm2</v>
          </cell>
          <cell r="D6529" t="str">
            <v>1 đầu 3 pha</v>
          </cell>
          <cell r="H6529">
            <v>450992.85</v>
          </cell>
          <cell r="I6529">
            <v>1537586.2772368421</v>
          </cell>
        </row>
        <row r="6530">
          <cell r="C6530" t="str">
            <v>Vật liệu</v>
          </cell>
          <cell r="G6530">
            <v>450992.85</v>
          </cell>
        </row>
        <row r="6531">
          <cell r="B6531">
            <v>125</v>
          </cell>
          <cell r="C6531" t="str">
            <v>+ Phễu cáp bằng gang loại =&lt;185mm2</v>
          </cell>
          <cell r="D6531" t="str">
            <v>cái</v>
          </cell>
          <cell r="E6531">
            <v>1</v>
          </cell>
          <cell r="F6531">
            <v>0</v>
          </cell>
          <cell r="G6531">
            <v>0</v>
          </cell>
        </row>
        <row r="6532">
          <cell r="B6532">
            <v>25</v>
          </cell>
          <cell r="C6532" t="str">
            <v>+ Coliê sắt</v>
          </cell>
          <cell r="D6532" t="str">
            <v>bộ</v>
          </cell>
          <cell r="E6532">
            <v>2</v>
          </cell>
          <cell r="F6532">
            <v>8000</v>
          </cell>
          <cell r="G6532">
            <v>16000</v>
          </cell>
        </row>
        <row r="6533">
          <cell r="B6533">
            <v>114</v>
          </cell>
          <cell r="C6533" t="str">
            <v>+ Dây đồng 25mm2</v>
          </cell>
          <cell r="D6533" t="str">
            <v>m</v>
          </cell>
          <cell r="E6533">
            <v>4</v>
          </cell>
          <cell r="F6533">
            <v>69454</v>
          </cell>
          <cell r="G6533">
            <v>277816</v>
          </cell>
        </row>
        <row r="6534">
          <cell r="B6534">
            <v>35</v>
          </cell>
          <cell r="C6534" t="str">
            <v>+ Chất cách điện</v>
          </cell>
          <cell r="D6534" t="str">
            <v>kg</v>
          </cell>
          <cell r="E6534">
            <v>6</v>
          </cell>
          <cell r="F6534">
            <v>15450</v>
          </cell>
          <cell r="G6534">
            <v>92700</v>
          </cell>
        </row>
        <row r="6535">
          <cell r="B6535">
            <v>25</v>
          </cell>
          <cell r="C6535" t="str">
            <v>+ Băng vải nhựa, ni lông ( băng dính )</v>
          </cell>
          <cell r="D6535" t="str">
            <v>cuộn</v>
          </cell>
          <cell r="E6535">
            <v>1.5</v>
          </cell>
          <cell r="F6535">
            <v>8000</v>
          </cell>
          <cell r="G6535">
            <v>12000</v>
          </cell>
        </row>
        <row r="6536">
          <cell r="B6536">
            <v>3</v>
          </cell>
          <cell r="C6536" t="str">
            <v>+ Xăng</v>
          </cell>
          <cell r="D6536" t="str">
            <v>kg</v>
          </cell>
          <cell r="E6536">
            <v>0.5</v>
          </cell>
          <cell r="F6536">
            <v>18382</v>
          </cell>
          <cell r="G6536">
            <v>9191</v>
          </cell>
        </row>
        <row r="6537">
          <cell r="B6537">
            <v>1</v>
          </cell>
          <cell r="C6537" t="str">
            <v>+ Cồn công nghiệp</v>
          </cell>
          <cell r="D6537" t="str">
            <v>kg</v>
          </cell>
          <cell r="E6537">
            <v>0.72</v>
          </cell>
          <cell r="F6537">
            <v>9500</v>
          </cell>
          <cell r="G6537">
            <v>6840</v>
          </cell>
        </row>
        <row r="6538">
          <cell r="B6538">
            <v>9</v>
          </cell>
          <cell r="C6538" t="str">
            <v>+ Giẻ lau</v>
          </cell>
          <cell r="D6538" t="str">
            <v>Kg</v>
          </cell>
          <cell r="E6538">
            <v>0.25</v>
          </cell>
          <cell r="F6538">
            <v>9500</v>
          </cell>
          <cell r="G6538">
            <v>2375</v>
          </cell>
        </row>
        <row r="6539">
          <cell r="B6539">
            <v>4</v>
          </cell>
          <cell r="C6539" t="str">
            <v>+ Giấy ráp</v>
          </cell>
          <cell r="D6539" t="str">
            <v>tờ</v>
          </cell>
          <cell r="E6539">
            <v>1</v>
          </cell>
          <cell r="F6539">
            <v>10000</v>
          </cell>
          <cell r="G6539">
            <v>10000</v>
          </cell>
        </row>
        <row r="6540">
          <cell r="B6540">
            <v>33</v>
          </cell>
          <cell r="C6540" t="str">
            <v>+ Ma tít</v>
          </cell>
          <cell r="D6540" t="str">
            <v>kg</v>
          </cell>
          <cell r="E6540">
            <v>0.15</v>
          </cell>
          <cell r="F6540">
            <v>17300</v>
          </cell>
          <cell r="G6540">
            <v>2595</v>
          </cell>
        </row>
        <row r="6541">
          <cell r="B6541">
            <v>137</v>
          </cell>
          <cell r="C6541" t="str">
            <v>Vật liệu khác</v>
          </cell>
          <cell r="D6541" t="str">
            <v>%</v>
          </cell>
          <cell r="E6541">
            <v>5</v>
          </cell>
          <cell r="F6541">
            <v>1500</v>
          </cell>
          <cell r="G6541">
            <v>21475.850000000002</v>
          </cell>
        </row>
        <row r="6542">
          <cell r="C6542" t="str">
            <v>Nhân công</v>
          </cell>
          <cell r="G6542">
            <v>1537586.2772368421</v>
          </cell>
        </row>
        <row r="6543">
          <cell r="B6543" t="str">
            <v>NC1457</v>
          </cell>
          <cell r="C6543" t="str">
            <v>+ Nhân công bậc 4,5/7</v>
          </cell>
          <cell r="D6543" t="str">
            <v>Công</v>
          </cell>
          <cell r="E6543">
            <v>7.26</v>
          </cell>
          <cell r="F6543">
            <v>211788.74342105264</v>
          </cell>
          <cell r="G6543">
            <v>1537586.2772368421</v>
          </cell>
        </row>
        <row r="6544">
          <cell r="A6544" t="str">
            <v>D4.3355</v>
          </cell>
          <cell r="C6544" t="str">
            <v>Làm đầu cáp lực 22KV, Phễu cáp bằng gang, Cáp có tiết diện &lt;=240mm2</v>
          </cell>
          <cell r="D6544" t="str">
            <v>1 đầu 3 pha</v>
          </cell>
          <cell r="H6544">
            <v>451491.6</v>
          </cell>
          <cell r="I6544">
            <v>1819265.3059868421</v>
          </cell>
        </row>
        <row r="6545">
          <cell r="C6545" t="str">
            <v>Vật liệu</v>
          </cell>
          <cell r="G6545">
            <v>451491.6</v>
          </cell>
        </row>
        <row r="6546">
          <cell r="B6546">
            <v>126</v>
          </cell>
          <cell r="C6546" t="str">
            <v>+ Phễu cáp bằng gang loại =&lt;240mm2</v>
          </cell>
          <cell r="D6546" t="str">
            <v>cái</v>
          </cell>
          <cell r="E6546">
            <v>1</v>
          </cell>
          <cell r="F6546">
            <v>0</v>
          </cell>
          <cell r="G6546">
            <v>0</v>
          </cell>
        </row>
        <row r="6547">
          <cell r="B6547">
            <v>25</v>
          </cell>
          <cell r="C6547" t="str">
            <v>+ Coliê sắt</v>
          </cell>
          <cell r="D6547" t="str">
            <v>bộ</v>
          </cell>
          <cell r="E6547">
            <v>2</v>
          </cell>
          <cell r="F6547">
            <v>8000</v>
          </cell>
          <cell r="G6547">
            <v>16000</v>
          </cell>
        </row>
        <row r="6548">
          <cell r="B6548">
            <v>114</v>
          </cell>
          <cell r="C6548" t="str">
            <v>+ Dây đồng 25mm2</v>
          </cell>
          <cell r="D6548" t="str">
            <v>m</v>
          </cell>
          <cell r="E6548">
            <v>4</v>
          </cell>
          <cell r="F6548">
            <v>69454</v>
          </cell>
          <cell r="G6548">
            <v>277816</v>
          </cell>
        </row>
        <row r="6549">
          <cell r="B6549">
            <v>35</v>
          </cell>
          <cell r="C6549" t="str">
            <v>+ Chất cách điện</v>
          </cell>
          <cell r="D6549" t="str">
            <v>kg</v>
          </cell>
          <cell r="E6549">
            <v>6</v>
          </cell>
          <cell r="F6549">
            <v>15450</v>
          </cell>
          <cell r="G6549">
            <v>92700</v>
          </cell>
        </row>
        <row r="6550">
          <cell r="B6550">
            <v>25</v>
          </cell>
          <cell r="C6550" t="str">
            <v>+ Băng vải nhựa, ni lông ( băng dính )</v>
          </cell>
          <cell r="D6550" t="str">
            <v>cuộn</v>
          </cell>
          <cell r="E6550">
            <v>1.5</v>
          </cell>
          <cell r="F6550">
            <v>8000</v>
          </cell>
          <cell r="G6550">
            <v>12000</v>
          </cell>
        </row>
        <row r="6551">
          <cell r="B6551">
            <v>3</v>
          </cell>
          <cell r="C6551" t="str">
            <v>+ Xăng</v>
          </cell>
          <cell r="D6551" t="str">
            <v>kg</v>
          </cell>
          <cell r="E6551">
            <v>0.5</v>
          </cell>
          <cell r="F6551">
            <v>18382</v>
          </cell>
          <cell r="G6551">
            <v>9191</v>
          </cell>
        </row>
        <row r="6552">
          <cell r="B6552">
            <v>1</v>
          </cell>
          <cell r="C6552" t="str">
            <v>+ Cồn công nghiệp</v>
          </cell>
          <cell r="D6552" t="str">
            <v>kg</v>
          </cell>
          <cell r="E6552">
            <v>0.72</v>
          </cell>
          <cell r="F6552">
            <v>9500</v>
          </cell>
          <cell r="G6552">
            <v>6840</v>
          </cell>
        </row>
        <row r="6553">
          <cell r="B6553">
            <v>9</v>
          </cell>
          <cell r="C6553" t="str">
            <v>+ Giẻ lau</v>
          </cell>
          <cell r="D6553" t="str">
            <v>Kg</v>
          </cell>
          <cell r="E6553">
            <v>0.3</v>
          </cell>
          <cell r="F6553">
            <v>9500</v>
          </cell>
          <cell r="G6553">
            <v>2850</v>
          </cell>
        </row>
        <row r="6554">
          <cell r="B6554">
            <v>4</v>
          </cell>
          <cell r="C6554" t="str">
            <v>+ Giấy ráp</v>
          </cell>
          <cell r="D6554" t="str">
            <v>tờ</v>
          </cell>
          <cell r="E6554">
            <v>1</v>
          </cell>
          <cell r="F6554">
            <v>10000</v>
          </cell>
          <cell r="G6554">
            <v>10000</v>
          </cell>
        </row>
        <row r="6555">
          <cell r="B6555">
            <v>33</v>
          </cell>
          <cell r="C6555" t="str">
            <v>+ Ma tít</v>
          </cell>
          <cell r="D6555" t="str">
            <v>kg</v>
          </cell>
          <cell r="E6555">
            <v>0.15</v>
          </cell>
          <cell r="F6555">
            <v>17300</v>
          </cell>
          <cell r="G6555">
            <v>2595</v>
          </cell>
        </row>
        <row r="6556">
          <cell r="B6556">
            <v>137</v>
          </cell>
          <cell r="C6556" t="str">
            <v>Vật liệu khác</v>
          </cell>
          <cell r="D6556" t="str">
            <v>%</v>
          </cell>
          <cell r="E6556">
            <v>5</v>
          </cell>
          <cell r="F6556">
            <v>1500</v>
          </cell>
          <cell r="G6556">
            <v>21499.600000000002</v>
          </cell>
        </row>
        <row r="6557">
          <cell r="C6557" t="str">
            <v>Nhân công</v>
          </cell>
          <cell r="G6557">
            <v>1819265.3059868421</v>
          </cell>
        </row>
        <row r="6558">
          <cell r="B6558" t="str">
            <v>NC1457</v>
          </cell>
          <cell r="C6558" t="str">
            <v>+ Nhân công bậc 4,5/7</v>
          </cell>
          <cell r="D6558" t="str">
            <v>Công</v>
          </cell>
          <cell r="E6558">
            <v>8.59</v>
          </cell>
          <cell r="F6558">
            <v>211788.74342105264</v>
          </cell>
          <cell r="G6558">
            <v>1819265.3059868421</v>
          </cell>
        </row>
        <row r="6559">
          <cell r="A6559" t="str">
            <v>D4.3356</v>
          </cell>
          <cell r="C6559" t="str">
            <v>Làm đầu cáp lực 22KV, Phễu cáp bằng gang, Cáp có tiết diện &lt;=300mm2</v>
          </cell>
          <cell r="D6559" t="str">
            <v>1 đầu 3 pha</v>
          </cell>
          <cell r="H6559">
            <v>451491.6</v>
          </cell>
          <cell r="I6559">
            <v>1857387.2798026316</v>
          </cell>
        </row>
        <row r="6560">
          <cell r="C6560" t="str">
            <v>Vật liệu</v>
          </cell>
          <cell r="G6560">
            <v>451491.6</v>
          </cell>
        </row>
        <row r="6561">
          <cell r="B6561">
            <v>127</v>
          </cell>
          <cell r="C6561" t="str">
            <v>+ Phễu cáp bằng gang loại =&lt;300mm2</v>
          </cell>
          <cell r="D6561" t="str">
            <v>cái</v>
          </cell>
          <cell r="E6561">
            <v>1</v>
          </cell>
          <cell r="F6561">
            <v>0</v>
          </cell>
          <cell r="G6561">
            <v>0</v>
          </cell>
        </row>
        <row r="6562">
          <cell r="B6562">
            <v>25</v>
          </cell>
          <cell r="C6562" t="str">
            <v>+ Coliê sắt</v>
          </cell>
          <cell r="D6562" t="str">
            <v>bộ</v>
          </cell>
          <cell r="E6562">
            <v>2</v>
          </cell>
          <cell r="F6562">
            <v>8000</v>
          </cell>
          <cell r="G6562">
            <v>16000</v>
          </cell>
        </row>
        <row r="6563">
          <cell r="B6563">
            <v>114</v>
          </cell>
          <cell r="C6563" t="str">
            <v>+ Dây đồng 25mm2</v>
          </cell>
          <cell r="D6563" t="str">
            <v>m</v>
          </cell>
          <cell r="E6563">
            <v>4</v>
          </cell>
          <cell r="F6563">
            <v>69454</v>
          </cell>
          <cell r="G6563">
            <v>277816</v>
          </cell>
        </row>
        <row r="6564">
          <cell r="B6564">
            <v>35</v>
          </cell>
          <cell r="C6564" t="str">
            <v>+ Chất cách điện</v>
          </cell>
          <cell r="D6564" t="str">
            <v>kg</v>
          </cell>
          <cell r="E6564">
            <v>6</v>
          </cell>
          <cell r="F6564">
            <v>15450</v>
          </cell>
          <cell r="G6564">
            <v>92700</v>
          </cell>
        </row>
        <row r="6565">
          <cell r="B6565">
            <v>25</v>
          </cell>
          <cell r="C6565" t="str">
            <v>+ Băng vải nhựa, ni lông ( băng dính )</v>
          </cell>
          <cell r="D6565" t="str">
            <v>cuộn</v>
          </cell>
          <cell r="E6565">
            <v>1.5</v>
          </cell>
          <cell r="F6565">
            <v>8000</v>
          </cell>
          <cell r="G6565">
            <v>12000</v>
          </cell>
        </row>
        <row r="6566">
          <cell r="B6566">
            <v>3</v>
          </cell>
          <cell r="C6566" t="str">
            <v>+ Xăng</v>
          </cell>
          <cell r="D6566" t="str">
            <v>kg</v>
          </cell>
          <cell r="E6566">
            <v>0.5</v>
          </cell>
          <cell r="F6566">
            <v>18382</v>
          </cell>
          <cell r="G6566">
            <v>9191</v>
          </cell>
        </row>
        <row r="6567">
          <cell r="B6567">
            <v>1</v>
          </cell>
          <cell r="C6567" t="str">
            <v>+ Cồn công nghiệp</v>
          </cell>
          <cell r="D6567" t="str">
            <v>kg</v>
          </cell>
          <cell r="E6567">
            <v>0.72</v>
          </cell>
          <cell r="F6567">
            <v>9500</v>
          </cell>
          <cell r="G6567">
            <v>6840</v>
          </cell>
        </row>
        <row r="6568">
          <cell r="B6568">
            <v>9</v>
          </cell>
          <cell r="C6568" t="str">
            <v>+ Giẻ lau</v>
          </cell>
          <cell r="D6568" t="str">
            <v>Kg</v>
          </cell>
          <cell r="E6568">
            <v>0.3</v>
          </cell>
          <cell r="F6568">
            <v>9500</v>
          </cell>
          <cell r="G6568">
            <v>2850</v>
          </cell>
        </row>
        <row r="6569">
          <cell r="B6569">
            <v>4</v>
          </cell>
          <cell r="C6569" t="str">
            <v>+ Giấy ráp</v>
          </cell>
          <cell r="D6569" t="str">
            <v>tờ</v>
          </cell>
          <cell r="E6569">
            <v>1</v>
          </cell>
          <cell r="F6569">
            <v>10000</v>
          </cell>
          <cell r="G6569">
            <v>10000</v>
          </cell>
        </row>
        <row r="6570">
          <cell r="B6570">
            <v>33</v>
          </cell>
          <cell r="C6570" t="str">
            <v>+ Ma tít</v>
          </cell>
          <cell r="D6570" t="str">
            <v>kg</v>
          </cell>
          <cell r="E6570">
            <v>0.15</v>
          </cell>
          <cell r="F6570">
            <v>17300</v>
          </cell>
          <cell r="G6570">
            <v>2595</v>
          </cell>
        </row>
        <row r="6571">
          <cell r="B6571">
            <v>137</v>
          </cell>
          <cell r="C6571" t="str">
            <v>Vật liệu khác</v>
          </cell>
          <cell r="D6571" t="str">
            <v>%</v>
          </cell>
          <cell r="E6571">
            <v>5</v>
          </cell>
          <cell r="F6571">
            <v>1500</v>
          </cell>
          <cell r="G6571">
            <v>21499.600000000002</v>
          </cell>
        </row>
        <row r="6572">
          <cell r="C6572" t="str">
            <v>Nhân công</v>
          </cell>
          <cell r="G6572">
            <v>1857387.2798026316</v>
          </cell>
        </row>
        <row r="6573">
          <cell r="B6573" t="str">
            <v>NC1457</v>
          </cell>
          <cell r="C6573" t="str">
            <v>+ Nhân công bậc 4,5/7</v>
          </cell>
          <cell r="D6573" t="str">
            <v>Công</v>
          </cell>
          <cell r="E6573">
            <v>8.77</v>
          </cell>
          <cell r="F6573">
            <v>211788.74342105264</v>
          </cell>
          <cell r="G6573">
            <v>1857387.2798026316</v>
          </cell>
        </row>
        <row r="6574">
          <cell r="A6574" t="str">
            <v>D4.3357</v>
          </cell>
          <cell r="C6574" t="str">
            <v>Làm đầu cáp lực 22KV, Phễu cáp bằng gang, Cáp có tiết diện &lt;=400mm2</v>
          </cell>
          <cell r="D6574" t="str">
            <v>1 đầu 3 pha</v>
          </cell>
          <cell r="H6574">
            <v>480048.66000000003</v>
          </cell>
          <cell r="I6574">
            <v>2228017.5807894738</v>
          </cell>
        </row>
        <row r="6575">
          <cell r="C6575" t="str">
            <v>Vật liệu</v>
          </cell>
          <cell r="G6575">
            <v>480048.66000000003</v>
          </cell>
        </row>
        <row r="6576">
          <cell r="B6576">
            <v>128</v>
          </cell>
          <cell r="C6576" t="str">
            <v>+ Phễu cáp bằng gang loại =&lt;400mm2</v>
          </cell>
          <cell r="D6576" t="str">
            <v>cái</v>
          </cell>
          <cell r="E6576">
            <v>1</v>
          </cell>
          <cell r="F6576">
            <v>0</v>
          </cell>
          <cell r="G6576">
            <v>0</v>
          </cell>
        </row>
        <row r="6577">
          <cell r="B6577">
            <v>25</v>
          </cell>
          <cell r="C6577" t="str">
            <v>+ Coliê sắt</v>
          </cell>
          <cell r="D6577" t="str">
            <v>bộ</v>
          </cell>
          <cell r="E6577">
            <v>2</v>
          </cell>
          <cell r="F6577">
            <v>8000</v>
          </cell>
          <cell r="G6577">
            <v>16000</v>
          </cell>
        </row>
        <row r="6578">
          <cell r="B6578">
            <v>114</v>
          </cell>
          <cell r="C6578" t="str">
            <v>+ Dây đồng 25mm2</v>
          </cell>
          <cell r="D6578" t="str">
            <v>m</v>
          </cell>
          <cell r="E6578">
            <v>4</v>
          </cell>
          <cell r="F6578">
            <v>69454</v>
          </cell>
          <cell r="G6578">
            <v>277816</v>
          </cell>
        </row>
        <row r="6579">
          <cell r="B6579">
            <v>35</v>
          </cell>
          <cell r="C6579" t="str">
            <v>+ Chất cách điện</v>
          </cell>
          <cell r="D6579" t="str">
            <v>kg</v>
          </cell>
          <cell r="E6579">
            <v>7.2</v>
          </cell>
          <cell r="F6579">
            <v>15450</v>
          </cell>
          <cell r="G6579">
            <v>111240</v>
          </cell>
        </row>
        <row r="6580">
          <cell r="B6580">
            <v>25</v>
          </cell>
          <cell r="C6580" t="str">
            <v>+ Băng vải nhựa, ni lông ( băng dính )</v>
          </cell>
          <cell r="D6580" t="str">
            <v>cuộn</v>
          </cell>
          <cell r="E6580">
            <v>1.8</v>
          </cell>
          <cell r="F6580">
            <v>8000</v>
          </cell>
          <cell r="G6580">
            <v>14400</v>
          </cell>
        </row>
        <row r="6581">
          <cell r="B6581">
            <v>3</v>
          </cell>
          <cell r="C6581" t="str">
            <v>+ Xăng</v>
          </cell>
          <cell r="D6581" t="str">
            <v>kg</v>
          </cell>
          <cell r="E6581">
            <v>0.6</v>
          </cell>
          <cell r="F6581">
            <v>18382</v>
          </cell>
          <cell r="G6581">
            <v>11029.199999999999</v>
          </cell>
        </row>
        <row r="6582">
          <cell r="B6582">
            <v>1</v>
          </cell>
          <cell r="C6582" t="str">
            <v>+ Cồn công nghiệp</v>
          </cell>
          <cell r="D6582" t="str">
            <v>kg</v>
          </cell>
          <cell r="E6582">
            <v>0.86</v>
          </cell>
          <cell r="F6582">
            <v>9500</v>
          </cell>
          <cell r="G6582">
            <v>8170</v>
          </cell>
        </row>
        <row r="6583">
          <cell r="B6583">
            <v>9</v>
          </cell>
          <cell r="C6583" t="str">
            <v>+ Giẻ lau</v>
          </cell>
          <cell r="D6583" t="str">
            <v>Kg</v>
          </cell>
          <cell r="E6583">
            <v>0.36</v>
          </cell>
          <cell r="F6583">
            <v>9500</v>
          </cell>
          <cell r="G6583">
            <v>3420</v>
          </cell>
        </row>
        <row r="6584">
          <cell r="B6584">
            <v>4</v>
          </cell>
          <cell r="C6584" t="str">
            <v>+ Giấy ráp</v>
          </cell>
          <cell r="D6584" t="str">
            <v>tờ</v>
          </cell>
          <cell r="E6584">
            <v>1.2</v>
          </cell>
          <cell r="F6584">
            <v>10000</v>
          </cell>
          <cell r="G6584">
            <v>12000</v>
          </cell>
        </row>
        <row r="6585">
          <cell r="B6585">
            <v>33</v>
          </cell>
          <cell r="C6585" t="str">
            <v>+ Ma tít</v>
          </cell>
          <cell r="D6585" t="str">
            <v>kg</v>
          </cell>
          <cell r="E6585">
            <v>0.18</v>
          </cell>
          <cell r="F6585">
            <v>17300</v>
          </cell>
          <cell r="G6585">
            <v>3114</v>
          </cell>
        </row>
        <row r="6586">
          <cell r="B6586">
            <v>137</v>
          </cell>
          <cell r="C6586" t="str">
            <v>Vật liệu khác</v>
          </cell>
          <cell r="D6586" t="str">
            <v>%</v>
          </cell>
          <cell r="E6586">
            <v>5</v>
          </cell>
          <cell r="F6586">
            <v>1500</v>
          </cell>
          <cell r="G6586">
            <v>22859.460000000003</v>
          </cell>
        </row>
        <row r="6587">
          <cell r="C6587" t="str">
            <v>Nhân công</v>
          </cell>
          <cell r="G6587">
            <v>2228017.5807894738</v>
          </cell>
        </row>
        <row r="6588">
          <cell r="B6588" t="str">
            <v>NC1457</v>
          </cell>
          <cell r="C6588" t="str">
            <v>+ Nhân công bậc 4,5/7</v>
          </cell>
          <cell r="D6588" t="str">
            <v>Công</v>
          </cell>
          <cell r="E6588">
            <v>10.52</v>
          </cell>
          <cell r="F6588">
            <v>211788.74342105264</v>
          </cell>
          <cell r="G6588">
            <v>2228017.5807894738</v>
          </cell>
        </row>
        <row r="6589">
          <cell r="A6589" t="str">
            <v>D4.3361</v>
          </cell>
          <cell r="C6589" t="str">
            <v>Làm đầu cáp lực 35KV, Phễu cáp bằng gang, Cáp có tiết diện &lt;=35mm2</v>
          </cell>
          <cell r="D6589" t="str">
            <v>1 đầu 3 pha</v>
          </cell>
          <cell r="H6589">
            <v>427966.35</v>
          </cell>
          <cell r="I6589">
            <v>1488874.8662500002</v>
          </cell>
        </row>
        <row r="6590">
          <cell r="C6590" t="str">
            <v>Vật liệu</v>
          </cell>
          <cell r="G6590">
            <v>427966.35</v>
          </cell>
        </row>
        <row r="6591">
          <cell r="B6591">
            <v>122</v>
          </cell>
          <cell r="C6591" t="str">
            <v>+ Phễu cáp bằng gang loại =&lt;35mm2</v>
          </cell>
          <cell r="D6591" t="str">
            <v>cái</v>
          </cell>
          <cell r="E6591">
            <v>1</v>
          </cell>
          <cell r="F6591">
            <v>0</v>
          </cell>
          <cell r="G6591">
            <v>0</v>
          </cell>
        </row>
        <row r="6592">
          <cell r="B6592">
            <v>25</v>
          </cell>
          <cell r="C6592" t="str">
            <v>+ Coliê sắt</v>
          </cell>
          <cell r="D6592" t="str">
            <v>bộ</v>
          </cell>
          <cell r="E6592">
            <v>2</v>
          </cell>
          <cell r="F6592">
            <v>8000</v>
          </cell>
          <cell r="G6592">
            <v>16000</v>
          </cell>
        </row>
        <row r="6593">
          <cell r="B6593">
            <v>114</v>
          </cell>
          <cell r="C6593" t="str">
            <v>+ Dây đồng 25mm2</v>
          </cell>
          <cell r="D6593" t="str">
            <v>m</v>
          </cell>
          <cell r="E6593">
            <v>4</v>
          </cell>
          <cell r="F6593">
            <v>69454</v>
          </cell>
          <cell r="G6593">
            <v>277816</v>
          </cell>
        </row>
        <row r="6594">
          <cell r="B6594">
            <v>35</v>
          </cell>
          <cell r="C6594" t="str">
            <v>+ Chất cách điện</v>
          </cell>
          <cell r="D6594" t="str">
            <v>kg</v>
          </cell>
          <cell r="E6594">
            <v>5</v>
          </cell>
          <cell r="F6594">
            <v>15450</v>
          </cell>
          <cell r="G6594">
            <v>77250</v>
          </cell>
        </row>
        <row r="6595">
          <cell r="B6595">
            <v>25</v>
          </cell>
          <cell r="C6595" t="str">
            <v>+ Băng vải nhựa, ni lông ( băng dính )</v>
          </cell>
          <cell r="D6595" t="str">
            <v>cuộn</v>
          </cell>
          <cell r="E6595">
            <v>1</v>
          </cell>
          <cell r="F6595">
            <v>8000</v>
          </cell>
          <cell r="G6595">
            <v>8000</v>
          </cell>
        </row>
        <row r="6596">
          <cell r="B6596">
            <v>3</v>
          </cell>
          <cell r="C6596" t="str">
            <v>+ Xăng</v>
          </cell>
          <cell r="D6596" t="str">
            <v>kg</v>
          </cell>
          <cell r="E6596">
            <v>0.5</v>
          </cell>
          <cell r="F6596">
            <v>18382</v>
          </cell>
          <cell r="G6596">
            <v>9191</v>
          </cell>
        </row>
        <row r="6597">
          <cell r="B6597">
            <v>1</v>
          </cell>
          <cell r="C6597" t="str">
            <v>+ Cồn công nghiệp</v>
          </cell>
          <cell r="D6597" t="str">
            <v>kg</v>
          </cell>
          <cell r="E6597">
            <v>0.6</v>
          </cell>
          <cell r="F6597">
            <v>9500</v>
          </cell>
          <cell r="G6597">
            <v>5700</v>
          </cell>
        </row>
        <row r="6598">
          <cell r="B6598">
            <v>9</v>
          </cell>
          <cell r="C6598" t="str">
            <v>+ Giẻ lau</v>
          </cell>
          <cell r="D6598" t="str">
            <v>Kg</v>
          </cell>
          <cell r="E6598">
            <v>0.2</v>
          </cell>
          <cell r="F6598">
            <v>9500</v>
          </cell>
          <cell r="G6598">
            <v>1900</v>
          </cell>
        </row>
        <row r="6599">
          <cell r="B6599">
            <v>4</v>
          </cell>
          <cell r="C6599" t="str">
            <v>+ Giấy ráp</v>
          </cell>
          <cell r="D6599" t="str">
            <v>tờ</v>
          </cell>
          <cell r="E6599">
            <v>1</v>
          </cell>
          <cell r="F6599">
            <v>10000</v>
          </cell>
          <cell r="G6599">
            <v>10000</v>
          </cell>
        </row>
        <row r="6600">
          <cell r="B6600">
            <v>33</v>
          </cell>
          <cell r="C6600" t="str">
            <v>+ Ma tít</v>
          </cell>
          <cell r="D6600" t="str">
            <v>kg</v>
          </cell>
          <cell r="E6600">
            <v>0.1</v>
          </cell>
          <cell r="F6600">
            <v>17300</v>
          </cell>
          <cell r="G6600">
            <v>1730</v>
          </cell>
        </row>
        <row r="6601">
          <cell r="B6601">
            <v>137</v>
          </cell>
          <cell r="C6601" t="str">
            <v>Vật liệu khác</v>
          </cell>
          <cell r="D6601" t="str">
            <v>%</v>
          </cell>
          <cell r="E6601">
            <v>5</v>
          </cell>
          <cell r="F6601">
            <v>1500</v>
          </cell>
          <cell r="G6601">
            <v>20379.350000000002</v>
          </cell>
        </row>
        <row r="6602">
          <cell r="C6602" t="str">
            <v>Nhân công</v>
          </cell>
          <cell r="G6602">
            <v>1488874.8662500002</v>
          </cell>
        </row>
        <row r="6603">
          <cell r="B6603" t="str">
            <v>NC1457</v>
          </cell>
          <cell r="C6603" t="str">
            <v>+ Nhân công bậc 4,5/7</v>
          </cell>
          <cell r="D6603" t="str">
            <v>Công</v>
          </cell>
          <cell r="E6603">
            <v>7.03</v>
          </cell>
          <cell r="F6603">
            <v>211788.74342105264</v>
          </cell>
          <cell r="G6603">
            <v>1488874.8662500002</v>
          </cell>
        </row>
        <row r="6604">
          <cell r="A6604" t="str">
            <v>D4.3362</v>
          </cell>
          <cell r="C6604" t="str">
            <v>Làm đầu cáp lực 35KV, Phễu cáp bằng gang, Cáp có tiết diện &lt;=70mm2</v>
          </cell>
          <cell r="D6604" t="str">
            <v>1 đầu 3 pha</v>
          </cell>
          <cell r="H6604">
            <v>427966.35</v>
          </cell>
          <cell r="I6604">
            <v>1658305.8609868423</v>
          </cell>
        </row>
        <row r="6605">
          <cell r="C6605" t="str">
            <v>Vật liệu</v>
          </cell>
          <cell r="G6605">
            <v>427966.35</v>
          </cell>
        </row>
        <row r="6606">
          <cell r="B6606">
            <v>123</v>
          </cell>
          <cell r="C6606" t="str">
            <v>+ Phễu cáp bằng gang loại =&lt;70mm2</v>
          </cell>
          <cell r="D6606" t="str">
            <v>cái</v>
          </cell>
          <cell r="E6606">
            <v>1</v>
          </cell>
          <cell r="F6606">
            <v>0</v>
          </cell>
          <cell r="G6606">
            <v>0</v>
          </cell>
        </row>
        <row r="6607">
          <cell r="B6607">
            <v>25</v>
          </cell>
          <cell r="C6607" t="str">
            <v>+ Coliê sắt</v>
          </cell>
          <cell r="D6607" t="str">
            <v>bộ</v>
          </cell>
          <cell r="E6607">
            <v>2</v>
          </cell>
          <cell r="F6607">
            <v>8000</v>
          </cell>
          <cell r="G6607">
            <v>16000</v>
          </cell>
        </row>
        <row r="6608">
          <cell r="B6608">
            <v>114</v>
          </cell>
          <cell r="C6608" t="str">
            <v>+ Dây đồng 25mm2</v>
          </cell>
          <cell r="D6608" t="str">
            <v>m</v>
          </cell>
          <cell r="E6608">
            <v>4</v>
          </cell>
          <cell r="F6608">
            <v>69454</v>
          </cell>
          <cell r="G6608">
            <v>277816</v>
          </cell>
        </row>
        <row r="6609">
          <cell r="B6609">
            <v>35</v>
          </cell>
          <cell r="C6609" t="str">
            <v>+ Chất cách điện</v>
          </cell>
          <cell r="D6609" t="str">
            <v>kg</v>
          </cell>
          <cell r="E6609">
            <v>5</v>
          </cell>
          <cell r="F6609">
            <v>15450</v>
          </cell>
          <cell r="G6609">
            <v>77250</v>
          </cell>
        </row>
        <row r="6610">
          <cell r="B6610">
            <v>25</v>
          </cell>
          <cell r="C6610" t="str">
            <v>+ Băng vải nhựa, ni lông ( băng dính )</v>
          </cell>
          <cell r="D6610" t="str">
            <v>cuộn</v>
          </cell>
          <cell r="E6610">
            <v>1</v>
          </cell>
          <cell r="F6610">
            <v>8000</v>
          </cell>
          <cell r="G6610">
            <v>8000</v>
          </cell>
        </row>
        <row r="6611">
          <cell r="B6611">
            <v>3</v>
          </cell>
          <cell r="C6611" t="str">
            <v>+ Xăng</v>
          </cell>
          <cell r="D6611" t="str">
            <v>kg</v>
          </cell>
          <cell r="E6611">
            <v>0.5</v>
          </cell>
          <cell r="F6611">
            <v>18382</v>
          </cell>
          <cell r="G6611">
            <v>9191</v>
          </cell>
        </row>
        <row r="6612">
          <cell r="B6612">
            <v>1</v>
          </cell>
          <cell r="C6612" t="str">
            <v>+ Cồn công nghiệp</v>
          </cell>
          <cell r="D6612" t="str">
            <v>kg</v>
          </cell>
          <cell r="E6612">
            <v>0.6</v>
          </cell>
          <cell r="F6612">
            <v>9500</v>
          </cell>
          <cell r="G6612">
            <v>5700</v>
          </cell>
        </row>
        <row r="6613">
          <cell r="B6613">
            <v>9</v>
          </cell>
          <cell r="C6613" t="str">
            <v>+ Giẻ lau</v>
          </cell>
          <cell r="D6613" t="str">
            <v>Kg</v>
          </cell>
          <cell r="E6613">
            <v>0.2</v>
          </cell>
          <cell r="F6613">
            <v>9500</v>
          </cell>
          <cell r="G6613">
            <v>1900</v>
          </cell>
        </row>
        <row r="6614">
          <cell r="B6614">
            <v>4</v>
          </cell>
          <cell r="C6614" t="str">
            <v>+ Giấy ráp</v>
          </cell>
          <cell r="D6614" t="str">
            <v>tờ</v>
          </cell>
          <cell r="E6614">
            <v>1</v>
          </cell>
          <cell r="F6614">
            <v>10000</v>
          </cell>
          <cell r="G6614">
            <v>10000</v>
          </cell>
        </row>
        <row r="6615">
          <cell r="B6615">
            <v>33</v>
          </cell>
          <cell r="C6615" t="str">
            <v>+ Ma tít</v>
          </cell>
          <cell r="D6615" t="str">
            <v>kg</v>
          </cell>
          <cell r="E6615">
            <v>0.1</v>
          </cell>
          <cell r="F6615">
            <v>17300</v>
          </cell>
          <cell r="G6615">
            <v>1730</v>
          </cell>
        </row>
        <row r="6616">
          <cell r="B6616">
            <v>137</v>
          </cell>
          <cell r="C6616" t="str">
            <v>Vật liệu khác</v>
          </cell>
          <cell r="D6616" t="str">
            <v>%</v>
          </cell>
          <cell r="E6616">
            <v>5</v>
          </cell>
          <cell r="F6616">
            <v>1500</v>
          </cell>
          <cell r="G6616">
            <v>20379.350000000002</v>
          </cell>
        </row>
        <row r="6617">
          <cell r="C6617" t="str">
            <v>Nhân công</v>
          </cell>
          <cell r="G6617">
            <v>1658305.8609868423</v>
          </cell>
        </row>
        <row r="6618">
          <cell r="B6618" t="str">
            <v>NC1457</v>
          </cell>
          <cell r="C6618" t="str">
            <v>+ Nhân công bậc 4,5/7</v>
          </cell>
          <cell r="D6618" t="str">
            <v>Công</v>
          </cell>
          <cell r="E6618">
            <v>7.83</v>
          </cell>
          <cell r="F6618">
            <v>211788.74342105264</v>
          </cell>
          <cell r="G6618">
            <v>1658305.8609868423</v>
          </cell>
        </row>
        <row r="6619">
          <cell r="A6619" t="str">
            <v>D4.3363</v>
          </cell>
          <cell r="C6619" t="str">
            <v>Làm đầu cáp lực 35KV, Phễu cáp bằng gang, Cáp có tiết diện &lt;=120mm2</v>
          </cell>
          <cell r="D6619" t="str">
            <v>1 đầu 3 pha</v>
          </cell>
          <cell r="H6619">
            <v>428465.1</v>
          </cell>
          <cell r="I6619">
            <v>1831972.6305921054</v>
          </cell>
        </row>
        <row r="6620">
          <cell r="C6620" t="str">
            <v>Vật liệu</v>
          </cell>
          <cell r="G6620">
            <v>428465.1</v>
          </cell>
        </row>
        <row r="6621">
          <cell r="B6621">
            <v>124</v>
          </cell>
          <cell r="C6621" t="str">
            <v>+ Phễu cáp bằng gang loại =&lt;120mm2</v>
          </cell>
          <cell r="D6621" t="str">
            <v>cái</v>
          </cell>
          <cell r="E6621">
            <v>1</v>
          </cell>
          <cell r="F6621">
            <v>0</v>
          </cell>
          <cell r="G6621">
            <v>0</v>
          </cell>
        </row>
        <row r="6622">
          <cell r="B6622">
            <v>25</v>
          </cell>
          <cell r="C6622" t="str">
            <v>+ Coliê sắt</v>
          </cell>
          <cell r="D6622" t="str">
            <v>bộ</v>
          </cell>
          <cell r="E6622">
            <v>2</v>
          </cell>
          <cell r="F6622">
            <v>8000</v>
          </cell>
          <cell r="G6622">
            <v>16000</v>
          </cell>
        </row>
        <row r="6623">
          <cell r="B6623">
            <v>114</v>
          </cell>
          <cell r="C6623" t="str">
            <v>+ Dây đồng 25mm2</v>
          </cell>
          <cell r="D6623" t="str">
            <v>m</v>
          </cell>
          <cell r="E6623">
            <v>4</v>
          </cell>
          <cell r="F6623">
            <v>69454</v>
          </cell>
          <cell r="G6623">
            <v>277816</v>
          </cell>
        </row>
        <row r="6624">
          <cell r="B6624">
            <v>35</v>
          </cell>
          <cell r="C6624" t="str">
            <v>+ Chất cách điện</v>
          </cell>
          <cell r="D6624" t="str">
            <v>kg</v>
          </cell>
          <cell r="E6624">
            <v>5</v>
          </cell>
          <cell r="F6624">
            <v>15450</v>
          </cell>
          <cell r="G6624">
            <v>77250</v>
          </cell>
        </row>
        <row r="6625">
          <cell r="B6625">
            <v>25</v>
          </cell>
          <cell r="C6625" t="str">
            <v>+ Băng vải nhựa, ni lông ( băng dính )</v>
          </cell>
          <cell r="D6625" t="str">
            <v>cuộn</v>
          </cell>
          <cell r="E6625">
            <v>1</v>
          </cell>
          <cell r="F6625">
            <v>8000</v>
          </cell>
          <cell r="G6625">
            <v>8000</v>
          </cell>
        </row>
        <row r="6626">
          <cell r="B6626">
            <v>3</v>
          </cell>
          <cell r="C6626" t="str">
            <v>+ Xăng</v>
          </cell>
          <cell r="D6626" t="str">
            <v>kg</v>
          </cell>
          <cell r="E6626">
            <v>0.5</v>
          </cell>
          <cell r="F6626">
            <v>18382</v>
          </cell>
          <cell r="G6626">
            <v>9191</v>
          </cell>
        </row>
        <row r="6627">
          <cell r="B6627">
            <v>1</v>
          </cell>
          <cell r="C6627" t="str">
            <v>+ Cồn công nghiệp</v>
          </cell>
          <cell r="D6627" t="str">
            <v>kg</v>
          </cell>
          <cell r="E6627">
            <v>0.6</v>
          </cell>
          <cell r="F6627">
            <v>9500</v>
          </cell>
          <cell r="G6627">
            <v>5700</v>
          </cell>
        </row>
        <row r="6628">
          <cell r="B6628">
            <v>9</v>
          </cell>
          <cell r="C6628" t="str">
            <v>+ Giẻ lau</v>
          </cell>
          <cell r="D6628" t="str">
            <v>Kg</v>
          </cell>
          <cell r="E6628">
            <v>0.25</v>
          </cell>
          <cell r="F6628">
            <v>9500</v>
          </cell>
          <cell r="G6628">
            <v>2375</v>
          </cell>
        </row>
        <row r="6629">
          <cell r="B6629">
            <v>4</v>
          </cell>
          <cell r="C6629" t="str">
            <v>+ Giấy ráp</v>
          </cell>
          <cell r="D6629" t="str">
            <v>tờ</v>
          </cell>
          <cell r="E6629">
            <v>1</v>
          </cell>
          <cell r="F6629">
            <v>10000</v>
          </cell>
          <cell r="G6629">
            <v>10000</v>
          </cell>
        </row>
        <row r="6630">
          <cell r="B6630">
            <v>33</v>
          </cell>
          <cell r="C6630" t="str">
            <v>+ Ma tít</v>
          </cell>
          <cell r="D6630" t="str">
            <v>kg</v>
          </cell>
          <cell r="E6630">
            <v>0.1</v>
          </cell>
          <cell r="F6630">
            <v>17300</v>
          </cell>
          <cell r="G6630">
            <v>1730</v>
          </cell>
        </row>
        <row r="6631">
          <cell r="B6631">
            <v>137</v>
          </cell>
          <cell r="C6631" t="str">
            <v>Vật liệu khác</v>
          </cell>
          <cell r="D6631" t="str">
            <v>%</v>
          </cell>
          <cell r="E6631">
            <v>5</v>
          </cell>
          <cell r="F6631">
            <v>1500</v>
          </cell>
          <cell r="G6631">
            <v>20403.100000000002</v>
          </cell>
        </row>
        <row r="6632">
          <cell r="C6632" t="str">
            <v>Nhân công</v>
          </cell>
          <cell r="G6632">
            <v>1831972.6305921054</v>
          </cell>
        </row>
        <row r="6633">
          <cell r="B6633" t="str">
            <v>NC1457</v>
          </cell>
          <cell r="C6633" t="str">
            <v>+ Nhân công bậc 4,5/7</v>
          </cell>
          <cell r="D6633" t="str">
            <v>Công</v>
          </cell>
          <cell r="E6633">
            <v>8.65</v>
          </cell>
          <cell r="F6633">
            <v>211788.74342105264</v>
          </cell>
          <cell r="G6633">
            <v>1831972.6305921054</v>
          </cell>
        </row>
        <row r="6634">
          <cell r="A6634" t="str">
            <v>D4.3364</v>
          </cell>
          <cell r="C6634" t="str">
            <v>Làm đầu cáp lực 35KV, Phễu cáp bằng gang, Cáp có tiết diện &lt;=185mm2</v>
          </cell>
          <cell r="D6634" t="str">
            <v>1 đầu 3 pha</v>
          </cell>
          <cell r="H6634">
            <v>450992.85</v>
          </cell>
          <cell r="I6634">
            <v>1997167.8504605263</v>
          </cell>
        </row>
        <row r="6635">
          <cell r="C6635" t="str">
            <v>Vật liệu</v>
          </cell>
          <cell r="G6635">
            <v>450992.85</v>
          </cell>
        </row>
        <row r="6636">
          <cell r="B6636">
            <v>125</v>
          </cell>
          <cell r="C6636" t="str">
            <v>+ Phễu cáp bằng gang loại =&lt;185mm2</v>
          </cell>
          <cell r="D6636" t="str">
            <v>cái</v>
          </cell>
          <cell r="E6636">
            <v>1</v>
          </cell>
          <cell r="F6636">
            <v>0</v>
          </cell>
          <cell r="G6636">
            <v>0</v>
          </cell>
        </row>
        <row r="6637">
          <cell r="B6637">
            <v>25</v>
          </cell>
          <cell r="C6637" t="str">
            <v>+ Coliê sắt</v>
          </cell>
          <cell r="D6637" t="str">
            <v>bộ</v>
          </cell>
          <cell r="E6637">
            <v>2</v>
          </cell>
          <cell r="F6637">
            <v>8000</v>
          </cell>
          <cell r="G6637">
            <v>16000</v>
          </cell>
        </row>
        <row r="6638">
          <cell r="B6638">
            <v>114</v>
          </cell>
          <cell r="C6638" t="str">
            <v>+ Dây đồng 25mm2</v>
          </cell>
          <cell r="D6638" t="str">
            <v>m</v>
          </cell>
          <cell r="E6638">
            <v>4</v>
          </cell>
          <cell r="F6638">
            <v>69454</v>
          </cell>
          <cell r="G6638">
            <v>277816</v>
          </cell>
        </row>
        <row r="6639">
          <cell r="B6639">
            <v>35</v>
          </cell>
          <cell r="C6639" t="str">
            <v>+ Chất cách điện</v>
          </cell>
          <cell r="D6639" t="str">
            <v>kg</v>
          </cell>
          <cell r="E6639">
            <v>6</v>
          </cell>
          <cell r="F6639">
            <v>15450</v>
          </cell>
          <cell r="G6639">
            <v>92700</v>
          </cell>
        </row>
        <row r="6640">
          <cell r="B6640">
            <v>25</v>
          </cell>
          <cell r="C6640" t="str">
            <v>+ Băng vải nhựa, ni lông ( băng dính )</v>
          </cell>
          <cell r="D6640" t="str">
            <v>cuộn</v>
          </cell>
          <cell r="E6640">
            <v>1.5</v>
          </cell>
          <cell r="F6640">
            <v>8000</v>
          </cell>
          <cell r="G6640">
            <v>12000</v>
          </cell>
        </row>
        <row r="6641">
          <cell r="B6641">
            <v>3</v>
          </cell>
          <cell r="C6641" t="str">
            <v>+ Xăng</v>
          </cell>
          <cell r="D6641" t="str">
            <v>kg</v>
          </cell>
          <cell r="E6641">
            <v>0.5</v>
          </cell>
          <cell r="F6641">
            <v>18382</v>
          </cell>
          <cell r="G6641">
            <v>9191</v>
          </cell>
        </row>
        <row r="6642">
          <cell r="B6642">
            <v>1</v>
          </cell>
          <cell r="C6642" t="str">
            <v>+ Cồn công nghiệp</v>
          </cell>
          <cell r="D6642" t="str">
            <v>kg</v>
          </cell>
          <cell r="E6642">
            <v>0.72</v>
          </cell>
          <cell r="F6642">
            <v>9500</v>
          </cell>
          <cell r="G6642">
            <v>6840</v>
          </cell>
        </row>
        <row r="6643">
          <cell r="B6643">
            <v>9</v>
          </cell>
          <cell r="C6643" t="str">
            <v>+ Giẻ lau</v>
          </cell>
          <cell r="D6643" t="str">
            <v>Kg</v>
          </cell>
          <cell r="E6643">
            <v>0.25</v>
          </cell>
          <cell r="F6643">
            <v>9500</v>
          </cell>
          <cell r="G6643">
            <v>2375</v>
          </cell>
        </row>
        <row r="6644">
          <cell r="B6644">
            <v>4</v>
          </cell>
          <cell r="C6644" t="str">
            <v>+ Giấy ráp</v>
          </cell>
          <cell r="D6644" t="str">
            <v>tờ</v>
          </cell>
          <cell r="E6644">
            <v>1</v>
          </cell>
          <cell r="F6644">
            <v>10000</v>
          </cell>
          <cell r="G6644">
            <v>10000</v>
          </cell>
        </row>
        <row r="6645">
          <cell r="B6645">
            <v>33</v>
          </cell>
          <cell r="C6645" t="str">
            <v>+ Ma tít</v>
          </cell>
          <cell r="D6645" t="str">
            <v>kg</v>
          </cell>
          <cell r="E6645">
            <v>0.15</v>
          </cell>
          <cell r="F6645">
            <v>17300</v>
          </cell>
          <cell r="G6645">
            <v>2595</v>
          </cell>
        </row>
        <row r="6646">
          <cell r="B6646">
            <v>137</v>
          </cell>
          <cell r="C6646" t="str">
            <v>Vật liệu khác</v>
          </cell>
          <cell r="D6646" t="str">
            <v>%</v>
          </cell>
          <cell r="E6646">
            <v>5</v>
          </cell>
          <cell r="F6646">
            <v>1500</v>
          </cell>
          <cell r="G6646">
            <v>21475.850000000002</v>
          </cell>
        </row>
        <row r="6647">
          <cell r="C6647" t="str">
            <v>Nhân công</v>
          </cell>
          <cell r="G6647">
            <v>1997167.8504605263</v>
          </cell>
        </row>
        <row r="6648">
          <cell r="B6648" t="str">
            <v>NC1457</v>
          </cell>
          <cell r="C6648" t="str">
            <v>+ Nhân công bậc 4,5/7</v>
          </cell>
          <cell r="D6648" t="str">
            <v>Công</v>
          </cell>
          <cell r="E6648">
            <v>9.43</v>
          </cell>
          <cell r="F6648">
            <v>211788.74342105264</v>
          </cell>
          <cell r="G6648">
            <v>1997167.8504605263</v>
          </cell>
        </row>
        <row r="6649">
          <cell r="A6649" t="str">
            <v>D4.3365</v>
          </cell>
          <cell r="C6649" t="str">
            <v>Làm đầu cáp lực 35KV, Phễu cáp bằng gang, Cáp có tiết diện &lt;=240mm2</v>
          </cell>
          <cell r="D6649" t="str">
            <v>1 đầu 3 pha</v>
          </cell>
          <cell r="H6649">
            <v>451491.6</v>
          </cell>
          <cell r="I6649">
            <v>2363562.3765789475</v>
          </cell>
        </row>
        <row r="6650">
          <cell r="C6650" t="str">
            <v>Vật liệu</v>
          </cell>
          <cell r="G6650">
            <v>451491.6</v>
          </cell>
        </row>
        <row r="6651">
          <cell r="B6651">
            <v>126</v>
          </cell>
          <cell r="C6651" t="str">
            <v>+ Phễu cáp bằng gang loại =&lt;240mm2</v>
          </cell>
          <cell r="D6651" t="str">
            <v>cái</v>
          </cell>
          <cell r="E6651">
            <v>1</v>
          </cell>
          <cell r="F6651">
            <v>0</v>
          </cell>
          <cell r="G6651">
            <v>0</v>
          </cell>
        </row>
        <row r="6652">
          <cell r="B6652">
            <v>25</v>
          </cell>
          <cell r="C6652" t="str">
            <v>+ Coliê sắt</v>
          </cell>
          <cell r="D6652" t="str">
            <v>bộ</v>
          </cell>
          <cell r="E6652">
            <v>2</v>
          </cell>
          <cell r="F6652">
            <v>8000</v>
          </cell>
          <cell r="G6652">
            <v>16000</v>
          </cell>
        </row>
        <row r="6653">
          <cell r="B6653">
            <v>114</v>
          </cell>
          <cell r="C6653" t="str">
            <v>+ Dây đồng 25mm2</v>
          </cell>
          <cell r="D6653" t="str">
            <v>m</v>
          </cell>
          <cell r="E6653">
            <v>4</v>
          </cell>
          <cell r="F6653">
            <v>69454</v>
          </cell>
          <cell r="G6653">
            <v>277816</v>
          </cell>
        </row>
        <row r="6654">
          <cell r="B6654">
            <v>35</v>
          </cell>
          <cell r="C6654" t="str">
            <v>+ Chất cách điện</v>
          </cell>
          <cell r="D6654" t="str">
            <v>kg</v>
          </cell>
          <cell r="E6654">
            <v>6</v>
          </cell>
          <cell r="F6654">
            <v>15450</v>
          </cell>
          <cell r="G6654">
            <v>92700</v>
          </cell>
        </row>
        <row r="6655">
          <cell r="B6655">
            <v>25</v>
          </cell>
          <cell r="C6655" t="str">
            <v>+ Băng vải nhựa, ni lông ( băng dính )</v>
          </cell>
          <cell r="D6655" t="str">
            <v>cuộn</v>
          </cell>
          <cell r="E6655">
            <v>1.5</v>
          </cell>
          <cell r="F6655">
            <v>8000</v>
          </cell>
          <cell r="G6655">
            <v>12000</v>
          </cell>
        </row>
        <row r="6656">
          <cell r="B6656">
            <v>3</v>
          </cell>
          <cell r="C6656" t="str">
            <v>+ Xăng</v>
          </cell>
          <cell r="D6656" t="str">
            <v>kg</v>
          </cell>
          <cell r="E6656">
            <v>0.5</v>
          </cell>
          <cell r="F6656">
            <v>18382</v>
          </cell>
          <cell r="G6656">
            <v>9191</v>
          </cell>
        </row>
        <row r="6657">
          <cell r="B6657">
            <v>1</v>
          </cell>
          <cell r="C6657" t="str">
            <v>+ Cồn công nghiệp</v>
          </cell>
          <cell r="D6657" t="str">
            <v>kg</v>
          </cell>
          <cell r="E6657">
            <v>0.72</v>
          </cell>
          <cell r="F6657">
            <v>9500</v>
          </cell>
          <cell r="G6657">
            <v>6840</v>
          </cell>
        </row>
        <row r="6658">
          <cell r="B6658">
            <v>9</v>
          </cell>
          <cell r="C6658" t="str">
            <v>+ Giẻ lau</v>
          </cell>
          <cell r="D6658" t="str">
            <v>Kg</v>
          </cell>
          <cell r="E6658">
            <v>0.3</v>
          </cell>
          <cell r="F6658">
            <v>9500</v>
          </cell>
          <cell r="G6658">
            <v>2850</v>
          </cell>
        </row>
        <row r="6659">
          <cell r="B6659">
            <v>4</v>
          </cell>
          <cell r="C6659" t="str">
            <v>+ Giấy ráp</v>
          </cell>
          <cell r="D6659" t="str">
            <v>tờ</v>
          </cell>
          <cell r="E6659">
            <v>1</v>
          </cell>
          <cell r="F6659">
            <v>10000</v>
          </cell>
          <cell r="G6659">
            <v>10000</v>
          </cell>
        </row>
        <row r="6660">
          <cell r="B6660">
            <v>33</v>
          </cell>
          <cell r="C6660" t="str">
            <v>+ Ma tít</v>
          </cell>
          <cell r="D6660" t="str">
            <v>kg</v>
          </cell>
          <cell r="E6660">
            <v>0.15</v>
          </cell>
          <cell r="F6660">
            <v>17300</v>
          </cell>
          <cell r="G6660">
            <v>2595</v>
          </cell>
        </row>
        <row r="6661">
          <cell r="B6661">
            <v>137</v>
          </cell>
          <cell r="C6661" t="str">
            <v>Vật liệu khác</v>
          </cell>
          <cell r="D6661" t="str">
            <v>%</v>
          </cell>
          <cell r="E6661">
            <v>5</v>
          </cell>
          <cell r="F6661">
            <v>1500</v>
          </cell>
          <cell r="G6661">
            <v>21499.600000000002</v>
          </cell>
        </row>
        <row r="6662">
          <cell r="C6662" t="str">
            <v>Nhân công</v>
          </cell>
          <cell r="G6662">
            <v>2363562.3765789475</v>
          </cell>
        </row>
        <row r="6663">
          <cell r="B6663" t="str">
            <v>NC1457</v>
          </cell>
          <cell r="C6663" t="str">
            <v>+ Nhân công bậc 4,5/7</v>
          </cell>
          <cell r="D6663" t="str">
            <v>Công</v>
          </cell>
          <cell r="E6663">
            <v>11.16</v>
          </cell>
          <cell r="F6663">
            <v>211788.74342105264</v>
          </cell>
          <cell r="G6663">
            <v>2363562.3765789475</v>
          </cell>
        </row>
        <row r="6664">
          <cell r="A6664" t="str">
            <v>D4.3366</v>
          </cell>
          <cell r="C6664" t="str">
            <v>Làm đầu cáp lực 35KV, Phễu cáp bằng gang, Cáp có tiết diện &lt;=300mm2</v>
          </cell>
          <cell r="D6664" t="str">
            <v>1 đầu 3 pha</v>
          </cell>
          <cell r="H6664">
            <v>451491.6</v>
          </cell>
          <cell r="I6664">
            <v>2414391.6750000003</v>
          </cell>
        </row>
        <row r="6665">
          <cell r="C6665" t="str">
            <v>Vật liệu</v>
          </cell>
          <cell r="G6665">
            <v>451491.6</v>
          </cell>
        </row>
        <row r="6666">
          <cell r="B6666">
            <v>127</v>
          </cell>
          <cell r="C6666" t="str">
            <v>+ Phễu cáp bằng gang loại =&lt;300mm2</v>
          </cell>
          <cell r="D6666" t="str">
            <v>cái</v>
          </cell>
          <cell r="E6666">
            <v>1</v>
          </cell>
          <cell r="F6666">
            <v>0</v>
          </cell>
          <cell r="G6666">
            <v>0</v>
          </cell>
        </row>
        <row r="6667">
          <cell r="B6667">
            <v>25</v>
          </cell>
          <cell r="C6667" t="str">
            <v>+ Coliê sắt</v>
          </cell>
          <cell r="D6667" t="str">
            <v>bộ</v>
          </cell>
          <cell r="E6667">
            <v>2</v>
          </cell>
          <cell r="F6667">
            <v>8000</v>
          </cell>
          <cell r="G6667">
            <v>16000</v>
          </cell>
        </row>
        <row r="6668">
          <cell r="B6668">
            <v>114</v>
          </cell>
          <cell r="C6668" t="str">
            <v>+ Dây đồng 25mm2</v>
          </cell>
          <cell r="D6668" t="str">
            <v>m</v>
          </cell>
          <cell r="E6668">
            <v>4</v>
          </cell>
          <cell r="F6668">
            <v>69454</v>
          </cell>
          <cell r="G6668">
            <v>277816</v>
          </cell>
        </row>
        <row r="6669">
          <cell r="B6669">
            <v>35</v>
          </cell>
          <cell r="C6669" t="str">
            <v>+ Chất cách điện</v>
          </cell>
          <cell r="D6669" t="str">
            <v>kg</v>
          </cell>
          <cell r="E6669">
            <v>6</v>
          </cell>
          <cell r="F6669">
            <v>15450</v>
          </cell>
          <cell r="G6669">
            <v>92700</v>
          </cell>
        </row>
        <row r="6670">
          <cell r="B6670">
            <v>25</v>
          </cell>
          <cell r="C6670" t="str">
            <v>+ Băng vải nhựa, ni lông ( băng dính )</v>
          </cell>
          <cell r="D6670" t="str">
            <v>cuộn</v>
          </cell>
          <cell r="E6670">
            <v>1.5</v>
          </cell>
          <cell r="F6670">
            <v>8000</v>
          </cell>
          <cell r="G6670">
            <v>12000</v>
          </cell>
        </row>
        <row r="6671">
          <cell r="B6671">
            <v>3</v>
          </cell>
          <cell r="C6671" t="str">
            <v>+ Xăng</v>
          </cell>
          <cell r="D6671" t="str">
            <v>kg</v>
          </cell>
          <cell r="E6671">
            <v>0.5</v>
          </cell>
          <cell r="F6671">
            <v>18382</v>
          </cell>
          <cell r="G6671">
            <v>9191</v>
          </cell>
        </row>
        <row r="6672">
          <cell r="B6672">
            <v>1</v>
          </cell>
          <cell r="C6672" t="str">
            <v>+ Cồn công nghiệp</v>
          </cell>
          <cell r="D6672" t="str">
            <v>kg</v>
          </cell>
          <cell r="E6672">
            <v>0.72</v>
          </cell>
          <cell r="F6672">
            <v>9500</v>
          </cell>
          <cell r="G6672">
            <v>6840</v>
          </cell>
        </row>
        <row r="6673">
          <cell r="B6673">
            <v>9</v>
          </cell>
          <cell r="C6673" t="str">
            <v>+ Giẻ lau</v>
          </cell>
          <cell r="D6673" t="str">
            <v>Kg</v>
          </cell>
          <cell r="E6673">
            <v>0.3</v>
          </cell>
          <cell r="F6673">
            <v>9500</v>
          </cell>
          <cell r="G6673">
            <v>2850</v>
          </cell>
        </row>
        <row r="6674">
          <cell r="B6674">
            <v>4</v>
          </cell>
          <cell r="C6674" t="str">
            <v>+ Giấy ráp</v>
          </cell>
          <cell r="D6674" t="str">
            <v>tờ</v>
          </cell>
          <cell r="E6674">
            <v>1</v>
          </cell>
          <cell r="F6674">
            <v>10000</v>
          </cell>
          <cell r="G6674">
            <v>10000</v>
          </cell>
        </row>
        <row r="6675">
          <cell r="B6675">
            <v>33</v>
          </cell>
          <cell r="C6675" t="str">
            <v>+ Ma tít</v>
          </cell>
          <cell r="D6675" t="str">
            <v>kg</v>
          </cell>
          <cell r="E6675">
            <v>0.15</v>
          </cell>
          <cell r="F6675">
            <v>17300</v>
          </cell>
          <cell r="G6675">
            <v>2595</v>
          </cell>
        </row>
        <row r="6676">
          <cell r="B6676">
            <v>137</v>
          </cell>
          <cell r="C6676" t="str">
            <v>Vật liệu khác</v>
          </cell>
          <cell r="D6676" t="str">
            <v>%</v>
          </cell>
          <cell r="E6676">
            <v>5</v>
          </cell>
          <cell r="F6676">
            <v>1500</v>
          </cell>
          <cell r="G6676">
            <v>21499.600000000002</v>
          </cell>
        </row>
        <row r="6677">
          <cell r="C6677" t="str">
            <v>Nhân công</v>
          </cell>
          <cell r="G6677">
            <v>2414391.6750000003</v>
          </cell>
        </row>
        <row r="6678">
          <cell r="B6678" t="str">
            <v>NC1457</v>
          </cell>
          <cell r="C6678" t="str">
            <v>+ Nhân công bậc 4,5/7</v>
          </cell>
          <cell r="D6678" t="str">
            <v>Công</v>
          </cell>
          <cell r="E6678">
            <v>11.4</v>
          </cell>
          <cell r="F6678">
            <v>211788.74342105264</v>
          </cell>
          <cell r="G6678">
            <v>2414391.6750000003</v>
          </cell>
        </row>
        <row r="6679">
          <cell r="A6679" t="str">
            <v>D4.3367</v>
          </cell>
          <cell r="C6679" t="str">
            <v>Làm đầu cáp lực 35KV, Phễu cáp bằng gang, Cáp có tiết diện &lt;=400mm2</v>
          </cell>
          <cell r="D6679" t="str">
            <v>1 đầu 3 pha</v>
          </cell>
          <cell r="H6679">
            <v>480048.66000000003</v>
          </cell>
          <cell r="I6679">
            <v>2897270.0100000002</v>
          </cell>
        </row>
        <row r="6680">
          <cell r="C6680" t="str">
            <v>Vật liệu</v>
          </cell>
          <cell r="G6680">
            <v>480048.66000000003</v>
          </cell>
        </row>
        <row r="6681">
          <cell r="B6681">
            <v>128</v>
          </cell>
          <cell r="C6681" t="str">
            <v>+ Phễu cáp bằng gang loại =&lt;400mm2</v>
          </cell>
          <cell r="D6681" t="str">
            <v>cái</v>
          </cell>
          <cell r="E6681">
            <v>1</v>
          </cell>
          <cell r="F6681">
            <v>0</v>
          </cell>
          <cell r="G6681">
            <v>0</v>
          </cell>
        </row>
        <row r="6682">
          <cell r="B6682">
            <v>25</v>
          </cell>
          <cell r="C6682" t="str">
            <v>+ Coliê sắt</v>
          </cell>
          <cell r="D6682" t="str">
            <v>bộ</v>
          </cell>
          <cell r="E6682">
            <v>2</v>
          </cell>
          <cell r="F6682">
            <v>8000</v>
          </cell>
          <cell r="G6682">
            <v>16000</v>
          </cell>
        </row>
        <row r="6683">
          <cell r="B6683">
            <v>114</v>
          </cell>
          <cell r="C6683" t="str">
            <v>+ Dây đồng 25mm2</v>
          </cell>
          <cell r="D6683" t="str">
            <v>m</v>
          </cell>
          <cell r="E6683">
            <v>4</v>
          </cell>
          <cell r="F6683">
            <v>69454</v>
          </cell>
          <cell r="G6683">
            <v>277816</v>
          </cell>
        </row>
        <row r="6684">
          <cell r="B6684">
            <v>35</v>
          </cell>
          <cell r="C6684" t="str">
            <v>+ Chất cách điện</v>
          </cell>
          <cell r="D6684" t="str">
            <v>kg</v>
          </cell>
          <cell r="E6684">
            <v>7.2</v>
          </cell>
          <cell r="F6684">
            <v>15450</v>
          </cell>
          <cell r="G6684">
            <v>111240</v>
          </cell>
        </row>
        <row r="6685">
          <cell r="B6685">
            <v>25</v>
          </cell>
          <cell r="C6685" t="str">
            <v>+ Băng vải nhựa, ni lông ( băng dính )</v>
          </cell>
          <cell r="D6685" t="str">
            <v>cuộn</v>
          </cell>
          <cell r="E6685">
            <v>1.8</v>
          </cell>
          <cell r="F6685">
            <v>8000</v>
          </cell>
          <cell r="G6685">
            <v>14400</v>
          </cell>
        </row>
        <row r="6686">
          <cell r="B6686">
            <v>3</v>
          </cell>
          <cell r="C6686" t="str">
            <v>+ Xăng</v>
          </cell>
          <cell r="D6686" t="str">
            <v>kg</v>
          </cell>
          <cell r="E6686">
            <v>0.6</v>
          </cell>
          <cell r="F6686">
            <v>18382</v>
          </cell>
          <cell r="G6686">
            <v>11029.199999999999</v>
          </cell>
        </row>
        <row r="6687">
          <cell r="B6687">
            <v>1</v>
          </cell>
          <cell r="C6687" t="str">
            <v>+ Cồn công nghiệp</v>
          </cell>
          <cell r="D6687" t="str">
            <v>kg</v>
          </cell>
          <cell r="E6687">
            <v>0.86</v>
          </cell>
          <cell r="F6687">
            <v>9500</v>
          </cell>
          <cell r="G6687">
            <v>8170</v>
          </cell>
        </row>
        <row r="6688">
          <cell r="B6688">
            <v>9</v>
          </cell>
          <cell r="C6688" t="str">
            <v>+ Giẻ lau</v>
          </cell>
          <cell r="D6688" t="str">
            <v>Kg</v>
          </cell>
          <cell r="E6688">
            <v>0.36</v>
          </cell>
          <cell r="F6688">
            <v>9500</v>
          </cell>
          <cell r="G6688">
            <v>3420</v>
          </cell>
        </row>
        <row r="6689">
          <cell r="B6689">
            <v>4</v>
          </cell>
          <cell r="C6689" t="str">
            <v>+ Giấy ráp</v>
          </cell>
          <cell r="D6689" t="str">
            <v>tờ</v>
          </cell>
          <cell r="E6689">
            <v>1.2</v>
          </cell>
          <cell r="F6689">
            <v>10000</v>
          </cell>
          <cell r="G6689">
            <v>12000</v>
          </cell>
        </row>
        <row r="6690">
          <cell r="B6690">
            <v>33</v>
          </cell>
          <cell r="C6690" t="str">
            <v>+ Ma tít</v>
          </cell>
          <cell r="D6690" t="str">
            <v>kg</v>
          </cell>
          <cell r="E6690">
            <v>0.18</v>
          </cell>
          <cell r="F6690">
            <v>17300</v>
          </cell>
          <cell r="G6690">
            <v>3114</v>
          </cell>
        </row>
        <row r="6691">
          <cell r="B6691">
            <v>137</v>
          </cell>
          <cell r="C6691" t="str">
            <v>Vật liệu khác</v>
          </cell>
          <cell r="D6691" t="str">
            <v>%</v>
          </cell>
          <cell r="E6691">
            <v>5</v>
          </cell>
          <cell r="F6691">
            <v>1500</v>
          </cell>
          <cell r="G6691">
            <v>22859.460000000003</v>
          </cell>
        </row>
        <row r="6692">
          <cell r="C6692" t="str">
            <v>Nhân công</v>
          </cell>
          <cell r="G6692">
            <v>2897270.0100000002</v>
          </cell>
        </row>
        <row r="6693">
          <cell r="B6693" t="str">
            <v>NC1457</v>
          </cell>
          <cell r="C6693" t="str">
            <v>+ Nhân công bậc 4,5/7</v>
          </cell>
          <cell r="D6693" t="str">
            <v>Công</v>
          </cell>
          <cell r="E6693">
            <v>13.68</v>
          </cell>
          <cell r="F6693">
            <v>211788.74342105264</v>
          </cell>
          <cell r="G6693">
            <v>2897270.0100000002</v>
          </cell>
        </row>
        <row r="6694">
          <cell r="A6694" t="str">
            <v>D4.3411</v>
          </cell>
          <cell r="C6694" t="str">
            <v>Làm đầu cáp lực, cáp khô 66KV 1 pha, Cáp có tiết diện &lt;=35mm2</v>
          </cell>
          <cell r="D6694" t="str">
            <v>đầu</v>
          </cell>
          <cell r="H6694">
            <v>13965</v>
          </cell>
          <cell r="I6694">
            <v>1552411.4892763158</v>
          </cell>
        </row>
        <row r="6695">
          <cell r="C6695" t="str">
            <v>Vật liệu</v>
          </cell>
          <cell r="G6695">
            <v>13965</v>
          </cell>
        </row>
        <row r="6696">
          <cell r="B6696">
            <v>1</v>
          </cell>
          <cell r="C6696" t="str">
            <v>+ Cồn công nghiệp</v>
          </cell>
          <cell r="D6696" t="str">
            <v>kg</v>
          </cell>
          <cell r="E6696">
            <v>1</v>
          </cell>
          <cell r="F6696">
            <v>9500</v>
          </cell>
          <cell r="G6696">
            <v>9500</v>
          </cell>
        </row>
        <row r="6697">
          <cell r="B6697">
            <v>9</v>
          </cell>
          <cell r="C6697" t="str">
            <v>+ Giẻ lau</v>
          </cell>
          <cell r="D6697" t="str">
            <v>Kg</v>
          </cell>
          <cell r="E6697">
            <v>0.4</v>
          </cell>
          <cell r="F6697">
            <v>9500</v>
          </cell>
          <cell r="G6697">
            <v>3800</v>
          </cell>
        </row>
        <row r="6698">
          <cell r="B6698">
            <v>137</v>
          </cell>
          <cell r="C6698" t="str">
            <v>Vật liệu khác</v>
          </cell>
          <cell r="D6698" t="str">
            <v>%</v>
          </cell>
          <cell r="E6698">
            <v>5</v>
          </cell>
          <cell r="F6698">
            <v>1500</v>
          </cell>
          <cell r="G6698">
            <v>665</v>
          </cell>
        </row>
        <row r="6699">
          <cell r="C6699" t="str">
            <v>Nhân công</v>
          </cell>
          <cell r="G6699">
            <v>1552411.4892763158</v>
          </cell>
        </row>
        <row r="6700">
          <cell r="B6700" t="str">
            <v>NC1457</v>
          </cell>
          <cell r="C6700" t="str">
            <v>+ Nhân công bậc 4,5/7</v>
          </cell>
          <cell r="D6700" t="str">
            <v>Công</v>
          </cell>
          <cell r="E6700">
            <v>7.33</v>
          </cell>
          <cell r="F6700">
            <v>211788.74342105264</v>
          </cell>
          <cell r="G6700">
            <v>1552411.4892763158</v>
          </cell>
        </row>
        <row r="6701">
          <cell r="A6701" t="str">
            <v>D4.3412</v>
          </cell>
          <cell r="C6701" t="str">
            <v>Làm đầu cáp lực, cáp khô 66KV 1 pha, Cáp có tiết diện &lt; =70mm2</v>
          </cell>
          <cell r="D6701" t="str">
            <v>đầu</v>
          </cell>
          <cell r="H6701">
            <v>13965</v>
          </cell>
          <cell r="I6701">
            <v>1707017.2719736844</v>
          </cell>
        </row>
        <row r="6702">
          <cell r="C6702" t="str">
            <v>Vật liệu</v>
          </cell>
          <cell r="G6702">
            <v>13965</v>
          </cell>
        </row>
        <row r="6703">
          <cell r="B6703">
            <v>1</v>
          </cell>
          <cell r="C6703" t="str">
            <v>+ Cồn công nghiệp</v>
          </cell>
          <cell r="D6703" t="str">
            <v>kg</v>
          </cell>
          <cell r="E6703">
            <v>1</v>
          </cell>
          <cell r="F6703">
            <v>9500</v>
          </cell>
          <cell r="G6703">
            <v>9500</v>
          </cell>
        </row>
        <row r="6704">
          <cell r="B6704">
            <v>9</v>
          </cell>
          <cell r="C6704" t="str">
            <v>+ Giẻ lau</v>
          </cell>
          <cell r="D6704" t="str">
            <v>Kg</v>
          </cell>
          <cell r="E6704">
            <v>0.4</v>
          </cell>
          <cell r="F6704">
            <v>9500</v>
          </cell>
          <cell r="G6704">
            <v>3800</v>
          </cell>
        </row>
        <row r="6705">
          <cell r="B6705">
            <v>137</v>
          </cell>
          <cell r="C6705" t="str">
            <v>Vật liệu khác</v>
          </cell>
          <cell r="D6705" t="str">
            <v>%</v>
          </cell>
          <cell r="E6705">
            <v>5</v>
          </cell>
          <cell r="F6705">
            <v>1500</v>
          </cell>
          <cell r="G6705">
            <v>665</v>
          </cell>
        </row>
        <row r="6706">
          <cell r="C6706" t="str">
            <v>Nhân công</v>
          </cell>
          <cell r="G6706">
            <v>1707017.2719736844</v>
          </cell>
        </row>
        <row r="6707">
          <cell r="B6707" t="str">
            <v>NC1457</v>
          </cell>
          <cell r="C6707" t="str">
            <v>+ Nhân công bậc 4,5/7</v>
          </cell>
          <cell r="D6707" t="str">
            <v>Công</v>
          </cell>
          <cell r="E6707">
            <v>8.06</v>
          </cell>
          <cell r="F6707">
            <v>211788.74342105264</v>
          </cell>
          <cell r="G6707">
            <v>1707017.2719736844</v>
          </cell>
        </row>
        <row r="6708">
          <cell r="A6708" t="str">
            <v>D4.3413</v>
          </cell>
          <cell r="C6708" t="str">
            <v>Làm đầu cáp lực, cáp khô 66KV 1 pha, Cáp có tiết diện &lt; =120mm2</v>
          </cell>
          <cell r="D6708" t="str">
            <v>đầu</v>
          </cell>
          <cell r="H6708">
            <v>15960</v>
          </cell>
          <cell r="I6708">
            <v>1876448.2667105263</v>
          </cell>
        </row>
        <row r="6709">
          <cell r="C6709" t="str">
            <v>Vật liệu</v>
          </cell>
          <cell r="G6709">
            <v>15960</v>
          </cell>
        </row>
        <row r="6710">
          <cell r="B6710">
            <v>1</v>
          </cell>
          <cell r="C6710" t="str">
            <v>+ Cồn công nghiệp</v>
          </cell>
          <cell r="D6710" t="str">
            <v>kg</v>
          </cell>
          <cell r="E6710">
            <v>1.2</v>
          </cell>
          <cell r="F6710">
            <v>9500</v>
          </cell>
          <cell r="G6710">
            <v>11400</v>
          </cell>
        </row>
        <row r="6711">
          <cell r="B6711">
            <v>9</v>
          </cell>
          <cell r="C6711" t="str">
            <v>+ Giẻ lau</v>
          </cell>
          <cell r="D6711" t="str">
            <v>Kg</v>
          </cell>
          <cell r="E6711">
            <v>0.4</v>
          </cell>
          <cell r="F6711">
            <v>9500</v>
          </cell>
          <cell r="G6711">
            <v>3800</v>
          </cell>
        </row>
        <row r="6712">
          <cell r="B6712">
            <v>137</v>
          </cell>
          <cell r="C6712" t="str">
            <v>Vật liệu khác</v>
          </cell>
          <cell r="D6712" t="str">
            <v>%</v>
          </cell>
          <cell r="E6712">
            <v>5</v>
          </cell>
          <cell r="F6712">
            <v>1500</v>
          </cell>
          <cell r="G6712">
            <v>760</v>
          </cell>
        </row>
        <row r="6713">
          <cell r="C6713" t="str">
            <v>Nhân công</v>
          </cell>
          <cell r="G6713">
            <v>1876448.2667105263</v>
          </cell>
        </row>
        <row r="6714">
          <cell r="B6714" t="str">
            <v>NC1457</v>
          </cell>
          <cell r="C6714" t="str">
            <v>+ Nhân công bậc 4,5/7</v>
          </cell>
          <cell r="D6714" t="str">
            <v>Công</v>
          </cell>
          <cell r="E6714">
            <v>8.86</v>
          </cell>
          <cell r="F6714">
            <v>211788.74342105264</v>
          </cell>
          <cell r="G6714">
            <v>1876448.2667105263</v>
          </cell>
        </row>
        <row r="6715">
          <cell r="A6715" t="str">
            <v>D4.3414</v>
          </cell>
          <cell r="C6715" t="str">
            <v>Làm đầu cáp lực, cáp khô 66KV 1 pha, Cáp có tiết diện &lt;=185mm2</v>
          </cell>
          <cell r="D6715" t="str">
            <v>đầu</v>
          </cell>
          <cell r="H6715">
            <v>19950</v>
          </cell>
          <cell r="I6715">
            <v>2058586.5860526317</v>
          </cell>
        </row>
        <row r="6716">
          <cell r="C6716" t="str">
            <v>Vật liệu</v>
          </cell>
          <cell r="G6716">
            <v>19950</v>
          </cell>
        </row>
        <row r="6717">
          <cell r="B6717">
            <v>1</v>
          </cell>
          <cell r="C6717" t="str">
            <v>+ Cồn công nghiệp</v>
          </cell>
          <cell r="D6717" t="str">
            <v>kg</v>
          </cell>
          <cell r="E6717">
            <v>1.2</v>
          </cell>
          <cell r="F6717">
            <v>9500</v>
          </cell>
          <cell r="G6717">
            <v>11400</v>
          </cell>
        </row>
        <row r="6718">
          <cell r="B6718">
            <v>9</v>
          </cell>
          <cell r="C6718" t="str">
            <v>+ Giẻ lau</v>
          </cell>
          <cell r="D6718" t="str">
            <v>Kg</v>
          </cell>
          <cell r="E6718">
            <v>0.8</v>
          </cell>
          <cell r="F6718">
            <v>9500</v>
          </cell>
          <cell r="G6718">
            <v>7600</v>
          </cell>
        </row>
        <row r="6719">
          <cell r="B6719">
            <v>137</v>
          </cell>
          <cell r="C6719" t="str">
            <v>Vật liệu khác</v>
          </cell>
          <cell r="D6719" t="str">
            <v>%</v>
          </cell>
          <cell r="E6719">
            <v>5</v>
          </cell>
          <cell r="F6719">
            <v>1500</v>
          </cell>
          <cell r="G6719">
            <v>950</v>
          </cell>
        </row>
        <row r="6720">
          <cell r="C6720" t="str">
            <v>Nhân công</v>
          </cell>
          <cell r="G6720">
            <v>2058586.5860526317</v>
          </cell>
        </row>
        <row r="6721">
          <cell r="B6721" t="str">
            <v>NC1457</v>
          </cell>
          <cell r="C6721" t="str">
            <v>+ Nhân công bậc 4,5/7</v>
          </cell>
          <cell r="D6721" t="str">
            <v>Công</v>
          </cell>
          <cell r="E6721">
            <v>9.7200000000000006</v>
          </cell>
          <cell r="F6721">
            <v>211788.74342105264</v>
          </cell>
          <cell r="G6721">
            <v>2058586.5860526317</v>
          </cell>
        </row>
        <row r="6722">
          <cell r="A6722" t="str">
            <v>D4.3415</v>
          </cell>
          <cell r="C6722" t="str">
            <v>Làm đầu cáp lực, cáp khô 66KV 1 pha, Cáp có tiết diện &lt;= 240mm2</v>
          </cell>
          <cell r="D6722" t="str">
            <v>đầu</v>
          </cell>
          <cell r="H6722">
            <v>21945</v>
          </cell>
          <cell r="I6722">
            <v>2306379.4158552634</v>
          </cell>
        </row>
        <row r="6723">
          <cell r="C6723" t="str">
            <v>Vật liệu</v>
          </cell>
          <cell r="G6723">
            <v>21945</v>
          </cell>
        </row>
        <row r="6724">
          <cell r="B6724">
            <v>1</v>
          </cell>
          <cell r="C6724" t="str">
            <v>+ Cồn công nghiệp</v>
          </cell>
          <cell r="D6724" t="str">
            <v>kg</v>
          </cell>
          <cell r="E6724">
            <v>1.4</v>
          </cell>
          <cell r="F6724">
            <v>9500</v>
          </cell>
          <cell r="G6724">
            <v>13300</v>
          </cell>
        </row>
        <row r="6725">
          <cell r="B6725">
            <v>9</v>
          </cell>
          <cell r="C6725" t="str">
            <v>+ Giẻ lau</v>
          </cell>
          <cell r="D6725" t="str">
            <v>Kg</v>
          </cell>
          <cell r="E6725">
            <v>0.8</v>
          </cell>
          <cell r="F6725">
            <v>9500</v>
          </cell>
          <cell r="G6725">
            <v>7600</v>
          </cell>
        </row>
        <row r="6726">
          <cell r="B6726">
            <v>137</v>
          </cell>
          <cell r="C6726" t="str">
            <v>Vật liệu khác</v>
          </cell>
          <cell r="D6726" t="str">
            <v>%</v>
          </cell>
          <cell r="E6726">
            <v>5</v>
          </cell>
          <cell r="F6726">
            <v>1500</v>
          </cell>
          <cell r="G6726">
            <v>1045</v>
          </cell>
        </row>
        <row r="6727">
          <cell r="C6727" t="str">
            <v>Nhân công</v>
          </cell>
          <cell r="G6727">
            <v>2306379.4158552634</v>
          </cell>
        </row>
        <row r="6728">
          <cell r="B6728" t="str">
            <v>NC1457</v>
          </cell>
          <cell r="C6728" t="str">
            <v>+ Nhân công bậc 4,5/7</v>
          </cell>
          <cell r="D6728" t="str">
            <v>Công</v>
          </cell>
          <cell r="E6728">
            <v>10.89</v>
          </cell>
          <cell r="F6728">
            <v>211788.74342105264</v>
          </cell>
          <cell r="G6728">
            <v>2306379.4158552634</v>
          </cell>
        </row>
        <row r="6729">
          <cell r="A6729" t="str">
            <v>D4.3416</v>
          </cell>
          <cell r="C6729" t="str">
            <v>Làm đầu cáp lực, cáp khô 66KV 1 pha, Cáp có tiết diện &lt;=300mm2</v>
          </cell>
          <cell r="D6729" t="str">
            <v>đầu</v>
          </cell>
          <cell r="H6729">
            <v>21945</v>
          </cell>
          <cell r="I6729">
            <v>2988339.1696710526</v>
          </cell>
        </row>
        <row r="6730">
          <cell r="C6730" t="str">
            <v>Vật liệu</v>
          </cell>
          <cell r="G6730">
            <v>21945</v>
          </cell>
        </row>
        <row r="6731">
          <cell r="B6731">
            <v>1</v>
          </cell>
          <cell r="C6731" t="str">
            <v>+ Cồn công nghiệp</v>
          </cell>
          <cell r="D6731" t="str">
            <v>kg</v>
          </cell>
          <cell r="E6731">
            <v>1.4</v>
          </cell>
          <cell r="F6731">
            <v>9500</v>
          </cell>
          <cell r="G6731">
            <v>13300</v>
          </cell>
        </row>
        <row r="6732">
          <cell r="B6732">
            <v>9</v>
          </cell>
          <cell r="C6732" t="str">
            <v>+ Giẻ lau</v>
          </cell>
          <cell r="D6732" t="str">
            <v>Kg</v>
          </cell>
          <cell r="E6732">
            <v>0.8</v>
          </cell>
          <cell r="F6732">
            <v>9500</v>
          </cell>
          <cell r="G6732">
            <v>7600</v>
          </cell>
        </row>
        <row r="6733">
          <cell r="B6733">
            <v>137</v>
          </cell>
          <cell r="C6733" t="str">
            <v>Vật liệu khác</v>
          </cell>
          <cell r="D6733" t="str">
            <v>%</v>
          </cell>
          <cell r="E6733">
            <v>5</v>
          </cell>
          <cell r="F6733">
            <v>1500</v>
          </cell>
          <cell r="G6733">
            <v>1045</v>
          </cell>
        </row>
        <row r="6734">
          <cell r="C6734" t="str">
            <v>Nhân công</v>
          </cell>
          <cell r="G6734">
            <v>2988339.1696710526</v>
          </cell>
        </row>
        <row r="6735">
          <cell r="B6735" t="str">
            <v>NC1457</v>
          </cell>
          <cell r="C6735" t="str">
            <v>+ Nhân công bậc 4,5/7</v>
          </cell>
          <cell r="D6735" t="str">
            <v>Công</v>
          </cell>
          <cell r="E6735">
            <v>14.11</v>
          </cell>
          <cell r="F6735">
            <v>211788.74342105264</v>
          </cell>
          <cell r="G6735">
            <v>2988339.1696710526</v>
          </cell>
        </row>
        <row r="6736">
          <cell r="A6736" t="str">
            <v>D4.3417</v>
          </cell>
          <cell r="C6736" t="str">
            <v>Làm đầu cáp lực, cáp khô 66KV 1 pha, Cáp có tiết diện &lt;=400mm2</v>
          </cell>
          <cell r="D6736" t="str">
            <v>đầu</v>
          </cell>
          <cell r="H6736">
            <v>26334</v>
          </cell>
          <cell r="I6736">
            <v>3585583.4261184214</v>
          </cell>
        </row>
        <row r="6737">
          <cell r="C6737" t="str">
            <v>Vật liệu</v>
          </cell>
          <cell r="G6737">
            <v>26334</v>
          </cell>
        </row>
        <row r="6738">
          <cell r="B6738">
            <v>1</v>
          </cell>
          <cell r="C6738" t="str">
            <v>+ Cồn công nghiệp</v>
          </cell>
          <cell r="D6738" t="str">
            <v>kg</v>
          </cell>
          <cell r="E6738">
            <v>1.68</v>
          </cell>
          <cell r="F6738">
            <v>9500</v>
          </cell>
          <cell r="G6738">
            <v>15960</v>
          </cell>
        </row>
        <row r="6739">
          <cell r="B6739">
            <v>9</v>
          </cell>
          <cell r="C6739" t="str">
            <v>+ Giẻ lau</v>
          </cell>
          <cell r="D6739" t="str">
            <v>Kg</v>
          </cell>
          <cell r="E6739">
            <v>0.96</v>
          </cell>
          <cell r="F6739">
            <v>9500</v>
          </cell>
          <cell r="G6739">
            <v>9120</v>
          </cell>
        </row>
        <row r="6740">
          <cell r="B6740">
            <v>137</v>
          </cell>
          <cell r="C6740" t="str">
            <v>Vật liệu khác</v>
          </cell>
          <cell r="D6740" t="str">
            <v>%</v>
          </cell>
          <cell r="E6740">
            <v>5</v>
          </cell>
          <cell r="F6740">
            <v>1500</v>
          </cell>
          <cell r="G6740">
            <v>1254</v>
          </cell>
        </row>
        <row r="6741">
          <cell r="C6741" t="str">
            <v>Nhân công</v>
          </cell>
          <cell r="G6741">
            <v>3585583.4261184214</v>
          </cell>
        </row>
        <row r="6742">
          <cell r="B6742" t="str">
            <v>NC1457</v>
          </cell>
          <cell r="C6742" t="str">
            <v>+ Nhân công bậc 4,5/7</v>
          </cell>
          <cell r="D6742" t="str">
            <v>Công</v>
          </cell>
          <cell r="E6742">
            <v>16.93</v>
          </cell>
          <cell r="F6742">
            <v>211788.74342105264</v>
          </cell>
          <cell r="G6742">
            <v>3585583.4261184214</v>
          </cell>
        </row>
        <row r="6743">
          <cell r="A6743" t="str">
            <v>D4.3421</v>
          </cell>
          <cell r="C6743" t="str">
            <v>Làm đầu cáp lực, cáp khô 110KV 1 pha, Cáp có tiết diện &lt;=35mm2</v>
          </cell>
          <cell r="D6743" t="str">
            <v>đầu</v>
          </cell>
          <cell r="H6743">
            <v>13965</v>
          </cell>
          <cell r="I6743">
            <v>2016228.837368421</v>
          </cell>
        </row>
        <row r="6744">
          <cell r="C6744" t="str">
            <v>Vật liệu</v>
          </cell>
          <cell r="G6744">
            <v>13965</v>
          </cell>
        </row>
        <row r="6745">
          <cell r="B6745">
            <v>1</v>
          </cell>
          <cell r="C6745" t="str">
            <v>+ Cồn công nghiệp</v>
          </cell>
          <cell r="D6745" t="str">
            <v>kg</v>
          </cell>
          <cell r="E6745">
            <v>1</v>
          </cell>
          <cell r="F6745">
            <v>9500</v>
          </cell>
          <cell r="G6745">
            <v>9500</v>
          </cell>
        </row>
        <row r="6746">
          <cell r="B6746">
            <v>9</v>
          </cell>
          <cell r="C6746" t="str">
            <v>+ Giẻ lau</v>
          </cell>
          <cell r="D6746" t="str">
            <v>Kg</v>
          </cell>
          <cell r="E6746">
            <v>0.4</v>
          </cell>
          <cell r="F6746">
            <v>9500</v>
          </cell>
          <cell r="G6746">
            <v>3800</v>
          </cell>
        </row>
        <row r="6747">
          <cell r="B6747">
            <v>137</v>
          </cell>
          <cell r="C6747" t="str">
            <v>Vật liệu khác</v>
          </cell>
          <cell r="D6747" t="str">
            <v>%</v>
          </cell>
          <cell r="E6747">
            <v>5</v>
          </cell>
          <cell r="F6747">
            <v>1500</v>
          </cell>
          <cell r="G6747">
            <v>665</v>
          </cell>
        </row>
        <row r="6748">
          <cell r="C6748" t="str">
            <v>Nhân công</v>
          </cell>
          <cell r="G6748">
            <v>2016228.837368421</v>
          </cell>
        </row>
        <row r="6749">
          <cell r="B6749" t="str">
            <v>NC1457</v>
          </cell>
          <cell r="C6749" t="str">
            <v>+ Nhân công bậc 4,5/7</v>
          </cell>
          <cell r="D6749" t="str">
            <v>Công</v>
          </cell>
          <cell r="E6749">
            <v>9.52</v>
          </cell>
          <cell r="F6749">
            <v>211788.74342105264</v>
          </cell>
          <cell r="G6749">
            <v>2016228.837368421</v>
          </cell>
        </row>
        <row r="6750">
          <cell r="A6750" t="str">
            <v>D4.3422</v>
          </cell>
          <cell r="C6750" t="str">
            <v>Làm đầu cáp lực, cáp khô 110KV 1 pha, Cáp có tiết diện &lt; =70mm2</v>
          </cell>
          <cell r="D6750" t="str">
            <v>đầu</v>
          </cell>
          <cell r="H6750">
            <v>13965</v>
          </cell>
          <cell r="I6750">
            <v>2219546.0310526318</v>
          </cell>
        </row>
        <row r="6751">
          <cell r="C6751" t="str">
            <v>Vật liệu</v>
          </cell>
          <cell r="G6751">
            <v>13965</v>
          </cell>
        </row>
        <row r="6752">
          <cell r="B6752">
            <v>1</v>
          </cell>
          <cell r="C6752" t="str">
            <v>+ Cồn công nghiệp</v>
          </cell>
          <cell r="D6752" t="str">
            <v>kg</v>
          </cell>
          <cell r="E6752">
            <v>1</v>
          </cell>
          <cell r="F6752">
            <v>9500</v>
          </cell>
          <cell r="G6752">
            <v>9500</v>
          </cell>
        </row>
        <row r="6753">
          <cell r="B6753">
            <v>9</v>
          </cell>
          <cell r="C6753" t="str">
            <v>+ Giẻ lau</v>
          </cell>
          <cell r="D6753" t="str">
            <v>Kg</v>
          </cell>
          <cell r="E6753">
            <v>0.4</v>
          </cell>
          <cell r="F6753">
            <v>9500</v>
          </cell>
          <cell r="G6753">
            <v>3800</v>
          </cell>
        </row>
        <row r="6754">
          <cell r="B6754">
            <v>137</v>
          </cell>
          <cell r="C6754" t="str">
            <v>Vật liệu khác</v>
          </cell>
          <cell r="D6754" t="str">
            <v>%</v>
          </cell>
          <cell r="E6754">
            <v>5</v>
          </cell>
          <cell r="F6754">
            <v>1500</v>
          </cell>
          <cell r="G6754">
            <v>665</v>
          </cell>
        </row>
        <row r="6755">
          <cell r="C6755" t="str">
            <v>Nhân công</v>
          </cell>
          <cell r="G6755">
            <v>2219546.0310526318</v>
          </cell>
        </row>
        <row r="6756">
          <cell r="B6756" t="str">
            <v>NC1457</v>
          </cell>
          <cell r="C6756" t="str">
            <v>+ Nhân công bậc 4,5/7</v>
          </cell>
          <cell r="D6756" t="str">
            <v>Công</v>
          </cell>
          <cell r="E6756">
            <v>10.48</v>
          </cell>
          <cell r="F6756">
            <v>211788.74342105264</v>
          </cell>
          <cell r="G6756">
            <v>2219546.0310526318</v>
          </cell>
        </row>
        <row r="6757">
          <cell r="A6757" t="str">
            <v>D4.3423</v>
          </cell>
          <cell r="C6757" t="str">
            <v>Làm đầu cáp lực, cáp khô 110KV 1 pha, Cáp có tiết diện &lt; =120mm2</v>
          </cell>
          <cell r="D6757" t="str">
            <v>đầu</v>
          </cell>
          <cell r="H6757">
            <v>15960</v>
          </cell>
          <cell r="I6757">
            <v>2439806.3242105264</v>
          </cell>
        </row>
        <row r="6758">
          <cell r="C6758" t="str">
            <v>Vật liệu</v>
          </cell>
          <cell r="G6758">
            <v>15960</v>
          </cell>
        </row>
        <row r="6759">
          <cell r="B6759">
            <v>1</v>
          </cell>
          <cell r="C6759" t="str">
            <v>+ Cồn công nghiệp</v>
          </cell>
          <cell r="D6759" t="str">
            <v>kg</v>
          </cell>
          <cell r="E6759">
            <v>1.2</v>
          </cell>
          <cell r="F6759">
            <v>9500</v>
          </cell>
          <cell r="G6759">
            <v>11400</v>
          </cell>
        </row>
        <row r="6760">
          <cell r="B6760">
            <v>9</v>
          </cell>
          <cell r="C6760" t="str">
            <v>+ Giẻ lau</v>
          </cell>
          <cell r="D6760" t="str">
            <v>Kg</v>
          </cell>
          <cell r="E6760">
            <v>0.4</v>
          </cell>
          <cell r="F6760">
            <v>9500</v>
          </cell>
          <cell r="G6760">
            <v>3800</v>
          </cell>
        </row>
        <row r="6761">
          <cell r="B6761">
            <v>137</v>
          </cell>
          <cell r="C6761" t="str">
            <v>Vật liệu khác</v>
          </cell>
          <cell r="D6761" t="str">
            <v>%</v>
          </cell>
          <cell r="E6761">
            <v>5</v>
          </cell>
          <cell r="F6761">
            <v>1500</v>
          </cell>
          <cell r="G6761">
            <v>760</v>
          </cell>
        </row>
        <row r="6762">
          <cell r="C6762" t="str">
            <v>Nhân công</v>
          </cell>
          <cell r="G6762">
            <v>2439806.3242105264</v>
          </cell>
        </row>
        <row r="6763">
          <cell r="B6763" t="str">
            <v>NC1457</v>
          </cell>
          <cell r="C6763" t="str">
            <v>+ Nhân công bậc 4,5/7</v>
          </cell>
          <cell r="D6763" t="str">
            <v>Công</v>
          </cell>
          <cell r="E6763">
            <v>11.52</v>
          </cell>
          <cell r="F6763">
            <v>211788.74342105264</v>
          </cell>
          <cell r="G6763">
            <v>2439806.3242105264</v>
          </cell>
        </row>
        <row r="6764">
          <cell r="A6764" t="str">
            <v>D4.3424</v>
          </cell>
          <cell r="C6764" t="str">
            <v>Làm đầu cáp lực, cáp khô 110KV 1 pha, Cáp có tiết diện &lt;=185mm2</v>
          </cell>
          <cell r="D6764" t="str">
            <v>đầu</v>
          </cell>
          <cell r="H6764">
            <v>19950</v>
          </cell>
          <cell r="I6764">
            <v>2677009.7168421056</v>
          </cell>
        </row>
        <row r="6765">
          <cell r="C6765" t="str">
            <v>Vật liệu</v>
          </cell>
          <cell r="G6765">
            <v>19950</v>
          </cell>
        </row>
        <row r="6766">
          <cell r="B6766">
            <v>1</v>
          </cell>
          <cell r="C6766" t="str">
            <v>+ Cồn công nghiệp</v>
          </cell>
          <cell r="D6766" t="str">
            <v>kg</v>
          </cell>
          <cell r="E6766">
            <v>1.2</v>
          </cell>
          <cell r="F6766">
            <v>9500</v>
          </cell>
          <cell r="G6766">
            <v>11400</v>
          </cell>
        </row>
        <row r="6767">
          <cell r="B6767">
            <v>9</v>
          </cell>
          <cell r="C6767" t="str">
            <v>+ Giẻ lau</v>
          </cell>
          <cell r="D6767" t="str">
            <v>Kg</v>
          </cell>
          <cell r="E6767">
            <v>0.8</v>
          </cell>
          <cell r="F6767">
            <v>9500</v>
          </cell>
          <cell r="G6767">
            <v>7600</v>
          </cell>
        </row>
        <row r="6768">
          <cell r="B6768">
            <v>137</v>
          </cell>
          <cell r="C6768" t="str">
            <v>Vật liệu khác</v>
          </cell>
          <cell r="D6768" t="str">
            <v>%</v>
          </cell>
          <cell r="E6768">
            <v>5</v>
          </cell>
          <cell r="F6768">
            <v>1500</v>
          </cell>
          <cell r="G6768">
            <v>950</v>
          </cell>
        </row>
        <row r="6769">
          <cell r="C6769" t="str">
            <v>Nhân công</v>
          </cell>
          <cell r="G6769">
            <v>2677009.7168421056</v>
          </cell>
        </row>
        <row r="6770">
          <cell r="B6770" t="str">
            <v>NC1457</v>
          </cell>
          <cell r="C6770" t="str">
            <v>+ Nhân công bậc 4,5/7</v>
          </cell>
          <cell r="D6770" t="str">
            <v>Công</v>
          </cell>
          <cell r="E6770">
            <v>12.64</v>
          </cell>
          <cell r="F6770">
            <v>211788.74342105264</v>
          </cell>
          <cell r="G6770">
            <v>2677009.7168421056</v>
          </cell>
        </row>
        <row r="6771">
          <cell r="A6771" t="str">
            <v>D4.3425</v>
          </cell>
          <cell r="C6771" t="str">
            <v>Làm đầu cáp lực, cáp khô 110KV 1 pha, Cáp có tiết diện &lt;= 240mm2</v>
          </cell>
          <cell r="D6771" t="str">
            <v>đầu</v>
          </cell>
          <cell r="H6771">
            <v>21945</v>
          </cell>
          <cell r="I6771">
            <v>2998928.6068421053</v>
          </cell>
        </row>
        <row r="6772">
          <cell r="C6772" t="str">
            <v>Vật liệu</v>
          </cell>
          <cell r="G6772">
            <v>21945</v>
          </cell>
        </row>
        <row r="6773">
          <cell r="B6773">
            <v>1</v>
          </cell>
          <cell r="C6773" t="str">
            <v>+ Cồn công nghiệp</v>
          </cell>
          <cell r="D6773" t="str">
            <v>kg</v>
          </cell>
          <cell r="E6773">
            <v>1.4</v>
          </cell>
          <cell r="F6773">
            <v>9500</v>
          </cell>
          <cell r="G6773">
            <v>13300</v>
          </cell>
        </row>
        <row r="6774">
          <cell r="B6774">
            <v>9</v>
          </cell>
          <cell r="C6774" t="str">
            <v>+ Giẻ lau</v>
          </cell>
          <cell r="D6774" t="str">
            <v>Kg</v>
          </cell>
          <cell r="E6774">
            <v>0.8</v>
          </cell>
          <cell r="F6774">
            <v>9500</v>
          </cell>
          <cell r="G6774">
            <v>7600</v>
          </cell>
        </row>
        <row r="6775">
          <cell r="B6775">
            <v>137</v>
          </cell>
          <cell r="C6775" t="str">
            <v>Vật liệu khác</v>
          </cell>
          <cell r="D6775" t="str">
            <v>%</v>
          </cell>
          <cell r="E6775">
            <v>5</v>
          </cell>
          <cell r="F6775">
            <v>1500</v>
          </cell>
          <cell r="G6775">
            <v>1045</v>
          </cell>
        </row>
        <row r="6776">
          <cell r="C6776" t="str">
            <v>Nhân công</v>
          </cell>
          <cell r="G6776">
            <v>2998928.6068421053</v>
          </cell>
        </row>
        <row r="6777">
          <cell r="B6777" t="str">
            <v>NC1457</v>
          </cell>
          <cell r="C6777" t="str">
            <v>+ Nhân công bậc 4,5/7</v>
          </cell>
          <cell r="D6777" t="str">
            <v>Công</v>
          </cell>
          <cell r="E6777">
            <v>14.16</v>
          </cell>
          <cell r="F6777">
            <v>211788.74342105264</v>
          </cell>
          <cell r="G6777">
            <v>2998928.6068421053</v>
          </cell>
        </row>
        <row r="6778">
          <cell r="A6778" t="str">
            <v>D4.3426</v>
          </cell>
          <cell r="C6778" t="str">
            <v>Làm đầu cáp lực, cáp khô 110KV 1 pha, Cáp có tiết diện &lt;=300mm2</v>
          </cell>
          <cell r="D6778" t="str">
            <v>đầu</v>
          </cell>
          <cell r="H6778">
            <v>21945</v>
          </cell>
          <cell r="I6778">
            <v>3884205.5543421055</v>
          </cell>
        </row>
        <row r="6779">
          <cell r="C6779" t="str">
            <v>Vật liệu</v>
          </cell>
          <cell r="G6779">
            <v>21945</v>
          </cell>
        </row>
        <row r="6780">
          <cell r="B6780">
            <v>1</v>
          </cell>
          <cell r="C6780" t="str">
            <v>+ Cồn công nghiệp</v>
          </cell>
          <cell r="D6780" t="str">
            <v>kg</v>
          </cell>
          <cell r="E6780">
            <v>1.4</v>
          </cell>
          <cell r="F6780">
            <v>9500</v>
          </cell>
          <cell r="G6780">
            <v>13300</v>
          </cell>
        </row>
        <row r="6781">
          <cell r="B6781">
            <v>9</v>
          </cell>
          <cell r="C6781" t="str">
            <v>+ Giẻ lau</v>
          </cell>
          <cell r="D6781" t="str">
            <v>Kg</v>
          </cell>
          <cell r="E6781">
            <v>0.8</v>
          </cell>
          <cell r="F6781">
            <v>9500</v>
          </cell>
          <cell r="G6781">
            <v>7600</v>
          </cell>
        </row>
        <row r="6782">
          <cell r="B6782">
            <v>137</v>
          </cell>
          <cell r="C6782" t="str">
            <v>Vật liệu khác</v>
          </cell>
          <cell r="D6782" t="str">
            <v>%</v>
          </cell>
          <cell r="E6782">
            <v>5</v>
          </cell>
          <cell r="F6782">
            <v>1500</v>
          </cell>
          <cell r="G6782">
            <v>1045</v>
          </cell>
        </row>
        <row r="6783">
          <cell r="C6783" t="str">
            <v>Nhân công</v>
          </cell>
          <cell r="G6783">
            <v>3884205.5543421055</v>
          </cell>
        </row>
        <row r="6784">
          <cell r="B6784" t="str">
            <v>NC1457</v>
          </cell>
          <cell r="C6784" t="str">
            <v>+ Nhân công bậc 4,5/7</v>
          </cell>
          <cell r="D6784" t="str">
            <v>Công</v>
          </cell>
          <cell r="E6784">
            <v>18.34</v>
          </cell>
          <cell r="F6784">
            <v>211788.74342105264</v>
          </cell>
          <cell r="G6784">
            <v>3884205.5543421055</v>
          </cell>
        </row>
        <row r="6785">
          <cell r="A6785" t="str">
            <v>D4.3427</v>
          </cell>
          <cell r="C6785" t="str">
            <v>Làm đầu cáp lực, cáp khô 110KV 1 pha, Cáp có tiết diện &lt;=400mm2</v>
          </cell>
          <cell r="D6785" t="str">
            <v>đầu</v>
          </cell>
          <cell r="H6785">
            <v>26334</v>
          </cell>
          <cell r="I6785">
            <v>4661470.2426973693</v>
          </cell>
        </row>
        <row r="6786">
          <cell r="C6786" t="str">
            <v>Vật liệu</v>
          </cell>
          <cell r="G6786">
            <v>26334</v>
          </cell>
        </row>
        <row r="6787">
          <cell r="B6787">
            <v>1</v>
          </cell>
          <cell r="C6787" t="str">
            <v>+ Cồn công nghiệp</v>
          </cell>
          <cell r="D6787" t="str">
            <v>kg</v>
          </cell>
          <cell r="E6787">
            <v>1.68</v>
          </cell>
          <cell r="F6787">
            <v>9500</v>
          </cell>
          <cell r="G6787">
            <v>15960</v>
          </cell>
        </row>
        <row r="6788">
          <cell r="B6788">
            <v>9</v>
          </cell>
          <cell r="C6788" t="str">
            <v>+ Giẻ lau</v>
          </cell>
          <cell r="D6788" t="str">
            <v>Kg</v>
          </cell>
          <cell r="E6788">
            <v>0.96</v>
          </cell>
          <cell r="F6788">
            <v>9500</v>
          </cell>
          <cell r="G6788">
            <v>9120</v>
          </cell>
        </row>
        <row r="6789">
          <cell r="B6789">
            <v>137</v>
          </cell>
          <cell r="C6789" t="str">
            <v>Vật liệu khác</v>
          </cell>
          <cell r="D6789" t="str">
            <v>%</v>
          </cell>
          <cell r="E6789">
            <v>5</v>
          </cell>
          <cell r="F6789">
            <v>1500</v>
          </cell>
          <cell r="G6789">
            <v>1254</v>
          </cell>
        </row>
        <row r="6790">
          <cell r="C6790" t="str">
            <v>Nhân công</v>
          </cell>
          <cell r="G6790">
            <v>4661470.2426973693</v>
          </cell>
        </row>
        <row r="6791">
          <cell r="B6791" t="str">
            <v>NC1457</v>
          </cell>
          <cell r="C6791" t="str">
            <v>+ Nhân công bậc 4,5/7</v>
          </cell>
          <cell r="D6791" t="str">
            <v>Công</v>
          </cell>
          <cell r="E6791">
            <v>22.01</v>
          </cell>
          <cell r="F6791">
            <v>211788.74342105264</v>
          </cell>
          <cell r="G6791">
            <v>4661470.2426973693</v>
          </cell>
        </row>
        <row r="6792">
          <cell r="A6792" t="str">
            <v>D4.3431</v>
          </cell>
          <cell r="C6792" t="str">
            <v>Làm đầu cáp lực khô 66KV, Phễu cáp bằng gang, Cáp có tiết diện &lt;=35mm2</v>
          </cell>
          <cell r="D6792" t="str">
            <v>1 đầu 1 pha</v>
          </cell>
          <cell r="H6792">
            <v>615224.4</v>
          </cell>
          <cell r="I6792">
            <v>2975631.8450657898</v>
          </cell>
        </row>
        <row r="6793">
          <cell r="C6793" t="str">
            <v>Vật liệu</v>
          </cell>
          <cell r="G6793">
            <v>615224.4</v>
          </cell>
        </row>
        <row r="6794">
          <cell r="B6794">
            <v>25</v>
          </cell>
          <cell r="C6794" t="str">
            <v>+ Coliê sắt</v>
          </cell>
          <cell r="D6794" t="str">
            <v>bộ</v>
          </cell>
          <cell r="E6794">
            <v>2</v>
          </cell>
          <cell r="F6794">
            <v>8000</v>
          </cell>
          <cell r="G6794">
            <v>16000</v>
          </cell>
        </row>
        <row r="6795">
          <cell r="B6795">
            <v>114</v>
          </cell>
          <cell r="C6795" t="str">
            <v>+ Dây đồng 25mm2</v>
          </cell>
          <cell r="D6795" t="str">
            <v>m</v>
          </cell>
          <cell r="E6795">
            <v>4</v>
          </cell>
          <cell r="F6795">
            <v>69454</v>
          </cell>
          <cell r="G6795">
            <v>277816</v>
          </cell>
        </row>
        <row r="6796">
          <cell r="B6796">
            <v>35</v>
          </cell>
          <cell r="C6796" t="str">
            <v>+ Chất cách điện</v>
          </cell>
          <cell r="D6796" t="str">
            <v>kg</v>
          </cell>
          <cell r="E6796">
            <v>15</v>
          </cell>
          <cell r="F6796">
            <v>15450</v>
          </cell>
          <cell r="G6796">
            <v>231750</v>
          </cell>
        </row>
        <row r="6797">
          <cell r="B6797">
            <v>25</v>
          </cell>
          <cell r="C6797" t="str">
            <v>+ Băng vải nhựa, ni lông ( băng dính )</v>
          </cell>
          <cell r="D6797" t="str">
            <v>cuộn</v>
          </cell>
          <cell r="E6797">
            <v>2</v>
          </cell>
          <cell r="F6797">
            <v>8000</v>
          </cell>
          <cell r="G6797">
            <v>16000</v>
          </cell>
        </row>
        <row r="6798">
          <cell r="B6798">
            <v>3</v>
          </cell>
          <cell r="C6798" t="str">
            <v>+ Xăng</v>
          </cell>
          <cell r="D6798" t="str">
            <v>kg</v>
          </cell>
          <cell r="E6798">
            <v>1</v>
          </cell>
          <cell r="F6798">
            <v>18382</v>
          </cell>
          <cell r="G6798">
            <v>18382</v>
          </cell>
        </row>
        <row r="6799">
          <cell r="B6799">
            <v>1</v>
          </cell>
          <cell r="C6799" t="str">
            <v>+ Cồn công nghiệp</v>
          </cell>
          <cell r="D6799" t="str">
            <v>kg</v>
          </cell>
          <cell r="E6799">
            <v>1</v>
          </cell>
          <cell r="F6799">
            <v>9500</v>
          </cell>
          <cell r="G6799">
            <v>9500</v>
          </cell>
        </row>
        <row r="6800">
          <cell r="B6800">
            <v>9</v>
          </cell>
          <cell r="C6800" t="str">
            <v>+ Giẻ lau</v>
          </cell>
          <cell r="D6800" t="str">
            <v>Kg</v>
          </cell>
          <cell r="E6800">
            <v>0.5</v>
          </cell>
          <cell r="F6800">
            <v>9500</v>
          </cell>
          <cell r="G6800">
            <v>4750</v>
          </cell>
        </row>
        <row r="6801">
          <cell r="B6801">
            <v>4</v>
          </cell>
          <cell r="C6801" t="str">
            <v>+ Giấy ráp</v>
          </cell>
          <cell r="D6801" t="str">
            <v>tờ</v>
          </cell>
          <cell r="E6801">
            <v>1</v>
          </cell>
          <cell r="F6801">
            <v>10000</v>
          </cell>
          <cell r="G6801">
            <v>10000</v>
          </cell>
        </row>
        <row r="6802">
          <cell r="B6802">
            <v>33</v>
          </cell>
          <cell r="C6802" t="str">
            <v>+ Ma tít</v>
          </cell>
          <cell r="D6802" t="str">
            <v>kg</v>
          </cell>
          <cell r="E6802">
            <v>0.1</v>
          </cell>
          <cell r="F6802">
            <v>17300</v>
          </cell>
          <cell r="G6802">
            <v>1730</v>
          </cell>
        </row>
        <row r="6803">
          <cell r="B6803">
            <v>137</v>
          </cell>
          <cell r="C6803" t="str">
            <v>Vật liệu khác</v>
          </cell>
          <cell r="D6803" t="str">
            <v>%</v>
          </cell>
          <cell r="E6803">
            <v>5</v>
          </cell>
          <cell r="F6803">
            <v>1500</v>
          </cell>
          <cell r="G6803">
            <v>29296.400000000001</v>
          </cell>
        </row>
        <row r="6804">
          <cell r="C6804" t="str">
            <v>Nhân công</v>
          </cell>
          <cell r="G6804">
            <v>2975631.8450657898</v>
          </cell>
        </row>
        <row r="6805">
          <cell r="B6805" t="str">
            <v>NC1457</v>
          </cell>
          <cell r="C6805" t="str">
            <v>+ Nhân công bậc 4,5/7</v>
          </cell>
          <cell r="D6805" t="str">
            <v>Công</v>
          </cell>
          <cell r="E6805">
            <v>14.05</v>
          </cell>
          <cell r="F6805">
            <v>211788.74342105264</v>
          </cell>
          <cell r="G6805">
            <v>2975631.8450657898</v>
          </cell>
        </row>
        <row r="6806">
          <cell r="A6806" t="str">
            <v>D4.3432</v>
          </cell>
          <cell r="C6806" t="str">
            <v>Làm đầu cáp lực khô 66KV, Phễu cáp bằng gang, Cáp có tiết diện &lt;=70mm2</v>
          </cell>
          <cell r="D6806" t="str">
            <v>1 đầu 1 pha</v>
          </cell>
          <cell r="H6806">
            <v>615224.4</v>
          </cell>
          <cell r="I6806">
            <v>3316611.7219736846</v>
          </cell>
        </row>
        <row r="6807">
          <cell r="C6807" t="str">
            <v>Vật liệu</v>
          </cell>
          <cell r="G6807">
            <v>615224.4</v>
          </cell>
        </row>
        <row r="6808">
          <cell r="B6808">
            <v>25</v>
          </cell>
          <cell r="C6808" t="str">
            <v>+ Coliê sắt</v>
          </cell>
          <cell r="D6808" t="str">
            <v>bộ</v>
          </cell>
          <cell r="E6808">
            <v>2</v>
          </cell>
          <cell r="F6808">
            <v>8000</v>
          </cell>
          <cell r="G6808">
            <v>16000</v>
          </cell>
        </row>
        <row r="6809">
          <cell r="B6809">
            <v>114</v>
          </cell>
          <cell r="C6809" t="str">
            <v>+ Dây đồng 25mm2</v>
          </cell>
          <cell r="D6809" t="str">
            <v>m</v>
          </cell>
          <cell r="E6809">
            <v>4</v>
          </cell>
          <cell r="F6809">
            <v>69454</v>
          </cell>
          <cell r="G6809">
            <v>277816</v>
          </cell>
        </row>
        <row r="6810">
          <cell r="B6810">
            <v>35</v>
          </cell>
          <cell r="C6810" t="str">
            <v>+ Chất cách điện</v>
          </cell>
          <cell r="D6810" t="str">
            <v>kg</v>
          </cell>
          <cell r="E6810">
            <v>15</v>
          </cell>
          <cell r="F6810">
            <v>15450</v>
          </cell>
          <cell r="G6810">
            <v>231750</v>
          </cell>
        </row>
        <row r="6811">
          <cell r="B6811">
            <v>25</v>
          </cell>
          <cell r="C6811" t="str">
            <v>+ Băng vải nhựa, ni lông ( băng dính )</v>
          </cell>
          <cell r="D6811" t="str">
            <v>cuộn</v>
          </cell>
          <cell r="E6811">
            <v>2</v>
          </cell>
          <cell r="F6811">
            <v>8000</v>
          </cell>
          <cell r="G6811">
            <v>16000</v>
          </cell>
        </row>
        <row r="6812">
          <cell r="B6812">
            <v>3</v>
          </cell>
          <cell r="C6812" t="str">
            <v>+ Xăng</v>
          </cell>
          <cell r="D6812" t="str">
            <v>kg</v>
          </cell>
          <cell r="E6812">
            <v>1</v>
          </cell>
          <cell r="F6812">
            <v>18382</v>
          </cell>
          <cell r="G6812">
            <v>18382</v>
          </cell>
        </row>
        <row r="6813">
          <cell r="B6813">
            <v>1</v>
          </cell>
          <cell r="C6813" t="str">
            <v>+ Cồn công nghiệp</v>
          </cell>
          <cell r="D6813" t="str">
            <v>kg</v>
          </cell>
          <cell r="E6813">
            <v>1</v>
          </cell>
          <cell r="F6813">
            <v>9500</v>
          </cell>
          <cell r="G6813">
            <v>9500</v>
          </cell>
        </row>
        <row r="6814">
          <cell r="B6814">
            <v>9</v>
          </cell>
          <cell r="C6814" t="str">
            <v>+ Giẻ lau</v>
          </cell>
          <cell r="D6814" t="str">
            <v>Kg</v>
          </cell>
          <cell r="E6814">
            <v>0.5</v>
          </cell>
          <cell r="F6814">
            <v>9500</v>
          </cell>
          <cell r="G6814">
            <v>4750</v>
          </cell>
        </row>
        <row r="6815">
          <cell r="B6815">
            <v>4</v>
          </cell>
          <cell r="C6815" t="str">
            <v>+ Giấy ráp</v>
          </cell>
          <cell r="D6815" t="str">
            <v>tờ</v>
          </cell>
          <cell r="E6815">
            <v>1</v>
          </cell>
          <cell r="F6815">
            <v>10000</v>
          </cell>
          <cell r="G6815">
            <v>10000</v>
          </cell>
        </row>
        <row r="6816">
          <cell r="B6816">
            <v>33</v>
          </cell>
          <cell r="C6816" t="str">
            <v>+ Ma tít</v>
          </cell>
          <cell r="D6816" t="str">
            <v>kg</v>
          </cell>
          <cell r="E6816">
            <v>0.1</v>
          </cell>
          <cell r="F6816">
            <v>17300</v>
          </cell>
          <cell r="G6816">
            <v>1730</v>
          </cell>
        </row>
        <row r="6817">
          <cell r="B6817">
            <v>137</v>
          </cell>
          <cell r="C6817" t="str">
            <v>Vật liệu khác</v>
          </cell>
          <cell r="D6817" t="str">
            <v>%</v>
          </cell>
          <cell r="E6817">
            <v>5</v>
          </cell>
          <cell r="F6817">
            <v>1500</v>
          </cell>
          <cell r="G6817">
            <v>29296.400000000001</v>
          </cell>
        </row>
        <row r="6818">
          <cell r="C6818" t="str">
            <v>Nhân công</v>
          </cell>
          <cell r="G6818">
            <v>3316611.7219736846</v>
          </cell>
        </row>
        <row r="6819">
          <cell r="B6819" t="str">
            <v>NC1457</v>
          </cell>
          <cell r="C6819" t="str">
            <v>+ Nhân công bậc 4,5/7</v>
          </cell>
          <cell r="D6819" t="str">
            <v>Công</v>
          </cell>
          <cell r="E6819">
            <v>15.66</v>
          </cell>
          <cell r="F6819">
            <v>211788.74342105264</v>
          </cell>
          <cell r="G6819">
            <v>3316611.7219736846</v>
          </cell>
        </row>
        <row r="6820">
          <cell r="A6820" t="str">
            <v>D4.3433</v>
          </cell>
          <cell r="C6820" t="str">
            <v>Làm đầu cáp lực khô 66KV, Phễu cáp bằng gang, Cáp có tiết diện &lt;=120mm2</v>
          </cell>
          <cell r="D6820" t="str">
            <v>1 đầu 1 pha</v>
          </cell>
          <cell r="H6820">
            <v>615224.4</v>
          </cell>
          <cell r="I6820">
            <v>3661827.3737499998</v>
          </cell>
        </row>
        <row r="6821">
          <cell r="C6821" t="str">
            <v>Vật liệu</v>
          </cell>
          <cell r="G6821">
            <v>615224.4</v>
          </cell>
        </row>
        <row r="6822">
          <cell r="B6822">
            <v>25</v>
          </cell>
          <cell r="C6822" t="str">
            <v>+ Coliê sắt</v>
          </cell>
          <cell r="D6822" t="str">
            <v>bộ</v>
          </cell>
          <cell r="E6822">
            <v>2</v>
          </cell>
          <cell r="F6822">
            <v>8000</v>
          </cell>
          <cell r="G6822">
            <v>16000</v>
          </cell>
        </row>
        <row r="6823">
          <cell r="B6823">
            <v>114</v>
          </cell>
          <cell r="C6823" t="str">
            <v>+ Dây đồng 25mm2</v>
          </cell>
          <cell r="D6823" t="str">
            <v>m</v>
          </cell>
          <cell r="E6823">
            <v>4</v>
          </cell>
          <cell r="F6823">
            <v>69454</v>
          </cell>
          <cell r="G6823">
            <v>277816</v>
          </cell>
        </row>
        <row r="6824">
          <cell r="B6824">
            <v>35</v>
          </cell>
          <cell r="C6824" t="str">
            <v>+ Chất cách điện</v>
          </cell>
          <cell r="D6824" t="str">
            <v>kg</v>
          </cell>
          <cell r="E6824">
            <v>15</v>
          </cell>
          <cell r="F6824">
            <v>15450</v>
          </cell>
          <cell r="G6824">
            <v>231750</v>
          </cell>
        </row>
        <row r="6825">
          <cell r="B6825">
            <v>25</v>
          </cell>
          <cell r="C6825" t="str">
            <v>+ Băng vải nhựa, ni lông ( băng dính )</v>
          </cell>
          <cell r="D6825" t="str">
            <v>cuộn</v>
          </cell>
          <cell r="E6825">
            <v>2</v>
          </cell>
          <cell r="F6825">
            <v>8000</v>
          </cell>
          <cell r="G6825">
            <v>16000</v>
          </cell>
        </row>
        <row r="6826">
          <cell r="B6826">
            <v>3</v>
          </cell>
          <cell r="C6826" t="str">
            <v>+ Xăng</v>
          </cell>
          <cell r="D6826" t="str">
            <v>kg</v>
          </cell>
          <cell r="E6826">
            <v>1</v>
          </cell>
          <cell r="F6826">
            <v>18382</v>
          </cell>
          <cell r="G6826">
            <v>18382</v>
          </cell>
        </row>
        <row r="6827">
          <cell r="B6827">
            <v>1</v>
          </cell>
          <cell r="C6827" t="str">
            <v>+ Cồn công nghiệp</v>
          </cell>
          <cell r="D6827" t="str">
            <v>kg</v>
          </cell>
          <cell r="E6827">
            <v>1</v>
          </cell>
          <cell r="F6827">
            <v>9500</v>
          </cell>
          <cell r="G6827">
            <v>9500</v>
          </cell>
        </row>
        <row r="6828">
          <cell r="B6828">
            <v>9</v>
          </cell>
          <cell r="C6828" t="str">
            <v>+ Giẻ lau</v>
          </cell>
          <cell r="D6828" t="str">
            <v>Kg</v>
          </cell>
          <cell r="E6828">
            <v>0.5</v>
          </cell>
          <cell r="F6828">
            <v>9500</v>
          </cell>
          <cell r="G6828">
            <v>4750</v>
          </cell>
        </row>
        <row r="6829">
          <cell r="B6829">
            <v>4</v>
          </cell>
          <cell r="C6829" t="str">
            <v>+ Giấy ráp</v>
          </cell>
          <cell r="D6829" t="str">
            <v>tờ</v>
          </cell>
          <cell r="E6829">
            <v>1</v>
          </cell>
          <cell r="F6829">
            <v>10000</v>
          </cell>
          <cell r="G6829">
            <v>10000</v>
          </cell>
        </row>
        <row r="6830">
          <cell r="B6830">
            <v>33</v>
          </cell>
          <cell r="C6830" t="str">
            <v>+ Ma tít</v>
          </cell>
          <cell r="D6830" t="str">
            <v>kg</v>
          </cell>
          <cell r="E6830">
            <v>0.1</v>
          </cell>
          <cell r="F6830">
            <v>17300</v>
          </cell>
          <cell r="G6830">
            <v>1730</v>
          </cell>
        </row>
        <row r="6831">
          <cell r="B6831">
            <v>137</v>
          </cell>
          <cell r="C6831" t="str">
            <v>Vật liệu khác</v>
          </cell>
          <cell r="D6831" t="str">
            <v>%</v>
          </cell>
          <cell r="E6831">
            <v>5</v>
          </cell>
          <cell r="F6831">
            <v>1500</v>
          </cell>
          <cell r="G6831">
            <v>29296.400000000001</v>
          </cell>
        </row>
        <row r="6832">
          <cell r="C6832" t="str">
            <v>Nhân công</v>
          </cell>
          <cell r="G6832">
            <v>3661827.3737499998</v>
          </cell>
        </row>
        <row r="6833">
          <cell r="B6833" t="str">
            <v>NC1457</v>
          </cell>
          <cell r="C6833" t="str">
            <v>+ Nhân công bậc 4,5/7</v>
          </cell>
          <cell r="D6833" t="str">
            <v>Công</v>
          </cell>
          <cell r="E6833">
            <v>17.29</v>
          </cell>
          <cell r="F6833">
            <v>211788.74342105264</v>
          </cell>
          <cell r="G6833">
            <v>3661827.3737499998</v>
          </cell>
        </row>
        <row r="6834">
          <cell r="A6834" t="str">
            <v>D4.3434</v>
          </cell>
          <cell r="C6834" t="str">
            <v>Làm đầu cáp lực khô 66KV, Phễu cáp bằng gang, Cáp có tiết diện &lt;=185mm2</v>
          </cell>
          <cell r="D6834" t="str">
            <v>1 đầu 1 pha</v>
          </cell>
          <cell r="H6834">
            <v>678187.65</v>
          </cell>
          <cell r="I6834">
            <v>3996453.5883552637</v>
          </cell>
        </row>
        <row r="6835">
          <cell r="C6835" t="str">
            <v>Vật liệu</v>
          </cell>
          <cell r="G6835">
            <v>678187.65</v>
          </cell>
        </row>
        <row r="6836">
          <cell r="B6836">
            <v>25</v>
          </cell>
          <cell r="C6836" t="str">
            <v>+ Coliê sắt</v>
          </cell>
          <cell r="D6836" t="str">
            <v>bộ</v>
          </cell>
          <cell r="E6836">
            <v>2</v>
          </cell>
          <cell r="F6836">
            <v>8000</v>
          </cell>
          <cell r="G6836">
            <v>16000</v>
          </cell>
        </row>
        <row r="6837">
          <cell r="B6837">
            <v>114</v>
          </cell>
          <cell r="C6837" t="str">
            <v>+ Dây đồng 25mm2</v>
          </cell>
          <cell r="D6837" t="str">
            <v>m</v>
          </cell>
          <cell r="E6837">
            <v>4</v>
          </cell>
          <cell r="F6837">
            <v>69454</v>
          </cell>
          <cell r="G6837">
            <v>277816</v>
          </cell>
        </row>
        <row r="6838">
          <cell r="B6838">
            <v>35</v>
          </cell>
          <cell r="C6838" t="str">
            <v>+ Chất cách điện</v>
          </cell>
          <cell r="D6838" t="str">
            <v>kg</v>
          </cell>
          <cell r="E6838">
            <v>18</v>
          </cell>
          <cell r="F6838">
            <v>15450</v>
          </cell>
          <cell r="G6838">
            <v>278100</v>
          </cell>
        </row>
        <row r="6839">
          <cell r="B6839">
            <v>25</v>
          </cell>
          <cell r="C6839" t="str">
            <v>+ Băng vải nhựa, ni lông ( băng dính )</v>
          </cell>
          <cell r="D6839" t="str">
            <v>cuộn</v>
          </cell>
          <cell r="E6839">
            <v>3</v>
          </cell>
          <cell r="F6839">
            <v>8000</v>
          </cell>
          <cell r="G6839">
            <v>24000</v>
          </cell>
        </row>
        <row r="6840">
          <cell r="B6840">
            <v>3</v>
          </cell>
          <cell r="C6840" t="str">
            <v>+ Xăng</v>
          </cell>
          <cell r="D6840" t="str">
            <v>kg</v>
          </cell>
          <cell r="E6840">
            <v>1</v>
          </cell>
          <cell r="F6840">
            <v>18382</v>
          </cell>
          <cell r="G6840">
            <v>18382</v>
          </cell>
        </row>
        <row r="6841">
          <cell r="B6841">
            <v>1</v>
          </cell>
          <cell r="C6841" t="str">
            <v>+ Cồn công nghiệp</v>
          </cell>
          <cell r="D6841" t="str">
            <v>kg</v>
          </cell>
          <cell r="E6841">
            <v>1</v>
          </cell>
          <cell r="F6841">
            <v>9500</v>
          </cell>
          <cell r="G6841">
            <v>9500</v>
          </cell>
        </row>
        <row r="6842">
          <cell r="B6842">
            <v>9</v>
          </cell>
          <cell r="C6842" t="str">
            <v>+ Giẻ lau</v>
          </cell>
          <cell r="D6842" t="str">
            <v>Kg</v>
          </cell>
          <cell r="E6842">
            <v>1</v>
          </cell>
          <cell r="F6842">
            <v>9500</v>
          </cell>
          <cell r="G6842">
            <v>9500</v>
          </cell>
        </row>
        <row r="6843">
          <cell r="B6843">
            <v>4</v>
          </cell>
          <cell r="C6843" t="str">
            <v>+ Giấy ráp</v>
          </cell>
          <cell r="D6843" t="str">
            <v>tờ</v>
          </cell>
          <cell r="E6843">
            <v>1</v>
          </cell>
          <cell r="F6843">
            <v>10000</v>
          </cell>
          <cell r="G6843">
            <v>10000</v>
          </cell>
        </row>
        <row r="6844">
          <cell r="B6844">
            <v>33</v>
          </cell>
          <cell r="C6844" t="str">
            <v>+ Ma tít</v>
          </cell>
          <cell r="D6844" t="str">
            <v>kg</v>
          </cell>
          <cell r="E6844">
            <v>0.15</v>
          </cell>
          <cell r="F6844">
            <v>17300</v>
          </cell>
          <cell r="G6844">
            <v>2595</v>
          </cell>
        </row>
        <row r="6845">
          <cell r="B6845">
            <v>137</v>
          </cell>
          <cell r="C6845" t="str">
            <v>Vật liệu khác</v>
          </cell>
          <cell r="D6845" t="str">
            <v>%</v>
          </cell>
          <cell r="E6845">
            <v>5</v>
          </cell>
          <cell r="F6845">
            <v>1500</v>
          </cell>
          <cell r="G6845">
            <v>32294.65</v>
          </cell>
        </row>
        <row r="6846">
          <cell r="C6846" t="str">
            <v>Nhân công</v>
          </cell>
          <cell r="G6846">
            <v>3996453.5883552637</v>
          </cell>
        </row>
        <row r="6847">
          <cell r="B6847" t="str">
            <v>NC1457</v>
          </cell>
          <cell r="C6847" t="str">
            <v>+ Nhân công bậc 4,5/7</v>
          </cell>
          <cell r="D6847" t="str">
            <v>Công</v>
          </cell>
          <cell r="E6847">
            <v>18.87</v>
          </cell>
          <cell r="F6847">
            <v>211788.74342105264</v>
          </cell>
          <cell r="G6847">
            <v>3996453.5883552637</v>
          </cell>
        </row>
        <row r="6848">
          <cell r="A6848" t="str">
            <v>D4.3435</v>
          </cell>
          <cell r="C6848" t="str">
            <v>Làm đầu cáp lực khô 66KV, Phễu cáp bằng gang, Cáp có tiết diện &lt;=240mm2</v>
          </cell>
          <cell r="D6848" t="str">
            <v>1 đầu 1 pha</v>
          </cell>
          <cell r="H6848">
            <v>678187.65</v>
          </cell>
          <cell r="I6848">
            <v>4729242.6405921048</v>
          </cell>
        </row>
        <row r="6849">
          <cell r="C6849" t="str">
            <v>Vật liệu</v>
          </cell>
          <cell r="G6849">
            <v>678187.65</v>
          </cell>
        </row>
        <row r="6850">
          <cell r="B6850">
            <v>25</v>
          </cell>
          <cell r="C6850" t="str">
            <v>+ Coliê sắt</v>
          </cell>
          <cell r="D6850" t="str">
            <v>bộ</v>
          </cell>
          <cell r="E6850">
            <v>2</v>
          </cell>
          <cell r="F6850">
            <v>8000</v>
          </cell>
          <cell r="G6850">
            <v>16000</v>
          </cell>
        </row>
        <row r="6851">
          <cell r="B6851">
            <v>114</v>
          </cell>
          <cell r="C6851" t="str">
            <v>+ Dây đồng 25mm2</v>
          </cell>
          <cell r="D6851" t="str">
            <v>m</v>
          </cell>
          <cell r="E6851">
            <v>4</v>
          </cell>
          <cell r="F6851">
            <v>69454</v>
          </cell>
          <cell r="G6851">
            <v>277816</v>
          </cell>
        </row>
        <row r="6852">
          <cell r="B6852">
            <v>35</v>
          </cell>
          <cell r="C6852" t="str">
            <v>+ Chất cách điện</v>
          </cell>
          <cell r="D6852" t="str">
            <v>kg</v>
          </cell>
          <cell r="E6852">
            <v>18</v>
          </cell>
          <cell r="F6852">
            <v>15450</v>
          </cell>
          <cell r="G6852">
            <v>278100</v>
          </cell>
        </row>
        <row r="6853">
          <cell r="B6853">
            <v>25</v>
          </cell>
          <cell r="C6853" t="str">
            <v>+ Băng vải nhựa, ni lông ( băng dính )</v>
          </cell>
          <cell r="D6853" t="str">
            <v>cuộn</v>
          </cell>
          <cell r="E6853">
            <v>3</v>
          </cell>
          <cell r="F6853">
            <v>8000</v>
          </cell>
          <cell r="G6853">
            <v>24000</v>
          </cell>
        </row>
        <row r="6854">
          <cell r="B6854">
            <v>3</v>
          </cell>
          <cell r="C6854" t="str">
            <v>+ Xăng</v>
          </cell>
          <cell r="D6854" t="str">
            <v>kg</v>
          </cell>
          <cell r="E6854">
            <v>1</v>
          </cell>
          <cell r="F6854">
            <v>18382</v>
          </cell>
          <cell r="G6854">
            <v>18382</v>
          </cell>
        </row>
        <row r="6855">
          <cell r="B6855">
            <v>1</v>
          </cell>
          <cell r="C6855" t="str">
            <v>+ Cồn công nghiệp</v>
          </cell>
          <cell r="D6855" t="str">
            <v>kg</v>
          </cell>
          <cell r="E6855">
            <v>1</v>
          </cell>
          <cell r="F6855">
            <v>9500</v>
          </cell>
          <cell r="G6855">
            <v>9500</v>
          </cell>
        </row>
        <row r="6856">
          <cell r="B6856">
            <v>9</v>
          </cell>
          <cell r="C6856" t="str">
            <v>+ Giẻ lau</v>
          </cell>
          <cell r="D6856" t="str">
            <v>Kg</v>
          </cell>
          <cell r="E6856">
            <v>1</v>
          </cell>
          <cell r="F6856">
            <v>9500</v>
          </cell>
          <cell r="G6856">
            <v>9500</v>
          </cell>
        </row>
        <row r="6857">
          <cell r="B6857">
            <v>4</v>
          </cell>
          <cell r="C6857" t="str">
            <v>+ Giấy ráp</v>
          </cell>
          <cell r="D6857" t="str">
            <v>tờ</v>
          </cell>
          <cell r="E6857">
            <v>1</v>
          </cell>
          <cell r="F6857">
            <v>10000</v>
          </cell>
          <cell r="G6857">
            <v>10000</v>
          </cell>
        </row>
        <row r="6858">
          <cell r="B6858">
            <v>33</v>
          </cell>
          <cell r="C6858" t="str">
            <v>+ Ma tít</v>
          </cell>
          <cell r="D6858" t="str">
            <v>kg</v>
          </cell>
          <cell r="E6858">
            <v>0.15</v>
          </cell>
          <cell r="F6858">
            <v>17300</v>
          </cell>
          <cell r="G6858">
            <v>2595</v>
          </cell>
        </row>
        <row r="6859">
          <cell r="B6859">
            <v>137</v>
          </cell>
          <cell r="C6859" t="str">
            <v>Vật liệu khác</v>
          </cell>
          <cell r="D6859" t="str">
            <v>%</v>
          </cell>
          <cell r="E6859">
            <v>5</v>
          </cell>
          <cell r="F6859">
            <v>1500</v>
          </cell>
          <cell r="G6859">
            <v>32294.65</v>
          </cell>
        </row>
        <row r="6860">
          <cell r="C6860" t="str">
            <v>Nhân công</v>
          </cell>
          <cell r="G6860">
            <v>4729242.6405921048</v>
          </cell>
        </row>
        <row r="6861">
          <cell r="B6861" t="str">
            <v>NC1457</v>
          </cell>
          <cell r="C6861" t="str">
            <v>+ Nhân công bậc 4,5/7</v>
          </cell>
          <cell r="D6861" t="str">
            <v>Công</v>
          </cell>
          <cell r="E6861">
            <v>22.33</v>
          </cell>
          <cell r="F6861">
            <v>211788.74342105264</v>
          </cell>
          <cell r="G6861">
            <v>4729242.6405921048</v>
          </cell>
        </row>
        <row r="6862">
          <cell r="A6862" t="str">
            <v>D4.3436</v>
          </cell>
          <cell r="C6862" t="str">
            <v>Làm đầu cáp lực khô 66KV, Phễu cáp bằng gang, Cáp có tiết diện &lt;=300mm2</v>
          </cell>
          <cell r="D6862" t="str">
            <v>1 đầu 1 pha</v>
          </cell>
          <cell r="H6862">
            <v>678187.65</v>
          </cell>
          <cell r="I6862">
            <v>4828783.3500000006</v>
          </cell>
        </row>
        <row r="6863">
          <cell r="C6863" t="str">
            <v>Vật liệu</v>
          </cell>
          <cell r="G6863">
            <v>678187.65</v>
          </cell>
        </row>
        <row r="6864">
          <cell r="B6864">
            <v>25</v>
          </cell>
          <cell r="C6864" t="str">
            <v>+ Coliê sắt</v>
          </cell>
          <cell r="D6864" t="str">
            <v>bộ</v>
          </cell>
          <cell r="E6864">
            <v>2</v>
          </cell>
          <cell r="F6864">
            <v>8000</v>
          </cell>
          <cell r="G6864">
            <v>16000</v>
          </cell>
        </row>
        <row r="6865">
          <cell r="B6865">
            <v>114</v>
          </cell>
          <cell r="C6865" t="str">
            <v>+ Dây đồng 25mm2</v>
          </cell>
          <cell r="D6865" t="str">
            <v>m</v>
          </cell>
          <cell r="E6865">
            <v>4</v>
          </cell>
          <cell r="F6865">
            <v>69454</v>
          </cell>
          <cell r="G6865">
            <v>277816</v>
          </cell>
        </row>
        <row r="6866">
          <cell r="B6866">
            <v>35</v>
          </cell>
          <cell r="C6866" t="str">
            <v>+ Chất cách điện</v>
          </cell>
          <cell r="D6866" t="str">
            <v>kg</v>
          </cell>
          <cell r="E6866">
            <v>18</v>
          </cell>
          <cell r="F6866">
            <v>15450</v>
          </cell>
          <cell r="G6866">
            <v>278100</v>
          </cell>
        </row>
        <row r="6867">
          <cell r="B6867">
            <v>25</v>
          </cell>
          <cell r="C6867" t="str">
            <v>+ Băng vải nhựa, ni lông ( băng dính )</v>
          </cell>
          <cell r="D6867" t="str">
            <v>cuộn</v>
          </cell>
          <cell r="E6867">
            <v>3</v>
          </cell>
          <cell r="F6867">
            <v>8000</v>
          </cell>
          <cell r="G6867">
            <v>24000</v>
          </cell>
        </row>
        <row r="6868">
          <cell r="B6868">
            <v>3</v>
          </cell>
          <cell r="C6868" t="str">
            <v>+ Xăng</v>
          </cell>
          <cell r="D6868" t="str">
            <v>kg</v>
          </cell>
          <cell r="E6868">
            <v>1</v>
          </cell>
          <cell r="F6868">
            <v>18382</v>
          </cell>
          <cell r="G6868">
            <v>18382</v>
          </cell>
        </row>
        <row r="6869">
          <cell r="B6869">
            <v>1</v>
          </cell>
          <cell r="C6869" t="str">
            <v>+ Cồn công nghiệp</v>
          </cell>
          <cell r="D6869" t="str">
            <v>kg</v>
          </cell>
          <cell r="E6869">
            <v>1</v>
          </cell>
          <cell r="F6869">
            <v>9500</v>
          </cell>
          <cell r="G6869">
            <v>9500</v>
          </cell>
        </row>
        <row r="6870">
          <cell r="B6870">
            <v>9</v>
          </cell>
          <cell r="C6870" t="str">
            <v>+ Giẻ lau</v>
          </cell>
          <cell r="D6870" t="str">
            <v>Kg</v>
          </cell>
          <cell r="E6870">
            <v>1</v>
          </cell>
          <cell r="F6870">
            <v>9500</v>
          </cell>
          <cell r="G6870">
            <v>9500</v>
          </cell>
        </row>
        <row r="6871">
          <cell r="B6871">
            <v>4</v>
          </cell>
          <cell r="C6871" t="str">
            <v>+ Giấy ráp</v>
          </cell>
          <cell r="D6871" t="str">
            <v>tờ</v>
          </cell>
          <cell r="E6871">
            <v>1</v>
          </cell>
          <cell r="F6871">
            <v>10000</v>
          </cell>
          <cell r="G6871">
            <v>10000</v>
          </cell>
        </row>
        <row r="6872">
          <cell r="B6872">
            <v>33</v>
          </cell>
          <cell r="C6872" t="str">
            <v>+ Ma tít</v>
          </cell>
          <cell r="D6872" t="str">
            <v>kg</v>
          </cell>
          <cell r="E6872">
            <v>0.15</v>
          </cell>
          <cell r="F6872">
            <v>17300</v>
          </cell>
          <cell r="G6872">
            <v>2595</v>
          </cell>
        </row>
        <row r="6873">
          <cell r="B6873">
            <v>137</v>
          </cell>
          <cell r="C6873" t="str">
            <v>Vật liệu khác</v>
          </cell>
          <cell r="D6873" t="str">
            <v>%</v>
          </cell>
          <cell r="E6873">
            <v>5</v>
          </cell>
          <cell r="F6873">
            <v>1500</v>
          </cell>
          <cell r="G6873">
            <v>32294.65</v>
          </cell>
        </row>
        <row r="6874">
          <cell r="C6874" t="str">
            <v>Nhân công</v>
          </cell>
          <cell r="G6874">
            <v>4828783.3500000006</v>
          </cell>
        </row>
        <row r="6875">
          <cell r="B6875" t="str">
            <v>NC1457</v>
          </cell>
          <cell r="C6875" t="str">
            <v>+ Nhân công bậc 4,5/7</v>
          </cell>
          <cell r="D6875" t="str">
            <v>Công</v>
          </cell>
          <cell r="E6875">
            <v>22.8</v>
          </cell>
          <cell r="F6875">
            <v>211788.74342105264</v>
          </cell>
          <cell r="G6875">
            <v>4828783.3500000006</v>
          </cell>
        </row>
        <row r="6876">
          <cell r="A6876" t="str">
            <v>D4.3437</v>
          </cell>
          <cell r="C6876" t="str">
            <v>Làm đầu cáp lực khô 66KV, Phễu cáp bằng gang, Cáp có tiết diện &lt;=400mm2</v>
          </cell>
          <cell r="D6876" t="str">
            <v>1 đầu 1 pha</v>
          </cell>
          <cell r="H6876">
            <v>742390.32000000007</v>
          </cell>
          <cell r="I6876">
            <v>5794540.0200000005</v>
          </cell>
        </row>
        <row r="6877">
          <cell r="C6877" t="str">
            <v>Vật liệu</v>
          </cell>
          <cell r="G6877">
            <v>742390.32000000007</v>
          </cell>
        </row>
        <row r="6878">
          <cell r="B6878">
            <v>25</v>
          </cell>
          <cell r="C6878" t="str">
            <v>+ Coliê sắt</v>
          </cell>
          <cell r="D6878" t="str">
            <v>bộ</v>
          </cell>
          <cell r="E6878">
            <v>2</v>
          </cell>
          <cell r="F6878">
            <v>8000</v>
          </cell>
          <cell r="G6878">
            <v>16000</v>
          </cell>
        </row>
        <row r="6879">
          <cell r="B6879">
            <v>114</v>
          </cell>
          <cell r="C6879" t="str">
            <v>+ Dây đồng 25mm2</v>
          </cell>
          <cell r="D6879" t="str">
            <v>m</v>
          </cell>
          <cell r="E6879">
            <v>4</v>
          </cell>
          <cell r="F6879">
            <v>69454</v>
          </cell>
          <cell r="G6879">
            <v>277816</v>
          </cell>
        </row>
        <row r="6880">
          <cell r="B6880">
            <v>35</v>
          </cell>
          <cell r="C6880" t="str">
            <v>+ Chất cách điện</v>
          </cell>
          <cell r="D6880" t="str">
            <v>kg</v>
          </cell>
          <cell r="E6880">
            <v>21</v>
          </cell>
          <cell r="F6880">
            <v>15450</v>
          </cell>
          <cell r="G6880">
            <v>324450</v>
          </cell>
        </row>
        <row r="6881">
          <cell r="B6881">
            <v>25</v>
          </cell>
          <cell r="C6881" t="str">
            <v>+ Băng vải nhựa, ni lông ( băng dính )</v>
          </cell>
          <cell r="D6881" t="str">
            <v>cuộn</v>
          </cell>
          <cell r="E6881">
            <v>3.6</v>
          </cell>
          <cell r="F6881">
            <v>8000</v>
          </cell>
          <cell r="G6881">
            <v>28800</v>
          </cell>
        </row>
        <row r="6882">
          <cell r="B6882">
            <v>3</v>
          </cell>
          <cell r="C6882" t="str">
            <v>+ Xăng</v>
          </cell>
          <cell r="D6882" t="str">
            <v>kg</v>
          </cell>
          <cell r="E6882">
            <v>1.2</v>
          </cell>
          <cell r="F6882">
            <v>18382</v>
          </cell>
          <cell r="G6882">
            <v>22058.399999999998</v>
          </cell>
        </row>
        <row r="6883">
          <cell r="B6883">
            <v>1</v>
          </cell>
          <cell r="C6883" t="str">
            <v>+ Cồn công nghiệp</v>
          </cell>
          <cell r="D6883" t="str">
            <v>kg</v>
          </cell>
          <cell r="E6883">
            <v>1.2</v>
          </cell>
          <cell r="F6883">
            <v>9500</v>
          </cell>
          <cell r="G6883">
            <v>11400</v>
          </cell>
        </row>
        <row r="6884">
          <cell r="B6884">
            <v>9</v>
          </cell>
          <cell r="C6884" t="str">
            <v>+ Giẻ lau</v>
          </cell>
          <cell r="D6884" t="str">
            <v>Kg</v>
          </cell>
          <cell r="E6884">
            <v>1.2</v>
          </cell>
          <cell r="F6884">
            <v>9500</v>
          </cell>
          <cell r="G6884">
            <v>11400</v>
          </cell>
        </row>
        <row r="6885">
          <cell r="B6885">
            <v>4</v>
          </cell>
          <cell r="C6885" t="str">
            <v>+ Giấy ráp</v>
          </cell>
          <cell r="D6885" t="str">
            <v>tờ</v>
          </cell>
          <cell r="E6885">
            <v>1.2</v>
          </cell>
          <cell r="F6885">
            <v>10000</v>
          </cell>
          <cell r="G6885">
            <v>12000</v>
          </cell>
        </row>
        <row r="6886">
          <cell r="B6886">
            <v>33</v>
          </cell>
          <cell r="C6886" t="str">
            <v>+ Ma tít</v>
          </cell>
          <cell r="D6886" t="str">
            <v>kg</v>
          </cell>
          <cell r="E6886">
            <v>0.18</v>
          </cell>
          <cell r="F6886">
            <v>17300</v>
          </cell>
          <cell r="G6886">
            <v>3114</v>
          </cell>
        </row>
        <row r="6887">
          <cell r="B6887">
            <v>137</v>
          </cell>
          <cell r="C6887" t="str">
            <v>Vật liệu khác</v>
          </cell>
          <cell r="D6887" t="str">
            <v>%</v>
          </cell>
          <cell r="E6887">
            <v>5</v>
          </cell>
          <cell r="F6887">
            <v>1500</v>
          </cell>
          <cell r="G6887">
            <v>35351.920000000006</v>
          </cell>
        </row>
        <row r="6888">
          <cell r="C6888" t="str">
            <v>Nhân công</v>
          </cell>
          <cell r="G6888">
            <v>5794540.0200000005</v>
          </cell>
        </row>
        <row r="6889">
          <cell r="B6889" t="str">
            <v>NC1457</v>
          </cell>
          <cell r="C6889" t="str">
            <v>+ Nhân công bậc 4,5/7</v>
          </cell>
          <cell r="D6889" t="str">
            <v>Công</v>
          </cell>
          <cell r="E6889">
            <v>27.36</v>
          </cell>
          <cell r="F6889">
            <v>211788.74342105264</v>
          </cell>
          <cell r="G6889">
            <v>5794540.0200000005</v>
          </cell>
        </row>
        <row r="6890">
          <cell r="A6890" t="str">
            <v>D4.3441</v>
          </cell>
          <cell r="C6890" t="str">
            <v>Làm đầu cáp lực khô 110KV, Phễu cáp bằng gang, Cáp có tiết diện &lt;=35mm2</v>
          </cell>
          <cell r="D6890" t="str">
            <v>1 đầu 1 pha</v>
          </cell>
          <cell r="H6890">
            <v>615224.4</v>
          </cell>
          <cell r="I6890">
            <v>3871498.2297368427</v>
          </cell>
        </row>
        <row r="6891">
          <cell r="C6891" t="str">
            <v>Vật liệu</v>
          </cell>
          <cell r="G6891">
            <v>615224.4</v>
          </cell>
        </row>
        <row r="6892">
          <cell r="B6892">
            <v>25</v>
          </cell>
          <cell r="C6892" t="str">
            <v>+ Coliê sắt</v>
          </cell>
          <cell r="D6892" t="str">
            <v>bộ</v>
          </cell>
          <cell r="E6892">
            <v>2</v>
          </cell>
          <cell r="F6892">
            <v>8000</v>
          </cell>
          <cell r="G6892">
            <v>16000</v>
          </cell>
        </row>
        <row r="6893">
          <cell r="B6893">
            <v>114</v>
          </cell>
          <cell r="C6893" t="str">
            <v>+ Dây đồng 25mm2</v>
          </cell>
          <cell r="D6893" t="str">
            <v>m</v>
          </cell>
          <cell r="E6893">
            <v>4</v>
          </cell>
          <cell r="F6893">
            <v>69454</v>
          </cell>
          <cell r="G6893">
            <v>277816</v>
          </cell>
        </row>
        <row r="6894">
          <cell r="B6894">
            <v>35</v>
          </cell>
          <cell r="C6894" t="str">
            <v>+ Chất cách điện</v>
          </cell>
          <cell r="D6894" t="str">
            <v>kg</v>
          </cell>
          <cell r="E6894">
            <v>15</v>
          </cell>
          <cell r="F6894">
            <v>15450</v>
          </cell>
          <cell r="G6894">
            <v>231750</v>
          </cell>
        </row>
        <row r="6895">
          <cell r="B6895">
            <v>25</v>
          </cell>
          <cell r="C6895" t="str">
            <v>+ Băng vải nhựa, ni lông ( băng dính )</v>
          </cell>
          <cell r="D6895" t="str">
            <v>cuộn</v>
          </cell>
          <cell r="E6895">
            <v>2</v>
          </cell>
          <cell r="F6895">
            <v>8000</v>
          </cell>
          <cell r="G6895">
            <v>16000</v>
          </cell>
        </row>
        <row r="6896">
          <cell r="B6896">
            <v>3</v>
          </cell>
          <cell r="C6896" t="str">
            <v>+ Xăng</v>
          </cell>
          <cell r="D6896" t="str">
            <v>kg</v>
          </cell>
          <cell r="E6896">
            <v>1</v>
          </cell>
          <cell r="F6896">
            <v>18382</v>
          </cell>
          <cell r="G6896">
            <v>18382</v>
          </cell>
        </row>
        <row r="6897">
          <cell r="B6897">
            <v>1</v>
          </cell>
          <cell r="C6897" t="str">
            <v>+ Cồn công nghiệp</v>
          </cell>
          <cell r="D6897" t="str">
            <v>kg</v>
          </cell>
          <cell r="E6897">
            <v>1</v>
          </cell>
          <cell r="F6897">
            <v>9500</v>
          </cell>
          <cell r="G6897">
            <v>9500</v>
          </cell>
        </row>
        <row r="6898">
          <cell r="B6898">
            <v>9</v>
          </cell>
          <cell r="C6898" t="str">
            <v>+ Giẻ lau</v>
          </cell>
          <cell r="D6898" t="str">
            <v>Kg</v>
          </cell>
          <cell r="E6898">
            <v>0.5</v>
          </cell>
          <cell r="F6898">
            <v>9500</v>
          </cell>
          <cell r="G6898">
            <v>4750</v>
          </cell>
        </row>
        <row r="6899">
          <cell r="B6899">
            <v>4</v>
          </cell>
          <cell r="C6899" t="str">
            <v>+ Giấy ráp</v>
          </cell>
          <cell r="D6899" t="str">
            <v>tờ</v>
          </cell>
          <cell r="E6899">
            <v>1</v>
          </cell>
          <cell r="F6899">
            <v>10000</v>
          </cell>
          <cell r="G6899">
            <v>10000</v>
          </cell>
        </row>
        <row r="6900">
          <cell r="B6900">
            <v>33</v>
          </cell>
          <cell r="C6900" t="str">
            <v>+ Ma tít</v>
          </cell>
          <cell r="D6900" t="str">
            <v>kg</v>
          </cell>
          <cell r="E6900">
            <v>0.1</v>
          </cell>
          <cell r="F6900">
            <v>17300</v>
          </cell>
          <cell r="G6900">
            <v>1730</v>
          </cell>
        </row>
        <row r="6901">
          <cell r="B6901">
            <v>137</v>
          </cell>
          <cell r="C6901" t="str">
            <v>Vật liệu khác</v>
          </cell>
          <cell r="D6901" t="str">
            <v>%</v>
          </cell>
          <cell r="E6901">
            <v>5</v>
          </cell>
          <cell r="F6901">
            <v>1500</v>
          </cell>
          <cell r="G6901">
            <v>29296.400000000001</v>
          </cell>
        </row>
        <row r="6902">
          <cell r="C6902" t="str">
            <v>Nhân công</v>
          </cell>
          <cell r="G6902">
            <v>3871498.2297368427</v>
          </cell>
        </row>
        <row r="6903">
          <cell r="B6903" t="str">
            <v>NC1457</v>
          </cell>
          <cell r="C6903" t="str">
            <v>+ Nhân công bậc 4,5/7</v>
          </cell>
          <cell r="D6903" t="str">
            <v>Công</v>
          </cell>
          <cell r="E6903">
            <v>18.28</v>
          </cell>
          <cell r="F6903">
            <v>211788.74342105264</v>
          </cell>
          <cell r="G6903">
            <v>3871498.2297368427</v>
          </cell>
        </row>
        <row r="6904">
          <cell r="A6904" t="str">
            <v>D4.3442</v>
          </cell>
          <cell r="C6904" t="str">
            <v>Làm đầu cáp lực khô 110KV, Phễu cáp bằng gang, Cáp có tiết diện &lt;=70mm2</v>
          </cell>
          <cell r="D6904" t="str">
            <v>1 đầu 1 pha</v>
          </cell>
          <cell r="H6904">
            <v>615224.4</v>
          </cell>
          <cell r="I6904">
            <v>4309900.9286184218</v>
          </cell>
        </row>
        <row r="6905">
          <cell r="C6905" t="str">
            <v>Vật liệu</v>
          </cell>
          <cell r="G6905">
            <v>615224.4</v>
          </cell>
        </row>
        <row r="6906">
          <cell r="B6906">
            <v>25</v>
          </cell>
          <cell r="C6906" t="str">
            <v>+ Coliê sắt</v>
          </cell>
          <cell r="D6906" t="str">
            <v>bộ</v>
          </cell>
          <cell r="E6906">
            <v>2</v>
          </cell>
          <cell r="F6906">
            <v>8000</v>
          </cell>
          <cell r="G6906">
            <v>16000</v>
          </cell>
        </row>
        <row r="6907">
          <cell r="B6907">
            <v>114</v>
          </cell>
          <cell r="C6907" t="str">
            <v>+ Dây đồng 25mm2</v>
          </cell>
          <cell r="D6907" t="str">
            <v>m</v>
          </cell>
          <cell r="E6907">
            <v>4</v>
          </cell>
          <cell r="F6907">
            <v>69454</v>
          </cell>
          <cell r="G6907">
            <v>277816</v>
          </cell>
        </row>
        <row r="6908">
          <cell r="B6908">
            <v>35</v>
          </cell>
          <cell r="C6908" t="str">
            <v>+ Chất cách điện</v>
          </cell>
          <cell r="D6908" t="str">
            <v>kg</v>
          </cell>
          <cell r="E6908">
            <v>15</v>
          </cell>
          <cell r="F6908">
            <v>15450</v>
          </cell>
          <cell r="G6908">
            <v>231750</v>
          </cell>
        </row>
        <row r="6909">
          <cell r="B6909">
            <v>25</v>
          </cell>
          <cell r="C6909" t="str">
            <v>+ Băng vải nhựa, ni lông ( băng dính )</v>
          </cell>
          <cell r="D6909" t="str">
            <v>cuộn</v>
          </cell>
          <cell r="E6909">
            <v>2</v>
          </cell>
          <cell r="F6909">
            <v>8000</v>
          </cell>
          <cell r="G6909">
            <v>16000</v>
          </cell>
        </row>
        <row r="6910">
          <cell r="B6910">
            <v>3</v>
          </cell>
          <cell r="C6910" t="str">
            <v>+ Xăng</v>
          </cell>
          <cell r="D6910" t="str">
            <v>kg</v>
          </cell>
          <cell r="E6910">
            <v>1</v>
          </cell>
          <cell r="F6910">
            <v>18382</v>
          </cell>
          <cell r="G6910">
            <v>18382</v>
          </cell>
        </row>
        <row r="6911">
          <cell r="B6911">
            <v>1</v>
          </cell>
          <cell r="C6911" t="str">
            <v>+ Cồn công nghiệp</v>
          </cell>
          <cell r="D6911" t="str">
            <v>kg</v>
          </cell>
          <cell r="E6911">
            <v>1</v>
          </cell>
          <cell r="F6911">
            <v>9500</v>
          </cell>
          <cell r="G6911">
            <v>9500</v>
          </cell>
        </row>
        <row r="6912">
          <cell r="B6912">
            <v>9</v>
          </cell>
          <cell r="C6912" t="str">
            <v>+ Giẻ lau</v>
          </cell>
          <cell r="D6912" t="str">
            <v>Kg</v>
          </cell>
          <cell r="E6912">
            <v>0.5</v>
          </cell>
          <cell r="F6912">
            <v>9500</v>
          </cell>
          <cell r="G6912">
            <v>4750</v>
          </cell>
        </row>
        <row r="6913">
          <cell r="B6913">
            <v>4</v>
          </cell>
          <cell r="C6913" t="str">
            <v>+ Giấy ráp</v>
          </cell>
          <cell r="D6913" t="str">
            <v>tờ</v>
          </cell>
          <cell r="E6913">
            <v>1</v>
          </cell>
          <cell r="F6913">
            <v>10000</v>
          </cell>
          <cell r="G6913">
            <v>10000</v>
          </cell>
        </row>
        <row r="6914">
          <cell r="B6914">
            <v>33</v>
          </cell>
          <cell r="C6914" t="str">
            <v>+ Ma tít</v>
          </cell>
          <cell r="D6914" t="str">
            <v>kg</v>
          </cell>
          <cell r="E6914">
            <v>0.1</v>
          </cell>
          <cell r="F6914">
            <v>17300</v>
          </cell>
          <cell r="G6914">
            <v>1730</v>
          </cell>
        </row>
        <row r="6915">
          <cell r="B6915">
            <v>137</v>
          </cell>
          <cell r="C6915" t="str">
            <v>Vật liệu khác</v>
          </cell>
          <cell r="D6915" t="str">
            <v>%</v>
          </cell>
          <cell r="E6915">
            <v>5</v>
          </cell>
          <cell r="F6915">
            <v>1500</v>
          </cell>
          <cell r="G6915">
            <v>29296.400000000001</v>
          </cell>
        </row>
        <row r="6916">
          <cell r="C6916" t="str">
            <v>Nhân công</v>
          </cell>
          <cell r="G6916">
            <v>4309900.9286184218</v>
          </cell>
        </row>
        <row r="6917">
          <cell r="B6917" t="str">
            <v>NC1457</v>
          </cell>
          <cell r="C6917" t="str">
            <v>+ Nhân công bậc 4,5/7</v>
          </cell>
          <cell r="D6917" t="str">
            <v>Công</v>
          </cell>
          <cell r="E6917">
            <v>20.350000000000001</v>
          </cell>
          <cell r="F6917">
            <v>211788.74342105264</v>
          </cell>
          <cell r="G6917">
            <v>4309900.9286184218</v>
          </cell>
        </row>
        <row r="6918">
          <cell r="A6918" t="str">
            <v>D4.3443</v>
          </cell>
          <cell r="C6918" t="str">
            <v>Làm đầu cáp lực khô 110KV, Phễu cáp bằng gang, Cáp có tiết diện &lt;=120mm2</v>
          </cell>
          <cell r="D6918" t="str">
            <v>1 đầu 1 pha</v>
          </cell>
          <cell r="H6918">
            <v>615224.4</v>
          </cell>
          <cell r="I6918">
            <v>4761010.9521052632</v>
          </cell>
        </row>
        <row r="6919">
          <cell r="C6919" t="str">
            <v>Vật liệu</v>
          </cell>
          <cell r="G6919">
            <v>615224.4</v>
          </cell>
        </row>
        <row r="6920">
          <cell r="B6920">
            <v>25</v>
          </cell>
          <cell r="C6920" t="str">
            <v>+ Coliê sắt</v>
          </cell>
          <cell r="D6920" t="str">
            <v>bộ</v>
          </cell>
          <cell r="E6920">
            <v>2</v>
          </cell>
          <cell r="F6920">
            <v>8000</v>
          </cell>
          <cell r="G6920">
            <v>16000</v>
          </cell>
        </row>
        <row r="6921">
          <cell r="B6921">
            <v>114</v>
          </cell>
          <cell r="C6921" t="str">
            <v>+ Dây đồng 25mm2</v>
          </cell>
          <cell r="D6921" t="str">
            <v>m</v>
          </cell>
          <cell r="E6921">
            <v>4</v>
          </cell>
          <cell r="F6921">
            <v>69454</v>
          </cell>
          <cell r="G6921">
            <v>277816</v>
          </cell>
        </row>
        <row r="6922">
          <cell r="B6922">
            <v>35</v>
          </cell>
          <cell r="C6922" t="str">
            <v>+ Chất cách điện</v>
          </cell>
          <cell r="D6922" t="str">
            <v>kg</v>
          </cell>
          <cell r="E6922">
            <v>15</v>
          </cell>
          <cell r="F6922">
            <v>15450</v>
          </cell>
          <cell r="G6922">
            <v>231750</v>
          </cell>
        </row>
        <row r="6923">
          <cell r="B6923">
            <v>25</v>
          </cell>
          <cell r="C6923" t="str">
            <v>+ Băng vải nhựa, ni lông ( băng dính )</v>
          </cell>
          <cell r="D6923" t="str">
            <v>cuộn</v>
          </cell>
          <cell r="E6923">
            <v>2</v>
          </cell>
          <cell r="F6923">
            <v>8000</v>
          </cell>
          <cell r="G6923">
            <v>16000</v>
          </cell>
        </row>
        <row r="6924">
          <cell r="B6924">
            <v>3</v>
          </cell>
          <cell r="C6924" t="str">
            <v>+ Xăng</v>
          </cell>
          <cell r="D6924" t="str">
            <v>kg</v>
          </cell>
          <cell r="E6924">
            <v>1</v>
          </cell>
          <cell r="F6924">
            <v>18382</v>
          </cell>
          <cell r="G6924">
            <v>18382</v>
          </cell>
        </row>
        <row r="6925">
          <cell r="B6925">
            <v>1</v>
          </cell>
          <cell r="C6925" t="str">
            <v>+ Cồn công nghiệp</v>
          </cell>
          <cell r="D6925" t="str">
            <v>kg</v>
          </cell>
          <cell r="E6925">
            <v>1</v>
          </cell>
          <cell r="F6925">
            <v>9500</v>
          </cell>
          <cell r="G6925">
            <v>9500</v>
          </cell>
        </row>
        <row r="6926">
          <cell r="B6926">
            <v>9</v>
          </cell>
          <cell r="C6926" t="str">
            <v>+ Giẻ lau</v>
          </cell>
          <cell r="D6926" t="str">
            <v>Kg</v>
          </cell>
          <cell r="E6926">
            <v>0.5</v>
          </cell>
          <cell r="F6926">
            <v>9500</v>
          </cell>
          <cell r="G6926">
            <v>4750</v>
          </cell>
        </row>
        <row r="6927">
          <cell r="B6927">
            <v>4</v>
          </cell>
          <cell r="C6927" t="str">
            <v>+ Giấy ráp</v>
          </cell>
          <cell r="D6927" t="str">
            <v>tờ</v>
          </cell>
          <cell r="E6927">
            <v>1</v>
          </cell>
          <cell r="F6927">
            <v>10000</v>
          </cell>
          <cell r="G6927">
            <v>10000</v>
          </cell>
        </row>
        <row r="6928">
          <cell r="B6928">
            <v>33</v>
          </cell>
          <cell r="C6928" t="str">
            <v>+ Ma tít</v>
          </cell>
          <cell r="D6928" t="str">
            <v>kg</v>
          </cell>
          <cell r="E6928">
            <v>0.1</v>
          </cell>
          <cell r="F6928">
            <v>17300</v>
          </cell>
          <cell r="G6928">
            <v>1730</v>
          </cell>
        </row>
        <row r="6929">
          <cell r="B6929">
            <v>137</v>
          </cell>
          <cell r="C6929" t="str">
            <v>Vật liệu khác</v>
          </cell>
          <cell r="D6929" t="str">
            <v>%</v>
          </cell>
          <cell r="E6929">
            <v>5</v>
          </cell>
          <cell r="F6929">
            <v>1500</v>
          </cell>
          <cell r="G6929">
            <v>29296.400000000001</v>
          </cell>
        </row>
        <row r="6930">
          <cell r="C6930" t="str">
            <v>Nhân công</v>
          </cell>
          <cell r="G6930">
            <v>4761010.9521052632</v>
          </cell>
        </row>
        <row r="6931">
          <cell r="B6931" t="str">
            <v>NC1457</v>
          </cell>
          <cell r="C6931" t="str">
            <v>+ Nhân công bậc 4,5/7</v>
          </cell>
          <cell r="D6931" t="str">
            <v>Công</v>
          </cell>
          <cell r="E6931">
            <v>22.48</v>
          </cell>
          <cell r="F6931">
            <v>211788.74342105264</v>
          </cell>
          <cell r="G6931">
            <v>4761010.9521052632</v>
          </cell>
        </row>
        <row r="6932">
          <cell r="A6932" t="str">
            <v>D4.3444</v>
          </cell>
          <cell r="C6932" t="str">
            <v>Làm đầu cáp lực khô 110KV, Phễu cáp bằng gang, Cáp có tiết diện &lt;=185mm2</v>
          </cell>
          <cell r="D6932" t="str">
            <v>1 đầu 1 pha</v>
          </cell>
          <cell r="H6932">
            <v>678187.65</v>
          </cell>
          <cell r="I6932">
            <v>5195177.8761184216</v>
          </cell>
        </row>
        <row r="6933">
          <cell r="C6933" t="str">
            <v>Vật liệu</v>
          </cell>
          <cell r="G6933">
            <v>678187.65</v>
          </cell>
        </row>
        <row r="6934">
          <cell r="B6934">
            <v>25</v>
          </cell>
          <cell r="C6934" t="str">
            <v>+ Coliê sắt</v>
          </cell>
          <cell r="D6934" t="str">
            <v>bộ</v>
          </cell>
          <cell r="E6934">
            <v>2</v>
          </cell>
          <cell r="F6934">
            <v>8000</v>
          </cell>
          <cell r="G6934">
            <v>16000</v>
          </cell>
        </row>
        <row r="6935">
          <cell r="B6935">
            <v>114</v>
          </cell>
          <cell r="C6935" t="str">
            <v>+ Dây đồng 25mm2</v>
          </cell>
          <cell r="D6935" t="str">
            <v>m</v>
          </cell>
          <cell r="E6935">
            <v>4</v>
          </cell>
          <cell r="F6935">
            <v>69454</v>
          </cell>
          <cell r="G6935">
            <v>277816</v>
          </cell>
        </row>
        <row r="6936">
          <cell r="B6936">
            <v>35</v>
          </cell>
          <cell r="C6936" t="str">
            <v>+ Chất cách điện</v>
          </cell>
          <cell r="D6936" t="str">
            <v>kg</v>
          </cell>
          <cell r="E6936">
            <v>18</v>
          </cell>
          <cell r="F6936">
            <v>15450</v>
          </cell>
          <cell r="G6936">
            <v>278100</v>
          </cell>
        </row>
        <row r="6937">
          <cell r="B6937">
            <v>25</v>
          </cell>
          <cell r="C6937" t="str">
            <v>+ Băng vải nhựa, ni lông ( băng dính )</v>
          </cell>
          <cell r="D6937" t="str">
            <v>cuộn</v>
          </cell>
          <cell r="E6937">
            <v>3</v>
          </cell>
          <cell r="F6937">
            <v>8000</v>
          </cell>
          <cell r="G6937">
            <v>24000</v>
          </cell>
        </row>
        <row r="6938">
          <cell r="B6938">
            <v>3</v>
          </cell>
          <cell r="C6938" t="str">
            <v>+ Xăng</v>
          </cell>
          <cell r="D6938" t="str">
            <v>kg</v>
          </cell>
          <cell r="E6938">
            <v>1</v>
          </cell>
          <cell r="F6938">
            <v>18382</v>
          </cell>
          <cell r="G6938">
            <v>18382</v>
          </cell>
        </row>
        <row r="6939">
          <cell r="B6939">
            <v>1</v>
          </cell>
          <cell r="C6939" t="str">
            <v>+ Cồn công nghiệp</v>
          </cell>
          <cell r="D6939" t="str">
            <v>kg</v>
          </cell>
          <cell r="E6939">
            <v>1</v>
          </cell>
          <cell r="F6939">
            <v>9500</v>
          </cell>
          <cell r="G6939">
            <v>9500</v>
          </cell>
        </row>
        <row r="6940">
          <cell r="B6940">
            <v>9</v>
          </cell>
          <cell r="C6940" t="str">
            <v>+ Giẻ lau</v>
          </cell>
          <cell r="D6940" t="str">
            <v>Kg</v>
          </cell>
          <cell r="E6940">
            <v>1</v>
          </cell>
          <cell r="F6940">
            <v>9500</v>
          </cell>
          <cell r="G6940">
            <v>9500</v>
          </cell>
        </row>
        <row r="6941">
          <cell r="B6941">
            <v>4</v>
          </cell>
          <cell r="C6941" t="str">
            <v>+ Giấy ráp</v>
          </cell>
          <cell r="D6941" t="str">
            <v>tờ</v>
          </cell>
          <cell r="E6941">
            <v>1</v>
          </cell>
          <cell r="F6941">
            <v>10000</v>
          </cell>
          <cell r="G6941">
            <v>10000</v>
          </cell>
        </row>
        <row r="6942">
          <cell r="B6942">
            <v>33</v>
          </cell>
          <cell r="C6942" t="str">
            <v>+ Ma tít</v>
          </cell>
          <cell r="D6942" t="str">
            <v>kg</v>
          </cell>
          <cell r="E6942">
            <v>0.15</v>
          </cell>
          <cell r="F6942">
            <v>17300</v>
          </cell>
          <cell r="G6942">
            <v>2595</v>
          </cell>
        </row>
        <row r="6943">
          <cell r="B6943">
            <v>137</v>
          </cell>
          <cell r="C6943" t="str">
            <v>Vật liệu khác</v>
          </cell>
          <cell r="D6943" t="str">
            <v>%</v>
          </cell>
          <cell r="E6943">
            <v>5</v>
          </cell>
          <cell r="F6943">
            <v>1500</v>
          </cell>
          <cell r="G6943">
            <v>32294.65</v>
          </cell>
        </row>
        <row r="6944">
          <cell r="C6944" t="str">
            <v>Nhân công</v>
          </cell>
          <cell r="G6944">
            <v>5195177.8761184216</v>
          </cell>
        </row>
        <row r="6945">
          <cell r="B6945" t="str">
            <v>NC1457</v>
          </cell>
          <cell r="C6945" t="str">
            <v>+ Nhân công bậc 4,5/7</v>
          </cell>
          <cell r="D6945" t="str">
            <v>Công</v>
          </cell>
          <cell r="E6945">
            <v>24.53</v>
          </cell>
          <cell r="F6945">
            <v>211788.74342105264</v>
          </cell>
          <cell r="G6945">
            <v>5195177.8761184216</v>
          </cell>
        </row>
        <row r="6946">
          <cell r="A6946" t="str">
            <v>D4.3445</v>
          </cell>
          <cell r="C6946" t="str">
            <v>Làm đầu cáp lực khô 110KV, Phễu cáp bằng gang, Cáp có tiết diện &lt;=240mm2</v>
          </cell>
          <cell r="D6946" t="str">
            <v>1 đầu 1 pha</v>
          </cell>
          <cell r="H6946">
            <v>678187.65</v>
          </cell>
          <cell r="I6946">
            <v>6146109.3340789471</v>
          </cell>
        </row>
        <row r="6947">
          <cell r="C6947" t="str">
            <v>Vật liệu</v>
          </cell>
          <cell r="G6947">
            <v>678187.65</v>
          </cell>
        </row>
        <row r="6948">
          <cell r="B6948">
            <v>25</v>
          </cell>
          <cell r="C6948" t="str">
            <v>+ Coliê sắt</v>
          </cell>
          <cell r="D6948" t="str">
            <v>bộ</v>
          </cell>
          <cell r="E6948">
            <v>2</v>
          </cell>
          <cell r="F6948">
            <v>8000</v>
          </cell>
          <cell r="G6948">
            <v>16000</v>
          </cell>
        </row>
        <row r="6949">
          <cell r="B6949">
            <v>114</v>
          </cell>
          <cell r="C6949" t="str">
            <v>+ Dây đồng 25mm2</v>
          </cell>
          <cell r="D6949" t="str">
            <v>m</v>
          </cell>
          <cell r="E6949">
            <v>4</v>
          </cell>
          <cell r="F6949">
            <v>69454</v>
          </cell>
          <cell r="G6949">
            <v>277816</v>
          </cell>
        </row>
        <row r="6950">
          <cell r="B6950">
            <v>35</v>
          </cell>
          <cell r="C6950" t="str">
            <v>+ Chất cách điện</v>
          </cell>
          <cell r="D6950" t="str">
            <v>kg</v>
          </cell>
          <cell r="E6950">
            <v>18</v>
          </cell>
          <cell r="F6950">
            <v>15450</v>
          </cell>
          <cell r="G6950">
            <v>278100</v>
          </cell>
        </row>
        <row r="6951">
          <cell r="B6951">
            <v>25</v>
          </cell>
          <cell r="C6951" t="str">
            <v>+ Băng vải nhựa, ni lông ( băng dính )</v>
          </cell>
          <cell r="D6951" t="str">
            <v>cuộn</v>
          </cell>
          <cell r="E6951">
            <v>3</v>
          </cell>
          <cell r="F6951">
            <v>8000</v>
          </cell>
          <cell r="G6951">
            <v>24000</v>
          </cell>
        </row>
        <row r="6952">
          <cell r="B6952">
            <v>3</v>
          </cell>
          <cell r="C6952" t="str">
            <v>+ Xăng</v>
          </cell>
          <cell r="D6952" t="str">
            <v>kg</v>
          </cell>
          <cell r="E6952">
            <v>1</v>
          </cell>
          <cell r="F6952">
            <v>18382</v>
          </cell>
          <cell r="G6952">
            <v>18382</v>
          </cell>
        </row>
        <row r="6953">
          <cell r="B6953">
            <v>1</v>
          </cell>
          <cell r="C6953" t="str">
            <v>+ Cồn công nghiệp</v>
          </cell>
          <cell r="D6953" t="str">
            <v>kg</v>
          </cell>
          <cell r="E6953">
            <v>1</v>
          </cell>
          <cell r="F6953">
            <v>9500</v>
          </cell>
          <cell r="G6953">
            <v>9500</v>
          </cell>
        </row>
        <row r="6954">
          <cell r="B6954">
            <v>9</v>
          </cell>
          <cell r="C6954" t="str">
            <v>+ Giẻ lau</v>
          </cell>
          <cell r="D6954" t="str">
            <v>Kg</v>
          </cell>
          <cell r="E6954">
            <v>1</v>
          </cell>
          <cell r="F6954">
            <v>9500</v>
          </cell>
          <cell r="G6954">
            <v>9500</v>
          </cell>
        </row>
        <row r="6955">
          <cell r="B6955">
            <v>4</v>
          </cell>
          <cell r="C6955" t="str">
            <v>+ Giấy ráp</v>
          </cell>
          <cell r="D6955" t="str">
            <v>tờ</v>
          </cell>
          <cell r="E6955">
            <v>1</v>
          </cell>
          <cell r="F6955">
            <v>10000</v>
          </cell>
          <cell r="G6955">
            <v>10000</v>
          </cell>
        </row>
        <row r="6956">
          <cell r="B6956">
            <v>33</v>
          </cell>
          <cell r="C6956" t="str">
            <v>+ Ma tít</v>
          </cell>
          <cell r="D6956" t="str">
            <v>kg</v>
          </cell>
          <cell r="E6956">
            <v>0.15</v>
          </cell>
          <cell r="F6956">
            <v>17300</v>
          </cell>
          <cell r="G6956">
            <v>2595</v>
          </cell>
        </row>
        <row r="6957">
          <cell r="B6957">
            <v>137</v>
          </cell>
          <cell r="C6957" t="str">
            <v>Vật liệu khác</v>
          </cell>
          <cell r="D6957" t="str">
            <v>%</v>
          </cell>
          <cell r="E6957">
            <v>5</v>
          </cell>
          <cell r="F6957">
            <v>1500</v>
          </cell>
          <cell r="G6957">
            <v>32294.65</v>
          </cell>
        </row>
        <row r="6958">
          <cell r="C6958" t="str">
            <v>Nhân công</v>
          </cell>
          <cell r="G6958">
            <v>6146109.3340789471</v>
          </cell>
        </row>
        <row r="6959">
          <cell r="B6959" t="str">
            <v>NC1457</v>
          </cell>
          <cell r="C6959" t="str">
            <v>+ Nhân công bậc 4,5/7</v>
          </cell>
          <cell r="D6959" t="str">
            <v>Công</v>
          </cell>
          <cell r="E6959">
            <v>29.02</v>
          </cell>
          <cell r="F6959">
            <v>211788.74342105264</v>
          </cell>
          <cell r="G6959">
            <v>6146109.3340789471</v>
          </cell>
        </row>
        <row r="6960">
          <cell r="A6960" t="str">
            <v>D4.3446</v>
          </cell>
          <cell r="C6960" t="str">
            <v>Làm đầu cáp lực khô 110KV, Phễu cáp bằng gang, Cáp có tiết diện &lt;=300mm2</v>
          </cell>
          <cell r="D6960" t="str">
            <v>1 đầu 1 pha</v>
          </cell>
          <cell r="H6960">
            <v>678187.65</v>
          </cell>
          <cell r="I6960">
            <v>6277418.3550000004</v>
          </cell>
        </row>
        <row r="6961">
          <cell r="C6961" t="str">
            <v>Vật liệu</v>
          </cell>
          <cell r="G6961">
            <v>678187.65</v>
          </cell>
        </row>
        <row r="6962">
          <cell r="B6962">
            <v>25</v>
          </cell>
          <cell r="C6962" t="str">
            <v>+ Coliê sắt</v>
          </cell>
          <cell r="D6962" t="str">
            <v>bộ</v>
          </cell>
          <cell r="E6962">
            <v>2</v>
          </cell>
          <cell r="F6962">
            <v>8000</v>
          </cell>
          <cell r="G6962">
            <v>16000</v>
          </cell>
        </row>
        <row r="6963">
          <cell r="B6963">
            <v>114</v>
          </cell>
          <cell r="C6963" t="str">
            <v>+ Dây đồng 25mm2</v>
          </cell>
          <cell r="D6963" t="str">
            <v>m</v>
          </cell>
          <cell r="E6963">
            <v>4</v>
          </cell>
          <cell r="F6963">
            <v>69454</v>
          </cell>
          <cell r="G6963">
            <v>277816</v>
          </cell>
        </row>
        <row r="6964">
          <cell r="B6964">
            <v>35</v>
          </cell>
          <cell r="C6964" t="str">
            <v>+ Chất cách điện</v>
          </cell>
          <cell r="D6964" t="str">
            <v>kg</v>
          </cell>
          <cell r="E6964">
            <v>18</v>
          </cell>
          <cell r="F6964">
            <v>15450</v>
          </cell>
          <cell r="G6964">
            <v>278100</v>
          </cell>
        </row>
        <row r="6965">
          <cell r="B6965">
            <v>25</v>
          </cell>
          <cell r="C6965" t="str">
            <v>+ Băng vải nhựa, ni lông ( băng dính )</v>
          </cell>
          <cell r="D6965" t="str">
            <v>cuộn</v>
          </cell>
          <cell r="E6965">
            <v>3</v>
          </cell>
          <cell r="F6965">
            <v>8000</v>
          </cell>
          <cell r="G6965">
            <v>24000</v>
          </cell>
        </row>
        <row r="6966">
          <cell r="B6966">
            <v>3</v>
          </cell>
          <cell r="C6966" t="str">
            <v>+ Xăng</v>
          </cell>
          <cell r="D6966" t="str">
            <v>kg</v>
          </cell>
          <cell r="E6966">
            <v>1</v>
          </cell>
          <cell r="F6966">
            <v>18382</v>
          </cell>
          <cell r="G6966">
            <v>18382</v>
          </cell>
        </row>
        <row r="6967">
          <cell r="B6967">
            <v>1</v>
          </cell>
          <cell r="C6967" t="str">
            <v>+ Cồn công nghiệp</v>
          </cell>
          <cell r="D6967" t="str">
            <v>kg</v>
          </cell>
          <cell r="E6967">
            <v>1</v>
          </cell>
          <cell r="F6967">
            <v>9500</v>
          </cell>
          <cell r="G6967">
            <v>9500</v>
          </cell>
        </row>
        <row r="6968">
          <cell r="B6968">
            <v>9</v>
          </cell>
          <cell r="C6968" t="str">
            <v>+ Giẻ lau</v>
          </cell>
          <cell r="D6968" t="str">
            <v>Kg</v>
          </cell>
          <cell r="E6968">
            <v>1</v>
          </cell>
          <cell r="F6968">
            <v>9500</v>
          </cell>
          <cell r="G6968">
            <v>9500</v>
          </cell>
        </row>
        <row r="6969">
          <cell r="B6969">
            <v>4</v>
          </cell>
          <cell r="C6969" t="str">
            <v>+ Giấy ráp</v>
          </cell>
          <cell r="D6969" t="str">
            <v>tờ</v>
          </cell>
          <cell r="E6969">
            <v>1</v>
          </cell>
          <cell r="F6969">
            <v>10000</v>
          </cell>
          <cell r="G6969">
            <v>10000</v>
          </cell>
        </row>
        <row r="6970">
          <cell r="B6970">
            <v>33</v>
          </cell>
          <cell r="C6970" t="str">
            <v>+ Ma tít</v>
          </cell>
          <cell r="D6970" t="str">
            <v>kg</v>
          </cell>
          <cell r="E6970">
            <v>0.15</v>
          </cell>
          <cell r="F6970">
            <v>17300</v>
          </cell>
          <cell r="G6970">
            <v>2595</v>
          </cell>
        </row>
        <row r="6971">
          <cell r="B6971">
            <v>137</v>
          </cell>
          <cell r="C6971" t="str">
            <v>Vật liệu khác</v>
          </cell>
          <cell r="D6971" t="str">
            <v>%</v>
          </cell>
          <cell r="E6971">
            <v>5</v>
          </cell>
          <cell r="F6971">
            <v>1500</v>
          </cell>
          <cell r="G6971">
            <v>32294.65</v>
          </cell>
        </row>
        <row r="6972">
          <cell r="C6972" t="str">
            <v>Nhân công</v>
          </cell>
          <cell r="G6972">
            <v>6277418.3550000004</v>
          </cell>
        </row>
        <row r="6973">
          <cell r="B6973" t="str">
            <v>NC1457</v>
          </cell>
          <cell r="C6973" t="str">
            <v>+ Nhân công bậc 4,5/7</v>
          </cell>
          <cell r="D6973" t="str">
            <v>Công</v>
          </cell>
          <cell r="E6973">
            <v>29.64</v>
          </cell>
          <cell r="F6973">
            <v>211788.74342105264</v>
          </cell>
          <cell r="G6973">
            <v>6277418.3550000004</v>
          </cell>
        </row>
        <row r="6974">
          <cell r="A6974" t="str">
            <v>D4.3447</v>
          </cell>
          <cell r="C6974" t="str">
            <v>Làm đầu cáp lực khô 110KV, Phễu cáp bằng gang, Cáp có tiết diện &lt;=400mm2</v>
          </cell>
          <cell r="D6974" t="str">
            <v>1 đầu 1 pha</v>
          </cell>
          <cell r="H6974">
            <v>742390.32000000007</v>
          </cell>
          <cell r="I6974">
            <v>7533325.6034868425</v>
          </cell>
        </row>
        <row r="6975">
          <cell r="C6975" t="str">
            <v>Vật liệu</v>
          </cell>
          <cell r="G6975">
            <v>742390.32000000007</v>
          </cell>
        </row>
        <row r="6976">
          <cell r="B6976">
            <v>25</v>
          </cell>
          <cell r="C6976" t="str">
            <v>+ Coliê sắt</v>
          </cell>
          <cell r="D6976" t="str">
            <v>bộ</v>
          </cell>
          <cell r="E6976">
            <v>2</v>
          </cell>
          <cell r="F6976">
            <v>8000</v>
          </cell>
          <cell r="G6976">
            <v>16000</v>
          </cell>
        </row>
        <row r="6977">
          <cell r="B6977">
            <v>114</v>
          </cell>
          <cell r="C6977" t="str">
            <v>+ Dây đồng 25mm2</v>
          </cell>
          <cell r="D6977" t="str">
            <v>m</v>
          </cell>
          <cell r="E6977">
            <v>4</v>
          </cell>
          <cell r="F6977">
            <v>69454</v>
          </cell>
          <cell r="G6977">
            <v>277816</v>
          </cell>
        </row>
        <row r="6978">
          <cell r="B6978">
            <v>35</v>
          </cell>
          <cell r="C6978" t="str">
            <v>+ Chất cách điện</v>
          </cell>
          <cell r="D6978" t="str">
            <v>kg</v>
          </cell>
          <cell r="E6978">
            <v>21</v>
          </cell>
          <cell r="F6978">
            <v>15450</v>
          </cell>
          <cell r="G6978">
            <v>324450</v>
          </cell>
        </row>
        <row r="6979">
          <cell r="B6979">
            <v>25</v>
          </cell>
          <cell r="C6979" t="str">
            <v>+ Băng vải nhựa, ni lông ( băng dính )</v>
          </cell>
          <cell r="D6979" t="str">
            <v>cuộn</v>
          </cell>
          <cell r="E6979">
            <v>3.6</v>
          </cell>
          <cell r="F6979">
            <v>8000</v>
          </cell>
          <cell r="G6979">
            <v>28800</v>
          </cell>
        </row>
        <row r="6980">
          <cell r="B6980">
            <v>3</v>
          </cell>
          <cell r="C6980" t="str">
            <v>+ Xăng</v>
          </cell>
          <cell r="D6980" t="str">
            <v>kg</v>
          </cell>
          <cell r="E6980">
            <v>1.2</v>
          </cell>
          <cell r="F6980">
            <v>18382</v>
          </cell>
          <cell r="G6980">
            <v>22058.399999999998</v>
          </cell>
        </row>
        <row r="6981">
          <cell r="B6981">
            <v>1</v>
          </cell>
          <cell r="C6981" t="str">
            <v>+ Cồn công nghiệp</v>
          </cell>
          <cell r="D6981" t="str">
            <v>kg</v>
          </cell>
          <cell r="E6981">
            <v>1.2</v>
          </cell>
          <cell r="F6981">
            <v>9500</v>
          </cell>
          <cell r="G6981">
            <v>11400</v>
          </cell>
        </row>
        <row r="6982">
          <cell r="B6982">
            <v>9</v>
          </cell>
          <cell r="C6982" t="str">
            <v>+ Giẻ lau</v>
          </cell>
          <cell r="D6982" t="str">
            <v>Kg</v>
          </cell>
          <cell r="E6982">
            <v>1.2</v>
          </cell>
          <cell r="F6982">
            <v>9500</v>
          </cell>
          <cell r="G6982">
            <v>11400</v>
          </cell>
        </row>
        <row r="6983">
          <cell r="B6983">
            <v>4</v>
          </cell>
          <cell r="C6983" t="str">
            <v>+ Giấy ráp</v>
          </cell>
          <cell r="D6983" t="str">
            <v>tờ</v>
          </cell>
          <cell r="E6983">
            <v>1.2</v>
          </cell>
          <cell r="F6983">
            <v>10000</v>
          </cell>
          <cell r="G6983">
            <v>12000</v>
          </cell>
        </row>
        <row r="6984">
          <cell r="B6984">
            <v>33</v>
          </cell>
          <cell r="C6984" t="str">
            <v>+ Ma tít</v>
          </cell>
          <cell r="D6984" t="str">
            <v>kg</v>
          </cell>
          <cell r="E6984">
            <v>0.18</v>
          </cell>
          <cell r="F6984">
            <v>17300</v>
          </cell>
          <cell r="G6984">
            <v>3114</v>
          </cell>
        </row>
        <row r="6985">
          <cell r="B6985">
            <v>137</v>
          </cell>
          <cell r="C6985" t="str">
            <v>Vật liệu khác</v>
          </cell>
          <cell r="D6985" t="str">
            <v>%</v>
          </cell>
          <cell r="E6985">
            <v>5</v>
          </cell>
          <cell r="F6985">
            <v>1500</v>
          </cell>
          <cell r="G6985">
            <v>35351.920000000006</v>
          </cell>
        </row>
        <row r="6986">
          <cell r="C6986" t="str">
            <v>Nhân công</v>
          </cell>
          <cell r="G6986">
            <v>7533325.6034868425</v>
          </cell>
        </row>
        <row r="6987">
          <cell r="B6987" t="str">
            <v>NC1457</v>
          </cell>
          <cell r="C6987" t="str">
            <v>+ Nhân công bậc 4,5/7</v>
          </cell>
          <cell r="D6987" t="str">
            <v>Công</v>
          </cell>
          <cell r="E6987">
            <v>35.57</v>
          </cell>
          <cell r="F6987">
            <v>211788.74342105264</v>
          </cell>
          <cell r="G6987">
            <v>7533325.6034868425</v>
          </cell>
        </row>
        <row r="6988">
          <cell r="A6988" t="str">
            <v>D4.4111</v>
          </cell>
          <cell r="C6988" t="str">
            <v>Làm hộp nối cáp khô điện áp =&lt;1KV, Cáp có tiết diện &lt;=35mm2</v>
          </cell>
          <cell r="D6988" t="str">
            <v>1 hộp nối</v>
          </cell>
          <cell r="H6988">
            <v>8977.5</v>
          </cell>
          <cell r="I6988">
            <v>402398.61249999999</v>
          </cell>
        </row>
        <row r="6989">
          <cell r="C6989" t="str">
            <v>Vật liệu</v>
          </cell>
          <cell r="G6989">
            <v>8977.5</v>
          </cell>
        </row>
        <row r="6990">
          <cell r="B6990">
            <v>1</v>
          </cell>
          <cell r="C6990" t="str">
            <v>+ Cồn công nghiệp</v>
          </cell>
          <cell r="D6990" t="str">
            <v>kg</v>
          </cell>
          <cell r="E6990">
            <v>0.6</v>
          </cell>
          <cell r="F6990">
            <v>9500</v>
          </cell>
          <cell r="G6990">
            <v>5700</v>
          </cell>
        </row>
        <row r="6991">
          <cell r="B6991">
            <v>9</v>
          </cell>
          <cell r="C6991" t="str">
            <v>+ Giẻ lau</v>
          </cell>
          <cell r="D6991" t="str">
            <v>Kg</v>
          </cell>
          <cell r="E6991">
            <v>0.3</v>
          </cell>
          <cell r="F6991">
            <v>9500</v>
          </cell>
          <cell r="G6991">
            <v>2850</v>
          </cell>
        </row>
        <row r="6992">
          <cell r="B6992">
            <v>137</v>
          </cell>
          <cell r="C6992" t="str">
            <v>Vật liệu khác</v>
          </cell>
          <cell r="D6992" t="str">
            <v>%</v>
          </cell>
          <cell r="E6992">
            <v>5</v>
          </cell>
          <cell r="F6992">
            <v>1500</v>
          </cell>
          <cell r="G6992">
            <v>427.5</v>
          </cell>
        </row>
        <row r="6993">
          <cell r="C6993" t="str">
            <v>Nhân công</v>
          </cell>
          <cell r="G6993">
            <v>402398.61249999999</v>
          </cell>
        </row>
        <row r="6994">
          <cell r="B6994" t="str">
            <v>NC1457</v>
          </cell>
          <cell r="C6994" t="str">
            <v>+ Nhân công bậc 4,5/7</v>
          </cell>
          <cell r="D6994" t="str">
            <v>Công</v>
          </cell>
          <cell r="E6994">
            <v>1.9</v>
          </cell>
          <cell r="F6994">
            <v>211788.74342105264</v>
          </cell>
          <cell r="G6994">
            <v>402398.61249999999</v>
          </cell>
        </row>
        <row r="6995">
          <cell r="A6995" t="str">
            <v>D4.4112</v>
          </cell>
          <cell r="C6995" t="str">
            <v>Làm hộp nối cáp khô điện áp =&lt;1KV, Cáp có tiết diện &lt; =70mm2</v>
          </cell>
          <cell r="D6995" t="str">
            <v>1 hộp nối</v>
          </cell>
          <cell r="H6995">
            <v>8977.5</v>
          </cell>
          <cell r="I6995">
            <v>410870.16223684209</v>
          </cell>
        </row>
        <row r="6996">
          <cell r="C6996" t="str">
            <v>Vật liệu</v>
          </cell>
          <cell r="G6996">
            <v>8977.5</v>
          </cell>
        </row>
        <row r="6997">
          <cell r="B6997">
            <v>1</v>
          </cell>
          <cell r="C6997" t="str">
            <v>+ Cồn công nghiệp</v>
          </cell>
          <cell r="D6997" t="str">
            <v>kg</v>
          </cell>
          <cell r="E6997">
            <v>0.6</v>
          </cell>
          <cell r="F6997">
            <v>9500</v>
          </cell>
          <cell r="G6997">
            <v>5700</v>
          </cell>
        </row>
        <row r="6998">
          <cell r="B6998">
            <v>9</v>
          </cell>
          <cell r="C6998" t="str">
            <v>+ Giẻ lau</v>
          </cell>
          <cell r="D6998" t="str">
            <v>Kg</v>
          </cell>
          <cell r="E6998">
            <v>0.3</v>
          </cell>
          <cell r="F6998">
            <v>9500</v>
          </cell>
          <cell r="G6998">
            <v>2850</v>
          </cell>
        </row>
        <row r="6999">
          <cell r="B6999">
            <v>137</v>
          </cell>
          <cell r="C6999" t="str">
            <v>Vật liệu khác</v>
          </cell>
          <cell r="D6999" t="str">
            <v>%</v>
          </cell>
          <cell r="E6999">
            <v>5</v>
          </cell>
          <cell r="F6999">
            <v>1500</v>
          </cell>
          <cell r="G6999">
            <v>427.5</v>
          </cell>
        </row>
        <row r="7000">
          <cell r="C7000" t="str">
            <v>Nhân công</v>
          </cell>
          <cell r="G7000">
            <v>410870.16223684209</v>
          </cell>
        </row>
        <row r="7001">
          <cell r="B7001" t="str">
            <v>NC1457</v>
          </cell>
          <cell r="C7001" t="str">
            <v>+ Nhân công bậc 4,5/7</v>
          </cell>
          <cell r="D7001" t="str">
            <v>Công</v>
          </cell>
          <cell r="E7001">
            <v>1.94</v>
          </cell>
          <cell r="F7001">
            <v>211788.74342105264</v>
          </cell>
          <cell r="G7001">
            <v>410870.16223684209</v>
          </cell>
        </row>
        <row r="7002">
          <cell r="A7002" t="str">
            <v>D4.4113</v>
          </cell>
          <cell r="C7002" t="str">
            <v>Làm hộp nối cáp khô điện áp =&lt;1KV, Cáp có tiết diện &lt; =120mm2</v>
          </cell>
          <cell r="D7002" t="str">
            <v>1 hộp nối</v>
          </cell>
          <cell r="H7002">
            <v>8977.5</v>
          </cell>
          <cell r="I7002">
            <v>453227.91092105268</v>
          </cell>
        </row>
        <row r="7003">
          <cell r="C7003" t="str">
            <v>Vật liệu</v>
          </cell>
          <cell r="G7003">
            <v>8977.5</v>
          </cell>
        </row>
        <row r="7004">
          <cell r="B7004">
            <v>1</v>
          </cell>
          <cell r="C7004" t="str">
            <v>+ Cồn công nghiệp</v>
          </cell>
          <cell r="D7004" t="str">
            <v>kg</v>
          </cell>
          <cell r="E7004">
            <v>0.6</v>
          </cell>
          <cell r="F7004">
            <v>9500</v>
          </cell>
          <cell r="G7004">
            <v>5700</v>
          </cell>
        </row>
        <row r="7005">
          <cell r="B7005">
            <v>9</v>
          </cell>
          <cell r="C7005" t="str">
            <v>+ Giẻ lau</v>
          </cell>
          <cell r="D7005" t="str">
            <v>Kg</v>
          </cell>
          <cell r="E7005">
            <v>0.3</v>
          </cell>
          <cell r="F7005">
            <v>9500</v>
          </cell>
          <cell r="G7005">
            <v>2850</v>
          </cell>
        </row>
        <row r="7006">
          <cell r="B7006">
            <v>137</v>
          </cell>
          <cell r="C7006" t="str">
            <v>Vật liệu khác</v>
          </cell>
          <cell r="D7006" t="str">
            <v>%</v>
          </cell>
          <cell r="E7006">
            <v>5</v>
          </cell>
          <cell r="F7006">
            <v>1500</v>
          </cell>
          <cell r="G7006">
            <v>427.5</v>
          </cell>
        </row>
        <row r="7007">
          <cell r="C7007" t="str">
            <v>Nhân công</v>
          </cell>
          <cell r="G7007">
            <v>453227.91092105268</v>
          </cell>
        </row>
        <row r="7008">
          <cell r="B7008" t="str">
            <v>NC1457</v>
          </cell>
          <cell r="C7008" t="str">
            <v>+ Nhân công bậc 4,5/7</v>
          </cell>
          <cell r="D7008" t="str">
            <v>Công</v>
          </cell>
          <cell r="E7008">
            <v>2.14</v>
          </cell>
          <cell r="F7008">
            <v>211788.74342105264</v>
          </cell>
          <cell r="G7008">
            <v>453227.91092105268</v>
          </cell>
        </row>
        <row r="7009">
          <cell r="A7009" t="str">
            <v>D4.4114</v>
          </cell>
          <cell r="C7009" t="str">
            <v>Làm hộp nối cáp khô điện áp =&lt;1KV, Cáp có tiết diện &lt;=185mm2</v>
          </cell>
          <cell r="D7009" t="str">
            <v>1 hộp nối</v>
          </cell>
          <cell r="H7009">
            <v>11471.25</v>
          </cell>
          <cell r="I7009">
            <v>501939.3219078948</v>
          </cell>
        </row>
        <row r="7010">
          <cell r="C7010" t="str">
            <v>Vật liệu</v>
          </cell>
          <cell r="G7010">
            <v>11471.25</v>
          </cell>
        </row>
        <row r="7011">
          <cell r="B7011">
            <v>1</v>
          </cell>
          <cell r="C7011" t="str">
            <v>+ Cồn công nghiệp</v>
          </cell>
          <cell r="D7011" t="str">
            <v>kg</v>
          </cell>
          <cell r="E7011">
            <v>0.75</v>
          </cell>
          <cell r="F7011">
            <v>9500</v>
          </cell>
          <cell r="G7011">
            <v>7125</v>
          </cell>
        </row>
        <row r="7012">
          <cell r="B7012">
            <v>9</v>
          </cell>
          <cell r="C7012" t="str">
            <v>+ Giẻ lau</v>
          </cell>
          <cell r="D7012" t="str">
            <v>Kg</v>
          </cell>
          <cell r="E7012">
            <v>0.4</v>
          </cell>
          <cell r="F7012">
            <v>9500</v>
          </cell>
          <cell r="G7012">
            <v>3800</v>
          </cell>
        </row>
        <row r="7013">
          <cell r="B7013">
            <v>137</v>
          </cell>
          <cell r="C7013" t="str">
            <v>Vật liệu khác</v>
          </cell>
          <cell r="D7013" t="str">
            <v>%</v>
          </cell>
          <cell r="E7013">
            <v>5</v>
          </cell>
          <cell r="F7013">
            <v>1500</v>
          </cell>
          <cell r="G7013">
            <v>546.25</v>
          </cell>
        </row>
        <row r="7014">
          <cell r="C7014" t="str">
            <v>Nhân công</v>
          </cell>
          <cell r="G7014">
            <v>501939.3219078948</v>
          </cell>
        </row>
        <row r="7015">
          <cell r="B7015" t="str">
            <v>NC1457</v>
          </cell>
          <cell r="C7015" t="str">
            <v>+ Nhân công bậc 4,5/7</v>
          </cell>
          <cell r="D7015" t="str">
            <v>Công</v>
          </cell>
          <cell r="E7015">
            <v>2.37</v>
          </cell>
          <cell r="F7015">
            <v>211788.74342105264</v>
          </cell>
          <cell r="G7015">
            <v>501939.3219078948</v>
          </cell>
        </row>
        <row r="7016">
          <cell r="A7016" t="str">
            <v>D4.4115</v>
          </cell>
          <cell r="C7016" t="str">
            <v>Làm hộp nối cáp khô điện áp =&lt;1KV, Cáp có tiết diện &lt;= 240mm2</v>
          </cell>
          <cell r="D7016" t="str">
            <v>1 hộp nối</v>
          </cell>
          <cell r="H7016">
            <v>11471.25</v>
          </cell>
          <cell r="I7016">
            <v>544297.07059210527</v>
          </cell>
        </row>
        <row r="7017">
          <cell r="C7017" t="str">
            <v>Vật liệu</v>
          </cell>
          <cell r="G7017">
            <v>11471.25</v>
          </cell>
        </row>
        <row r="7018">
          <cell r="B7018">
            <v>1</v>
          </cell>
          <cell r="C7018" t="str">
            <v>+ Cồn công nghiệp</v>
          </cell>
          <cell r="D7018" t="str">
            <v>kg</v>
          </cell>
          <cell r="E7018">
            <v>0.75</v>
          </cell>
          <cell r="F7018">
            <v>9500</v>
          </cell>
          <cell r="G7018">
            <v>7125</v>
          </cell>
        </row>
        <row r="7019">
          <cell r="B7019">
            <v>9</v>
          </cell>
          <cell r="C7019" t="str">
            <v>+ Giẻ lau</v>
          </cell>
          <cell r="D7019" t="str">
            <v>Kg</v>
          </cell>
          <cell r="E7019">
            <v>0.4</v>
          </cell>
          <cell r="F7019">
            <v>9500</v>
          </cell>
          <cell r="G7019">
            <v>3800</v>
          </cell>
        </row>
        <row r="7020">
          <cell r="B7020">
            <v>137</v>
          </cell>
          <cell r="C7020" t="str">
            <v>Vật liệu khác</v>
          </cell>
          <cell r="D7020" t="str">
            <v>%</v>
          </cell>
          <cell r="E7020">
            <v>5</v>
          </cell>
          <cell r="F7020">
            <v>1500</v>
          </cell>
          <cell r="G7020">
            <v>546.25</v>
          </cell>
        </row>
        <row r="7021">
          <cell r="C7021" t="str">
            <v>Nhân công</v>
          </cell>
          <cell r="G7021">
            <v>544297.07059210527</v>
          </cell>
        </row>
        <row r="7022">
          <cell r="B7022" t="str">
            <v>NC1457</v>
          </cell>
          <cell r="C7022" t="str">
            <v>+ Nhân công bậc 4,5/7</v>
          </cell>
          <cell r="D7022" t="str">
            <v>Công</v>
          </cell>
          <cell r="E7022">
            <v>2.57</v>
          </cell>
          <cell r="F7022">
            <v>211788.74342105264</v>
          </cell>
          <cell r="G7022">
            <v>544297.07059210527</v>
          </cell>
        </row>
        <row r="7023">
          <cell r="A7023" t="str">
            <v>D4.4116</v>
          </cell>
          <cell r="C7023" t="str">
            <v>Làm hộp nối cáp khô điện áp =&lt;1KV, Cáp có tiết diện &lt;=300mm2</v>
          </cell>
          <cell r="D7023" t="str">
            <v>1 hộp nối</v>
          </cell>
          <cell r="H7023">
            <v>11471.25</v>
          </cell>
          <cell r="I7023">
            <v>590890.59414473688</v>
          </cell>
        </row>
        <row r="7024">
          <cell r="C7024" t="str">
            <v>Vật liệu</v>
          </cell>
          <cell r="G7024">
            <v>11471.25</v>
          </cell>
        </row>
        <row r="7025">
          <cell r="B7025">
            <v>1</v>
          </cell>
          <cell r="C7025" t="str">
            <v>+ Cồn công nghiệp</v>
          </cell>
          <cell r="D7025" t="str">
            <v>kg</v>
          </cell>
          <cell r="E7025">
            <v>0.75</v>
          </cell>
          <cell r="F7025">
            <v>9500</v>
          </cell>
          <cell r="G7025">
            <v>7125</v>
          </cell>
        </row>
        <row r="7026">
          <cell r="B7026">
            <v>9</v>
          </cell>
          <cell r="C7026" t="str">
            <v>+ Giẻ lau</v>
          </cell>
          <cell r="D7026" t="str">
            <v>Kg</v>
          </cell>
          <cell r="E7026">
            <v>0.4</v>
          </cell>
          <cell r="F7026">
            <v>9500</v>
          </cell>
          <cell r="G7026">
            <v>3800</v>
          </cell>
        </row>
        <row r="7027">
          <cell r="B7027">
            <v>137</v>
          </cell>
          <cell r="C7027" t="str">
            <v>Vật liệu khác</v>
          </cell>
          <cell r="D7027" t="str">
            <v>%</v>
          </cell>
          <cell r="E7027">
            <v>5</v>
          </cell>
          <cell r="F7027">
            <v>1500</v>
          </cell>
          <cell r="G7027">
            <v>546.25</v>
          </cell>
        </row>
        <row r="7028">
          <cell r="C7028" t="str">
            <v>Nhân công</v>
          </cell>
          <cell r="G7028">
            <v>590890.59414473688</v>
          </cell>
        </row>
        <row r="7029">
          <cell r="B7029" t="str">
            <v>NC1457</v>
          </cell>
          <cell r="C7029" t="str">
            <v>+ Nhân công bậc 4,5/7</v>
          </cell>
          <cell r="D7029" t="str">
            <v>Công</v>
          </cell>
          <cell r="E7029">
            <v>2.79</v>
          </cell>
          <cell r="F7029">
            <v>211788.74342105264</v>
          </cell>
          <cell r="G7029">
            <v>590890.59414473688</v>
          </cell>
        </row>
        <row r="7030">
          <cell r="A7030" t="str">
            <v>D4.4117</v>
          </cell>
          <cell r="C7030" t="str">
            <v>Làm hộp nối cáp khô điện áp =&lt;1KV, Cáp có tiết diện &lt;=400mm2</v>
          </cell>
          <cell r="D7030" t="str">
            <v>1 hộp nối</v>
          </cell>
          <cell r="H7030">
            <v>13765.5</v>
          </cell>
          <cell r="I7030">
            <v>709492.29046052636</v>
          </cell>
        </row>
        <row r="7031">
          <cell r="C7031" t="str">
            <v>Vật liệu</v>
          </cell>
          <cell r="G7031">
            <v>13765.5</v>
          </cell>
        </row>
        <row r="7032">
          <cell r="B7032">
            <v>1</v>
          </cell>
          <cell r="C7032" t="str">
            <v>+ Cồn công nghiệp</v>
          </cell>
          <cell r="D7032" t="str">
            <v>kg</v>
          </cell>
          <cell r="E7032">
            <v>0.9</v>
          </cell>
          <cell r="F7032">
            <v>9500</v>
          </cell>
          <cell r="G7032">
            <v>8550</v>
          </cell>
        </row>
        <row r="7033">
          <cell r="B7033">
            <v>9</v>
          </cell>
          <cell r="C7033" t="str">
            <v>+ Giẻ lau</v>
          </cell>
          <cell r="D7033" t="str">
            <v>Kg</v>
          </cell>
          <cell r="E7033">
            <v>0.48</v>
          </cell>
          <cell r="F7033">
            <v>9500</v>
          </cell>
          <cell r="G7033">
            <v>4560</v>
          </cell>
        </row>
        <row r="7034">
          <cell r="B7034">
            <v>137</v>
          </cell>
          <cell r="C7034" t="str">
            <v>Vật liệu khác</v>
          </cell>
          <cell r="D7034" t="str">
            <v>%</v>
          </cell>
          <cell r="E7034">
            <v>5</v>
          </cell>
          <cell r="F7034">
            <v>1500</v>
          </cell>
          <cell r="G7034">
            <v>655.5</v>
          </cell>
        </row>
        <row r="7035">
          <cell r="C7035" t="str">
            <v>Nhân công</v>
          </cell>
          <cell r="G7035">
            <v>709492.29046052636</v>
          </cell>
        </row>
        <row r="7036">
          <cell r="B7036" t="str">
            <v>NC1457</v>
          </cell>
          <cell r="C7036" t="str">
            <v>+ Nhân công bậc 4,5/7</v>
          </cell>
          <cell r="D7036" t="str">
            <v>Công</v>
          </cell>
          <cell r="E7036">
            <v>3.35</v>
          </cell>
          <cell r="F7036">
            <v>211788.74342105264</v>
          </cell>
          <cell r="G7036">
            <v>709492.29046052636</v>
          </cell>
        </row>
        <row r="7037">
          <cell r="A7037" t="str">
            <v>D4.4121</v>
          </cell>
          <cell r="C7037" t="str">
            <v>Làm hộp nối cáp dầu điện áp 1KV, Cáp có tiết diện &lt;=35mm2</v>
          </cell>
          <cell r="D7037" t="str">
            <v>1 hộp nối</v>
          </cell>
          <cell r="H7037">
            <v>92153.25</v>
          </cell>
          <cell r="I7037">
            <v>1207195.8375000001</v>
          </cell>
        </row>
        <row r="7038">
          <cell r="C7038" t="str">
            <v>Vật liệu</v>
          </cell>
          <cell r="G7038">
            <v>92153.25</v>
          </cell>
        </row>
        <row r="7039">
          <cell r="B7039">
            <v>129</v>
          </cell>
          <cell r="C7039" t="str">
            <v>+ Hộp nối cáp loại 35mm2</v>
          </cell>
          <cell r="D7039" t="str">
            <v>hộp</v>
          </cell>
          <cell r="E7039">
            <v>1</v>
          </cell>
          <cell r="F7039">
            <v>0</v>
          </cell>
          <cell r="G7039">
            <v>0</v>
          </cell>
        </row>
        <row r="7040">
          <cell r="B7040">
            <v>25</v>
          </cell>
          <cell r="C7040" t="str">
            <v>+ Băng cách điện</v>
          </cell>
          <cell r="D7040" t="str">
            <v>cuộn</v>
          </cell>
          <cell r="E7040">
            <v>1</v>
          </cell>
          <cell r="F7040">
            <v>8000</v>
          </cell>
          <cell r="G7040">
            <v>8000</v>
          </cell>
        </row>
        <row r="7041">
          <cell r="B7041">
            <v>20</v>
          </cell>
          <cell r="C7041" t="str">
            <v>+ Thiếc hàn</v>
          </cell>
          <cell r="D7041" t="str">
            <v>kg</v>
          </cell>
          <cell r="E7041">
            <v>0.4</v>
          </cell>
          <cell r="F7041">
            <v>80000</v>
          </cell>
          <cell r="G7041">
            <v>32000</v>
          </cell>
        </row>
        <row r="7042">
          <cell r="B7042">
            <v>21</v>
          </cell>
          <cell r="C7042" t="str">
            <v>+ Nhựa thông</v>
          </cell>
          <cell r="D7042" t="str">
            <v>kg</v>
          </cell>
          <cell r="E7042">
            <v>0.04</v>
          </cell>
          <cell r="F7042">
            <v>27000</v>
          </cell>
          <cell r="G7042">
            <v>1080</v>
          </cell>
        </row>
        <row r="7043">
          <cell r="B7043">
            <v>33</v>
          </cell>
          <cell r="C7043" t="str">
            <v>+ Ma tít</v>
          </cell>
          <cell r="D7043" t="str">
            <v>kg</v>
          </cell>
          <cell r="E7043">
            <v>0.2</v>
          </cell>
          <cell r="F7043">
            <v>17300</v>
          </cell>
          <cell r="G7043">
            <v>3460</v>
          </cell>
        </row>
        <row r="7044">
          <cell r="B7044">
            <v>71</v>
          </cell>
          <cell r="C7044" t="str">
            <v>+ Củi đun</v>
          </cell>
          <cell r="D7044" t="str">
            <v>kg</v>
          </cell>
          <cell r="E7044">
            <v>12</v>
          </cell>
          <cell r="F7044">
            <v>1800</v>
          </cell>
          <cell r="G7044">
            <v>21600</v>
          </cell>
        </row>
        <row r="7045">
          <cell r="B7045">
            <v>1</v>
          </cell>
          <cell r="C7045" t="str">
            <v>+ Cồn công nghiệp</v>
          </cell>
          <cell r="D7045" t="str">
            <v>kg</v>
          </cell>
          <cell r="E7045">
            <v>0.25</v>
          </cell>
          <cell r="F7045">
            <v>9500</v>
          </cell>
          <cell r="G7045">
            <v>2375</v>
          </cell>
        </row>
        <row r="7046">
          <cell r="B7046">
            <v>9</v>
          </cell>
          <cell r="C7046" t="str">
            <v>+ Giẻ lau</v>
          </cell>
          <cell r="D7046" t="str">
            <v>Kg</v>
          </cell>
          <cell r="E7046">
            <v>0.4</v>
          </cell>
          <cell r="F7046">
            <v>9500</v>
          </cell>
          <cell r="G7046">
            <v>3800</v>
          </cell>
        </row>
        <row r="7047">
          <cell r="B7047">
            <v>35</v>
          </cell>
          <cell r="C7047" t="str">
            <v>+ Chất cách điện</v>
          </cell>
          <cell r="D7047" t="str">
            <v>kg</v>
          </cell>
          <cell r="E7047">
            <v>1</v>
          </cell>
          <cell r="F7047">
            <v>15450</v>
          </cell>
          <cell r="G7047">
            <v>15450</v>
          </cell>
        </row>
        <row r="7048">
          <cell r="B7048">
            <v>34</v>
          </cell>
          <cell r="C7048" t="str">
            <v>+ Dầu biến áp</v>
          </cell>
          <cell r="D7048" t="str">
            <v>kg</v>
          </cell>
          <cell r="E7048">
            <v>1</v>
          </cell>
          <cell r="F7048">
            <v>0</v>
          </cell>
          <cell r="G7048">
            <v>0</v>
          </cell>
        </row>
        <row r="7049">
          <cell r="B7049">
            <v>137</v>
          </cell>
          <cell r="C7049" t="str">
            <v>Vật liệu khác</v>
          </cell>
          <cell r="D7049" t="str">
            <v>%</v>
          </cell>
          <cell r="E7049">
            <v>5</v>
          </cell>
          <cell r="F7049">
            <v>1500</v>
          </cell>
          <cell r="G7049">
            <v>4388.25</v>
          </cell>
        </row>
        <row r="7050">
          <cell r="C7050" t="str">
            <v>Nhân công</v>
          </cell>
          <cell r="G7050">
            <v>1207195.8375000001</v>
          </cell>
        </row>
        <row r="7051">
          <cell r="B7051" t="str">
            <v>NC1457</v>
          </cell>
          <cell r="C7051" t="str">
            <v>+ Nhân công bậc 4,5/7</v>
          </cell>
          <cell r="D7051" t="str">
            <v>Công</v>
          </cell>
          <cell r="E7051">
            <v>5.7</v>
          </cell>
          <cell r="F7051">
            <v>211788.74342105264</v>
          </cell>
          <cell r="G7051">
            <v>1207195.8375000001</v>
          </cell>
        </row>
        <row r="7052">
          <cell r="A7052" t="str">
            <v>D4.4122</v>
          </cell>
          <cell r="C7052" t="str">
            <v>Làm hộp nối cáp dầu điện áp 1KV, Cáp có tiết diện &lt;=70mm2</v>
          </cell>
          <cell r="D7052" t="str">
            <v>1 hộp nối</v>
          </cell>
          <cell r="H7052">
            <v>96208.875</v>
          </cell>
          <cell r="I7052">
            <v>1368155.2825</v>
          </cell>
        </row>
        <row r="7053">
          <cell r="C7053" t="str">
            <v>Vật liệu</v>
          </cell>
          <cell r="G7053">
            <v>96208.875</v>
          </cell>
        </row>
        <row r="7054">
          <cell r="B7054">
            <v>130</v>
          </cell>
          <cell r="C7054" t="str">
            <v>+ Hộp nối cáp loại 70mm2</v>
          </cell>
          <cell r="D7054" t="str">
            <v>hộp</v>
          </cell>
          <cell r="E7054">
            <v>1</v>
          </cell>
          <cell r="F7054">
            <v>0</v>
          </cell>
          <cell r="G7054">
            <v>0</v>
          </cell>
        </row>
        <row r="7055">
          <cell r="B7055">
            <v>25</v>
          </cell>
          <cell r="C7055" t="str">
            <v>+ Băng cách điện</v>
          </cell>
          <cell r="D7055" t="str">
            <v>cuộn</v>
          </cell>
          <cell r="E7055">
            <v>1</v>
          </cell>
          <cell r="F7055">
            <v>8000</v>
          </cell>
          <cell r="G7055">
            <v>8000</v>
          </cell>
        </row>
        <row r="7056">
          <cell r="B7056">
            <v>20</v>
          </cell>
          <cell r="C7056" t="str">
            <v>+ Thiếc hàn</v>
          </cell>
          <cell r="D7056" t="str">
            <v>kg</v>
          </cell>
          <cell r="E7056">
            <v>0.4</v>
          </cell>
          <cell r="F7056">
            <v>80000</v>
          </cell>
          <cell r="G7056">
            <v>32000</v>
          </cell>
        </row>
        <row r="7057">
          <cell r="B7057">
            <v>21</v>
          </cell>
          <cell r="C7057" t="str">
            <v>+ Nhựa thông</v>
          </cell>
          <cell r="D7057" t="str">
            <v>kg</v>
          </cell>
          <cell r="E7057">
            <v>0.04</v>
          </cell>
          <cell r="F7057">
            <v>27000</v>
          </cell>
          <cell r="G7057">
            <v>1080</v>
          </cell>
        </row>
        <row r="7058">
          <cell r="B7058">
            <v>33</v>
          </cell>
          <cell r="C7058" t="str">
            <v>+ Ma tít</v>
          </cell>
          <cell r="D7058" t="str">
            <v>kg</v>
          </cell>
          <cell r="E7058">
            <v>0.2</v>
          </cell>
          <cell r="F7058">
            <v>17300</v>
          </cell>
          <cell r="G7058">
            <v>3460</v>
          </cell>
        </row>
        <row r="7059">
          <cell r="B7059">
            <v>71</v>
          </cell>
          <cell r="C7059" t="str">
            <v>+ Củi đun</v>
          </cell>
          <cell r="D7059" t="str">
            <v>kg</v>
          </cell>
          <cell r="E7059">
            <v>12</v>
          </cell>
          <cell r="F7059">
            <v>1800</v>
          </cell>
          <cell r="G7059">
            <v>21600</v>
          </cell>
        </row>
        <row r="7060">
          <cell r="B7060">
            <v>1</v>
          </cell>
          <cell r="C7060" t="str">
            <v>+ Cồn công nghiệp</v>
          </cell>
          <cell r="D7060" t="str">
            <v>kg</v>
          </cell>
          <cell r="E7060">
            <v>0.25</v>
          </cell>
          <cell r="F7060">
            <v>9500</v>
          </cell>
          <cell r="G7060">
            <v>2375</v>
          </cell>
        </row>
        <row r="7061">
          <cell r="B7061">
            <v>9</v>
          </cell>
          <cell r="C7061" t="str">
            <v>+ Giẻ lau</v>
          </cell>
          <cell r="D7061" t="str">
            <v>Kg</v>
          </cell>
          <cell r="E7061">
            <v>0.4</v>
          </cell>
          <cell r="F7061">
            <v>9500</v>
          </cell>
          <cell r="G7061">
            <v>3800</v>
          </cell>
        </row>
        <row r="7062">
          <cell r="B7062">
            <v>35</v>
          </cell>
          <cell r="C7062" t="str">
            <v>+ Chất cách điện</v>
          </cell>
          <cell r="D7062" t="str">
            <v>kg</v>
          </cell>
          <cell r="E7062">
            <v>1.25</v>
          </cell>
          <cell r="F7062">
            <v>15450</v>
          </cell>
          <cell r="G7062">
            <v>19312.5</v>
          </cell>
        </row>
        <row r="7063">
          <cell r="B7063">
            <v>34</v>
          </cell>
          <cell r="C7063" t="str">
            <v>+ Dầu biến áp</v>
          </cell>
          <cell r="D7063" t="str">
            <v>kg</v>
          </cell>
          <cell r="E7063">
            <v>1</v>
          </cell>
          <cell r="F7063">
            <v>0</v>
          </cell>
          <cell r="G7063">
            <v>0</v>
          </cell>
        </row>
        <row r="7064">
          <cell r="B7064">
            <v>137</v>
          </cell>
          <cell r="C7064" t="str">
            <v>Vật liệu khác</v>
          </cell>
          <cell r="D7064" t="str">
            <v>%</v>
          </cell>
          <cell r="E7064">
            <v>5</v>
          </cell>
          <cell r="F7064">
            <v>1500</v>
          </cell>
          <cell r="G7064">
            <v>4581.375</v>
          </cell>
        </row>
        <row r="7065">
          <cell r="C7065" t="str">
            <v>Nhân công</v>
          </cell>
          <cell r="G7065">
            <v>1368155.2825</v>
          </cell>
        </row>
        <row r="7066">
          <cell r="B7066" t="str">
            <v>NC1457</v>
          </cell>
          <cell r="C7066" t="str">
            <v>+ Nhân công bậc 4,5/7</v>
          </cell>
          <cell r="D7066" t="str">
            <v>Công</v>
          </cell>
          <cell r="E7066">
            <v>6.46</v>
          </cell>
          <cell r="F7066">
            <v>211788.74342105264</v>
          </cell>
          <cell r="G7066">
            <v>1368155.2825</v>
          </cell>
        </row>
        <row r="7067">
          <cell r="A7067" t="str">
            <v>D4.4123</v>
          </cell>
          <cell r="C7067" t="str">
            <v>Làm hộp nối cáp dầu điện áp 1KV, Cáp có tiết diện &lt;=120mm2</v>
          </cell>
          <cell r="D7067" t="str">
            <v>1 hộp nối</v>
          </cell>
          <cell r="H7067">
            <v>104968.5</v>
          </cell>
          <cell r="I7067">
            <v>1510053.7405921053</v>
          </cell>
        </row>
        <row r="7068">
          <cell r="C7068" t="str">
            <v>Vật liệu</v>
          </cell>
          <cell r="G7068">
            <v>104968.5</v>
          </cell>
        </row>
        <row r="7069">
          <cell r="B7069">
            <v>131</v>
          </cell>
          <cell r="C7069" t="str">
            <v>+ Hộp nối cáp loại 120mm2</v>
          </cell>
          <cell r="D7069" t="str">
            <v>hộp</v>
          </cell>
          <cell r="E7069">
            <v>1</v>
          </cell>
          <cell r="F7069">
            <v>0</v>
          </cell>
          <cell r="G7069">
            <v>0</v>
          </cell>
        </row>
        <row r="7070">
          <cell r="B7070">
            <v>25</v>
          </cell>
          <cell r="C7070" t="str">
            <v>+ Băng cách điện</v>
          </cell>
          <cell r="D7070" t="str">
            <v>cuộn</v>
          </cell>
          <cell r="E7070">
            <v>1</v>
          </cell>
          <cell r="F7070">
            <v>8000</v>
          </cell>
          <cell r="G7070">
            <v>8000</v>
          </cell>
        </row>
        <row r="7071">
          <cell r="B7071">
            <v>20</v>
          </cell>
          <cell r="C7071" t="str">
            <v>+ Thiếc hàn</v>
          </cell>
          <cell r="D7071" t="str">
            <v>kg</v>
          </cell>
          <cell r="E7071">
            <v>0.4</v>
          </cell>
          <cell r="F7071">
            <v>80000</v>
          </cell>
          <cell r="G7071">
            <v>32000</v>
          </cell>
        </row>
        <row r="7072">
          <cell r="B7072">
            <v>21</v>
          </cell>
          <cell r="C7072" t="str">
            <v>+ Nhựa thông</v>
          </cell>
          <cell r="D7072" t="str">
            <v>kg</v>
          </cell>
          <cell r="E7072">
            <v>0.04</v>
          </cell>
          <cell r="F7072">
            <v>27000</v>
          </cell>
          <cell r="G7072">
            <v>1080</v>
          </cell>
        </row>
        <row r="7073">
          <cell r="B7073">
            <v>33</v>
          </cell>
          <cell r="C7073" t="str">
            <v>+ Ma tít</v>
          </cell>
          <cell r="D7073" t="str">
            <v>kg</v>
          </cell>
          <cell r="E7073">
            <v>0.3</v>
          </cell>
          <cell r="F7073">
            <v>17300</v>
          </cell>
          <cell r="G7073">
            <v>5190</v>
          </cell>
        </row>
        <row r="7074">
          <cell r="B7074">
            <v>71</v>
          </cell>
          <cell r="C7074" t="str">
            <v>+ Củi đun</v>
          </cell>
          <cell r="D7074" t="str">
            <v>kg</v>
          </cell>
          <cell r="E7074">
            <v>13</v>
          </cell>
          <cell r="F7074">
            <v>1800</v>
          </cell>
          <cell r="G7074">
            <v>23400</v>
          </cell>
        </row>
        <row r="7075">
          <cell r="B7075">
            <v>1</v>
          </cell>
          <cell r="C7075" t="str">
            <v>+ Cồn công nghiệp</v>
          </cell>
          <cell r="D7075" t="str">
            <v>kg</v>
          </cell>
          <cell r="E7075">
            <v>0.25</v>
          </cell>
          <cell r="F7075">
            <v>9500</v>
          </cell>
          <cell r="G7075">
            <v>2375</v>
          </cell>
        </row>
        <row r="7076">
          <cell r="B7076">
            <v>9</v>
          </cell>
          <cell r="C7076" t="str">
            <v>+ Giẻ lau</v>
          </cell>
          <cell r="D7076" t="str">
            <v>Kg</v>
          </cell>
          <cell r="E7076">
            <v>0.5</v>
          </cell>
          <cell r="F7076">
            <v>9500</v>
          </cell>
          <cell r="G7076">
            <v>4750</v>
          </cell>
        </row>
        <row r="7077">
          <cell r="B7077">
            <v>35</v>
          </cell>
          <cell r="C7077" t="str">
            <v>+ Chất cách điện</v>
          </cell>
          <cell r="D7077" t="str">
            <v>kg</v>
          </cell>
          <cell r="E7077">
            <v>1.5</v>
          </cell>
          <cell r="F7077">
            <v>15450</v>
          </cell>
          <cell r="G7077">
            <v>23175</v>
          </cell>
        </row>
        <row r="7078">
          <cell r="B7078">
            <v>34</v>
          </cell>
          <cell r="C7078" t="str">
            <v>+ Dầu biến áp</v>
          </cell>
          <cell r="D7078" t="str">
            <v>kg</v>
          </cell>
          <cell r="E7078">
            <v>1</v>
          </cell>
          <cell r="F7078">
            <v>0</v>
          </cell>
          <cell r="G7078">
            <v>0</v>
          </cell>
        </row>
        <row r="7079">
          <cell r="B7079">
            <v>137</v>
          </cell>
          <cell r="C7079" t="str">
            <v>Vật liệu khác</v>
          </cell>
          <cell r="D7079" t="str">
            <v>%</v>
          </cell>
          <cell r="E7079">
            <v>5</v>
          </cell>
          <cell r="F7079">
            <v>1500</v>
          </cell>
          <cell r="G7079">
            <v>4998.5</v>
          </cell>
        </row>
        <row r="7080">
          <cell r="C7080" t="str">
            <v>Nhân công</v>
          </cell>
          <cell r="G7080">
            <v>1510053.7405921053</v>
          </cell>
        </row>
        <row r="7081">
          <cell r="B7081" t="str">
            <v>NC1457</v>
          </cell>
          <cell r="C7081" t="str">
            <v>+ Nhân công bậc 4,5/7</v>
          </cell>
          <cell r="D7081" t="str">
            <v>Công</v>
          </cell>
          <cell r="E7081">
            <v>7.13</v>
          </cell>
          <cell r="F7081">
            <v>211788.74342105264</v>
          </cell>
          <cell r="G7081">
            <v>1510053.7405921053</v>
          </cell>
        </row>
        <row r="7082">
          <cell r="A7082" t="str">
            <v>D4.4124</v>
          </cell>
          <cell r="C7082" t="str">
            <v>Làm hộp nối cáp dầu điện áp 1KV, Cáp có tiết diện &lt;=185mm2</v>
          </cell>
          <cell r="D7082" t="str">
            <v>1 hộp nối</v>
          </cell>
          <cell r="H7082">
            <v>126462</v>
          </cell>
          <cell r="I7082">
            <v>1671013.1855921054</v>
          </cell>
        </row>
        <row r="7083">
          <cell r="C7083" t="str">
            <v>Vật liệu</v>
          </cell>
          <cell r="G7083">
            <v>126462</v>
          </cell>
        </row>
        <row r="7084">
          <cell r="B7084">
            <v>132</v>
          </cell>
          <cell r="C7084" t="str">
            <v>+ Hộp nối cáp loại 185mm2</v>
          </cell>
          <cell r="D7084" t="str">
            <v>hộp</v>
          </cell>
          <cell r="E7084">
            <v>1</v>
          </cell>
          <cell r="F7084">
            <v>0</v>
          </cell>
          <cell r="G7084">
            <v>0</v>
          </cell>
        </row>
        <row r="7085">
          <cell r="B7085">
            <v>25</v>
          </cell>
          <cell r="C7085" t="str">
            <v>+ Băng cách điện</v>
          </cell>
          <cell r="D7085" t="str">
            <v>cuộn</v>
          </cell>
          <cell r="E7085">
            <v>1.5</v>
          </cell>
          <cell r="F7085">
            <v>8000</v>
          </cell>
          <cell r="G7085">
            <v>12000</v>
          </cell>
        </row>
        <row r="7086">
          <cell r="B7086">
            <v>20</v>
          </cell>
          <cell r="C7086" t="str">
            <v>+ Thiếc hàn</v>
          </cell>
          <cell r="D7086" t="str">
            <v>kg</v>
          </cell>
          <cell r="E7086">
            <v>0.5</v>
          </cell>
          <cell r="F7086">
            <v>80000</v>
          </cell>
          <cell r="G7086">
            <v>40000</v>
          </cell>
        </row>
        <row r="7087">
          <cell r="B7087">
            <v>21</v>
          </cell>
          <cell r="C7087" t="str">
            <v>+ Nhựa thông</v>
          </cell>
          <cell r="D7087" t="str">
            <v>kg</v>
          </cell>
          <cell r="E7087">
            <v>0.05</v>
          </cell>
          <cell r="F7087">
            <v>27000</v>
          </cell>
          <cell r="G7087">
            <v>1350</v>
          </cell>
        </row>
        <row r="7088">
          <cell r="B7088">
            <v>33</v>
          </cell>
          <cell r="C7088" t="str">
            <v>+ Ma tít</v>
          </cell>
          <cell r="D7088" t="str">
            <v>kg</v>
          </cell>
          <cell r="E7088">
            <v>0.3</v>
          </cell>
          <cell r="F7088">
            <v>17300</v>
          </cell>
          <cell r="G7088">
            <v>5190</v>
          </cell>
        </row>
        <row r="7089">
          <cell r="B7089">
            <v>71</v>
          </cell>
          <cell r="C7089" t="str">
            <v>+ Củi đun</v>
          </cell>
          <cell r="D7089" t="str">
            <v>kg</v>
          </cell>
          <cell r="E7089">
            <v>13</v>
          </cell>
          <cell r="F7089">
            <v>1800</v>
          </cell>
          <cell r="G7089">
            <v>23400</v>
          </cell>
        </row>
        <row r="7090">
          <cell r="B7090">
            <v>1</v>
          </cell>
          <cell r="C7090" t="str">
            <v>+ Cồn công nghiệp</v>
          </cell>
          <cell r="D7090" t="str">
            <v>kg</v>
          </cell>
          <cell r="E7090">
            <v>0.3</v>
          </cell>
          <cell r="F7090">
            <v>9500</v>
          </cell>
          <cell r="G7090">
            <v>2850</v>
          </cell>
        </row>
        <row r="7091">
          <cell r="B7091">
            <v>9</v>
          </cell>
          <cell r="C7091" t="str">
            <v>+ Giẻ lau</v>
          </cell>
          <cell r="D7091" t="str">
            <v>Kg</v>
          </cell>
          <cell r="E7091">
            <v>0.5</v>
          </cell>
          <cell r="F7091">
            <v>9500</v>
          </cell>
          <cell r="G7091">
            <v>4750</v>
          </cell>
        </row>
        <row r="7092">
          <cell r="B7092">
            <v>35</v>
          </cell>
          <cell r="C7092" t="str">
            <v>+ Chất cách điện</v>
          </cell>
          <cell r="D7092" t="str">
            <v>kg</v>
          </cell>
          <cell r="E7092">
            <v>2</v>
          </cell>
          <cell r="F7092">
            <v>15450</v>
          </cell>
          <cell r="G7092">
            <v>30900</v>
          </cell>
        </row>
        <row r="7093">
          <cell r="B7093">
            <v>34</v>
          </cell>
          <cell r="C7093" t="str">
            <v>+ Dầu biến áp</v>
          </cell>
          <cell r="D7093" t="str">
            <v>kg</v>
          </cell>
          <cell r="E7093">
            <v>1</v>
          </cell>
          <cell r="F7093">
            <v>0</v>
          </cell>
          <cell r="G7093">
            <v>0</v>
          </cell>
        </row>
        <row r="7094">
          <cell r="B7094">
            <v>137</v>
          </cell>
          <cell r="C7094" t="str">
            <v>Vật liệu khác</v>
          </cell>
          <cell r="D7094" t="str">
            <v>%</v>
          </cell>
          <cell r="E7094">
            <v>5</v>
          </cell>
          <cell r="F7094">
            <v>1500</v>
          </cell>
          <cell r="G7094">
            <v>6022</v>
          </cell>
        </row>
        <row r="7095">
          <cell r="C7095" t="str">
            <v>Nhân công</v>
          </cell>
          <cell r="G7095">
            <v>1671013.1855921054</v>
          </cell>
        </row>
        <row r="7096">
          <cell r="B7096" t="str">
            <v>NC1457</v>
          </cell>
          <cell r="C7096" t="str">
            <v>+ Nhân công bậc 4,5/7</v>
          </cell>
          <cell r="D7096" t="str">
            <v>Công</v>
          </cell>
          <cell r="E7096">
            <v>7.89</v>
          </cell>
          <cell r="F7096">
            <v>211788.74342105264</v>
          </cell>
          <cell r="G7096">
            <v>1671013.1855921054</v>
          </cell>
        </row>
        <row r="7097">
          <cell r="A7097" t="str">
            <v>D4.4125</v>
          </cell>
          <cell r="C7097" t="str">
            <v>Làm hộp nối cáp dầu điện áp 1KV, Cáp có tiết diện &lt;=240mm2</v>
          </cell>
          <cell r="D7097" t="str">
            <v>1 hộp nối</v>
          </cell>
          <cell r="H7097">
            <v>144474.75</v>
          </cell>
          <cell r="I7097">
            <v>1810793.7562500003</v>
          </cell>
        </row>
        <row r="7098">
          <cell r="C7098" t="str">
            <v>Vật liệu</v>
          </cell>
          <cell r="G7098">
            <v>144474.75</v>
          </cell>
        </row>
        <row r="7099">
          <cell r="B7099">
            <v>133</v>
          </cell>
          <cell r="C7099" t="str">
            <v>+ Hộp nối cáp loại 240mm2</v>
          </cell>
          <cell r="D7099" t="str">
            <v>hộp</v>
          </cell>
          <cell r="E7099">
            <v>1</v>
          </cell>
          <cell r="F7099">
            <v>0</v>
          </cell>
          <cell r="G7099">
            <v>0</v>
          </cell>
        </row>
        <row r="7100">
          <cell r="B7100">
            <v>25</v>
          </cell>
          <cell r="C7100" t="str">
            <v>+ Băng cách điện</v>
          </cell>
          <cell r="D7100" t="str">
            <v>cuộn</v>
          </cell>
          <cell r="E7100">
            <v>2</v>
          </cell>
          <cell r="F7100">
            <v>8000</v>
          </cell>
          <cell r="G7100">
            <v>16000</v>
          </cell>
        </row>
        <row r="7101">
          <cell r="B7101">
            <v>20</v>
          </cell>
          <cell r="C7101" t="str">
            <v>+ Thiếc hàn</v>
          </cell>
          <cell r="D7101" t="str">
            <v>kg</v>
          </cell>
          <cell r="E7101">
            <v>0.5</v>
          </cell>
          <cell r="F7101">
            <v>80000</v>
          </cell>
          <cell r="G7101">
            <v>40000</v>
          </cell>
        </row>
        <row r="7102">
          <cell r="B7102">
            <v>21</v>
          </cell>
          <cell r="C7102" t="str">
            <v>+ Nhựa thông</v>
          </cell>
          <cell r="D7102" t="str">
            <v>kg</v>
          </cell>
          <cell r="E7102">
            <v>0.05</v>
          </cell>
          <cell r="F7102">
            <v>27000</v>
          </cell>
          <cell r="G7102">
            <v>1350</v>
          </cell>
        </row>
        <row r="7103">
          <cell r="B7103">
            <v>33</v>
          </cell>
          <cell r="C7103" t="str">
            <v>+ Ma tít</v>
          </cell>
          <cell r="D7103" t="str">
            <v>kg</v>
          </cell>
          <cell r="E7103">
            <v>0.4</v>
          </cell>
          <cell r="F7103">
            <v>17300</v>
          </cell>
          <cell r="G7103">
            <v>6920</v>
          </cell>
        </row>
        <row r="7104">
          <cell r="B7104">
            <v>71</v>
          </cell>
          <cell r="C7104" t="str">
            <v>+ Củi đun</v>
          </cell>
          <cell r="D7104" t="str">
            <v>kg</v>
          </cell>
          <cell r="E7104">
            <v>14</v>
          </cell>
          <cell r="F7104">
            <v>1800</v>
          </cell>
          <cell r="G7104">
            <v>25200</v>
          </cell>
        </row>
        <row r="7105">
          <cell r="B7105">
            <v>1</v>
          </cell>
          <cell r="C7105" t="str">
            <v>+ Cồn công nghiệp</v>
          </cell>
          <cell r="D7105" t="str">
            <v>kg</v>
          </cell>
          <cell r="E7105">
            <v>0.3</v>
          </cell>
          <cell r="F7105">
            <v>9500</v>
          </cell>
          <cell r="G7105">
            <v>2850</v>
          </cell>
        </row>
        <row r="7106">
          <cell r="B7106">
            <v>9</v>
          </cell>
          <cell r="C7106" t="str">
            <v>+ Giẻ lau</v>
          </cell>
          <cell r="D7106" t="str">
            <v>Kg</v>
          </cell>
          <cell r="E7106">
            <v>0.7</v>
          </cell>
          <cell r="F7106">
            <v>9500</v>
          </cell>
          <cell r="G7106">
            <v>6650</v>
          </cell>
        </row>
        <row r="7107">
          <cell r="B7107">
            <v>35</v>
          </cell>
          <cell r="C7107" t="str">
            <v>+ Chất cách điện</v>
          </cell>
          <cell r="D7107" t="str">
            <v>kg</v>
          </cell>
          <cell r="E7107">
            <v>2.5</v>
          </cell>
          <cell r="F7107">
            <v>15450</v>
          </cell>
          <cell r="G7107">
            <v>38625</v>
          </cell>
        </row>
        <row r="7108">
          <cell r="B7108">
            <v>34</v>
          </cell>
          <cell r="C7108" t="str">
            <v>+ Dầu biến áp</v>
          </cell>
          <cell r="D7108" t="str">
            <v>kg</v>
          </cell>
          <cell r="E7108">
            <v>1</v>
          </cell>
          <cell r="F7108">
            <v>0</v>
          </cell>
          <cell r="G7108">
            <v>0</v>
          </cell>
        </row>
        <row r="7109">
          <cell r="B7109">
            <v>137</v>
          </cell>
          <cell r="C7109" t="str">
            <v>Vật liệu khác</v>
          </cell>
          <cell r="D7109" t="str">
            <v>%</v>
          </cell>
          <cell r="E7109">
            <v>5</v>
          </cell>
          <cell r="F7109">
            <v>1500</v>
          </cell>
          <cell r="G7109">
            <v>6879.75</v>
          </cell>
        </row>
        <row r="7110">
          <cell r="C7110" t="str">
            <v>Nhân công</v>
          </cell>
          <cell r="G7110">
            <v>1810793.7562500003</v>
          </cell>
        </row>
        <row r="7111">
          <cell r="B7111" t="str">
            <v>NC1457</v>
          </cell>
          <cell r="C7111" t="str">
            <v>+ Nhân công bậc 4,5/7</v>
          </cell>
          <cell r="D7111" t="str">
            <v>Công</v>
          </cell>
          <cell r="E7111">
            <v>8.5500000000000007</v>
          </cell>
          <cell r="F7111">
            <v>211788.74342105264</v>
          </cell>
          <cell r="G7111">
            <v>1810793.7562500003</v>
          </cell>
        </row>
        <row r="7112">
          <cell r="A7112" t="str">
            <v>D4.4126</v>
          </cell>
          <cell r="C7112" t="str">
            <v>Làm hộp nối cáp dầu điện áp 1KV, Cáp có tiết diện &lt;=300mm2</v>
          </cell>
          <cell r="D7112" t="str">
            <v>1 hộp nối</v>
          </cell>
          <cell r="H7112">
            <v>154476</v>
          </cell>
          <cell r="I7112">
            <v>1971753.2012500002</v>
          </cell>
        </row>
        <row r="7113">
          <cell r="C7113" t="str">
            <v>Vật liệu</v>
          </cell>
          <cell r="G7113">
            <v>154476</v>
          </cell>
        </row>
        <row r="7114">
          <cell r="B7114">
            <v>134</v>
          </cell>
          <cell r="C7114" t="str">
            <v>+ Hộp nối cáp loại 300mm2</v>
          </cell>
          <cell r="D7114" t="str">
            <v>hộp</v>
          </cell>
          <cell r="E7114">
            <v>1</v>
          </cell>
          <cell r="F7114">
            <v>0</v>
          </cell>
          <cell r="G7114">
            <v>0</v>
          </cell>
        </row>
        <row r="7115">
          <cell r="B7115">
            <v>25</v>
          </cell>
          <cell r="C7115" t="str">
            <v>+ Băng cách điện</v>
          </cell>
          <cell r="D7115" t="str">
            <v>cuộn</v>
          </cell>
          <cell r="E7115">
            <v>2</v>
          </cell>
          <cell r="F7115">
            <v>8000</v>
          </cell>
          <cell r="G7115">
            <v>16000</v>
          </cell>
        </row>
        <row r="7116">
          <cell r="B7116">
            <v>20</v>
          </cell>
          <cell r="C7116" t="str">
            <v>+ Thiếc hàn</v>
          </cell>
          <cell r="D7116" t="str">
            <v>kg</v>
          </cell>
          <cell r="E7116">
            <v>0.5</v>
          </cell>
          <cell r="F7116">
            <v>80000</v>
          </cell>
          <cell r="G7116">
            <v>40000</v>
          </cell>
        </row>
        <row r="7117">
          <cell r="B7117">
            <v>21</v>
          </cell>
          <cell r="C7117" t="str">
            <v>+ Nhựa thông</v>
          </cell>
          <cell r="D7117" t="str">
            <v>kg</v>
          </cell>
          <cell r="E7117">
            <v>0.05</v>
          </cell>
          <cell r="F7117">
            <v>27000</v>
          </cell>
          <cell r="G7117">
            <v>1350</v>
          </cell>
        </row>
        <row r="7118">
          <cell r="B7118">
            <v>33</v>
          </cell>
          <cell r="C7118" t="str">
            <v>+ Ma tít</v>
          </cell>
          <cell r="D7118" t="str">
            <v>kg</v>
          </cell>
          <cell r="E7118">
            <v>0.4</v>
          </cell>
          <cell r="F7118">
            <v>17300</v>
          </cell>
          <cell r="G7118">
            <v>6920</v>
          </cell>
        </row>
        <row r="7119">
          <cell r="B7119">
            <v>71</v>
          </cell>
          <cell r="C7119" t="str">
            <v>+ Củi đun</v>
          </cell>
          <cell r="D7119" t="str">
            <v>kg</v>
          </cell>
          <cell r="E7119">
            <v>15</v>
          </cell>
          <cell r="F7119">
            <v>1800</v>
          </cell>
          <cell r="G7119">
            <v>27000</v>
          </cell>
        </row>
        <row r="7120">
          <cell r="B7120">
            <v>1</v>
          </cell>
          <cell r="C7120" t="str">
            <v>+ Cồn công nghiệp</v>
          </cell>
          <cell r="D7120" t="str">
            <v>kg</v>
          </cell>
          <cell r="E7120">
            <v>0.3</v>
          </cell>
          <cell r="F7120">
            <v>9500</v>
          </cell>
          <cell r="G7120">
            <v>2850</v>
          </cell>
        </row>
        <row r="7121">
          <cell r="B7121">
            <v>9</v>
          </cell>
          <cell r="C7121" t="str">
            <v>+ Giẻ lau</v>
          </cell>
          <cell r="D7121" t="str">
            <v>Kg</v>
          </cell>
          <cell r="E7121">
            <v>0.7</v>
          </cell>
          <cell r="F7121">
            <v>9500</v>
          </cell>
          <cell r="G7121">
            <v>6650</v>
          </cell>
        </row>
        <row r="7122">
          <cell r="B7122">
            <v>35</v>
          </cell>
          <cell r="C7122" t="str">
            <v>+ Chất cách điện</v>
          </cell>
          <cell r="D7122" t="str">
            <v>kg</v>
          </cell>
          <cell r="E7122">
            <v>3</v>
          </cell>
          <cell r="F7122">
            <v>15450</v>
          </cell>
          <cell r="G7122">
            <v>46350</v>
          </cell>
        </row>
        <row r="7123">
          <cell r="B7123">
            <v>34</v>
          </cell>
          <cell r="C7123" t="str">
            <v>+ Dầu biến áp</v>
          </cell>
          <cell r="D7123" t="str">
            <v>kg</v>
          </cell>
          <cell r="E7123">
            <v>1</v>
          </cell>
          <cell r="F7123">
            <v>0</v>
          </cell>
          <cell r="G7123">
            <v>0</v>
          </cell>
        </row>
        <row r="7124">
          <cell r="B7124">
            <v>137</v>
          </cell>
          <cell r="C7124" t="str">
            <v>Vật liệu khác</v>
          </cell>
          <cell r="D7124" t="str">
            <v>%</v>
          </cell>
          <cell r="E7124">
            <v>5</v>
          </cell>
          <cell r="F7124">
            <v>1500</v>
          </cell>
          <cell r="G7124">
            <v>7356</v>
          </cell>
        </row>
        <row r="7125">
          <cell r="C7125" t="str">
            <v>Nhân công</v>
          </cell>
          <cell r="G7125">
            <v>1971753.2012500002</v>
          </cell>
        </row>
        <row r="7126">
          <cell r="B7126" t="str">
            <v>NC1457</v>
          </cell>
          <cell r="C7126" t="str">
            <v>+ Nhân công bậc 4,5/7</v>
          </cell>
          <cell r="D7126" t="str">
            <v>Công</v>
          </cell>
          <cell r="E7126">
            <v>9.31</v>
          </cell>
          <cell r="F7126">
            <v>211788.74342105264</v>
          </cell>
          <cell r="G7126">
            <v>1971753.2012500002</v>
          </cell>
        </row>
        <row r="7127">
          <cell r="A7127" t="str">
            <v>D4.4127</v>
          </cell>
          <cell r="C7127" t="str">
            <v>Làm hộp nối cáp dầu điện áp 1KV, Cáp có tiết diện &lt;=400mm2</v>
          </cell>
          <cell r="D7127" t="str">
            <v>1 hộp nối</v>
          </cell>
          <cell r="H7127">
            <v>185371.2</v>
          </cell>
          <cell r="I7127">
            <v>2365680.2640131582</v>
          </cell>
        </row>
        <row r="7128">
          <cell r="C7128" t="str">
            <v>Vật liệu</v>
          </cell>
          <cell r="G7128">
            <v>185371.2</v>
          </cell>
        </row>
        <row r="7129">
          <cell r="B7129">
            <v>135</v>
          </cell>
          <cell r="C7129" t="str">
            <v>+ Hộp nối cáp loại 400mm2</v>
          </cell>
          <cell r="D7129" t="str">
            <v>hộp</v>
          </cell>
          <cell r="E7129">
            <v>1</v>
          </cell>
          <cell r="F7129">
            <v>0</v>
          </cell>
          <cell r="G7129">
            <v>0</v>
          </cell>
        </row>
        <row r="7130">
          <cell r="B7130">
            <v>25</v>
          </cell>
          <cell r="C7130" t="str">
            <v>+ Băng cách điện</v>
          </cell>
          <cell r="D7130" t="str">
            <v>cuộn</v>
          </cell>
          <cell r="E7130">
            <v>2.4</v>
          </cell>
          <cell r="F7130">
            <v>8000</v>
          </cell>
          <cell r="G7130">
            <v>19200</v>
          </cell>
        </row>
        <row r="7131">
          <cell r="B7131">
            <v>20</v>
          </cell>
          <cell r="C7131" t="str">
            <v>+ Thiếc hàn</v>
          </cell>
          <cell r="D7131" t="str">
            <v>kg</v>
          </cell>
          <cell r="E7131">
            <v>0.6</v>
          </cell>
          <cell r="F7131">
            <v>80000</v>
          </cell>
          <cell r="G7131">
            <v>48000</v>
          </cell>
        </row>
        <row r="7132">
          <cell r="B7132">
            <v>21</v>
          </cell>
          <cell r="C7132" t="str">
            <v>+ Nhựa thông</v>
          </cell>
          <cell r="D7132" t="str">
            <v>kg</v>
          </cell>
          <cell r="E7132">
            <v>0.06</v>
          </cell>
          <cell r="F7132">
            <v>27000</v>
          </cell>
          <cell r="G7132">
            <v>1620</v>
          </cell>
        </row>
        <row r="7133">
          <cell r="B7133">
            <v>33</v>
          </cell>
          <cell r="C7133" t="str">
            <v>+ Ma tít</v>
          </cell>
          <cell r="D7133" t="str">
            <v>kg</v>
          </cell>
          <cell r="E7133">
            <v>0.48</v>
          </cell>
          <cell r="F7133">
            <v>17300</v>
          </cell>
          <cell r="G7133">
            <v>8304</v>
          </cell>
        </row>
        <row r="7134">
          <cell r="B7134">
            <v>71</v>
          </cell>
          <cell r="C7134" t="str">
            <v>+ Củi đun</v>
          </cell>
          <cell r="D7134" t="str">
            <v>kg</v>
          </cell>
          <cell r="E7134">
            <v>18</v>
          </cell>
          <cell r="F7134">
            <v>1800</v>
          </cell>
          <cell r="G7134">
            <v>32400</v>
          </cell>
        </row>
        <row r="7135">
          <cell r="B7135">
            <v>1</v>
          </cell>
          <cell r="C7135" t="str">
            <v>+ Cồn công nghiệp</v>
          </cell>
          <cell r="D7135" t="str">
            <v>kg</v>
          </cell>
          <cell r="E7135">
            <v>0.36</v>
          </cell>
          <cell r="F7135">
            <v>9500</v>
          </cell>
          <cell r="G7135">
            <v>3420</v>
          </cell>
        </row>
        <row r="7136">
          <cell r="B7136">
            <v>9</v>
          </cell>
          <cell r="C7136" t="str">
            <v>+ Giẻ lau</v>
          </cell>
          <cell r="D7136" t="str">
            <v>Kg</v>
          </cell>
          <cell r="E7136">
            <v>0.84</v>
          </cell>
          <cell r="F7136">
            <v>9500</v>
          </cell>
          <cell r="G7136">
            <v>7980</v>
          </cell>
        </row>
        <row r="7137">
          <cell r="B7137">
            <v>35</v>
          </cell>
          <cell r="C7137" t="str">
            <v>+ Chất cách điện</v>
          </cell>
          <cell r="D7137" t="str">
            <v>kg</v>
          </cell>
          <cell r="E7137">
            <v>3.6</v>
          </cell>
          <cell r="F7137">
            <v>15450</v>
          </cell>
          <cell r="G7137">
            <v>55620</v>
          </cell>
        </row>
        <row r="7138">
          <cell r="B7138">
            <v>34</v>
          </cell>
          <cell r="C7138" t="str">
            <v>+ Dầu biến áp</v>
          </cell>
          <cell r="D7138" t="str">
            <v>kg</v>
          </cell>
          <cell r="E7138">
            <v>1.2</v>
          </cell>
          <cell r="F7138">
            <v>0</v>
          </cell>
          <cell r="G7138">
            <v>0</v>
          </cell>
        </row>
        <row r="7139">
          <cell r="B7139">
            <v>137</v>
          </cell>
          <cell r="C7139" t="str">
            <v>Vật liệu khác</v>
          </cell>
          <cell r="D7139" t="str">
            <v>%</v>
          </cell>
          <cell r="E7139">
            <v>5</v>
          </cell>
          <cell r="F7139">
            <v>1500</v>
          </cell>
          <cell r="G7139">
            <v>8827.2000000000007</v>
          </cell>
        </row>
        <row r="7140">
          <cell r="C7140" t="str">
            <v>Nhân công</v>
          </cell>
          <cell r="G7140">
            <v>2365680.2640131582</v>
          </cell>
        </row>
        <row r="7141">
          <cell r="B7141" t="str">
            <v>NC1457</v>
          </cell>
          <cell r="C7141" t="str">
            <v>+ Nhân công bậc 4,5/7</v>
          </cell>
          <cell r="D7141" t="str">
            <v>Công</v>
          </cell>
          <cell r="E7141">
            <v>11.17</v>
          </cell>
          <cell r="F7141">
            <v>211788.74342105264</v>
          </cell>
          <cell r="G7141">
            <v>2365680.2640131582</v>
          </cell>
        </row>
        <row r="7142">
          <cell r="A7142" t="str">
            <v>D4.4211</v>
          </cell>
          <cell r="C7142" t="str">
            <v>Làm hộp nối cáp khô điện áp 3-6KV, Cáp có tiết diện &lt;=35mm2</v>
          </cell>
          <cell r="D7142" t="str">
            <v>1 hộp nối</v>
          </cell>
          <cell r="H7142">
            <v>8977.5</v>
          </cell>
          <cell r="I7142">
            <v>417223.82453947369</v>
          </cell>
        </row>
        <row r="7143">
          <cell r="C7143" t="str">
            <v>Vật liệu</v>
          </cell>
          <cell r="G7143">
            <v>8977.5</v>
          </cell>
        </row>
        <row r="7144">
          <cell r="B7144">
            <v>1</v>
          </cell>
          <cell r="C7144" t="str">
            <v>+ Cồn công nghiệp</v>
          </cell>
          <cell r="D7144" t="str">
            <v>kg</v>
          </cell>
          <cell r="E7144">
            <v>0.6</v>
          </cell>
          <cell r="F7144">
            <v>9500</v>
          </cell>
          <cell r="G7144">
            <v>5700</v>
          </cell>
        </row>
        <row r="7145">
          <cell r="B7145">
            <v>9</v>
          </cell>
          <cell r="C7145" t="str">
            <v>+ Giẻ lau</v>
          </cell>
          <cell r="D7145" t="str">
            <v>Kg</v>
          </cell>
          <cell r="E7145">
            <v>0.3</v>
          </cell>
          <cell r="F7145">
            <v>9500</v>
          </cell>
          <cell r="G7145">
            <v>2850</v>
          </cell>
        </row>
        <row r="7146">
          <cell r="B7146">
            <v>137</v>
          </cell>
          <cell r="C7146" t="str">
            <v>Vật liệu khác</v>
          </cell>
          <cell r="D7146" t="str">
            <v>%</v>
          </cell>
          <cell r="E7146">
            <v>5</v>
          </cell>
          <cell r="F7146">
            <v>1500</v>
          </cell>
          <cell r="G7146">
            <v>427.5</v>
          </cell>
        </row>
        <row r="7147">
          <cell r="C7147" t="str">
            <v>Nhân công</v>
          </cell>
          <cell r="G7147">
            <v>417223.82453947369</v>
          </cell>
        </row>
        <row r="7148">
          <cell r="B7148" t="str">
            <v>NC1457</v>
          </cell>
          <cell r="C7148" t="str">
            <v>+ Nhân công bậc 4,5/7</v>
          </cell>
          <cell r="D7148" t="str">
            <v>Công</v>
          </cell>
          <cell r="E7148">
            <v>1.97</v>
          </cell>
          <cell r="F7148">
            <v>211788.74342105264</v>
          </cell>
          <cell r="G7148">
            <v>417223.82453947369</v>
          </cell>
        </row>
        <row r="7149">
          <cell r="A7149" t="str">
            <v>D4.4212</v>
          </cell>
          <cell r="C7149" t="str">
            <v>Làm hộp nối cáp khô điện áp 3-6KV, Cáp có tiết diện &lt; =70mm2</v>
          </cell>
          <cell r="D7149" t="str">
            <v>1 hộp nối</v>
          </cell>
          <cell r="H7149">
            <v>8977.5</v>
          </cell>
          <cell r="I7149">
            <v>463817.3480921053</v>
          </cell>
        </row>
        <row r="7150">
          <cell r="C7150" t="str">
            <v>Vật liệu</v>
          </cell>
          <cell r="G7150">
            <v>8977.5</v>
          </cell>
        </row>
        <row r="7151">
          <cell r="B7151">
            <v>1</v>
          </cell>
          <cell r="C7151" t="str">
            <v>+ Cồn công nghiệp</v>
          </cell>
          <cell r="D7151" t="str">
            <v>kg</v>
          </cell>
          <cell r="E7151">
            <v>0.6</v>
          </cell>
          <cell r="F7151">
            <v>9500</v>
          </cell>
          <cell r="G7151">
            <v>5700</v>
          </cell>
        </row>
        <row r="7152">
          <cell r="B7152">
            <v>9</v>
          </cell>
          <cell r="C7152" t="str">
            <v>+ Giẻ lau</v>
          </cell>
          <cell r="D7152" t="str">
            <v>Kg</v>
          </cell>
          <cell r="E7152">
            <v>0.3</v>
          </cell>
          <cell r="F7152">
            <v>9500</v>
          </cell>
          <cell r="G7152">
            <v>2850</v>
          </cell>
        </row>
        <row r="7153">
          <cell r="B7153">
            <v>137</v>
          </cell>
          <cell r="C7153" t="str">
            <v>Vật liệu khác</v>
          </cell>
          <cell r="D7153" t="str">
            <v>%</v>
          </cell>
          <cell r="E7153">
            <v>5</v>
          </cell>
          <cell r="F7153">
            <v>1500</v>
          </cell>
          <cell r="G7153">
            <v>427.5</v>
          </cell>
        </row>
        <row r="7154">
          <cell r="C7154" t="str">
            <v>Nhân công</v>
          </cell>
          <cell r="G7154">
            <v>463817.3480921053</v>
          </cell>
        </row>
        <row r="7155">
          <cell r="B7155" t="str">
            <v>NC1457</v>
          </cell>
          <cell r="C7155" t="str">
            <v>+ Nhân công bậc 4,5/7</v>
          </cell>
          <cell r="D7155" t="str">
            <v>Công</v>
          </cell>
          <cell r="E7155">
            <v>2.19</v>
          </cell>
          <cell r="F7155">
            <v>211788.74342105264</v>
          </cell>
          <cell r="G7155">
            <v>463817.3480921053</v>
          </cell>
        </row>
        <row r="7156">
          <cell r="A7156" t="str">
            <v>D4.4213</v>
          </cell>
          <cell r="C7156" t="str">
            <v>Làm hộp nối cáp khô điện áp 3-6KV, Cáp có tiết diện &lt; =120mm2</v>
          </cell>
          <cell r="D7156" t="str">
            <v>1 hộp nối</v>
          </cell>
          <cell r="H7156">
            <v>8977.5</v>
          </cell>
          <cell r="I7156">
            <v>506175.09677631583</v>
          </cell>
        </row>
        <row r="7157">
          <cell r="C7157" t="str">
            <v>Vật liệu</v>
          </cell>
          <cell r="G7157">
            <v>8977.5</v>
          </cell>
        </row>
        <row r="7158">
          <cell r="B7158">
            <v>1</v>
          </cell>
          <cell r="C7158" t="str">
            <v>+ Cồn công nghiệp</v>
          </cell>
          <cell r="D7158" t="str">
            <v>kg</v>
          </cell>
          <cell r="E7158">
            <v>0.6</v>
          </cell>
          <cell r="F7158">
            <v>9500</v>
          </cell>
          <cell r="G7158">
            <v>5700</v>
          </cell>
        </row>
        <row r="7159">
          <cell r="B7159">
            <v>9</v>
          </cell>
          <cell r="C7159" t="str">
            <v>+ Giẻ lau</v>
          </cell>
          <cell r="D7159" t="str">
            <v>Kg</v>
          </cell>
          <cell r="E7159">
            <v>0.3</v>
          </cell>
          <cell r="F7159">
            <v>9500</v>
          </cell>
          <cell r="G7159">
            <v>2850</v>
          </cell>
        </row>
        <row r="7160">
          <cell r="B7160">
            <v>137</v>
          </cell>
          <cell r="C7160" t="str">
            <v>Vật liệu khác</v>
          </cell>
          <cell r="D7160" t="str">
            <v>%</v>
          </cell>
          <cell r="E7160">
            <v>5</v>
          </cell>
          <cell r="F7160">
            <v>1500</v>
          </cell>
          <cell r="G7160">
            <v>427.5</v>
          </cell>
        </row>
        <row r="7161">
          <cell r="C7161" t="str">
            <v>Nhân công</v>
          </cell>
          <cell r="G7161">
            <v>506175.09677631583</v>
          </cell>
        </row>
        <row r="7162">
          <cell r="B7162" t="str">
            <v>NC1457</v>
          </cell>
          <cell r="C7162" t="str">
            <v>+ Nhân công bậc 4,5/7</v>
          </cell>
          <cell r="D7162" t="str">
            <v>Công</v>
          </cell>
          <cell r="E7162">
            <v>2.39</v>
          </cell>
          <cell r="F7162">
            <v>211788.74342105264</v>
          </cell>
          <cell r="G7162">
            <v>506175.09677631583</v>
          </cell>
        </row>
        <row r="7163">
          <cell r="A7163" t="str">
            <v>D4.4214</v>
          </cell>
          <cell r="C7163" t="str">
            <v>Làm hộp nối cáp khô điện áp 3-6KV, Cáp có tiết diện &lt;=185mm2</v>
          </cell>
          <cell r="D7163" t="str">
            <v>1 hộp nối</v>
          </cell>
          <cell r="H7163">
            <v>11471.25</v>
          </cell>
          <cell r="I7163">
            <v>561240.17006578948</v>
          </cell>
        </row>
        <row r="7164">
          <cell r="C7164" t="str">
            <v>Vật liệu</v>
          </cell>
          <cell r="G7164">
            <v>11471.25</v>
          </cell>
        </row>
        <row r="7165">
          <cell r="B7165">
            <v>1</v>
          </cell>
          <cell r="C7165" t="str">
            <v>+ Cồn công nghiệp</v>
          </cell>
          <cell r="D7165" t="str">
            <v>kg</v>
          </cell>
          <cell r="E7165">
            <v>0.75</v>
          </cell>
          <cell r="F7165">
            <v>9500</v>
          </cell>
          <cell r="G7165">
            <v>7125</v>
          </cell>
        </row>
        <row r="7166">
          <cell r="B7166">
            <v>9</v>
          </cell>
          <cell r="C7166" t="str">
            <v>+ Giẻ lau</v>
          </cell>
          <cell r="D7166" t="str">
            <v>Kg</v>
          </cell>
          <cell r="E7166">
            <v>0.4</v>
          </cell>
          <cell r="F7166">
            <v>9500</v>
          </cell>
          <cell r="G7166">
            <v>3800</v>
          </cell>
        </row>
        <row r="7167">
          <cell r="B7167">
            <v>137</v>
          </cell>
          <cell r="C7167" t="str">
            <v>Vật liệu khác</v>
          </cell>
          <cell r="D7167" t="str">
            <v>%</v>
          </cell>
          <cell r="E7167">
            <v>5</v>
          </cell>
          <cell r="F7167">
            <v>1500</v>
          </cell>
          <cell r="G7167">
            <v>546.25</v>
          </cell>
        </row>
        <row r="7168">
          <cell r="C7168" t="str">
            <v>Nhân công</v>
          </cell>
          <cell r="G7168">
            <v>561240.17006578948</v>
          </cell>
        </row>
        <row r="7169">
          <cell r="B7169" t="str">
            <v>NC1457</v>
          </cell>
          <cell r="C7169" t="str">
            <v>+ Nhân công bậc 4,5/7</v>
          </cell>
          <cell r="D7169" t="str">
            <v>Công</v>
          </cell>
          <cell r="E7169">
            <v>2.65</v>
          </cell>
          <cell r="F7169">
            <v>211788.74342105264</v>
          </cell>
          <cell r="G7169">
            <v>561240.17006578948</v>
          </cell>
        </row>
        <row r="7170">
          <cell r="A7170" t="str">
            <v>D4.4215</v>
          </cell>
          <cell r="C7170" t="str">
            <v>Làm hộp nối cáp khô điện áp 3-6KV, Cáp có tiết diện &lt;= 240mm2</v>
          </cell>
          <cell r="D7170" t="str">
            <v>1 hộp nối</v>
          </cell>
          <cell r="H7170">
            <v>11471.25</v>
          </cell>
          <cell r="I7170">
            <v>622658.90565789479</v>
          </cell>
        </row>
        <row r="7171">
          <cell r="C7171" t="str">
            <v>Vật liệu</v>
          </cell>
          <cell r="G7171">
            <v>11471.25</v>
          </cell>
        </row>
        <row r="7172">
          <cell r="B7172">
            <v>1</v>
          </cell>
          <cell r="C7172" t="str">
            <v>+ Cồn công nghiệp</v>
          </cell>
          <cell r="D7172" t="str">
            <v>kg</v>
          </cell>
          <cell r="E7172">
            <v>0.75</v>
          </cell>
          <cell r="F7172">
            <v>9500</v>
          </cell>
          <cell r="G7172">
            <v>7125</v>
          </cell>
        </row>
        <row r="7173">
          <cell r="B7173">
            <v>9</v>
          </cell>
          <cell r="C7173" t="str">
            <v>+ Giẻ lau</v>
          </cell>
          <cell r="D7173" t="str">
            <v>Kg</v>
          </cell>
          <cell r="E7173">
            <v>0.4</v>
          </cell>
          <cell r="F7173">
            <v>9500</v>
          </cell>
          <cell r="G7173">
            <v>3800</v>
          </cell>
        </row>
        <row r="7174">
          <cell r="B7174">
            <v>137</v>
          </cell>
          <cell r="C7174" t="str">
            <v>Vật liệu khác</v>
          </cell>
          <cell r="D7174" t="str">
            <v>%</v>
          </cell>
          <cell r="E7174">
            <v>5</v>
          </cell>
          <cell r="F7174">
            <v>1500</v>
          </cell>
          <cell r="G7174">
            <v>546.25</v>
          </cell>
        </row>
        <row r="7175">
          <cell r="C7175" t="str">
            <v>Nhân công</v>
          </cell>
          <cell r="G7175">
            <v>622658.90565789479</v>
          </cell>
        </row>
        <row r="7176">
          <cell r="B7176" t="str">
            <v>NC1457</v>
          </cell>
          <cell r="C7176" t="str">
            <v>+ Nhân công bậc 4,5/7</v>
          </cell>
          <cell r="D7176" t="str">
            <v>Công</v>
          </cell>
          <cell r="E7176">
            <v>2.94</v>
          </cell>
          <cell r="F7176">
            <v>211788.74342105264</v>
          </cell>
          <cell r="G7176">
            <v>622658.90565789479</v>
          </cell>
        </row>
        <row r="7177">
          <cell r="A7177" t="str">
            <v>D4.4216</v>
          </cell>
          <cell r="C7177" t="str">
            <v>Làm hộp nối cáp khô điện áp 3-6KV, Cáp có tiết diện &lt;=300mm2</v>
          </cell>
          <cell r="D7177" t="str">
            <v>1 hộp nối</v>
          </cell>
          <cell r="H7177">
            <v>11471.25</v>
          </cell>
          <cell r="I7177">
            <v>681959.75381578959</v>
          </cell>
        </row>
        <row r="7178">
          <cell r="C7178" t="str">
            <v>Vật liệu</v>
          </cell>
          <cell r="G7178">
            <v>11471.25</v>
          </cell>
        </row>
        <row r="7179">
          <cell r="B7179">
            <v>1</v>
          </cell>
          <cell r="C7179" t="str">
            <v>+ Cồn công nghiệp</v>
          </cell>
          <cell r="D7179" t="str">
            <v>kg</v>
          </cell>
          <cell r="E7179">
            <v>0.75</v>
          </cell>
          <cell r="F7179">
            <v>9500</v>
          </cell>
          <cell r="G7179">
            <v>7125</v>
          </cell>
        </row>
        <row r="7180">
          <cell r="B7180">
            <v>9</v>
          </cell>
          <cell r="C7180" t="str">
            <v>+ Giẻ lau</v>
          </cell>
          <cell r="D7180" t="str">
            <v>Kg</v>
          </cell>
          <cell r="E7180">
            <v>0.4</v>
          </cell>
          <cell r="F7180">
            <v>9500</v>
          </cell>
          <cell r="G7180">
            <v>3800</v>
          </cell>
        </row>
        <row r="7181">
          <cell r="B7181">
            <v>137</v>
          </cell>
          <cell r="C7181" t="str">
            <v>Vật liệu khác</v>
          </cell>
          <cell r="D7181" t="str">
            <v>%</v>
          </cell>
          <cell r="E7181">
            <v>5</v>
          </cell>
          <cell r="F7181">
            <v>1500</v>
          </cell>
          <cell r="G7181">
            <v>546.25</v>
          </cell>
        </row>
        <row r="7182">
          <cell r="C7182" t="str">
            <v>Nhân công</v>
          </cell>
          <cell r="G7182">
            <v>681959.75381578959</v>
          </cell>
        </row>
        <row r="7183">
          <cell r="B7183" t="str">
            <v>NC1457</v>
          </cell>
          <cell r="C7183" t="str">
            <v>+ Nhân công bậc 4,5/7</v>
          </cell>
          <cell r="D7183" t="str">
            <v>Công</v>
          </cell>
          <cell r="E7183">
            <v>3.22</v>
          </cell>
          <cell r="F7183">
            <v>211788.74342105264</v>
          </cell>
          <cell r="G7183">
            <v>681959.75381578959</v>
          </cell>
        </row>
        <row r="7184">
          <cell r="A7184" t="str">
            <v>D4.4217</v>
          </cell>
          <cell r="C7184" t="str">
            <v>Làm hộp nối cáp khô điện áp 3-6KV, Cáp có tiết diện &lt;=400mm2</v>
          </cell>
          <cell r="D7184" t="str">
            <v>1 hộp nối</v>
          </cell>
          <cell r="H7184">
            <v>13765.5</v>
          </cell>
          <cell r="I7184">
            <v>817504.54960526316</v>
          </cell>
        </row>
        <row r="7185">
          <cell r="C7185" t="str">
            <v>Vật liệu</v>
          </cell>
          <cell r="G7185">
            <v>13765.5</v>
          </cell>
        </row>
        <row r="7186">
          <cell r="B7186">
            <v>1</v>
          </cell>
          <cell r="C7186" t="str">
            <v>+ Cồn công nghiệp</v>
          </cell>
          <cell r="D7186" t="str">
            <v>kg</v>
          </cell>
          <cell r="E7186">
            <v>0.9</v>
          </cell>
          <cell r="F7186">
            <v>9500</v>
          </cell>
          <cell r="G7186">
            <v>8550</v>
          </cell>
        </row>
        <row r="7187">
          <cell r="B7187">
            <v>9</v>
          </cell>
          <cell r="C7187" t="str">
            <v>+ Giẻ lau</v>
          </cell>
          <cell r="D7187" t="str">
            <v>Kg</v>
          </cell>
          <cell r="E7187">
            <v>0.48</v>
          </cell>
          <cell r="F7187">
            <v>9500</v>
          </cell>
          <cell r="G7187">
            <v>4560</v>
          </cell>
        </row>
        <row r="7188">
          <cell r="B7188">
            <v>137</v>
          </cell>
          <cell r="C7188" t="str">
            <v>Vật liệu khác</v>
          </cell>
          <cell r="D7188" t="str">
            <v>%</v>
          </cell>
          <cell r="E7188">
            <v>5</v>
          </cell>
          <cell r="F7188">
            <v>1500</v>
          </cell>
          <cell r="G7188">
            <v>655.5</v>
          </cell>
        </row>
        <row r="7189">
          <cell r="C7189" t="str">
            <v>Nhân công</v>
          </cell>
          <cell r="G7189">
            <v>817504.54960526316</v>
          </cell>
        </row>
        <row r="7190">
          <cell r="B7190" t="str">
            <v>NC1457</v>
          </cell>
          <cell r="C7190" t="str">
            <v>+ Nhân công bậc 4,5/7</v>
          </cell>
          <cell r="D7190" t="str">
            <v>Công</v>
          </cell>
          <cell r="E7190">
            <v>3.86</v>
          </cell>
          <cell r="F7190">
            <v>211788.74342105264</v>
          </cell>
          <cell r="G7190">
            <v>817504.54960526316</v>
          </cell>
        </row>
        <row r="7191">
          <cell r="A7191" t="str">
            <v>D4.4221</v>
          </cell>
          <cell r="C7191" t="str">
            <v>Làm hộp nối cáp khô điện áp 10-15KV, Cáp có tiết diện &lt;=35mm2</v>
          </cell>
          <cell r="D7191" t="str">
            <v>1 hộp nối</v>
          </cell>
          <cell r="H7191">
            <v>8977.5</v>
          </cell>
          <cell r="I7191">
            <v>459581.57322368422</v>
          </cell>
        </row>
        <row r="7192">
          <cell r="C7192" t="str">
            <v>Vật liệu</v>
          </cell>
          <cell r="G7192">
            <v>8977.5</v>
          </cell>
        </row>
        <row r="7193">
          <cell r="B7193">
            <v>1</v>
          </cell>
          <cell r="C7193" t="str">
            <v>+ Cồn công nghiệp</v>
          </cell>
          <cell r="D7193" t="str">
            <v>kg</v>
          </cell>
          <cell r="E7193">
            <v>0.6</v>
          </cell>
          <cell r="F7193">
            <v>9500</v>
          </cell>
          <cell r="G7193">
            <v>5700</v>
          </cell>
        </row>
        <row r="7194">
          <cell r="B7194">
            <v>9</v>
          </cell>
          <cell r="C7194" t="str">
            <v>+ Giẻ lau</v>
          </cell>
          <cell r="D7194" t="str">
            <v>Kg</v>
          </cell>
          <cell r="E7194">
            <v>0.3</v>
          </cell>
          <cell r="F7194">
            <v>9500</v>
          </cell>
          <cell r="G7194">
            <v>2850</v>
          </cell>
        </row>
        <row r="7195">
          <cell r="B7195">
            <v>137</v>
          </cell>
          <cell r="C7195" t="str">
            <v>Vật liệu khác</v>
          </cell>
          <cell r="D7195" t="str">
            <v>%</v>
          </cell>
          <cell r="E7195">
            <v>5</v>
          </cell>
          <cell r="F7195">
            <v>1500</v>
          </cell>
          <cell r="G7195">
            <v>427.5</v>
          </cell>
        </row>
        <row r="7196">
          <cell r="C7196" t="str">
            <v>Nhân công</v>
          </cell>
          <cell r="G7196">
            <v>459581.57322368422</v>
          </cell>
        </row>
        <row r="7197">
          <cell r="B7197" t="str">
            <v>NC1457</v>
          </cell>
          <cell r="C7197" t="str">
            <v>+ Nhân công bậc 4,5/7</v>
          </cell>
          <cell r="D7197" t="str">
            <v>Công</v>
          </cell>
          <cell r="E7197">
            <v>2.17</v>
          </cell>
          <cell r="F7197">
            <v>211788.74342105264</v>
          </cell>
          <cell r="G7197">
            <v>459581.57322368422</v>
          </cell>
        </row>
        <row r="7198">
          <cell r="A7198" t="str">
            <v>D4.4222</v>
          </cell>
          <cell r="C7198" t="str">
            <v>Làm hộp nối cáp khô điện áp 10-15KV, Cáp có tiết diện &lt; =70mm2</v>
          </cell>
          <cell r="D7198" t="str">
            <v>1 hộp nối</v>
          </cell>
          <cell r="H7198">
            <v>8977.5</v>
          </cell>
          <cell r="I7198">
            <v>650191.44230263156</v>
          </cell>
        </row>
        <row r="7199">
          <cell r="C7199" t="str">
            <v>Vật liệu</v>
          </cell>
          <cell r="G7199">
            <v>8977.5</v>
          </cell>
        </row>
        <row r="7200">
          <cell r="B7200">
            <v>1</v>
          </cell>
          <cell r="C7200" t="str">
            <v>+ Cồn công nghiệp</v>
          </cell>
          <cell r="D7200" t="str">
            <v>kg</v>
          </cell>
          <cell r="E7200">
            <v>0.6</v>
          </cell>
          <cell r="F7200">
            <v>9500</v>
          </cell>
          <cell r="G7200">
            <v>5700</v>
          </cell>
        </row>
        <row r="7201">
          <cell r="B7201">
            <v>9</v>
          </cell>
          <cell r="C7201" t="str">
            <v>+ Giẻ lau</v>
          </cell>
          <cell r="D7201" t="str">
            <v>Kg</v>
          </cell>
          <cell r="E7201">
            <v>0.3</v>
          </cell>
          <cell r="F7201">
            <v>9500</v>
          </cell>
          <cell r="G7201">
            <v>2850</v>
          </cell>
        </row>
        <row r="7202">
          <cell r="B7202">
            <v>137</v>
          </cell>
          <cell r="C7202" t="str">
            <v>Vật liệu khác</v>
          </cell>
          <cell r="D7202" t="str">
            <v>%</v>
          </cell>
          <cell r="E7202">
            <v>5</v>
          </cell>
          <cell r="F7202">
            <v>1500</v>
          </cell>
          <cell r="G7202">
            <v>427.5</v>
          </cell>
        </row>
        <row r="7203">
          <cell r="C7203" t="str">
            <v>Nhân công</v>
          </cell>
          <cell r="G7203">
            <v>650191.44230263156</v>
          </cell>
        </row>
        <row r="7204">
          <cell r="B7204" t="str">
            <v>NC1457</v>
          </cell>
          <cell r="C7204" t="str">
            <v>+ Nhân công bậc 4,5/7</v>
          </cell>
          <cell r="D7204" t="str">
            <v>Công</v>
          </cell>
          <cell r="E7204">
            <v>3.07</v>
          </cell>
          <cell r="F7204">
            <v>211788.74342105264</v>
          </cell>
          <cell r="G7204">
            <v>650191.44230263156</v>
          </cell>
        </row>
        <row r="7205">
          <cell r="A7205" t="str">
            <v>D4.4223</v>
          </cell>
          <cell r="C7205" t="str">
            <v>Làm hộp nối cáp khô điện áp 10-15KV, Cáp có tiết diện &lt; =120mm2</v>
          </cell>
          <cell r="D7205" t="str">
            <v>1 hộp nối</v>
          </cell>
          <cell r="H7205">
            <v>8977.5</v>
          </cell>
          <cell r="I7205">
            <v>705256.51559210534</v>
          </cell>
        </row>
        <row r="7206">
          <cell r="C7206" t="str">
            <v>Vật liệu</v>
          </cell>
          <cell r="G7206">
            <v>8977.5</v>
          </cell>
        </row>
        <row r="7207">
          <cell r="B7207">
            <v>1</v>
          </cell>
          <cell r="C7207" t="str">
            <v>+ Cồn công nghiệp</v>
          </cell>
          <cell r="D7207" t="str">
            <v>kg</v>
          </cell>
          <cell r="E7207">
            <v>0.6</v>
          </cell>
          <cell r="F7207">
            <v>9500</v>
          </cell>
          <cell r="G7207">
            <v>5700</v>
          </cell>
        </row>
        <row r="7208">
          <cell r="B7208">
            <v>9</v>
          </cell>
          <cell r="C7208" t="str">
            <v>+ Giẻ lau</v>
          </cell>
          <cell r="D7208" t="str">
            <v>Kg</v>
          </cell>
          <cell r="E7208">
            <v>0.3</v>
          </cell>
          <cell r="F7208">
            <v>9500</v>
          </cell>
          <cell r="G7208">
            <v>2850</v>
          </cell>
        </row>
        <row r="7209">
          <cell r="B7209">
            <v>137</v>
          </cell>
          <cell r="C7209" t="str">
            <v>Vật liệu khác</v>
          </cell>
          <cell r="D7209" t="str">
            <v>%</v>
          </cell>
          <cell r="E7209">
            <v>5</v>
          </cell>
          <cell r="F7209">
            <v>1500</v>
          </cell>
          <cell r="G7209">
            <v>427.5</v>
          </cell>
        </row>
        <row r="7210">
          <cell r="C7210" t="str">
            <v>Nhân công</v>
          </cell>
          <cell r="G7210">
            <v>705256.51559210534</v>
          </cell>
        </row>
        <row r="7211">
          <cell r="B7211" t="str">
            <v>NC1457</v>
          </cell>
          <cell r="C7211" t="str">
            <v>+ Nhân công bậc 4,5/7</v>
          </cell>
          <cell r="D7211" t="str">
            <v>Công</v>
          </cell>
          <cell r="E7211">
            <v>3.33</v>
          </cell>
          <cell r="F7211">
            <v>211788.74342105264</v>
          </cell>
          <cell r="G7211">
            <v>705256.51559210534</v>
          </cell>
        </row>
        <row r="7212">
          <cell r="A7212" t="str">
            <v>D4.4224</v>
          </cell>
          <cell r="C7212" t="str">
            <v>Làm hộp nối cáp khô điện áp 10-15KV, Cáp có tiết diện &lt;=185mm2</v>
          </cell>
          <cell r="D7212" t="str">
            <v>1 hộp nối</v>
          </cell>
          <cell r="H7212">
            <v>11471.25</v>
          </cell>
          <cell r="I7212">
            <v>785736.23809210525</v>
          </cell>
        </row>
        <row r="7213">
          <cell r="C7213" t="str">
            <v>Vật liệu</v>
          </cell>
          <cell r="G7213">
            <v>11471.25</v>
          </cell>
        </row>
        <row r="7214">
          <cell r="B7214">
            <v>1</v>
          </cell>
          <cell r="C7214" t="str">
            <v>+ Cồn công nghiệp</v>
          </cell>
          <cell r="D7214" t="str">
            <v>kg</v>
          </cell>
          <cell r="E7214">
            <v>0.75</v>
          </cell>
          <cell r="F7214">
            <v>9500</v>
          </cell>
          <cell r="G7214">
            <v>7125</v>
          </cell>
        </row>
        <row r="7215">
          <cell r="B7215">
            <v>9</v>
          </cell>
          <cell r="C7215" t="str">
            <v>+ Giẻ lau</v>
          </cell>
          <cell r="D7215" t="str">
            <v>Kg</v>
          </cell>
          <cell r="E7215">
            <v>0.4</v>
          </cell>
          <cell r="F7215">
            <v>9500</v>
          </cell>
          <cell r="G7215">
            <v>3800</v>
          </cell>
        </row>
        <row r="7216">
          <cell r="B7216">
            <v>137</v>
          </cell>
          <cell r="C7216" t="str">
            <v>Vật liệu khác</v>
          </cell>
          <cell r="D7216" t="str">
            <v>%</v>
          </cell>
          <cell r="E7216">
            <v>5</v>
          </cell>
          <cell r="F7216">
            <v>1500</v>
          </cell>
          <cell r="G7216">
            <v>546.25</v>
          </cell>
        </row>
        <row r="7217">
          <cell r="C7217" t="str">
            <v>Nhân công</v>
          </cell>
          <cell r="G7217">
            <v>785736.23809210525</v>
          </cell>
        </row>
        <row r="7218">
          <cell r="B7218" t="str">
            <v>NC1457</v>
          </cell>
          <cell r="C7218" t="str">
            <v>+ Nhân công bậc 4,5/7</v>
          </cell>
          <cell r="D7218" t="str">
            <v>Công</v>
          </cell>
          <cell r="E7218">
            <v>3.71</v>
          </cell>
          <cell r="F7218">
            <v>211788.74342105264</v>
          </cell>
          <cell r="G7218">
            <v>785736.23809210525</v>
          </cell>
        </row>
        <row r="7219">
          <cell r="A7219" t="str">
            <v>D4.4225</v>
          </cell>
          <cell r="C7219" t="str">
            <v>Làm hộp nối cáp khô điện áp 10-15KV, Cáp có tiết diện &lt;= 240mm2</v>
          </cell>
          <cell r="D7219" t="str">
            <v>1 hộp nối</v>
          </cell>
          <cell r="H7219">
            <v>11471.25</v>
          </cell>
          <cell r="I7219">
            <v>851390.74855263147</v>
          </cell>
        </row>
        <row r="7220">
          <cell r="C7220" t="str">
            <v>Vật liệu</v>
          </cell>
          <cell r="G7220">
            <v>11471.25</v>
          </cell>
        </row>
        <row r="7221">
          <cell r="B7221">
            <v>1</v>
          </cell>
          <cell r="C7221" t="str">
            <v>+ Cồn công nghiệp</v>
          </cell>
          <cell r="D7221" t="str">
            <v>kg</v>
          </cell>
          <cell r="E7221">
            <v>0.75</v>
          </cell>
          <cell r="F7221">
            <v>9500</v>
          </cell>
          <cell r="G7221">
            <v>7125</v>
          </cell>
        </row>
        <row r="7222">
          <cell r="B7222">
            <v>9</v>
          </cell>
          <cell r="C7222" t="str">
            <v>+ Giẻ lau</v>
          </cell>
          <cell r="D7222" t="str">
            <v>Kg</v>
          </cell>
          <cell r="E7222">
            <v>0.4</v>
          </cell>
          <cell r="F7222">
            <v>9500</v>
          </cell>
          <cell r="G7222">
            <v>3800</v>
          </cell>
        </row>
        <row r="7223">
          <cell r="B7223">
            <v>137</v>
          </cell>
          <cell r="C7223" t="str">
            <v>Vật liệu khác</v>
          </cell>
          <cell r="D7223" t="str">
            <v>%</v>
          </cell>
          <cell r="E7223">
            <v>5</v>
          </cell>
          <cell r="F7223">
            <v>1500</v>
          </cell>
          <cell r="G7223">
            <v>546.25</v>
          </cell>
        </row>
        <row r="7224">
          <cell r="C7224" t="str">
            <v>Nhân công</v>
          </cell>
          <cell r="G7224">
            <v>851390.74855263147</v>
          </cell>
        </row>
        <row r="7225">
          <cell r="B7225" t="str">
            <v>NC1457</v>
          </cell>
          <cell r="C7225" t="str">
            <v>+ Nhân công bậc 4,5/7</v>
          </cell>
          <cell r="D7225" t="str">
            <v>Công</v>
          </cell>
          <cell r="E7225">
            <v>4.0199999999999996</v>
          </cell>
          <cell r="F7225">
            <v>211788.74342105264</v>
          </cell>
          <cell r="G7225">
            <v>851390.74855263147</v>
          </cell>
        </row>
        <row r="7226">
          <cell r="A7226" t="str">
            <v>D4.4226</v>
          </cell>
          <cell r="C7226" t="str">
            <v>Làm hộp nối cáp khô điện áp 10-15KV, Cáp có tiết diện &lt;=300mm2</v>
          </cell>
          <cell r="D7226" t="str">
            <v>1 hộp nối</v>
          </cell>
          <cell r="H7226">
            <v>11471.25</v>
          </cell>
          <cell r="I7226">
            <v>936106.24592105264</v>
          </cell>
        </row>
        <row r="7227">
          <cell r="C7227" t="str">
            <v>Vật liệu</v>
          </cell>
          <cell r="G7227">
            <v>11471.25</v>
          </cell>
        </row>
        <row r="7228">
          <cell r="B7228">
            <v>1</v>
          </cell>
          <cell r="C7228" t="str">
            <v>+ Cồn công nghiệp</v>
          </cell>
          <cell r="D7228" t="str">
            <v>kg</v>
          </cell>
          <cell r="E7228">
            <v>0.75</v>
          </cell>
          <cell r="F7228">
            <v>9500</v>
          </cell>
          <cell r="G7228">
            <v>7125</v>
          </cell>
        </row>
        <row r="7229">
          <cell r="B7229">
            <v>9</v>
          </cell>
          <cell r="C7229" t="str">
            <v>+ Giẻ lau</v>
          </cell>
          <cell r="D7229" t="str">
            <v>Kg</v>
          </cell>
          <cell r="E7229">
            <v>0.4</v>
          </cell>
          <cell r="F7229">
            <v>9500</v>
          </cell>
          <cell r="G7229">
            <v>3800</v>
          </cell>
        </row>
        <row r="7230">
          <cell r="B7230">
            <v>137</v>
          </cell>
          <cell r="C7230" t="str">
            <v>Vật liệu khác</v>
          </cell>
          <cell r="D7230" t="str">
            <v>%</v>
          </cell>
          <cell r="E7230">
            <v>5</v>
          </cell>
          <cell r="F7230">
            <v>1500</v>
          </cell>
          <cell r="G7230">
            <v>546.25</v>
          </cell>
        </row>
        <row r="7231">
          <cell r="C7231" t="str">
            <v>Nhân công</v>
          </cell>
          <cell r="G7231">
            <v>936106.24592105264</v>
          </cell>
        </row>
        <row r="7232">
          <cell r="B7232" t="str">
            <v>NC1457</v>
          </cell>
          <cell r="C7232" t="str">
            <v>+ Nhân công bậc 4,5/7</v>
          </cell>
          <cell r="D7232" t="str">
            <v>Công</v>
          </cell>
          <cell r="E7232">
            <v>4.42</v>
          </cell>
          <cell r="F7232">
            <v>211788.74342105264</v>
          </cell>
          <cell r="G7232">
            <v>936106.24592105264</v>
          </cell>
        </row>
        <row r="7233">
          <cell r="A7233" t="str">
            <v>D4.4227</v>
          </cell>
          <cell r="C7233" t="str">
            <v>Làm hộp nối cáp khô điện áp 10-15KV, Cáp có tiết diện &lt;=400mm2</v>
          </cell>
          <cell r="D7233" t="str">
            <v>1 hộp nối</v>
          </cell>
          <cell r="H7233">
            <v>13765.5</v>
          </cell>
          <cell r="I7233">
            <v>1122480.340131579</v>
          </cell>
        </row>
        <row r="7234">
          <cell r="C7234" t="str">
            <v>Vật liệu</v>
          </cell>
          <cell r="G7234">
            <v>13765.5</v>
          </cell>
        </row>
        <row r="7235">
          <cell r="B7235">
            <v>1</v>
          </cell>
          <cell r="C7235" t="str">
            <v>+ Cồn công nghiệp</v>
          </cell>
          <cell r="D7235" t="str">
            <v>kg</v>
          </cell>
          <cell r="E7235">
            <v>0.9</v>
          </cell>
          <cell r="F7235">
            <v>9500</v>
          </cell>
          <cell r="G7235">
            <v>8550</v>
          </cell>
        </row>
        <row r="7236">
          <cell r="B7236">
            <v>9</v>
          </cell>
          <cell r="C7236" t="str">
            <v>+ Giẻ lau</v>
          </cell>
          <cell r="D7236" t="str">
            <v>Kg</v>
          </cell>
          <cell r="E7236">
            <v>0.48</v>
          </cell>
          <cell r="F7236">
            <v>9500</v>
          </cell>
          <cell r="G7236">
            <v>4560</v>
          </cell>
        </row>
        <row r="7237">
          <cell r="B7237">
            <v>137</v>
          </cell>
          <cell r="C7237" t="str">
            <v>Vật liệu khác</v>
          </cell>
          <cell r="D7237" t="str">
            <v>%</v>
          </cell>
          <cell r="E7237">
            <v>5</v>
          </cell>
          <cell r="F7237">
            <v>1500</v>
          </cell>
          <cell r="G7237">
            <v>655.5</v>
          </cell>
        </row>
        <row r="7238">
          <cell r="C7238" t="str">
            <v>Nhân công</v>
          </cell>
          <cell r="G7238">
            <v>1122480.340131579</v>
          </cell>
        </row>
        <row r="7239">
          <cell r="B7239" t="str">
            <v>NC1457</v>
          </cell>
          <cell r="C7239" t="str">
            <v>+ Nhân công bậc 4,5/7</v>
          </cell>
          <cell r="D7239" t="str">
            <v>Công</v>
          </cell>
          <cell r="E7239">
            <v>5.3</v>
          </cell>
          <cell r="F7239">
            <v>211788.74342105264</v>
          </cell>
          <cell r="G7239">
            <v>1122480.340131579</v>
          </cell>
        </row>
        <row r="7240">
          <cell r="A7240" t="str">
            <v>D4.4231</v>
          </cell>
          <cell r="C7240" t="str">
            <v>Làm hộp nối cáp dầu điện áp 3-6KV, Cáp có tiết diện &lt;=35mm2</v>
          </cell>
          <cell r="D7240" t="str">
            <v>1 hộp nối</v>
          </cell>
          <cell r="H7240">
            <v>278743.5</v>
          </cell>
          <cell r="I7240">
            <v>1389334.1568421053</v>
          </cell>
        </row>
        <row r="7241">
          <cell r="C7241" t="str">
            <v>Vật liệu</v>
          </cell>
          <cell r="G7241">
            <v>278743.5</v>
          </cell>
        </row>
        <row r="7242">
          <cell r="B7242">
            <v>129</v>
          </cell>
          <cell r="C7242" t="str">
            <v>+ Hộp nối cáp loại 35mm2</v>
          </cell>
          <cell r="D7242" t="str">
            <v>hộp</v>
          </cell>
          <cell r="E7242">
            <v>1</v>
          </cell>
          <cell r="F7242">
            <v>0</v>
          </cell>
          <cell r="G7242">
            <v>0</v>
          </cell>
        </row>
        <row r="7243">
          <cell r="B7243">
            <v>25</v>
          </cell>
          <cell r="C7243" t="str">
            <v>+ Băng cách điện</v>
          </cell>
          <cell r="D7243" t="str">
            <v>cuộn</v>
          </cell>
          <cell r="E7243">
            <v>2</v>
          </cell>
          <cell r="F7243">
            <v>8000</v>
          </cell>
          <cell r="G7243">
            <v>16000</v>
          </cell>
        </row>
        <row r="7244">
          <cell r="B7244">
            <v>20</v>
          </cell>
          <cell r="C7244" t="str">
            <v>+ Thiếc hàn</v>
          </cell>
          <cell r="D7244" t="str">
            <v>kg</v>
          </cell>
          <cell r="E7244">
            <v>0.4</v>
          </cell>
          <cell r="F7244">
            <v>80000</v>
          </cell>
          <cell r="G7244">
            <v>32000</v>
          </cell>
        </row>
        <row r="7245">
          <cell r="B7245">
            <v>21</v>
          </cell>
          <cell r="C7245" t="str">
            <v>+ Nhựa thông</v>
          </cell>
          <cell r="D7245" t="str">
            <v>kg</v>
          </cell>
          <cell r="E7245">
            <v>0.04</v>
          </cell>
          <cell r="F7245">
            <v>27000</v>
          </cell>
          <cell r="G7245">
            <v>1080</v>
          </cell>
        </row>
        <row r="7246">
          <cell r="B7246">
            <v>33</v>
          </cell>
          <cell r="C7246" t="str">
            <v>+ Ma tít</v>
          </cell>
          <cell r="D7246" t="str">
            <v>kg</v>
          </cell>
          <cell r="E7246">
            <v>0.3</v>
          </cell>
          <cell r="F7246">
            <v>17300</v>
          </cell>
          <cell r="G7246">
            <v>5190</v>
          </cell>
        </row>
        <row r="7247">
          <cell r="B7247">
            <v>71</v>
          </cell>
          <cell r="C7247" t="str">
            <v>+ Củi đun</v>
          </cell>
          <cell r="D7247" t="str">
            <v>kg</v>
          </cell>
          <cell r="E7247">
            <v>15</v>
          </cell>
          <cell r="F7247">
            <v>1800</v>
          </cell>
          <cell r="G7247">
            <v>27000</v>
          </cell>
        </row>
        <row r="7248">
          <cell r="B7248">
            <v>1</v>
          </cell>
          <cell r="C7248" t="str">
            <v>+ Cồn công nghiệp</v>
          </cell>
          <cell r="D7248" t="str">
            <v>kg</v>
          </cell>
          <cell r="E7248">
            <v>1</v>
          </cell>
          <cell r="F7248">
            <v>9500</v>
          </cell>
          <cell r="G7248">
            <v>9500</v>
          </cell>
        </row>
        <row r="7249">
          <cell r="B7249">
            <v>9</v>
          </cell>
          <cell r="C7249" t="str">
            <v>+ Giẻ lau</v>
          </cell>
          <cell r="D7249" t="str">
            <v>Kg</v>
          </cell>
          <cell r="E7249">
            <v>0.5</v>
          </cell>
          <cell r="F7249">
            <v>9500</v>
          </cell>
          <cell r="G7249">
            <v>4750</v>
          </cell>
        </row>
        <row r="7250">
          <cell r="B7250">
            <v>35</v>
          </cell>
          <cell r="C7250" t="str">
            <v>+ Chất cách điện</v>
          </cell>
          <cell r="D7250" t="str">
            <v>kg</v>
          </cell>
          <cell r="E7250">
            <v>11</v>
          </cell>
          <cell r="F7250">
            <v>15450</v>
          </cell>
          <cell r="G7250">
            <v>169950</v>
          </cell>
        </row>
        <row r="7251">
          <cell r="B7251">
            <v>34</v>
          </cell>
          <cell r="C7251" t="str">
            <v>+ Dầu biến áp</v>
          </cell>
          <cell r="D7251" t="str">
            <v>kg</v>
          </cell>
          <cell r="E7251">
            <v>2</v>
          </cell>
          <cell r="F7251">
            <v>0</v>
          </cell>
          <cell r="G7251">
            <v>0</v>
          </cell>
        </row>
        <row r="7252">
          <cell r="B7252">
            <v>137</v>
          </cell>
          <cell r="C7252" t="str">
            <v>Vật liệu khác</v>
          </cell>
          <cell r="D7252" t="str">
            <v>%</v>
          </cell>
          <cell r="E7252">
            <v>5</v>
          </cell>
          <cell r="F7252">
            <v>1500</v>
          </cell>
          <cell r="G7252">
            <v>13273.5</v>
          </cell>
        </row>
        <row r="7253">
          <cell r="C7253" t="str">
            <v>Nhân công</v>
          </cell>
          <cell r="G7253">
            <v>1389334.1568421053</v>
          </cell>
        </row>
        <row r="7254">
          <cell r="B7254" t="str">
            <v>NC1457</v>
          </cell>
          <cell r="C7254" t="str">
            <v>+ Nhân công bậc 4,5/7</v>
          </cell>
          <cell r="D7254" t="str">
            <v>Công</v>
          </cell>
          <cell r="E7254">
            <v>6.56</v>
          </cell>
          <cell r="F7254">
            <v>211788.74342105264</v>
          </cell>
          <cell r="G7254">
            <v>1389334.1568421053</v>
          </cell>
        </row>
        <row r="7255">
          <cell r="A7255" t="str">
            <v>D4.4232</v>
          </cell>
          <cell r="C7255" t="str">
            <v>Làm hộp nối cáp dầu điện áp 3-6KV, Cáp có tiết diện &lt;=70mm2</v>
          </cell>
          <cell r="D7255" t="str">
            <v>1 hộp nối</v>
          </cell>
          <cell r="H7255">
            <v>278743.5</v>
          </cell>
          <cell r="I7255">
            <v>1539704.1646710527</v>
          </cell>
        </row>
        <row r="7256">
          <cell r="C7256" t="str">
            <v>Vật liệu</v>
          </cell>
          <cell r="G7256">
            <v>278743.5</v>
          </cell>
        </row>
        <row r="7257">
          <cell r="B7257">
            <v>130</v>
          </cell>
          <cell r="C7257" t="str">
            <v>+ Hộp nối cáp loại 70mm2</v>
          </cell>
          <cell r="D7257" t="str">
            <v>hộp</v>
          </cell>
          <cell r="E7257">
            <v>1</v>
          </cell>
          <cell r="F7257">
            <v>0</v>
          </cell>
          <cell r="G7257">
            <v>0</v>
          </cell>
        </row>
        <row r="7258">
          <cell r="B7258">
            <v>25</v>
          </cell>
          <cell r="C7258" t="str">
            <v>+ Băng cách điện</v>
          </cell>
          <cell r="D7258" t="str">
            <v>cuộn</v>
          </cell>
          <cell r="E7258">
            <v>2</v>
          </cell>
          <cell r="F7258">
            <v>8000</v>
          </cell>
          <cell r="G7258">
            <v>16000</v>
          </cell>
        </row>
        <row r="7259">
          <cell r="B7259">
            <v>20</v>
          </cell>
          <cell r="C7259" t="str">
            <v>+ Thiếc hàn</v>
          </cell>
          <cell r="D7259" t="str">
            <v>kg</v>
          </cell>
          <cell r="E7259">
            <v>0.4</v>
          </cell>
          <cell r="F7259">
            <v>80000</v>
          </cell>
          <cell r="G7259">
            <v>32000</v>
          </cell>
        </row>
        <row r="7260">
          <cell r="B7260">
            <v>21</v>
          </cell>
          <cell r="C7260" t="str">
            <v>+ Nhựa thông</v>
          </cell>
          <cell r="D7260" t="str">
            <v>kg</v>
          </cell>
          <cell r="E7260">
            <v>0.04</v>
          </cell>
          <cell r="F7260">
            <v>27000</v>
          </cell>
          <cell r="G7260">
            <v>1080</v>
          </cell>
        </row>
        <row r="7261">
          <cell r="B7261">
            <v>33</v>
          </cell>
          <cell r="C7261" t="str">
            <v>+ Ma tít</v>
          </cell>
          <cell r="D7261" t="str">
            <v>kg</v>
          </cell>
          <cell r="E7261">
            <v>0.3</v>
          </cell>
          <cell r="F7261">
            <v>17300</v>
          </cell>
          <cell r="G7261">
            <v>5190</v>
          </cell>
        </row>
        <row r="7262">
          <cell r="B7262">
            <v>71</v>
          </cell>
          <cell r="C7262" t="str">
            <v>+ Củi đun</v>
          </cell>
          <cell r="D7262" t="str">
            <v>kg</v>
          </cell>
          <cell r="E7262">
            <v>15</v>
          </cell>
          <cell r="F7262">
            <v>1800</v>
          </cell>
          <cell r="G7262">
            <v>27000</v>
          </cell>
        </row>
        <row r="7263">
          <cell r="B7263">
            <v>1</v>
          </cell>
          <cell r="C7263" t="str">
            <v>+ Cồn công nghiệp</v>
          </cell>
          <cell r="D7263" t="str">
            <v>kg</v>
          </cell>
          <cell r="E7263">
            <v>1</v>
          </cell>
          <cell r="F7263">
            <v>9500</v>
          </cell>
          <cell r="G7263">
            <v>9500</v>
          </cell>
        </row>
        <row r="7264">
          <cell r="B7264">
            <v>9</v>
          </cell>
          <cell r="C7264" t="str">
            <v>+ Giẻ lau</v>
          </cell>
          <cell r="D7264" t="str">
            <v>Kg</v>
          </cell>
          <cell r="E7264">
            <v>0.5</v>
          </cell>
          <cell r="F7264">
            <v>9500</v>
          </cell>
          <cell r="G7264">
            <v>4750</v>
          </cell>
        </row>
        <row r="7265">
          <cell r="B7265">
            <v>35</v>
          </cell>
          <cell r="C7265" t="str">
            <v>+ Chất cách điện</v>
          </cell>
          <cell r="D7265" t="str">
            <v>kg</v>
          </cell>
          <cell r="E7265">
            <v>11</v>
          </cell>
          <cell r="F7265">
            <v>15450</v>
          </cell>
          <cell r="G7265">
            <v>169950</v>
          </cell>
        </row>
        <row r="7266">
          <cell r="B7266">
            <v>34</v>
          </cell>
          <cell r="C7266" t="str">
            <v>+ Dầu biến áp</v>
          </cell>
          <cell r="D7266" t="str">
            <v>kg</v>
          </cell>
          <cell r="E7266">
            <v>2</v>
          </cell>
          <cell r="F7266">
            <v>0</v>
          </cell>
          <cell r="G7266">
            <v>0</v>
          </cell>
        </row>
        <row r="7267">
          <cell r="B7267">
            <v>137</v>
          </cell>
          <cell r="C7267" t="str">
            <v>Vật liệu khác</v>
          </cell>
          <cell r="D7267" t="str">
            <v>%</v>
          </cell>
          <cell r="E7267">
            <v>5</v>
          </cell>
          <cell r="F7267">
            <v>1500</v>
          </cell>
          <cell r="G7267">
            <v>13273.5</v>
          </cell>
        </row>
        <row r="7268">
          <cell r="C7268" t="str">
            <v>Nhân công</v>
          </cell>
          <cell r="G7268">
            <v>1539704.1646710527</v>
          </cell>
        </row>
        <row r="7269">
          <cell r="B7269" t="str">
            <v>NC1457</v>
          </cell>
          <cell r="C7269" t="str">
            <v>+ Nhân công bậc 4,5/7</v>
          </cell>
          <cell r="D7269" t="str">
            <v>Công</v>
          </cell>
          <cell r="E7269">
            <v>7.27</v>
          </cell>
          <cell r="F7269">
            <v>211788.74342105264</v>
          </cell>
          <cell r="G7269">
            <v>1539704.1646710527</v>
          </cell>
        </row>
        <row r="7270">
          <cell r="A7270" t="str">
            <v>D4.4233</v>
          </cell>
          <cell r="C7270" t="str">
            <v>Làm hộp nối cáp dầu điện áp 3-6KV, Cáp có tiết diện &lt;=120mm2</v>
          </cell>
          <cell r="D7270" t="str">
            <v>1 hộp nối</v>
          </cell>
          <cell r="H7270">
            <v>368760</v>
          </cell>
          <cell r="I7270">
            <v>1690074.1725000001</v>
          </cell>
        </row>
        <row r="7271">
          <cell r="C7271" t="str">
            <v>Vật liệu</v>
          </cell>
          <cell r="G7271">
            <v>368760</v>
          </cell>
        </row>
        <row r="7272">
          <cell r="B7272">
            <v>131</v>
          </cell>
          <cell r="C7272" t="str">
            <v>+ Hộp nối cáp loại 120mm2</v>
          </cell>
          <cell r="D7272" t="str">
            <v>hộp</v>
          </cell>
          <cell r="E7272">
            <v>1</v>
          </cell>
          <cell r="F7272">
            <v>0</v>
          </cell>
          <cell r="G7272">
            <v>0</v>
          </cell>
        </row>
        <row r="7273">
          <cell r="B7273">
            <v>25</v>
          </cell>
          <cell r="C7273" t="str">
            <v>+ Băng cách điện</v>
          </cell>
          <cell r="D7273" t="str">
            <v>cuộn</v>
          </cell>
          <cell r="E7273">
            <v>2.5</v>
          </cell>
          <cell r="F7273">
            <v>8000</v>
          </cell>
          <cell r="G7273">
            <v>20000</v>
          </cell>
        </row>
        <row r="7274">
          <cell r="B7274">
            <v>20</v>
          </cell>
          <cell r="C7274" t="str">
            <v>+ Thiếc hàn</v>
          </cell>
          <cell r="D7274" t="str">
            <v>kg</v>
          </cell>
          <cell r="E7274">
            <v>0.4</v>
          </cell>
          <cell r="F7274">
            <v>80000</v>
          </cell>
          <cell r="G7274">
            <v>32000</v>
          </cell>
        </row>
        <row r="7275">
          <cell r="B7275">
            <v>21</v>
          </cell>
          <cell r="C7275" t="str">
            <v>+ Nhựa thông</v>
          </cell>
          <cell r="D7275" t="str">
            <v>kg</v>
          </cell>
          <cell r="E7275">
            <v>0.04</v>
          </cell>
          <cell r="F7275">
            <v>27000</v>
          </cell>
          <cell r="G7275">
            <v>1080</v>
          </cell>
        </row>
        <row r="7276">
          <cell r="B7276">
            <v>33</v>
          </cell>
          <cell r="C7276" t="str">
            <v>+ Ma tít</v>
          </cell>
          <cell r="D7276" t="str">
            <v>kg</v>
          </cell>
          <cell r="E7276">
            <v>0.4</v>
          </cell>
          <cell r="F7276">
            <v>17300</v>
          </cell>
          <cell r="G7276">
            <v>6920</v>
          </cell>
        </row>
        <row r="7277">
          <cell r="B7277">
            <v>71</v>
          </cell>
          <cell r="C7277" t="str">
            <v>+ Củi đun</v>
          </cell>
          <cell r="D7277" t="str">
            <v>kg</v>
          </cell>
          <cell r="E7277">
            <v>16</v>
          </cell>
          <cell r="F7277">
            <v>1800</v>
          </cell>
          <cell r="G7277">
            <v>28800</v>
          </cell>
        </row>
        <row r="7278">
          <cell r="B7278">
            <v>1</v>
          </cell>
          <cell r="C7278" t="str">
            <v>+ Cồn công nghiệp</v>
          </cell>
          <cell r="D7278" t="str">
            <v>kg</v>
          </cell>
          <cell r="E7278">
            <v>1</v>
          </cell>
          <cell r="F7278">
            <v>9500</v>
          </cell>
          <cell r="G7278">
            <v>9500</v>
          </cell>
        </row>
        <row r="7279">
          <cell r="B7279">
            <v>9</v>
          </cell>
          <cell r="C7279" t="str">
            <v>+ Giẻ lau</v>
          </cell>
          <cell r="D7279" t="str">
            <v>Kg</v>
          </cell>
          <cell r="E7279">
            <v>0.6</v>
          </cell>
          <cell r="F7279">
            <v>9500</v>
          </cell>
          <cell r="G7279">
            <v>5700</v>
          </cell>
        </row>
        <row r="7280">
          <cell r="B7280">
            <v>35</v>
          </cell>
          <cell r="C7280" t="str">
            <v>+ Chất cách điện</v>
          </cell>
          <cell r="D7280" t="str">
            <v>kg</v>
          </cell>
          <cell r="E7280">
            <v>16</v>
          </cell>
          <cell r="F7280">
            <v>15450</v>
          </cell>
          <cell r="G7280">
            <v>247200</v>
          </cell>
        </row>
        <row r="7281">
          <cell r="B7281">
            <v>34</v>
          </cell>
          <cell r="C7281" t="str">
            <v>+ Dầu biến áp</v>
          </cell>
          <cell r="D7281" t="str">
            <v>kg</v>
          </cell>
          <cell r="E7281">
            <v>2</v>
          </cell>
          <cell r="F7281">
            <v>0</v>
          </cell>
          <cell r="G7281">
            <v>0</v>
          </cell>
        </row>
        <row r="7282">
          <cell r="B7282">
            <v>137</v>
          </cell>
          <cell r="C7282" t="str">
            <v>Vật liệu khác</v>
          </cell>
          <cell r="D7282" t="str">
            <v>%</v>
          </cell>
          <cell r="E7282">
            <v>5</v>
          </cell>
          <cell r="F7282">
            <v>1500</v>
          </cell>
          <cell r="G7282">
            <v>17560</v>
          </cell>
        </row>
        <row r="7283">
          <cell r="C7283" t="str">
            <v>Nhân công</v>
          </cell>
          <cell r="G7283">
            <v>1690074.1725000001</v>
          </cell>
        </row>
        <row r="7284">
          <cell r="B7284" t="str">
            <v>NC1457</v>
          </cell>
          <cell r="C7284" t="str">
            <v>+ Nhân công bậc 4,5/7</v>
          </cell>
          <cell r="D7284" t="str">
            <v>Công</v>
          </cell>
          <cell r="E7284">
            <v>7.98</v>
          </cell>
          <cell r="F7284">
            <v>211788.74342105264</v>
          </cell>
          <cell r="G7284">
            <v>1690074.1725000001</v>
          </cell>
        </row>
        <row r="7285">
          <cell r="A7285" t="str">
            <v>D4.4234</v>
          </cell>
          <cell r="C7285" t="str">
            <v>Làm hộp nối cáp dầu điện áp 3-6KV, Cáp có tiết diện &lt;=185mm2</v>
          </cell>
          <cell r="D7285" t="str">
            <v>1 hộp nối</v>
          </cell>
          <cell r="H7285">
            <v>381255</v>
          </cell>
          <cell r="I7285">
            <v>1872212.4918421053</v>
          </cell>
        </row>
        <row r="7286">
          <cell r="C7286" t="str">
            <v>Vật liệu</v>
          </cell>
          <cell r="G7286">
            <v>381255</v>
          </cell>
        </row>
        <row r="7287">
          <cell r="B7287">
            <v>132</v>
          </cell>
          <cell r="C7287" t="str">
            <v>+ Hộp nối cáp loại 185mm2</v>
          </cell>
          <cell r="D7287" t="str">
            <v>hộp</v>
          </cell>
          <cell r="E7287">
            <v>1</v>
          </cell>
          <cell r="F7287">
            <v>0</v>
          </cell>
          <cell r="G7287">
            <v>0</v>
          </cell>
        </row>
        <row r="7288">
          <cell r="B7288">
            <v>25</v>
          </cell>
          <cell r="C7288" t="str">
            <v>+ Băng cách điện</v>
          </cell>
          <cell r="D7288" t="str">
            <v>cuộn</v>
          </cell>
          <cell r="E7288">
            <v>2.5</v>
          </cell>
          <cell r="F7288">
            <v>8000</v>
          </cell>
          <cell r="G7288">
            <v>20000</v>
          </cell>
        </row>
        <row r="7289">
          <cell r="B7289">
            <v>20</v>
          </cell>
          <cell r="C7289" t="str">
            <v>+ Thiếc hàn</v>
          </cell>
          <cell r="D7289" t="str">
            <v>kg</v>
          </cell>
          <cell r="E7289">
            <v>0.5</v>
          </cell>
          <cell r="F7289">
            <v>80000</v>
          </cell>
          <cell r="G7289">
            <v>40000</v>
          </cell>
        </row>
        <row r="7290">
          <cell r="B7290">
            <v>21</v>
          </cell>
          <cell r="C7290" t="str">
            <v>+ Nhựa thông</v>
          </cell>
          <cell r="D7290" t="str">
            <v>kg</v>
          </cell>
          <cell r="E7290">
            <v>0.05</v>
          </cell>
          <cell r="F7290">
            <v>27000</v>
          </cell>
          <cell r="G7290">
            <v>1350</v>
          </cell>
        </row>
        <row r="7291">
          <cell r="B7291">
            <v>33</v>
          </cell>
          <cell r="C7291" t="str">
            <v>+ Ma tít</v>
          </cell>
          <cell r="D7291" t="str">
            <v>kg</v>
          </cell>
          <cell r="E7291">
            <v>0.5</v>
          </cell>
          <cell r="F7291">
            <v>17300</v>
          </cell>
          <cell r="G7291">
            <v>8650</v>
          </cell>
        </row>
        <row r="7292">
          <cell r="B7292">
            <v>71</v>
          </cell>
          <cell r="C7292" t="str">
            <v>+ Củi đun</v>
          </cell>
          <cell r="D7292" t="str">
            <v>kg</v>
          </cell>
          <cell r="E7292">
            <v>16</v>
          </cell>
          <cell r="F7292">
            <v>1800</v>
          </cell>
          <cell r="G7292">
            <v>28800</v>
          </cell>
        </row>
        <row r="7293">
          <cell r="B7293">
            <v>1</v>
          </cell>
          <cell r="C7293" t="str">
            <v>+ Cồn công nghiệp</v>
          </cell>
          <cell r="D7293" t="str">
            <v>kg</v>
          </cell>
          <cell r="E7293">
            <v>1.2</v>
          </cell>
          <cell r="F7293">
            <v>9500</v>
          </cell>
          <cell r="G7293">
            <v>11400</v>
          </cell>
        </row>
        <row r="7294">
          <cell r="B7294">
            <v>9</v>
          </cell>
          <cell r="C7294" t="str">
            <v>+ Giẻ lau</v>
          </cell>
          <cell r="D7294" t="str">
            <v>Kg</v>
          </cell>
          <cell r="E7294">
            <v>0.6</v>
          </cell>
          <cell r="F7294">
            <v>9500</v>
          </cell>
          <cell r="G7294">
            <v>5700</v>
          </cell>
        </row>
        <row r="7295">
          <cell r="B7295">
            <v>35</v>
          </cell>
          <cell r="C7295" t="str">
            <v>+ Chất cách điện</v>
          </cell>
          <cell r="D7295" t="str">
            <v>kg</v>
          </cell>
          <cell r="E7295">
            <v>16</v>
          </cell>
          <cell r="F7295">
            <v>15450</v>
          </cell>
          <cell r="G7295">
            <v>247200</v>
          </cell>
        </row>
        <row r="7296">
          <cell r="B7296">
            <v>34</v>
          </cell>
          <cell r="C7296" t="str">
            <v>+ Dầu biến áp</v>
          </cell>
          <cell r="D7296" t="str">
            <v>kg</v>
          </cell>
          <cell r="E7296">
            <v>2</v>
          </cell>
          <cell r="F7296">
            <v>0</v>
          </cell>
          <cell r="G7296">
            <v>0</v>
          </cell>
        </row>
        <row r="7297">
          <cell r="B7297">
            <v>137</v>
          </cell>
          <cell r="C7297" t="str">
            <v>Vật liệu khác</v>
          </cell>
          <cell r="D7297" t="str">
            <v>%</v>
          </cell>
          <cell r="E7297">
            <v>5</v>
          </cell>
          <cell r="F7297">
            <v>1500</v>
          </cell>
          <cell r="G7297">
            <v>18155</v>
          </cell>
        </row>
        <row r="7298">
          <cell r="C7298" t="str">
            <v>Nhân công</v>
          </cell>
          <cell r="G7298">
            <v>1872212.4918421053</v>
          </cell>
        </row>
        <row r="7299">
          <cell r="B7299" t="str">
            <v>NC1457</v>
          </cell>
          <cell r="C7299" t="str">
            <v>+ Nhân công bậc 4,5/7</v>
          </cell>
          <cell r="D7299" t="str">
            <v>Công</v>
          </cell>
          <cell r="E7299">
            <v>8.84</v>
          </cell>
          <cell r="F7299">
            <v>211788.74342105264</v>
          </cell>
          <cell r="G7299">
            <v>1872212.4918421053</v>
          </cell>
        </row>
        <row r="7300">
          <cell r="A7300" t="str">
            <v>D4.4235</v>
          </cell>
          <cell r="C7300" t="str">
            <v>Làm hộp nối cáp dầu điện áp 3-6KV, Cáp có tiết diện &lt;=240mm2</v>
          </cell>
          <cell r="D7300" t="str">
            <v>1 hộp nối</v>
          </cell>
          <cell r="H7300">
            <v>437010</v>
          </cell>
          <cell r="I7300">
            <v>2073411.7980921052</v>
          </cell>
        </row>
        <row r="7301">
          <cell r="C7301" t="str">
            <v>Vật liệu</v>
          </cell>
          <cell r="G7301">
            <v>437010</v>
          </cell>
        </row>
        <row r="7302">
          <cell r="B7302">
            <v>133</v>
          </cell>
          <cell r="C7302" t="str">
            <v>+ Hộp nối cáp loại 240mm2</v>
          </cell>
          <cell r="D7302" t="str">
            <v>hộp</v>
          </cell>
          <cell r="E7302">
            <v>1</v>
          </cell>
          <cell r="F7302">
            <v>0</v>
          </cell>
          <cell r="G7302">
            <v>0</v>
          </cell>
        </row>
        <row r="7303">
          <cell r="B7303">
            <v>25</v>
          </cell>
          <cell r="C7303" t="str">
            <v>+ Băng cách điện</v>
          </cell>
          <cell r="D7303" t="str">
            <v>cuộn</v>
          </cell>
          <cell r="E7303">
            <v>3</v>
          </cell>
          <cell r="F7303">
            <v>8000</v>
          </cell>
          <cell r="G7303">
            <v>24000</v>
          </cell>
        </row>
        <row r="7304">
          <cell r="B7304">
            <v>20</v>
          </cell>
          <cell r="C7304" t="str">
            <v>+ Thiếc hàn</v>
          </cell>
          <cell r="D7304" t="str">
            <v>kg</v>
          </cell>
          <cell r="E7304">
            <v>0.5</v>
          </cell>
          <cell r="F7304">
            <v>80000</v>
          </cell>
          <cell r="G7304">
            <v>40000</v>
          </cell>
        </row>
        <row r="7305">
          <cell r="B7305">
            <v>21</v>
          </cell>
          <cell r="C7305" t="str">
            <v>+ Nhựa thông</v>
          </cell>
          <cell r="D7305" t="str">
            <v>kg</v>
          </cell>
          <cell r="E7305">
            <v>0.05</v>
          </cell>
          <cell r="F7305">
            <v>27000</v>
          </cell>
          <cell r="G7305">
            <v>1350</v>
          </cell>
        </row>
        <row r="7306">
          <cell r="B7306">
            <v>33</v>
          </cell>
          <cell r="C7306" t="str">
            <v>+ Ma tít</v>
          </cell>
          <cell r="D7306" t="str">
            <v>kg</v>
          </cell>
          <cell r="E7306">
            <v>0.5</v>
          </cell>
          <cell r="F7306">
            <v>17300</v>
          </cell>
          <cell r="G7306">
            <v>8650</v>
          </cell>
        </row>
        <row r="7307">
          <cell r="B7307">
            <v>71</v>
          </cell>
          <cell r="C7307" t="str">
            <v>+ Củi đun</v>
          </cell>
          <cell r="D7307" t="str">
            <v>kg</v>
          </cell>
          <cell r="E7307">
            <v>17</v>
          </cell>
          <cell r="F7307">
            <v>1800</v>
          </cell>
          <cell r="G7307">
            <v>30600</v>
          </cell>
        </row>
        <row r="7308">
          <cell r="B7308">
            <v>1</v>
          </cell>
          <cell r="C7308" t="str">
            <v>+ Cồn công nghiệp</v>
          </cell>
          <cell r="D7308" t="str">
            <v>kg</v>
          </cell>
          <cell r="E7308">
            <v>1.2</v>
          </cell>
          <cell r="F7308">
            <v>9500</v>
          </cell>
          <cell r="G7308">
            <v>11400</v>
          </cell>
        </row>
        <row r="7309">
          <cell r="B7309">
            <v>9</v>
          </cell>
          <cell r="C7309" t="str">
            <v>+ Giẻ lau</v>
          </cell>
          <cell r="D7309" t="str">
            <v>Kg</v>
          </cell>
          <cell r="E7309">
            <v>0.7</v>
          </cell>
          <cell r="F7309">
            <v>9500</v>
          </cell>
          <cell r="G7309">
            <v>6650</v>
          </cell>
        </row>
        <row r="7310">
          <cell r="B7310">
            <v>35</v>
          </cell>
          <cell r="C7310" t="str">
            <v>+ Chất cách điện</v>
          </cell>
          <cell r="D7310" t="str">
            <v>kg</v>
          </cell>
          <cell r="E7310">
            <v>19</v>
          </cell>
          <cell r="F7310">
            <v>15450</v>
          </cell>
          <cell r="G7310">
            <v>293550</v>
          </cell>
        </row>
        <row r="7311">
          <cell r="B7311">
            <v>34</v>
          </cell>
          <cell r="C7311" t="str">
            <v>+ Dầu biến áp</v>
          </cell>
          <cell r="D7311" t="str">
            <v>kg</v>
          </cell>
          <cell r="E7311">
            <v>2</v>
          </cell>
          <cell r="F7311">
            <v>0</v>
          </cell>
          <cell r="G7311">
            <v>0</v>
          </cell>
        </row>
        <row r="7312">
          <cell r="B7312">
            <v>137</v>
          </cell>
          <cell r="C7312" t="str">
            <v>Vật liệu khác</v>
          </cell>
          <cell r="D7312" t="str">
            <v>%</v>
          </cell>
          <cell r="E7312">
            <v>5</v>
          </cell>
          <cell r="F7312">
            <v>1500</v>
          </cell>
          <cell r="G7312">
            <v>20810</v>
          </cell>
        </row>
        <row r="7313">
          <cell r="C7313" t="str">
            <v>Nhân công</v>
          </cell>
          <cell r="G7313">
            <v>2073411.7980921052</v>
          </cell>
        </row>
        <row r="7314">
          <cell r="B7314" t="str">
            <v>NC1457</v>
          </cell>
          <cell r="C7314" t="str">
            <v>+ Nhân công bậc 4,5/7</v>
          </cell>
          <cell r="D7314" t="str">
            <v>Công</v>
          </cell>
          <cell r="E7314">
            <v>9.7899999999999991</v>
          </cell>
          <cell r="F7314">
            <v>211788.74342105264</v>
          </cell>
          <cell r="G7314">
            <v>2073411.7980921052</v>
          </cell>
        </row>
        <row r="7315">
          <cell r="A7315" t="str">
            <v>D4.4236</v>
          </cell>
          <cell r="C7315" t="str">
            <v>Làm hộp nối cáp dầu điện áp 3-6KV, Cáp có tiết diện &lt;=300mm2</v>
          </cell>
          <cell r="D7315" t="str">
            <v>1 hộp nối</v>
          </cell>
          <cell r="H7315">
            <v>438826.5</v>
          </cell>
          <cell r="I7315">
            <v>2274611.1043421053</v>
          </cell>
        </row>
        <row r="7316">
          <cell r="C7316" t="str">
            <v>Vật liệu</v>
          </cell>
          <cell r="G7316">
            <v>438826.5</v>
          </cell>
        </row>
        <row r="7317">
          <cell r="B7317">
            <v>134</v>
          </cell>
          <cell r="C7317" t="str">
            <v>+ Hộp nối cáp loại 300mm2</v>
          </cell>
          <cell r="D7317" t="str">
            <v>hộp</v>
          </cell>
          <cell r="E7317">
            <v>1</v>
          </cell>
          <cell r="F7317">
            <v>0</v>
          </cell>
          <cell r="G7317">
            <v>0</v>
          </cell>
        </row>
        <row r="7318">
          <cell r="B7318">
            <v>25</v>
          </cell>
          <cell r="C7318" t="str">
            <v>+ Băng cách điện</v>
          </cell>
          <cell r="D7318" t="str">
            <v>cuộn</v>
          </cell>
          <cell r="E7318">
            <v>3</v>
          </cell>
          <cell r="F7318">
            <v>8000</v>
          </cell>
          <cell r="G7318">
            <v>24000</v>
          </cell>
        </row>
        <row r="7319">
          <cell r="B7319">
            <v>20</v>
          </cell>
          <cell r="C7319" t="str">
            <v>+ Thiếc hàn</v>
          </cell>
          <cell r="D7319" t="str">
            <v>kg</v>
          </cell>
          <cell r="E7319">
            <v>0.5</v>
          </cell>
          <cell r="F7319">
            <v>80000</v>
          </cell>
          <cell r="G7319">
            <v>40000</v>
          </cell>
        </row>
        <row r="7320">
          <cell r="B7320">
            <v>21</v>
          </cell>
          <cell r="C7320" t="str">
            <v>+ Nhựa thông</v>
          </cell>
          <cell r="D7320" t="str">
            <v>kg</v>
          </cell>
          <cell r="E7320">
            <v>0.05</v>
          </cell>
          <cell r="F7320">
            <v>27000</v>
          </cell>
          <cell r="G7320">
            <v>1350</v>
          </cell>
        </row>
        <row r="7321">
          <cell r="B7321">
            <v>33</v>
          </cell>
          <cell r="C7321" t="str">
            <v>+ Ma tít</v>
          </cell>
          <cell r="D7321" t="str">
            <v>kg</v>
          </cell>
          <cell r="E7321">
            <v>0.6</v>
          </cell>
          <cell r="F7321">
            <v>17300</v>
          </cell>
          <cell r="G7321">
            <v>10380</v>
          </cell>
        </row>
        <row r="7322">
          <cell r="B7322">
            <v>71</v>
          </cell>
          <cell r="C7322" t="str">
            <v>+ Củi đun</v>
          </cell>
          <cell r="D7322" t="str">
            <v>kg</v>
          </cell>
          <cell r="E7322">
            <v>17</v>
          </cell>
          <cell r="F7322">
            <v>1800</v>
          </cell>
          <cell r="G7322">
            <v>30600</v>
          </cell>
        </row>
        <row r="7323">
          <cell r="B7323">
            <v>1</v>
          </cell>
          <cell r="C7323" t="str">
            <v>+ Cồn công nghiệp</v>
          </cell>
          <cell r="D7323" t="str">
            <v>kg</v>
          </cell>
          <cell r="E7323">
            <v>1.2</v>
          </cell>
          <cell r="F7323">
            <v>9500</v>
          </cell>
          <cell r="G7323">
            <v>11400</v>
          </cell>
        </row>
        <row r="7324">
          <cell r="B7324">
            <v>9</v>
          </cell>
          <cell r="C7324" t="str">
            <v>+ Giẻ lau</v>
          </cell>
          <cell r="D7324" t="str">
            <v>Kg</v>
          </cell>
          <cell r="E7324">
            <v>0.7</v>
          </cell>
          <cell r="F7324">
            <v>9500</v>
          </cell>
          <cell r="G7324">
            <v>6650</v>
          </cell>
        </row>
        <row r="7325">
          <cell r="B7325">
            <v>35</v>
          </cell>
          <cell r="C7325" t="str">
            <v>+ Chất cách điện</v>
          </cell>
          <cell r="D7325" t="str">
            <v>kg</v>
          </cell>
          <cell r="E7325">
            <v>19</v>
          </cell>
          <cell r="F7325">
            <v>15450</v>
          </cell>
          <cell r="G7325">
            <v>293550</v>
          </cell>
        </row>
        <row r="7326">
          <cell r="B7326">
            <v>34</v>
          </cell>
          <cell r="C7326" t="str">
            <v>+ Dầu biến áp</v>
          </cell>
          <cell r="D7326" t="str">
            <v>kg</v>
          </cell>
          <cell r="E7326">
            <v>2</v>
          </cell>
          <cell r="F7326">
            <v>0</v>
          </cell>
          <cell r="G7326">
            <v>0</v>
          </cell>
        </row>
        <row r="7327">
          <cell r="B7327">
            <v>137</v>
          </cell>
          <cell r="C7327" t="str">
            <v>Vật liệu khác</v>
          </cell>
          <cell r="D7327" t="str">
            <v>%</v>
          </cell>
          <cell r="E7327">
            <v>5</v>
          </cell>
          <cell r="F7327">
            <v>1500</v>
          </cell>
          <cell r="G7327">
            <v>20896.5</v>
          </cell>
        </row>
        <row r="7328">
          <cell r="C7328" t="str">
            <v>Nhân công</v>
          </cell>
          <cell r="G7328">
            <v>2274611.1043421053</v>
          </cell>
        </row>
        <row r="7329">
          <cell r="B7329" t="str">
            <v>NC1457</v>
          </cell>
          <cell r="C7329" t="str">
            <v>+ Nhân công bậc 4,5/7</v>
          </cell>
          <cell r="D7329" t="str">
            <v>Công</v>
          </cell>
          <cell r="E7329">
            <v>10.74</v>
          </cell>
          <cell r="F7329">
            <v>211788.74342105264</v>
          </cell>
          <cell r="G7329">
            <v>2274611.1043421053</v>
          </cell>
        </row>
        <row r="7330">
          <cell r="A7330" t="str">
            <v>D4.4237</v>
          </cell>
          <cell r="C7330" t="str">
            <v>Làm hộp nối cáp dầu điện áp 3-6KV, Cáp có tiết diện &lt;=400mm2</v>
          </cell>
          <cell r="D7330" t="str">
            <v>1 hộp nối</v>
          </cell>
          <cell r="H7330">
            <v>526591.80000000005</v>
          </cell>
          <cell r="I7330">
            <v>2727839.0152631584</v>
          </cell>
        </row>
        <row r="7331">
          <cell r="C7331" t="str">
            <v>Vật liệu</v>
          </cell>
          <cell r="G7331">
            <v>526591.80000000005</v>
          </cell>
        </row>
        <row r="7332">
          <cell r="B7332">
            <v>135</v>
          </cell>
          <cell r="C7332" t="str">
            <v>+ Hộp nối cáp loại 400mm2</v>
          </cell>
          <cell r="D7332" t="str">
            <v>hộp</v>
          </cell>
          <cell r="E7332">
            <v>1</v>
          </cell>
          <cell r="F7332">
            <v>0</v>
          </cell>
          <cell r="G7332">
            <v>0</v>
          </cell>
        </row>
        <row r="7333">
          <cell r="B7333">
            <v>25</v>
          </cell>
          <cell r="C7333" t="str">
            <v>+ Băng cách điện</v>
          </cell>
          <cell r="D7333" t="str">
            <v>cuộn</v>
          </cell>
          <cell r="E7333">
            <v>3.6</v>
          </cell>
          <cell r="F7333">
            <v>8000</v>
          </cell>
          <cell r="G7333">
            <v>28800</v>
          </cell>
        </row>
        <row r="7334">
          <cell r="B7334">
            <v>20</v>
          </cell>
          <cell r="C7334" t="str">
            <v>+ Thiếc hàn</v>
          </cell>
          <cell r="D7334" t="str">
            <v>kg</v>
          </cell>
          <cell r="E7334">
            <v>0.6</v>
          </cell>
          <cell r="F7334">
            <v>80000</v>
          </cell>
          <cell r="G7334">
            <v>48000</v>
          </cell>
        </row>
        <row r="7335">
          <cell r="B7335">
            <v>21</v>
          </cell>
          <cell r="C7335" t="str">
            <v>+ Nhựa thông</v>
          </cell>
          <cell r="D7335" t="str">
            <v>kg</v>
          </cell>
          <cell r="E7335">
            <v>0.06</v>
          </cell>
          <cell r="F7335">
            <v>27000</v>
          </cell>
          <cell r="G7335">
            <v>1620</v>
          </cell>
        </row>
        <row r="7336">
          <cell r="B7336">
            <v>33</v>
          </cell>
          <cell r="C7336" t="str">
            <v>+ Ma tít</v>
          </cell>
          <cell r="D7336" t="str">
            <v>kg</v>
          </cell>
          <cell r="E7336">
            <v>0.72</v>
          </cell>
          <cell r="F7336">
            <v>17300</v>
          </cell>
          <cell r="G7336">
            <v>12456</v>
          </cell>
        </row>
        <row r="7337">
          <cell r="B7337">
            <v>71</v>
          </cell>
          <cell r="C7337" t="str">
            <v>+ Củi đun</v>
          </cell>
          <cell r="D7337" t="str">
            <v>kg</v>
          </cell>
          <cell r="E7337">
            <v>20.399999999999999</v>
          </cell>
          <cell r="F7337">
            <v>1800</v>
          </cell>
          <cell r="G7337">
            <v>36720</v>
          </cell>
        </row>
        <row r="7338">
          <cell r="B7338">
            <v>1</v>
          </cell>
          <cell r="C7338" t="str">
            <v>+ Cồn công nghiệp</v>
          </cell>
          <cell r="D7338" t="str">
            <v>kg</v>
          </cell>
          <cell r="E7338">
            <v>1.44</v>
          </cell>
          <cell r="F7338">
            <v>9500</v>
          </cell>
          <cell r="G7338">
            <v>13680</v>
          </cell>
        </row>
        <row r="7339">
          <cell r="B7339">
            <v>9</v>
          </cell>
          <cell r="C7339" t="str">
            <v>+ Giẻ lau</v>
          </cell>
          <cell r="D7339" t="str">
            <v>Kg</v>
          </cell>
          <cell r="E7339">
            <v>0.84</v>
          </cell>
          <cell r="F7339">
            <v>9500</v>
          </cell>
          <cell r="G7339">
            <v>7980</v>
          </cell>
        </row>
        <row r="7340">
          <cell r="B7340">
            <v>35</v>
          </cell>
          <cell r="C7340" t="str">
            <v>+ Chất cách điện</v>
          </cell>
          <cell r="D7340" t="str">
            <v>kg</v>
          </cell>
          <cell r="E7340">
            <v>22.8</v>
          </cell>
          <cell r="F7340">
            <v>15450</v>
          </cell>
          <cell r="G7340">
            <v>352260</v>
          </cell>
        </row>
        <row r="7341">
          <cell r="B7341">
            <v>34</v>
          </cell>
          <cell r="C7341" t="str">
            <v>+ Dầu biến áp</v>
          </cell>
          <cell r="D7341" t="str">
            <v>kg</v>
          </cell>
          <cell r="E7341">
            <v>2</v>
          </cell>
          <cell r="F7341">
            <v>0</v>
          </cell>
          <cell r="G7341">
            <v>0</v>
          </cell>
        </row>
        <row r="7342">
          <cell r="B7342">
            <v>137</v>
          </cell>
          <cell r="C7342" t="str">
            <v>Vật liệu khác</v>
          </cell>
          <cell r="D7342" t="str">
            <v>%</v>
          </cell>
          <cell r="E7342">
            <v>5</v>
          </cell>
          <cell r="F7342">
            <v>1500</v>
          </cell>
          <cell r="G7342">
            <v>25075.800000000003</v>
          </cell>
        </row>
        <row r="7343">
          <cell r="C7343" t="str">
            <v>Nhân công</v>
          </cell>
          <cell r="G7343">
            <v>2727839.0152631584</v>
          </cell>
        </row>
        <row r="7344">
          <cell r="B7344" t="str">
            <v>NC1457</v>
          </cell>
          <cell r="C7344" t="str">
            <v>+ Nhân công bậc 4,5/7</v>
          </cell>
          <cell r="D7344" t="str">
            <v>Công</v>
          </cell>
          <cell r="E7344">
            <v>12.88</v>
          </cell>
          <cell r="F7344">
            <v>211788.74342105264</v>
          </cell>
          <cell r="G7344">
            <v>2727839.0152631584</v>
          </cell>
        </row>
        <row r="7345">
          <cell r="A7345" t="str">
            <v>D4.4241</v>
          </cell>
          <cell r="C7345" t="str">
            <v>Làm hộp nối cáp dầu điện áp 10-15KV, Cáp có tiết diện &lt;=35mm2</v>
          </cell>
          <cell r="D7345" t="str">
            <v>1 hộp nối</v>
          </cell>
          <cell r="H7345">
            <v>278743.5</v>
          </cell>
          <cell r="I7345">
            <v>1389334.1568421053</v>
          </cell>
        </row>
        <row r="7346">
          <cell r="C7346" t="str">
            <v>Vật liệu</v>
          </cell>
          <cell r="G7346">
            <v>278743.5</v>
          </cell>
        </row>
        <row r="7347">
          <cell r="B7347">
            <v>129</v>
          </cell>
          <cell r="C7347" t="str">
            <v>+ Hộp nối cáp loại 35mm2</v>
          </cell>
          <cell r="D7347" t="str">
            <v>hộp</v>
          </cell>
          <cell r="E7347">
            <v>1</v>
          </cell>
          <cell r="F7347">
            <v>0</v>
          </cell>
          <cell r="G7347">
            <v>0</v>
          </cell>
        </row>
        <row r="7348">
          <cell r="B7348">
            <v>25</v>
          </cell>
          <cell r="C7348" t="str">
            <v>+ Băng cách điện</v>
          </cell>
          <cell r="D7348" t="str">
            <v>cuộn</v>
          </cell>
          <cell r="E7348">
            <v>2</v>
          </cell>
          <cell r="F7348">
            <v>8000</v>
          </cell>
          <cell r="G7348">
            <v>16000</v>
          </cell>
        </row>
        <row r="7349">
          <cell r="B7349">
            <v>20</v>
          </cell>
          <cell r="C7349" t="str">
            <v>+ Thiếc hàn</v>
          </cell>
          <cell r="D7349" t="str">
            <v>kg</v>
          </cell>
          <cell r="E7349">
            <v>0.4</v>
          </cell>
          <cell r="F7349">
            <v>80000</v>
          </cell>
          <cell r="G7349">
            <v>32000</v>
          </cell>
        </row>
        <row r="7350">
          <cell r="B7350">
            <v>21</v>
          </cell>
          <cell r="C7350" t="str">
            <v>+ Nhựa thông</v>
          </cell>
          <cell r="D7350" t="str">
            <v>kg</v>
          </cell>
          <cell r="E7350">
            <v>0.04</v>
          </cell>
          <cell r="F7350">
            <v>27000</v>
          </cell>
          <cell r="G7350">
            <v>1080</v>
          </cell>
        </row>
        <row r="7351">
          <cell r="B7351">
            <v>33</v>
          </cell>
          <cell r="C7351" t="str">
            <v>+ Ma tít</v>
          </cell>
          <cell r="D7351" t="str">
            <v>kg</v>
          </cell>
          <cell r="E7351">
            <v>0.3</v>
          </cell>
          <cell r="F7351">
            <v>17300</v>
          </cell>
          <cell r="G7351">
            <v>5190</v>
          </cell>
        </row>
        <row r="7352">
          <cell r="B7352">
            <v>71</v>
          </cell>
          <cell r="C7352" t="str">
            <v>+ Củi đun</v>
          </cell>
          <cell r="D7352" t="str">
            <v>kg</v>
          </cell>
          <cell r="E7352">
            <v>15</v>
          </cell>
          <cell r="F7352">
            <v>1800</v>
          </cell>
          <cell r="G7352">
            <v>27000</v>
          </cell>
        </row>
        <row r="7353">
          <cell r="B7353">
            <v>1</v>
          </cell>
          <cell r="C7353" t="str">
            <v>+ Cồn công nghiệp</v>
          </cell>
          <cell r="D7353" t="str">
            <v>kg</v>
          </cell>
          <cell r="E7353">
            <v>1</v>
          </cell>
          <cell r="F7353">
            <v>9500</v>
          </cell>
          <cell r="G7353">
            <v>9500</v>
          </cell>
        </row>
        <row r="7354">
          <cell r="B7354">
            <v>9</v>
          </cell>
          <cell r="C7354" t="str">
            <v>+ Giẻ lau</v>
          </cell>
          <cell r="D7354" t="str">
            <v>Kg</v>
          </cell>
          <cell r="E7354">
            <v>0.5</v>
          </cell>
          <cell r="F7354">
            <v>9500</v>
          </cell>
          <cell r="G7354">
            <v>4750</v>
          </cell>
        </row>
        <row r="7355">
          <cell r="B7355">
            <v>35</v>
          </cell>
          <cell r="C7355" t="str">
            <v>+ Chất cách điện</v>
          </cell>
          <cell r="D7355" t="str">
            <v>kg</v>
          </cell>
          <cell r="E7355">
            <v>11</v>
          </cell>
          <cell r="F7355">
            <v>15450</v>
          </cell>
          <cell r="G7355">
            <v>169950</v>
          </cell>
        </row>
        <row r="7356">
          <cell r="B7356">
            <v>34</v>
          </cell>
          <cell r="C7356" t="str">
            <v>+ Dầu biến áp</v>
          </cell>
          <cell r="D7356" t="str">
            <v>kg</v>
          </cell>
          <cell r="E7356">
            <v>2</v>
          </cell>
          <cell r="F7356">
            <v>0</v>
          </cell>
          <cell r="G7356">
            <v>0</v>
          </cell>
        </row>
        <row r="7357">
          <cell r="B7357">
            <v>137</v>
          </cell>
          <cell r="C7357" t="str">
            <v>Vật liệu khác</v>
          </cell>
          <cell r="D7357" t="str">
            <v>%</v>
          </cell>
          <cell r="E7357">
            <v>5</v>
          </cell>
          <cell r="F7357">
            <v>1500</v>
          </cell>
          <cell r="G7357">
            <v>13273.5</v>
          </cell>
        </row>
        <row r="7358">
          <cell r="C7358" t="str">
            <v>Nhân công</v>
          </cell>
          <cell r="G7358">
            <v>1389334.1568421053</v>
          </cell>
        </row>
        <row r="7359">
          <cell r="B7359" t="str">
            <v>NC1457</v>
          </cell>
          <cell r="C7359" t="str">
            <v>+ Nhân công bậc 4,5/7</v>
          </cell>
          <cell r="D7359" t="str">
            <v>Công</v>
          </cell>
          <cell r="E7359">
            <v>6.56</v>
          </cell>
          <cell r="F7359">
            <v>211788.74342105264</v>
          </cell>
          <cell r="G7359">
            <v>1389334.1568421053</v>
          </cell>
        </row>
        <row r="7360">
          <cell r="A7360" t="str">
            <v>D4.4242</v>
          </cell>
          <cell r="C7360" t="str">
            <v>Làm hộp nối cáp dầu điện áp 10-15KV, Cáp có tiết diện &lt;=70mm2</v>
          </cell>
          <cell r="D7360" t="str">
            <v>1 hộp nối</v>
          </cell>
          <cell r="H7360">
            <v>278743.5</v>
          </cell>
          <cell r="I7360">
            <v>1539704.1646710527</v>
          </cell>
        </row>
        <row r="7361">
          <cell r="C7361" t="str">
            <v>Vật liệu</v>
          </cell>
          <cell r="G7361">
            <v>278743.5</v>
          </cell>
        </row>
        <row r="7362">
          <cell r="B7362">
            <v>130</v>
          </cell>
          <cell r="C7362" t="str">
            <v>+ Hộp nối cáp loại 70mm2</v>
          </cell>
          <cell r="D7362" t="str">
            <v>hộp</v>
          </cell>
          <cell r="E7362">
            <v>1</v>
          </cell>
          <cell r="F7362">
            <v>0</v>
          </cell>
          <cell r="G7362">
            <v>0</v>
          </cell>
        </row>
        <row r="7363">
          <cell r="B7363">
            <v>25</v>
          </cell>
          <cell r="C7363" t="str">
            <v>+ Băng cách điện</v>
          </cell>
          <cell r="D7363" t="str">
            <v>cuộn</v>
          </cell>
          <cell r="E7363">
            <v>2</v>
          </cell>
          <cell r="F7363">
            <v>8000</v>
          </cell>
          <cell r="G7363">
            <v>16000</v>
          </cell>
        </row>
        <row r="7364">
          <cell r="B7364">
            <v>20</v>
          </cell>
          <cell r="C7364" t="str">
            <v>+ Thiếc hàn</v>
          </cell>
          <cell r="D7364" t="str">
            <v>kg</v>
          </cell>
          <cell r="E7364">
            <v>0.4</v>
          </cell>
          <cell r="F7364">
            <v>80000</v>
          </cell>
          <cell r="G7364">
            <v>32000</v>
          </cell>
        </row>
        <row r="7365">
          <cell r="B7365">
            <v>21</v>
          </cell>
          <cell r="C7365" t="str">
            <v>+ Nhựa thông</v>
          </cell>
          <cell r="D7365" t="str">
            <v>kg</v>
          </cell>
          <cell r="E7365">
            <v>0.04</v>
          </cell>
          <cell r="F7365">
            <v>27000</v>
          </cell>
          <cell r="G7365">
            <v>1080</v>
          </cell>
        </row>
        <row r="7366">
          <cell r="B7366">
            <v>33</v>
          </cell>
          <cell r="C7366" t="str">
            <v>+ Ma tít</v>
          </cell>
          <cell r="D7366" t="str">
            <v>kg</v>
          </cell>
          <cell r="E7366">
            <v>0.3</v>
          </cell>
          <cell r="F7366">
            <v>17300</v>
          </cell>
          <cell r="G7366">
            <v>5190</v>
          </cell>
        </row>
        <row r="7367">
          <cell r="B7367">
            <v>71</v>
          </cell>
          <cell r="C7367" t="str">
            <v>+ Củi đun</v>
          </cell>
          <cell r="D7367" t="str">
            <v>kg</v>
          </cell>
          <cell r="E7367">
            <v>15</v>
          </cell>
          <cell r="F7367">
            <v>1800</v>
          </cell>
          <cell r="G7367">
            <v>27000</v>
          </cell>
        </row>
        <row r="7368">
          <cell r="B7368">
            <v>1</v>
          </cell>
          <cell r="C7368" t="str">
            <v>+ Cồn công nghiệp</v>
          </cell>
          <cell r="D7368" t="str">
            <v>kg</v>
          </cell>
          <cell r="E7368">
            <v>1</v>
          </cell>
          <cell r="F7368">
            <v>9500</v>
          </cell>
          <cell r="G7368">
            <v>9500</v>
          </cell>
        </row>
        <row r="7369">
          <cell r="B7369">
            <v>9</v>
          </cell>
          <cell r="C7369" t="str">
            <v>+ Giẻ lau</v>
          </cell>
          <cell r="D7369" t="str">
            <v>Kg</v>
          </cell>
          <cell r="E7369">
            <v>0.5</v>
          </cell>
          <cell r="F7369">
            <v>9500</v>
          </cell>
          <cell r="G7369">
            <v>4750</v>
          </cell>
        </row>
        <row r="7370">
          <cell r="B7370">
            <v>35</v>
          </cell>
          <cell r="C7370" t="str">
            <v>+ Chất cách điện</v>
          </cell>
          <cell r="D7370" t="str">
            <v>kg</v>
          </cell>
          <cell r="E7370">
            <v>11</v>
          </cell>
          <cell r="F7370">
            <v>15450</v>
          </cell>
          <cell r="G7370">
            <v>169950</v>
          </cell>
        </row>
        <row r="7371">
          <cell r="B7371">
            <v>34</v>
          </cell>
          <cell r="C7371" t="str">
            <v>+ Dầu biến áp</v>
          </cell>
          <cell r="D7371" t="str">
            <v>kg</v>
          </cell>
          <cell r="E7371">
            <v>2</v>
          </cell>
          <cell r="F7371">
            <v>0</v>
          </cell>
          <cell r="G7371">
            <v>0</v>
          </cell>
        </row>
        <row r="7372">
          <cell r="B7372">
            <v>137</v>
          </cell>
          <cell r="C7372" t="str">
            <v>Vật liệu khác</v>
          </cell>
          <cell r="D7372" t="str">
            <v>%</v>
          </cell>
          <cell r="E7372">
            <v>5</v>
          </cell>
          <cell r="F7372">
            <v>1500</v>
          </cell>
          <cell r="G7372">
            <v>13273.5</v>
          </cell>
        </row>
        <row r="7373">
          <cell r="C7373" t="str">
            <v>Nhân công</v>
          </cell>
          <cell r="G7373">
            <v>1539704.1646710527</v>
          </cell>
        </row>
        <row r="7374">
          <cell r="B7374" t="str">
            <v>NC1457</v>
          </cell>
          <cell r="C7374" t="str">
            <v>+ Nhân công bậc 4,5/7</v>
          </cell>
          <cell r="D7374" t="str">
            <v>Công</v>
          </cell>
          <cell r="E7374">
            <v>7.27</v>
          </cell>
          <cell r="F7374">
            <v>211788.74342105264</v>
          </cell>
          <cell r="G7374">
            <v>1539704.1646710527</v>
          </cell>
        </row>
        <row r="7375">
          <cell r="A7375" t="str">
            <v>D4.4243</v>
          </cell>
          <cell r="C7375" t="str">
            <v>Làm hộp nối cáp dầu điện áp 10-15KV, Cáp có tiết diện &lt;=120mm2</v>
          </cell>
          <cell r="D7375" t="str">
            <v>1 hộp nối</v>
          </cell>
          <cell r="H7375">
            <v>368760</v>
          </cell>
          <cell r="I7375">
            <v>1690074.1725000001</v>
          </cell>
        </row>
        <row r="7376">
          <cell r="C7376" t="str">
            <v>Vật liệu</v>
          </cell>
          <cell r="G7376">
            <v>368760</v>
          </cell>
        </row>
        <row r="7377">
          <cell r="B7377">
            <v>131</v>
          </cell>
          <cell r="C7377" t="str">
            <v>+ Hộp nối cáp loại 120mm2</v>
          </cell>
          <cell r="D7377" t="str">
            <v>hộp</v>
          </cell>
          <cell r="E7377">
            <v>1</v>
          </cell>
          <cell r="F7377">
            <v>0</v>
          </cell>
          <cell r="G7377">
            <v>0</v>
          </cell>
        </row>
        <row r="7378">
          <cell r="B7378">
            <v>25</v>
          </cell>
          <cell r="C7378" t="str">
            <v>+ Băng cách điện</v>
          </cell>
          <cell r="D7378" t="str">
            <v>cuộn</v>
          </cell>
          <cell r="E7378">
            <v>2.5</v>
          </cell>
          <cell r="F7378">
            <v>8000</v>
          </cell>
          <cell r="G7378">
            <v>20000</v>
          </cell>
        </row>
        <row r="7379">
          <cell r="B7379">
            <v>20</v>
          </cell>
          <cell r="C7379" t="str">
            <v>+ Thiếc hàn</v>
          </cell>
          <cell r="D7379" t="str">
            <v>kg</v>
          </cell>
          <cell r="E7379">
            <v>0.4</v>
          </cell>
          <cell r="F7379">
            <v>80000</v>
          </cell>
          <cell r="G7379">
            <v>32000</v>
          </cell>
        </row>
        <row r="7380">
          <cell r="B7380">
            <v>21</v>
          </cell>
          <cell r="C7380" t="str">
            <v>+ Nhựa thông</v>
          </cell>
          <cell r="D7380" t="str">
            <v>kg</v>
          </cell>
          <cell r="E7380">
            <v>0.04</v>
          </cell>
          <cell r="F7380">
            <v>27000</v>
          </cell>
          <cell r="G7380">
            <v>1080</v>
          </cell>
        </row>
        <row r="7381">
          <cell r="B7381">
            <v>33</v>
          </cell>
          <cell r="C7381" t="str">
            <v>+ Ma tít</v>
          </cell>
          <cell r="D7381" t="str">
            <v>kg</v>
          </cell>
          <cell r="E7381">
            <v>0.4</v>
          </cell>
          <cell r="F7381">
            <v>17300</v>
          </cell>
          <cell r="G7381">
            <v>6920</v>
          </cell>
        </row>
        <row r="7382">
          <cell r="B7382">
            <v>71</v>
          </cell>
          <cell r="C7382" t="str">
            <v>+ Củi đun</v>
          </cell>
          <cell r="D7382" t="str">
            <v>kg</v>
          </cell>
          <cell r="E7382">
            <v>16</v>
          </cell>
          <cell r="F7382">
            <v>1800</v>
          </cell>
          <cell r="G7382">
            <v>28800</v>
          </cell>
        </row>
        <row r="7383">
          <cell r="B7383">
            <v>1</v>
          </cell>
          <cell r="C7383" t="str">
            <v>+ Cồn công nghiệp</v>
          </cell>
          <cell r="D7383" t="str">
            <v>kg</v>
          </cell>
          <cell r="E7383">
            <v>1</v>
          </cell>
          <cell r="F7383">
            <v>9500</v>
          </cell>
          <cell r="G7383">
            <v>9500</v>
          </cell>
        </row>
        <row r="7384">
          <cell r="B7384">
            <v>9</v>
          </cell>
          <cell r="C7384" t="str">
            <v>+ Giẻ lau</v>
          </cell>
          <cell r="D7384" t="str">
            <v>Kg</v>
          </cell>
          <cell r="E7384">
            <v>0.6</v>
          </cell>
          <cell r="F7384">
            <v>9500</v>
          </cell>
          <cell r="G7384">
            <v>5700</v>
          </cell>
        </row>
        <row r="7385">
          <cell r="B7385">
            <v>35</v>
          </cell>
          <cell r="C7385" t="str">
            <v>+ Chất cách điện</v>
          </cell>
          <cell r="D7385" t="str">
            <v>kg</v>
          </cell>
          <cell r="E7385">
            <v>16</v>
          </cell>
          <cell r="F7385">
            <v>15450</v>
          </cell>
          <cell r="G7385">
            <v>247200</v>
          </cell>
        </row>
        <row r="7386">
          <cell r="B7386">
            <v>34</v>
          </cell>
          <cell r="C7386" t="str">
            <v>+ Dầu biến áp</v>
          </cell>
          <cell r="D7386" t="str">
            <v>kg</v>
          </cell>
          <cell r="E7386">
            <v>2</v>
          </cell>
          <cell r="F7386">
            <v>0</v>
          </cell>
          <cell r="G7386">
            <v>0</v>
          </cell>
        </row>
        <row r="7387">
          <cell r="B7387">
            <v>137</v>
          </cell>
          <cell r="C7387" t="str">
            <v>Vật liệu khác</v>
          </cell>
          <cell r="D7387" t="str">
            <v>%</v>
          </cell>
          <cell r="E7387">
            <v>5</v>
          </cell>
          <cell r="F7387">
            <v>1500</v>
          </cell>
          <cell r="G7387">
            <v>17560</v>
          </cell>
        </row>
        <row r="7388">
          <cell r="C7388" t="str">
            <v>Nhân công</v>
          </cell>
          <cell r="G7388">
            <v>1690074.1725000001</v>
          </cell>
        </row>
        <row r="7389">
          <cell r="B7389" t="str">
            <v>NC1457</v>
          </cell>
          <cell r="C7389" t="str">
            <v>+ Nhân công bậc 4,5/7</v>
          </cell>
          <cell r="D7389" t="str">
            <v>Công</v>
          </cell>
          <cell r="E7389">
            <v>7.98</v>
          </cell>
          <cell r="F7389">
            <v>211788.74342105264</v>
          </cell>
          <cell r="G7389">
            <v>1690074.1725000001</v>
          </cell>
        </row>
        <row r="7390">
          <cell r="A7390" t="str">
            <v>D4.4244</v>
          </cell>
          <cell r="C7390" t="str">
            <v>Làm hộp nối cáp dầu điện áp 10-15KV, Cáp có tiết diện &lt;=185mm2</v>
          </cell>
          <cell r="D7390" t="str">
            <v>1 hộp nối</v>
          </cell>
          <cell r="H7390">
            <v>381255</v>
          </cell>
          <cell r="I7390">
            <v>1872212.4918421053</v>
          </cell>
        </row>
        <row r="7391">
          <cell r="C7391" t="str">
            <v>Vật liệu</v>
          </cell>
          <cell r="G7391">
            <v>381255</v>
          </cell>
        </row>
        <row r="7392">
          <cell r="B7392">
            <v>132</v>
          </cell>
          <cell r="C7392" t="str">
            <v>+ Hộp nối cáp loại 185mm2</v>
          </cell>
          <cell r="D7392" t="str">
            <v>hộp</v>
          </cell>
          <cell r="E7392">
            <v>1</v>
          </cell>
          <cell r="F7392">
            <v>0</v>
          </cell>
          <cell r="G7392">
            <v>0</v>
          </cell>
        </row>
        <row r="7393">
          <cell r="B7393">
            <v>25</v>
          </cell>
          <cell r="C7393" t="str">
            <v>+ Băng cách điện</v>
          </cell>
          <cell r="D7393" t="str">
            <v>cuộn</v>
          </cell>
          <cell r="E7393">
            <v>2.5</v>
          </cell>
          <cell r="F7393">
            <v>8000</v>
          </cell>
          <cell r="G7393">
            <v>20000</v>
          </cell>
        </row>
        <row r="7394">
          <cell r="B7394">
            <v>20</v>
          </cell>
          <cell r="C7394" t="str">
            <v>+ Thiếc hàn</v>
          </cell>
          <cell r="D7394" t="str">
            <v>kg</v>
          </cell>
          <cell r="E7394">
            <v>0.5</v>
          </cell>
          <cell r="F7394">
            <v>80000</v>
          </cell>
          <cell r="G7394">
            <v>40000</v>
          </cell>
        </row>
        <row r="7395">
          <cell r="B7395">
            <v>21</v>
          </cell>
          <cell r="C7395" t="str">
            <v>+ Nhựa thông</v>
          </cell>
          <cell r="D7395" t="str">
            <v>kg</v>
          </cell>
          <cell r="E7395">
            <v>0.05</v>
          </cell>
          <cell r="F7395">
            <v>27000</v>
          </cell>
          <cell r="G7395">
            <v>1350</v>
          </cell>
        </row>
        <row r="7396">
          <cell r="B7396">
            <v>33</v>
          </cell>
          <cell r="C7396" t="str">
            <v>+ Ma tít</v>
          </cell>
          <cell r="D7396" t="str">
            <v>kg</v>
          </cell>
          <cell r="E7396">
            <v>0.5</v>
          </cell>
          <cell r="F7396">
            <v>17300</v>
          </cell>
          <cell r="G7396">
            <v>8650</v>
          </cell>
        </row>
        <row r="7397">
          <cell r="B7397">
            <v>71</v>
          </cell>
          <cell r="C7397" t="str">
            <v>+ Củi đun</v>
          </cell>
          <cell r="D7397" t="str">
            <v>kg</v>
          </cell>
          <cell r="E7397">
            <v>16</v>
          </cell>
          <cell r="F7397">
            <v>1800</v>
          </cell>
          <cell r="G7397">
            <v>28800</v>
          </cell>
        </row>
        <row r="7398">
          <cell r="B7398">
            <v>1</v>
          </cell>
          <cell r="C7398" t="str">
            <v>+ Cồn công nghiệp</v>
          </cell>
          <cell r="D7398" t="str">
            <v>kg</v>
          </cell>
          <cell r="E7398">
            <v>1.2</v>
          </cell>
          <cell r="F7398">
            <v>9500</v>
          </cell>
          <cell r="G7398">
            <v>11400</v>
          </cell>
        </row>
        <row r="7399">
          <cell r="B7399">
            <v>9</v>
          </cell>
          <cell r="C7399" t="str">
            <v>+ Giẻ lau</v>
          </cell>
          <cell r="D7399" t="str">
            <v>Kg</v>
          </cell>
          <cell r="E7399">
            <v>0.6</v>
          </cell>
          <cell r="F7399">
            <v>9500</v>
          </cell>
          <cell r="G7399">
            <v>5700</v>
          </cell>
        </row>
        <row r="7400">
          <cell r="B7400">
            <v>35</v>
          </cell>
          <cell r="C7400" t="str">
            <v>+ Chất cách điện</v>
          </cell>
          <cell r="D7400" t="str">
            <v>kg</v>
          </cell>
          <cell r="E7400">
            <v>16</v>
          </cell>
          <cell r="F7400">
            <v>15450</v>
          </cell>
          <cell r="G7400">
            <v>247200</v>
          </cell>
        </row>
        <row r="7401">
          <cell r="B7401">
            <v>34</v>
          </cell>
          <cell r="C7401" t="str">
            <v>+ Dầu biến áp</v>
          </cell>
          <cell r="D7401" t="str">
            <v>kg</v>
          </cell>
          <cell r="E7401">
            <v>2</v>
          </cell>
          <cell r="F7401">
            <v>0</v>
          </cell>
          <cell r="G7401">
            <v>0</v>
          </cell>
        </row>
        <row r="7402">
          <cell r="B7402">
            <v>137</v>
          </cell>
          <cell r="C7402" t="str">
            <v>Vật liệu khác</v>
          </cell>
          <cell r="D7402" t="str">
            <v>%</v>
          </cell>
          <cell r="E7402">
            <v>5</v>
          </cell>
          <cell r="F7402">
            <v>1500</v>
          </cell>
          <cell r="G7402">
            <v>18155</v>
          </cell>
        </row>
        <row r="7403">
          <cell r="C7403" t="str">
            <v>Nhân công</v>
          </cell>
          <cell r="G7403">
            <v>1872212.4918421053</v>
          </cell>
        </row>
        <row r="7404">
          <cell r="B7404" t="str">
            <v>NC1457</v>
          </cell>
          <cell r="C7404" t="str">
            <v>+ Nhân công bậc 4,5/7</v>
          </cell>
          <cell r="D7404" t="str">
            <v>Công</v>
          </cell>
          <cell r="E7404">
            <v>8.84</v>
          </cell>
          <cell r="F7404">
            <v>211788.74342105264</v>
          </cell>
          <cell r="G7404">
            <v>1872212.4918421053</v>
          </cell>
        </row>
        <row r="7405">
          <cell r="A7405" t="str">
            <v>D4.4245</v>
          </cell>
          <cell r="C7405" t="str">
            <v>Làm hộp nối cáp dầu điện áp 10-15KV, Cáp có tiết diện &lt;=240mm2</v>
          </cell>
          <cell r="D7405" t="str">
            <v>1 hộp nối</v>
          </cell>
          <cell r="H7405">
            <v>437010</v>
          </cell>
          <cell r="I7405">
            <v>2073411.7980921052</v>
          </cell>
        </row>
        <row r="7406">
          <cell r="C7406" t="str">
            <v>Vật liệu</v>
          </cell>
          <cell r="G7406">
            <v>437010</v>
          </cell>
        </row>
        <row r="7407">
          <cell r="B7407">
            <v>133</v>
          </cell>
          <cell r="C7407" t="str">
            <v>+ Hộp nối cáp loại 240mm2</v>
          </cell>
          <cell r="D7407" t="str">
            <v>hộp</v>
          </cell>
          <cell r="E7407">
            <v>1</v>
          </cell>
          <cell r="F7407">
            <v>0</v>
          </cell>
          <cell r="G7407">
            <v>0</v>
          </cell>
        </row>
        <row r="7408">
          <cell r="B7408">
            <v>25</v>
          </cell>
          <cell r="C7408" t="str">
            <v>+ Băng cách điện</v>
          </cell>
          <cell r="D7408" t="str">
            <v>cuộn</v>
          </cell>
          <cell r="E7408">
            <v>3</v>
          </cell>
          <cell r="F7408">
            <v>8000</v>
          </cell>
          <cell r="G7408">
            <v>24000</v>
          </cell>
        </row>
        <row r="7409">
          <cell r="B7409">
            <v>20</v>
          </cell>
          <cell r="C7409" t="str">
            <v>+ Thiếc hàn</v>
          </cell>
          <cell r="D7409" t="str">
            <v>kg</v>
          </cell>
          <cell r="E7409">
            <v>0.5</v>
          </cell>
          <cell r="F7409">
            <v>80000</v>
          </cell>
          <cell r="G7409">
            <v>40000</v>
          </cell>
        </row>
        <row r="7410">
          <cell r="B7410">
            <v>21</v>
          </cell>
          <cell r="C7410" t="str">
            <v>+ Nhựa thông</v>
          </cell>
          <cell r="D7410" t="str">
            <v>kg</v>
          </cell>
          <cell r="E7410">
            <v>0.05</v>
          </cell>
          <cell r="F7410">
            <v>27000</v>
          </cell>
          <cell r="G7410">
            <v>1350</v>
          </cell>
        </row>
        <row r="7411">
          <cell r="B7411">
            <v>33</v>
          </cell>
          <cell r="C7411" t="str">
            <v>+ Ma tít</v>
          </cell>
          <cell r="D7411" t="str">
            <v>kg</v>
          </cell>
          <cell r="E7411">
            <v>0.5</v>
          </cell>
          <cell r="F7411">
            <v>17300</v>
          </cell>
          <cell r="G7411">
            <v>8650</v>
          </cell>
        </row>
        <row r="7412">
          <cell r="B7412">
            <v>71</v>
          </cell>
          <cell r="C7412" t="str">
            <v>+ Củi đun</v>
          </cell>
          <cell r="D7412" t="str">
            <v>kg</v>
          </cell>
          <cell r="E7412">
            <v>17</v>
          </cell>
          <cell r="F7412">
            <v>1800</v>
          </cell>
          <cell r="G7412">
            <v>30600</v>
          </cell>
        </row>
        <row r="7413">
          <cell r="B7413">
            <v>1</v>
          </cell>
          <cell r="C7413" t="str">
            <v>+ Cồn công nghiệp</v>
          </cell>
          <cell r="D7413" t="str">
            <v>kg</v>
          </cell>
          <cell r="E7413">
            <v>1.2</v>
          </cell>
          <cell r="F7413">
            <v>9500</v>
          </cell>
          <cell r="G7413">
            <v>11400</v>
          </cell>
        </row>
        <row r="7414">
          <cell r="B7414">
            <v>9</v>
          </cell>
          <cell r="C7414" t="str">
            <v>+ Giẻ lau</v>
          </cell>
          <cell r="D7414" t="str">
            <v>Kg</v>
          </cell>
          <cell r="E7414">
            <v>0.7</v>
          </cell>
          <cell r="F7414">
            <v>9500</v>
          </cell>
          <cell r="G7414">
            <v>6650</v>
          </cell>
        </row>
        <row r="7415">
          <cell r="B7415">
            <v>35</v>
          </cell>
          <cell r="C7415" t="str">
            <v>+ Chất cách điện</v>
          </cell>
          <cell r="D7415" t="str">
            <v>kg</v>
          </cell>
          <cell r="E7415">
            <v>19</v>
          </cell>
          <cell r="F7415">
            <v>15450</v>
          </cell>
          <cell r="G7415">
            <v>293550</v>
          </cell>
        </row>
        <row r="7416">
          <cell r="B7416">
            <v>34</v>
          </cell>
          <cell r="C7416" t="str">
            <v>+ Dầu biến áp</v>
          </cell>
          <cell r="D7416" t="str">
            <v>kg</v>
          </cell>
          <cell r="E7416">
            <v>2</v>
          </cell>
          <cell r="F7416">
            <v>0</v>
          </cell>
          <cell r="G7416">
            <v>0</v>
          </cell>
        </row>
        <row r="7417">
          <cell r="B7417">
            <v>137</v>
          </cell>
          <cell r="C7417" t="str">
            <v>Vật liệu khác</v>
          </cell>
          <cell r="D7417" t="str">
            <v>%</v>
          </cell>
          <cell r="E7417">
            <v>5</v>
          </cell>
          <cell r="F7417">
            <v>1500</v>
          </cell>
          <cell r="G7417">
            <v>20810</v>
          </cell>
        </row>
        <row r="7418">
          <cell r="C7418" t="str">
            <v>Nhân công</v>
          </cell>
          <cell r="G7418">
            <v>2073411.7980921052</v>
          </cell>
        </row>
        <row r="7419">
          <cell r="B7419" t="str">
            <v>NC1457</v>
          </cell>
          <cell r="C7419" t="str">
            <v>+ Nhân công bậc 4,5/7</v>
          </cell>
          <cell r="D7419" t="str">
            <v>Công</v>
          </cell>
          <cell r="E7419">
            <v>9.7899999999999991</v>
          </cell>
          <cell r="F7419">
            <v>211788.74342105264</v>
          </cell>
          <cell r="G7419">
            <v>2073411.7980921052</v>
          </cell>
        </row>
        <row r="7420">
          <cell r="A7420" t="str">
            <v>D4.4246</v>
          </cell>
          <cell r="C7420" t="str">
            <v>Làm hộp nối cáp dầu điện áp 10-15KV, Cáp có tiết diện &lt;=300mm2</v>
          </cell>
          <cell r="D7420" t="str">
            <v>1 hộp nối</v>
          </cell>
          <cell r="H7420">
            <v>438826.5</v>
          </cell>
          <cell r="I7420">
            <v>2274611.1043421053</v>
          </cell>
        </row>
        <row r="7421">
          <cell r="C7421" t="str">
            <v>Vật liệu</v>
          </cell>
          <cell r="G7421">
            <v>438826.5</v>
          </cell>
        </row>
        <row r="7422">
          <cell r="B7422">
            <v>134</v>
          </cell>
          <cell r="C7422" t="str">
            <v>+ Hộp nối cáp loại 300mm2</v>
          </cell>
          <cell r="D7422" t="str">
            <v>hộp</v>
          </cell>
          <cell r="E7422">
            <v>1</v>
          </cell>
          <cell r="F7422">
            <v>0</v>
          </cell>
          <cell r="G7422">
            <v>0</v>
          </cell>
        </row>
        <row r="7423">
          <cell r="B7423">
            <v>25</v>
          </cell>
          <cell r="C7423" t="str">
            <v>+ Băng cách điện</v>
          </cell>
          <cell r="D7423" t="str">
            <v>cuộn</v>
          </cell>
          <cell r="E7423">
            <v>3</v>
          </cell>
          <cell r="F7423">
            <v>8000</v>
          </cell>
          <cell r="G7423">
            <v>24000</v>
          </cell>
        </row>
        <row r="7424">
          <cell r="B7424">
            <v>20</v>
          </cell>
          <cell r="C7424" t="str">
            <v>+ Thiếc hàn</v>
          </cell>
          <cell r="D7424" t="str">
            <v>kg</v>
          </cell>
          <cell r="E7424">
            <v>0.5</v>
          </cell>
          <cell r="F7424">
            <v>80000</v>
          </cell>
          <cell r="G7424">
            <v>40000</v>
          </cell>
        </row>
        <row r="7425">
          <cell r="B7425">
            <v>21</v>
          </cell>
          <cell r="C7425" t="str">
            <v>+ Nhựa thông</v>
          </cell>
          <cell r="D7425" t="str">
            <v>kg</v>
          </cell>
          <cell r="E7425">
            <v>0.05</v>
          </cell>
          <cell r="F7425">
            <v>27000</v>
          </cell>
          <cell r="G7425">
            <v>1350</v>
          </cell>
        </row>
        <row r="7426">
          <cell r="B7426">
            <v>33</v>
          </cell>
          <cell r="C7426" t="str">
            <v>+ Ma tít</v>
          </cell>
          <cell r="D7426" t="str">
            <v>kg</v>
          </cell>
          <cell r="E7426">
            <v>0.6</v>
          </cell>
          <cell r="F7426">
            <v>17300</v>
          </cell>
          <cell r="G7426">
            <v>10380</v>
          </cell>
        </row>
        <row r="7427">
          <cell r="B7427">
            <v>71</v>
          </cell>
          <cell r="C7427" t="str">
            <v>+ Củi đun</v>
          </cell>
          <cell r="D7427" t="str">
            <v>kg</v>
          </cell>
          <cell r="E7427">
            <v>17</v>
          </cell>
          <cell r="F7427">
            <v>1800</v>
          </cell>
          <cell r="G7427">
            <v>30600</v>
          </cell>
        </row>
        <row r="7428">
          <cell r="B7428">
            <v>1</v>
          </cell>
          <cell r="C7428" t="str">
            <v>+ Cồn công nghiệp</v>
          </cell>
          <cell r="D7428" t="str">
            <v>kg</v>
          </cell>
          <cell r="E7428">
            <v>1.2</v>
          </cell>
          <cell r="F7428">
            <v>9500</v>
          </cell>
          <cell r="G7428">
            <v>11400</v>
          </cell>
        </row>
        <row r="7429">
          <cell r="B7429">
            <v>9</v>
          </cell>
          <cell r="C7429" t="str">
            <v>+ Giẻ lau</v>
          </cell>
          <cell r="D7429" t="str">
            <v>Kg</v>
          </cell>
          <cell r="E7429">
            <v>0.7</v>
          </cell>
          <cell r="F7429">
            <v>9500</v>
          </cell>
          <cell r="G7429">
            <v>6650</v>
          </cell>
        </row>
        <row r="7430">
          <cell r="B7430">
            <v>35</v>
          </cell>
          <cell r="C7430" t="str">
            <v>+ Chất cách điện</v>
          </cell>
          <cell r="D7430" t="str">
            <v>kg</v>
          </cell>
          <cell r="E7430">
            <v>19</v>
          </cell>
          <cell r="F7430">
            <v>15450</v>
          </cell>
          <cell r="G7430">
            <v>293550</v>
          </cell>
        </row>
        <row r="7431">
          <cell r="B7431">
            <v>34</v>
          </cell>
          <cell r="C7431" t="str">
            <v>+ Dầu biến áp</v>
          </cell>
          <cell r="D7431" t="str">
            <v>kg</v>
          </cell>
          <cell r="E7431">
            <v>2</v>
          </cell>
          <cell r="F7431">
            <v>0</v>
          </cell>
          <cell r="G7431">
            <v>0</v>
          </cell>
        </row>
        <row r="7432">
          <cell r="B7432">
            <v>137</v>
          </cell>
          <cell r="C7432" t="str">
            <v>Vật liệu khác</v>
          </cell>
          <cell r="D7432" t="str">
            <v>%</v>
          </cell>
          <cell r="E7432">
            <v>5</v>
          </cell>
          <cell r="F7432">
            <v>1500</v>
          </cell>
          <cell r="G7432">
            <v>20896.5</v>
          </cell>
        </row>
        <row r="7433">
          <cell r="C7433" t="str">
            <v>Nhân công</v>
          </cell>
          <cell r="G7433">
            <v>2274611.1043421053</v>
          </cell>
        </row>
        <row r="7434">
          <cell r="B7434" t="str">
            <v>NC1457</v>
          </cell>
          <cell r="C7434" t="str">
            <v>+ Nhân công bậc 4,5/7</v>
          </cell>
          <cell r="D7434" t="str">
            <v>Công</v>
          </cell>
          <cell r="E7434">
            <v>10.74</v>
          </cell>
          <cell r="F7434">
            <v>211788.74342105264</v>
          </cell>
          <cell r="G7434">
            <v>2274611.1043421053</v>
          </cell>
        </row>
        <row r="7435">
          <cell r="A7435" t="str">
            <v>D4.4247</v>
          </cell>
          <cell r="C7435" t="str">
            <v>Làm hộp nối cáp dầu điện áp 10-15KV, Cáp có tiết diện &lt;=400mm2</v>
          </cell>
          <cell r="D7435" t="str">
            <v>1 hộp nối</v>
          </cell>
          <cell r="H7435">
            <v>526591.80000000005</v>
          </cell>
          <cell r="I7435">
            <v>2727839.0152631584</v>
          </cell>
        </row>
        <row r="7436">
          <cell r="C7436" t="str">
            <v>Vật liệu</v>
          </cell>
          <cell r="G7436">
            <v>526591.80000000005</v>
          </cell>
        </row>
        <row r="7437">
          <cell r="B7437">
            <v>135</v>
          </cell>
          <cell r="C7437" t="str">
            <v>+ Hộp nối cáp loại 400mm2</v>
          </cell>
          <cell r="D7437" t="str">
            <v>hộp</v>
          </cell>
          <cell r="E7437">
            <v>1</v>
          </cell>
          <cell r="F7437">
            <v>0</v>
          </cell>
          <cell r="G7437">
            <v>0</v>
          </cell>
        </row>
        <row r="7438">
          <cell r="B7438">
            <v>25</v>
          </cell>
          <cell r="C7438" t="str">
            <v>+ Băng cách điện</v>
          </cell>
          <cell r="D7438" t="str">
            <v>cuộn</v>
          </cell>
          <cell r="E7438">
            <v>3.6</v>
          </cell>
          <cell r="F7438">
            <v>8000</v>
          </cell>
          <cell r="G7438">
            <v>28800</v>
          </cell>
        </row>
        <row r="7439">
          <cell r="B7439">
            <v>20</v>
          </cell>
          <cell r="C7439" t="str">
            <v>+ Thiếc hàn</v>
          </cell>
          <cell r="D7439" t="str">
            <v>kg</v>
          </cell>
          <cell r="E7439">
            <v>0.6</v>
          </cell>
          <cell r="F7439">
            <v>80000</v>
          </cell>
          <cell r="G7439">
            <v>48000</v>
          </cell>
        </row>
        <row r="7440">
          <cell r="B7440">
            <v>21</v>
          </cell>
          <cell r="C7440" t="str">
            <v>+ Nhựa thông</v>
          </cell>
          <cell r="D7440" t="str">
            <v>kg</v>
          </cell>
          <cell r="E7440">
            <v>0.06</v>
          </cell>
          <cell r="F7440">
            <v>27000</v>
          </cell>
          <cell r="G7440">
            <v>1620</v>
          </cell>
        </row>
        <row r="7441">
          <cell r="B7441">
            <v>33</v>
          </cell>
          <cell r="C7441" t="str">
            <v>+ Ma tít</v>
          </cell>
          <cell r="D7441" t="str">
            <v>kg</v>
          </cell>
          <cell r="E7441">
            <v>0.72</v>
          </cell>
          <cell r="F7441">
            <v>17300</v>
          </cell>
          <cell r="G7441">
            <v>12456</v>
          </cell>
        </row>
        <row r="7442">
          <cell r="B7442">
            <v>71</v>
          </cell>
          <cell r="C7442" t="str">
            <v>+ Củi đun</v>
          </cell>
          <cell r="D7442" t="str">
            <v>kg</v>
          </cell>
          <cell r="E7442">
            <v>20.399999999999999</v>
          </cell>
          <cell r="F7442">
            <v>1800</v>
          </cell>
          <cell r="G7442">
            <v>36720</v>
          </cell>
        </row>
        <row r="7443">
          <cell r="B7443">
            <v>1</v>
          </cell>
          <cell r="C7443" t="str">
            <v>+ Cồn công nghiệp</v>
          </cell>
          <cell r="D7443" t="str">
            <v>kg</v>
          </cell>
          <cell r="E7443">
            <v>1.44</v>
          </cell>
          <cell r="F7443">
            <v>9500</v>
          </cell>
          <cell r="G7443">
            <v>13680</v>
          </cell>
        </row>
        <row r="7444">
          <cell r="B7444">
            <v>9</v>
          </cell>
          <cell r="C7444" t="str">
            <v>+ Giẻ lau</v>
          </cell>
          <cell r="D7444" t="str">
            <v>Kg</v>
          </cell>
          <cell r="E7444">
            <v>0.84</v>
          </cell>
          <cell r="F7444">
            <v>9500</v>
          </cell>
          <cell r="G7444">
            <v>7980</v>
          </cell>
        </row>
        <row r="7445">
          <cell r="B7445">
            <v>35</v>
          </cell>
          <cell r="C7445" t="str">
            <v>+ Chất cách điện</v>
          </cell>
          <cell r="D7445" t="str">
            <v>kg</v>
          </cell>
          <cell r="E7445">
            <v>22.8</v>
          </cell>
          <cell r="F7445">
            <v>15450</v>
          </cell>
          <cell r="G7445">
            <v>352260</v>
          </cell>
        </row>
        <row r="7446">
          <cell r="B7446">
            <v>34</v>
          </cell>
          <cell r="C7446" t="str">
            <v>+ Dầu biến áp</v>
          </cell>
          <cell r="D7446" t="str">
            <v>kg</v>
          </cell>
          <cell r="E7446">
            <v>2</v>
          </cell>
          <cell r="F7446">
            <v>0</v>
          </cell>
          <cell r="G7446">
            <v>0</v>
          </cell>
        </row>
        <row r="7447">
          <cell r="B7447">
            <v>137</v>
          </cell>
          <cell r="C7447" t="str">
            <v>Vật liệu khác</v>
          </cell>
          <cell r="D7447" t="str">
            <v>%</v>
          </cell>
          <cell r="E7447">
            <v>5</v>
          </cell>
          <cell r="F7447">
            <v>1500</v>
          </cell>
          <cell r="G7447">
            <v>25075.800000000003</v>
          </cell>
        </row>
        <row r="7448">
          <cell r="C7448" t="str">
            <v>Nhân công</v>
          </cell>
          <cell r="G7448">
            <v>2727839.0152631584</v>
          </cell>
        </row>
        <row r="7449">
          <cell r="B7449" t="str">
            <v>NC1457</v>
          </cell>
          <cell r="C7449" t="str">
            <v>+ Nhân công bậc 4,5/7</v>
          </cell>
          <cell r="D7449" t="str">
            <v>Công</v>
          </cell>
          <cell r="E7449">
            <v>12.88</v>
          </cell>
          <cell r="F7449">
            <v>211788.74342105264</v>
          </cell>
          <cell r="G7449">
            <v>2727839.0152631584</v>
          </cell>
        </row>
        <row r="7450">
          <cell r="A7450" t="str">
            <v>D4.4311</v>
          </cell>
          <cell r="C7450" t="str">
            <v>Làm hộp nối cáp khô điện áp 22KV, Cáp có tiết diện &lt;=35mm2</v>
          </cell>
          <cell r="D7450" t="str">
            <v>1 hộp nối</v>
          </cell>
          <cell r="H7450">
            <v>17955</v>
          </cell>
          <cell r="I7450">
            <v>815386.66217105265</v>
          </cell>
        </row>
        <row r="7451">
          <cell r="C7451" t="str">
            <v>Vật liệu</v>
          </cell>
          <cell r="G7451">
            <v>17955</v>
          </cell>
        </row>
        <row r="7452">
          <cell r="B7452">
            <v>1</v>
          </cell>
          <cell r="C7452" t="str">
            <v>+ Cồn công nghiệp</v>
          </cell>
          <cell r="D7452" t="str">
            <v>kg</v>
          </cell>
          <cell r="E7452">
            <v>1.5</v>
          </cell>
          <cell r="F7452">
            <v>9500</v>
          </cell>
          <cell r="G7452">
            <v>14250</v>
          </cell>
        </row>
        <row r="7453">
          <cell r="B7453">
            <v>9</v>
          </cell>
          <cell r="C7453" t="str">
            <v>+ Giẻ lau</v>
          </cell>
          <cell r="D7453" t="str">
            <v>Kg</v>
          </cell>
          <cell r="E7453">
            <v>0.3</v>
          </cell>
          <cell r="F7453">
            <v>9500</v>
          </cell>
          <cell r="G7453">
            <v>2850</v>
          </cell>
        </row>
        <row r="7454">
          <cell r="B7454">
            <v>137</v>
          </cell>
          <cell r="C7454" t="str">
            <v>Vật liệu khác</v>
          </cell>
          <cell r="D7454" t="str">
            <v>%</v>
          </cell>
          <cell r="E7454">
            <v>5</v>
          </cell>
          <cell r="F7454">
            <v>1500</v>
          </cell>
          <cell r="G7454">
            <v>855</v>
          </cell>
        </row>
        <row r="7455">
          <cell r="C7455" t="str">
            <v>Nhân công</v>
          </cell>
          <cell r="G7455">
            <v>815386.66217105265</v>
          </cell>
        </row>
        <row r="7456">
          <cell r="B7456" t="str">
            <v>NC1457</v>
          </cell>
          <cell r="C7456" t="str">
            <v>+ Nhân công bậc 4,5/7</v>
          </cell>
          <cell r="D7456" t="str">
            <v>Công</v>
          </cell>
          <cell r="E7456">
            <v>3.85</v>
          </cell>
          <cell r="F7456">
            <v>211788.74342105264</v>
          </cell>
          <cell r="G7456">
            <v>815386.66217105265</v>
          </cell>
        </row>
        <row r="7457">
          <cell r="A7457" t="str">
            <v>D4.4312</v>
          </cell>
          <cell r="C7457" t="str">
            <v>Làm hộp nối cáp khô điện áp 22KV, Cáp có tiết diện &lt; =70mm2</v>
          </cell>
          <cell r="D7457" t="str">
            <v>1 hộp nối</v>
          </cell>
          <cell r="H7457">
            <v>17955</v>
          </cell>
          <cell r="I7457">
            <v>883159.0600657895</v>
          </cell>
        </row>
        <row r="7458">
          <cell r="C7458" t="str">
            <v>Vật liệu</v>
          </cell>
          <cell r="G7458">
            <v>17955</v>
          </cell>
        </row>
        <row r="7459">
          <cell r="B7459">
            <v>1</v>
          </cell>
          <cell r="C7459" t="str">
            <v>+ Cồn công nghiệp</v>
          </cell>
          <cell r="D7459" t="str">
            <v>kg</v>
          </cell>
          <cell r="E7459">
            <v>1.5</v>
          </cell>
          <cell r="F7459">
            <v>9500</v>
          </cell>
          <cell r="G7459">
            <v>14250</v>
          </cell>
        </row>
        <row r="7460">
          <cell r="B7460">
            <v>9</v>
          </cell>
          <cell r="C7460" t="str">
            <v>+ Giẻ lau</v>
          </cell>
          <cell r="D7460" t="str">
            <v>Kg</v>
          </cell>
          <cell r="E7460">
            <v>0.3</v>
          </cell>
          <cell r="F7460">
            <v>9500</v>
          </cell>
          <cell r="G7460">
            <v>2850</v>
          </cell>
        </row>
        <row r="7461">
          <cell r="B7461">
            <v>137</v>
          </cell>
          <cell r="C7461" t="str">
            <v>Vật liệu khác</v>
          </cell>
          <cell r="D7461" t="str">
            <v>%</v>
          </cell>
          <cell r="E7461">
            <v>5</v>
          </cell>
          <cell r="F7461">
            <v>1500</v>
          </cell>
          <cell r="G7461">
            <v>855</v>
          </cell>
        </row>
        <row r="7462">
          <cell r="C7462" t="str">
            <v>Nhân công</v>
          </cell>
          <cell r="G7462">
            <v>883159.0600657895</v>
          </cell>
        </row>
        <row r="7463">
          <cell r="B7463" t="str">
            <v>NC1457</v>
          </cell>
          <cell r="C7463" t="str">
            <v>+ Nhân công bậc 4,5/7</v>
          </cell>
          <cell r="D7463" t="str">
            <v>Công</v>
          </cell>
          <cell r="E7463">
            <v>4.17</v>
          </cell>
          <cell r="F7463">
            <v>211788.74342105264</v>
          </cell>
          <cell r="G7463">
            <v>883159.0600657895</v>
          </cell>
        </row>
        <row r="7464">
          <cell r="A7464" t="str">
            <v>D4.4313</v>
          </cell>
          <cell r="C7464" t="str">
            <v>Làm hộp nối cáp khô điện áp 22KV, Cáp có tiết diện &lt; =120mm2</v>
          </cell>
          <cell r="D7464" t="str">
            <v>1 hộp nối</v>
          </cell>
          <cell r="H7464">
            <v>17955</v>
          </cell>
          <cell r="I7464">
            <v>986935.54434210539</v>
          </cell>
        </row>
        <row r="7465">
          <cell r="C7465" t="str">
            <v>Vật liệu</v>
          </cell>
          <cell r="G7465">
            <v>17955</v>
          </cell>
        </row>
        <row r="7466">
          <cell r="B7466">
            <v>1</v>
          </cell>
          <cell r="C7466" t="str">
            <v>+ Cồn công nghiệp</v>
          </cell>
          <cell r="D7466" t="str">
            <v>kg</v>
          </cell>
          <cell r="E7466">
            <v>1.5</v>
          </cell>
          <cell r="F7466">
            <v>9500</v>
          </cell>
          <cell r="G7466">
            <v>14250</v>
          </cell>
        </row>
        <row r="7467">
          <cell r="B7467">
            <v>9</v>
          </cell>
          <cell r="C7467" t="str">
            <v>+ Giẻ lau</v>
          </cell>
          <cell r="D7467" t="str">
            <v>Kg</v>
          </cell>
          <cell r="E7467">
            <v>0.3</v>
          </cell>
          <cell r="F7467">
            <v>9500</v>
          </cell>
          <cell r="G7467">
            <v>2850</v>
          </cell>
        </row>
        <row r="7468">
          <cell r="B7468">
            <v>137</v>
          </cell>
          <cell r="C7468" t="str">
            <v>Vật liệu khác</v>
          </cell>
          <cell r="D7468" t="str">
            <v>%</v>
          </cell>
          <cell r="E7468">
            <v>5</v>
          </cell>
          <cell r="F7468">
            <v>1500</v>
          </cell>
          <cell r="G7468">
            <v>855</v>
          </cell>
        </row>
        <row r="7469">
          <cell r="C7469" t="str">
            <v>Nhân công</v>
          </cell>
          <cell r="G7469">
            <v>986935.54434210539</v>
          </cell>
        </row>
        <row r="7470">
          <cell r="B7470" t="str">
            <v>NC1457</v>
          </cell>
          <cell r="C7470" t="str">
            <v>+ Nhân công bậc 4,5/7</v>
          </cell>
          <cell r="D7470" t="str">
            <v>Công</v>
          </cell>
          <cell r="E7470">
            <v>4.66</v>
          </cell>
          <cell r="F7470">
            <v>211788.74342105264</v>
          </cell>
          <cell r="G7470">
            <v>986935.54434210539</v>
          </cell>
        </row>
        <row r="7471">
          <cell r="A7471" t="str">
            <v>D4.4314</v>
          </cell>
          <cell r="C7471" t="str">
            <v>Làm hộp nối cáp khô điện áp 22KV, Cáp có tiết diện &lt;=185mm2</v>
          </cell>
          <cell r="D7471" t="str">
            <v>1 hộp nối</v>
          </cell>
          <cell r="H7471">
            <v>23940</v>
          </cell>
          <cell r="I7471">
            <v>1086476.2537499999</v>
          </cell>
        </row>
        <row r="7472">
          <cell r="C7472" t="str">
            <v>Vật liệu</v>
          </cell>
          <cell r="G7472">
            <v>23940</v>
          </cell>
        </row>
        <row r="7473">
          <cell r="B7473">
            <v>1</v>
          </cell>
          <cell r="C7473" t="str">
            <v>+ Cồn công nghiệp</v>
          </cell>
          <cell r="D7473" t="str">
            <v>kg</v>
          </cell>
          <cell r="E7473">
            <v>2</v>
          </cell>
          <cell r="F7473">
            <v>9500</v>
          </cell>
          <cell r="G7473">
            <v>19000</v>
          </cell>
        </row>
        <row r="7474">
          <cell r="B7474">
            <v>9</v>
          </cell>
          <cell r="C7474" t="str">
            <v>+ Giẻ lau</v>
          </cell>
          <cell r="D7474" t="str">
            <v>Kg</v>
          </cell>
          <cell r="E7474">
            <v>0.4</v>
          </cell>
          <cell r="F7474">
            <v>9500</v>
          </cell>
          <cell r="G7474">
            <v>3800</v>
          </cell>
        </row>
        <row r="7475">
          <cell r="B7475">
            <v>137</v>
          </cell>
          <cell r="C7475" t="str">
            <v>Vật liệu khác</v>
          </cell>
          <cell r="D7475" t="str">
            <v>%</v>
          </cell>
          <cell r="E7475">
            <v>5</v>
          </cell>
          <cell r="F7475">
            <v>1500</v>
          </cell>
          <cell r="G7475">
            <v>1140</v>
          </cell>
        </row>
        <row r="7476">
          <cell r="C7476" t="str">
            <v>Nhân công</v>
          </cell>
          <cell r="G7476">
            <v>1086476.2537499999</v>
          </cell>
        </row>
        <row r="7477">
          <cell r="B7477" t="str">
            <v>NC1457</v>
          </cell>
          <cell r="C7477" t="str">
            <v>+ Nhân công bậc 4,5/7</v>
          </cell>
          <cell r="D7477" t="str">
            <v>Công</v>
          </cell>
          <cell r="E7477">
            <v>5.13</v>
          </cell>
          <cell r="F7477">
            <v>211788.74342105264</v>
          </cell>
          <cell r="G7477">
            <v>1086476.2537499999</v>
          </cell>
        </row>
        <row r="7478">
          <cell r="A7478" t="str">
            <v>D4.4315</v>
          </cell>
          <cell r="C7478" t="str">
            <v>Làm hộp nối cáp khô điện áp 22KV, Cáp có tiết diện &lt;= 240mm2</v>
          </cell>
          <cell r="D7478" t="str">
            <v>1 hộp nối</v>
          </cell>
          <cell r="H7478">
            <v>23940</v>
          </cell>
          <cell r="I7478">
            <v>1188134.8505921054</v>
          </cell>
        </row>
        <row r="7479">
          <cell r="C7479" t="str">
            <v>Vật liệu</v>
          </cell>
          <cell r="G7479">
            <v>23940</v>
          </cell>
        </row>
        <row r="7480">
          <cell r="B7480">
            <v>1</v>
          </cell>
          <cell r="C7480" t="str">
            <v>+ Cồn công nghiệp</v>
          </cell>
          <cell r="D7480" t="str">
            <v>kg</v>
          </cell>
          <cell r="E7480">
            <v>2</v>
          </cell>
          <cell r="F7480">
            <v>9500</v>
          </cell>
          <cell r="G7480">
            <v>19000</v>
          </cell>
        </row>
        <row r="7481">
          <cell r="B7481">
            <v>9</v>
          </cell>
          <cell r="C7481" t="str">
            <v>+ Giẻ lau</v>
          </cell>
          <cell r="D7481" t="str">
            <v>Kg</v>
          </cell>
          <cell r="E7481">
            <v>0.4</v>
          </cell>
          <cell r="F7481">
            <v>9500</v>
          </cell>
          <cell r="G7481">
            <v>3800</v>
          </cell>
        </row>
        <row r="7482">
          <cell r="B7482">
            <v>137</v>
          </cell>
          <cell r="C7482" t="str">
            <v>Vật liệu khác</v>
          </cell>
          <cell r="D7482" t="str">
            <v>%</v>
          </cell>
          <cell r="E7482">
            <v>5</v>
          </cell>
          <cell r="F7482">
            <v>1500</v>
          </cell>
          <cell r="G7482">
            <v>1140</v>
          </cell>
        </row>
        <row r="7483">
          <cell r="C7483" t="str">
            <v>Nhân công</v>
          </cell>
          <cell r="G7483">
            <v>1188134.8505921054</v>
          </cell>
        </row>
        <row r="7484">
          <cell r="B7484" t="str">
            <v>NC1457</v>
          </cell>
          <cell r="C7484" t="str">
            <v>+ Nhân công bậc 4,5/7</v>
          </cell>
          <cell r="D7484" t="str">
            <v>Công</v>
          </cell>
          <cell r="E7484">
            <v>5.61</v>
          </cell>
          <cell r="F7484">
            <v>211788.74342105264</v>
          </cell>
          <cell r="G7484">
            <v>1188134.8505921054</v>
          </cell>
        </row>
        <row r="7485">
          <cell r="A7485" t="str">
            <v>D4.4316</v>
          </cell>
          <cell r="C7485" t="str">
            <v>Làm hộp nối cáp khô điện áp 22KV, Cáp có tiết diện &lt;=300mm2</v>
          </cell>
          <cell r="D7485" t="str">
            <v>1 hộp nối</v>
          </cell>
          <cell r="H7485">
            <v>23940</v>
          </cell>
          <cell r="I7485">
            <v>1304618.6594736844</v>
          </cell>
        </row>
        <row r="7486">
          <cell r="C7486" t="str">
            <v>Vật liệu</v>
          </cell>
          <cell r="G7486">
            <v>23940</v>
          </cell>
        </row>
        <row r="7487">
          <cell r="B7487">
            <v>1</v>
          </cell>
          <cell r="C7487" t="str">
            <v>+ Cồn công nghiệp</v>
          </cell>
          <cell r="D7487" t="str">
            <v>kg</v>
          </cell>
          <cell r="E7487">
            <v>2</v>
          </cell>
          <cell r="F7487">
            <v>9500</v>
          </cell>
          <cell r="G7487">
            <v>19000</v>
          </cell>
        </row>
        <row r="7488">
          <cell r="B7488">
            <v>9</v>
          </cell>
          <cell r="C7488" t="str">
            <v>+ Giẻ lau</v>
          </cell>
          <cell r="D7488" t="str">
            <v>Kg</v>
          </cell>
          <cell r="E7488">
            <v>0.4</v>
          </cell>
          <cell r="F7488">
            <v>9500</v>
          </cell>
          <cell r="G7488">
            <v>3800</v>
          </cell>
        </row>
        <row r="7489">
          <cell r="B7489">
            <v>137</v>
          </cell>
          <cell r="C7489" t="str">
            <v>Vật liệu khác</v>
          </cell>
          <cell r="D7489" t="str">
            <v>%</v>
          </cell>
          <cell r="E7489">
            <v>5</v>
          </cell>
          <cell r="F7489">
            <v>1500</v>
          </cell>
          <cell r="G7489">
            <v>1140</v>
          </cell>
        </row>
        <row r="7490">
          <cell r="C7490" t="str">
            <v>Nhân công</v>
          </cell>
          <cell r="G7490">
            <v>1304618.6594736844</v>
          </cell>
        </row>
        <row r="7491">
          <cell r="B7491" t="str">
            <v>NC1457</v>
          </cell>
          <cell r="C7491" t="str">
            <v>+ Nhân công bậc 4,5/7</v>
          </cell>
          <cell r="D7491" t="str">
            <v>Công</v>
          </cell>
          <cell r="E7491">
            <v>6.16</v>
          </cell>
          <cell r="F7491">
            <v>211788.74342105264</v>
          </cell>
          <cell r="G7491">
            <v>1304618.6594736844</v>
          </cell>
        </row>
        <row r="7492">
          <cell r="A7492" t="str">
            <v>D4.4317</v>
          </cell>
          <cell r="C7492" t="str">
            <v>Làm hộp nối cáp khô điện áp 22KV, Cáp có tiết diện &lt;=400mm2</v>
          </cell>
          <cell r="D7492" t="str">
            <v>1 hộp nối</v>
          </cell>
          <cell r="H7492">
            <v>30623.25</v>
          </cell>
          <cell r="I7492">
            <v>1565118.8138815789</v>
          </cell>
        </row>
        <row r="7493">
          <cell r="C7493" t="str">
            <v>Vật liệu</v>
          </cell>
          <cell r="G7493">
            <v>30623.25</v>
          </cell>
        </row>
        <row r="7494">
          <cell r="B7494">
            <v>1</v>
          </cell>
          <cell r="C7494" t="str">
            <v>+ Cồn công nghiệp</v>
          </cell>
          <cell r="D7494" t="str">
            <v>kg</v>
          </cell>
          <cell r="E7494">
            <v>2.4</v>
          </cell>
          <cell r="F7494">
            <v>9500</v>
          </cell>
          <cell r="G7494">
            <v>22800</v>
          </cell>
        </row>
        <row r="7495">
          <cell r="B7495">
            <v>9</v>
          </cell>
          <cell r="C7495" t="str">
            <v>+ Giẻ lau</v>
          </cell>
          <cell r="D7495" t="str">
            <v>Kg</v>
          </cell>
          <cell r="E7495">
            <v>0.67</v>
          </cell>
          <cell r="F7495">
            <v>9500</v>
          </cell>
          <cell r="G7495">
            <v>6365</v>
          </cell>
        </row>
        <row r="7496">
          <cell r="B7496">
            <v>137</v>
          </cell>
          <cell r="C7496" t="str">
            <v>Vật liệu khác</v>
          </cell>
          <cell r="D7496" t="str">
            <v>%</v>
          </cell>
          <cell r="E7496">
            <v>5</v>
          </cell>
          <cell r="F7496">
            <v>1500</v>
          </cell>
          <cell r="G7496">
            <v>1458.25</v>
          </cell>
        </row>
        <row r="7497">
          <cell r="C7497" t="str">
            <v>Nhân công</v>
          </cell>
          <cell r="G7497">
            <v>1565118.8138815789</v>
          </cell>
        </row>
        <row r="7498">
          <cell r="B7498" t="str">
            <v>NC1457</v>
          </cell>
          <cell r="C7498" t="str">
            <v>+ Nhân công bậc 4,5/7</v>
          </cell>
          <cell r="D7498" t="str">
            <v>Công</v>
          </cell>
          <cell r="E7498">
            <v>7.39</v>
          </cell>
          <cell r="F7498">
            <v>211788.74342105264</v>
          </cell>
          <cell r="G7498">
            <v>1565118.8138815789</v>
          </cell>
        </row>
        <row r="7499">
          <cell r="A7499" t="str">
            <v>D4.4321</v>
          </cell>
          <cell r="C7499" t="str">
            <v>Làm hộp nối cáp khô điện áp 35KV, Cáp có tiết diện &lt;=35mm2</v>
          </cell>
          <cell r="D7499" t="str">
            <v>1 hộp nối</v>
          </cell>
          <cell r="H7499">
            <v>17955</v>
          </cell>
          <cell r="I7499">
            <v>978463.99460526323</v>
          </cell>
        </row>
        <row r="7500">
          <cell r="C7500" t="str">
            <v>Vật liệu</v>
          </cell>
          <cell r="G7500">
            <v>17955</v>
          </cell>
        </row>
        <row r="7501">
          <cell r="B7501">
            <v>1</v>
          </cell>
          <cell r="C7501" t="str">
            <v>+ Cồn công nghiệp</v>
          </cell>
          <cell r="D7501" t="str">
            <v>kg</v>
          </cell>
          <cell r="E7501">
            <v>1.5</v>
          </cell>
          <cell r="F7501">
            <v>9500</v>
          </cell>
          <cell r="G7501">
            <v>14250</v>
          </cell>
        </row>
        <row r="7502">
          <cell r="B7502">
            <v>9</v>
          </cell>
          <cell r="C7502" t="str">
            <v>+ Giẻ lau</v>
          </cell>
          <cell r="D7502" t="str">
            <v>Kg</v>
          </cell>
          <cell r="E7502">
            <v>0.3</v>
          </cell>
          <cell r="F7502">
            <v>9500</v>
          </cell>
          <cell r="G7502">
            <v>2850</v>
          </cell>
        </row>
        <row r="7503">
          <cell r="B7503">
            <v>137</v>
          </cell>
          <cell r="C7503" t="str">
            <v>Vật liệu khác</v>
          </cell>
          <cell r="D7503" t="str">
            <v>%</v>
          </cell>
          <cell r="E7503">
            <v>5</v>
          </cell>
          <cell r="F7503">
            <v>1500</v>
          </cell>
          <cell r="G7503">
            <v>855</v>
          </cell>
        </row>
        <row r="7504">
          <cell r="C7504" t="str">
            <v>Nhân công</v>
          </cell>
          <cell r="G7504">
            <v>978463.99460526323</v>
          </cell>
        </row>
        <row r="7505">
          <cell r="B7505" t="str">
            <v>NC1457</v>
          </cell>
          <cell r="C7505" t="str">
            <v>+ Nhân công bậc 4,5/7</v>
          </cell>
          <cell r="D7505" t="str">
            <v>Công</v>
          </cell>
          <cell r="E7505">
            <v>4.62</v>
          </cell>
          <cell r="F7505">
            <v>211788.74342105264</v>
          </cell>
          <cell r="G7505">
            <v>978463.99460526323</v>
          </cell>
        </row>
        <row r="7506">
          <cell r="A7506" t="str">
            <v>D4.4322</v>
          </cell>
          <cell r="C7506" t="str">
            <v>Làm hộp nối cáp khô điện áp 35KV, Cáp có tiết diện &lt; =70mm2</v>
          </cell>
          <cell r="D7506" t="str">
            <v>1 hộp nối</v>
          </cell>
          <cell r="H7506">
            <v>17955</v>
          </cell>
          <cell r="I7506">
            <v>1063179.4919736842</v>
          </cell>
        </row>
        <row r="7507">
          <cell r="C7507" t="str">
            <v>Vật liệu</v>
          </cell>
          <cell r="G7507">
            <v>17955</v>
          </cell>
        </row>
        <row r="7508">
          <cell r="B7508">
            <v>1</v>
          </cell>
          <cell r="C7508" t="str">
            <v>+ Cồn công nghiệp</v>
          </cell>
          <cell r="D7508" t="str">
            <v>kg</v>
          </cell>
          <cell r="E7508">
            <v>1.5</v>
          </cell>
          <cell r="F7508">
            <v>9500</v>
          </cell>
          <cell r="G7508">
            <v>14250</v>
          </cell>
        </row>
        <row r="7509">
          <cell r="B7509">
            <v>9</v>
          </cell>
          <cell r="C7509" t="str">
            <v>+ Giẻ lau</v>
          </cell>
          <cell r="D7509" t="str">
            <v>Kg</v>
          </cell>
          <cell r="E7509">
            <v>0.3</v>
          </cell>
          <cell r="F7509">
            <v>9500</v>
          </cell>
          <cell r="G7509">
            <v>2850</v>
          </cell>
        </row>
        <row r="7510">
          <cell r="B7510">
            <v>137</v>
          </cell>
          <cell r="C7510" t="str">
            <v>Vật liệu khác</v>
          </cell>
          <cell r="D7510" t="str">
            <v>%</v>
          </cell>
          <cell r="E7510">
            <v>5</v>
          </cell>
          <cell r="F7510">
            <v>1500</v>
          </cell>
          <cell r="G7510">
            <v>855</v>
          </cell>
        </row>
        <row r="7511">
          <cell r="C7511" t="str">
            <v>Nhân công</v>
          </cell>
          <cell r="G7511">
            <v>1063179.4919736842</v>
          </cell>
        </row>
        <row r="7512">
          <cell r="B7512" t="str">
            <v>NC1457</v>
          </cell>
          <cell r="C7512" t="str">
            <v>+ Nhân công bậc 4,5/7</v>
          </cell>
          <cell r="D7512" t="str">
            <v>Công</v>
          </cell>
          <cell r="E7512">
            <v>5.0199999999999996</v>
          </cell>
          <cell r="F7512">
            <v>211788.74342105264</v>
          </cell>
          <cell r="G7512">
            <v>1063179.4919736842</v>
          </cell>
        </row>
        <row r="7513">
          <cell r="A7513" t="str">
            <v>D4.4323</v>
          </cell>
          <cell r="C7513" t="str">
            <v>Làm hộp nối cáp khô điện áp 35KV, Cáp có tiết diện &lt; =120mm2</v>
          </cell>
          <cell r="D7513" t="str">
            <v>1 hộp nối</v>
          </cell>
          <cell r="H7513">
            <v>17955</v>
          </cell>
          <cell r="I7513">
            <v>1183899.0757236842</v>
          </cell>
        </row>
        <row r="7514">
          <cell r="C7514" t="str">
            <v>Vật liệu</v>
          </cell>
          <cell r="G7514">
            <v>17955</v>
          </cell>
        </row>
        <row r="7515">
          <cell r="B7515">
            <v>1</v>
          </cell>
          <cell r="C7515" t="str">
            <v>+ Cồn công nghiệp</v>
          </cell>
          <cell r="D7515" t="str">
            <v>kg</v>
          </cell>
          <cell r="E7515">
            <v>1.5</v>
          </cell>
          <cell r="F7515">
            <v>9500</v>
          </cell>
          <cell r="G7515">
            <v>14250</v>
          </cell>
        </row>
        <row r="7516">
          <cell r="B7516">
            <v>9</v>
          </cell>
          <cell r="C7516" t="str">
            <v>+ Giẻ lau</v>
          </cell>
          <cell r="D7516" t="str">
            <v>Kg</v>
          </cell>
          <cell r="E7516">
            <v>0.3</v>
          </cell>
          <cell r="F7516">
            <v>9500</v>
          </cell>
          <cell r="G7516">
            <v>2850</v>
          </cell>
        </row>
        <row r="7517">
          <cell r="B7517">
            <v>137</v>
          </cell>
          <cell r="C7517" t="str">
            <v>Vật liệu khác</v>
          </cell>
          <cell r="D7517" t="str">
            <v>%</v>
          </cell>
          <cell r="E7517">
            <v>5</v>
          </cell>
          <cell r="F7517">
            <v>1500</v>
          </cell>
          <cell r="G7517">
            <v>855</v>
          </cell>
        </row>
        <row r="7518">
          <cell r="C7518" t="str">
            <v>Nhân công</v>
          </cell>
          <cell r="G7518">
            <v>1183899.0757236842</v>
          </cell>
        </row>
        <row r="7519">
          <cell r="B7519" t="str">
            <v>NC1457</v>
          </cell>
          <cell r="C7519" t="str">
            <v>+ Nhân công bậc 4,5/7</v>
          </cell>
          <cell r="D7519" t="str">
            <v>Công</v>
          </cell>
          <cell r="E7519">
            <v>5.59</v>
          </cell>
          <cell r="F7519">
            <v>211788.74342105264</v>
          </cell>
          <cell r="G7519">
            <v>1183899.0757236842</v>
          </cell>
        </row>
        <row r="7520">
          <cell r="A7520" t="str">
            <v>D4.4324</v>
          </cell>
          <cell r="C7520" t="str">
            <v>Làm hộp nối cáp khô điện áp 35KV, Cáp có tiết diện &lt;=185mm2</v>
          </cell>
          <cell r="D7520" t="str">
            <v>1 hộp nối</v>
          </cell>
          <cell r="H7520">
            <v>23940</v>
          </cell>
          <cell r="I7520">
            <v>1304618.6594736844</v>
          </cell>
        </row>
        <row r="7521">
          <cell r="C7521" t="str">
            <v>Vật liệu</v>
          </cell>
          <cell r="G7521">
            <v>23940</v>
          </cell>
        </row>
        <row r="7522">
          <cell r="B7522">
            <v>1</v>
          </cell>
          <cell r="C7522" t="str">
            <v>+ Cồn công nghiệp</v>
          </cell>
          <cell r="D7522" t="str">
            <v>kg</v>
          </cell>
          <cell r="E7522">
            <v>2</v>
          </cell>
          <cell r="F7522">
            <v>9500</v>
          </cell>
          <cell r="G7522">
            <v>19000</v>
          </cell>
        </row>
        <row r="7523">
          <cell r="B7523">
            <v>9</v>
          </cell>
          <cell r="C7523" t="str">
            <v>+ Giẻ lau</v>
          </cell>
          <cell r="D7523" t="str">
            <v>Kg</v>
          </cell>
          <cell r="E7523">
            <v>0.4</v>
          </cell>
          <cell r="F7523">
            <v>9500</v>
          </cell>
          <cell r="G7523">
            <v>3800</v>
          </cell>
        </row>
        <row r="7524">
          <cell r="B7524">
            <v>137</v>
          </cell>
          <cell r="C7524" t="str">
            <v>Vật liệu khác</v>
          </cell>
          <cell r="D7524" t="str">
            <v>%</v>
          </cell>
          <cell r="E7524">
            <v>5</v>
          </cell>
          <cell r="F7524">
            <v>1500</v>
          </cell>
          <cell r="G7524">
            <v>1140</v>
          </cell>
        </row>
        <row r="7525">
          <cell r="C7525" t="str">
            <v>Nhân công</v>
          </cell>
          <cell r="G7525">
            <v>1304618.6594736844</v>
          </cell>
        </row>
        <row r="7526">
          <cell r="B7526" t="str">
            <v>NC1457</v>
          </cell>
          <cell r="C7526" t="str">
            <v>+ Nhân công bậc 4,5/7</v>
          </cell>
          <cell r="D7526" t="str">
            <v>Công</v>
          </cell>
          <cell r="E7526">
            <v>6.16</v>
          </cell>
          <cell r="F7526">
            <v>211788.74342105264</v>
          </cell>
          <cell r="G7526">
            <v>1304618.6594736844</v>
          </cell>
        </row>
        <row r="7527">
          <cell r="A7527" t="str">
            <v>D4.4325</v>
          </cell>
          <cell r="C7527" t="str">
            <v>Làm hộp nối cáp khô điện áp 35KV, Cáp có tiết diện &lt;= 240mm2</v>
          </cell>
          <cell r="D7527" t="str">
            <v>1 hộp nối</v>
          </cell>
          <cell r="H7527">
            <v>23940</v>
          </cell>
          <cell r="I7527">
            <v>1425338.2432236844</v>
          </cell>
        </row>
        <row r="7528">
          <cell r="C7528" t="str">
            <v>Vật liệu</v>
          </cell>
          <cell r="G7528">
            <v>23940</v>
          </cell>
        </row>
        <row r="7529">
          <cell r="B7529">
            <v>1</v>
          </cell>
          <cell r="C7529" t="str">
            <v>+ Cồn công nghiệp</v>
          </cell>
          <cell r="D7529" t="str">
            <v>kg</v>
          </cell>
          <cell r="E7529">
            <v>2</v>
          </cell>
          <cell r="F7529">
            <v>9500</v>
          </cell>
          <cell r="G7529">
            <v>19000</v>
          </cell>
        </row>
        <row r="7530">
          <cell r="B7530">
            <v>9</v>
          </cell>
          <cell r="C7530" t="str">
            <v>+ Giẻ lau</v>
          </cell>
          <cell r="D7530" t="str">
            <v>Kg</v>
          </cell>
          <cell r="E7530">
            <v>0.4</v>
          </cell>
          <cell r="F7530">
            <v>9500</v>
          </cell>
          <cell r="G7530">
            <v>3800</v>
          </cell>
        </row>
        <row r="7531">
          <cell r="B7531">
            <v>137</v>
          </cell>
          <cell r="C7531" t="str">
            <v>Vật liệu khác</v>
          </cell>
          <cell r="D7531" t="str">
            <v>%</v>
          </cell>
          <cell r="E7531">
            <v>5</v>
          </cell>
          <cell r="F7531">
            <v>1500</v>
          </cell>
          <cell r="G7531">
            <v>1140</v>
          </cell>
        </row>
        <row r="7532">
          <cell r="C7532" t="str">
            <v>Nhân công</v>
          </cell>
          <cell r="G7532">
            <v>1425338.2432236844</v>
          </cell>
        </row>
        <row r="7533">
          <cell r="B7533" t="str">
            <v>NC1457</v>
          </cell>
          <cell r="C7533" t="str">
            <v>+ Nhân công bậc 4,5/7</v>
          </cell>
          <cell r="D7533" t="str">
            <v>Công</v>
          </cell>
          <cell r="E7533">
            <v>6.73</v>
          </cell>
          <cell r="F7533">
            <v>211788.74342105264</v>
          </cell>
          <cell r="G7533">
            <v>1425338.2432236844</v>
          </cell>
        </row>
        <row r="7534">
          <cell r="A7534" t="str">
            <v>D4.4326</v>
          </cell>
          <cell r="C7534" t="str">
            <v>Làm hộp nối cáp khô điện áp 35KV, Cáp có tiết diện &lt;=300mm2</v>
          </cell>
          <cell r="D7534" t="str">
            <v>1 hộp nối</v>
          </cell>
          <cell r="H7534">
            <v>23940</v>
          </cell>
          <cell r="I7534">
            <v>1563000.9264473685</v>
          </cell>
        </row>
        <row r="7535">
          <cell r="C7535" t="str">
            <v>Vật liệu</v>
          </cell>
          <cell r="G7535">
            <v>23940</v>
          </cell>
        </row>
        <row r="7536">
          <cell r="B7536">
            <v>1</v>
          </cell>
          <cell r="C7536" t="str">
            <v>+ Cồn công nghiệp</v>
          </cell>
          <cell r="D7536" t="str">
            <v>kg</v>
          </cell>
          <cell r="E7536">
            <v>2</v>
          </cell>
          <cell r="F7536">
            <v>9500</v>
          </cell>
          <cell r="G7536">
            <v>19000</v>
          </cell>
        </row>
        <row r="7537">
          <cell r="B7537">
            <v>9</v>
          </cell>
          <cell r="C7537" t="str">
            <v>+ Giẻ lau</v>
          </cell>
          <cell r="D7537" t="str">
            <v>Kg</v>
          </cell>
          <cell r="E7537">
            <v>0.4</v>
          </cell>
          <cell r="F7537">
            <v>9500</v>
          </cell>
          <cell r="G7537">
            <v>3800</v>
          </cell>
        </row>
        <row r="7538">
          <cell r="B7538">
            <v>137</v>
          </cell>
          <cell r="C7538" t="str">
            <v>Vật liệu khác</v>
          </cell>
          <cell r="D7538" t="str">
            <v>%</v>
          </cell>
          <cell r="E7538">
            <v>5</v>
          </cell>
          <cell r="F7538">
            <v>1500</v>
          </cell>
          <cell r="G7538">
            <v>1140</v>
          </cell>
        </row>
        <row r="7539">
          <cell r="C7539" t="str">
            <v>Nhân công</v>
          </cell>
          <cell r="G7539">
            <v>1563000.9264473685</v>
          </cell>
        </row>
        <row r="7540">
          <cell r="B7540" t="str">
            <v>NC1457</v>
          </cell>
          <cell r="C7540" t="str">
            <v>+ Nhân công bậc 4,5/7</v>
          </cell>
          <cell r="D7540" t="str">
            <v>Công</v>
          </cell>
          <cell r="E7540">
            <v>7.38</v>
          </cell>
          <cell r="F7540">
            <v>211788.74342105264</v>
          </cell>
          <cell r="G7540">
            <v>1563000.9264473685</v>
          </cell>
        </row>
        <row r="7541">
          <cell r="A7541" t="str">
            <v>D4.4327</v>
          </cell>
          <cell r="C7541" t="str">
            <v>Làm hộp nối cáp khô điện áp 35KV, Cáp có tiết diện &lt;=400mm2</v>
          </cell>
          <cell r="D7541" t="str">
            <v>1 hộp nối</v>
          </cell>
          <cell r="H7541">
            <v>30623.25</v>
          </cell>
          <cell r="I7541">
            <v>1876448.2667105263</v>
          </cell>
        </row>
        <row r="7542">
          <cell r="C7542" t="str">
            <v>Vật liệu</v>
          </cell>
          <cell r="G7542">
            <v>30623.25</v>
          </cell>
        </row>
        <row r="7543">
          <cell r="B7543">
            <v>1</v>
          </cell>
          <cell r="C7543" t="str">
            <v>+ Cồn công nghiệp</v>
          </cell>
          <cell r="D7543" t="str">
            <v>kg</v>
          </cell>
          <cell r="E7543">
            <v>2.4</v>
          </cell>
          <cell r="F7543">
            <v>9500</v>
          </cell>
          <cell r="G7543">
            <v>22800</v>
          </cell>
        </row>
        <row r="7544">
          <cell r="B7544">
            <v>9</v>
          </cell>
          <cell r="C7544" t="str">
            <v>+ Giẻ lau</v>
          </cell>
          <cell r="D7544" t="str">
            <v>Kg</v>
          </cell>
          <cell r="E7544">
            <v>0.67</v>
          </cell>
          <cell r="F7544">
            <v>9500</v>
          </cell>
          <cell r="G7544">
            <v>6365</v>
          </cell>
        </row>
        <row r="7545">
          <cell r="B7545">
            <v>137</v>
          </cell>
          <cell r="C7545" t="str">
            <v>Vật liệu khác</v>
          </cell>
          <cell r="D7545" t="str">
            <v>%</v>
          </cell>
          <cell r="E7545">
            <v>5</v>
          </cell>
          <cell r="F7545">
            <v>1500</v>
          </cell>
          <cell r="G7545">
            <v>1458.25</v>
          </cell>
        </row>
        <row r="7546">
          <cell r="C7546" t="str">
            <v>Nhân công</v>
          </cell>
          <cell r="G7546">
            <v>1876448.2667105263</v>
          </cell>
        </row>
        <row r="7547">
          <cell r="B7547" t="str">
            <v>NC1457</v>
          </cell>
          <cell r="C7547" t="str">
            <v>+ Nhân công bậc 4,5/7</v>
          </cell>
          <cell r="D7547" t="str">
            <v>Công</v>
          </cell>
          <cell r="E7547">
            <v>8.86</v>
          </cell>
          <cell r="F7547">
            <v>211788.74342105264</v>
          </cell>
          <cell r="G7547">
            <v>1876448.2667105263</v>
          </cell>
        </row>
        <row r="7548">
          <cell r="A7548" t="str">
            <v>D4.4331</v>
          </cell>
          <cell r="C7548" t="str">
            <v>Làm hộp nối cáp dầu điện áp 22KV, Cáp có tiết diện &lt;=35mm2</v>
          </cell>
          <cell r="D7548" t="str">
            <v>1 hộp nối</v>
          </cell>
          <cell r="H7548">
            <v>652617</v>
          </cell>
          <cell r="I7548">
            <v>2717249.5780921052</v>
          </cell>
        </row>
        <row r="7549">
          <cell r="C7549" t="str">
            <v>Vật liệu</v>
          </cell>
          <cell r="G7549">
            <v>652617</v>
          </cell>
        </row>
        <row r="7550">
          <cell r="B7550">
            <v>129</v>
          </cell>
          <cell r="C7550" t="str">
            <v>+ Hộp nối cáp loại 35mm2</v>
          </cell>
          <cell r="D7550" t="str">
            <v>hộp</v>
          </cell>
          <cell r="E7550">
            <v>1</v>
          </cell>
          <cell r="F7550">
            <v>0</v>
          </cell>
          <cell r="G7550">
            <v>0</v>
          </cell>
        </row>
        <row r="7551">
          <cell r="B7551">
            <v>25</v>
          </cell>
          <cell r="C7551" t="str">
            <v>+ Băng cách điện</v>
          </cell>
          <cell r="D7551" t="str">
            <v>cuộn</v>
          </cell>
          <cell r="E7551">
            <v>2.5</v>
          </cell>
          <cell r="F7551">
            <v>8000</v>
          </cell>
          <cell r="G7551">
            <v>20000</v>
          </cell>
        </row>
        <row r="7552">
          <cell r="B7552">
            <v>20</v>
          </cell>
          <cell r="C7552" t="str">
            <v>+ Thiếc hàn</v>
          </cell>
          <cell r="D7552" t="str">
            <v>kg</v>
          </cell>
          <cell r="E7552">
            <v>2</v>
          </cell>
          <cell r="F7552">
            <v>80000</v>
          </cell>
          <cell r="G7552">
            <v>160000</v>
          </cell>
        </row>
        <row r="7553">
          <cell r="B7553">
            <v>21</v>
          </cell>
          <cell r="C7553" t="str">
            <v>+ Nhựa thông</v>
          </cell>
          <cell r="D7553" t="str">
            <v>kg</v>
          </cell>
          <cell r="E7553">
            <v>0.2</v>
          </cell>
          <cell r="F7553">
            <v>27000</v>
          </cell>
          <cell r="G7553">
            <v>5400</v>
          </cell>
        </row>
        <row r="7554">
          <cell r="B7554">
            <v>33</v>
          </cell>
          <cell r="C7554" t="str">
            <v>+ Ma tít</v>
          </cell>
          <cell r="D7554" t="str">
            <v>kg</v>
          </cell>
          <cell r="E7554">
            <v>0.3</v>
          </cell>
          <cell r="F7554">
            <v>17300</v>
          </cell>
          <cell r="G7554">
            <v>5190</v>
          </cell>
        </row>
        <row r="7555">
          <cell r="B7555">
            <v>71</v>
          </cell>
          <cell r="C7555" t="str">
            <v>+ Củi đun</v>
          </cell>
          <cell r="D7555" t="str">
            <v>kg</v>
          </cell>
          <cell r="E7555">
            <v>15</v>
          </cell>
          <cell r="F7555">
            <v>1800</v>
          </cell>
          <cell r="G7555">
            <v>27000</v>
          </cell>
        </row>
        <row r="7556">
          <cell r="B7556">
            <v>1</v>
          </cell>
          <cell r="C7556" t="str">
            <v>+ Cồn công nghiệp</v>
          </cell>
          <cell r="D7556" t="str">
            <v>kg</v>
          </cell>
          <cell r="E7556">
            <v>16</v>
          </cell>
          <cell r="F7556">
            <v>9500</v>
          </cell>
          <cell r="G7556">
            <v>152000</v>
          </cell>
        </row>
        <row r="7557">
          <cell r="B7557">
            <v>9</v>
          </cell>
          <cell r="C7557" t="str">
            <v>+ Giẻ lau</v>
          </cell>
          <cell r="D7557" t="str">
            <v>Kg</v>
          </cell>
          <cell r="E7557">
            <v>0.5</v>
          </cell>
          <cell r="F7557">
            <v>9500</v>
          </cell>
          <cell r="G7557">
            <v>4750</v>
          </cell>
        </row>
        <row r="7558">
          <cell r="B7558">
            <v>35</v>
          </cell>
          <cell r="C7558" t="str">
            <v>+ Chất cách điện</v>
          </cell>
          <cell r="D7558" t="str">
            <v>kg</v>
          </cell>
          <cell r="E7558">
            <v>16</v>
          </cell>
          <cell r="F7558">
            <v>15450</v>
          </cell>
          <cell r="G7558">
            <v>247200</v>
          </cell>
        </row>
        <row r="7559">
          <cell r="B7559">
            <v>34</v>
          </cell>
          <cell r="C7559" t="str">
            <v>+ Dầu biến áp</v>
          </cell>
          <cell r="D7559" t="str">
            <v>kg</v>
          </cell>
          <cell r="E7559">
            <v>2</v>
          </cell>
          <cell r="F7559">
            <v>0</v>
          </cell>
          <cell r="G7559">
            <v>0</v>
          </cell>
        </row>
        <row r="7560">
          <cell r="B7560">
            <v>137</v>
          </cell>
          <cell r="C7560" t="str">
            <v>Vật liệu khác</v>
          </cell>
          <cell r="D7560" t="str">
            <v>%</v>
          </cell>
          <cell r="E7560">
            <v>5</v>
          </cell>
          <cell r="F7560">
            <v>1500</v>
          </cell>
          <cell r="G7560">
            <v>31077</v>
          </cell>
        </row>
        <row r="7561">
          <cell r="C7561" t="str">
            <v>Nhân công</v>
          </cell>
          <cell r="G7561">
            <v>2717249.5780921052</v>
          </cell>
        </row>
        <row r="7562">
          <cell r="B7562" t="str">
            <v>NC1457</v>
          </cell>
          <cell r="C7562" t="str">
            <v>+ Nhân công bậc 4,5/7</v>
          </cell>
          <cell r="D7562" t="str">
            <v>Công</v>
          </cell>
          <cell r="E7562">
            <v>12.83</v>
          </cell>
          <cell r="F7562">
            <v>211788.74342105264</v>
          </cell>
          <cell r="G7562">
            <v>2717249.5780921052</v>
          </cell>
        </row>
        <row r="7563">
          <cell r="A7563" t="str">
            <v>D4.4332</v>
          </cell>
          <cell r="C7563" t="str">
            <v>Làm hộp nối cáp dầu điện áp 22KV, Cáp có tiết diện &lt;=70mm2</v>
          </cell>
          <cell r="D7563" t="str">
            <v>1 hộp nối</v>
          </cell>
          <cell r="H7563">
            <v>652617</v>
          </cell>
          <cell r="I7563">
            <v>2950217.1958552632</v>
          </cell>
        </row>
        <row r="7564">
          <cell r="C7564" t="str">
            <v>Vật liệu</v>
          </cell>
          <cell r="G7564">
            <v>652617</v>
          </cell>
        </row>
        <row r="7565">
          <cell r="B7565">
            <v>130</v>
          </cell>
          <cell r="C7565" t="str">
            <v>+ Hộp nối cáp loại 70mm2</v>
          </cell>
          <cell r="D7565" t="str">
            <v>hộp</v>
          </cell>
          <cell r="E7565">
            <v>1</v>
          </cell>
          <cell r="F7565">
            <v>0</v>
          </cell>
          <cell r="G7565">
            <v>0</v>
          </cell>
        </row>
        <row r="7566">
          <cell r="B7566">
            <v>25</v>
          </cell>
          <cell r="C7566" t="str">
            <v>+ Băng cách điện</v>
          </cell>
          <cell r="D7566" t="str">
            <v>cuộn</v>
          </cell>
          <cell r="E7566">
            <v>2.5</v>
          </cell>
          <cell r="F7566">
            <v>8000</v>
          </cell>
          <cell r="G7566">
            <v>20000</v>
          </cell>
        </row>
        <row r="7567">
          <cell r="B7567">
            <v>20</v>
          </cell>
          <cell r="C7567" t="str">
            <v>+ Thiếc hàn</v>
          </cell>
          <cell r="D7567" t="str">
            <v>kg</v>
          </cell>
          <cell r="E7567">
            <v>2</v>
          </cell>
          <cell r="F7567">
            <v>80000</v>
          </cell>
          <cell r="G7567">
            <v>160000</v>
          </cell>
        </row>
        <row r="7568">
          <cell r="B7568">
            <v>21</v>
          </cell>
          <cell r="C7568" t="str">
            <v>+ Nhựa thông</v>
          </cell>
          <cell r="D7568" t="str">
            <v>kg</v>
          </cell>
          <cell r="E7568">
            <v>0.2</v>
          </cell>
          <cell r="F7568">
            <v>27000</v>
          </cell>
          <cell r="G7568">
            <v>5400</v>
          </cell>
        </row>
        <row r="7569">
          <cell r="B7569">
            <v>33</v>
          </cell>
          <cell r="C7569" t="str">
            <v>+ Ma tít</v>
          </cell>
          <cell r="D7569" t="str">
            <v>kg</v>
          </cell>
          <cell r="E7569">
            <v>0.3</v>
          </cell>
          <cell r="F7569">
            <v>17300</v>
          </cell>
          <cell r="G7569">
            <v>5190</v>
          </cell>
        </row>
        <row r="7570">
          <cell r="B7570">
            <v>71</v>
          </cell>
          <cell r="C7570" t="str">
            <v>+ Củi đun</v>
          </cell>
          <cell r="D7570" t="str">
            <v>kg</v>
          </cell>
          <cell r="E7570">
            <v>15</v>
          </cell>
          <cell r="F7570">
            <v>1800</v>
          </cell>
          <cell r="G7570">
            <v>27000</v>
          </cell>
        </row>
        <row r="7571">
          <cell r="B7571">
            <v>1</v>
          </cell>
          <cell r="C7571" t="str">
            <v>+ Cồn công nghiệp</v>
          </cell>
          <cell r="D7571" t="str">
            <v>kg</v>
          </cell>
          <cell r="E7571">
            <v>16</v>
          </cell>
          <cell r="F7571">
            <v>9500</v>
          </cell>
          <cell r="G7571">
            <v>152000</v>
          </cell>
        </row>
        <row r="7572">
          <cell r="B7572">
            <v>9</v>
          </cell>
          <cell r="C7572" t="str">
            <v>+ Giẻ lau</v>
          </cell>
          <cell r="D7572" t="str">
            <v>Kg</v>
          </cell>
          <cell r="E7572">
            <v>0.5</v>
          </cell>
          <cell r="F7572">
            <v>9500</v>
          </cell>
          <cell r="G7572">
            <v>4750</v>
          </cell>
        </row>
        <row r="7573">
          <cell r="B7573">
            <v>35</v>
          </cell>
          <cell r="C7573" t="str">
            <v>+ Chất cách điện</v>
          </cell>
          <cell r="D7573" t="str">
            <v>kg</v>
          </cell>
          <cell r="E7573">
            <v>16</v>
          </cell>
          <cell r="F7573">
            <v>15450</v>
          </cell>
          <cell r="G7573">
            <v>247200</v>
          </cell>
        </row>
        <row r="7574">
          <cell r="B7574">
            <v>34</v>
          </cell>
          <cell r="C7574" t="str">
            <v>+ Dầu biến áp</v>
          </cell>
          <cell r="D7574" t="str">
            <v>kg</v>
          </cell>
          <cell r="E7574">
            <v>2</v>
          </cell>
          <cell r="F7574">
            <v>0</v>
          </cell>
          <cell r="G7574">
            <v>0</v>
          </cell>
        </row>
        <row r="7575">
          <cell r="B7575">
            <v>137</v>
          </cell>
          <cell r="C7575" t="str">
            <v>Vật liệu khác</v>
          </cell>
          <cell r="D7575" t="str">
            <v>%</v>
          </cell>
          <cell r="E7575">
            <v>5</v>
          </cell>
          <cell r="F7575">
            <v>1500</v>
          </cell>
          <cell r="G7575">
            <v>31077</v>
          </cell>
        </row>
        <row r="7576">
          <cell r="C7576" t="str">
            <v>Nhân công</v>
          </cell>
          <cell r="G7576">
            <v>2950217.1958552632</v>
          </cell>
        </row>
        <row r="7577">
          <cell r="B7577" t="str">
            <v>NC1457</v>
          </cell>
          <cell r="C7577" t="str">
            <v>+ Nhân công bậc 4,5/7</v>
          </cell>
          <cell r="D7577" t="str">
            <v>Công</v>
          </cell>
          <cell r="E7577">
            <v>13.93</v>
          </cell>
          <cell r="F7577">
            <v>211788.74342105264</v>
          </cell>
          <cell r="G7577">
            <v>2950217.1958552632</v>
          </cell>
        </row>
        <row r="7578">
          <cell r="A7578" t="str">
            <v>D4.4333</v>
          </cell>
          <cell r="C7578" t="str">
            <v>Làm hộp nối cáp dầu điện áp 22KV, Cáp có tiết diện &lt;=120mm2</v>
          </cell>
          <cell r="D7578" t="str">
            <v>1 hộp nối</v>
          </cell>
          <cell r="H7578">
            <v>809728.5</v>
          </cell>
          <cell r="I7578">
            <v>3282725.523026316</v>
          </cell>
        </row>
        <row r="7579">
          <cell r="C7579" t="str">
            <v>Vật liệu</v>
          </cell>
          <cell r="G7579">
            <v>809728.5</v>
          </cell>
        </row>
        <row r="7580">
          <cell r="B7580">
            <v>131</v>
          </cell>
          <cell r="C7580" t="str">
            <v>+ Hộp nối cáp loại 120mm2</v>
          </cell>
          <cell r="D7580" t="str">
            <v>hộp</v>
          </cell>
          <cell r="E7580">
            <v>1</v>
          </cell>
          <cell r="F7580">
            <v>0</v>
          </cell>
          <cell r="G7580">
            <v>0</v>
          </cell>
        </row>
        <row r="7581">
          <cell r="B7581">
            <v>25</v>
          </cell>
          <cell r="C7581" t="str">
            <v>+ Băng cách điện</v>
          </cell>
          <cell r="D7581" t="str">
            <v>cuộn</v>
          </cell>
          <cell r="E7581">
            <v>3</v>
          </cell>
          <cell r="F7581">
            <v>8000</v>
          </cell>
          <cell r="G7581">
            <v>24000</v>
          </cell>
        </row>
        <row r="7582">
          <cell r="B7582">
            <v>20</v>
          </cell>
          <cell r="C7582" t="str">
            <v>+ Thiếc hàn</v>
          </cell>
          <cell r="D7582" t="str">
            <v>kg</v>
          </cell>
          <cell r="E7582">
            <v>2.5</v>
          </cell>
          <cell r="F7582">
            <v>80000</v>
          </cell>
          <cell r="G7582">
            <v>200000</v>
          </cell>
        </row>
        <row r="7583">
          <cell r="B7583">
            <v>21</v>
          </cell>
          <cell r="C7583" t="str">
            <v>+ Nhựa thông</v>
          </cell>
          <cell r="D7583" t="str">
            <v>kg</v>
          </cell>
          <cell r="E7583">
            <v>0.25</v>
          </cell>
          <cell r="F7583">
            <v>27000</v>
          </cell>
          <cell r="G7583">
            <v>6750</v>
          </cell>
        </row>
        <row r="7584">
          <cell r="B7584">
            <v>33</v>
          </cell>
          <cell r="C7584" t="str">
            <v>+ Ma tít</v>
          </cell>
          <cell r="D7584" t="str">
            <v>kg</v>
          </cell>
          <cell r="E7584">
            <v>0.4</v>
          </cell>
          <cell r="F7584">
            <v>17300</v>
          </cell>
          <cell r="G7584">
            <v>6920</v>
          </cell>
        </row>
        <row r="7585">
          <cell r="B7585">
            <v>71</v>
          </cell>
          <cell r="C7585" t="str">
            <v>+ Củi đun</v>
          </cell>
          <cell r="D7585" t="str">
            <v>kg</v>
          </cell>
          <cell r="E7585">
            <v>16</v>
          </cell>
          <cell r="F7585">
            <v>1800</v>
          </cell>
          <cell r="G7585">
            <v>28800</v>
          </cell>
        </row>
        <row r="7586">
          <cell r="B7586">
            <v>1</v>
          </cell>
          <cell r="C7586" t="str">
            <v>+ Cồn công nghiệp</v>
          </cell>
          <cell r="D7586" t="str">
            <v>kg</v>
          </cell>
          <cell r="E7586">
            <v>20</v>
          </cell>
          <cell r="F7586">
            <v>9500</v>
          </cell>
          <cell r="G7586">
            <v>190000</v>
          </cell>
        </row>
        <row r="7587">
          <cell r="B7587">
            <v>9</v>
          </cell>
          <cell r="C7587" t="str">
            <v>+ Giẻ lau</v>
          </cell>
          <cell r="D7587" t="str">
            <v>Kg</v>
          </cell>
          <cell r="E7587">
            <v>0.6</v>
          </cell>
          <cell r="F7587">
            <v>9500</v>
          </cell>
          <cell r="G7587">
            <v>5700</v>
          </cell>
        </row>
        <row r="7588">
          <cell r="B7588">
            <v>35</v>
          </cell>
          <cell r="C7588" t="str">
            <v>+ Chất cách điện</v>
          </cell>
          <cell r="D7588" t="str">
            <v>kg</v>
          </cell>
          <cell r="E7588">
            <v>20</v>
          </cell>
          <cell r="F7588">
            <v>15450</v>
          </cell>
          <cell r="G7588">
            <v>309000</v>
          </cell>
        </row>
        <row r="7589">
          <cell r="B7589">
            <v>34</v>
          </cell>
          <cell r="C7589" t="str">
            <v>+ Dầu biến áp</v>
          </cell>
          <cell r="D7589" t="str">
            <v>kg</v>
          </cell>
          <cell r="E7589">
            <v>2</v>
          </cell>
          <cell r="F7589">
            <v>0</v>
          </cell>
          <cell r="G7589">
            <v>0</v>
          </cell>
        </row>
        <row r="7590">
          <cell r="B7590">
            <v>137</v>
          </cell>
          <cell r="C7590" t="str">
            <v>Vật liệu khác</v>
          </cell>
          <cell r="D7590" t="str">
            <v>%</v>
          </cell>
          <cell r="E7590">
            <v>5</v>
          </cell>
          <cell r="F7590">
            <v>1500</v>
          </cell>
          <cell r="G7590">
            <v>38558.5</v>
          </cell>
        </row>
        <row r="7591">
          <cell r="C7591" t="str">
            <v>Nhân công</v>
          </cell>
          <cell r="G7591">
            <v>3282725.523026316</v>
          </cell>
        </row>
        <row r="7592">
          <cell r="B7592" t="str">
            <v>NC1457</v>
          </cell>
          <cell r="C7592" t="str">
            <v>+ Nhân công bậc 4,5/7</v>
          </cell>
          <cell r="D7592" t="str">
            <v>Công</v>
          </cell>
          <cell r="E7592">
            <v>15.5</v>
          </cell>
          <cell r="F7592">
            <v>211788.74342105264</v>
          </cell>
          <cell r="G7592">
            <v>3282725.523026316</v>
          </cell>
        </row>
        <row r="7593">
          <cell r="A7593" t="str">
            <v>D4.4334</v>
          </cell>
          <cell r="C7593" t="str">
            <v>Làm hộp nối cáp dầu điện áp 22KV, Cáp có tiết diện &lt;=185mm2</v>
          </cell>
          <cell r="D7593" t="str">
            <v>1 hộp nối</v>
          </cell>
          <cell r="H7593">
            <v>809728.5</v>
          </cell>
          <cell r="I7593">
            <v>3621587.5125000007</v>
          </cell>
        </row>
        <row r="7594">
          <cell r="C7594" t="str">
            <v>Vật liệu</v>
          </cell>
          <cell r="G7594">
            <v>809728.5</v>
          </cell>
        </row>
        <row r="7595">
          <cell r="B7595">
            <v>132</v>
          </cell>
          <cell r="C7595" t="str">
            <v>+ Hộp nối cáp loại 185mm2</v>
          </cell>
          <cell r="D7595" t="str">
            <v>hộp</v>
          </cell>
          <cell r="E7595">
            <v>1</v>
          </cell>
          <cell r="F7595">
            <v>0</v>
          </cell>
          <cell r="G7595">
            <v>0</v>
          </cell>
        </row>
        <row r="7596">
          <cell r="B7596">
            <v>25</v>
          </cell>
          <cell r="C7596" t="str">
            <v>+ Băng cách điện</v>
          </cell>
          <cell r="D7596" t="str">
            <v>cuộn</v>
          </cell>
          <cell r="E7596">
            <v>3</v>
          </cell>
          <cell r="F7596">
            <v>8000</v>
          </cell>
          <cell r="G7596">
            <v>24000</v>
          </cell>
        </row>
        <row r="7597">
          <cell r="B7597">
            <v>20</v>
          </cell>
          <cell r="C7597" t="str">
            <v>+ Thiếc hàn</v>
          </cell>
          <cell r="D7597" t="str">
            <v>kg</v>
          </cell>
          <cell r="E7597">
            <v>2.5</v>
          </cell>
          <cell r="F7597">
            <v>80000</v>
          </cell>
          <cell r="G7597">
            <v>200000</v>
          </cell>
        </row>
        <row r="7598">
          <cell r="B7598">
            <v>21</v>
          </cell>
          <cell r="C7598" t="str">
            <v>+ Nhựa thông</v>
          </cell>
          <cell r="D7598" t="str">
            <v>kg</v>
          </cell>
          <cell r="E7598">
            <v>0.25</v>
          </cell>
          <cell r="F7598">
            <v>27000</v>
          </cell>
          <cell r="G7598">
            <v>6750</v>
          </cell>
        </row>
        <row r="7599">
          <cell r="B7599">
            <v>33</v>
          </cell>
          <cell r="C7599" t="str">
            <v>+ Ma tít</v>
          </cell>
          <cell r="D7599" t="str">
            <v>kg</v>
          </cell>
          <cell r="E7599">
            <v>0.4</v>
          </cell>
          <cell r="F7599">
            <v>17300</v>
          </cell>
          <cell r="G7599">
            <v>6920</v>
          </cell>
        </row>
        <row r="7600">
          <cell r="B7600">
            <v>71</v>
          </cell>
          <cell r="C7600" t="str">
            <v>+ Củi đun</v>
          </cell>
          <cell r="D7600" t="str">
            <v>kg</v>
          </cell>
          <cell r="E7600">
            <v>16</v>
          </cell>
          <cell r="F7600">
            <v>1800</v>
          </cell>
          <cell r="G7600">
            <v>28800</v>
          </cell>
        </row>
        <row r="7601">
          <cell r="B7601">
            <v>1</v>
          </cell>
          <cell r="C7601" t="str">
            <v>+ Cồn công nghiệp</v>
          </cell>
          <cell r="D7601" t="str">
            <v>kg</v>
          </cell>
          <cell r="E7601">
            <v>20</v>
          </cell>
          <cell r="F7601">
            <v>9500</v>
          </cell>
          <cell r="G7601">
            <v>190000</v>
          </cell>
        </row>
        <row r="7602">
          <cell r="B7602">
            <v>9</v>
          </cell>
          <cell r="C7602" t="str">
            <v>+ Giẻ lau</v>
          </cell>
          <cell r="D7602" t="str">
            <v>Kg</v>
          </cell>
          <cell r="E7602">
            <v>0.6</v>
          </cell>
          <cell r="F7602">
            <v>9500</v>
          </cell>
          <cell r="G7602">
            <v>5700</v>
          </cell>
        </row>
        <row r="7603">
          <cell r="B7603">
            <v>35</v>
          </cell>
          <cell r="C7603" t="str">
            <v>+ Chất cách điện</v>
          </cell>
          <cell r="D7603" t="str">
            <v>kg</v>
          </cell>
          <cell r="E7603">
            <v>20</v>
          </cell>
          <cell r="F7603">
            <v>15450</v>
          </cell>
          <cell r="G7603">
            <v>309000</v>
          </cell>
        </row>
        <row r="7604">
          <cell r="B7604">
            <v>34</v>
          </cell>
          <cell r="C7604" t="str">
            <v>+ Dầu biến áp</v>
          </cell>
          <cell r="D7604" t="str">
            <v>kg</v>
          </cell>
          <cell r="E7604">
            <v>2</v>
          </cell>
          <cell r="F7604">
            <v>0</v>
          </cell>
          <cell r="G7604">
            <v>0</v>
          </cell>
        </row>
        <row r="7605">
          <cell r="B7605">
            <v>137</v>
          </cell>
          <cell r="C7605" t="str">
            <v>Vật liệu khác</v>
          </cell>
          <cell r="D7605" t="str">
            <v>%</v>
          </cell>
          <cell r="E7605">
            <v>5</v>
          </cell>
          <cell r="F7605">
            <v>1500</v>
          </cell>
          <cell r="G7605">
            <v>38558.5</v>
          </cell>
        </row>
        <row r="7606">
          <cell r="C7606" t="str">
            <v>Nhân công</v>
          </cell>
          <cell r="G7606">
            <v>3621587.5125000007</v>
          </cell>
        </row>
        <row r="7607">
          <cell r="B7607" t="str">
            <v>NC1457</v>
          </cell>
          <cell r="C7607" t="str">
            <v>+ Nhân công bậc 4,5/7</v>
          </cell>
          <cell r="D7607" t="str">
            <v>Công</v>
          </cell>
          <cell r="E7607">
            <v>17.100000000000001</v>
          </cell>
          <cell r="F7607">
            <v>211788.74342105264</v>
          </cell>
          <cell r="G7607">
            <v>3621587.5125000007</v>
          </cell>
        </row>
        <row r="7608">
          <cell r="A7608" t="str">
            <v>D4.4335</v>
          </cell>
          <cell r="C7608" t="str">
            <v>Làm hộp nối cáp dầu điện áp 22KV, Cáp có tiết diện &lt;=240mm2</v>
          </cell>
          <cell r="D7608" t="str">
            <v>1 hộp nối</v>
          </cell>
          <cell r="H7608">
            <v>997237.5</v>
          </cell>
          <cell r="I7608">
            <v>3960449.5019736844</v>
          </cell>
        </row>
        <row r="7609">
          <cell r="C7609" t="str">
            <v>Vật liệu</v>
          </cell>
          <cell r="G7609">
            <v>997237.5</v>
          </cell>
        </row>
        <row r="7610">
          <cell r="B7610">
            <v>133</v>
          </cell>
          <cell r="C7610" t="str">
            <v>+ Hộp nối cáp loại 240mm2</v>
          </cell>
          <cell r="D7610" t="str">
            <v>hộp</v>
          </cell>
          <cell r="E7610">
            <v>1</v>
          </cell>
          <cell r="F7610">
            <v>0</v>
          </cell>
          <cell r="G7610">
            <v>0</v>
          </cell>
        </row>
        <row r="7611">
          <cell r="B7611">
            <v>25</v>
          </cell>
          <cell r="C7611" t="str">
            <v>+ Băng cách điện</v>
          </cell>
          <cell r="D7611" t="str">
            <v>cuộn</v>
          </cell>
          <cell r="E7611">
            <v>4</v>
          </cell>
          <cell r="F7611">
            <v>8000</v>
          </cell>
          <cell r="G7611">
            <v>32000</v>
          </cell>
        </row>
        <row r="7612">
          <cell r="B7612">
            <v>20</v>
          </cell>
          <cell r="C7612" t="str">
            <v>+ Thiếc hàn</v>
          </cell>
          <cell r="D7612" t="str">
            <v>kg</v>
          </cell>
          <cell r="E7612">
            <v>3</v>
          </cell>
          <cell r="F7612">
            <v>80000</v>
          </cell>
          <cell r="G7612">
            <v>240000</v>
          </cell>
        </row>
        <row r="7613">
          <cell r="B7613">
            <v>21</v>
          </cell>
          <cell r="C7613" t="str">
            <v>+ Nhựa thông</v>
          </cell>
          <cell r="D7613" t="str">
            <v>kg</v>
          </cell>
          <cell r="E7613">
            <v>0.3</v>
          </cell>
          <cell r="F7613">
            <v>27000</v>
          </cell>
          <cell r="G7613">
            <v>8100</v>
          </cell>
        </row>
        <row r="7614">
          <cell r="B7614">
            <v>33</v>
          </cell>
          <cell r="C7614" t="str">
            <v>+ Ma tít</v>
          </cell>
          <cell r="D7614" t="str">
            <v>kg</v>
          </cell>
          <cell r="E7614">
            <v>0.5</v>
          </cell>
          <cell r="F7614">
            <v>17300</v>
          </cell>
          <cell r="G7614">
            <v>8650</v>
          </cell>
        </row>
        <row r="7615">
          <cell r="B7615">
            <v>71</v>
          </cell>
          <cell r="C7615" t="str">
            <v>+ Củi đun</v>
          </cell>
          <cell r="D7615" t="str">
            <v>kg</v>
          </cell>
          <cell r="E7615">
            <v>17</v>
          </cell>
          <cell r="F7615">
            <v>1800</v>
          </cell>
          <cell r="G7615">
            <v>30600</v>
          </cell>
        </row>
        <row r="7616">
          <cell r="B7616">
            <v>1</v>
          </cell>
          <cell r="C7616" t="str">
            <v>+ Cồn công nghiệp</v>
          </cell>
          <cell r="D7616" t="str">
            <v>kg</v>
          </cell>
          <cell r="E7616">
            <v>25</v>
          </cell>
          <cell r="F7616">
            <v>9500</v>
          </cell>
          <cell r="G7616">
            <v>237500</v>
          </cell>
        </row>
        <row r="7617">
          <cell r="B7617">
            <v>9</v>
          </cell>
          <cell r="C7617" t="str">
            <v>+ Giẻ lau</v>
          </cell>
          <cell r="D7617" t="str">
            <v>Kg</v>
          </cell>
          <cell r="E7617">
            <v>0.7</v>
          </cell>
          <cell r="F7617">
            <v>9500</v>
          </cell>
          <cell r="G7617">
            <v>6650</v>
          </cell>
        </row>
        <row r="7618">
          <cell r="B7618">
            <v>35</v>
          </cell>
          <cell r="C7618" t="str">
            <v>+ Chất cách điện</v>
          </cell>
          <cell r="D7618" t="str">
            <v>kg</v>
          </cell>
          <cell r="E7618">
            <v>25</v>
          </cell>
          <cell r="F7618">
            <v>15450</v>
          </cell>
          <cell r="G7618">
            <v>386250</v>
          </cell>
        </row>
        <row r="7619">
          <cell r="B7619">
            <v>34</v>
          </cell>
          <cell r="C7619" t="str">
            <v>+ Dầu biến áp</v>
          </cell>
          <cell r="D7619" t="str">
            <v>kg</v>
          </cell>
          <cell r="E7619">
            <v>2</v>
          </cell>
          <cell r="F7619">
            <v>0</v>
          </cell>
          <cell r="G7619">
            <v>0</v>
          </cell>
        </row>
        <row r="7620">
          <cell r="B7620">
            <v>137</v>
          </cell>
          <cell r="C7620" t="str">
            <v>Vật liệu khác</v>
          </cell>
          <cell r="D7620" t="str">
            <v>%</v>
          </cell>
          <cell r="E7620">
            <v>5</v>
          </cell>
          <cell r="F7620">
            <v>1500</v>
          </cell>
          <cell r="G7620">
            <v>47487.5</v>
          </cell>
        </row>
        <row r="7621">
          <cell r="C7621" t="str">
            <v>Nhân công</v>
          </cell>
          <cell r="G7621">
            <v>3960449.5019736844</v>
          </cell>
        </row>
        <row r="7622">
          <cell r="B7622" t="str">
            <v>NC1457</v>
          </cell>
          <cell r="C7622" t="str">
            <v>+ Nhân công bậc 4,5/7</v>
          </cell>
          <cell r="D7622" t="str">
            <v>Công</v>
          </cell>
          <cell r="E7622">
            <v>18.7</v>
          </cell>
          <cell r="F7622">
            <v>211788.74342105264</v>
          </cell>
          <cell r="G7622">
            <v>3960449.5019736844</v>
          </cell>
        </row>
        <row r="7623">
          <cell r="A7623" t="str">
            <v>D4.4336</v>
          </cell>
          <cell r="C7623" t="str">
            <v>Làm hộp nối cáp dầu điện áp 22KV, Cáp có tiết diện &lt;=300mm2</v>
          </cell>
          <cell r="D7623" t="str">
            <v>1 hộp nối</v>
          </cell>
          <cell r="H7623">
            <v>997237.5</v>
          </cell>
          <cell r="I7623">
            <v>4345905.0149999997</v>
          </cell>
        </row>
        <row r="7624">
          <cell r="C7624" t="str">
            <v>Vật liệu</v>
          </cell>
          <cell r="G7624">
            <v>997237.5</v>
          </cell>
        </row>
        <row r="7625">
          <cell r="B7625">
            <v>134</v>
          </cell>
          <cell r="C7625" t="str">
            <v>+ Hộp nối cáp loại 300mm2</v>
          </cell>
          <cell r="D7625" t="str">
            <v>hộp</v>
          </cell>
          <cell r="E7625">
            <v>1</v>
          </cell>
          <cell r="F7625">
            <v>0</v>
          </cell>
          <cell r="G7625">
            <v>0</v>
          </cell>
        </row>
        <row r="7626">
          <cell r="B7626">
            <v>25</v>
          </cell>
          <cell r="C7626" t="str">
            <v>+ Băng cách điện</v>
          </cell>
          <cell r="D7626" t="str">
            <v>cuộn</v>
          </cell>
          <cell r="E7626">
            <v>4</v>
          </cell>
          <cell r="F7626">
            <v>8000</v>
          </cell>
          <cell r="G7626">
            <v>32000</v>
          </cell>
        </row>
        <row r="7627">
          <cell r="B7627">
            <v>20</v>
          </cell>
          <cell r="C7627" t="str">
            <v>+ Thiếc hàn</v>
          </cell>
          <cell r="D7627" t="str">
            <v>kg</v>
          </cell>
          <cell r="E7627">
            <v>3</v>
          </cell>
          <cell r="F7627">
            <v>80000</v>
          </cell>
          <cell r="G7627">
            <v>240000</v>
          </cell>
        </row>
        <row r="7628">
          <cell r="B7628">
            <v>21</v>
          </cell>
          <cell r="C7628" t="str">
            <v>+ Nhựa thông</v>
          </cell>
          <cell r="D7628" t="str">
            <v>kg</v>
          </cell>
          <cell r="E7628">
            <v>0.3</v>
          </cell>
          <cell r="F7628">
            <v>27000</v>
          </cell>
          <cell r="G7628">
            <v>8100</v>
          </cell>
        </row>
        <row r="7629">
          <cell r="B7629">
            <v>33</v>
          </cell>
          <cell r="C7629" t="str">
            <v>+ Ma tít</v>
          </cell>
          <cell r="D7629" t="str">
            <v>kg</v>
          </cell>
          <cell r="E7629">
            <v>0.5</v>
          </cell>
          <cell r="F7629">
            <v>17300</v>
          </cell>
          <cell r="G7629">
            <v>8650</v>
          </cell>
        </row>
        <row r="7630">
          <cell r="B7630">
            <v>71</v>
          </cell>
          <cell r="C7630" t="str">
            <v>+ Củi đun</v>
          </cell>
          <cell r="D7630" t="str">
            <v>kg</v>
          </cell>
          <cell r="E7630">
            <v>17</v>
          </cell>
          <cell r="F7630">
            <v>1800</v>
          </cell>
          <cell r="G7630">
            <v>30600</v>
          </cell>
        </row>
        <row r="7631">
          <cell r="B7631">
            <v>1</v>
          </cell>
          <cell r="C7631" t="str">
            <v>+ Cồn công nghiệp</v>
          </cell>
          <cell r="D7631" t="str">
            <v>kg</v>
          </cell>
          <cell r="E7631">
            <v>25</v>
          </cell>
          <cell r="F7631">
            <v>9500</v>
          </cell>
          <cell r="G7631">
            <v>237500</v>
          </cell>
        </row>
        <row r="7632">
          <cell r="B7632">
            <v>9</v>
          </cell>
          <cell r="C7632" t="str">
            <v>+ Giẻ lau</v>
          </cell>
          <cell r="D7632" t="str">
            <v>Kg</v>
          </cell>
          <cell r="E7632">
            <v>0.7</v>
          </cell>
          <cell r="F7632">
            <v>9500</v>
          </cell>
          <cell r="G7632">
            <v>6650</v>
          </cell>
        </row>
        <row r="7633">
          <cell r="B7633">
            <v>35</v>
          </cell>
          <cell r="C7633" t="str">
            <v>+ Chất cách điện</v>
          </cell>
          <cell r="D7633" t="str">
            <v>kg</v>
          </cell>
          <cell r="E7633">
            <v>25</v>
          </cell>
          <cell r="F7633">
            <v>15450</v>
          </cell>
          <cell r="G7633">
            <v>386250</v>
          </cell>
        </row>
        <row r="7634">
          <cell r="B7634">
            <v>34</v>
          </cell>
          <cell r="C7634" t="str">
            <v>+ Dầu biến áp</v>
          </cell>
          <cell r="D7634" t="str">
            <v>kg</v>
          </cell>
          <cell r="E7634">
            <v>2</v>
          </cell>
          <cell r="F7634">
            <v>0</v>
          </cell>
          <cell r="G7634">
            <v>0</v>
          </cell>
        </row>
        <row r="7635">
          <cell r="B7635">
            <v>137</v>
          </cell>
          <cell r="C7635" t="str">
            <v>Vật liệu khác</v>
          </cell>
          <cell r="D7635" t="str">
            <v>%</v>
          </cell>
          <cell r="E7635">
            <v>5</v>
          </cell>
          <cell r="F7635">
            <v>1500</v>
          </cell>
          <cell r="G7635">
            <v>47487.5</v>
          </cell>
        </row>
        <row r="7636">
          <cell r="C7636" t="str">
            <v>Nhân công</v>
          </cell>
          <cell r="G7636">
            <v>4345905.0149999997</v>
          </cell>
        </row>
        <row r="7637">
          <cell r="B7637" t="str">
            <v>NC1457</v>
          </cell>
          <cell r="C7637" t="str">
            <v>+ Nhân công bậc 4,5/7</v>
          </cell>
          <cell r="D7637" t="str">
            <v>Công</v>
          </cell>
          <cell r="E7637">
            <v>20.52</v>
          </cell>
          <cell r="F7637">
            <v>211788.74342105264</v>
          </cell>
          <cell r="G7637">
            <v>4345905.0149999997</v>
          </cell>
        </row>
        <row r="7638">
          <cell r="A7638" t="str">
            <v>D4.4337</v>
          </cell>
          <cell r="C7638" t="str">
            <v>Làm hộp nối cáp dầu điện áp 22KV, Cáp có tiết diện &lt;=400mm2</v>
          </cell>
          <cell r="D7638" t="str">
            <v>1 hộp nối</v>
          </cell>
          <cell r="H7638">
            <v>1196685</v>
          </cell>
          <cell r="I7638">
            <v>5214238.8630263163</v>
          </cell>
        </row>
        <row r="7639">
          <cell r="C7639" t="str">
            <v>Vật liệu</v>
          </cell>
          <cell r="G7639">
            <v>1196685</v>
          </cell>
        </row>
        <row r="7640">
          <cell r="B7640">
            <v>135</v>
          </cell>
          <cell r="C7640" t="str">
            <v>+ Hộp nối cáp loại 400mm2</v>
          </cell>
          <cell r="D7640" t="str">
            <v>hộp</v>
          </cell>
          <cell r="E7640">
            <v>1</v>
          </cell>
          <cell r="F7640">
            <v>0</v>
          </cell>
          <cell r="G7640">
            <v>0</v>
          </cell>
        </row>
        <row r="7641">
          <cell r="B7641">
            <v>25</v>
          </cell>
          <cell r="C7641" t="str">
            <v>+ Băng cách điện</v>
          </cell>
          <cell r="D7641" t="str">
            <v>cuộn</v>
          </cell>
          <cell r="E7641">
            <v>4.8</v>
          </cell>
          <cell r="F7641">
            <v>8000</v>
          </cell>
          <cell r="G7641">
            <v>38400</v>
          </cell>
        </row>
        <row r="7642">
          <cell r="B7642">
            <v>20</v>
          </cell>
          <cell r="C7642" t="str">
            <v>+ Thiếc hàn</v>
          </cell>
          <cell r="D7642" t="str">
            <v>kg</v>
          </cell>
          <cell r="E7642">
            <v>3.6</v>
          </cell>
          <cell r="F7642">
            <v>80000</v>
          </cell>
          <cell r="G7642">
            <v>288000</v>
          </cell>
        </row>
        <row r="7643">
          <cell r="B7643">
            <v>21</v>
          </cell>
          <cell r="C7643" t="str">
            <v>+ Nhựa thông</v>
          </cell>
          <cell r="D7643" t="str">
            <v>kg</v>
          </cell>
          <cell r="E7643">
            <v>0.36</v>
          </cell>
          <cell r="F7643">
            <v>27000</v>
          </cell>
          <cell r="G7643">
            <v>9720</v>
          </cell>
        </row>
        <row r="7644">
          <cell r="B7644">
            <v>33</v>
          </cell>
          <cell r="C7644" t="str">
            <v>+ Ma tít</v>
          </cell>
          <cell r="D7644" t="str">
            <v>kg</v>
          </cell>
          <cell r="E7644">
            <v>0.6</v>
          </cell>
          <cell r="F7644">
            <v>17300</v>
          </cell>
          <cell r="G7644">
            <v>10380</v>
          </cell>
        </row>
        <row r="7645">
          <cell r="B7645">
            <v>71</v>
          </cell>
          <cell r="C7645" t="str">
            <v>+ Củi đun</v>
          </cell>
          <cell r="D7645" t="str">
            <v>kg</v>
          </cell>
          <cell r="E7645">
            <v>20.399999999999999</v>
          </cell>
          <cell r="F7645">
            <v>1800</v>
          </cell>
          <cell r="G7645">
            <v>36720</v>
          </cell>
        </row>
        <row r="7646">
          <cell r="B7646">
            <v>1</v>
          </cell>
          <cell r="C7646" t="str">
            <v>+ Cồn công nghiệp</v>
          </cell>
          <cell r="D7646" t="str">
            <v>kg</v>
          </cell>
          <cell r="E7646">
            <v>30</v>
          </cell>
          <cell r="F7646">
            <v>9500</v>
          </cell>
          <cell r="G7646">
            <v>285000</v>
          </cell>
        </row>
        <row r="7647">
          <cell r="B7647">
            <v>9</v>
          </cell>
          <cell r="C7647" t="str">
            <v>+ Giẻ lau</v>
          </cell>
          <cell r="D7647" t="str">
            <v>Kg</v>
          </cell>
          <cell r="E7647">
            <v>0.84</v>
          </cell>
          <cell r="F7647">
            <v>9500</v>
          </cell>
          <cell r="G7647">
            <v>7980</v>
          </cell>
        </row>
        <row r="7648">
          <cell r="B7648">
            <v>35</v>
          </cell>
          <cell r="C7648" t="str">
            <v>+ Chất cách điện</v>
          </cell>
          <cell r="D7648" t="str">
            <v>kg</v>
          </cell>
          <cell r="E7648">
            <v>30</v>
          </cell>
          <cell r="F7648">
            <v>15450</v>
          </cell>
          <cell r="G7648">
            <v>463500</v>
          </cell>
        </row>
        <row r="7649">
          <cell r="B7649">
            <v>34</v>
          </cell>
          <cell r="C7649" t="str">
            <v>+ Dầu biến áp</v>
          </cell>
          <cell r="D7649" t="str">
            <v>kg</v>
          </cell>
          <cell r="E7649">
            <v>2</v>
          </cell>
          <cell r="F7649">
            <v>0</v>
          </cell>
          <cell r="G7649">
            <v>0</v>
          </cell>
        </row>
        <row r="7650">
          <cell r="B7650">
            <v>137</v>
          </cell>
          <cell r="C7650" t="str">
            <v>Vật liệu khác</v>
          </cell>
          <cell r="D7650" t="str">
            <v>%</v>
          </cell>
          <cell r="E7650">
            <v>5</v>
          </cell>
          <cell r="F7650">
            <v>1500</v>
          </cell>
          <cell r="G7650">
            <v>56985</v>
          </cell>
        </row>
        <row r="7651">
          <cell r="C7651" t="str">
            <v>Nhân công</v>
          </cell>
          <cell r="G7651">
            <v>5214238.8630263163</v>
          </cell>
        </row>
        <row r="7652">
          <cell r="B7652" t="str">
            <v>NC1457</v>
          </cell>
          <cell r="C7652" t="str">
            <v>+ Nhân công bậc 4,5/7</v>
          </cell>
          <cell r="D7652" t="str">
            <v>Công</v>
          </cell>
          <cell r="E7652">
            <v>24.62</v>
          </cell>
          <cell r="F7652">
            <v>211788.74342105264</v>
          </cell>
          <cell r="G7652">
            <v>5214238.8630263163</v>
          </cell>
        </row>
        <row r="7653">
          <cell r="A7653" t="str">
            <v>D4.4341</v>
          </cell>
          <cell r="C7653" t="str">
            <v>Làm hộp nối cáp dầu điện áp 22KV, Cáp có tiết diện &lt;=35mm2</v>
          </cell>
          <cell r="D7653" t="str">
            <v>1 hộp nối</v>
          </cell>
          <cell r="H7653">
            <v>652617</v>
          </cell>
          <cell r="I7653">
            <v>3259428.7612500004</v>
          </cell>
        </row>
        <row r="7654">
          <cell r="C7654" t="str">
            <v>Vật liệu</v>
          </cell>
          <cell r="G7654">
            <v>652617</v>
          </cell>
        </row>
        <row r="7655">
          <cell r="B7655">
            <v>129</v>
          </cell>
          <cell r="C7655" t="str">
            <v>+ Hộp nối cáp loại 35mm2</v>
          </cell>
          <cell r="D7655" t="str">
            <v>hộp</v>
          </cell>
          <cell r="E7655">
            <v>1</v>
          </cell>
          <cell r="F7655">
            <v>0</v>
          </cell>
          <cell r="G7655">
            <v>0</v>
          </cell>
        </row>
        <row r="7656">
          <cell r="B7656">
            <v>25</v>
          </cell>
          <cell r="C7656" t="str">
            <v>+ Băng cách điện</v>
          </cell>
          <cell r="D7656" t="str">
            <v>cuộn</v>
          </cell>
          <cell r="E7656">
            <v>2.5</v>
          </cell>
          <cell r="F7656">
            <v>8000</v>
          </cell>
          <cell r="G7656">
            <v>20000</v>
          </cell>
        </row>
        <row r="7657">
          <cell r="B7657">
            <v>20</v>
          </cell>
          <cell r="C7657" t="str">
            <v>+ Thiếc hàn</v>
          </cell>
          <cell r="D7657" t="str">
            <v>kg</v>
          </cell>
          <cell r="E7657">
            <v>2</v>
          </cell>
          <cell r="F7657">
            <v>80000</v>
          </cell>
          <cell r="G7657">
            <v>160000</v>
          </cell>
        </row>
        <row r="7658">
          <cell r="B7658">
            <v>21</v>
          </cell>
          <cell r="C7658" t="str">
            <v>+ Nhựa thông</v>
          </cell>
          <cell r="D7658" t="str">
            <v>kg</v>
          </cell>
          <cell r="E7658">
            <v>0.2</v>
          </cell>
          <cell r="F7658">
            <v>27000</v>
          </cell>
          <cell r="G7658">
            <v>5400</v>
          </cell>
        </row>
        <row r="7659">
          <cell r="B7659">
            <v>33</v>
          </cell>
          <cell r="C7659" t="str">
            <v>+ Ma tít</v>
          </cell>
          <cell r="D7659" t="str">
            <v>kg</v>
          </cell>
          <cell r="E7659">
            <v>0.3</v>
          </cell>
          <cell r="F7659">
            <v>17300</v>
          </cell>
          <cell r="G7659">
            <v>5190</v>
          </cell>
        </row>
        <row r="7660">
          <cell r="B7660">
            <v>71</v>
          </cell>
          <cell r="C7660" t="str">
            <v>+ Củi đun</v>
          </cell>
          <cell r="D7660" t="str">
            <v>kg</v>
          </cell>
          <cell r="E7660">
            <v>15</v>
          </cell>
          <cell r="F7660">
            <v>1800</v>
          </cell>
          <cell r="G7660">
            <v>27000</v>
          </cell>
        </row>
        <row r="7661">
          <cell r="B7661">
            <v>1</v>
          </cell>
          <cell r="C7661" t="str">
            <v>+ Cồn công nghiệp</v>
          </cell>
          <cell r="D7661" t="str">
            <v>kg</v>
          </cell>
          <cell r="E7661">
            <v>16</v>
          </cell>
          <cell r="F7661">
            <v>9500</v>
          </cell>
          <cell r="G7661">
            <v>152000</v>
          </cell>
        </row>
        <row r="7662">
          <cell r="B7662">
            <v>9</v>
          </cell>
          <cell r="C7662" t="str">
            <v>+ Giẻ lau</v>
          </cell>
          <cell r="D7662" t="str">
            <v>Kg</v>
          </cell>
          <cell r="E7662">
            <v>0.5</v>
          </cell>
          <cell r="F7662">
            <v>9500</v>
          </cell>
          <cell r="G7662">
            <v>4750</v>
          </cell>
        </row>
        <row r="7663">
          <cell r="B7663">
            <v>35</v>
          </cell>
          <cell r="C7663" t="str">
            <v>+ Chất cách điện</v>
          </cell>
          <cell r="D7663" t="str">
            <v>kg</v>
          </cell>
          <cell r="E7663">
            <v>16</v>
          </cell>
          <cell r="F7663">
            <v>15450</v>
          </cell>
          <cell r="G7663">
            <v>247200</v>
          </cell>
        </row>
        <row r="7664">
          <cell r="B7664">
            <v>34</v>
          </cell>
          <cell r="C7664" t="str">
            <v>+ Dầu biến áp</v>
          </cell>
          <cell r="D7664" t="str">
            <v>kg</v>
          </cell>
          <cell r="E7664">
            <v>2</v>
          </cell>
          <cell r="F7664">
            <v>0</v>
          </cell>
          <cell r="G7664">
            <v>0</v>
          </cell>
        </row>
        <row r="7665">
          <cell r="B7665">
            <v>137</v>
          </cell>
          <cell r="C7665" t="str">
            <v>Vật liệu khác</v>
          </cell>
          <cell r="D7665" t="str">
            <v>%</v>
          </cell>
          <cell r="E7665">
            <v>5</v>
          </cell>
          <cell r="F7665">
            <v>1500</v>
          </cell>
          <cell r="G7665">
            <v>31077</v>
          </cell>
        </row>
        <row r="7666">
          <cell r="C7666" t="str">
            <v>Nhân công</v>
          </cell>
          <cell r="G7666">
            <v>3259428.7612500004</v>
          </cell>
        </row>
        <row r="7667">
          <cell r="B7667" t="str">
            <v>NC1457</v>
          </cell>
          <cell r="C7667" t="str">
            <v>+ Nhân công bậc 4,5/7</v>
          </cell>
          <cell r="D7667" t="str">
            <v>Công</v>
          </cell>
          <cell r="E7667">
            <v>15.39</v>
          </cell>
          <cell r="F7667">
            <v>211788.74342105264</v>
          </cell>
          <cell r="G7667">
            <v>3259428.7612500004</v>
          </cell>
        </row>
        <row r="7668">
          <cell r="A7668" t="str">
            <v>D4.4342</v>
          </cell>
          <cell r="C7668" t="str">
            <v>Làm hộp nối cáp dầu điện áp 22KV, Cáp có tiết diện &lt;=70mm2</v>
          </cell>
          <cell r="D7668" t="str">
            <v>1 hộp nối</v>
          </cell>
          <cell r="H7668">
            <v>652617</v>
          </cell>
          <cell r="I7668">
            <v>3541107.79</v>
          </cell>
        </row>
        <row r="7669">
          <cell r="C7669" t="str">
            <v>Vật liệu</v>
          </cell>
          <cell r="G7669">
            <v>652617</v>
          </cell>
        </row>
        <row r="7670">
          <cell r="B7670">
            <v>130</v>
          </cell>
          <cell r="C7670" t="str">
            <v>+ Hộp nối cáp loại 70mm2</v>
          </cell>
          <cell r="D7670" t="str">
            <v>hộp</v>
          </cell>
          <cell r="E7670">
            <v>1</v>
          </cell>
          <cell r="F7670">
            <v>0</v>
          </cell>
          <cell r="G7670">
            <v>0</v>
          </cell>
        </row>
        <row r="7671">
          <cell r="B7671">
            <v>25</v>
          </cell>
          <cell r="C7671" t="str">
            <v>+ Băng cách điện</v>
          </cell>
          <cell r="D7671" t="str">
            <v>cuộn</v>
          </cell>
          <cell r="E7671">
            <v>2.5</v>
          </cell>
          <cell r="F7671">
            <v>8000</v>
          </cell>
          <cell r="G7671">
            <v>20000</v>
          </cell>
        </row>
        <row r="7672">
          <cell r="B7672">
            <v>20</v>
          </cell>
          <cell r="C7672" t="str">
            <v>+ Thiếc hàn</v>
          </cell>
          <cell r="D7672" t="str">
            <v>kg</v>
          </cell>
          <cell r="E7672">
            <v>2</v>
          </cell>
          <cell r="F7672">
            <v>80000</v>
          </cell>
          <cell r="G7672">
            <v>160000</v>
          </cell>
        </row>
        <row r="7673">
          <cell r="B7673">
            <v>21</v>
          </cell>
          <cell r="C7673" t="str">
            <v>+ Nhựa thông</v>
          </cell>
          <cell r="D7673" t="str">
            <v>kg</v>
          </cell>
          <cell r="E7673">
            <v>0.2</v>
          </cell>
          <cell r="F7673">
            <v>27000</v>
          </cell>
          <cell r="G7673">
            <v>5400</v>
          </cell>
        </row>
        <row r="7674">
          <cell r="B7674">
            <v>33</v>
          </cell>
          <cell r="C7674" t="str">
            <v>+ Ma tít</v>
          </cell>
          <cell r="D7674" t="str">
            <v>kg</v>
          </cell>
          <cell r="E7674">
            <v>0.3</v>
          </cell>
          <cell r="F7674">
            <v>17300</v>
          </cell>
          <cell r="G7674">
            <v>5190</v>
          </cell>
        </row>
        <row r="7675">
          <cell r="B7675">
            <v>71</v>
          </cell>
          <cell r="C7675" t="str">
            <v>+ Củi đun</v>
          </cell>
          <cell r="D7675" t="str">
            <v>kg</v>
          </cell>
          <cell r="E7675">
            <v>15</v>
          </cell>
          <cell r="F7675">
            <v>1800</v>
          </cell>
          <cell r="G7675">
            <v>27000</v>
          </cell>
        </row>
        <row r="7676">
          <cell r="B7676">
            <v>1</v>
          </cell>
          <cell r="C7676" t="str">
            <v>+ Cồn công nghiệp</v>
          </cell>
          <cell r="D7676" t="str">
            <v>kg</v>
          </cell>
          <cell r="E7676">
            <v>16</v>
          </cell>
          <cell r="F7676">
            <v>9500</v>
          </cell>
          <cell r="G7676">
            <v>152000</v>
          </cell>
        </row>
        <row r="7677">
          <cell r="B7677">
            <v>9</v>
          </cell>
          <cell r="C7677" t="str">
            <v>+ Giẻ lau</v>
          </cell>
          <cell r="D7677" t="str">
            <v>Kg</v>
          </cell>
          <cell r="E7677">
            <v>0.5</v>
          </cell>
          <cell r="F7677">
            <v>9500</v>
          </cell>
          <cell r="G7677">
            <v>4750</v>
          </cell>
        </row>
        <row r="7678">
          <cell r="B7678">
            <v>35</v>
          </cell>
          <cell r="C7678" t="str">
            <v>+ Chất cách điện</v>
          </cell>
          <cell r="D7678" t="str">
            <v>kg</v>
          </cell>
          <cell r="E7678">
            <v>16</v>
          </cell>
          <cell r="F7678">
            <v>15450</v>
          </cell>
          <cell r="G7678">
            <v>247200</v>
          </cell>
        </row>
        <row r="7679">
          <cell r="B7679">
            <v>34</v>
          </cell>
          <cell r="C7679" t="str">
            <v>+ Dầu biến áp</v>
          </cell>
          <cell r="D7679" t="str">
            <v>kg</v>
          </cell>
          <cell r="E7679">
            <v>2</v>
          </cell>
          <cell r="F7679">
            <v>0</v>
          </cell>
          <cell r="G7679">
            <v>0</v>
          </cell>
        </row>
        <row r="7680">
          <cell r="B7680">
            <v>137</v>
          </cell>
          <cell r="C7680" t="str">
            <v>Vật liệu khác</v>
          </cell>
          <cell r="D7680" t="str">
            <v>%</v>
          </cell>
          <cell r="E7680">
            <v>5</v>
          </cell>
          <cell r="F7680">
            <v>1500</v>
          </cell>
          <cell r="G7680">
            <v>31077</v>
          </cell>
        </row>
        <row r="7681">
          <cell r="C7681" t="str">
            <v>Nhân công</v>
          </cell>
          <cell r="G7681">
            <v>3541107.79</v>
          </cell>
        </row>
        <row r="7682">
          <cell r="B7682" t="str">
            <v>NC1457</v>
          </cell>
          <cell r="C7682" t="str">
            <v>+ Nhân công bậc 4,5/7</v>
          </cell>
          <cell r="D7682" t="str">
            <v>Công</v>
          </cell>
          <cell r="E7682">
            <v>16.72</v>
          </cell>
          <cell r="F7682">
            <v>211788.74342105264</v>
          </cell>
          <cell r="G7682">
            <v>3541107.79</v>
          </cell>
        </row>
        <row r="7683">
          <cell r="A7683" t="str">
            <v>D4.4343</v>
          </cell>
          <cell r="C7683" t="str">
            <v>Làm hộp nối cáp dầu điện áp 22KV, Cáp có tiết diện &lt;=120mm2</v>
          </cell>
          <cell r="D7683" t="str">
            <v>1 hộp nối</v>
          </cell>
          <cell r="H7683">
            <v>809728.5</v>
          </cell>
          <cell r="I7683">
            <v>3943506.4025000003</v>
          </cell>
        </row>
        <row r="7684">
          <cell r="C7684" t="str">
            <v>Vật liệu</v>
          </cell>
          <cell r="G7684">
            <v>809728.5</v>
          </cell>
        </row>
        <row r="7685">
          <cell r="B7685">
            <v>131</v>
          </cell>
          <cell r="C7685" t="str">
            <v>+ Hộp nối cáp loại 120mm2</v>
          </cell>
          <cell r="D7685" t="str">
            <v>hộp</v>
          </cell>
          <cell r="E7685">
            <v>1</v>
          </cell>
          <cell r="F7685">
            <v>0</v>
          </cell>
          <cell r="G7685">
            <v>0</v>
          </cell>
        </row>
        <row r="7686">
          <cell r="B7686">
            <v>25</v>
          </cell>
          <cell r="C7686" t="str">
            <v>+ Băng cách điện</v>
          </cell>
          <cell r="D7686" t="str">
            <v>cuộn</v>
          </cell>
          <cell r="E7686">
            <v>3</v>
          </cell>
          <cell r="F7686">
            <v>8000</v>
          </cell>
          <cell r="G7686">
            <v>24000</v>
          </cell>
        </row>
        <row r="7687">
          <cell r="B7687">
            <v>20</v>
          </cell>
          <cell r="C7687" t="str">
            <v>+ Thiếc hàn</v>
          </cell>
          <cell r="D7687" t="str">
            <v>kg</v>
          </cell>
          <cell r="E7687">
            <v>2.5</v>
          </cell>
          <cell r="F7687">
            <v>80000</v>
          </cell>
          <cell r="G7687">
            <v>200000</v>
          </cell>
        </row>
        <row r="7688">
          <cell r="B7688">
            <v>21</v>
          </cell>
          <cell r="C7688" t="str">
            <v>+ Nhựa thông</v>
          </cell>
          <cell r="D7688" t="str">
            <v>kg</v>
          </cell>
          <cell r="E7688">
            <v>0.25</v>
          </cell>
          <cell r="F7688">
            <v>27000</v>
          </cell>
          <cell r="G7688">
            <v>6750</v>
          </cell>
        </row>
        <row r="7689">
          <cell r="B7689">
            <v>33</v>
          </cell>
          <cell r="C7689" t="str">
            <v>+ Ma tít</v>
          </cell>
          <cell r="D7689" t="str">
            <v>kg</v>
          </cell>
          <cell r="E7689">
            <v>0.4</v>
          </cell>
          <cell r="F7689">
            <v>17300</v>
          </cell>
          <cell r="G7689">
            <v>6920</v>
          </cell>
        </row>
        <row r="7690">
          <cell r="B7690">
            <v>71</v>
          </cell>
          <cell r="C7690" t="str">
            <v>+ Củi đun</v>
          </cell>
          <cell r="D7690" t="str">
            <v>kg</v>
          </cell>
          <cell r="E7690">
            <v>16</v>
          </cell>
          <cell r="F7690">
            <v>1800</v>
          </cell>
          <cell r="G7690">
            <v>28800</v>
          </cell>
        </row>
        <row r="7691">
          <cell r="B7691">
            <v>1</v>
          </cell>
          <cell r="C7691" t="str">
            <v>+ Cồn công nghiệp</v>
          </cell>
          <cell r="D7691" t="str">
            <v>kg</v>
          </cell>
          <cell r="E7691">
            <v>20</v>
          </cell>
          <cell r="F7691">
            <v>9500</v>
          </cell>
          <cell r="G7691">
            <v>190000</v>
          </cell>
        </row>
        <row r="7692">
          <cell r="B7692">
            <v>9</v>
          </cell>
          <cell r="C7692" t="str">
            <v>+ Giẻ lau</v>
          </cell>
          <cell r="D7692" t="str">
            <v>Kg</v>
          </cell>
          <cell r="E7692">
            <v>0.6</v>
          </cell>
          <cell r="F7692">
            <v>9500</v>
          </cell>
          <cell r="G7692">
            <v>5700</v>
          </cell>
        </row>
        <row r="7693">
          <cell r="B7693">
            <v>35</v>
          </cell>
          <cell r="C7693" t="str">
            <v>+ Chất cách điện</v>
          </cell>
          <cell r="D7693" t="str">
            <v>kg</v>
          </cell>
          <cell r="E7693">
            <v>20</v>
          </cell>
          <cell r="F7693">
            <v>15450</v>
          </cell>
          <cell r="G7693">
            <v>309000</v>
          </cell>
        </row>
        <row r="7694">
          <cell r="B7694">
            <v>34</v>
          </cell>
          <cell r="C7694" t="str">
            <v>+ Dầu biến áp</v>
          </cell>
          <cell r="D7694" t="str">
            <v>kg</v>
          </cell>
          <cell r="E7694">
            <v>2</v>
          </cell>
          <cell r="F7694">
            <v>0</v>
          </cell>
          <cell r="G7694">
            <v>0</v>
          </cell>
        </row>
        <row r="7695">
          <cell r="B7695">
            <v>137</v>
          </cell>
          <cell r="C7695" t="str">
            <v>Vật liệu khác</v>
          </cell>
          <cell r="D7695" t="str">
            <v>%</v>
          </cell>
          <cell r="E7695">
            <v>5</v>
          </cell>
          <cell r="F7695">
            <v>1500</v>
          </cell>
          <cell r="G7695">
            <v>38558.5</v>
          </cell>
        </row>
        <row r="7696">
          <cell r="C7696" t="str">
            <v>Nhân công</v>
          </cell>
          <cell r="G7696">
            <v>3943506.4025000003</v>
          </cell>
        </row>
        <row r="7697">
          <cell r="B7697" t="str">
            <v>NC1457</v>
          </cell>
          <cell r="C7697" t="str">
            <v>+ Nhân công bậc 4,5/7</v>
          </cell>
          <cell r="D7697" t="str">
            <v>Công</v>
          </cell>
          <cell r="E7697">
            <v>18.62</v>
          </cell>
          <cell r="F7697">
            <v>211788.74342105264</v>
          </cell>
          <cell r="G7697">
            <v>3943506.4025000003</v>
          </cell>
        </row>
        <row r="7698">
          <cell r="A7698" t="str">
            <v>D4.4344</v>
          </cell>
          <cell r="C7698" t="str">
            <v>Làm hộp nối cáp dầu điện áp 22KV, Cáp có tiết diện &lt;=185mm2</v>
          </cell>
          <cell r="D7698" t="str">
            <v>1 hộp nối</v>
          </cell>
          <cell r="H7698">
            <v>809728.5</v>
          </cell>
          <cell r="I7698">
            <v>4345905.0149999997</v>
          </cell>
        </row>
        <row r="7699">
          <cell r="C7699" t="str">
            <v>Vật liệu</v>
          </cell>
          <cell r="G7699">
            <v>809728.5</v>
          </cell>
        </row>
        <row r="7700">
          <cell r="B7700">
            <v>132</v>
          </cell>
          <cell r="C7700" t="str">
            <v>+ Hộp nối cáp loại 185mm2</v>
          </cell>
          <cell r="D7700" t="str">
            <v>hộp</v>
          </cell>
          <cell r="E7700">
            <v>1</v>
          </cell>
          <cell r="F7700">
            <v>0</v>
          </cell>
          <cell r="G7700">
            <v>0</v>
          </cell>
        </row>
        <row r="7701">
          <cell r="B7701">
            <v>25</v>
          </cell>
          <cell r="C7701" t="str">
            <v>+ Băng cách điện</v>
          </cell>
          <cell r="D7701" t="str">
            <v>cuộn</v>
          </cell>
          <cell r="E7701">
            <v>3</v>
          </cell>
          <cell r="F7701">
            <v>8000</v>
          </cell>
          <cell r="G7701">
            <v>24000</v>
          </cell>
        </row>
        <row r="7702">
          <cell r="B7702">
            <v>20</v>
          </cell>
          <cell r="C7702" t="str">
            <v>+ Thiếc hàn</v>
          </cell>
          <cell r="D7702" t="str">
            <v>kg</v>
          </cell>
          <cell r="E7702">
            <v>2.5</v>
          </cell>
          <cell r="F7702">
            <v>80000</v>
          </cell>
          <cell r="G7702">
            <v>200000</v>
          </cell>
        </row>
        <row r="7703">
          <cell r="B7703">
            <v>21</v>
          </cell>
          <cell r="C7703" t="str">
            <v>+ Nhựa thông</v>
          </cell>
          <cell r="D7703" t="str">
            <v>kg</v>
          </cell>
          <cell r="E7703">
            <v>0.25</v>
          </cell>
          <cell r="F7703">
            <v>27000</v>
          </cell>
          <cell r="G7703">
            <v>6750</v>
          </cell>
        </row>
        <row r="7704">
          <cell r="B7704">
            <v>33</v>
          </cell>
          <cell r="C7704" t="str">
            <v>+ Ma tít</v>
          </cell>
          <cell r="D7704" t="str">
            <v>kg</v>
          </cell>
          <cell r="E7704">
            <v>0.4</v>
          </cell>
          <cell r="F7704">
            <v>17300</v>
          </cell>
          <cell r="G7704">
            <v>6920</v>
          </cell>
        </row>
        <row r="7705">
          <cell r="B7705">
            <v>71</v>
          </cell>
          <cell r="C7705" t="str">
            <v>+ Củi đun</v>
          </cell>
          <cell r="D7705" t="str">
            <v>kg</v>
          </cell>
          <cell r="E7705">
            <v>16</v>
          </cell>
          <cell r="F7705">
            <v>1800</v>
          </cell>
          <cell r="G7705">
            <v>28800</v>
          </cell>
        </row>
        <row r="7706">
          <cell r="B7706">
            <v>1</v>
          </cell>
          <cell r="C7706" t="str">
            <v>+ Cồn công nghiệp</v>
          </cell>
          <cell r="D7706" t="str">
            <v>kg</v>
          </cell>
          <cell r="E7706">
            <v>20</v>
          </cell>
          <cell r="F7706">
            <v>9500</v>
          </cell>
          <cell r="G7706">
            <v>190000</v>
          </cell>
        </row>
        <row r="7707">
          <cell r="B7707">
            <v>9</v>
          </cell>
          <cell r="C7707" t="str">
            <v>+ Giẻ lau</v>
          </cell>
          <cell r="D7707" t="str">
            <v>Kg</v>
          </cell>
          <cell r="E7707">
            <v>0.6</v>
          </cell>
          <cell r="F7707">
            <v>9500</v>
          </cell>
          <cell r="G7707">
            <v>5700</v>
          </cell>
        </row>
        <row r="7708">
          <cell r="B7708">
            <v>35</v>
          </cell>
          <cell r="C7708" t="str">
            <v>+ Chất cách điện</v>
          </cell>
          <cell r="D7708" t="str">
            <v>kg</v>
          </cell>
          <cell r="E7708">
            <v>20</v>
          </cell>
          <cell r="F7708">
            <v>15450</v>
          </cell>
          <cell r="G7708">
            <v>309000</v>
          </cell>
        </row>
        <row r="7709">
          <cell r="B7709">
            <v>34</v>
          </cell>
          <cell r="C7709" t="str">
            <v>+ Dầu biến áp</v>
          </cell>
          <cell r="D7709" t="str">
            <v>kg</v>
          </cell>
          <cell r="E7709">
            <v>2</v>
          </cell>
          <cell r="F7709">
            <v>0</v>
          </cell>
          <cell r="G7709">
            <v>0</v>
          </cell>
        </row>
        <row r="7710">
          <cell r="B7710">
            <v>137</v>
          </cell>
          <cell r="C7710" t="str">
            <v>Vật liệu khác</v>
          </cell>
          <cell r="D7710" t="str">
            <v>%</v>
          </cell>
          <cell r="E7710">
            <v>5</v>
          </cell>
          <cell r="F7710">
            <v>1500</v>
          </cell>
          <cell r="G7710">
            <v>38558.5</v>
          </cell>
        </row>
        <row r="7711">
          <cell r="C7711" t="str">
            <v>Nhân công</v>
          </cell>
          <cell r="G7711">
            <v>4345905.0149999997</v>
          </cell>
        </row>
        <row r="7712">
          <cell r="B7712" t="str">
            <v>NC1457</v>
          </cell>
          <cell r="C7712" t="str">
            <v>+ Nhân công bậc 4,5/7</v>
          </cell>
          <cell r="D7712" t="str">
            <v>Công</v>
          </cell>
          <cell r="E7712">
            <v>20.52</v>
          </cell>
          <cell r="F7712">
            <v>211788.74342105264</v>
          </cell>
          <cell r="G7712">
            <v>4345905.0149999997</v>
          </cell>
        </row>
        <row r="7713">
          <cell r="A7713" t="str">
            <v>D4.4345</v>
          </cell>
          <cell r="C7713" t="str">
            <v>Làm hộp nối cáp dầu điện áp 22KV, Cáp có tiết diện &lt;=240mm2</v>
          </cell>
          <cell r="D7713" t="str">
            <v>1 hộp nối</v>
          </cell>
          <cell r="H7713">
            <v>997237.5</v>
          </cell>
          <cell r="I7713">
            <v>4748303.6275000004</v>
          </cell>
        </row>
        <row r="7714">
          <cell r="C7714" t="str">
            <v>Vật liệu</v>
          </cell>
          <cell r="G7714">
            <v>997237.5</v>
          </cell>
        </row>
        <row r="7715">
          <cell r="B7715">
            <v>133</v>
          </cell>
          <cell r="C7715" t="str">
            <v>+ Hộp nối cáp loại 240mm2</v>
          </cell>
          <cell r="D7715" t="str">
            <v>hộp</v>
          </cell>
          <cell r="E7715">
            <v>1</v>
          </cell>
          <cell r="F7715">
            <v>0</v>
          </cell>
          <cell r="G7715">
            <v>0</v>
          </cell>
        </row>
        <row r="7716">
          <cell r="B7716">
            <v>25</v>
          </cell>
          <cell r="C7716" t="str">
            <v>+ Băng cách điện</v>
          </cell>
          <cell r="D7716" t="str">
            <v>cuộn</v>
          </cell>
          <cell r="E7716">
            <v>4</v>
          </cell>
          <cell r="F7716">
            <v>8000</v>
          </cell>
          <cell r="G7716">
            <v>32000</v>
          </cell>
        </row>
        <row r="7717">
          <cell r="B7717">
            <v>20</v>
          </cell>
          <cell r="C7717" t="str">
            <v>+ Thiếc hàn</v>
          </cell>
          <cell r="D7717" t="str">
            <v>kg</v>
          </cell>
          <cell r="E7717">
            <v>3</v>
          </cell>
          <cell r="F7717">
            <v>80000</v>
          </cell>
          <cell r="G7717">
            <v>240000</v>
          </cell>
        </row>
        <row r="7718">
          <cell r="B7718">
            <v>21</v>
          </cell>
          <cell r="C7718" t="str">
            <v>+ Nhựa thông</v>
          </cell>
          <cell r="D7718" t="str">
            <v>kg</v>
          </cell>
          <cell r="E7718">
            <v>0.3</v>
          </cell>
          <cell r="F7718">
            <v>27000</v>
          </cell>
          <cell r="G7718">
            <v>8100</v>
          </cell>
        </row>
        <row r="7719">
          <cell r="B7719">
            <v>33</v>
          </cell>
          <cell r="C7719" t="str">
            <v>+ Ma tít</v>
          </cell>
          <cell r="D7719" t="str">
            <v>kg</v>
          </cell>
          <cell r="E7719">
            <v>0.5</v>
          </cell>
          <cell r="F7719">
            <v>17300</v>
          </cell>
          <cell r="G7719">
            <v>8650</v>
          </cell>
        </row>
        <row r="7720">
          <cell r="B7720">
            <v>71</v>
          </cell>
          <cell r="C7720" t="str">
            <v>+ Củi đun</v>
          </cell>
          <cell r="D7720" t="str">
            <v>kg</v>
          </cell>
          <cell r="E7720">
            <v>17</v>
          </cell>
          <cell r="F7720">
            <v>1800</v>
          </cell>
          <cell r="G7720">
            <v>30600</v>
          </cell>
        </row>
        <row r="7721">
          <cell r="B7721">
            <v>1</v>
          </cell>
          <cell r="C7721" t="str">
            <v>+ Cồn công nghiệp</v>
          </cell>
          <cell r="D7721" t="str">
            <v>kg</v>
          </cell>
          <cell r="E7721">
            <v>25</v>
          </cell>
          <cell r="F7721">
            <v>9500</v>
          </cell>
          <cell r="G7721">
            <v>237500</v>
          </cell>
        </row>
        <row r="7722">
          <cell r="B7722">
            <v>9</v>
          </cell>
          <cell r="C7722" t="str">
            <v>+ Giẻ lau</v>
          </cell>
          <cell r="D7722" t="str">
            <v>Kg</v>
          </cell>
          <cell r="E7722">
            <v>0.7</v>
          </cell>
          <cell r="F7722">
            <v>9500</v>
          </cell>
          <cell r="G7722">
            <v>6650</v>
          </cell>
        </row>
        <row r="7723">
          <cell r="B7723">
            <v>35</v>
          </cell>
          <cell r="C7723" t="str">
            <v>+ Chất cách điện</v>
          </cell>
          <cell r="D7723" t="str">
            <v>kg</v>
          </cell>
          <cell r="E7723">
            <v>25</v>
          </cell>
          <cell r="F7723">
            <v>15450</v>
          </cell>
          <cell r="G7723">
            <v>386250</v>
          </cell>
        </row>
        <row r="7724">
          <cell r="B7724">
            <v>34</v>
          </cell>
          <cell r="C7724" t="str">
            <v>+ Dầu biến áp</v>
          </cell>
          <cell r="D7724" t="str">
            <v>kg</v>
          </cell>
          <cell r="E7724">
            <v>2</v>
          </cell>
          <cell r="F7724">
            <v>0</v>
          </cell>
          <cell r="G7724">
            <v>0</v>
          </cell>
        </row>
        <row r="7725">
          <cell r="B7725">
            <v>137</v>
          </cell>
          <cell r="C7725" t="str">
            <v>Vật liệu khác</v>
          </cell>
          <cell r="D7725" t="str">
            <v>%</v>
          </cell>
          <cell r="E7725">
            <v>5</v>
          </cell>
          <cell r="F7725">
            <v>1500</v>
          </cell>
          <cell r="G7725">
            <v>47487.5</v>
          </cell>
        </row>
        <row r="7726">
          <cell r="C7726" t="str">
            <v>Nhân công</v>
          </cell>
          <cell r="G7726">
            <v>4748303.6275000004</v>
          </cell>
        </row>
        <row r="7727">
          <cell r="B7727" t="str">
            <v>NC1457</v>
          </cell>
          <cell r="C7727" t="str">
            <v>+ Nhân công bậc 4,5/7</v>
          </cell>
          <cell r="D7727" t="str">
            <v>Công</v>
          </cell>
          <cell r="E7727">
            <v>22.42</v>
          </cell>
          <cell r="F7727">
            <v>211788.74342105264</v>
          </cell>
          <cell r="G7727">
            <v>4748303.6275000004</v>
          </cell>
        </row>
        <row r="7728">
          <cell r="A7728" t="str">
            <v>D4.4346</v>
          </cell>
          <cell r="C7728" t="str">
            <v>Làm hộp nối cáp dầu điện áp 22KV, Cáp có tiết diện &lt;=300mm2</v>
          </cell>
          <cell r="D7728" t="str">
            <v>1 hộp nối</v>
          </cell>
          <cell r="H7728">
            <v>997237.5</v>
          </cell>
          <cell r="I7728">
            <v>5212120.9755921056</v>
          </cell>
        </row>
        <row r="7729">
          <cell r="C7729" t="str">
            <v>Vật liệu</v>
          </cell>
          <cell r="G7729">
            <v>997237.5</v>
          </cell>
        </row>
        <row r="7730">
          <cell r="B7730">
            <v>134</v>
          </cell>
          <cell r="C7730" t="str">
            <v>+ Hộp nối cáp loại 300mm2</v>
          </cell>
          <cell r="D7730" t="str">
            <v>hộp</v>
          </cell>
          <cell r="E7730">
            <v>1</v>
          </cell>
          <cell r="F7730">
            <v>0</v>
          </cell>
          <cell r="G7730">
            <v>0</v>
          </cell>
        </row>
        <row r="7731">
          <cell r="B7731">
            <v>25</v>
          </cell>
          <cell r="C7731" t="str">
            <v>+ Băng cách điện</v>
          </cell>
          <cell r="D7731" t="str">
            <v>cuộn</v>
          </cell>
          <cell r="E7731">
            <v>4</v>
          </cell>
          <cell r="F7731">
            <v>8000</v>
          </cell>
          <cell r="G7731">
            <v>32000</v>
          </cell>
        </row>
        <row r="7732">
          <cell r="B7732">
            <v>20</v>
          </cell>
          <cell r="C7732" t="str">
            <v>+ Thiếc hàn</v>
          </cell>
          <cell r="D7732" t="str">
            <v>kg</v>
          </cell>
          <cell r="E7732">
            <v>3</v>
          </cell>
          <cell r="F7732">
            <v>80000</v>
          </cell>
          <cell r="G7732">
            <v>240000</v>
          </cell>
        </row>
        <row r="7733">
          <cell r="B7733">
            <v>21</v>
          </cell>
          <cell r="C7733" t="str">
            <v>+ Nhựa thông</v>
          </cell>
          <cell r="D7733" t="str">
            <v>kg</v>
          </cell>
          <cell r="E7733">
            <v>0.3</v>
          </cell>
          <cell r="F7733">
            <v>27000</v>
          </cell>
          <cell r="G7733">
            <v>8100</v>
          </cell>
        </row>
        <row r="7734">
          <cell r="B7734">
            <v>33</v>
          </cell>
          <cell r="C7734" t="str">
            <v>+ Ma tít</v>
          </cell>
          <cell r="D7734" t="str">
            <v>kg</v>
          </cell>
          <cell r="E7734">
            <v>0.5</v>
          </cell>
          <cell r="F7734">
            <v>17300</v>
          </cell>
          <cell r="G7734">
            <v>8650</v>
          </cell>
        </row>
        <row r="7735">
          <cell r="B7735">
            <v>71</v>
          </cell>
          <cell r="C7735" t="str">
            <v>+ Củi đun</v>
          </cell>
          <cell r="D7735" t="str">
            <v>kg</v>
          </cell>
          <cell r="E7735">
            <v>17</v>
          </cell>
          <cell r="F7735">
            <v>1800</v>
          </cell>
          <cell r="G7735">
            <v>30600</v>
          </cell>
        </row>
        <row r="7736">
          <cell r="B7736">
            <v>1</v>
          </cell>
          <cell r="C7736" t="str">
            <v>+ Cồn công nghiệp</v>
          </cell>
          <cell r="D7736" t="str">
            <v>kg</v>
          </cell>
          <cell r="E7736">
            <v>25</v>
          </cell>
          <cell r="F7736">
            <v>9500</v>
          </cell>
          <cell r="G7736">
            <v>237500</v>
          </cell>
        </row>
        <row r="7737">
          <cell r="B7737">
            <v>9</v>
          </cell>
          <cell r="C7737" t="str">
            <v>+ Giẻ lau</v>
          </cell>
          <cell r="D7737" t="str">
            <v>Kg</v>
          </cell>
          <cell r="E7737">
            <v>0.7</v>
          </cell>
          <cell r="F7737">
            <v>9500</v>
          </cell>
          <cell r="G7737">
            <v>6650</v>
          </cell>
        </row>
        <row r="7738">
          <cell r="B7738">
            <v>35</v>
          </cell>
          <cell r="C7738" t="str">
            <v>+ Chất cách điện</v>
          </cell>
          <cell r="D7738" t="str">
            <v>kg</v>
          </cell>
          <cell r="E7738">
            <v>25</v>
          </cell>
          <cell r="F7738">
            <v>15450</v>
          </cell>
          <cell r="G7738">
            <v>386250</v>
          </cell>
        </row>
        <row r="7739">
          <cell r="B7739">
            <v>34</v>
          </cell>
          <cell r="C7739" t="str">
            <v>+ Dầu biến áp</v>
          </cell>
          <cell r="D7739" t="str">
            <v>kg</v>
          </cell>
          <cell r="E7739">
            <v>2</v>
          </cell>
          <cell r="F7739">
            <v>0</v>
          </cell>
          <cell r="G7739">
            <v>0</v>
          </cell>
        </row>
        <row r="7740">
          <cell r="B7740">
            <v>137</v>
          </cell>
          <cell r="C7740" t="str">
            <v>Vật liệu khác</v>
          </cell>
          <cell r="D7740" t="str">
            <v>%</v>
          </cell>
          <cell r="E7740">
            <v>5</v>
          </cell>
          <cell r="F7740">
            <v>1500</v>
          </cell>
          <cell r="G7740">
            <v>47487.5</v>
          </cell>
        </row>
        <row r="7741">
          <cell r="C7741" t="str">
            <v>Nhân công</v>
          </cell>
          <cell r="G7741">
            <v>5212120.9755921056</v>
          </cell>
        </row>
        <row r="7742">
          <cell r="B7742" t="str">
            <v>NC1457</v>
          </cell>
          <cell r="C7742" t="str">
            <v>+ Nhân công bậc 4,5/7</v>
          </cell>
          <cell r="D7742" t="str">
            <v>Công</v>
          </cell>
          <cell r="E7742">
            <v>24.61</v>
          </cell>
          <cell r="F7742">
            <v>211788.74342105264</v>
          </cell>
          <cell r="G7742">
            <v>5212120.9755921056</v>
          </cell>
        </row>
        <row r="7743">
          <cell r="A7743" t="str">
            <v>D4.4347</v>
          </cell>
          <cell r="C7743" t="str">
            <v>Làm hộp nối cáp dầu điện áp 22KV, Cáp có tiết diện &lt;=400mm2</v>
          </cell>
          <cell r="D7743" t="str">
            <v>1 hộp nối</v>
          </cell>
          <cell r="H7743">
            <v>1196685</v>
          </cell>
          <cell r="I7743">
            <v>6254121.5932236845</v>
          </cell>
        </row>
        <row r="7744">
          <cell r="C7744" t="str">
            <v>Vật liệu</v>
          </cell>
          <cell r="G7744">
            <v>1196685</v>
          </cell>
        </row>
        <row r="7745">
          <cell r="B7745">
            <v>135</v>
          </cell>
          <cell r="C7745" t="str">
            <v>+ Hộp nối cáp loại 400mm2</v>
          </cell>
          <cell r="D7745" t="str">
            <v>hộp</v>
          </cell>
          <cell r="E7745">
            <v>1</v>
          </cell>
          <cell r="F7745">
            <v>0</v>
          </cell>
          <cell r="G7745">
            <v>0</v>
          </cell>
        </row>
        <row r="7746">
          <cell r="B7746">
            <v>25</v>
          </cell>
          <cell r="C7746" t="str">
            <v>+ Băng cách điện</v>
          </cell>
          <cell r="D7746" t="str">
            <v>cuộn</v>
          </cell>
          <cell r="E7746">
            <v>4.8</v>
          </cell>
          <cell r="F7746">
            <v>8000</v>
          </cell>
          <cell r="G7746">
            <v>38400</v>
          </cell>
        </row>
        <row r="7747">
          <cell r="B7747">
            <v>20</v>
          </cell>
          <cell r="C7747" t="str">
            <v>+ Thiếc hàn</v>
          </cell>
          <cell r="D7747" t="str">
            <v>kg</v>
          </cell>
          <cell r="E7747">
            <v>3.6</v>
          </cell>
          <cell r="F7747">
            <v>80000</v>
          </cell>
          <cell r="G7747">
            <v>288000</v>
          </cell>
        </row>
        <row r="7748">
          <cell r="B7748">
            <v>21</v>
          </cell>
          <cell r="C7748" t="str">
            <v>+ Nhựa thông</v>
          </cell>
          <cell r="D7748" t="str">
            <v>kg</v>
          </cell>
          <cell r="E7748">
            <v>0.36</v>
          </cell>
          <cell r="F7748">
            <v>27000</v>
          </cell>
          <cell r="G7748">
            <v>9720</v>
          </cell>
        </row>
        <row r="7749">
          <cell r="B7749">
            <v>33</v>
          </cell>
          <cell r="C7749" t="str">
            <v>+ Ma tít</v>
          </cell>
          <cell r="D7749" t="str">
            <v>kg</v>
          </cell>
          <cell r="E7749">
            <v>0.6</v>
          </cell>
          <cell r="F7749">
            <v>17300</v>
          </cell>
          <cell r="G7749">
            <v>10380</v>
          </cell>
        </row>
        <row r="7750">
          <cell r="B7750">
            <v>71</v>
          </cell>
          <cell r="C7750" t="str">
            <v>+ Củi đun</v>
          </cell>
          <cell r="D7750" t="str">
            <v>kg</v>
          </cell>
          <cell r="E7750">
            <v>20.399999999999999</v>
          </cell>
          <cell r="F7750">
            <v>1800</v>
          </cell>
          <cell r="G7750">
            <v>36720</v>
          </cell>
        </row>
        <row r="7751">
          <cell r="B7751">
            <v>1</v>
          </cell>
          <cell r="C7751" t="str">
            <v>+ Cồn công nghiệp</v>
          </cell>
          <cell r="D7751" t="str">
            <v>kg</v>
          </cell>
          <cell r="E7751">
            <v>30</v>
          </cell>
          <cell r="F7751">
            <v>9500</v>
          </cell>
          <cell r="G7751">
            <v>285000</v>
          </cell>
        </row>
        <row r="7752">
          <cell r="B7752">
            <v>9</v>
          </cell>
          <cell r="C7752" t="str">
            <v>+ Giẻ lau</v>
          </cell>
          <cell r="D7752" t="str">
            <v>Kg</v>
          </cell>
          <cell r="E7752">
            <v>0.84</v>
          </cell>
          <cell r="F7752">
            <v>9500</v>
          </cell>
          <cell r="G7752">
            <v>7980</v>
          </cell>
        </row>
        <row r="7753">
          <cell r="B7753">
            <v>35</v>
          </cell>
          <cell r="C7753" t="str">
            <v>+ Chất cách điện</v>
          </cell>
          <cell r="D7753" t="str">
            <v>kg</v>
          </cell>
          <cell r="E7753">
            <v>30</v>
          </cell>
          <cell r="F7753">
            <v>15450</v>
          </cell>
          <cell r="G7753">
            <v>463500</v>
          </cell>
        </row>
        <row r="7754">
          <cell r="B7754">
            <v>34</v>
          </cell>
          <cell r="C7754" t="str">
            <v>+ Dầu biến áp</v>
          </cell>
          <cell r="D7754" t="str">
            <v>kg</v>
          </cell>
          <cell r="E7754">
            <v>2</v>
          </cell>
          <cell r="F7754">
            <v>0</v>
          </cell>
          <cell r="G7754">
            <v>0</v>
          </cell>
        </row>
        <row r="7755">
          <cell r="B7755">
            <v>137</v>
          </cell>
          <cell r="C7755" t="str">
            <v>Vật liệu khác</v>
          </cell>
          <cell r="D7755" t="str">
            <v>%</v>
          </cell>
          <cell r="E7755">
            <v>5</v>
          </cell>
          <cell r="F7755">
            <v>1500</v>
          </cell>
          <cell r="G7755">
            <v>56985</v>
          </cell>
        </row>
        <row r="7756">
          <cell r="C7756" t="str">
            <v>Nhân công</v>
          </cell>
          <cell r="G7756">
            <v>6254121.5932236845</v>
          </cell>
        </row>
        <row r="7757">
          <cell r="B7757" t="str">
            <v>NC1457</v>
          </cell>
          <cell r="C7757" t="str">
            <v>+ Nhân công bậc 4,5/7</v>
          </cell>
          <cell r="D7757" t="str">
            <v>Công</v>
          </cell>
          <cell r="E7757">
            <v>29.53</v>
          </cell>
          <cell r="F7757">
            <v>211788.74342105264</v>
          </cell>
          <cell r="G7757">
            <v>6254121.5932236845</v>
          </cell>
        </row>
        <row r="7758">
          <cell r="A7758" t="str">
            <v>D4.4411</v>
          </cell>
          <cell r="C7758" t="str">
            <v>Làm hộp nối cáp khô điện áp 66KV, Cáp có tiết diện &lt;=35mm2</v>
          </cell>
          <cell r="D7758" t="str">
            <v>1 hộp nối</v>
          </cell>
          <cell r="H7758">
            <v>29725.5</v>
          </cell>
          <cell r="I7758">
            <v>1465578.1044736842</v>
          </cell>
        </row>
        <row r="7759">
          <cell r="C7759" t="str">
            <v>Vật liệu</v>
          </cell>
          <cell r="G7759">
            <v>29725.5</v>
          </cell>
        </row>
        <row r="7760">
          <cell r="B7760">
            <v>1</v>
          </cell>
          <cell r="C7760" t="str">
            <v>+ Cồn công nghiệp</v>
          </cell>
          <cell r="D7760" t="str">
            <v>kg</v>
          </cell>
          <cell r="E7760">
            <v>2.48</v>
          </cell>
          <cell r="F7760">
            <v>9500</v>
          </cell>
          <cell r="G7760">
            <v>23560</v>
          </cell>
        </row>
        <row r="7761">
          <cell r="B7761">
            <v>9</v>
          </cell>
          <cell r="C7761" t="str">
            <v>+ Giẻ lau</v>
          </cell>
          <cell r="D7761" t="str">
            <v>Kg</v>
          </cell>
          <cell r="E7761">
            <v>0.5</v>
          </cell>
          <cell r="F7761">
            <v>9500</v>
          </cell>
          <cell r="G7761">
            <v>4750</v>
          </cell>
        </row>
        <row r="7762">
          <cell r="B7762">
            <v>137</v>
          </cell>
          <cell r="C7762" t="str">
            <v>Vật liệu khác</v>
          </cell>
          <cell r="D7762" t="str">
            <v>%</v>
          </cell>
          <cell r="E7762">
            <v>5</v>
          </cell>
          <cell r="F7762">
            <v>1500</v>
          </cell>
          <cell r="G7762">
            <v>1415.5</v>
          </cell>
        </row>
        <row r="7763">
          <cell r="C7763" t="str">
            <v>Nhân công</v>
          </cell>
          <cell r="G7763">
            <v>1465578.1044736842</v>
          </cell>
        </row>
        <row r="7764">
          <cell r="B7764" t="str">
            <v>NC1457</v>
          </cell>
          <cell r="C7764" t="str">
            <v>+ Nhân công bậc 4,5/7</v>
          </cell>
          <cell r="D7764" t="str">
            <v>Công</v>
          </cell>
          <cell r="E7764">
            <v>6.92</v>
          </cell>
          <cell r="F7764">
            <v>211788.74342105264</v>
          </cell>
          <cell r="G7764">
            <v>1465578.1044736842</v>
          </cell>
        </row>
        <row r="7765">
          <cell r="A7765" t="str">
            <v>D4.4412</v>
          </cell>
          <cell r="C7765" t="str">
            <v>Làm hộp nối cáp khô điện áp 66KV, Cáp có tiết diện &lt; =70mm2</v>
          </cell>
          <cell r="D7765" t="str">
            <v>1 hộp nối</v>
          </cell>
          <cell r="H7765">
            <v>32219.25</v>
          </cell>
          <cell r="I7765">
            <v>1613830.2248684212</v>
          </cell>
        </row>
        <row r="7766">
          <cell r="C7766" t="str">
            <v>Vật liệu</v>
          </cell>
          <cell r="G7766">
            <v>32219.25</v>
          </cell>
        </row>
        <row r="7767">
          <cell r="B7767">
            <v>1</v>
          </cell>
          <cell r="C7767" t="str">
            <v>+ Cồn công nghiệp</v>
          </cell>
          <cell r="D7767" t="str">
            <v>kg</v>
          </cell>
          <cell r="E7767">
            <v>2.73</v>
          </cell>
          <cell r="F7767">
            <v>9500</v>
          </cell>
          <cell r="G7767">
            <v>25935</v>
          </cell>
        </row>
        <row r="7768">
          <cell r="B7768">
            <v>9</v>
          </cell>
          <cell r="C7768" t="str">
            <v>+ Giẻ lau</v>
          </cell>
          <cell r="D7768" t="str">
            <v>Kg</v>
          </cell>
          <cell r="E7768">
            <v>0.5</v>
          </cell>
          <cell r="F7768">
            <v>9500</v>
          </cell>
          <cell r="G7768">
            <v>4750</v>
          </cell>
        </row>
        <row r="7769">
          <cell r="B7769">
            <v>137</v>
          </cell>
          <cell r="C7769" t="str">
            <v>Vật liệu khác</v>
          </cell>
          <cell r="D7769" t="str">
            <v>%</v>
          </cell>
          <cell r="E7769">
            <v>5</v>
          </cell>
          <cell r="F7769">
            <v>1500</v>
          </cell>
          <cell r="G7769">
            <v>1534.25</v>
          </cell>
        </row>
        <row r="7770">
          <cell r="C7770" t="str">
            <v>Nhân công</v>
          </cell>
          <cell r="G7770">
            <v>1613830.2248684212</v>
          </cell>
        </row>
        <row r="7771">
          <cell r="B7771" t="str">
            <v>NC1457</v>
          </cell>
          <cell r="C7771" t="str">
            <v>+ Nhân công bậc 4,5/7</v>
          </cell>
          <cell r="D7771" t="str">
            <v>Công</v>
          </cell>
          <cell r="E7771">
            <v>7.62</v>
          </cell>
          <cell r="F7771">
            <v>211788.74342105264</v>
          </cell>
          <cell r="G7771">
            <v>1613830.2248684212</v>
          </cell>
        </row>
        <row r="7772">
          <cell r="A7772" t="str">
            <v>D4.4413</v>
          </cell>
          <cell r="C7772" t="str">
            <v>Làm hộp nối cáp khô điện áp 66KV, Cáp có tiết diện &lt; =120mm2</v>
          </cell>
          <cell r="D7772" t="str">
            <v>1 hộp nối</v>
          </cell>
          <cell r="H7772">
            <v>34912.5</v>
          </cell>
          <cell r="I7772">
            <v>1774789.6698684213</v>
          </cell>
        </row>
        <row r="7773">
          <cell r="C7773" t="str">
            <v>Vật liệu</v>
          </cell>
          <cell r="G7773">
            <v>34912.5</v>
          </cell>
        </row>
        <row r="7774">
          <cell r="B7774">
            <v>1</v>
          </cell>
          <cell r="C7774" t="str">
            <v>+ Cồn công nghiệp</v>
          </cell>
          <cell r="D7774" t="str">
            <v>kg</v>
          </cell>
          <cell r="E7774">
            <v>3</v>
          </cell>
          <cell r="F7774">
            <v>9500</v>
          </cell>
          <cell r="G7774">
            <v>28500</v>
          </cell>
        </row>
        <row r="7775">
          <cell r="B7775">
            <v>9</v>
          </cell>
          <cell r="C7775" t="str">
            <v>+ Giẻ lau</v>
          </cell>
          <cell r="D7775" t="str">
            <v>Kg</v>
          </cell>
          <cell r="E7775">
            <v>0.5</v>
          </cell>
          <cell r="F7775">
            <v>9500</v>
          </cell>
          <cell r="G7775">
            <v>4750</v>
          </cell>
        </row>
        <row r="7776">
          <cell r="B7776">
            <v>137</v>
          </cell>
          <cell r="C7776" t="str">
            <v>Vật liệu khác</v>
          </cell>
          <cell r="D7776" t="str">
            <v>%</v>
          </cell>
          <cell r="E7776">
            <v>5</v>
          </cell>
          <cell r="F7776">
            <v>1500</v>
          </cell>
          <cell r="G7776">
            <v>1662.5</v>
          </cell>
        </row>
        <row r="7777">
          <cell r="C7777" t="str">
            <v>Nhân công</v>
          </cell>
          <cell r="G7777">
            <v>1774789.6698684213</v>
          </cell>
        </row>
        <row r="7778">
          <cell r="B7778" t="str">
            <v>NC1457</v>
          </cell>
          <cell r="C7778" t="str">
            <v>+ Nhân công bậc 4,5/7</v>
          </cell>
          <cell r="D7778" t="str">
            <v>Công</v>
          </cell>
          <cell r="E7778">
            <v>8.3800000000000008</v>
          </cell>
          <cell r="F7778">
            <v>211788.74342105264</v>
          </cell>
          <cell r="G7778">
            <v>1774789.6698684213</v>
          </cell>
        </row>
        <row r="7779">
          <cell r="A7779" t="str">
            <v>D4.4414</v>
          </cell>
          <cell r="C7779" t="str">
            <v>Làm hộp nối cáp khô điện áp 66KV, Cáp có tiết diện &lt;=185mm2</v>
          </cell>
          <cell r="D7779" t="str">
            <v>1 hộp nối</v>
          </cell>
          <cell r="H7779">
            <v>44887.5</v>
          </cell>
          <cell r="I7779">
            <v>1954810.1017763161</v>
          </cell>
        </row>
        <row r="7780">
          <cell r="C7780" t="str">
            <v>Vật liệu</v>
          </cell>
          <cell r="G7780">
            <v>44887.5</v>
          </cell>
        </row>
        <row r="7781">
          <cell r="B7781">
            <v>1</v>
          </cell>
          <cell r="C7781" t="str">
            <v>+ Cồn công nghiệp</v>
          </cell>
          <cell r="D7781" t="str">
            <v>kg</v>
          </cell>
          <cell r="E7781">
            <v>4</v>
          </cell>
          <cell r="F7781">
            <v>9500</v>
          </cell>
          <cell r="G7781">
            <v>38000</v>
          </cell>
        </row>
        <row r="7782">
          <cell r="B7782">
            <v>9</v>
          </cell>
          <cell r="C7782" t="str">
            <v>+ Giẻ lau</v>
          </cell>
          <cell r="D7782" t="str">
            <v>Kg</v>
          </cell>
          <cell r="E7782">
            <v>0.5</v>
          </cell>
          <cell r="F7782">
            <v>9500</v>
          </cell>
          <cell r="G7782">
            <v>4750</v>
          </cell>
        </row>
        <row r="7783">
          <cell r="B7783">
            <v>137</v>
          </cell>
          <cell r="C7783" t="str">
            <v>Vật liệu khác</v>
          </cell>
          <cell r="D7783" t="str">
            <v>%</v>
          </cell>
          <cell r="E7783">
            <v>5</v>
          </cell>
          <cell r="F7783">
            <v>1500</v>
          </cell>
          <cell r="G7783">
            <v>2137.5</v>
          </cell>
        </row>
        <row r="7784">
          <cell r="C7784" t="str">
            <v>Nhân công</v>
          </cell>
          <cell r="G7784">
            <v>1954810.1017763161</v>
          </cell>
        </row>
        <row r="7785">
          <cell r="B7785" t="str">
            <v>NC1457</v>
          </cell>
          <cell r="C7785" t="str">
            <v>+ Nhân công bậc 4,5/7</v>
          </cell>
          <cell r="D7785" t="str">
            <v>Công</v>
          </cell>
          <cell r="E7785">
            <v>9.23</v>
          </cell>
          <cell r="F7785">
            <v>211788.74342105264</v>
          </cell>
          <cell r="G7785">
            <v>1954810.1017763161</v>
          </cell>
        </row>
        <row r="7786">
          <cell r="A7786" t="str">
            <v>D4.4415</v>
          </cell>
          <cell r="C7786" t="str">
            <v>Làm hộp nối cáp khô điện áp 66KV, Cáp có tiết diện &lt;= 240mm2</v>
          </cell>
          <cell r="D7786" t="str">
            <v>1 hộp nối</v>
          </cell>
          <cell r="H7786">
            <v>44887.5</v>
          </cell>
          <cell r="I7786">
            <v>2136948.421118421</v>
          </cell>
        </row>
        <row r="7787">
          <cell r="C7787" t="str">
            <v>Vật liệu</v>
          </cell>
          <cell r="G7787">
            <v>44887.5</v>
          </cell>
        </row>
        <row r="7788">
          <cell r="B7788">
            <v>1</v>
          </cell>
          <cell r="C7788" t="str">
            <v>+ Cồn công nghiệp</v>
          </cell>
          <cell r="D7788" t="str">
            <v>kg</v>
          </cell>
          <cell r="E7788">
            <v>4</v>
          </cell>
          <cell r="F7788">
            <v>9500</v>
          </cell>
          <cell r="G7788">
            <v>38000</v>
          </cell>
        </row>
        <row r="7789">
          <cell r="B7789">
            <v>9</v>
          </cell>
          <cell r="C7789" t="str">
            <v>+ Giẻ lau</v>
          </cell>
          <cell r="D7789" t="str">
            <v>Kg</v>
          </cell>
          <cell r="E7789">
            <v>0.5</v>
          </cell>
          <cell r="F7789">
            <v>9500</v>
          </cell>
          <cell r="G7789">
            <v>4750</v>
          </cell>
        </row>
        <row r="7790">
          <cell r="B7790">
            <v>137</v>
          </cell>
          <cell r="C7790" t="str">
            <v>Vật liệu khác</v>
          </cell>
          <cell r="D7790" t="str">
            <v>%</v>
          </cell>
          <cell r="E7790">
            <v>5</v>
          </cell>
          <cell r="F7790">
            <v>1500</v>
          </cell>
          <cell r="G7790">
            <v>2137.5</v>
          </cell>
        </row>
        <row r="7791">
          <cell r="C7791" t="str">
            <v>Nhân công</v>
          </cell>
          <cell r="G7791">
            <v>2136948.421118421</v>
          </cell>
        </row>
        <row r="7792">
          <cell r="B7792" t="str">
            <v>NC1457</v>
          </cell>
          <cell r="C7792" t="str">
            <v>+ Nhân công bậc 4,5/7</v>
          </cell>
          <cell r="D7792" t="str">
            <v>Công</v>
          </cell>
          <cell r="E7792">
            <v>10.09</v>
          </cell>
          <cell r="F7792">
            <v>211788.74342105264</v>
          </cell>
          <cell r="G7792">
            <v>2136948.421118421</v>
          </cell>
        </row>
        <row r="7793">
          <cell r="A7793" t="str">
            <v>D4.4416</v>
          </cell>
          <cell r="C7793" t="str">
            <v>Làm hộp nối cáp khô điện áp 66KV, Cáp có tiết diện &lt;=300mm2</v>
          </cell>
          <cell r="D7793" t="str">
            <v>1 hộp nối</v>
          </cell>
          <cell r="H7793">
            <v>44887.5</v>
          </cell>
          <cell r="I7793">
            <v>2346619.2771052634</v>
          </cell>
        </row>
        <row r="7794">
          <cell r="C7794" t="str">
            <v>Vật liệu</v>
          </cell>
          <cell r="G7794">
            <v>44887.5</v>
          </cell>
        </row>
        <row r="7795">
          <cell r="B7795">
            <v>1</v>
          </cell>
          <cell r="C7795" t="str">
            <v>+ Cồn công nghiệp</v>
          </cell>
          <cell r="D7795" t="str">
            <v>kg</v>
          </cell>
          <cell r="E7795">
            <v>4</v>
          </cell>
          <cell r="F7795">
            <v>9500</v>
          </cell>
          <cell r="G7795">
            <v>38000</v>
          </cell>
        </row>
        <row r="7796">
          <cell r="B7796">
            <v>9</v>
          </cell>
          <cell r="C7796" t="str">
            <v>+ Giẻ lau</v>
          </cell>
          <cell r="D7796" t="str">
            <v>Kg</v>
          </cell>
          <cell r="E7796">
            <v>0.5</v>
          </cell>
          <cell r="F7796">
            <v>9500</v>
          </cell>
          <cell r="G7796">
            <v>4750</v>
          </cell>
        </row>
        <row r="7797">
          <cell r="B7797">
            <v>137</v>
          </cell>
          <cell r="C7797" t="str">
            <v>Vật liệu khác</v>
          </cell>
          <cell r="D7797" t="str">
            <v>%</v>
          </cell>
          <cell r="E7797">
            <v>5</v>
          </cell>
          <cell r="F7797">
            <v>1500</v>
          </cell>
          <cell r="G7797">
            <v>2137.5</v>
          </cell>
        </row>
        <row r="7798">
          <cell r="C7798" t="str">
            <v>Nhân công</v>
          </cell>
          <cell r="G7798">
            <v>2346619.2771052634</v>
          </cell>
        </row>
        <row r="7799">
          <cell r="B7799" t="str">
            <v>NC1457</v>
          </cell>
          <cell r="C7799" t="str">
            <v>+ Nhân công bậc 4,5/7</v>
          </cell>
          <cell r="D7799" t="str">
            <v>Công</v>
          </cell>
          <cell r="E7799">
            <v>11.08</v>
          </cell>
          <cell r="F7799">
            <v>211788.74342105264</v>
          </cell>
          <cell r="G7799">
            <v>2346619.2771052634</v>
          </cell>
        </row>
        <row r="7800">
          <cell r="A7800" t="str">
            <v>D4.4417</v>
          </cell>
          <cell r="C7800" t="str">
            <v>Làm hộp nối cáp khô điện áp 66KV, Cáp có tiết diện &lt;=400mm2</v>
          </cell>
          <cell r="D7800" t="str">
            <v>1 hộp nối</v>
          </cell>
          <cell r="H7800">
            <v>52867.5</v>
          </cell>
          <cell r="I7800">
            <v>2772314.6513815792</v>
          </cell>
        </row>
        <row r="7801">
          <cell r="C7801" t="str">
            <v>Vật liệu</v>
          </cell>
          <cell r="G7801">
            <v>52867.5</v>
          </cell>
        </row>
        <row r="7802">
          <cell r="B7802">
            <v>1</v>
          </cell>
          <cell r="C7802" t="str">
            <v>+ Cồn công nghiệp</v>
          </cell>
          <cell r="D7802" t="str">
            <v>kg</v>
          </cell>
          <cell r="E7802">
            <v>4.8</v>
          </cell>
          <cell r="F7802">
            <v>9500</v>
          </cell>
          <cell r="G7802">
            <v>45600</v>
          </cell>
        </row>
        <row r="7803">
          <cell r="B7803">
            <v>9</v>
          </cell>
          <cell r="C7803" t="str">
            <v>+ Giẻ lau</v>
          </cell>
          <cell r="D7803" t="str">
            <v>Kg</v>
          </cell>
          <cell r="E7803">
            <v>0.5</v>
          </cell>
          <cell r="F7803">
            <v>9500</v>
          </cell>
          <cell r="G7803">
            <v>4750</v>
          </cell>
        </row>
        <row r="7804">
          <cell r="B7804">
            <v>137</v>
          </cell>
          <cell r="C7804" t="str">
            <v>Vật liệu khác</v>
          </cell>
          <cell r="D7804" t="str">
            <v>%</v>
          </cell>
          <cell r="E7804">
            <v>5</v>
          </cell>
          <cell r="F7804">
            <v>1500</v>
          </cell>
          <cell r="G7804">
            <v>2517.5</v>
          </cell>
        </row>
        <row r="7805">
          <cell r="C7805" t="str">
            <v>Nhân công</v>
          </cell>
          <cell r="G7805">
            <v>2772314.6513815792</v>
          </cell>
        </row>
        <row r="7806">
          <cell r="B7806" t="str">
            <v>NC1457</v>
          </cell>
          <cell r="C7806" t="str">
            <v>+ Nhân công bậc 4,5/7</v>
          </cell>
          <cell r="D7806" t="str">
            <v>Công</v>
          </cell>
          <cell r="E7806">
            <v>13.09</v>
          </cell>
          <cell r="F7806">
            <v>211788.74342105264</v>
          </cell>
          <cell r="G7806">
            <v>2772314.6513815792</v>
          </cell>
        </row>
        <row r="7807">
          <cell r="A7807" t="str">
            <v>D4.4421</v>
          </cell>
          <cell r="C7807" t="str">
            <v>Làm hộp nối cáp khô điện áp 110KV, Cáp có tiết diện &lt;=35mm2</v>
          </cell>
          <cell r="D7807" t="str">
            <v>1 hộp nối</v>
          </cell>
          <cell r="H7807">
            <v>29725.5</v>
          </cell>
          <cell r="I7807">
            <v>1908216.5782236843</v>
          </cell>
        </row>
        <row r="7808">
          <cell r="C7808" t="str">
            <v>Vật liệu</v>
          </cell>
          <cell r="G7808">
            <v>29725.5</v>
          </cell>
        </row>
        <row r="7809">
          <cell r="B7809">
            <v>1</v>
          </cell>
          <cell r="C7809" t="str">
            <v>+ Cồn công nghiệp</v>
          </cell>
          <cell r="D7809" t="str">
            <v>kg</v>
          </cell>
          <cell r="E7809">
            <v>2.48</v>
          </cell>
          <cell r="F7809">
            <v>9500</v>
          </cell>
          <cell r="G7809">
            <v>23560</v>
          </cell>
        </row>
        <row r="7810">
          <cell r="B7810">
            <v>9</v>
          </cell>
          <cell r="C7810" t="str">
            <v>+ Giẻ lau</v>
          </cell>
          <cell r="D7810" t="str">
            <v>Kg</v>
          </cell>
          <cell r="E7810">
            <v>0.5</v>
          </cell>
          <cell r="F7810">
            <v>9500</v>
          </cell>
          <cell r="G7810">
            <v>4750</v>
          </cell>
        </row>
        <row r="7811">
          <cell r="B7811">
            <v>137</v>
          </cell>
          <cell r="C7811" t="str">
            <v>Vật liệu khác</v>
          </cell>
          <cell r="D7811" t="str">
            <v>%</v>
          </cell>
          <cell r="E7811">
            <v>5</v>
          </cell>
          <cell r="F7811">
            <v>1500</v>
          </cell>
          <cell r="G7811">
            <v>1415.5</v>
          </cell>
        </row>
        <row r="7812">
          <cell r="C7812" t="str">
            <v>Nhân công</v>
          </cell>
          <cell r="G7812">
            <v>1908216.5782236843</v>
          </cell>
        </row>
        <row r="7813">
          <cell r="B7813" t="str">
            <v>NC1457</v>
          </cell>
          <cell r="C7813" t="str">
            <v>+ Nhân công bậc 4,5/7</v>
          </cell>
          <cell r="D7813" t="str">
            <v>Công</v>
          </cell>
          <cell r="E7813">
            <v>9.01</v>
          </cell>
          <cell r="F7813">
            <v>211788.74342105264</v>
          </cell>
          <cell r="G7813">
            <v>1908216.5782236843</v>
          </cell>
        </row>
        <row r="7814">
          <cell r="A7814" t="str">
            <v>D4.4422</v>
          </cell>
          <cell r="C7814" t="str">
            <v>Làm hộp nối cáp khô điện áp 110KV, Cáp có tiết diện &lt; =70mm2</v>
          </cell>
          <cell r="D7814" t="str">
            <v>1 hộp nối</v>
          </cell>
          <cell r="H7814">
            <v>32219.25</v>
          </cell>
          <cell r="I7814">
            <v>2098826.4473026316</v>
          </cell>
        </row>
        <row r="7815">
          <cell r="C7815" t="str">
            <v>Vật liệu</v>
          </cell>
          <cell r="G7815">
            <v>32219.25</v>
          </cell>
        </row>
        <row r="7816">
          <cell r="B7816">
            <v>1</v>
          </cell>
          <cell r="C7816" t="str">
            <v>+ Cồn công nghiệp</v>
          </cell>
          <cell r="D7816" t="str">
            <v>kg</v>
          </cell>
          <cell r="E7816">
            <v>2.73</v>
          </cell>
          <cell r="F7816">
            <v>9500</v>
          </cell>
          <cell r="G7816">
            <v>25935</v>
          </cell>
        </row>
        <row r="7817">
          <cell r="B7817">
            <v>9</v>
          </cell>
          <cell r="C7817" t="str">
            <v>+ Giẻ lau</v>
          </cell>
          <cell r="D7817" t="str">
            <v>Kg</v>
          </cell>
          <cell r="E7817">
            <v>0.5</v>
          </cell>
          <cell r="F7817">
            <v>9500</v>
          </cell>
          <cell r="G7817">
            <v>4750</v>
          </cell>
        </row>
        <row r="7818">
          <cell r="B7818">
            <v>137</v>
          </cell>
          <cell r="C7818" t="str">
            <v>Vật liệu khác</v>
          </cell>
          <cell r="D7818" t="str">
            <v>%</v>
          </cell>
          <cell r="E7818">
            <v>5</v>
          </cell>
          <cell r="F7818">
            <v>1500</v>
          </cell>
          <cell r="G7818">
            <v>1534.25</v>
          </cell>
        </row>
        <row r="7819">
          <cell r="C7819" t="str">
            <v>Nhân công</v>
          </cell>
          <cell r="G7819">
            <v>2098826.4473026316</v>
          </cell>
        </row>
        <row r="7820">
          <cell r="B7820" t="str">
            <v>NC1457</v>
          </cell>
          <cell r="C7820" t="str">
            <v>+ Nhân công bậc 4,5/7</v>
          </cell>
          <cell r="D7820" t="str">
            <v>Công</v>
          </cell>
          <cell r="E7820">
            <v>9.91</v>
          </cell>
          <cell r="F7820">
            <v>211788.74342105264</v>
          </cell>
          <cell r="G7820">
            <v>2098826.4473026316</v>
          </cell>
        </row>
        <row r="7821">
          <cell r="A7821" t="str">
            <v>D4.4423</v>
          </cell>
          <cell r="C7821" t="str">
            <v>Làm hộp nối cáp khô điện áp 110KV, Cáp có tiết diện &lt; =120mm2</v>
          </cell>
          <cell r="D7821" t="str">
            <v>1 hộp nối</v>
          </cell>
          <cell r="H7821">
            <v>34912.5</v>
          </cell>
          <cell r="I7821">
            <v>2308497.303289474</v>
          </cell>
        </row>
        <row r="7822">
          <cell r="C7822" t="str">
            <v>Vật liệu</v>
          </cell>
          <cell r="G7822">
            <v>34912.5</v>
          </cell>
        </row>
        <row r="7823">
          <cell r="B7823">
            <v>1</v>
          </cell>
          <cell r="C7823" t="str">
            <v>+ Cồn công nghiệp</v>
          </cell>
          <cell r="D7823" t="str">
            <v>kg</v>
          </cell>
          <cell r="E7823">
            <v>3</v>
          </cell>
          <cell r="F7823">
            <v>9500</v>
          </cell>
          <cell r="G7823">
            <v>28500</v>
          </cell>
        </row>
        <row r="7824">
          <cell r="B7824">
            <v>9</v>
          </cell>
          <cell r="C7824" t="str">
            <v>+ Giẻ lau</v>
          </cell>
          <cell r="D7824" t="str">
            <v>Kg</v>
          </cell>
          <cell r="E7824">
            <v>0.5</v>
          </cell>
          <cell r="F7824">
            <v>9500</v>
          </cell>
          <cell r="G7824">
            <v>4750</v>
          </cell>
        </row>
        <row r="7825">
          <cell r="B7825">
            <v>137</v>
          </cell>
          <cell r="C7825" t="str">
            <v>Vật liệu khác</v>
          </cell>
          <cell r="D7825" t="str">
            <v>%</v>
          </cell>
          <cell r="E7825">
            <v>5</v>
          </cell>
          <cell r="F7825">
            <v>1500</v>
          </cell>
          <cell r="G7825">
            <v>1662.5</v>
          </cell>
        </row>
        <row r="7826">
          <cell r="C7826" t="str">
            <v>Nhân công</v>
          </cell>
          <cell r="G7826">
            <v>2308497.303289474</v>
          </cell>
        </row>
        <row r="7827">
          <cell r="B7827" t="str">
            <v>NC1457</v>
          </cell>
          <cell r="C7827" t="str">
            <v>+ Nhân công bậc 4,5/7</v>
          </cell>
          <cell r="D7827" t="str">
            <v>Công</v>
          </cell>
          <cell r="E7827">
            <v>10.9</v>
          </cell>
          <cell r="F7827">
            <v>211788.74342105264</v>
          </cell>
          <cell r="G7827">
            <v>2308497.303289474</v>
          </cell>
        </row>
        <row r="7828">
          <cell r="A7828" t="str">
            <v>D4.4424</v>
          </cell>
          <cell r="C7828" t="str">
            <v>Làm hộp nối cáp khô điện áp 110KV, Cáp có tiết diện &lt;=185mm2</v>
          </cell>
          <cell r="D7828" t="str">
            <v>1 hộp nối</v>
          </cell>
          <cell r="H7828">
            <v>44887.5</v>
          </cell>
          <cell r="I7828">
            <v>2543582.8084868421</v>
          </cell>
        </row>
        <row r="7829">
          <cell r="C7829" t="str">
            <v>Vật liệu</v>
          </cell>
          <cell r="G7829">
            <v>44887.5</v>
          </cell>
        </row>
        <row r="7830">
          <cell r="B7830">
            <v>1</v>
          </cell>
          <cell r="C7830" t="str">
            <v>+ Cồn công nghiệp</v>
          </cell>
          <cell r="D7830" t="str">
            <v>kg</v>
          </cell>
          <cell r="E7830">
            <v>4</v>
          </cell>
          <cell r="F7830">
            <v>9500</v>
          </cell>
          <cell r="G7830">
            <v>38000</v>
          </cell>
        </row>
        <row r="7831">
          <cell r="B7831">
            <v>9</v>
          </cell>
          <cell r="C7831" t="str">
            <v>+ Giẻ lau</v>
          </cell>
          <cell r="D7831" t="str">
            <v>Kg</v>
          </cell>
          <cell r="E7831">
            <v>0.5</v>
          </cell>
          <cell r="F7831">
            <v>9500</v>
          </cell>
          <cell r="G7831">
            <v>4750</v>
          </cell>
        </row>
        <row r="7832">
          <cell r="B7832">
            <v>137</v>
          </cell>
          <cell r="C7832" t="str">
            <v>Vật liệu khác</v>
          </cell>
          <cell r="D7832" t="str">
            <v>%</v>
          </cell>
          <cell r="E7832">
            <v>5</v>
          </cell>
          <cell r="F7832">
            <v>1500</v>
          </cell>
          <cell r="G7832">
            <v>2137.5</v>
          </cell>
        </row>
        <row r="7833">
          <cell r="C7833" t="str">
            <v>Nhân công</v>
          </cell>
          <cell r="G7833">
            <v>2543582.8084868421</v>
          </cell>
        </row>
        <row r="7834">
          <cell r="B7834" t="str">
            <v>NC1457</v>
          </cell>
          <cell r="C7834" t="str">
            <v>+ Nhân công bậc 4,5/7</v>
          </cell>
          <cell r="D7834" t="str">
            <v>Công</v>
          </cell>
          <cell r="E7834">
            <v>12.01</v>
          </cell>
          <cell r="F7834">
            <v>211788.74342105264</v>
          </cell>
          <cell r="G7834">
            <v>2543582.8084868421</v>
          </cell>
        </row>
        <row r="7835">
          <cell r="A7835" t="str">
            <v>D4.4425</v>
          </cell>
          <cell r="C7835" t="str">
            <v>Làm hộp nối cáp khô điện áp 110KV, Cáp có tiết diện &lt;= 240mm2</v>
          </cell>
          <cell r="D7835" t="str">
            <v>1 hộp nối</v>
          </cell>
          <cell r="H7835">
            <v>44887.5</v>
          </cell>
          <cell r="I7835">
            <v>2778668.3136842106</v>
          </cell>
        </row>
        <row r="7836">
          <cell r="C7836" t="str">
            <v>Vật liệu</v>
          </cell>
          <cell r="G7836">
            <v>44887.5</v>
          </cell>
        </row>
        <row r="7837">
          <cell r="B7837">
            <v>1</v>
          </cell>
          <cell r="C7837" t="str">
            <v>+ Cồn công nghiệp</v>
          </cell>
          <cell r="D7837" t="str">
            <v>kg</v>
          </cell>
          <cell r="E7837">
            <v>4</v>
          </cell>
          <cell r="F7837">
            <v>9500</v>
          </cell>
          <cell r="G7837">
            <v>38000</v>
          </cell>
        </row>
        <row r="7838">
          <cell r="B7838">
            <v>9</v>
          </cell>
          <cell r="C7838" t="str">
            <v>+ Giẻ lau</v>
          </cell>
          <cell r="D7838" t="str">
            <v>Kg</v>
          </cell>
          <cell r="E7838">
            <v>0.5</v>
          </cell>
          <cell r="F7838">
            <v>9500</v>
          </cell>
          <cell r="G7838">
            <v>4750</v>
          </cell>
        </row>
        <row r="7839">
          <cell r="B7839">
            <v>137</v>
          </cell>
          <cell r="C7839" t="str">
            <v>Vật liệu khác</v>
          </cell>
          <cell r="D7839" t="str">
            <v>%</v>
          </cell>
          <cell r="E7839">
            <v>5</v>
          </cell>
          <cell r="F7839">
            <v>1500</v>
          </cell>
          <cell r="G7839">
            <v>2137.5</v>
          </cell>
        </row>
        <row r="7840">
          <cell r="C7840" t="str">
            <v>Nhân công</v>
          </cell>
          <cell r="G7840">
            <v>2778668.3136842106</v>
          </cell>
        </row>
        <row r="7841">
          <cell r="B7841" t="str">
            <v>NC1457</v>
          </cell>
          <cell r="C7841" t="str">
            <v>+ Nhân công bậc 4,5/7</v>
          </cell>
          <cell r="D7841" t="str">
            <v>Công</v>
          </cell>
          <cell r="E7841">
            <v>13.12</v>
          </cell>
          <cell r="F7841">
            <v>211788.74342105264</v>
          </cell>
          <cell r="G7841">
            <v>2778668.3136842106</v>
          </cell>
        </row>
        <row r="7842">
          <cell r="A7842" t="str">
            <v>D4.4426</v>
          </cell>
          <cell r="C7842" t="str">
            <v>Làm hộp nối cáp khô điện áp 110KV, Cáp có tiết diện &lt;=300mm2</v>
          </cell>
          <cell r="D7842" t="str">
            <v>1 hộp nối</v>
          </cell>
          <cell r="H7842">
            <v>44887.5</v>
          </cell>
          <cell r="I7842">
            <v>3047640.0178289474</v>
          </cell>
        </row>
        <row r="7843">
          <cell r="C7843" t="str">
            <v>Vật liệu</v>
          </cell>
          <cell r="G7843">
            <v>44887.5</v>
          </cell>
        </row>
        <row r="7844">
          <cell r="B7844">
            <v>1</v>
          </cell>
          <cell r="C7844" t="str">
            <v>+ Cồn công nghiệp</v>
          </cell>
          <cell r="D7844" t="str">
            <v>kg</v>
          </cell>
          <cell r="E7844">
            <v>4</v>
          </cell>
          <cell r="F7844">
            <v>9500</v>
          </cell>
          <cell r="G7844">
            <v>38000</v>
          </cell>
        </row>
        <row r="7845">
          <cell r="B7845">
            <v>9</v>
          </cell>
          <cell r="C7845" t="str">
            <v>+ Giẻ lau</v>
          </cell>
          <cell r="D7845" t="str">
            <v>Kg</v>
          </cell>
          <cell r="E7845">
            <v>0.5</v>
          </cell>
          <cell r="F7845">
            <v>9500</v>
          </cell>
          <cell r="G7845">
            <v>4750</v>
          </cell>
        </row>
        <row r="7846">
          <cell r="B7846">
            <v>137</v>
          </cell>
          <cell r="C7846" t="str">
            <v>Vật liệu khác</v>
          </cell>
          <cell r="D7846" t="str">
            <v>%</v>
          </cell>
          <cell r="E7846">
            <v>5</v>
          </cell>
          <cell r="F7846">
            <v>1500</v>
          </cell>
          <cell r="G7846">
            <v>2137.5</v>
          </cell>
        </row>
        <row r="7847">
          <cell r="C7847" t="str">
            <v>Nhân công</v>
          </cell>
          <cell r="G7847">
            <v>3047640.0178289474</v>
          </cell>
        </row>
        <row r="7848">
          <cell r="B7848" t="str">
            <v>NC1457</v>
          </cell>
          <cell r="C7848" t="str">
            <v>+ Nhân công bậc 4,5/7</v>
          </cell>
          <cell r="D7848" t="str">
            <v>Công</v>
          </cell>
          <cell r="E7848">
            <v>14.39</v>
          </cell>
          <cell r="F7848">
            <v>211788.74342105264</v>
          </cell>
          <cell r="G7848">
            <v>3047640.0178289474</v>
          </cell>
        </row>
        <row r="7849">
          <cell r="A7849" t="str">
            <v>D4.4427</v>
          </cell>
          <cell r="C7849" t="str">
            <v>Làm hộp nối cáp khô điện áp 110KV, Cáp có tiết diện &lt;=400mm2</v>
          </cell>
          <cell r="D7849" t="str">
            <v>1 hộp nối</v>
          </cell>
          <cell r="H7849">
            <v>52867.5</v>
          </cell>
          <cell r="I7849">
            <v>3657591.598881579</v>
          </cell>
        </row>
        <row r="7850">
          <cell r="C7850" t="str">
            <v>Vật liệu</v>
          </cell>
          <cell r="G7850">
            <v>52867.5</v>
          </cell>
        </row>
        <row r="7851">
          <cell r="B7851">
            <v>1</v>
          </cell>
          <cell r="C7851" t="str">
            <v>+ Cồn công nghiệp</v>
          </cell>
          <cell r="D7851" t="str">
            <v>kg</v>
          </cell>
          <cell r="E7851">
            <v>4.8</v>
          </cell>
          <cell r="F7851">
            <v>9500</v>
          </cell>
          <cell r="G7851">
            <v>45600</v>
          </cell>
        </row>
        <row r="7852">
          <cell r="B7852">
            <v>9</v>
          </cell>
          <cell r="C7852" t="str">
            <v>+ Giẻ lau</v>
          </cell>
          <cell r="D7852" t="str">
            <v>Kg</v>
          </cell>
          <cell r="E7852">
            <v>0.5</v>
          </cell>
          <cell r="F7852">
            <v>9500</v>
          </cell>
          <cell r="G7852">
            <v>4750</v>
          </cell>
        </row>
        <row r="7853">
          <cell r="B7853">
            <v>137</v>
          </cell>
          <cell r="C7853" t="str">
            <v>Vật liệu khác</v>
          </cell>
          <cell r="D7853" t="str">
            <v>%</v>
          </cell>
          <cell r="E7853">
            <v>5</v>
          </cell>
          <cell r="F7853">
            <v>1500</v>
          </cell>
          <cell r="G7853">
            <v>2517.5</v>
          </cell>
        </row>
        <row r="7854">
          <cell r="C7854" t="str">
            <v>Nhân công</v>
          </cell>
          <cell r="G7854">
            <v>3657591.598881579</v>
          </cell>
        </row>
        <row r="7855">
          <cell r="B7855" t="str">
            <v>NC1457</v>
          </cell>
          <cell r="C7855" t="str">
            <v>+ Nhân công bậc 4,5/7</v>
          </cell>
          <cell r="D7855" t="str">
            <v>Công</v>
          </cell>
          <cell r="E7855">
            <v>17.27</v>
          </cell>
          <cell r="F7855">
            <v>211788.74342105264</v>
          </cell>
          <cell r="G7855">
            <v>3657591.598881579</v>
          </cell>
        </row>
        <row r="7856">
          <cell r="A7856" t="str">
            <v>D4.4431</v>
          </cell>
          <cell r="C7856" t="str">
            <v>Làm hộp nối cáp dầu điện áp 66KV, Cáp có tiết diện &lt;=35mm2</v>
          </cell>
          <cell r="D7856" t="str">
            <v>1 hộp nối</v>
          </cell>
          <cell r="H7856">
            <v>1640121</v>
          </cell>
          <cell r="I7856">
            <v>3530518.3528289478</v>
          </cell>
        </row>
        <row r="7857">
          <cell r="C7857" t="str">
            <v>Vật liệu</v>
          </cell>
          <cell r="G7857">
            <v>1640121</v>
          </cell>
        </row>
        <row r="7858">
          <cell r="B7858">
            <v>129</v>
          </cell>
          <cell r="C7858" t="str">
            <v>+ Hộp nối cáp loại 35mm2</v>
          </cell>
          <cell r="D7858" t="str">
            <v>hộp</v>
          </cell>
          <cell r="E7858">
            <v>1</v>
          </cell>
          <cell r="F7858">
            <v>0</v>
          </cell>
          <cell r="G7858">
            <v>0</v>
          </cell>
        </row>
        <row r="7859">
          <cell r="B7859">
            <v>25</v>
          </cell>
          <cell r="C7859" t="str">
            <v>+ Băng cách điện</v>
          </cell>
          <cell r="D7859" t="str">
            <v>cuộn</v>
          </cell>
          <cell r="E7859">
            <v>7.5</v>
          </cell>
          <cell r="F7859">
            <v>8000</v>
          </cell>
          <cell r="G7859">
            <v>60000</v>
          </cell>
        </row>
        <row r="7860">
          <cell r="B7860">
            <v>20</v>
          </cell>
          <cell r="C7860" t="str">
            <v>+ Thiếc hàn</v>
          </cell>
          <cell r="D7860" t="str">
            <v>kg</v>
          </cell>
          <cell r="E7860">
            <v>6</v>
          </cell>
          <cell r="F7860">
            <v>80000</v>
          </cell>
          <cell r="G7860">
            <v>480000</v>
          </cell>
        </row>
        <row r="7861">
          <cell r="B7861">
            <v>21</v>
          </cell>
          <cell r="C7861" t="str">
            <v>+ Nhựa thông</v>
          </cell>
          <cell r="D7861" t="str">
            <v>kg</v>
          </cell>
          <cell r="E7861">
            <v>0.6</v>
          </cell>
          <cell r="F7861">
            <v>27000</v>
          </cell>
          <cell r="G7861">
            <v>16200</v>
          </cell>
        </row>
        <row r="7862">
          <cell r="B7862">
            <v>33</v>
          </cell>
          <cell r="C7862" t="str">
            <v>+ Ma tít</v>
          </cell>
          <cell r="D7862" t="str">
            <v>kg</v>
          </cell>
          <cell r="E7862">
            <v>0.9</v>
          </cell>
          <cell r="F7862">
            <v>17300</v>
          </cell>
          <cell r="G7862">
            <v>15570</v>
          </cell>
        </row>
        <row r="7863">
          <cell r="B7863">
            <v>71</v>
          </cell>
          <cell r="C7863" t="str">
            <v>+ Củi đun</v>
          </cell>
          <cell r="D7863" t="str">
            <v>kg</v>
          </cell>
          <cell r="E7863">
            <v>30</v>
          </cell>
          <cell r="F7863">
            <v>1800</v>
          </cell>
          <cell r="G7863">
            <v>54000</v>
          </cell>
        </row>
        <row r="7864">
          <cell r="B7864">
            <v>1</v>
          </cell>
          <cell r="C7864" t="str">
            <v>+ Cồn công nghiệp</v>
          </cell>
          <cell r="D7864" t="str">
            <v>kg</v>
          </cell>
          <cell r="E7864">
            <v>32</v>
          </cell>
          <cell r="F7864">
            <v>9500</v>
          </cell>
          <cell r="G7864">
            <v>304000</v>
          </cell>
        </row>
        <row r="7865">
          <cell r="B7865">
            <v>9</v>
          </cell>
          <cell r="C7865" t="str">
            <v>+ Giẻ lau</v>
          </cell>
          <cell r="D7865" t="str">
            <v>Kg</v>
          </cell>
          <cell r="E7865">
            <v>1.5</v>
          </cell>
          <cell r="F7865">
            <v>9500</v>
          </cell>
          <cell r="G7865">
            <v>14250</v>
          </cell>
        </row>
        <row r="7866">
          <cell r="B7866">
            <v>35</v>
          </cell>
          <cell r="C7866" t="str">
            <v>+ Chất cách điện</v>
          </cell>
          <cell r="D7866" t="str">
            <v>kg</v>
          </cell>
          <cell r="E7866">
            <v>40</v>
          </cell>
          <cell r="F7866">
            <v>15450</v>
          </cell>
          <cell r="G7866">
            <v>618000</v>
          </cell>
        </row>
        <row r="7867">
          <cell r="B7867">
            <v>34</v>
          </cell>
          <cell r="C7867" t="str">
            <v>+ Dầu biến áp</v>
          </cell>
          <cell r="D7867" t="str">
            <v>kg</v>
          </cell>
          <cell r="E7867">
            <v>6</v>
          </cell>
          <cell r="F7867">
            <v>0</v>
          </cell>
          <cell r="G7867">
            <v>0</v>
          </cell>
        </row>
        <row r="7868">
          <cell r="B7868">
            <v>137</v>
          </cell>
          <cell r="C7868" t="str">
            <v>Vật liệu khác</v>
          </cell>
          <cell r="D7868" t="str">
            <v>%</v>
          </cell>
          <cell r="E7868">
            <v>5</v>
          </cell>
          <cell r="F7868">
            <v>1500</v>
          </cell>
          <cell r="G7868">
            <v>78101</v>
          </cell>
        </row>
        <row r="7869">
          <cell r="C7869" t="str">
            <v>Nhân công</v>
          </cell>
          <cell r="G7869">
            <v>3530518.3528289478</v>
          </cell>
        </row>
        <row r="7870">
          <cell r="B7870" t="str">
            <v>NC1457</v>
          </cell>
          <cell r="C7870" t="str">
            <v>+ Nhân công bậc 4,5/7</v>
          </cell>
          <cell r="D7870" t="str">
            <v>Công</v>
          </cell>
          <cell r="E7870">
            <v>16.670000000000002</v>
          </cell>
          <cell r="F7870">
            <v>211788.74342105264</v>
          </cell>
          <cell r="G7870">
            <v>3530518.3528289478</v>
          </cell>
        </row>
        <row r="7871">
          <cell r="A7871" t="str">
            <v>D4.4432</v>
          </cell>
          <cell r="C7871" t="str">
            <v>Làm hộp nối cáp dầu điện áp 66KV, Cáp có tiết diện &lt;=70mm2</v>
          </cell>
          <cell r="D7871" t="str">
            <v>1 hộp nối</v>
          </cell>
          <cell r="H7871">
            <v>1640121</v>
          </cell>
          <cell r="I7871">
            <v>3835494.1433552634</v>
          </cell>
        </row>
        <row r="7872">
          <cell r="C7872" t="str">
            <v>Vật liệu</v>
          </cell>
          <cell r="G7872">
            <v>1640121</v>
          </cell>
        </row>
        <row r="7873">
          <cell r="B7873">
            <v>130</v>
          </cell>
          <cell r="C7873" t="str">
            <v>+ Hộp nối cáp loại 70mm2</v>
          </cell>
          <cell r="D7873" t="str">
            <v>hộp</v>
          </cell>
          <cell r="E7873">
            <v>1</v>
          </cell>
          <cell r="F7873">
            <v>0</v>
          </cell>
          <cell r="G7873">
            <v>0</v>
          </cell>
        </row>
        <row r="7874">
          <cell r="B7874">
            <v>25</v>
          </cell>
          <cell r="C7874" t="str">
            <v>+ Băng cách điện</v>
          </cell>
          <cell r="D7874" t="str">
            <v>cuộn</v>
          </cell>
          <cell r="E7874">
            <v>7.5</v>
          </cell>
          <cell r="F7874">
            <v>8000</v>
          </cell>
          <cell r="G7874">
            <v>60000</v>
          </cell>
        </row>
        <row r="7875">
          <cell r="B7875">
            <v>20</v>
          </cell>
          <cell r="C7875" t="str">
            <v>+ Thiếc hàn</v>
          </cell>
          <cell r="D7875" t="str">
            <v>kg</v>
          </cell>
          <cell r="E7875">
            <v>6</v>
          </cell>
          <cell r="F7875">
            <v>80000</v>
          </cell>
          <cell r="G7875">
            <v>480000</v>
          </cell>
        </row>
        <row r="7876">
          <cell r="B7876">
            <v>21</v>
          </cell>
          <cell r="C7876" t="str">
            <v>+ Nhựa thông</v>
          </cell>
          <cell r="D7876" t="str">
            <v>kg</v>
          </cell>
          <cell r="E7876">
            <v>0.6</v>
          </cell>
          <cell r="F7876">
            <v>27000</v>
          </cell>
          <cell r="G7876">
            <v>16200</v>
          </cell>
        </row>
        <row r="7877">
          <cell r="B7877">
            <v>33</v>
          </cell>
          <cell r="C7877" t="str">
            <v>+ Ma tít</v>
          </cell>
          <cell r="D7877" t="str">
            <v>kg</v>
          </cell>
          <cell r="E7877">
            <v>0.9</v>
          </cell>
          <cell r="F7877">
            <v>17300</v>
          </cell>
          <cell r="G7877">
            <v>15570</v>
          </cell>
        </row>
        <row r="7878">
          <cell r="B7878">
            <v>71</v>
          </cell>
          <cell r="C7878" t="str">
            <v>+ Củi đun</v>
          </cell>
          <cell r="D7878" t="str">
            <v>kg</v>
          </cell>
          <cell r="E7878">
            <v>30</v>
          </cell>
          <cell r="F7878">
            <v>1800</v>
          </cell>
          <cell r="G7878">
            <v>54000</v>
          </cell>
        </row>
        <row r="7879">
          <cell r="B7879">
            <v>1</v>
          </cell>
          <cell r="C7879" t="str">
            <v>+ Cồn công nghiệp</v>
          </cell>
          <cell r="D7879" t="str">
            <v>kg</v>
          </cell>
          <cell r="E7879">
            <v>32</v>
          </cell>
          <cell r="F7879">
            <v>9500</v>
          </cell>
          <cell r="G7879">
            <v>304000</v>
          </cell>
        </row>
        <row r="7880">
          <cell r="B7880">
            <v>9</v>
          </cell>
          <cell r="C7880" t="str">
            <v>+ Giẻ lau</v>
          </cell>
          <cell r="D7880" t="str">
            <v>Kg</v>
          </cell>
          <cell r="E7880">
            <v>1.5</v>
          </cell>
          <cell r="F7880">
            <v>9500</v>
          </cell>
          <cell r="G7880">
            <v>14250</v>
          </cell>
        </row>
        <row r="7881">
          <cell r="B7881">
            <v>35</v>
          </cell>
          <cell r="C7881" t="str">
            <v>+ Chất cách điện</v>
          </cell>
          <cell r="D7881" t="str">
            <v>kg</v>
          </cell>
          <cell r="E7881">
            <v>40</v>
          </cell>
          <cell r="F7881">
            <v>15450</v>
          </cell>
          <cell r="G7881">
            <v>618000</v>
          </cell>
        </row>
        <row r="7882">
          <cell r="B7882">
            <v>34</v>
          </cell>
          <cell r="C7882" t="str">
            <v>+ Dầu biến áp</v>
          </cell>
          <cell r="D7882" t="str">
            <v>kg</v>
          </cell>
          <cell r="E7882">
            <v>6</v>
          </cell>
          <cell r="F7882">
            <v>0</v>
          </cell>
          <cell r="G7882">
            <v>0</v>
          </cell>
        </row>
        <row r="7883">
          <cell r="B7883">
            <v>137</v>
          </cell>
          <cell r="C7883" t="str">
            <v>Vật liệu khác</v>
          </cell>
          <cell r="D7883" t="str">
            <v>%</v>
          </cell>
          <cell r="E7883">
            <v>5</v>
          </cell>
          <cell r="F7883">
            <v>1500</v>
          </cell>
          <cell r="G7883">
            <v>78101</v>
          </cell>
        </row>
        <row r="7884">
          <cell r="C7884" t="str">
            <v>Nhân công</v>
          </cell>
          <cell r="G7884">
            <v>3835494.1433552634</v>
          </cell>
        </row>
        <row r="7885">
          <cell r="B7885" t="str">
            <v>NC1457</v>
          </cell>
          <cell r="C7885" t="str">
            <v>+ Nhân công bậc 4,5/7</v>
          </cell>
          <cell r="D7885" t="str">
            <v>Công</v>
          </cell>
          <cell r="E7885">
            <v>18.11</v>
          </cell>
          <cell r="F7885">
            <v>211788.74342105264</v>
          </cell>
          <cell r="G7885">
            <v>3835494.1433552634</v>
          </cell>
        </row>
        <row r="7886">
          <cell r="A7886" t="str">
            <v>D4.4433</v>
          </cell>
          <cell r="C7886" t="str">
            <v>Làm hộp nối cáp dầu điện áp 66KV, Cáp có tiết diện &lt;=120mm2</v>
          </cell>
          <cell r="D7886" t="str">
            <v>1 hộp nối</v>
          </cell>
          <cell r="H7886">
            <v>2037220.5</v>
          </cell>
          <cell r="I7886">
            <v>4269661.0673684217</v>
          </cell>
        </row>
        <row r="7887">
          <cell r="C7887" t="str">
            <v>Vật liệu</v>
          </cell>
          <cell r="G7887">
            <v>2037220.5</v>
          </cell>
        </row>
        <row r="7888">
          <cell r="B7888">
            <v>131</v>
          </cell>
          <cell r="C7888" t="str">
            <v>+ Hộp nối cáp loại 120mm2</v>
          </cell>
          <cell r="D7888" t="str">
            <v>hộp</v>
          </cell>
          <cell r="E7888">
            <v>1</v>
          </cell>
          <cell r="F7888">
            <v>0</v>
          </cell>
          <cell r="G7888">
            <v>0</v>
          </cell>
        </row>
        <row r="7889">
          <cell r="B7889">
            <v>25</v>
          </cell>
          <cell r="C7889" t="str">
            <v>+ Băng cách điện</v>
          </cell>
          <cell r="D7889" t="str">
            <v>cuộn</v>
          </cell>
          <cell r="E7889">
            <v>9</v>
          </cell>
          <cell r="F7889">
            <v>8000</v>
          </cell>
          <cell r="G7889">
            <v>72000</v>
          </cell>
        </row>
        <row r="7890">
          <cell r="B7890">
            <v>20</v>
          </cell>
          <cell r="C7890" t="str">
            <v>+ Thiếc hàn</v>
          </cell>
          <cell r="D7890" t="str">
            <v>kg</v>
          </cell>
          <cell r="E7890">
            <v>7.5</v>
          </cell>
          <cell r="F7890">
            <v>80000</v>
          </cell>
          <cell r="G7890">
            <v>600000</v>
          </cell>
        </row>
        <row r="7891">
          <cell r="B7891">
            <v>21</v>
          </cell>
          <cell r="C7891" t="str">
            <v>+ Nhựa thông</v>
          </cell>
          <cell r="D7891" t="str">
            <v>kg</v>
          </cell>
          <cell r="E7891">
            <v>0.75</v>
          </cell>
          <cell r="F7891">
            <v>27000</v>
          </cell>
          <cell r="G7891">
            <v>20250</v>
          </cell>
        </row>
        <row r="7892">
          <cell r="B7892">
            <v>33</v>
          </cell>
          <cell r="C7892" t="str">
            <v>+ Ma tít</v>
          </cell>
          <cell r="D7892" t="str">
            <v>kg</v>
          </cell>
          <cell r="E7892">
            <v>1.2</v>
          </cell>
          <cell r="F7892">
            <v>17300</v>
          </cell>
          <cell r="G7892">
            <v>20760</v>
          </cell>
        </row>
        <row r="7893">
          <cell r="B7893">
            <v>71</v>
          </cell>
          <cell r="C7893" t="str">
            <v>+ Củi đun</v>
          </cell>
          <cell r="D7893" t="str">
            <v>kg</v>
          </cell>
          <cell r="E7893">
            <v>32</v>
          </cell>
          <cell r="F7893">
            <v>1800</v>
          </cell>
          <cell r="G7893">
            <v>57600</v>
          </cell>
        </row>
        <row r="7894">
          <cell r="B7894">
            <v>1</v>
          </cell>
          <cell r="C7894" t="str">
            <v>+ Cồn công nghiệp</v>
          </cell>
          <cell r="D7894" t="str">
            <v>kg</v>
          </cell>
          <cell r="E7894">
            <v>40</v>
          </cell>
          <cell r="F7894">
            <v>9500</v>
          </cell>
          <cell r="G7894">
            <v>380000</v>
          </cell>
        </row>
        <row r="7895">
          <cell r="B7895">
            <v>9</v>
          </cell>
          <cell r="C7895" t="str">
            <v>+ Giẻ lau</v>
          </cell>
          <cell r="D7895" t="str">
            <v>Kg</v>
          </cell>
          <cell r="E7895">
            <v>1.8</v>
          </cell>
          <cell r="F7895">
            <v>9500</v>
          </cell>
          <cell r="G7895">
            <v>17100</v>
          </cell>
        </row>
        <row r="7896">
          <cell r="B7896">
            <v>35</v>
          </cell>
          <cell r="C7896" t="str">
            <v>+ Chất cách điện</v>
          </cell>
          <cell r="D7896" t="str">
            <v>kg</v>
          </cell>
          <cell r="E7896">
            <v>50</v>
          </cell>
          <cell r="F7896">
            <v>15450</v>
          </cell>
          <cell r="G7896">
            <v>772500</v>
          </cell>
        </row>
        <row r="7897">
          <cell r="B7897">
            <v>34</v>
          </cell>
          <cell r="C7897" t="str">
            <v>+ Dầu biến áp</v>
          </cell>
          <cell r="D7897" t="str">
            <v>kg</v>
          </cell>
          <cell r="E7897">
            <v>6</v>
          </cell>
          <cell r="F7897">
            <v>0</v>
          </cell>
          <cell r="G7897">
            <v>0</v>
          </cell>
        </row>
        <row r="7898">
          <cell r="B7898">
            <v>137</v>
          </cell>
          <cell r="C7898" t="str">
            <v>Vật liệu khác</v>
          </cell>
          <cell r="D7898" t="str">
            <v>%</v>
          </cell>
          <cell r="E7898">
            <v>5</v>
          </cell>
          <cell r="F7898">
            <v>1500</v>
          </cell>
          <cell r="G7898">
            <v>97010.5</v>
          </cell>
        </row>
        <row r="7899">
          <cell r="C7899" t="str">
            <v>Nhân công</v>
          </cell>
          <cell r="G7899">
            <v>4269661.0673684217</v>
          </cell>
        </row>
        <row r="7900">
          <cell r="B7900" t="str">
            <v>NC1457</v>
          </cell>
          <cell r="C7900" t="str">
            <v>+ Nhân công bậc 4,5/7</v>
          </cell>
          <cell r="D7900" t="str">
            <v>Công</v>
          </cell>
          <cell r="E7900">
            <v>20.16</v>
          </cell>
          <cell r="F7900">
            <v>211788.74342105264</v>
          </cell>
          <cell r="G7900">
            <v>4269661.0673684217</v>
          </cell>
        </row>
        <row r="7901">
          <cell r="A7901" t="str">
            <v>D4.4434</v>
          </cell>
          <cell r="C7901" t="str">
            <v>Làm hộp nối cáp dầu điện áp 66KV, Cáp có tiết diện &lt;=185mm2</v>
          </cell>
          <cell r="D7901" t="str">
            <v>1 hộp nối</v>
          </cell>
          <cell r="H7901">
            <v>2037220.5</v>
          </cell>
          <cell r="I7901">
            <v>4708063.7662500003</v>
          </cell>
        </row>
        <row r="7902">
          <cell r="C7902" t="str">
            <v>Vật liệu</v>
          </cell>
          <cell r="G7902">
            <v>2037220.5</v>
          </cell>
        </row>
        <row r="7903">
          <cell r="B7903">
            <v>132</v>
          </cell>
          <cell r="C7903" t="str">
            <v>+ Hộp nối cáp loại 185mm2</v>
          </cell>
          <cell r="D7903" t="str">
            <v>hộp</v>
          </cell>
          <cell r="E7903">
            <v>1</v>
          </cell>
          <cell r="F7903">
            <v>0</v>
          </cell>
          <cell r="G7903">
            <v>0</v>
          </cell>
        </row>
        <row r="7904">
          <cell r="B7904">
            <v>25</v>
          </cell>
          <cell r="C7904" t="str">
            <v>+ Băng cách điện</v>
          </cell>
          <cell r="D7904" t="str">
            <v>cuộn</v>
          </cell>
          <cell r="E7904">
            <v>9</v>
          </cell>
          <cell r="F7904">
            <v>8000</v>
          </cell>
          <cell r="G7904">
            <v>72000</v>
          </cell>
        </row>
        <row r="7905">
          <cell r="B7905">
            <v>20</v>
          </cell>
          <cell r="C7905" t="str">
            <v>+ Thiếc hàn</v>
          </cell>
          <cell r="D7905" t="str">
            <v>kg</v>
          </cell>
          <cell r="E7905">
            <v>7.5</v>
          </cell>
          <cell r="F7905">
            <v>80000</v>
          </cell>
          <cell r="G7905">
            <v>600000</v>
          </cell>
        </row>
        <row r="7906">
          <cell r="B7906">
            <v>21</v>
          </cell>
          <cell r="C7906" t="str">
            <v>+ Nhựa thông</v>
          </cell>
          <cell r="D7906" t="str">
            <v>kg</v>
          </cell>
          <cell r="E7906">
            <v>0.75</v>
          </cell>
          <cell r="F7906">
            <v>27000</v>
          </cell>
          <cell r="G7906">
            <v>20250</v>
          </cell>
        </row>
        <row r="7907">
          <cell r="B7907">
            <v>33</v>
          </cell>
          <cell r="C7907" t="str">
            <v>+ Ma tít</v>
          </cell>
          <cell r="D7907" t="str">
            <v>kg</v>
          </cell>
          <cell r="E7907">
            <v>1.2</v>
          </cell>
          <cell r="F7907">
            <v>17300</v>
          </cell>
          <cell r="G7907">
            <v>20760</v>
          </cell>
        </row>
        <row r="7908">
          <cell r="B7908">
            <v>71</v>
          </cell>
          <cell r="C7908" t="str">
            <v>+ Củi đun</v>
          </cell>
          <cell r="D7908" t="str">
            <v>kg</v>
          </cell>
          <cell r="E7908">
            <v>32</v>
          </cell>
          <cell r="F7908">
            <v>1800</v>
          </cell>
          <cell r="G7908">
            <v>57600</v>
          </cell>
        </row>
        <row r="7909">
          <cell r="B7909">
            <v>1</v>
          </cell>
          <cell r="C7909" t="str">
            <v>+ Cồn công nghiệp</v>
          </cell>
          <cell r="D7909" t="str">
            <v>kg</v>
          </cell>
          <cell r="E7909">
            <v>40</v>
          </cell>
          <cell r="F7909">
            <v>9500</v>
          </cell>
          <cell r="G7909">
            <v>380000</v>
          </cell>
        </row>
        <row r="7910">
          <cell r="B7910">
            <v>9</v>
          </cell>
          <cell r="C7910" t="str">
            <v>+ Giẻ lau</v>
          </cell>
          <cell r="D7910" t="str">
            <v>Kg</v>
          </cell>
          <cell r="E7910">
            <v>1.8</v>
          </cell>
          <cell r="F7910">
            <v>9500</v>
          </cell>
          <cell r="G7910">
            <v>17100</v>
          </cell>
        </row>
        <row r="7911">
          <cell r="B7911">
            <v>35</v>
          </cell>
          <cell r="C7911" t="str">
            <v>+ Chất cách điện</v>
          </cell>
          <cell r="D7911" t="str">
            <v>kg</v>
          </cell>
          <cell r="E7911">
            <v>50</v>
          </cell>
          <cell r="F7911">
            <v>15450</v>
          </cell>
          <cell r="G7911">
            <v>772500</v>
          </cell>
        </row>
        <row r="7912">
          <cell r="B7912">
            <v>34</v>
          </cell>
          <cell r="C7912" t="str">
            <v>+ Dầu biến áp</v>
          </cell>
          <cell r="D7912" t="str">
            <v>kg</v>
          </cell>
          <cell r="E7912">
            <v>6</v>
          </cell>
          <cell r="F7912">
            <v>0</v>
          </cell>
          <cell r="G7912">
            <v>0</v>
          </cell>
        </row>
        <row r="7913">
          <cell r="B7913">
            <v>137</v>
          </cell>
          <cell r="C7913" t="str">
            <v>Vật liệu khác</v>
          </cell>
          <cell r="D7913" t="str">
            <v>%</v>
          </cell>
          <cell r="E7913">
            <v>5</v>
          </cell>
          <cell r="F7913">
            <v>1500</v>
          </cell>
          <cell r="G7913">
            <v>97010.5</v>
          </cell>
        </row>
        <row r="7914">
          <cell r="C7914" t="str">
            <v>Nhân công</v>
          </cell>
          <cell r="G7914">
            <v>4708063.7662500003</v>
          </cell>
        </row>
        <row r="7915">
          <cell r="B7915" t="str">
            <v>NC1457</v>
          </cell>
          <cell r="C7915" t="str">
            <v>+ Nhân công bậc 4,5/7</v>
          </cell>
          <cell r="D7915" t="str">
            <v>Công</v>
          </cell>
          <cell r="E7915">
            <v>22.23</v>
          </cell>
          <cell r="F7915">
            <v>211788.74342105264</v>
          </cell>
          <cell r="G7915">
            <v>4708063.7662500003</v>
          </cell>
        </row>
        <row r="7916">
          <cell r="A7916" t="str">
            <v>D4.4435</v>
          </cell>
          <cell r="C7916" t="str">
            <v>Làm hộp nối cáp dầu điện áp 66KV, Cáp có tiết diện &lt;=240mm2</v>
          </cell>
          <cell r="D7916" t="str">
            <v>1 hộp nối</v>
          </cell>
          <cell r="H7916">
            <v>2507426.25</v>
          </cell>
          <cell r="I7916">
            <v>5146466.465131579</v>
          </cell>
        </row>
        <row r="7917">
          <cell r="C7917" t="str">
            <v>Vật liệu</v>
          </cell>
          <cell r="G7917">
            <v>2507426.25</v>
          </cell>
        </row>
        <row r="7918">
          <cell r="B7918">
            <v>133</v>
          </cell>
          <cell r="C7918" t="str">
            <v>+ Hộp nối cáp loại 240mm2</v>
          </cell>
          <cell r="D7918" t="str">
            <v>hộp</v>
          </cell>
          <cell r="E7918">
            <v>1</v>
          </cell>
          <cell r="F7918">
            <v>0</v>
          </cell>
          <cell r="G7918">
            <v>0</v>
          </cell>
        </row>
        <row r="7919">
          <cell r="B7919">
            <v>25</v>
          </cell>
          <cell r="C7919" t="str">
            <v>+ Băng cách điện</v>
          </cell>
          <cell r="D7919" t="str">
            <v>cuộn</v>
          </cell>
          <cell r="E7919">
            <v>12</v>
          </cell>
          <cell r="F7919">
            <v>8000</v>
          </cell>
          <cell r="G7919">
            <v>96000</v>
          </cell>
        </row>
        <row r="7920">
          <cell r="B7920">
            <v>20</v>
          </cell>
          <cell r="C7920" t="str">
            <v>+ Thiếc hàn</v>
          </cell>
          <cell r="D7920" t="str">
            <v>kg</v>
          </cell>
          <cell r="E7920">
            <v>9</v>
          </cell>
          <cell r="F7920">
            <v>80000</v>
          </cell>
          <cell r="G7920">
            <v>720000</v>
          </cell>
        </row>
        <row r="7921">
          <cell r="B7921">
            <v>21</v>
          </cell>
          <cell r="C7921" t="str">
            <v>+ Nhựa thông</v>
          </cell>
          <cell r="D7921" t="str">
            <v>kg</v>
          </cell>
          <cell r="E7921">
            <v>0.9</v>
          </cell>
          <cell r="F7921">
            <v>27000</v>
          </cell>
          <cell r="G7921">
            <v>24300</v>
          </cell>
        </row>
        <row r="7922">
          <cell r="B7922">
            <v>33</v>
          </cell>
          <cell r="C7922" t="str">
            <v>+ Ma tít</v>
          </cell>
          <cell r="D7922" t="str">
            <v>kg</v>
          </cell>
          <cell r="E7922">
            <v>1.5</v>
          </cell>
          <cell r="F7922">
            <v>17300</v>
          </cell>
          <cell r="G7922">
            <v>25950</v>
          </cell>
        </row>
        <row r="7923">
          <cell r="B7923">
            <v>71</v>
          </cell>
          <cell r="C7923" t="str">
            <v>+ Củi đun</v>
          </cell>
          <cell r="D7923" t="str">
            <v>kg</v>
          </cell>
          <cell r="E7923">
            <v>34</v>
          </cell>
          <cell r="F7923">
            <v>1800</v>
          </cell>
          <cell r="G7923">
            <v>61200</v>
          </cell>
        </row>
        <row r="7924">
          <cell r="B7924">
            <v>1</v>
          </cell>
          <cell r="C7924" t="str">
            <v>+ Cồn công nghiệp</v>
          </cell>
          <cell r="D7924" t="str">
            <v>kg</v>
          </cell>
          <cell r="E7924">
            <v>50</v>
          </cell>
          <cell r="F7924">
            <v>9500</v>
          </cell>
          <cell r="G7924">
            <v>475000</v>
          </cell>
        </row>
        <row r="7925">
          <cell r="B7925">
            <v>9</v>
          </cell>
          <cell r="C7925" t="str">
            <v>+ Giẻ lau</v>
          </cell>
          <cell r="D7925" t="str">
            <v>Kg</v>
          </cell>
          <cell r="E7925">
            <v>2.1</v>
          </cell>
          <cell r="F7925">
            <v>9500</v>
          </cell>
          <cell r="G7925">
            <v>19950</v>
          </cell>
        </row>
        <row r="7926">
          <cell r="B7926">
            <v>35</v>
          </cell>
          <cell r="C7926" t="str">
            <v>+ Chất cách điện</v>
          </cell>
          <cell r="D7926" t="str">
            <v>kg</v>
          </cell>
          <cell r="E7926">
            <v>62.5</v>
          </cell>
          <cell r="F7926">
            <v>15450</v>
          </cell>
          <cell r="G7926">
            <v>965625</v>
          </cell>
        </row>
        <row r="7927">
          <cell r="B7927">
            <v>34</v>
          </cell>
          <cell r="C7927" t="str">
            <v>+ Dầu biến áp</v>
          </cell>
          <cell r="D7927" t="str">
            <v>kg</v>
          </cell>
          <cell r="E7927">
            <v>6</v>
          </cell>
          <cell r="F7927">
            <v>0</v>
          </cell>
          <cell r="G7927">
            <v>0</v>
          </cell>
        </row>
        <row r="7928">
          <cell r="B7928">
            <v>137</v>
          </cell>
          <cell r="C7928" t="str">
            <v>Vật liệu khác</v>
          </cell>
          <cell r="D7928" t="str">
            <v>%</v>
          </cell>
          <cell r="E7928">
            <v>5</v>
          </cell>
          <cell r="F7928">
            <v>1500</v>
          </cell>
          <cell r="G7928">
            <v>119401.25</v>
          </cell>
        </row>
        <row r="7929">
          <cell r="C7929" t="str">
            <v>Nhân công</v>
          </cell>
          <cell r="G7929">
            <v>5146466.465131579</v>
          </cell>
        </row>
        <row r="7930">
          <cell r="B7930" t="str">
            <v>NC1457</v>
          </cell>
          <cell r="C7930" t="str">
            <v>+ Nhân công bậc 4,5/7</v>
          </cell>
          <cell r="D7930" t="str">
            <v>Công</v>
          </cell>
          <cell r="E7930">
            <v>24.3</v>
          </cell>
          <cell r="F7930">
            <v>211788.74342105264</v>
          </cell>
          <cell r="G7930">
            <v>5146466.465131579</v>
          </cell>
        </row>
        <row r="7931">
          <cell r="A7931" t="str">
            <v>D4.4436</v>
          </cell>
          <cell r="C7931" t="str">
            <v>Làm hộp nối cáp dầu điện áp 66KV, Cáp có tiết diện &lt;=300mm2</v>
          </cell>
          <cell r="D7931" t="str">
            <v>1 hộp nối</v>
          </cell>
          <cell r="H7931">
            <v>2507426.25</v>
          </cell>
          <cell r="I7931">
            <v>5650523.6744736843</v>
          </cell>
        </row>
        <row r="7932">
          <cell r="C7932" t="str">
            <v>Vật liệu</v>
          </cell>
          <cell r="G7932">
            <v>2507426.25</v>
          </cell>
        </row>
        <row r="7933">
          <cell r="B7933">
            <v>134</v>
          </cell>
          <cell r="C7933" t="str">
            <v>+ Hộp nối cáp loại 300mm2</v>
          </cell>
          <cell r="D7933" t="str">
            <v>hộp</v>
          </cell>
          <cell r="E7933">
            <v>1</v>
          </cell>
          <cell r="F7933">
            <v>0</v>
          </cell>
          <cell r="G7933">
            <v>0</v>
          </cell>
        </row>
        <row r="7934">
          <cell r="B7934">
            <v>25</v>
          </cell>
          <cell r="C7934" t="str">
            <v>+ Băng cách điện</v>
          </cell>
          <cell r="D7934" t="str">
            <v>cuộn</v>
          </cell>
          <cell r="E7934">
            <v>12</v>
          </cell>
          <cell r="F7934">
            <v>8000</v>
          </cell>
          <cell r="G7934">
            <v>96000</v>
          </cell>
        </row>
        <row r="7935">
          <cell r="B7935">
            <v>20</v>
          </cell>
          <cell r="C7935" t="str">
            <v>+ Thiếc hàn</v>
          </cell>
          <cell r="D7935" t="str">
            <v>kg</v>
          </cell>
          <cell r="E7935">
            <v>9</v>
          </cell>
          <cell r="F7935">
            <v>80000</v>
          </cell>
          <cell r="G7935">
            <v>720000</v>
          </cell>
        </row>
        <row r="7936">
          <cell r="B7936">
            <v>21</v>
          </cell>
          <cell r="C7936" t="str">
            <v>+ Nhựa thông</v>
          </cell>
          <cell r="D7936" t="str">
            <v>kg</v>
          </cell>
          <cell r="E7936">
            <v>0.9</v>
          </cell>
          <cell r="F7936">
            <v>27000</v>
          </cell>
          <cell r="G7936">
            <v>24300</v>
          </cell>
        </row>
        <row r="7937">
          <cell r="B7937">
            <v>33</v>
          </cell>
          <cell r="C7937" t="str">
            <v>+ Ma tít</v>
          </cell>
          <cell r="D7937" t="str">
            <v>kg</v>
          </cell>
          <cell r="E7937">
            <v>1.5</v>
          </cell>
          <cell r="F7937">
            <v>17300</v>
          </cell>
          <cell r="G7937">
            <v>25950</v>
          </cell>
        </row>
        <row r="7938">
          <cell r="B7938">
            <v>71</v>
          </cell>
          <cell r="C7938" t="str">
            <v>+ Củi đun</v>
          </cell>
          <cell r="D7938" t="str">
            <v>kg</v>
          </cell>
          <cell r="E7938">
            <v>34</v>
          </cell>
          <cell r="F7938">
            <v>1800</v>
          </cell>
          <cell r="G7938">
            <v>61200</v>
          </cell>
        </row>
        <row r="7939">
          <cell r="B7939">
            <v>1</v>
          </cell>
          <cell r="C7939" t="str">
            <v>+ Cồn công nghiệp</v>
          </cell>
          <cell r="D7939" t="str">
            <v>kg</v>
          </cell>
          <cell r="E7939">
            <v>50</v>
          </cell>
          <cell r="F7939">
            <v>9500</v>
          </cell>
          <cell r="G7939">
            <v>475000</v>
          </cell>
        </row>
        <row r="7940">
          <cell r="B7940">
            <v>9</v>
          </cell>
          <cell r="C7940" t="str">
            <v>+ Giẻ lau</v>
          </cell>
          <cell r="D7940" t="str">
            <v>Kg</v>
          </cell>
          <cell r="E7940">
            <v>2.1</v>
          </cell>
          <cell r="F7940">
            <v>9500</v>
          </cell>
          <cell r="G7940">
            <v>19950</v>
          </cell>
        </row>
        <row r="7941">
          <cell r="B7941">
            <v>35</v>
          </cell>
          <cell r="C7941" t="str">
            <v>+ Chất cách điện</v>
          </cell>
          <cell r="D7941" t="str">
            <v>kg</v>
          </cell>
          <cell r="E7941">
            <v>62.5</v>
          </cell>
          <cell r="F7941">
            <v>15450</v>
          </cell>
          <cell r="G7941">
            <v>965625</v>
          </cell>
        </row>
        <row r="7942">
          <cell r="B7942">
            <v>34</v>
          </cell>
          <cell r="C7942" t="str">
            <v>+ Dầu biến áp</v>
          </cell>
          <cell r="D7942" t="str">
            <v>kg</v>
          </cell>
          <cell r="E7942">
            <v>6</v>
          </cell>
          <cell r="F7942">
            <v>0</v>
          </cell>
          <cell r="G7942">
            <v>0</v>
          </cell>
        </row>
        <row r="7943">
          <cell r="B7943">
            <v>137</v>
          </cell>
          <cell r="C7943" t="str">
            <v>Vật liệu khác</v>
          </cell>
          <cell r="D7943" t="str">
            <v>%</v>
          </cell>
          <cell r="E7943">
            <v>5</v>
          </cell>
          <cell r="F7943">
            <v>1500</v>
          </cell>
          <cell r="G7943">
            <v>119401.25</v>
          </cell>
        </row>
        <row r="7944">
          <cell r="C7944" t="str">
            <v>Nhân công</v>
          </cell>
          <cell r="G7944">
            <v>5650523.6744736843</v>
          </cell>
        </row>
        <row r="7945">
          <cell r="B7945" t="str">
            <v>NC1457</v>
          </cell>
          <cell r="C7945" t="str">
            <v>+ Nhân công bậc 4,5/7</v>
          </cell>
          <cell r="D7945" t="str">
            <v>Công</v>
          </cell>
          <cell r="E7945">
            <v>26.68</v>
          </cell>
          <cell r="F7945">
            <v>211788.74342105264</v>
          </cell>
          <cell r="G7945">
            <v>5650523.6744736843</v>
          </cell>
        </row>
        <row r="7946">
          <cell r="A7946" t="str">
            <v>D4.4437</v>
          </cell>
          <cell r="C7946" t="str">
            <v>Làm hộp nối cáp dầu điện áp 66KV, Cáp có tiết diện &lt;=400mm2</v>
          </cell>
          <cell r="D7946" t="str">
            <v>1 hộp nối</v>
          </cell>
          <cell r="H7946">
            <v>2948431.5</v>
          </cell>
          <cell r="I7946">
            <v>6779357.6769078942</v>
          </cell>
        </row>
        <row r="7947">
          <cell r="C7947" t="str">
            <v>Vật liệu</v>
          </cell>
          <cell r="G7947">
            <v>2948431.5</v>
          </cell>
        </row>
        <row r="7948">
          <cell r="B7948">
            <v>135</v>
          </cell>
          <cell r="C7948" t="str">
            <v>+ Hộp nối cáp loại 400mm2</v>
          </cell>
          <cell r="D7948" t="str">
            <v>hộp</v>
          </cell>
          <cell r="E7948">
            <v>1</v>
          </cell>
          <cell r="F7948">
            <v>0</v>
          </cell>
          <cell r="G7948">
            <v>0</v>
          </cell>
        </row>
        <row r="7949">
          <cell r="B7949">
            <v>25</v>
          </cell>
          <cell r="C7949" t="str">
            <v>+ Băng cách điện</v>
          </cell>
          <cell r="D7949" t="str">
            <v>cuộn</v>
          </cell>
          <cell r="E7949">
            <v>14.4</v>
          </cell>
          <cell r="F7949">
            <v>8000</v>
          </cell>
          <cell r="G7949">
            <v>115200</v>
          </cell>
        </row>
        <row r="7950">
          <cell r="B7950">
            <v>20</v>
          </cell>
          <cell r="C7950" t="str">
            <v>+ Thiếc hàn</v>
          </cell>
          <cell r="D7950" t="str">
            <v>kg</v>
          </cell>
          <cell r="E7950">
            <v>10.08</v>
          </cell>
          <cell r="F7950">
            <v>80000</v>
          </cell>
          <cell r="G7950">
            <v>806400</v>
          </cell>
        </row>
        <row r="7951">
          <cell r="B7951">
            <v>21</v>
          </cell>
          <cell r="C7951" t="str">
            <v>+ Nhựa thông</v>
          </cell>
          <cell r="D7951" t="str">
            <v>kg</v>
          </cell>
          <cell r="E7951">
            <v>1.08</v>
          </cell>
          <cell r="F7951">
            <v>27000</v>
          </cell>
          <cell r="G7951">
            <v>29160.000000000004</v>
          </cell>
        </row>
        <row r="7952">
          <cell r="B7952">
            <v>33</v>
          </cell>
          <cell r="C7952" t="str">
            <v>+ Ma tít</v>
          </cell>
          <cell r="D7952" t="str">
            <v>kg</v>
          </cell>
          <cell r="E7952">
            <v>1.8</v>
          </cell>
          <cell r="F7952">
            <v>17300</v>
          </cell>
          <cell r="G7952">
            <v>31140</v>
          </cell>
        </row>
        <row r="7953">
          <cell r="B7953">
            <v>71</v>
          </cell>
          <cell r="C7953" t="str">
            <v>+ Củi đun</v>
          </cell>
          <cell r="D7953" t="str">
            <v>kg</v>
          </cell>
          <cell r="E7953">
            <v>40.799999999999997</v>
          </cell>
          <cell r="F7953">
            <v>1800</v>
          </cell>
          <cell r="G7953">
            <v>73440</v>
          </cell>
        </row>
        <row r="7954">
          <cell r="B7954">
            <v>1</v>
          </cell>
          <cell r="C7954" t="str">
            <v>+ Cồn công nghiệp</v>
          </cell>
          <cell r="D7954" t="str">
            <v>kg</v>
          </cell>
          <cell r="E7954">
            <v>60</v>
          </cell>
          <cell r="F7954">
            <v>9500</v>
          </cell>
          <cell r="G7954">
            <v>570000</v>
          </cell>
        </row>
        <row r="7955">
          <cell r="B7955">
            <v>9</v>
          </cell>
          <cell r="C7955" t="str">
            <v>+ Giẻ lau</v>
          </cell>
          <cell r="D7955" t="str">
            <v>Kg</v>
          </cell>
          <cell r="E7955">
            <v>2.52</v>
          </cell>
          <cell r="F7955">
            <v>9500</v>
          </cell>
          <cell r="G7955">
            <v>23940</v>
          </cell>
        </row>
        <row r="7956">
          <cell r="B7956">
            <v>35</v>
          </cell>
          <cell r="C7956" t="str">
            <v>+ Chất cách điện</v>
          </cell>
          <cell r="D7956" t="str">
            <v>kg</v>
          </cell>
          <cell r="E7956">
            <v>75</v>
          </cell>
          <cell r="F7956">
            <v>15450</v>
          </cell>
          <cell r="G7956">
            <v>1158750</v>
          </cell>
        </row>
        <row r="7957">
          <cell r="B7957">
            <v>34</v>
          </cell>
          <cell r="C7957" t="str">
            <v>+ Dầu biến áp</v>
          </cell>
          <cell r="D7957" t="str">
            <v>kg</v>
          </cell>
          <cell r="E7957">
            <v>6</v>
          </cell>
          <cell r="F7957">
            <v>0</v>
          </cell>
          <cell r="G7957">
            <v>0</v>
          </cell>
        </row>
        <row r="7958">
          <cell r="B7958">
            <v>137</v>
          </cell>
          <cell r="C7958" t="str">
            <v>Vật liệu khác</v>
          </cell>
          <cell r="D7958" t="str">
            <v>%</v>
          </cell>
          <cell r="E7958">
            <v>5</v>
          </cell>
          <cell r="F7958">
            <v>1500</v>
          </cell>
          <cell r="G7958">
            <v>140401.5</v>
          </cell>
        </row>
        <row r="7959">
          <cell r="C7959" t="str">
            <v>Nhân công</v>
          </cell>
          <cell r="G7959">
            <v>6779357.6769078942</v>
          </cell>
        </row>
        <row r="7960">
          <cell r="B7960" t="str">
            <v>NC1457</v>
          </cell>
          <cell r="C7960" t="str">
            <v>+ Nhân công bậc 4,5/7</v>
          </cell>
          <cell r="D7960" t="str">
            <v>Công</v>
          </cell>
          <cell r="E7960">
            <v>32.01</v>
          </cell>
          <cell r="F7960">
            <v>211788.74342105264</v>
          </cell>
          <cell r="G7960">
            <v>6779357.6769078942</v>
          </cell>
        </row>
        <row r="7961">
          <cell r="A7961" t="str">
            <v>D4.4441</v>
          </cell>
          <cell r="C7961" t="str">
            <v>Làm hộp nối cáp dầu điện áp 110KV, Cáp có tiết diện &lt;=35mm2</v>
          </cell>
          <cell r="D7961" t="str">
            <v>1 hộp nối</v>
          </cell>
          <cell r="H7961">
            <v>1640121</v>
          </cell>
          <cell r="I7961">
            <v>4237892.7558552632</v>
          </cell>
        </row>
        <row r="7962">
          <cell r="C7962" t="str">
            <v>Vật liệu</v>
          </cell>
          <cell r="G7962">
            <v>1640121</v>
          </cell>
        </row>
        <row r="7963">
          <cell r="B7963">
            <v>129</v>
          </cell>
          <cell r="C7963" t="str">
            <v>+ Hộp nối cáp loại 35mm2</v>
          </cell>
          <cell r="D7963" t="str">
            <v>hộp</v>
          </cell>
          <cell r="E7963">
            <v>1</v>
          </cell>
          <cell r="F7963">
            <v>0</v>
          </cell>
          <cell r="G7963">
            <v>0</v>
          </cell>
        </row>
        <row r="7964">
          <cell r="B7964">
            <v>25</v>
          </cell>
          <cell r="C7964" t="str">
            <v>+ Băng cách điện</v>
          </cell>
          <cell r="D7964" t="str">
            <v>cuộn</v>
          </cell>
          <cell r="E7964">
            <v>7.5</v>
          </cell>
          <cell r="F7964">
            <v>8000</v>
          </cell>
          <cell r="G7964">
            <v>60000</v>
          </cell>
        </row>
        <row r="7965">
          <cell r="B7965">
            <v>20</v>
          </cell>
          <cell r="C7965" t="str">
            <v>+ Thiếc hàn</v>
          </cell>
          <cell r="D7965" t="str">
            <v>kg</v>
          </cell>
          <cell r="E7965">
            <v>6</v>
          </cell>
          <cell r="F7965">
            <v>80000</v>
          </cell>
          <cell r="G7965">
            <v>480000</v>
          </cell>
        </row>
        <row r="7966">
          <cell r="B7966">
            <v>21</v>
          </cell>
          <cell r="C7966" t="str">
            <v>+ Nhựa thông</v>
          </cell>
          <cell r="D7966" t="str">
            <v>kg</v>
          </cell>
          <cell r="E7966">
            <v>0.6</v>
          </cell>
          <cell r="F7966">
            <v>27000</v>
          </cell>
          <cell r="G7966">
            <v>16200</v>
          </cell>
        </row>
        <row r="7967">
          <cell r="B7967">
            <v>33</v>
          </cell>
          <cell r="C7967" t="str">
            <v>+ Ma tít</v>
          </cell>
          <cell r="D7967" t="str">
            <v>kg</v>
          </cell>
          <cell r="E7967">
            <v>0.9</v>
          </cell>
          <cell r="F7967">
            <v>17300</v>
          </cell>
          <cell r="G7967">
            <v>15570</v>
          </cell>
        </row>
        <row r="7968">
          <cell r="B7968">
            <v>71</v>
          </cell>
          <cell r="C7968" t="str">
            <v>+ Củi đun</v>
          </cell>
          <cell r="D7968" t="str">
            <v>kg</v>
          </cell>
          <cell r="E7968">
            <v>30</v>
          </cell>
          <cell r="F7968">
            <v>1800</v>
          </cell>
          <cell r="G7968">
            <v>54000</v>
          </cell>
        </row>
        <row r="7969">
          <cell r="B7969">
            <v>1</v>
          </cell>
          <cell r="C7969" t="str">
            <v>+ Cồn công nghiệp</v>
          </cell>
          <cell r="D7969" t="str">
            <v>kg</v>
          </cell>
          <cell r="E7969">
            <v>32</v>
          </cell>
          <cell r="F7969">
            <v>9500</v>
          </cell>
          <cell r="G7969">
            <v>304000</v>
          </cell>
        </row>
        <row r="7970">
          <cell r="B7970">
            <v>9</v>
          </cell>
          <cell r="C7970" t="str">
            <v>+ Giẻ lau</v>
          </cell>
          <cell r="D7970" t="str">
            <v>Kg</v>
          </cell>
          <cell r="E7970">
            <v>1.5</v>
          </cell>
          <cell r="F7970">
            <v>9500</v>
          </cell>
          <cell r="G7970">
            <v>14250</v>
          </cell>
        </row>
        <row r="7971">
          <cell r="B7971">
            <v>35</v>
          </cell>
          <cell r="C7971" t="str">
            <v>+ Chất cách điện</v>
          </cell>
          <cell r="D7971" t="str">
            <v>kg</v>
          </cell>
          <cell r="E7971">
            <v>40</v>
          </cell>
          <cell r="F7971">
            <v>15450</v>
          </cell>
          <cell r="G7971">
            <v>618000</v>
          </cell>
        </row>
        <row r="7972">
          <cell r="B7972">
            <v>34</v>
          </cell>
          <cell r="C7972" t="str">
            <v>+ Dầu biến áp</v>
          </cell>
          <cell r="D7972" t="str">
            <v>kg</v>
          </cell>
          <cell r="E7972">
            <v>6</v>
          </cell>
          <cell r="F7972">
            <v>0</v>
          </cell>
          <cell r="G7972">
            <v>0</v>
          </cell>
        </row>
        <row r="7973">
          <cell r="B7973">
            <v>137</v>
          </cell>
          <cell r="C7973" t="str">
            <v>Vật liệu khác</v>
          </cell>
          <cell r="D7973" t="str">
            <v>%</v>
          </cell>
          <cell r="E7973">
            <v>5</v>
          </cell>
          <cell r="F7973">
            <v>1500</v>
          </cell>
          <cell r="G7973">
            <v>78101</v>
          </cell>
        </row>
        <row r="7974">
          <cell r="C7974" t="str">
            <v>Nhân công</v>
          </cell>
          <cell r="G7974">
            <v>4237892.7558552632</v>
          </cell>
        </row>
        <row r="7975">
          <cell r="B7975" t="str">
            <v>NC1457</v>
          </cell>
          <cell r="C7975" t="str">
            <v>+ Nhân công bậc 4,5/7</v>
          </cell>
          <cell r="D7975" t="str">
            <v>Công</v>
          </cell>
          <cell r="E7975">
            <v>20.010000000000002</v>
          </cell>
          <cell r="F7975">
            <v>211788.74342105264</v>
          </cell>
          <cell r="G7975">
            <v>4237892.7558552632</v>
          </cell>
        </row>
        <row r="7976">
          <cell r="A7976" t="str">
            <v>D4.4442</v>
          </cell>
          <cell r="C7976" t="str">
            <v>Làm hộp nối cáp dầu điện áp 110KV, Cáp có tiết diện &lt;=70mm2</v>
          </cell>
          <cell r="D7976" t="str">
            <v>1 hộp nối</v>
          </cell>
          <cell r="H7976">
            <v>1640121</v>
          </cell>
          <cell r="I7976">
            <v>4604287.2819736842</v>
          </cell>
        </row>
        <row r="7977">
          <cell r="C7977" t="str">
            <v>Vật liệu</v>
          </cell>
          <cell r="G7977">
            <v>1640121</v>
          </cell>
        </row>
        <row r="7978">
          <cell r="B7978">
            <v>130</v>
          </cell>
          <cell r="C7978" t="str">
            <v>+ Hộp nối cáp loại 70mm2</v>
          </cell>
          <cell r="D7978" t="str">
            <v>hộp</v>
          </cell>
          <cell r="E7978">
            <v>1</v>
          </cell>
          <cell r="F7978">
            <v>0</v>
          </cell>
          <cell r="G7978">
            <v>0</v>
          </cell>
        </row>
        <row r="7979">
          <cell r="B7979">
            <v>25</v>
          </cell>
          <cell r="C7979" t="str">
            <v>+ Băng cách điện</v>
          </cell>
          <cell r="D7979" t="str">
            <v>cuộn</v>
          </cell>
          <cell r="E7979">
            <v>7.5</v>
          </cell>
          <cell r="F7979">
            <v>8000</v>
          </cell>
          <cell r="G7979">
            <v>60000</v>
          </cell>
        </row>
        <row r="7980">
          <cell r="B7980">
            <v>20</v>
          </cell>
          <cell r="C7980" t="str">
            <v>+ Thiếc hàn</v>
          </cell>
          <cell r="D7980" t="str">
            <v>kg</v>
          </cell>
          <cell r="E7980">
            <v>6</v>
          </cell>
          <cell r="F7980">
            <v>80000</v>
          </cell>
          <cell r="G7980">
            <v>480000</v>
          </cell>
        </row>
        <row r="7981">
          <cell r="B7981">
            <v>21</v>
          </cell>
          <cell r="C7981" t="str">
            <v>+ Nhựa thông</v>
          </cell>
          <cell r="D7981" t="str">
            <v>kg</v>
          </cell>
          <cell r="E7981">
            <v>0.6</v>
          </cell>
          <cell r="F7981">
            <v>27000</v>
          </cell>
          <cell r="G7981">
            <v>16200</v>
          </cell>
        </row>
        <row r="7982">
          <cell r="B7982">
            <v>33</v>
          </cell>
          <cell r="C7982" t="str">
            <v>+ Ma tít</v>
          </cell>
          <cell r="D7982" t="str">
            <v>kg</v>
          </cell>
          <cell r="E7982">
            <v>0.9</v>
          </cell>
          <cell r="F7982">
            <v>17300</v>
          </cell>
          <cell r="G7982">
            <v>15570</v>
          </cell>
        </row>
        <row r="7983">
          <cell r="B7983">
            <v>71</v>
          </cell>
          <cell r="C7983" t="str">
            <v>+ Củi đun</v>
          </cell>
          <cell r="D7983" t="str">
            <v>kg</v>
          </cell>
          <cell r="E7983">
            <v>30</v>
          </cell>
          <cell r="F7983">
            <v>1800</v>
          </cell>
          <cell r="G7983">
            <v>54000</v>
          </cell>
        </row>
        <row r="7984">
          <cell r="B7984">
            <v>1</v>
          </cell>
          <cell r="C7984" t="str">
            <v>+ Cồn công nghiệp</v>
          </cell>
          <cell r="D7984" t="str">
            <v>kg</v>
          </cell>
          <cell r="E7984">
            <v>32</v>
          </cell>
          <cell r="F7984">
            <v>9500</v>
          </cell>
          <cell r="G7984">
            <v>304000</v>
          </cell>
        </row>
        <row r="7985">
          <cell r="B7985">
            <v>9</v>
          </cell>
          <cell r="C7985" t="str">
            <v>+ Giẻ lau</v>
          </cell>
          <cell r="D7985" t="str">
            <v>Kg</v>
          </cell>
          <cell r="E7985">
            <v>1.5</v>
          </cell>
          <cell r="F7985">
            <v>9500</v>
          </cell>
          <cell r="G7985">
            <v>14250</v>
          </cell>
        </row>
        <row r="7986">
          <cell r="B7986">
            <v>35</v>
          </cell>
          <cell r="C7986" t="str">
            <v>+ Chất cách điện</v>
          </cell>
          <cell r="D7986" t="str">
            <v>kg</v>
          </cell>
          <cell r="E7986">
            <v>40</v>
          </cell>
          <cell r="F7986">
            <v>15450</v>
          </cell>
          <cell r="G7986">
            <v>618000</v>
          </cell>
        </row>
        <row r="7987">
          <cell r="B7987">
            <v>34</v>
          </cell>
          <cell r="C7987" t="str">
            <v>+ Dầu biến áp</v>
          </cell>
          <cell r="D7987" t="str">
            <v>kg</v>
          </cell>
          <cell r="E7987">
            <v>6</v>
          </cell>
          <cell r="F7987">
            <v>0</v>
          </cell>
          <cell r="G7987">
            <v>0</v>
          </cell>
        </row>
        <row r="7988">
          <cell r="B7988">
            <v>137</v>
          </cell>
          <cell r="C7988" t="str">
            <v>Vật liệu khác</v>
          </cell>
          <cell r="D7988" t="str">
            <v>%</v>
          </cell>
          <cell r="E7988">
            <v>5</v>
          </cell>
          <cell r="F7988">
            <v>1500</v>
          </cell>
          <cell r="G7988">
            <v>78101</v>
          </cell>
        </row>
        <row r="7989">
          <cell r="C7989" t="str">
            <v>Nhân công</v>
          </cell>
          <cell r="G7989">
            <v>4604287.2819736842</v>
          </cell>
        </row>
        <row r="7990">
          <cell r="B7990" t="str">
            <v>NC1457</v>
          </cell>
          <cell r="C7990" t="str">
            <v>+ Nhân công bậc 4,5/7</v>
          </cell>
          <cell r="D7990" t="str">
            <v>Công</v>
          </cell>
          <cell r="E7990">
            <v>21.74</v>
          </cell>
          <cell r="F7990">
            <v>211788.74342105264</v>
          </cell>
          <cell r="G7990">
            <v>4604287.2819736842</v>
          </cell>
        </row>
        <row r="7991">
          <cell r="A7991" t="str">
            <v>D4.4443</v>
          </cell>
          <cell r="C7991" t="str">
            <v>Làm hộp nối cáp dầu điện áp 110KV, Cáp có tiết diện &lt;=120mm2</v>
          </cell>
          <cell r="D7991" t="str">
            <v>1 hộp nối</v>
          </cell>
          <cell r="H7991">
            <v>2037220.5</v>
          </cell>
          <cell r="I7991">
            <v>5127405.4782236842</v>
          </cell>
        </row>
        <row r="7992">
          <cell r="C7992" t="str">
            <v>Vật liệu</v>
          </cell>
          <cell r="G7992">
            <v>2037220.5</v>
          </cell>
        </row>
        <row r="7993">
          <cell r="B7993">
            <v>131</v>
          </cell>
          <cell r="C7993" t="str">
            <v>+ Hộp nối cáp loại 120mm2</v>
          </cell>
          <cell r="D7993" t="str">
            <v>hộp</v>
          </cell>
          <cell r="E7993">
            <v>1</v>
          </cell>
          <cell r="F7993">
            <v>0</v>
          </cell>
          <cell r="G7993">
            <v>0</v>
          </cell>
        </row>
        <row r="7994">
          <cell r="B7994">
            <v>25</v>
          </cell>
          <cell r="C7994" t="str">
            <v>+ Băng cách điện</v>
          </cell>
          <cell r="D7994" t="str">
            <v>cuộn</v>
          </cell>
          <cell r="E7994">
            <v>9</v>
          </cell>
          <cell r="F7994">
            <v>8000</v>
          </cell>
          <cell r="G7994">
            <v>72000</v>
          </cell>
        </row>
        <row r="7995">
          <cell r="B7995">
            <v>20</v>
          </cell>
          <cell r="C7995" t="str">
            <v>+ Thiếc hàn</v>
          </cell>
          <cell r="D7995" t="str">
            <v>kg</v>
          </cell>
          <cell r="E7995">
            <v>7.5</v>
          </cell>
          <cell r="F7995">
            <v>80000</v>
          </cell>
          <cell r="G7995">
            <v>600000</v>
          </cell>
        </row>
        <row r="7996">
          <cell r="B7996">
            <v>21</v>
          </cell>
          <cell r="C7996" t="str">
            <v>+ Nhựa thông</v>
          </cell>
          <cell r="D7996" t="str">
            <v>kg</v>
          </cell>
          <cell r="E7996">
            <v>0.75</v>
          </cell>
          <cell r="F7996">
            <v>27000</v>
          </cell>
          <cell r="G7996">
            <v>20250</v>
          </cell>
        </row>
        <row r="7997">
          <cell r="B7997">
            <v>33</v>
          </cell>
          <cell r="C7997" t="str">
            <v>+ Ma tít</v>
          </cell>
          <cell r="D7997" t="str">
            <v>kg</v>
          </cell>
          <cell r="E7997">
            <v>1.2</v>
          </cell>
          <cell r="F7997">
            <v>17300</v>
          </cell>
          <cell r="G7997">
            <v>20760</v>
          </cell>
        </row>
        <row r="7998">
          <cell r="B7998">
            <v>71</v>
          </cell>
          <cell r="C7998" t="str">
            <v>+ Củi đun</v>
          </cell>
          <cell r="D7998" t="str">
            <v>kg</v>
          </cell>
          <cell r="E7998">
            <v>32</v>
          </cell>
          <cell r="F7998">
            <v>1800</v>
          </cell>
          <cell r="G7998">
            <v>57600</v>
          </cell>
        </row>
        <row r="7999">
          <cell r="B7999">
            <v>1</v>
          </cell>
          <cell r="C7999" t="str">
            <v>+ Cồn công nghiệp</v>
          </cell>
          <cell r="D7999" t="str">
            <v>kg</v>
          </cell>
          <cell r="E7999">
            <v>40</v>
          </cell>
          <cell r="F7999">
            <v>9500</v>
          </cell>
          <cell r="G7999">
            <v>380000</v>
          </cell>
        </row>
        <row r="8000">
          <cell r="B8000">
            <v>9</v>
          </cell>
          <cell r="C8000" t="str">
            <v>+ Giẻ lau</v>
          </cell>
          <cell r="D8000" t="str">
            <v>Kg</v>
          </cell>
          <cell r="E8000">
            <v>1.8</v>
          </cell>
          <cell r="F8000">
            <v>9500</v>
          </cell>
          <cell r="G8000">
            <v>17100</v>
          </cell>
        </row>
        <row r="8001">
          <cell r="B8001">
            <v>35</v>
          </cell>
          <cell r="C8001" t="str">
            <v>+ Chất cách điện</v>
          </cell>
          <cell r="D8001" t="str">
            <v>kg</v>
          </cell>
          <cell r="E8001">
            <v>50</v>
          </cell>
          <cell r="F8001">
            <v>15450</v>
          </cell>
          <cell r="G8001">
            <v>772500</v>
          </cell>
        </row>
        <row r="8002">
          <cell r="B8002">
            <v>34</v>
          </cell>
          <cell r="C8002" t="str">
            <v>+ Dầu biến áp</v>
          </cell>
          <cell r="D8002" t="str">
            <v>kg</v>
          </cell>
          <cell r="E8002">
            <v>6</v>
          </cell>
          <cell r="F8002">
            <v>0</v>
          </cell>
          <cell r="G8002">
            <v>0</v>
          </cell>
        </row>
        <row r="8003">
          <cell r="B8003">
            <v>137</v>
          </cell>
          <cell r="C8003" t="str">
            <v>Vật liệu khác</v>
          </cell>
          <cell r="D8003" t="str">
            <v>%</v>
          </cell>
          <cell r="E8003">
            <v>5</v>
          </cell>
          <cell r="F8003">
            <v>1500</v>
          </cell>
          <cell r="G8003">
            <v>97010.5</v>
          </cell>
        </row>
        <row r="8004">
          <cell r="C8004" t="str">
            <v>Nhân công</v>
          </cell>
          <cell r="G8004">
            <v>5127405.4782236842</v>
          </cell>
        </row>
        <row r="8005">
          <cell r="B8005" t="str">
            <v>NC1457</v>
          </cell>
          <cell r="C8005" t="str">
            <v>+ Nhân công bậc 4,5/7</v>
          </cell>
          <cell r="D8005" t="str">
            <v>Công</v>
          </cell>
          <cell r="E8005">
            <v>24.21</v>
          </cell>
          <cell r="F8005">
            <v>211788.74342105264</v>
          </cell>
          <cell r="G8005">
            <v>5127405.4782236842</v>
          </cell>
        </row>
        <row r="8006">
          <cell r="A8006" t="str">
            <v>D4.4444</v>
          </cell>
          <cell r="C8006" t="str">
            <v>Làm hộp nối cáp dầu điện áp 110KV, Cáp có tiết diện &lt;=185mm2</v>
          </cell>
          <cell r="D8006" t="str">
            <v>1 hộp nối</v>
          </cell>
          <cell r="H8006">
            <v>2037220.5</v>
          </cell>
          <cell r="I8006">
            <v>5650523.6744736843</v>
          </cell>
        </row>
        <row r="8007">
          <cell r="C8007" t="str">
            <v>Vật liệu</v>
          </cell>
          <cell r="G8007">
            <v>2037220.5</v>
          </cell>
        </row>
        <row r="8008">
          <cell r="B8008">
            <v>132</v>
          </cell>
          <cell r="C8008" t="str">
            <v>+ Hộp nối cáp loại 185mm2</v>
          </cell>
          <cell r="D8008" t="str">
            <v>hộp</v>
          </cell>
          <cell r="E8008">
            <v>1</v>
          </cell>
          <cell r="F8008">
            <v>0</v>
          </cell>
          <cell r="G8008">
            <v>0</v>
          </cell>
        </row>
        <row r="8009">
          <cell r="B8009">
            <v>25</v>
          </cell>
          <cell r="C8009" t="str">
            <v>+ Băng cách điện</v>
          </cell>
          <cell r="D8009" t="str">
            <v>cuộn</v>
          </cell>
          <cell r="E8009">
            <v>9</v>
          </cell>
          <cell r="F8009">
            <v>8000</v>
          </cell>
          <cell r="G8009">
            <v>72000</v>
          </cell>
        </row>
        <row r="8010">
          <cell r="B8010">
            <v>20</v>
          </cell>
          <cell r="C8010" t="str">
            <v>+ Thiếc hàn</v>
          </cell>
          <cell r="D8010" t="str">
            <v>kg</v>
          </cell>
          <cell r="E8010">
            <v>7.5</v>
          </cell>
          <cell r="F8010">
            <v>80000</v>
          </cell>
          <cell r="G8010">
            <v>600000</v>
          </cell>
        </row>
        <row r="8011">
          <cell r="B8011">
            <v>21</v>
          </cell>
          <cell r="C8011" t="str">
            <v>+ Nhựa thông</v>
          </cell>
          <cell r="D8011" t="str">
            <v>kg</v>
          </cell>
          <cell r="E8011">
            <v>0.75</v>
          </cell>
          <cell r="F8011">
            <v>27000</v>
          </cell>
          <cell r="G8011">
            <v>20250</v>
          </cell>
        </row>
        <row r="8012">
          <cell r="B8012">
            <v>33</v>
          </cell>
          <cell r="C8012" t="str">
            <v>+ Ma tít</v>
          </cell>
          <cell r="D8012" t="str">
            <v>kg</v>
          </cell>
          <cell r="E8012">
            <v>1.2</v>
          </cell>
          <cell r="F8012">
            <v>17300</v>
          </cell>
          <cell r="G8012">
            <v>20760</v>
          </cell>
        </row>
        <row r="8013">
          <cell r="B8013">
            <v>71</v>
          </cell>
          <cell r="C8013" t="str">
            <v>+ Củi đun</v>
          </cell>
          <cell r="D8013" t="str">
            <v>kg</v>
          </cell>
          <cell r="E8013">
            <v>32</v>
          </cell>
          <cell r="F8013">
            <v>1800</v>
          </cell>
          <cell r="G8013">
            <v>57600</v>
          </cell>
        </row>
        <row r="8014">
          <cell r="B8014">
            <v>1</v>
          </cell>
          <cell r="C8014" t="str">
            <v>+ Cồn công nghiệp</v>
          </cell>
          <cell r="D8014" t="str">
            <v>kg</v>
          </cell>
          <cell r="E8014">
            <v>40</v>
          </cell>
          <cell r="F8014">
            <v>9500</v>
          </cell>
          <cell r="G8014">
            <v>380000</v>
          </cell>
        </row>
        <row r="8015">
          <cell r="B8015">
            <v>9</v>
          </cell>
          <cell r="C8015" t="str">
            <v>+ Giẻ lau</v>
          </cell>
          <cell r="D8015" t="str">
            <v>Kg</v>
          </cell>
          <cell r="E8015">
            <v>1.8</v>
          </cell>
          <cell r="F8015">
            <v>9500</v>
          </cell>
          <cell r="G8015">
            <v>17100</v>
          </cell>
        </row>
        <row r="8016">
          <cell r="B8016">
            <v>35</v>
          </cell>
          <cell r="C8016" t="str">
            <v>+ Chất cách điện</v>
          </cell>
          <cell r="D8016" t="str">
            <v>kg</v>
          </cell>
          <cell r="E8016">
            <v>50</v>
          </cell>
          <cell r="F8016">
            <v>15450</v>
          </cell>
          <cell r="G8016">
            <v>772500</v>
          </cell>
        </row>
        <row r="8017">
          <cell r="B8017">
            <v>34</v>
          </cell>
          <cell r="C8017" t="str">
            <v>+ Dầu biến áp</v>
          </cell>
          <cell r="D8017" t="str">
            <v>kg</v>
          </cell>
          <cell r="E8017">
            <v>6</v>
          </cell>
          <cell r="F8017">
            <v>0</v>
          </cell>
          <cell r="G8017">
            <v>0</v>
          </cell>
        </row>
        <row r="8018">
          <cell r="B8018">
            <v>137</v>
          </cell>
          <cell r="C8018" t="str">
            <v>Vật liệu khác</v>
          </cell>
          <cell r="D8018" t="str">
            <v>%</v>
          </cell>
          <cell r="E8018">
            <v>5</v>
          </cell>
          <cell r="F8018">
            <v>1500</v>
          </cell>
          <cell r="G8018">
            <v>97010.5</v>
          </cell>
        </row>
        <row r="8019">
          <cell r="C8019" t="str">
            <v>Nhân công</v>
          </cell>
          <cell r="G8019">
            <v>5650523.6744736843</v>
          </cell>
        </row>
        <row r="8020">
          <cell r="B8020" t="str">
            <v>NC1457</v>
          </cell>
          <cell r="C8020" t="str">
            <v>+ Nhân công bậc 4,5/7</v>
          </cell>
          <cell r="D8020" t="str">
            <v>Công</v>
          </cell>
          <cell r="E8020">
            <v>26.68</v>
          </cell>
          <cell r="F8020">
            <v>211788.74342105264</v>
          </cell>
          <cell r="G8020">
            <v>5650523.6744736843</v>
          </cell>
        </row>
        <row r="8021">
          <cell r="A8021" t="str">
            <v>D4.4445</v>
          </cell>
          <cell r="C8021" t="str">
            <v>Làm hộp nối cáp dầu điện áp 110KV, Cáp có tiết diện &lt;=240mm2</v>
          </cell>
          <cell r="D8021" t="str">
            <v>1 hộp nối</v>
          </cell>
          <cell r="H8021">
            <v>2507426.25</v>
          </cell>
          <cell r="I8021">
            <v>6173641.8707236843</v>
          </cell>
        </row>
        <row r="8022">
          <cell r="C8022" t="str">
            <v>Vật liệu</v>
          </cell>
          <cell r="G8022">
            <v>2507426.25</v>
          </cell>
        </row>
        <row r="8023">
          <cell r="B8023">
            <v>133</v>
          </cell>
          <cell r="C8023" t="str">
            <v>+ Hộp nối cáp loại 240mm2</v>
          </cell>
          <cell r="D8023" t="str">
            <v>hộp</v>
          </cell>
          <cell r="E8023">
            <v>1</v>
          </cell>
          <cell r="F8023">
            <v>0</v>
          </cell>
          <cell r="G8023">
            <v>0</v>
          </cell>
        </row>
        <row r="8024">
          <cell r="B8024">
            <v>25</v>
          </cell>
          <cell r="C8024" t="str">
            <v>+ Băng cách điện</v>
          </cell>
          <cell r="D8024" t="str">
            <v>cuộn</v>
          </cell>
          <cell r="E8024">
            <v>12</v>
          </cell>
          <cell r="F8024">
            <v>8000</v>
          </cell>
          <cell r="G8024">
            <v>96000</v>
          </cell>
        </row>
        <row r="8025">
          <cell r="B8025">
            <v>20</v>
          </cell>
          <cell r="C8025" t="str">
            <v>+ Thiếc hàn</v>
          </cell>
          <cell r="D8025" t="str">
            <v>kg</v>
          </cell>
          <cell r="E8025">
            <v>9</v>
          </cell>
          <cell r="F8025">
            <v>80000</v>
          </cell>
          <cell r="G8025">
            <v>720000</v>
          </cell>
        </row>
        <row r="8026">
          <cell r="B8026">
            <v>21</v>
          </cell>
          <cell r="C8026" t="str">
            <v>+ Nhựa thông</v>
          </cell>
          <cell r="D8026" t="str">
            <v>kg</v>
          </cell>
          <cell r="E8026">
            <v>0.9</v>
          </cell>
          <cell r="F8026">
            <v>27000</v>
          </cell>
          <cell r="G8026">
            <v>24300</v>
          </cell>
        </row>
        <row r="8027">
          <cell r="B8027">
            <v>33</v>
          </cell>
          <cell r="C8027" t="str">
            <v>+ Ma tít</v>
          </cell>
          <cell r="D8027" t="str">
            <v>kg</v>
          </cell>
          <cell r="E8027">
            <v>1.5</v>
          </cell>
          <cell r="F8027">
            <v>17300</v>
          </cell>
          <cell r="G8027">
            <v>25950</v>
          </cell>
        </row>
        <row r="8028">
          <cell r="B8028">
            <v>71</v>
          </cell>
          <cell r="C8028" t="str">
            <v>+ Củi đun</v>
          </cell>
          <cell r="D8028" t="str">
            <v>kg</v>
          </cell>
          <cell r="E8028">
            <v>34</v>
          </cell>
          <cell r="F8028">
            <v>1800</v>
          </cell>
          <cell r="G8028">
            <v>61200</v>
          </cell>
        </row>
        <row r="8029">
          <cell r="B8029">
            <v>1</v>
          </cell>
          <cell r="C8029" t="str">
            <v>+ Cồn công nghiệp</v>
          </cell>
          <cell r="D8029" t="str">
            <v>kg</v>
          </cell>
          <cell r="E8029">
            <v>50</v>
          </cell>
          <cell r="F8029">
            <v>9500</v>
          </cell>
          <cell r="G8029">
            <v>475000</v>
          </cell>
        </row>
        <row r="8030">
          <cell r="B8030">
            <v>9</v>
          </cell>
          <cell r="C8030" t="str">
            <v>+ Giẻ lau</v>
          </cell>
          <cell r="D8030" t="str">
            <v>Kg</v>
          </cell>
          <cell r="E8030">
            <v>2.1</v>
          </cell>
          <cell r="F8030">
            <v>9500</v>
          </cell>
          <cell r="G8030">
            <v>19950</v>
          </cell>
        </row>
        <row r="8031">
          <cell r="B8031">
            <v>35</v>
          </cell>
          <cell r="C8031" t="str">
            <v>+ Chất cách điện</v>
          </cell>
          <cell r="D8031" t="str">
            <v>kg</v>
          </cell>
          <cell r="E8031">
            <v>62.5</v>
          </cell>
          <cell r="F8031">
            <v>15450</v>
          </cell>
          <cell r="G8031">
            <v>965625</v>
          </cell>
        </row>
        <row r="8032">
          <cell r="B8032">
            <v>34</v>
          </cell>
          <cell r="C8032" t="str">
            <v>+ Dầu biến áp</v>
          </cell>
          <cell r="D8032" t="str">
            <v>kg</v>
          </cell>
          <cell r="E8032">
            <v>6</v>
          </cell>
          <cell r="F8032">
            <v>0</v>
          </cell>
          <cell r="G8032">
            <v>0</v>
          </cell>
        </row>
        <row r="8033">
          <cell r="B8033">
            <v>137</v>
          </cell>
          <cell r="C8033" t="str">
            <v>Vật liệu khác</v>
          </cell>
          <cell r="D8033" t="str">
            <v>%</v>
          </cell>
          <cell r="E8033">
            <v>5</v>
          </cell>
          <cell r="F8033">
            <v>1500</v>
          </cell>
          <cell r="G8033">
            <v>119401.25</v>
          </cell>
        </row>
        <row r="8034">
          <cell r="C8034" t="str">
            <v>Nhân công</v>
          </cell>
          <cell r="G8034">
            <v>6173641.8707236843</v>
          </cell>
        </row>
        <row r="8035">
          <cell r="B8035" t="str">
            <v>NC1457</v>
          </cell>
          <cell r="C8035" t="str">
            <v>+ Nhân công bậc 4,5/7</v>
          </cell>
          <cell r="D8035" t="str">
            <v>Công</v>
          </cell>
          <cell r="E8035">
            <v>29.15</v>
          </cell>
          <cell r="F8035">
            <v>211788.74342105264</v>
          </cell>
          <cell r="G8035">
            <v>6173641.8707236843</v>
          </cell>
        </row>
        <row r="8036">
          <cell r="A8036" t="str">
            <v>D4.4446</v>
          </cell>
          <cell r="C8036" t="str">
            <v>Làm hộp nối cáp dầu điện áp 110KV, Cáp có tiết diện &lt;=300mm2</v>
          </cell>
          <cell r="D8036" t="str">
            <v>1 hộp nối</v>
          </cell>
          <cell r="H8036">
            <v>2507426.25</v>
          </cell>
          <cell r="I8036">
            <v>6775121.9020394739</v>
          </cell>
        </row>
        <row r="8037">
          <cell r="C8037" t="str">
            <v>Vật liệu</v>
          </cell>
          <cell r="G8037">
            <v>2507426.25</v>
          </cell>
        </row>
        <row r="8038">
          <cell r="B8038">
            <v>134</v>
          </cell>
          <cell r="C8038" t="str">
            <v>+ Hộp nối cáp loại 300mm2</v>
          </cell>
          <cell r="D8038" t="str">
            <v>hộp</v>
          </cell>
          <cell r="E8038">
            <v>1</v>
          </cell>
          <cell r="F8038">
            <v>0</v>
          </cell>
          <cell r="G8038">
            <v>0</v>
          </cell>
        </row>
        <row r="8039">
          <cell r="B8039">
            <v>25</v>
          </cell>
          <cell r="C8039" t="str">
            <v>+ Băng cách điện</v>
          </cell>
          <cell r="D8039" t="str">
            <v>cuộn</v>
          </cell>
          <cell r="E8039">
            <v>12</v>
          </cell>
          <cell r="F8039">
            <v>8000</v>
          </cell>
          <cell r="G8039">
            <v>96000</v>
          </cell>
        </row>
        <row r="8040">
          <cell r="B8040">
            <v>20</v>
          </cell>
          <cell r="C8040" t="str">
            <v>+ Thiếc hàn</v>
          </cell>
          <cell r="D8040" t="str">
            <v>kg</v>
          </cell>
          <cell r="E8040">
            <v>9</v>
          </cell>
          <cell r="F8040">
            <v>80000</v>
          </cell>
          <cell r="G8040">
            <v>720000</v>
          </cell>
        </row>
        <row r="8041">
          <cell r="B8041">
            <v>21</v>
          </cell>
          <cell r="C8041" t="str">
            <v>+ Nhựa thông</v>
          </cell>
          <cell r="D8041" t="str">
            <v>kg</v>
          </cell>
          <cell r="E8041">
            <v>0.9</v>
          </cell>
          <cell r="F8041">
            <v>27000</v>
          </cell>
          <cell r="G8041">
            <v>24300</v>
          </cell>
        </row>
        <row r="8042">
          <cell r="B8042">
            <v>33</v>
          </cell>
          <cell r="C8042" t="str">
            <v>+ Ma tít</v>
          </cell>
          <cell r="D8042" t="str">
            <v>kg</v>
          </cell>
          <cell r="E8042">
            <v>1.5</v>
          </cell>
          <cell r="F8042">
            <v>17300</v>
          </cell>
          <cell r="G8042">
            <v>25950</v>
          </cell>
        </row>
        <row r="8043">
          <cell r="B8043">
            <v>71</v>
          </cell>
          <cell r="C8043" t="str">
            <v>+ Củi đun</v>
          </cell>
          <cell r="D8043" t="str">
            <v>kg</v>
          </cell>
          <cell r="E8043">
            <v>34</v>
          </cell>
          <cell r="F8043">
            <v>1800</v>
          </cell>
          <cell r="G8043">
            <v>61200</v>
          </cell>
        </row>
        <row r="8044">
          <cell r="B8044">
            <v>1</v>
          </cell>
          <cell r="C8044" t="str">
            <v>+ Cồn công nghiệp</v>
          </cell>
          <cell r="D8044" t="str">
            <v>kg</v>
          </cell>
          <cell r="E8044">
            <v>50</v>
          </cell>
          <cell r="F8044">
            <v>9500</v>
          </cell>
          <cell r="G8044">
            <v>475000</v>
          </cell>
        </row>
        <row r="8045">
          <cell r="B8045">
            <v>9</v>
          </cell>
          <cell r="C8045" t="str">
            <v>+ Giẻ lau</v>
          </cell>
          <cell r="D8045" t="str">
            <v>Kg</v>
          </cell>
          <cell r="E8045">
            <v>2.1</v>
          </cell>
          <cell r="F8045">
            <v>9500</v>
          </cell>
          <cell r="G8045">
            <v>19950</v>
          </cell>
        </row>
        <row r="8046">
          <cell r="B8046">
            <v>35</v>
          </cell>
          <cell r="C8046" t="str">
            <v>+ Chất cách điện</v>
          </cell>
          <cell r="D8046" t="str">
            <v>kg</v>
          </cell>
          <cell r="E8046">
            <v>62.5</v>
          </cell>
          <cell r="F8046">
            <v>15450</v>
          </cell>
          <cell r="G8046">
            <v>965625</v>
          </cell>
        </row>
        <row r="8047">
          <cell r="B8047">
            <v>34</v>
          </cell>
          <cell r="C8047" t="str">
            <v>+ Dầu biến áp</v>
          </cell>
          <cell r="D8047" t="str">
            <v>kg</v>
          </cell>
          <cell r="E8047">
            <v>6</v>
          </cell>
          <cell r="F8047">
            <v>0</v>
          </cell>
          <cell r="G8047">
            <v>0</v>
          </cell>
        </row>
        <row r="8048">
          <cell r="B8048">
            <v>137</v>
          </cell>
          <cell r="C8048" t="str">
            <v>Vật liệu khác</v>
          </cell>
          <cell r="D8048" t="str">
            <v>%</v>
          </cell>
          <cell r="E8048">
            <v>5</v>
          </cell>
          <cell r="F8048">
            <v>1500</v>
          </cell>
          <cell r="G8048">
            <v>119401.25</v>
          </cell>
        </row>
        <row r="8049">
          <cell r="C8049" t="str">
            <v>Nhân công</v>
          </cell>
          <cell r="G8049">
            <v>6775121.9020394739</v>
          </cell>
        </row>
        <row r="8050">
          <cell r="B8050" t="str">
            <v>NC1457</v>
          </cell>
          <cell r="C8050" t="str">
            <v>+ Nhân công bậc 4,5/7</v>
          </cell>
          <cell r="D8050" t="str">
            <v>Công</v>
          </cell>
          <cell r="E8050">
            <v>31.99</v>
          </cell>
          <cell r="F8050">
            <v>211788.74342105264</v>
          </cell>
          <cell r="G8050">
            <v>6775121.9020394739</v>
          </cell>
        </row>
        <row r="8051">
          <cell r="A8051" t="str">
            <v>D4.4447</v>
          </cell>
          <cell r="C8051" t="str">
            <v>Làm hộp nối cáp dầu điện áp 110KV, Cáp có tiết diện &lt;=400mm2</v>
          </cell>
          <cell r="D8051" t="str">
            <v>1 hộp nối</v>
          </cell>
          <cell r="H8051">
            <v>2948431.5</v>
          </cell>
          <cell r="I8051">
            <v>8128451.9725000011</v>
          </cell>
        </row>
        <row r="8052">
          <cell r="C8052" t="str">
            <v>Vật liệu</v>
          </cell>
          <cell r="G8052">
            <v>2948431.5</v>
          </cell>
        </row>
        <row r="8053">
          <cell r="B8053">
            <v>135</v>
          </cell>
          <cell r="C8053" t="str">
            <v>+ Hộp nối cáp loại 400mm2</v>
          </cell>
          <cell r="D8053" t="str">
            <v>hộp</v>
          </cell>
          <cell r="E8053">
            <v>1</v>
          </cell>
          <cell r="F8053">
            <v>0</v>
          </cell>
          <cell r="G8053">
            <v>0</v>
          </cell>
        </row>
        <row r="8054">
          <cell r="B8054">
            <v>25</v>
          </cell>
          <cell r="C8054" t="str">
            <v>+ Băng cách điện</v>
          </cell>
          <cell r="D8054" t="str">
            <v>cuộn</v>
          </cell>
          <cell r="E8054">
            <v>14.4</v>
          </cell>
          <cell r="F8054">
            <v>8000</v>
          </cell>
          <cell r="G8054">
            <v>115200</v>
          </cell>
        </row>
        <row r="8055">
          <cell r="B8055">
            <v>20</v>
          </cell>
          <cell r="C8055" t="str">
            <v>+ Thiếc hàn</v>
          </cell>
          <cell r="D8055" t="str">
            <v>kg</v>
          </cell>
          <cell r="E8055">
            <v>10.08</v>
          </cell>
          <cell r="F8055">
            <v>80000</v>
          </cell>
          <cell r="G8055">
            <v>806400</v>
          </cell>
        </row>
        <row r="8056">
          <cell r="B8056">
            <v>21</v>
          </cell>
          <cell r="C8056" t="str">
            <v>+ Nhựa thông</v>
          </cell>
          <cell r="D8056" t="str">
            <v>kg</v>
          </cell>
          <cell r="E8056">
            <v>1.08</v>
          </cell>
          <cell r="F8056">
            <v>27000</v>
          </cell>
          <cell r="G8056">
            <v>29160.000000000004</v>
          </cell>
        </row>
        <row r="8057">
          <cell r="B8057">
            <v>33</v>
          </cell>
          <cell r="C8057" t="str">
            <v>+ Ma tít</v>
          </cell>
          <cell r="D8057" t="str">
            <v>kg</v>
          </cell>
          <cell r="E8057">
            <v>1.8</v>
          </cell>
          <cell r="F8057">
            <v>17300</v>
          </cell>
          <cell r="G8057">
            <v>31140</v>
          </cell>
        </row>
        <row r="8058">
          <cell r="B8058">
            <v>71</v>
          </cell>
          <cell r="C8058" t="str">
            <v>+ Củi đun</v>
          </cell>
          <cell r="D8058" t="str">
            <v>kg</v>
          </cell>
          <cell r="E8058">
            <v>40.799999999999997</v>
          </cell>
          <cell r="F8058">
            <v>1800</v>
          </cell>
          <cell r="G8058">
            <v>73440</v>
          </cell>
        </row>
        <row r="8059">
          <cell r="B8059">
            <v>1</v>
          </cell>
          <cell r="C8059" t="str">
            <v>+ Cồn công nghiệp</v>
          </cell>
          <cell r="D8059" t="str">
            <v>kg</v>
          </cell>
          <cell r="E8059">
            <v>60</v>
          </cell>
          <cell r="F8059">
            <v>9500</v>
          </cell>
          <cell r="G8059">
            <v>570000</v>
          </cell>
        </row>
        <row r="8060">
          <cell r="B8060">
            <v>9</v>
          </cell>
          <cell r="C8060" t="str">
            <v>+ Giẻ lau</v>
          </cell>
          <cell r="D8060" t="str">
            <v>Kg</v>
          </cell>
          <cell r="E8060">
            <v>2.52</v>
          </cell>
          <cell r="F8060">
            <v>9500</v>
          </cell>
          <cell r="G8060">
            <v>23940</v>
          </cell>
        </row>
        <row r="8061">
          <cell r="B8061">
            <v>35</v>
          </cell>
          <cell r="C8061" t="str">
            <v>+ Chất cách điện</v>
          </cell>
          <cell r="D8061" t="str">
            <v>kg</v>
          </cell>
          <cell r="E8061">
            <v>75</v>
          </cell>
          <cell r="F8061">
            <v>15450</v>
          </cell>
          <cell r="G8061">
            <v>1158750</v>
          </cell>
        </row>
        <row r="8062">
          <cell r="B8062">
            <v>34</v>
          </cell>
          <cell r="C8062" t="str">
            <v>+ Dầu biến áp</v>
          </cell>
          <cell r="D8062" t="str">
            <v>kg</v>
          </cell>
          <cell r="E8062">
            <v>6</v>
          </cell>
          <cell r="F8062">
            <v>0</v>
          </cell>
          <cell r="G8062">
            <v>0</v>
          </cell>
        </row>
        <row r="8063">
          <cell r="B8063">
            <v>137</v>
          </cell>
          <cell r="C8063" t="str">
            <v>Vật liệu khác</v>
          </cell>
          <cell r="D8063" t="str">
            <v>%</v>
          </cell>
          <cell r="E8063">
            <v>5</v>
          </cell>
          <cell r="F8063">
            <v>1500</v>
          </cell>
          <cell r="G8063">
            <v>140401.5</v>
          </cell>
        </row>
        <row r="8064">
          <cell r="C8064" t="str">
            <v>Nhân công</v>
          </cell>
          <cell r="G8064">
            <v>8128451.9725000011</v>
          </cell>
        </row>
        <row r="8065">
          <cell r="B8065" t="str">
            <v>NC1457</v>
          </cell>
          <cell r="C8065" t="str">
            <v>+ Nhân công bậc 4,5/7</v>
          </cell>
          <cell r="D8065" t="str">
            <v>Công</v>
          </cell>
          <cell r="E8065">
            <v>38.380000000000003</v>
          </cell>
          <cell r="F8065">
            <v>211788.74342105264</v>
          </cell>
          <cell r="G8065">
            <v>8128451.9725000011</v>
          </cell>
        </row>
        <row r="8066">
          <cell r="A8066" t="str">
            <v>D4.5001</v>
          </cell>
          <cell r="C8066" t="str">
            <v>ép đầu cốt, Cáp có tiết diện &lt; =25mm2</v>
          </cell>
          <cell r="D8066" t="str">
            <v>10 cái</v>
          </cell>
          <cell r="I8066">
            <v>42357.748684210528</v>
          </cell>
          <cell r="J8066">
            <v>14726.785714285716</v>
          </cell>
        </row>
        <row r="8067">
          <cell r="C8067" t="str">
            <v>Nhân công</v>
          </cell>
          <cell r="G8067">
            <v>42357.748684210528</v>
          </cell>
        </row>
        <row r="8068">
          <cell r="B8068" t="str">
            <v>NC1457</v>
          </cell>
          <cell r="C8068" t="str">
            <v>+ Nhân công bậc 4,5/7</v>
          </cell>
          <cell r="D8068" t="str">
            <v>Công</v>
          </cell>
          <cell r="E8068">
            <v>0.2</v>
          </cell>
          <cell r="F8068">
            <v>211788.74342105264</v>
          </cell>
          <cell r="G8068">
            <v>42357.748684210528</v>
          </cell>
        </row>
        <row r="8069">
          <cell r="C8069" t="str">
            <v>Máy thi công</v>
          </cell>
          <cell r="G8069">
            <v>14726.785714285716</v>
          </cell>
        </row>
        <row r="8070">
          <cell r="B8070">
            <v>7017</v>
          </cell>
          <cell r="C8070" t="str">
            <v>+ Máy ép đầu cốt</v>
          </cell>
          <cell r="D8070" t="str">
            <v>ca</v>
          </cell>
          <cell r="E8070">
            <v>0.25</v>
          </cell>
          <cell r="F8070">
            <v>58907.142857142862</v>
          </cell>
          <cell r="G8070">
            <v>14726.785714285716</v>
          </cell>
        </row>
        <row r="8071">
          <cell r="A8071" t="str">
            <v>D4.5002</v>
          </cell>
          <cell r="C8071" t="str">
            <v>ép đầu cốt, Cáp có tiết diện &lt; =50mm2</v>
          </cell>
          <cell r="D8071" t="str">
            <v>10 cái</v>
          </cell>
          <cell r="I8071">
            <v>74126.060197368424</v>
          </cell>
          <cell r="J8071">
            <v>14726.785714285716</v>
          </cell>
        </row>
        <row r="8072">
          <cell r="C8072" t="str">
            <v>Nhân công</v>
          </cell>
          <cell r="G8072">
            <v>74126.060197368424</v>
          </cell>
        </row>
        <row r="8073">
          <cell r="B8073" t="str">
            <v>NC1457</v>
          </cell>
          <cell r="C8073" t="str">
            <v>+ Nhân công bậc 4,5/7</v>
          </cell>
          <cell r="D8073" t="str">
            <v>Công</v>
          </cell>
          <cell r="E8073">
            <v>0.35</v>
          </cell>
          <cell r="F8073">
            <v>211788.74342105264</v>
          </cell>
          <cell r="G8073">
            <v>74126.060197368424</v>
          </cell>
        </row>
        <row r="8074">
          <cell r="C8074" t="str">
            <v>Máy thi công</v>
          </cell>
          <cell r="G8074">
            <v>14726.785714285716</v>
          </cell>
        </row>
        <row r="8075">
          <cell r="B8075">
            <v>7017</v>
          </cell>
          <cell r="C8075" t="str">
            <v>+ Máy ép đầu cốt</v>
          </cell>
          <cell r="D8075" t="str">
            <v>ca</v>
          </cell>
          <cell r="E8075">
            <v>0.25</v>
          </cell>
          <cell r="F8075">
            <v>58907.142857142862</v>
          </cell>
          <cell r="G8075">
            <v>14726.785714285716</v>
          </cell>
        </row>
        <row r="8076">
          <cell r="A8076" t="str">
            <v>D4.5003</v>
          </cell>
          <cell r="C8076" t="str">
            <v>ép đầu cốt, Cáp có tiết diện &lt; =70mm2</v>
          </cell>
          <cell r="D8076" t="str">
            <v>10 cái</v>
          </cell>
          <cell r="I8076">
            <v>116483.80888157897</v>
          </cell>
          <cell r="J8076">
            <v>17672.142857142859</v>
          </cell>
        </row>
        <row r="8077">
          <cell r="C8077" t="str">
            <v>Nhân công</v>
          </cell>
          <cell r="G8077">
            <v>116483.80888157897</v>
          </cell>
        </row>
        <row r="8078">
          <cell r="B8078" t="str">
            <v>NC1457</v>
          </cell>
          <cell r="C8078" t="str">
            <v>+ Nhân công bậc 4,5/7</v>
          </cell>
          <cell r="D8078" t="str">
            <v>Công</v>
          </cell>
          <cell r="E8078">
            <v>0.55000000000000004</v>
          </cell>
          <cell r="F8078">
            <v>211788.74342105264</v>
          </cell>
          <cell r="G8078">
            <v>116483.80888157897</v>
          </cell>
        </row>
        <row r="8079">
          <cell r="C8079" t="str">
            <v>Máy thi công</v>
          </cell>
          <cell r="G8079">
            <v>17672.142857142859</v>
          </cell>
        </row>
        <row r="8080">
          <cell r="B8080">
            <v>7017</v>
          </cell>
          <cell r="C8080" t="str">
            <v>+ Máy ép đầu cốt</v>
          </cell>
          <cell r="D8080" t="str">
            <v>ca</v>
          </cell>
          <cell r="E8080">
            <v>0.3</v>
          </cell>
          <cell r="F8080">
            <v>58907.142857142862</v>
          </cell>
          <cell r="G8080">
            <v>17672.142857142859</v>
          </cell>
        </row>
        <row r="8081">
          <cell r="A8081" t="str">
            <v>D4.5004</v>
          </cell>
          <cell r="C8081" t="str">
            <v>ép đầu cốt, Cáp có tiết diện &lt; =95mm2</v>
          </cell>
          <cell r="D8081" t="str">
            <v>10 cái</v>
          </cell>
          <cell r="I8081">
            <v>148252.12039473685</v>
          </cell>
          <cell r="J8081">
            <v>17672.142857142859</v>
          </cell>
        </row>
        <row r="8082">
          <cell r="C8082" t="str">
            <v>Nhân công</v>
          </cell>
          <cell r="G8082">
            <v>148252.12039473685</v>
          </cell>
        </row>
        <row r="8083">
          <cell r="B8083" t="str">
            <v>NC1457</v>
          </cell>
          <cell r="C8083" t="str">
            <v>+ Nhân công bậc 4,5/7</v>
          </cell>
          <cell r="D8083" t="str">
            <v>Công</v>
          </cell>
          <cell r="E8083">
            <v>0.7</v>
          </cell>
          <cell r="F8083">
            <v>211788.74342105264</v>
          </cell>
          <cell r="G8083">
            <v>148252.12039473685</v>
          </cell>
        </row>
        <row r="8084">
          <cell r="C8084" t="str">
            <v>Máy thi công</v>
          </cell>
          <cell r="G8084">
            <v>17672.142857142859</v>
          </cell>
        </row>
        <row r="8085">
          <cell r="B8085">
            <v>7017</v>
          </cell>
          <cell r="C8085" t="str">
            <v>+ Máy ép đầu cốt</v>
          </cell>
          <cell r="D8085" t="str">
            <v>ca</v>
          </cell>
          <cell r="E8085">
            <v>0.3</v>
          </cell>
          <cell r="F8085">
            <v>58907.142857142862</v>
          </cell>
          <cell r="G8085">
            <v>17672.142857142859</v>
          </cell>
        </row>
        <row r="8086">
          <cell r="A8086" t="str">
            <v>D4.5005</v>
          </cell>
          <cell r="C8086" t="str">
            <v>ép đầu cốt, Cáp có tiết diện &lt;= 120mm2</v>
          </cell>
          <cell r="D8086" t="str">
            <v>10 cái</v>
          </cell>
          <cell r="I8086">
            <v>190609.86907894738</v>
          </cell>
          <cell r="J8086">
            <v>20617.5</v>
          </cell>
        </row>
        <row r="8087">
          <cell r="C8087" t="str">
            <v>Nhân công</v>
          </cell>
          <cell r="G8087">
            <v>190609.86907894738</v>
          </cell>
        </row>
        <row r="8088">
          <cell r="B8088" t="str">
            <v>NC1457</v>
          </cell>
          <cell r="C8088" t="str">
            <v>+ Nhân công bậc 4,5/7</v>
          </cell>
          <cell r="D8088" t="str">
            <v>Công</v>
          </cell>
          <cell r="E8088">
            <v>0.9</v>
          </cell>
          <cell r="F8088">
            <v>211788.74342105264</v>
          </cell>
          <cell r="G8088">
            <v>190609.86907894738</v>
          </cell>
        </row>
        <row r="8089">
          <cell r="C8089" t="str">
            <v>Máy thi công</v>
          </cell>
          <cell r="G8089">
            <v>20617.5</v>
          </cell>
        </row>
        <row r="8090">
          <cell r="B8090">
            <v>7017</v>
          </cell>
          <cell r="C8090" t="str">
            <v>+ Máy ép đầu cốt</v>
          </cell>
          <cell r="D8090" t="str">
            <v>ca</v>
          </cell>
          <cell r="E8090">
            <v>0.35</v>
          </cell>
          <cell r="F8090">
            <v>58907.142857142862</v>
          </cell>
          <cell r="G8090">
            <v>20617.5</v>
          </cell>
        </row>
        <row r="8091">
          <cell r="A8091" t="str">
            <v>D4.5006</v>
          </cell>
          <cell r="C8091" t="str">
            <v>ép đầu cốt, Cáp có tiết diện &lt;= 150mm2</v>
          </cell>
          <cell r="D8091" t="str">
            <v>10 cái</v>
          </cell>
          <cell r="I8091">
            <v>0</v>
          </cell>
          <cell r="J8091">
            <v>23562.857142857145</v>
          </cell>
        </row>
        <row r="8092">
          <cell r="C8092" t="str">
            <v>Nhân công</v>
          </cell>
          <cell r="G8092">
            <v>0</v>
          </cell>
        </row>
        <row r="8093">
          <cell r="B8093" t="str">
            <v>+mbac4.5nhom1</v>
          </cell>
          <cell r="C8093" t="str">
            <v>+ Nhân công bậc 4,5/7</v>
          </cell>
          <cell r="D8093" t="str">
            <v>Công</v>
          </cell>
          <cell r="E8093">
            <v>1.1000000000000001</v>
          </cell>
          <cell r="G8093">
            <v>0</v>
          </cell>
        </row>
        <row r="8094">
          <cell r="C8094" t="str">
            <v>Máy thi công</v>
          </cell>
          <cell r="G8094">
            <v>23562.857142857145</v>
          </cell>
        </row>
        <row r="8095">
          <cell r="B8095">
            <v>7017</v>
          </cell>
          <cell r="C8095" t="str">
            <v>+ Máy ép đầu cốt</v>
          </cell>
          <cell r="D8095" t="str">
            <v>ca</v>
          </cell>
          <cell r="E8095">
            <v>0.4</v>
          </cell>
          <cell r="F8095">
            <v>58907.142857142862</v>
          </cell>
          <cell r="G8095">
            <v>23562.857142857145</v>
          </cell>
        </row>
        <row r="8096">
          <cell r="A8096" t="str">
            <v>D4.5007</v>
          </cell>
          <cell r="C8096" t="str">
            <v>ép đầu cốt, Cáp có tiết diện &lt;= 185mm2</v>
          </cell>
          <cell r="D8096" t="str">
            <v>10 cái</v>
          </cell>
          <cell r="I8096">
            <v>279561.14131578949</v>
          </cell>
          <cell r="J8096">
            <v>26508.21428571429</v>
          </cell>
        </row>
        <row r="8097">
          <cell r="C8097" t="str">
            <v>Nhân công</v>
          </cell>
          <cell r="G8097">
            <v>279561.14131578949</v>
          </cell>
        </row>
        <row r="8098">
          <cell r="B8098" t="str">
            <v>NC1457</v>
          </cell>
          <cell r="C8098" t="str">
            <v>+ Nhân công bậc 4,5/7</v>
          </cell>
          <cell r="D8098" t="str">
            <v>Công</v>
          </cell>
          <cell r="E8098">
            <v>1.32</v>
          </cell>
          <cell r="F8098">
            <v>211788.74342105264</v>
          </cell>
          <cell r="G8098">
            <v>279561.14131578949</v>
          </cell>
        </row>
        <row r="8099">
          <cell r="C8099" t="str">
            <v>Máy thi công</v>
          </cell>
          <cell r="G8099">
            <v>26508.21428571429</v>
          </cell>
        </row>
        <row r="8100">
          <cell r="B8100">
            <v>7017</v>
          </cell>
          <cell r="C8100" t="str">
            <v>+ Máy ép đầu cốt</v>
          </cell>
          <cell r="D8100" t="str">
            <v>ca</v>
          </cell>
          <cell r="E8100">
            <v>0.45</v>
          </cell>
          <cell r="F8100">
            <v>58907.142857142862</v>
          </cell>
          <cell r="G8100">
            <v>26508.21428571429</v>
          </cell>
        </row>
        <row r="8101">
          <cell r="A8101" t="str">
            <v>D4.5008</v>
          </cell>
          <cell r="C8101" t="str">
            <v>ép đầu cốt, Cáp có tiết diện &lt;=240mm2</v>
          </cell>
          <cell r="D8101" t="str">
            <v>10 cái</v>
          </cell>
          <cell r="I8101">
            <v>349451.42664473684</v>
          </cell>
          <cell r="J8101">
            <v>29453.571428571431</v>
          </cell>
        </row>
        <row r="8102">
          <cell r="C8102" t="str">
            <v>Nhân công</v>
          </cell>
          <cell r="G8102">
            <v>349451.42664473684</v>
          </cell>
        </row>
        <row r="8103">
          <cell r="B8103" t="str">
            <v>NC1457</v>
          </cell>
          <cell r="C8103" t="str">
            <v>+ Nhân công bậc 4,5/7</v>
          </cell>
          <cell r="D8103" t="str">
            <v>Công</v>
          </cell>
          <cell r="E8103">
            <v>1.65</v>
          </cell>
          <cell r="F8103">
            <v>211788.74342105264</v>
          </cell>
          <cell r="G8103">
            <v>349451.42664473684</v>
          </cell>
        </row>
        <row r="8104">
          <cell r="C8104" t="str">
            <v>Máy thi công</v>
          </cell>
          <cell r="G8104">
            <v>29453.571428571431</v>
          </cell>
        </row>
        <row r="8105">
          <cell r="B8105">
            <v>7017</v>
          </cell>
          <cell r="C8105" t="str">
            <v>+ Máy ép đầu cốt</v>
          </cell>
          <cell r="D8105" t="str">
            <v>ca</v>
          </cell>
          <cell r="E8105">
            <v>0.5</v>
          </cell>
          <cell r="F8105">
            <v>58907.142857142862</v>
          </cell>
          <cell r="G8105">
            <v>29453.571428571431</v>
          </cell>
        </row>
        <row r="8106">
          <cell r="A8106" t="str">
            <v>D4.5009</v>
          </cell>
          <cell r="C8106" t="str">
            <v>ép đầu cốt, Cáp có tiết diện &lt; =300mm2</v>
          </cell>
          <cell r="D8106" t="str">
            <v>10 cái</v>
          </cell>
          <cell r="I8106">
            <v>415105.93710526318</v>
          </cell>
          <cell r="J8106">
            <v>41235</v>
          </cell>
        </row>
        <row r="8107">
          <cell r="C8107" t="str">
            <v>Nhân công</v>
          </cell>
          <cell r="G8107">
            <v>415105.93710526318</v>
          </cell>
        </row>
        <row r="8108">
          <cell r="B8108" t="str">
            <v>NC1457</v>
          </cell>
          <cell r="C8108" t="str">
            <v>+ Nhân công bậc 4,5/7</v>
          </cell>
          <cell r="D8108" t="str">
            <v>Công</v>
          </cell>
          <cell r="E8108">
            <v>1.96</v>
          </cell>
          <cell r="F8108">
            <v>211788.74342105264</v>
          </cell>
          <cell r="G8108">
            <v>415105.93710526318</v>
          </cell>
        </row>
        <row r="8109">
          <cell r="C8109" t="str">
            <v>Máy thi công</v>
          </cell>
          <cell r="G8109">
            <v>41235</v>
          </cell>
        </row>
        <row r="8110">
          <cell r="B8110">
            <v>7017</v>
          </cell>
          <cell r="C8110" t="str">
            <v>+ Máy ép đầu cốt</v>
          </cell>
          <cell r="D8110" t="str">
            <v>ca</v>
          </cell>
          <cell r="E8110">
            <v>0.7</v>
          </cell>
          <cell r="F8110">
            <v>58907.142857142862</v>
          </cell>
          <cell r="G8110">
            <v>41235</v>
          </cell>
        </row>
        <row r="8111">
          <cell r="A8111" t="str">
            <v>D4.5010</v>
          </cell>
          <cell r="C8111" t="str">
            <v>ép đầu cốt, Cáp có tiết diện &lt; =400mm2</v>
          </cell>
          <cell r="D8111" t="str">
            <v>10 cái</v>
          </cell>
          <cell r="I8111">
            <v>457463.68578947376</v>
          </cell>
          <cell r="J8111">
            <v>53016.42857142858</v>
          </cell>
        </row>
        <row r="8112">
          <cell r="C8112" t="str">
            <v>Nhân công</v>
          </cell>
          <cell r="G8112">
            <v>457463.68578947376</v>
          </cell>
        </row>
        <row r="8113">
          <cell r="B8113" t="str">
            <v>NC1457</v>
          </cell>
          <cell r="C8113" t="str">
            <v>+ Nhân công bậc 4,5/7</v>
          </cell>
          <cell r="D8113" t="str">
            <v>Công</v>
          </cell>
          <cell r="E8113">
            <v>2.16</v>
          </cell>
          <cell r="F8113">
            <v>211788.74342105264</v>
          </cell>
          <cell r="G8113">
            <v>457463.68578947376</v>
          </cell>
        </row>
        <row r="8114">
          <cell r="C8114" t="str">
            <v>Máy thi công</v>
          </cell>
          <cell r="G8114">
            <v>53016.42857142858</v>
          </cell>
        </row>
        <row r="8115">
          <cell r="B8115">
            <v>7017</v>
          </cell>
          <cell r="C8115" t="str">
            <v>+ Máy ép đầu cốt</v>
          </cell>
          <cell r="D8115" t="str">
            <v>ca</v>
          </cell>
          <cell r="E8115">
            <v>0.9</v>
          </cell>
          <cell r="F8115">
            <v>58907.142857142862</v>
          </cell>
          <cell r="G8115">
            <v>53016.42857142858</v>
          </cell>
        </row>
      </sheetData>
      <sheetData sheetId="4">
        <row r="3">
          <cell r="H3" t="str">
            <v>Đơn giá</v>
          </cell>
        </row>
        <row r="4">
          <cell r="B4" t="str">
            <v>Mã VL</v>
          </cell>
          <cell r="C4" t="str">
            <v>Thành phần hao phí</v>
          </cell>
          <cell r="D4" t="str">
            <v>ĐVT</v>
          </cell>
          <cell r="E4" t="str">
            <v>Định mức</v>
          </cell>
          <cell r="F4" t="str">
            <v>Đơn giá</v>
          </cell>
          <cell r="G4" t="str">
            <v>Thành tiền</v>
          </cell>
          <cell r="H4" t="str">
            <v>Vật liệu phụ</v>
          </cell>
          <cell r="I4" t="str">
            <v>Nhân công</v>
          </cell>
          <cell r="J4" t="str">
            <v>MTC</v>
          </cell>
        </row>
        <row r="5">
          <cell r="A5" t="str">
            <v>T1.1103</v>
          </cell>
          <cell r="C5" t="str">
            <v>Lắp đặt máy biến áp 500/220/35KV &lt;=150MVA - 1 pha</v>
          </cell>
          <cell r="D5" t="str">
            <v>Máy</v>
          </cell>
          <cell r="H5">
            <v>1937518.17</v>
          </cell>
          <cell r="I5">
            <v>114365921.44736843</v>
          </cell>
          <cell r="J5">
            <v>6790542.8598000007</v>
          </cell>
        </row>
        <row r="6">
          <cell r="C6" t="str">
            <v>Vật liệu</v>
          </cell>
          <cell r="G6">
            <v>1937518.17</v>
          </cell>
        </row>
        <row r="7">
          <cell r="B7">
            <v>1</v>
          </cell>
          <cell r="C7" t="str">
            <v>Cồn công nghiệp</v>
          </cell>
          <cell r="D7" t="str">
            <v>kg</v>
          </cell>
          <cell r="E7">
            <v>1.9</v>
          </cell>
          <cell r="F7">
            <v>9500</v>
          </cell>
          <cell r="G7">
            <v>18050</v>
          </cell>
        </row>
        <row r="8">
          <cell r="B8">
            <v>2</v>
          </cell>
          <cell r="C8" t="str">
            <v>Keo dán</v>
          </cell>
          <cell r="D8" t="str">
            <v>kg</v>
          </cell>
          <cell r="E8">
            <v>0.7</v>
          </cell>
          <cell r="F8">
            <v>45000</v>
          </cell>
          <cell r="G8">
            <v>31499.999999999996</v>
          </cell>
        </row>
        <row r="9">
          <cell r="B9">
            <v>3</v>
          </cell>
          <cell r="C9" t="str">
            <v>Xăng</v>
          </cell>
          <cell r="D9" t="str">
            <v>kg</v>
          </cell>
          <cell r="E9">
            <v>9.6999999999999993</v>
          </cell>
          <cell r="F9">
            <v>18382</v>
          </cell>
          <cell r="G9">
            <v>178305.4</v>
          </cell>
        </row>
        <row r="10">
          <cell r="B10">
            <v>4</v>
          </cell>
          <cell r="C10" t="str">
            <v>Giấy ráp</v>
          </cell>
          <cell r="D10" t="str">
            <v>tờ</v>
          </cell>
          <cell r="E10">
            <v>11</v>
          </cell>
          <cell r="F10">
            <v>10000</v>
          </cell>
          <cell r="G10">
            <v>110000</v>
          </cell>
        </row>
        <row r="11">
          <cell r="B11">
            <v>5</v>
          </cell>
          <cell r="C11" t="str">
            <v>Vải nhựa</v>
          </cell>
          <cell r="D11" t="str">
            <v>cuộn</v>
          </cell>
          <cell r="E11">
            <v>38</v>
          </cell>
          <cell r="F11">
            <v>10000</v>
          </cell>
          <cell r="G11">
            <v>380000</v>
          </cell>
        </row>
        <row r="12">
          <cell r="B12">
            <v>6</v>
          </cell>
          <cell r="C12" t="str">
            <v>Vải trắng</v>
          </cell>
          <cell r="D12" t="str">
            <v>m</v>
          </cell>
          <cell r="E12">
            <v>7.2</v>
          </cell>
          <cell r="F12">
            <v>15000</v>
          </cell>
          <cell r="G12">
            <v>108000</v>
          </cell>
        </row>
        <row r="13">
          <cell r="B13">
            <v>7</v>
          </cell>
          <cell r="C13" t="str">
            <v>Sơn chống rỉ</v>
          </cell>
          <cell r="D13" t="str">
            <v>kg</v>
          </cell>
          <cell r="E13">
            <v>0.7</v>
          </cell>
          <cell r="F13">
            <v>36000</v>
          </cell>
          <cell r="G13">
            <v>25200</v>
          </cell>
        </row>
        <row r="14">
          <cell r="B14">
            <v>8</v>
          </cell>
          <cell r="C14" t="str">
            <v>Mỡ YOC</v>
          </cell>
          <cell r="D14" t="str">
            <v>kg</v>
          </cell>
          <cell r="E14">
            <v>1.8</v>
          </cell>
          <cell r="F14">
            <v>35000</v>
          </cell>
          <cell r="G14">
            <v>63000</v>
          </cell>
        </row>
        <row r="15">
          <cell r="B15">
            <v>30</v>
          </cell>
          <cell r="C15" t="str">
            <v>Dây thép mạ kẽm fi 2-4</v>
          </cell>
          <cell r="D15" t="str">
            <v>kg</v>
          </cell>
          <cell r="E15">
            <v>8.1999999999999993</v>
          </cell>
          <cell r="F15">
            <v>1000</v>
          </cell>
          <cell r="G15">
            <v>8200</v>
          </cell>
        </row>
        <row r="16">
          <cell r="B16">
            <v>9</v>
          </cell>
          <cell r="C16" t="str">
            <v>Giẻ lau</v>
          </cell>
          <cell r="D16" t="str">
            <v>kg</v>
          </cell>
          <cell r="E16">
            <v>10</v>
          </cell>
          <cell r="F16">
            <v>9500</v>
          </cell>
          <cell r="G16">
            <v>95000</v>
          </cell>
        </row>
        <row r="17">
          <cell r="B17">
            <v>44</v>
          </cell>
          <cell r="C17" t="str">
            <v>Gỗ ván nhóm 4</v>
          </cell>
          <cell r="D17" t="str">
            <v>m3</v>
          </cell>
          <cell r="E17">
            <v>0.36</v>
          </cell>
          <cell r="F17">
            <v>2300000</v>
          </cell>
          <cell r="G17">
            <v>828000</v>
          </cell>
        </row>
        <row r="18">
          <cell r="B18">
            <v>117</v>
          </cell>
          <cell r="C18" t="str">
            <v>Vật liệu khác</v>
          </cell>
          <cell r="D18" t="str">
            <v>%</v>
          </cell>
          <cell r="E18">
            <v>5</v>
          </cell>
          <cell r="G18">
            <v>92262.77</v>
          </cell>
        </row>
        <row r="19">
          <cell r="C19" t="str">
            <v>Nhân công</v>
          </cell>
          <cell r="G19">
            <v>114365921.44736843</v>
          </cell>
        </row>
        <row r="20">
          <cell r="B20" t="str">
            <v>NC1457</v>
          </cell>
          <cell r="C20" t="str">
            <v>Ngày công bậc 4,5/7</v>
          </cell>
          <cell r="D20" t="str">
            <v>công</v>
          </cell>
          <cell r="E20">
            <v>540</v>
          </cell>
          <cell r="F20">
            <v>211788.74342105264</v>
          </cell>
          <cell r="G20">
            <v>114365921.44736843</v>
          </cell>
        </row>
        <row r="21">
          <cell r="C21" t="str">
            <v>Máy thi công</v>
          </cell>
          <cell r="G21">
            <v>6790542.8598000007</v>
          </cell>
        </row>
        <row r="22">
          <cell r="B22">
            <v>8014</v>
          </cell>
          <cell r="C22" t="str">
            <v>Cần trục bánh hơi 16 tấn</v>
          </cell>
          <cell r="D22" t="str">
            <v>ca</v>
          </cell>
          <cell r="E22">
            <v>2.31</v>
          </cell>
          <cell r="F22">
            <v>2198624.7400000002</v>
          </cell>
          <cell r="G22">
            <v>5078823.1494000005</v>
          </cell>
        </row>
        <row r="23">
          <cell r="B23">
            <v>8015</v>
          </cell>
          <cell r="C23" t="str">
            <v>Cần trục bánh hơi 5 tấn</v>
          </cell>
          <cell r="D23" t="str">
            <v>ca</v>
          </cell>
          <cell r="E23">
            <v>1.2</v>
          </cell>
          <cell r="F23">
            <v>1426433.0920000002</v>
          </cell>
          <cell r="G23">
            <v>1711719.7104000002</v>
          </cell>
        </row>
        <row r="24">
          <cell r="A24" t="str">
            <v>T1.1104</v>
          </cell>
          <cell r="C24" t="str">
            <v>Lắp đặt máy biến áp 500/220/35KV &lt;=100MVA - 1 pha</v>
          </cell>
          <cell r="D24" t="str">
            <v>Máy</v>
          </cell>
          <cell r="H24">
            <v>1653620.6400000001</v>
          </cell>
          <cell r="I24">
            <v>82385821.190789476</v>
          </cell>
          <cell r="J24">
            <v>5720183.4430000009</v>
          </cell>
        </row>
        <row r="25">
          <cell r="C25" t="str">
            <v>Vật liệu</v>
          </cell>
          <cell r="G25">
            <v>1653620.6400000001</v>
          </cell>
        </row>
        <row r="26">
          <cell r="B26">
            <v>1</v>
          </cell>
          <cell r="C26" t="str">
            <v>Cồn công nghiệp</v>
          </cell>
          <cell r="D26" t="str">
            <v>kg</v>
          </cell>
          <cell r="E26">
            <v>1.7</v>
          </cell>
          <cell r="F26">
            <v>9500</v>
          </cell>
          <cell r="G26">
            <v>16150</v>
          </cell>
        </row>
        <row r="27">
          <cell r="B27">
            <v>2</v>
          </cell>
          <cell r="C27" t="str">
            <v>Keo dán</v>
          </cell>
          <cell r="D27" t="str">
            <v>kg</v>
          </cell>
          <cell r="E27">
            <v>0.4</v>
          </cell>
          <cell r="F27">
            <v>45000</v>
          </cell>
          <cell r="G27">
            <v>18000</v>
          </cell>
        </row>
        <row r="28">
          <cell r="B28">
            <v>3</v>
          </cell>
          <cell r="C28" t="str">
            <v>Xăng</v>
          </cell>
          <cell r="D28" t="str">
            <v>kg</v>
          </cell>
          <cell r="E28">
            <v>7.4</v>
          </cell>
          <cell r="F28">
            <v>18382</v>
          </cell>
          <cell r="G28">
            <v>136026.80000000002</v>
          </cell>
        </row>
        <row r="29">
          <cell r="B29">
            <v>4</v>
          </cell>
          <cell r="C29" t="str">
            <v>Giấy ráp</v>
          </cell>
          <cell r="D29" t="str">
            <v>tờ</v>
          </cell>
          <cell r="E29">
            <v>9</v>
          </cell>
          <cell r="F29">
            <v>10000</v>
          </cell>
          <cell r="G29">
            <v>90000</v>
          </cell>
        </row>
        <row r="30">
          <cell r="B30">
            <v>5</v>
          </cell>
          <cell r="C30" t="str">
            <v>Vải nhựa</v>
          </cell>
          <cell r="D30" t="str">
            <v>cuộn</v>
          </cell>
          <cell r="E30">
            <v>25.33</v>
          </cell>
          <cell r="F30">
            <v>10000</v>
          </cell>
          <cell r="G30">
            <v>253299.99999999997</v>
          </cell>
        </row>
        <row r="31">
          <cell r="B31">
            <v>6</v>
          </cell>
          <cell r="C31" t="str">
            <v>Vải trắng</v>
          </cell>
          <cell r="D31" t="str">
            <v>m</v>
          </cell>
          <cell r="E31">
            <v>5.4</v>
          </cell>
          <cell r="F31">
            <v>15000</v>
          </cell>
          <cell r="G31">
            <v>81000</v>
          </cell>
        </row>
        <row r="32">
          <cell r="B32">
            <v>7</v>
          </cell>
          <cell r="C32" t="str">
            <v>Sơn chống rỉ</v>
          </cell>
          <cell r="D32" t="str">
            <v>kg</v>
          </cell>
          <cell r="E32">
            <v>0.4</v>
          </cell>
          <cell r="F32">
            <v>36000</v>
          </cell>
          <cell r="G32">
            <v>14400</v>
          </cell>
        </row>
        <row r="33">
          <cell r="B33">
            <v>8</v>
          </cell>
          <cell r="C33" t="str">
            <v>Mỡ YOC</v>
          </cell>
          <cell r="D33" t="str">
            <v>kg</v>
          </cell>
          <cell r="E33">
            <v>1</v>
          </cell>
          <cell r="F33">
            <v>35000</v>
          </cell>
          <cell r="G33">
            <v>35000</v>
          </cell>
        </row>
        <row r="34">
          <cell r="B34">
            <v>30</v>
          </cell>
          <cell r="C34" t="str">
            <v>Dây thép mạ kẽm fi 2-4</v>
          </cell>
          <cell r="D34" t="str">
            <v>kg</v>
          </cell>
          <cell r="E34">
            <v>8</v>
          </cell>
          <cell r="F34">
            <v>1000</v>
          </cell>
          <cell r="G34">
            <v>8000</v>
          </cell>
        </row>
        <row r="35">
          <cell r="B35">
            <v>9</v>
          </cell>
          <cell r="C35" t="str">
            <v>Giẻ lau</v>
          </cell>
          <cell r="D35" t="str">
            <v>kg</v>
          </cell>
          <cell r="E35">
            <v>10</v>
          </cell>
          <cell r="F35">
            <v>9500</v>
          </cell>
          <cell r="G35">
            <v>95000</v>
          </cell>
        </row>
        <row r="36">
          <cell r="B36">
            <v>44</v>
          </cell>
          <cell r="C36" t="str">
            <v>Gỗ ván nhóm 4</v>
          </cell>
          <cell r="D36" t="str">
            <v>m3</v>
          </cell>
          <cell r="E36">
            <v>0.36</v>
          </cell>
          <cell r="F36">
            <v>2300000</v>
          </cell>
          <cell r="G36">
            <v>828000</v>
          </cell>
        </row>
        <row r="37">
          <cell r="B37">
            <v>117</v>
          </cell>
          <cell r="C37" t="str">
            <v>Vật liệu khác</v>
          </cell>
          <cell r="D37" t="str">
            <v>%</v>
          </cell>
          <cell r="E37">
            <v>5</v>
          </cell>
          <cell r="G37">
            <v>78743.840000000011</v>
          </cell>
        </row>
        <row r="38">
          <cell r="C38" t="str">
            <v>Nhân công</v>
          </cell>
          <cell r="G38">
            <v>82385821.190789476</v>
          </cell>
        </row>
        <row r="39">
          <cell r="B39" t="str">
            <v>NC1457</v>
          </cell>
          <cell r="C39" t="str">
            <v>Ngày công bậc 4,5/7</v>
          </cell>
          <cell r="D39" t="str">
            <v>công</v>
          </cell>
          <cell r="E39">
            <v>389</v>
          </cell>
          <cell r="F39">
            <v>211788.74342105264</v>
          </cell>
          <cell r="G39">
            <v>82385821.190789476</v>
          </cell>
        </row>
        <row r="40">
          <cell r="C40" t="str">
            <v>Máy thi công</v>
          </cell>
          <cell r="G40">
            <v>5720183.4430000009</v>
          </cell>
        </row>
        <row r="41">
          <cell r="B41">
            <v>8014</v>
          </cell>
          <cell r="C41" t="str">
            <v>Cần trục bánh hơi 16 tấn</v>
          </cell>
          <cell r="D41" t="str">
            <v>ca</v>
          </cell>
          <cell r="E41">
            <v>2.1800000000000002</v>
          </cell>
          <cell r="F41">
            <v>2198624.7400000002</v>
          </cell>
          <cell r="G41">
            <v>4793001.9332000008</v>
          </cell>
        </row>
        <row r="42">
          <cell r="B42">
            <v>8015</v>
          </cell>
          <cell r="C42" t="str">
            <v>Cần trục bánh hơi 5 tấn</v>
          </cell>
          <cell r="D42" t="str">
            <v>ca</v>
          </cell>
          <cell r="E42">
            <v>0.65</v>
          </cell>
          <cell r="F42">
            <v>1426433.0920000002</v>
          </cell>
          <cell r="G42">
            <v>927181.50980000012</v>
          </cell>
        </row>
        <row r="43">
          <cell r="A43" t="str">
            <v>T1.1107</v>
          </cell>
          <cell r="C43" t="str">
            <v>Lắp đặt máy biến áp 220/110/35;22;15;10;6KV &lt;=63MVA - 3 pha</v>
          </cell>
          <cell r="D43" t="str">
            <v>Máy</v>
          </cell>
          <cell r="H43">
            <v>753031.02</v>
          </cell>
          <cell r="I43">
            <v>42357748.684210531</v>
          </cell>
          <cell r="J43">
            <v>2305662.3751200004</v>
          </cell>
        </row>
        <row r="44">
          <cell r="C44" t="str">
            <v>Vật liệu</v>
          </cell>
          <cell r="G44">
            <v>753031.02</v>
          </cell>
        </row>
        <row r="45">
          <cell r="B45">
            <v>1</v>
          </cell>
          <cell r="C45" t="str">
            <v>Cồn công nghiệp</v>
          </cell>
          <cell r="D45" t="str">
            <v>kg</v>
          </cell>
          <cell r="E45">
            <v>0.6</v>
          </cell>
          <cell r="F45">
            <v>9500</v>
          </cell>
          <cell r="G45">
            <v>5700</v>
          </cell>
        </row>
        <row r="46">
          <cell r="B46">
            <v>2</v>
          </cell>
          <cell r="C46" t="str">
            <v>Keo dán</v>
          </cell>
          <cell r="D46" t="str">
            <v>kg</v>
          </cell>
          <cell r="E46">
            <v>0.2</v>
          </cell>
          <cell r="F46">
            <v>45000</v>
          </cell>
          <cell r="G46">
            <v>9000</v>
          </cell>
        </row>
        <row r="47">
          <cell r="B47">
            <v>3</v>
          </cell>
          <cell r="C47" t="str">
            <v>Xăng</v>
          </cell>
          <cell r="D47" t="str">
            <v>kg</v>
          </cell>
          <cell r="E47">
            <v>3.2</v>
          </cell>
          <cell r="F47">
            <v>18382</v>
          </cell>
          <cell r="G47">
            <v>58822.400000000001</v>
          </cell>
        </row>
        <row r="48">
          <cell r="B48">
            <v>4</v>
          </cell>
          <cell r="C48" t="str">
            <v>Giấy ráp</v>
          </cell>
          <cell r="D48" t="str">
            <v>kg</v>
          </cell>
          <cell r="E48">
            <v>3</v>
          </cell>
          <cell r="F48">
            <v>10000</v>
          </cell>
          <cell r="G48">
            <v>30000</v>
          </cell>
        </row>
        <row r="49">
          <cell r="B49">
            <v>5</v>
          </cell>
          <cell r="C49" t="str">
            <v>Vải nhựa</v>
          </cell>
          <cell r="D49" t="str">
            <v>kg</v>
          </cell>
          <cell r="E49">
            <v>15.96</v>
          </cell>
          <cell r="F49">
            <v>10000</v>
          </cell>
          <cell r="G49">
            <v>159600</v>
          </cell>
        </row>
        <row r="50">
          <cell r="B50">
            <v>6</v>
          </cell>
          <cell r="C50" t="str">
            <v>Vải trắng</v>
          </cell>
          <cell r="D50" t="str">
            <v>tờ</v>
          </cell>
          <cell r="E50">
            <v>3</v>
          </cell>
          <cell r="F50">
            <v>15000</v>
          </cell>
          <cell r="G50">
            <v>45000</v>
          </cell>
        </row>
        <row r="51">
          <cell r="B51">
            <v>7</v>
          </cell>
          <cell r="C51" t="str">
            <v>Sơn chống rỉ</v>
          </cell>
          <cell r="D51" t="str">
            <v>cuộn</v>
          </cell>
          <cell r="E51">
            <v>0.3</v>
          </cell>
          <cell r="F51">
            <v>36000</v>
          </cell>
          <cell r="G51">
            <v>10800</v>
          </cell>
        </row>
        <row r="52">
          <cell r="B52">
            <v>8</v>
          </cell>
          <cell r="C52" t="str">
            <v>Mỡ YOC</v>
          </cell>
          <cell r="D52" t="str">
            <v>m</v>
          </cell>
          <cell r="E52">
            <v>0.5</v>
          </cell>
          <cell r="F52">
            <v>35000</v>
          </cell>
          <cell r="G52">
            <v>17500</v>
          </cell>
        </row>
        <row r="53">
          <cell r="B53">
            <v>30</v>
          </cell>
          <cell r="C53" t="str">
            <v>Dây thép mạ kẽm fi 2-4</v>
          </cell>
          <cell r="D53" t="str">
            <v>kg</v>
          </cell>
          <cell r="E53">
            <v>2.5</v>
          </cell>
          <cell r="F53">
            <v>1000</v>
          </cell>
          <cell r="G53">
            <v>2500</v>
          </cell>
        </row>
        <row r="54">
          <cell r="B54">
            <v>9</v>
          </cell>
          <cell r="C54" t="str">
            <v>Giẻ lau</v>
          </cell>
          <cell r="D54" t="str">
            <v>kg</v>
          </cell>
          <cell r="E54">
            <v>3.5</v>
          </cell>
          <cell r="F54">
            <v>9500</v>
          </cell>
          <cell r="G54">
            <v>33250</v>
          </cell>
        </row>
        <row r="55">
          <cell r="B55">
            <v>44</v>
          </cell>
          <cell r="C55" t="str">
            <v>Gỗ ván nhóm 4</v>
          </cell>
          <cell r="D55" t="str">
            <v>kg</v>
          </cell>
          <cell r="E55">
            <v>0.15</v>
          </cell>
          <cell r="F55">
            <v>2300000</v>
          </cell>
          <cell r="G55">
            <v>345000</v>
          </cell>
        </row>
        <row r="56">
          <cell r="B56">
            <v>117</v>
          </cell>
          <cell r="C56" t="str">
            <v>Vật liệu khác</v>
          </cell>
          <cell r="D56" t="str">
            <v>%</v>
          </cell>
          <cell r="E56">
            <v>5</v>
          </cell>
          <cell r="G56">
            <v>35858.620000000003</v>
          </cell>
        </row>
        <row r="57">
          <cell r="C57" t="str">
            <v>Nhân công</v>
          </cell>
          <cell r="G57">
            <v>42357748.684210531</v>
          </cell>
        </row>
        <row r="58">
          <cell r="B58" t="str">
            <v>NC1457</v>
          </cell>
          <cell r="C58" t="str">
            <v>Ngày công bậc 4,5/7</v>
          </cell>
          <cell r="D58" t="str">
            <v>công</v>
          </cell>
          <cell r="E58">
            <v>200</v>
          </cell>
          <cell r="F58">
            <v>211788.74342105264</v>
          </cell>
          <cell r="G58">
            <v>42357748.684210531</v>
          </cell>
        </row>
        <row r="59">
          <cell r="C59" t="str">
            <v>Máy thi công</v>
          </cell>
          <cell r="G59">
            <v>2305662.3751200004</v>
          </cell>
        </row>
        <row r="60">
          <cell r="B60">
            <v>8014</v>
          </cell>
          <cell r="C60" t="str">
            <v>Cần trục bánh hơi 10 tấn</v>
          </cell>
          <cell r="D60" t="str">
            <v>ca</v>
          </cell>
          <cell r="E60">
            <v>0.88</v>
          </cell>
          <cell r="F60">
            <v>2198624.7400000002</v>
          </cell>
          <cell r="G60">
            <v>1934789.7712000003</v>
          </cell>
        </row>
        <row r="61">
          <cell r="B61">
            <v>8015</v>
          </cell>
          <cell r="C61" t="str">
            <v>Cần trục bánh hơi 5 tấn</v>
          </cell>
          <cell r="D61" t="str">
            <v>ca</v>
          </cell>
          <cell r="E61">
            <v>0.26</v>
          </cell>
          <cell r="F61">
            <v>1426433.0920000002</v>
          </cell>
          <cell r="G61">
            <v>370872.60392000008</v>
          </cell>
        </row>
        <row r="62">
          <cell r="A62" t="str">
            <v>T1.1106</v>
          </cell>
          <cell r="C62" t="str">
            <v>Lắp đặt máy biến áp 220/110/35;22;15;10;6KV &lt;=125MVA - 3 pha</v>
          </cell>
          <cell r="D62" t="str">
            <v>Máy</v>
          </cell>
          <cell r="H62">
            <v>1578982.23</v>
          </cell>
          <cell r="I62">
            <v>80903299.986842111</v>
          </cell>
          <cell r="J62">
            <v>4071214.8880000003</v>
          </cell>
        </row>
        <row r="63">
          <cell r="C63" t="str">
            <v>Vật liệu</v>
          </cell>
          <cell r="G63">
            <v>1578982.23</v>
          </cell>
        </row>
        <row r="64">
          <cell r="B64">
            <v>1</v>
          </cell>
          <cell r="C64" t="str">
            <v>Cồn công nghiệp</v>
          </cell>
          <cell r="D64" t="str">
            <v>kg</v>
          </cell>
          <cell r="E64">
            <v>0.8</v>
          </cell>
          <cell r="F64">
            <v>9500</v>
          </cell>
          <cell r="G64">
            <v>7600</v>
          </cell>
        </row>
        <row r="65">
          <cell r="B65">
            <v>2</v>
          </cell>
          <cell r="C65" t="str">
            <v>Keo dán</v>
          </cell>
          <cell r="D65" t="str">
            <v>kg</v>
          </cell>
          <cell r="E65">
            <v>0.3</v>
          </cell>
          <cell r="F65">
            <v>45000</v>
          </cell>
          <cell r="G65">
            <v>13500</v>
          </cell>
        </row>
        <row r="66">
          <cell r="B66">
            <v>3</v>
          </cell>
          <cell r="C66" t="str">
            <v>Xăng</v>
          </cell>
          <cell r="D66" t="str">
            <v>kg</v>
          </cell>
          <cell r="E66">
            <v>4.3</v>
          </cell>
          <cell r="F66">
            <v>18382</v>
          </cell>
          <cell r="G66">
            <v>79042.599999999991</v>
          </cell>
        </row>
        <row r="67">
          <cell r="B67">
            <v>4</v>
          </cell>
          <cell r="C67" t="str">
            <v>Giấy ráp</v>
          </cell>
          <cell r="D67" t="str">
            <v>kg</v>
          </cell>
          <cell r="E67">
            <v>5</v>
          </cell>
          <cell r="F67">
            <v>10000</v>
          </cell>
          <cell r="G67">
            <v>50000</v>
          </cell>
        </row>
        <row r="68">
          <cell r="B68">
            <v>5</v>
          </cell>
          <cell r="C68" t="str">
            <v>Vải nhựa</v>
          </cell>
          <cell r="D68" t="str">
            <v>kg</v>
          </cell>
          <cell r="E68">
            <v>38</v>
          </cell>
          <cell r="F68">
            <v>10000</v>
          </cell>
          <cell r="G68">
            <v>380000</v>
          </cell>
        </row>
        <row r="69">
          <cell r="B69">
            <v>6</v>
          </cell>
          <cell r="C69" t="str">
            <v>Vải trắng</v>
          </cell>
          <cell r="D69" t="str">
            <v>tờ</v>
          </cell>
          <cell r="E69">
            <v>4</v>
          </cell>
          <cell r="F69">
            <v>15000</v>
          </cell>
          <cell r="G69">
            <v>60000</v>
          </cell>
        </row>
        <row r="70">
          <cell r="B70">
            <v>7</v>
          </cell>
          <cell r="C70" t="str">
            <v>Sơn chống rỉ</v>
          </cell>
          <cell r="D70" t="str">
            <v>cuộn</v>
          </cell>
          <cell r="E70">
            <v>0.4</v>
          </cell>
          <cell r="F70">
            <v>36000</v>
          </cell>
          <cell r="G70">
            <v>14400</v>
          </cell>
        </row>
        <row r="71">
          <cell r="B71">
            <v>8</v>
          </cell>
          <cell r="C71" t="str">
            <v>Mỡ YOC</v>
          </cell>
          <cell r="D71" t="str">
            <v>m</v>
          </cell>
          <cell r="E71">
            <v>0.7</v>
          </cell>
          <cell r="F71">
            <v>35000</v>
          </cell>
          <cell r="G71">
            <v>24500</v>
          </cell>
        </row>
        <row r="72">
          <cell r="B72">
            <v>30</v>
          </cell>
          <cell r="C72" t="str">
            <v>Dây thép mạ kẽm fi 2-4</v>
          </cell>
          <cell r="D72" t="str">
            <v>kg</v>
          </cell>
          <cell r="E72">
            <v>4</v>
          </cell>
          <cell r="F72">
            <v>1000</v>
          </cell>
          <cell r="G72">
            <v>4000</v>
          </cell>
        </row>
        <row r="73">
          <cell r="B73">
            <v>9</v>
          </cell>
          <cell r="C73" t="str">
            <v>Giẻ lau</v>
          </cell>
          <cell r="D73" t="str">
            <v>kg</v>
          </cell>
          <cell r="E73">
            <v>4.5</v>
          </cell>
          <cell r="F73">
            <v>9500</v>
          </cell>
          <cell r="G73">
            <v>42750</v>
          </cell>
        </row>
        <row r="74">
          <cell r="B74">
            <v>44</v>
          </cell>
          <cell r="C74" t="str">
            <v>Gỗ ván nhóm 4</v>
          </cell>
          <cell r="D74" t="str">
            <v>kg</v>
          </cell>
          <cell r="E74">
            <v>0.36</v>
          </cell>
          <cell r="F74">
            <v>2300000</v>
          </cell>
          <cell r="G74">
            <v>828000</v>
          </cell>
        </row>
        <row r="75">
          <cell r="B75">
            <v>117</v>
          </cell>
          <cell r="C75" t="str">
            <v>Vật liệu khác</v>
          </cell>
          <cell r="D75" t="str">
            <v>%</v>
          </cell>
          <cell r="E75">
            <v>5</v>
          </cell>
          <cell r="G75">
            <v>75189.63</v>
          </cell>
        </row>
        <row r="76">
          <cell r="C76" t="str">
            <v>Nhân công</v>
          </cell>
          <cell r="G76">
            <v>80903299.986842111</v>
          </cell>
        </row>
        <row r="77">
          <cell r="B77" t="str">
            <v>NC1457</v>
          </cell>
          <cell r="C77" t="str">
            <v>Ngày công bậc 4,5/7</v>
          </cell>
          <cell r="D77" t="str">
            <v>công</v>
          </cell>
          <cell r="E77">
            <v>382</v>
          </cell>
          <cell r="F77">
            <v>211788.74342105264</v>
          </cell>
          <cell r="G77">
            <v>80903299.986842111</v>
          </cell>
        </row>
        <row r="78">
          <cell r="C78" t="str">
            <v>Máy thi công</v>
          </cell>
          <cell r="G78">
            <v>4071214.8880000003</v>
          </cell>
        </row>
        <row r="79">
          <cell r="B79">
            <v>8014</v>
          </cell>
          <cell r="C79" t="str">
            <v>Cần trục bánh hơi 10 tấn</v>
          </cell>
          <cell r="D79" t="str">
            <v>ca</v>
          </cell>
          <cell r="E79">
            <v>1.43</v>
          </cell>
          <cell r="F79">
            <v>2198624.7400000002</v>
          </cell>
          <cell r="G79">
            <v>3144033.3782000002</v>
          </cell>
        </row>
        <row r="80">
          <cell r="B80">
            <v>8015</v>
          </cell>
          <cell r="C80" t="str">
            <v>Cần trục bánh hơi 5 tấn</v>
          </cell>
          <cell r="D80" t="str">
            <v>ca</v>
          </cell>
          <cell r="E80">
            <v>0.65</v>
          </cell>
          <cell r="F80">
            <v>1426433.0920000002</v>
          </cell>
          <cell r="G80">
            <v>927181.50980000012</v>
          </cell>
        </row>
        <row r="81">
          <cell r="A81" t="str">
            <v>T1.1105</v>
          </cell>
          <cell r="C81" t="str">
            <v>Lắp đặt máy biến áp 220/110/35;22;15;10;6KV &lt;=250MVA</v>
          </cell>
          <cell r="D81" t="str">
            <v>Máy</v>
          </cell>
          <cell r="H81">
            <v>2341880.94</v>
          </cell>
          <cell r="I81">
            <v>99117131.921052635</v>
          </cell>
          <cell r="J81">
            <v>5720183.4430000009</v>
          </cell>
        </row>
        <row r="82">
          <cell r="C82" t="str">
            <v>Vật liệu</v>
          </cell>
          <cell r="G82">
            <v>2341880.94</v>
          </cell>
        </row>
        <row r="83">
          <cell r="B83">
            <v>1</v>
          </cell>
          <cell r="C83" t="str">
            <v>Cồn công nghiệp</v>
          </cell>
          <cell r="D83" t="str">
            <v>kg</v>
          </cell>
          <cell r="E83">
            <v>1.1000000000000001</v>
          </cell>
          <cell r="F83">
            <v>9500</v>
          </cell>
          <cell r="G83">
            <v>10450</v>
          </cell>
        </row>
        <row r="84">
          <cell r="B84">
            <v>2</v>
          </cell>
          <cell r="C84" t="str">
            <v>Keo dán</v>
          </cell>
          <cell r="D84" t="str">
            <v>kg</v>
          </cell>
          <cell r="E84">
            <v>0.4</v>
          </cell>
          <cell r="F84">
            <v>45000</v>
          </cell>
          <cell r="G84">
            <v>18000</v>
          </cell>
        </row>
        <row r="85">
          <cell r="B85">
            <v>3</v>
          </cell>
          <cell r="C85" t="str">
            <v>Xăng</v>
          </cell>
          <cell r="D85" t="str">
            <v>kg</v>
          </cell>
          <cell r="E85">
            <v>5.4</v>
          </cell>
          <cell r="F85">
            <v>18382</v>
          </cell>
          <cell r="G85">
            <v>99262.8</v>
          </cell>
        </row>
        <row r="86">
          <cell r="B86">
            <v>4</v>
          </cell>
          <cell r="C86" t="str">
            <v>Giấy ráp</v>
          </cell>
          <cell r="D86" t="str">
            <v>kg</v>
          </cell>
          <cell r="E86">
            <v>6</v>
          </cell>
          <cell r="F86">
            <v>10000</v>
          </cell>
          <cell r="G86">
            <v>60000</v>
          </cell>
        </row>
        <row r="87">
          <cell r="B87">
            <v>5</v>
          </cell>
          <cell r="C87" t="str">
            <v>Vải nhựa</v>
          </cell>
          <cell r="D87" t="str">
            <v>kg</v>
          </cell>
          <cell r="E87">
            <v>45.6</v>
          </cell>
          <cell r="F87">
            <v>10000</v>
          </cell>
          <cell r="G87">
            <v>456000</v>
          </cell>
        </row>
        <row r="88">
          <cell r="B88">
            <v>6</v>
          </cell>
          <cell r="C88" t="str">
            <v>Vải trắng</v>
          </cell>
          <cell r="D88" t="str">
            <v>tờ</v>
          </cell>
          <cell r="E88">
            <v>5.4</v>
          </cell>
          <cell r="F88">
            <v>15000</v>
          </cell>
          <cell r="G88">
            <v>81000</v>
          </cell>
        </row>
        <row r="89">
          <cell r="B89">
            <v>7</v>
          </cell>
          <cell r="C89" t="str">
            <v>Sơn chống rỉ</v>
          </cell>
          <cell r="D89" t="str">
            <v>cuộn</v>
          </cell>
          <cell r="E89">
            <v>0.4</v>
          </cell>
          <cell r="F89">
            <v>36000</v>
          </cell>
          <cell r="G89">
            <v>14400</v>
          </cell>
        </row>
        <row r="90">
          <cell r="B90">
            <v>8</v>
          </cell>
          <cell r="C90" t="str">
            <v>Mỡ YOC</v>
          </cell>
          <cell r="D90" t="str">
            <v>m</v>
          </cell>
          <cell r="E90">
            <v>1</v>
          </cell>
          <cell r="F90">
            <v>35000</v>
          </cell>
          <cell r="G90">
            <v>35000</v>
          </cell>
        </row>
        <row r="91">
          <cell r="B91">
            <v>30</v>
          </cell>
          <cell r="C91" t="str">
            <v>Dây thép mạ kẽm fi 2-4</v>
          </cell>
          <cell r="D91" t="str">
            <v>kg</v>
          </cell>
          <cell r="E91">
            <v>5</v>
          </cell>
          <cell r="F91">
            <v>1000</v>
          </cell>
          <cell r="G91">
            <v>5000</v>
          </cell>
        </row>
        <row r="92">
          <cell r="B92">
            <v>9</v>
          </cell>
          <cell r="C92" t="str">
            <v>Giẻ lau</v>
          </cell>
          <cell r="D92" t="str">
            <v>kg</v>
          </cell>
          <cell r="E92">
            <v>7.5</v>
          </cell>
          <cell r="F92">
            <v>9500</v>
          </cell>
          <cell r="G92">
            <v>71250</v>
          </cell>
        </row>
        <row r="93">
          <cell r="B93">
            <v>44</v>
          </cell>
          <cell r="C93" t="str">
            <v>Gỗ ván nhóm 4</v>
          </cell>
          <cell r="D93" t="str">
            <v>kg</v>
          </cell>
          <cell r="E93">
            <v>0.6</v>
          </cell>
          <cell r="F93">
            <v>2300000</v>
          </cell>
          <cell r="G93">
            <v>1380000</v>
          </cell>
        </row>
        <row r="94">
          <cell r="B94">
            <v>117</v>
          </cell>
          <cell r="C94" t="str">
            <v>Vật liệu khác</v>
          </cell>
          <cell r="D94" t="str">
            <v>%</v>
          </cell>
          <cell r="E94">
            <v>5</v>
          </cell>
          <cell r="G94">
            <v>111518.14</v>
          </cell>
        </row>
        <row r="95">
          <cell r="C95" t="str">
            <v>Nhân công</v>
          </cell>
          <cell r="G95">
            <v>99117131.921052635</v>
          </cell>
        </row>
        <row r="96">
          <cell r="B96" t="str">
            <v>NC1457</v>
          </cell>
          <cell r="C96" t="str">
            <v>Ngày công bậc 4,5/7</v>
          </cell>
          <cell r="D96" t="str">
            <v>công</v>
          </cell>
          <cell r="E96">
            <v>468</v>
          </cell>
          <cell r="F96">
            <v>211788.74342105264</v>
          </cell>
          <cell r="G96">
            <v>99117131.921052635</v>
          </cell>
        </row>
        <row r="97">
          <cell r="C97" t="str">
            <v>Máy thi công</v>
          </cell>
          <cell r="G97">
            <v>5720183.4430000009</v>
          </cell>
        </row>
        <row r="98">
          <cell r="B98">
            <v>8014</v>
          </cell>
          <cell r="C98" t="str">
            <v>Cần trục bánh hơi 10 tấn</v>
          </cell>
          <cell r="D98" t="str">
            <v>ca</v>
          </cell>
          <cell r="E98">
            <v>2.1800000000000002</v>
          </cell>
          <cell r="F98">
            <v>2198624.7400000002</v>
          </cell>
          <cell r="G98">
            <v>4793001.9332000008</v>
          </cell>
        </row>
        <row r="99">
          <cell r="B99">
            <v>8015</v>
          </cell>
          <cell r="C99" t="str">
            <v>Cần trục bánh hơi 5 tấn</v>
          </cell>
          <cell r="D99" t="str">
            <v>ca</v>
          </cell>
          <cell r="E99">
            <v>0.65</v>
          </cell>
          <cell r="F99">
            <v>1426433.0920000002</v>
          </cell>
          <cell r="G99">
            <v>927181.50980000012</v>
          </cell>
        </row>
        <row r="100">
          <cell r="A100" t="str">
            <v>T1.1201</v>
          </cell>
          <cell r="C100" t="str">
            <v>Lắp đặt máy biến áp 110/35/22;15;10;6KV &lt;=63MVA 3 pha hai cuộn dây</v>
          </cell>
          <cell r="D100" t="str">
            <v>Máy</v>
          </cell>
          <cell r="H100">
            <v>944540.94000000006</v>
          </cell>
          <cell r="I100">
            <v>25202860.467105266</v>
          </cell>
          <cell r="J100">
            <v>2305662.3751200004</v>
          </cell>
        </row>
        <row r="101">
          <cell r="C101" t="str">
            <v>Vật liệu</v>
          </cell>
          <cell r="G101">
            <v>944540.94000000006</v>
          </cell>
        </row>
        <row r="102">
          <cell r="B102">
            <v>1</v>
          </cell>
          <cell r="C102" t="str">
            <v>Cồn công nghiệp</v>
          </cell>
          <cell r="D102" t="str">
            <v>kg</v>
          </cell>
          <cell r="E102">
            <v>1.1000000000000001</v>
          </cell>
          <cell r="F102">
            <v>9500</v>
          </cell>
          <cell r="G102">
            <v>10450</v>
          </cell>
        </row>
        <row r="103">
          <cell r="B103">
            <v>2</v>
          </cell>
          <cell r="C103" t="str">
            <v>Keo dán</v>
          </cell>
          <cell r="D103" t="str">
            <v>kg</v>
          </cell>
          <cell r="E103">
            <v>0.4</v>
          </cell>
          <cell r="F103">
            <v>45000</v>
          </cell>
          <cell r="G103">
            <v>18000</v>
          </cell>
        </row>
        <row r="104">
          <cell r="B104">
            <v>3</v>
          </cell>
          <cell r="C104" t="str">
            <v>Xăng</v>
          </cell>
          <cell r="D104" t="str">
            <v>kg</v>
          </cell>
          <cell r="E104">
            <v>5.4</v>
          </cell>
          <cell r="F104">
            <v>18382</v>
          </cell>
          <cell r="G104">
            <v>99262.8</v>
          </cell>
        </row>
        <row r="105">
          <cell r="B105">
            <v>4</v>
          </cell>
          <cell r="C105" t="str">
            <v>Giấy ráp</v>
          </cell>
          <cell r="D105" t="str">
            <v>tờ</v>
          </cell>
          <cell r="E105">
            <v>6</v>
          </cell>
          <cell r="F105">
            <v>10000</v>
          </cell>
          <cell r="G105">
            <v>60000</v>
          </cell>
        </row>
        <row r="106">
          <cell r="B106">
            <v>5</v>
          </cell>
          <cell r="C106" t="str">
            <v>Vải nhựa</v>
          </cell>
          <cell r="D106" t="str">
            <v>cuộn</v>
          </cell>
          <cell r="E106">
            <v>15.96</v>
          </cell>
          <cell r="F106">
            <v>10000</v>
          </cell>
          <cell r="G106">
            <v>159600</v>
          </cell>
        </row>
        <row r="107">
          <cell r="B107">
            <v>6</v>
          </cell>
          <cell r="C107" t="str">
            <v>Vải trắng</v>
          </cell>
          <cell r="D107" t="str">
            <v>m</v>
          </cell>
          <cell r="E107">
            <v>5.4</v>
          </cell>
          <cell r="F107">
            <v>15000</v>
          </cell>
          <cell r="G107">
            <v>81000</v>
          </cell>
        </row>
        <row r="108">
          <cell r="B108">
            <v>7</v>
          </cell>
          <cell r="C108" t="str">
            <v>Sơn chống rỉ</v>
          </cell>
          <cell r="D108" t="str">
            <v>kg</v>
          </cell>
          <cell r="E108">
            <v>0.4</v>
          </cell>
          <cell r="F108">
            <v>36000</v>
          </cell>
          <cell r="G108">
            <v>14400</v>
          </cell>
        </row>
        <row r="109">
          <cell r="B109">
            <v>8</v>
          </cell>
          <cell r="C109" t="str">
            <v>Mỡ YOC</v>
          </cell>
          <cell r="D109" t="str">
            <v>kg</v>
          </cell>
          <cell r="E109">
            <v>1</v>
          </cell>
          <cell r="F109">
            <v>35000</v>
          </cell>
          <cell r="G109">
            <v>35000</v>
          </cell>
        </row>
        <row r="110">
          <cell r="B110">
            <v>30</v>
          </cell>
          <cell r="C110" t="str">
            <v>Dây thép mạ kẽm fi 2-4</v>
          </cell>
          <cell r="D110" t="str">
            <v>kg</v>
          </cell>
          <cell r="E110">
            <v>5.6</v>
          </cell>
          <cell r="F110">
            <v>1000</v>
          </cell>
          <cell r="G110">
            <v>5600</v>
          </cell>
        </row>
        <row r="111">
          <cell r="B111">
            <v>9</v>
          </cell>
          <cell r="C111" t="str">
            <v>Giẻ lau</v>
          </cell>
          <cell r="D111" t="str">
            <v>kg</v>
          </cell>
          <cell r="E111">
            <v>7.5</v>
          </cell>
          <cell r="F111">
            <v>9500</v>
          </cell>
          <cell r="G111">
            <v>71250</v>
          </cell>
        </row>
        <row r="112">
          <cell r="B112">
            <v>44</v>
          </cell>
          <cell r="C112" t="str">
            <v>Gỗ ván nhóm 4</v>
          </cell>
          <cell r="D112" t="str">
            <v>m3</v>
          </cell>
          <cell r="E112">
            <v>0.15</v>
          </cell>
          <cell r="F112">
            <v>2300000</v>
          </cell>
          <cell r="G112">
            <v>345000</v>
          </cell>
        </row>
        <row r="113">
          <cell r="B113">
            <v>117</v>
          </cell>
          <cell r="C113" t="str">
            <v>Vật liệu khác</v>
          </cell>
          <cell r="D113" t="str">
            <v>%</v>
          </cell>
          <cell r="E113">
            <v>5</v>
          </cell>
          <cell r="G113">
            <v>44978.140000000007</v>
          </cell>
        </row>
        <row r="114">
          <cell r="C114" t="str">
            <v>Nhân công</v>
          </cell>
          <cell r="G114">
            <v>25202860.467105266</v>
          </cell>
        </row>
        <row r="115">
          <cell r="B115" t="str">
            <v>NC1457</v>
          </cell>
          <cell r="C115" t="str">
            <v>Ngày công bậc 4,5/7</v>
          </cell>
          <cell r="D115" t="str">
            <v>công</v>
          </cell>
          <cell r="E115">
            <v>119</v>
          </cell>
          <cell r="F115">
            <v>211788.74342105264</v>
          </cell>
          <cell r="G115">
            <v>25202860.467105266</v>
          </cell>
        </row>
        <row r="116">
          <cell r="C116" t="str">
            <v>Máy thi công</v>
          </cell>
          <cell r="G116">
            <v>2305662.3751200004</v>
          </cell>
        </row>
        <row r="117">
          <cell r="B117">
            <v>8014</v>
          </cell>
          <cell r="C117" t="str">
            <v>Cần trục bánh hơi 10 tấn</v>
          </cell>
          <cell r="D117" t="str">
            <v>ca</v>
          </cell>
          <cell r="E117">
            <v>0.88</v>
          </cell>
          <cell r="F117">
            <v>2198624.7400000002</v>
          </cell>
          <cell r="G117">
            <v>1934789.7712000003</v>
          </cell>
        </row>
        <row r="118">
          <cell r="B118">
            <v>8015</v>
          </cell>
          <cell r="C118" t="str">
            <v>Cần trục bánh hơi 5 tấn</v>
          </cell>
          <cell r="D118" t="str">
            <v>ca</v>
          </cell>
          <cell r="E118">
            <v>0.26</v>
          </cell>
          <cell r="F118">
            <v>1426433.0920000002</v>
          </cell>
          <cell r="G118">
            <v>370872.60392000008</v>
          </cell>
        </row>
        <row r="119">
          <cell r="A119" t="str">
            <v>T1.1202</v>
          </cell>
          <cell r="C119" t="str">
            <v>Lắp đặt máy biến áp 110/35/22;15;10;6KV &lt;=40MVA 3 pha hai cuộn dây</v>
          </cell>
          <cell r="D119" t="str">
            <v>Máy</v>
          </cell>
          <cell r="H119">
            <v>665286.51</v>
          </cell>
          <cell r="I119">
            <v>19696353.138157897</v>
          </cell>
          <cell r="J119">
            <v>2305662.3751200004</v>
          </cell>
        </row>
        <row r="120">
          <cell r="C120" t="str">
            <v>Vật liệu</v>
          </cell>
          <cell r="G120">
            <v>665286.51</v>
          </cell>
        </row>
        <row r="121">
          <cell r="B121">
            <v>1</v>
          </cell>
          <cell r="C121" t="str">
            <v>Cồn công nghiệp</v>
          </cell>
          <cell r="D121" t="str">
            <v>kg</v>
          </cell>
          <cell r="E121">
            <v>0.8</v>
          </cell>
          <cell r="F121">
            <v>9500</v>
          </cell>
          <cell r="G121">
            <v>7600</v>
          </cell>
        </row>
        <row r="122">
          <cell r="B122">
            <v>2</v>
          </cell>
          <cell r="C122" t="str">
            <v>Keo dán</v>
          </cell>
          <cell r="D122" t="str">
            <v>kg</v>
          </cell>
          <cell r="E122">
            <v>0.3</v>
          </cell>
          <cell r="F122">
            <v>45000</v>
          </cell>
          <cell r="G122">
            <v>13500</v>
          </cell>
        </row>
        <row r="123">
          <cell r="B123">
            <v>3</v>
          </cell>
          <cell r="C123" t="str">
            <v>Xăng</v>
          </cell>
          <cell r="D123" t="str">
            <v>kg</v>
          </cell>
          <cell r="E123">
            <v>4.0999999999999996</v>
          </cell>
          <cell r="F123">
            <v>18382</v>
          </cell>
          <cell r="G123">
            <v>75366.2</v>
          </cell>
        </row>
        <row r="124">
          <cell r="B124">
            <v>4</v>
          </cell>
          <cell r="C124" t="str">
            <v>Giấy ráp</v>
          </cell>
          <cell r="D124" t="str">
            <v>tờ</v>
          </cell>
          <cell r="E124">
            <v>4.5</v>
          </cell>
          <cell r="F124">
            <v>10000</v>
          </cell>
          <cell r="G124">
            <v>45000</v>
          </cell>
        </row>
        <row r="125">
          <cell r="B125">
            <v>5</v>
          </cell>
          <cell r="C125" t="str">
            <v>Vải nhựa</v>
          </cell>
          <cell r="D125" t="str">
            <v>cuộn</v>
          </cell>
          <cell r="E125">
            <v>10.130000000000001</v>
          </cell>
          <cell r="F125">
            <v>10000</v>
          </cell>
          <cell r="G125">
            <v>101300.00000000001</v>
          </cell>
        </row>
        <row r="126">
          <cell r="B126">
            <v>6</v>
          </cell>
          <cell r="C126" t="str">
            <v>Vải trắng</v>
          </cell>
          <cell r="D126" t="str">
            <v>m</v>
          </cell>
          <cell r="E126">
            <v>4</v>
          </cell>
          <cell r="F126">
            <v>15000</v>
          </cell>
          <cell r="G126">
            <v>60000</v>
          </cell>
        </row>
        <row r="127">
          <cell r="B127">
            <v>7</v>
          </cell>
          <cell r="C127" t="str">
            <v>Sơn chống rỉ</v>
          </cell>
          <cell r="D127" t="str">
            <v>kg</v>
          </cell>
          <cell r="E127">
            <v>0.3</v>
          </cell>
          <cell r="F127">
            <v>36000</v>
          </cell>
          <cell r="G127">
            <v>10800</v>
          </cell>
        </row>
        <row r="128">
          <cell r="B128">
            <v>8</v>
          </cell>
          <cell r="C128" t="str">
            <v>Mỡ YOC</v>
          </cell>
          <cell r="D128" t="str">
            <v>kg</v>
          </cell>
          <cell r="E128">
            <v>0.8</v>
          </cell>
          <cell r="F128">
            <v>35000</v>
          </cell>
          <cell r="G128">
            <v>28000</v>
          </cell>
        </row>
        <row r="129">
          <cell r="B129">
            <v>30</v>
          </cell>
          <cell r="C129" t="str">
            <v>Dây thép mạ kẽm fi 2-4</v>
          </cell>
          <cell r="D129" t="str">
            <v>kg</v>
          </cell>
          <cell r="E129">
            <v>5.04</v>
          </cell>
          <cell r="F129">
            <v>1000</v>
          </cell>
          <cell r="G129">
            <v>5040</v>
          </cell>
        </row>
        <row r="130">
          <cell r="B130">
            <v>9</v>
          </cell>
          <cell r="C130" t="str">
            <v>Giẻ lau</v>
          </cell>
          <cell r="D130" t="str">
            <v>kg</v>
          </cell>
          <cell r="E130">
            <v>6</v>
          </cell>
          <cell r="F130">
            <v>9500</v>
          </cell>
          <cell r="G130">
            <v>57000</v>
          </cell>
        </row>
        <row r="131">
          <cell r="B131">
            <v>44</v>
          </cell>
          <cell r="C131" t="str">
            <v>Gỗ ván nhóm 4</v>
          </cell>
          <cell r="D131" t="str">
            <v>m3</v>
          </cell>
          <cell r="E131">
            <v>0.1</v>
          </cell>
          <cell r="F131">
            <v>2300000</v>
          </cell>
          <cell r="G131">
            <v>230000</v>
          </cell>
        </row>
        <row r="132">
          <cell r="B132">
            <v>117</v>
          </cell>
          <cell r="C132" t="str">
            <v>Vật liệu khác</v>
          </cell>
          <cell r="D132" t="str">
            <v>%</v>
          </cell>
          <cell r="E132">
            <v>5</v>
          </cell>
          <cell r="G132">
            <v>31680.309999999998</v>
          </cell>
        </row>
        <row r="133">
          <cell r="C133" t="str">
            <v>Nhân công</v>
          </cell>
          <cell r="G133">
            <v>19696353.138157897</v>
          </cell>
        </row>
        <row r="134">
          <cell r="B134" t="str">
            <v>NC1457</v>
          </cell>
          <cell r="C134" t="str">
            <v>Ngày công bậc 4,5/7</v>
          </cell>
          <cell r="D134" t="str">
            <v>công</v>
          </cell>
          <cell r="E134">
            <v>93</v>
          </cell>
          <cell r="F134">
            <v>211788.74342105264</v>
          </cell>
          <cell r="G134">
            <v>19696353.138157897</v>
          </cell>
        </row>
        <row r="135">
          <cell r="C135" t="str">
            <v>Máy thi công</v>
          </cell>
          <cell r="G135">
            <v>2305662.3751200004</v>
          </cell>
        </row>
        <row r="136">
          <cell r="B136">
            <v>8014</v>
          </cell>
          <cell r="C136" t="str">
            <v>Cần trục bánh hơi 10 tấn</v>
          </cell>
          <cell r="D136" t="str">
            <v>ca</v>
          </cell>
          <cell r="E136">
            <v>0.88</v>
          </cell>
          <cell r="F136">
            <v>2198624.7400000002</v>
          </cell>
          <cell r="G136">
            <v>1934789.7712000003</v>
          </cell>
        </row>
        <row r="137">
          <cell r="B137">
            <v>8015</v>
          </cell>
          <cell r="C137" t="str">
            <v>Cần trục bánh hơi 5 tấn</v>
          </cell>
          <cell r="D137" t="str">
            <v>ca</v>
          </cell>
          <cell r="E137">
            <v>0.26</v>
          </cell>
          <cell r="F137">
            <v>1426433.0920000002</v>
          </cell>
          <cell r="G137">
            <v>370872.60392000008</v>
          </cell>
        </row>
        <row r="138">
          <cell r="A138" t="str">
            <v>T1.1203</v>
          </cell>
          <cell r="C138" t="str">
            <v>Lắp đặt máy biến áp 110/35/22;15;10;6KV &lt;=25MVA 3 pha hai cuộn dây</v>
          </cell>
          <cell r="D138" t="str">
            <v>Máy</v>
          </cell>
          <cell r="H138">
            <v>459890.13</v>
          </cell>
          <cell r="I138">
            <v>16943099.47368421</v>
          </cell>
          <cell r="J138">
            <v>2305662.3751200004</v>
          </cell>
        </row>
        <row r="139">
          <cell r="C139" t="str">
            <v>Vật liệu</v>
          </cell>
          <cell r="G139">
            <v>459890.13</v>
          </cell>
        </row>
        <row r="140">
          <cell r="B140">
            <v>1</v>
          </cell>
          <cell r="C140" t="str">
            <v>Cồn công nghiệp</v>
          </cell>
          <cell r="D140" t="str">
            <v>kg</v>
          </cell>
          <cell r="E140">
            <v>0.6</v>
          </cell>
          <cell r="F140">
            <v>9500</v>
          </cell>
          <cell r="G140">
            <v>5700</v>
          </cell>
        </row>
        <row r="141">
          <cell r="B141">
            <v>2</v>
          </cell>
          <cell r="C141" t="str">
            <v>Keo dán</v>
          </cell>
          <cell r="D141" t="str">
            <v>kg</v>
          </cell>
          <cell r="E141">
            <v>0.2</v>
          </cell>
          <cell r="F141">
            <v>45000</v>
          </cell>
          <cell r="G141">
            <v>9000</v>
          </cell>
        </row>
        <row r="142">
          <cell r="B142">
            <v>3</v>
          </cell>
          <cell r="C142" t="str">
            <v>Xăng</v>
          </cell>
          <cell r="D142" t="str">
            <v>kg</v>
          </cell>
          <cell r="E142">
            <v>3.3</v>
          </cell>
          <cell r="F142">
            <v>18382</v>
          </cell>
          <cell r="G142">
            <v>60660.6</v>
          </cell>
        </row>
        <row r="143">
          <cell r="B143">
            <v>4</v>
          </cell>
          <cell r="C143" t="str">
            <v>Giấy ráp</v>
          </cell>
          <cell r="D143" t="str">
            <v>tờ</v>
          </cell>
          <cell r="E143">
            <v>3.6</v>
          </cell>
          <cell r="F143">
            <v>10000</v>
          </cell>
          <cell r="G143">
            <v>36000</v>
          </cell>
        </row>
        <row r="144">
          <cell r="B144">
            <v>5</v>
          </cell>
          <cell r="C144" t="str">
            <v>Vải nhựa</v>
          </cell>
          <cell r="D144" t="str">
            <v>cuộn</v>
          </cell>
          <cell r="E144">
            <v>6.33</v>
          </cell>
          <cell r="F144">
            <v>10000</v>
          </cell>
          <cell r="G144">
            <v>63300</v>
          </cell>
        </row>
        <row r="145">
          <cell r="B145">
            <v>6</v>
          </cell>
          <cell r="C145" t="str">
            <v>Vải trắng</v>
          </cell>
          <cell r="D145" t="str">
            <v>m</v>
          </cell>
          <cell r="E145">
            <v>3.2</v>
          </cell>
          <cell r="F145">
            <v>15000</v>
          </cell>
          <cell r="G145">
            <v>48000</v>
          </cell>
        </row>
        <row r="146">
          <cell r="B146">
            <v>7</v>
          </cell>
          <cell r="C146" t="str">
            <v>Sơn chống rỉ</v>
          </cell>
          <cell r="D146" t="str">
            <v>kg</v>
          </cell>
          <cell r="E146">
            <v>0.2</v>
          </cell>
          <cell r="F146">
            <v>36000</v>
          </cell>
          <cell r="G146">
            <v>7200</v>
          </cell>
        </row>
        <row r="147">
          <cell r="B147">
            <v>8</v>
          </cell>
          <cell r="C147" t="str">
            <v>Mỡ YOC</v>
          </cell>
          <cell r="D147" t="str">
            <v>kg</v>
          </cell>
          <cell r="E147">
            <v>0.6</v>
          </cell>
          <cell r="F147">
            <v>35000</v>
          </cell>
          <cell r="G147">
            <v>21000</v>
          </cell>
        </row>
        <row r="148">
          <cell r="B148">
            <v>30</v>
          </cell>
          <cell r="C148" t="str">
            <v>Dây thép mạ kẽm fi 2-4</v>
          </cell>
          <cell r="D148" t="str">
            <v>kg</v>
          </cell>
          <cell r="E148">
            <v>3.53</v>
          </cell>
          <cell r="F148">
            <v>1000</v>
          </cell>
          <cell r="G148">
            <v>3530</v>
          </cell>
        </row>
        <row r="149">
          <cell r="B149">
            <v>9</v>
          </cell>
          <cell r="C149" t="str">
            <v>Giẻ lau</v>
          </cell>
          <cell r="D149" t="str">
            <v>kg</v>
          </cell>
          <cell r="E149">
            <v>4.8</v>
          </cell>
          <cell r="F149">
            <v>9500</v>
          </cell>
          <cell r="G149">
            <v>45600</v>
          </cell>
        </row>
        <row r="150">
          <cell r="B150">
            <v>44</v>
          </cell>
          <cell r="C150" t="str">
            <v>Gỗ ván nhóm 4</v>
          </cell>
          <cell r="D150" t="str">
            <v>m3</v>
          </cell>
          <cell r="E150">
            <v>0.06</v>
          </cell>
          <cell r="F150">
            <v>2300000</v>
          </cell>
          <cell r="G150">
            <v>138000</v>
          </cell>
        </row>
        <row r="151">
          <cell r="B151">
            <v>117</v>
          </cell>
          <cell r="C151" t="str">
            <v>Vật liệu khác</v>
          </cell>
          <cell r="D151" t="str">
            <v>%</v>
          </cell>
          <cell r="E151">
            <v>5</v>
          </cell>
          <cell r="G151">
            <v>21899.53</v>
          </cell>
        </row>
        <row r="152">
          <cell r="C152" t="str">
            <v>Nhân công</v>
          </cell>
          <cell r="G152">
            <v>16943099.47368421</v>
          </cell>
        </row>
        <row r="153">
          <cell r="B153" t="str">
            <v>NC1457</v>
          </cell>
          <cell r="C153" t="str">
            <v>Ngày công bậc 4,5/7</v>
          </cell>
          <cell r="D153" t="str">
            <v>công</v>
          </cell>
          <cell r="E153">
            <v>80</v>
          </cell>
          <cell r="F153">
            <v>211788.74342105264</v>
          </cell>
          <cell r="G153">
            <v>16943099.47368421</v>
          </cell>
        </row>
        <row r="154">
          <cell r="C154" t="str">
            <v>Máy thi công</v>
          </cell>
          <cell r="G154">
            <v>2305662.3751200004</v>
          </cell>
        </row>
        <row r="155">
          <cell r="B155">
            <v>8014</v>
          </cell>
          <cell r="C155" t="str">
            <v>Cần trục bánh hơi 10 tấn</v>
          </cell>
          <cell r="D155" t="str">
            <v>ca</v>
          </cell>
          <cell r="E155">
            <v>0.88</v>
          </cell>
          <cell r="F155">
            <v>2198624.7400000002</v>
          </cell>
          <cell r="G155">
            <v>1934789.7712000003</v>
          </cell>
        </row>
        <row r="156">
          <cell r="B156">
            <v>8015</v>
          </cell>
          <cell r="C156" t="str">
            <v>Cần trục bánh hơi 5 tấn</v>
          </cell>
          <cell r="D156" t="str">
            <v>ca</v>
          </cell>
          <cell r="E156">
            <v>0.26</v>
          </cell>
          <cell r="F156">
            <v>1426433.0920000002</v>
          </cell>
          <cell r="G156">
            <v>370872.60392000008</v>
          </cell>
        </row>
        <row r="157">
          <cell r="A157" t="str">
            <v>T1.1204</v>
          </cell>
          <cell r="C157" t="str">
            <v>Lắp đặt máy biến áp 110/35/22;15;10;6KV &lt;=16MVA 3 pha hai cuộn dây</v>
          </cell>
          <cell r="D157" t="str">
            <v>Máy</v>
          </cell>
          <cell r="H157">
            <v>391936.86</v>
          </cell>
          <cell r="I157">
            <v>13978057.065789474</v>
          </cell>
          <cell r="J157">
            <v>1668061.2005200002</v>
          </cell>
        </row>
        <row r="158">
          <cell r="C158" t="str">
            <v>Vật liệu</v>
          </cell>
          <cell r="G158">
            <v>391936.86</v>
          </cell>
        </row>
        <row r="159">
          <cell r="B159">
            <v>1</v>
          </cell>
          <cell r="C159" t="str">
            <v>Cồn công nghiệp</v>
          </cell>
          <cell r="D159" t="str">
            <v>kg</v>
          </cell>
          <cell r="E159">
            <v>0.5</v>
          </cell>
          <cell r="F159">
            <v>9500</v>
          </cell>
          <cell r="G159">
            <v>4750</v>
          </cell>
        </row>
        <row r="160">
          <cell r="B160">
            <v>2</v>
          </cell>
          <cell r="C160" t="str">
            <v>Keo dán</v>
          </cell>
          <cell r="D160" t="str">
            <v>kg</v>
          </cell>
          <cell r="E160">
            <v>0.2</v>
          </cell>
          <cell r="F160">
            <v>45000</v>
          </cell>
          <cell r="G160">
            <v>9000</v>
          </cell>
        </row>
        <row r="161">
          <cell r="B161">
            <v>3</v>
          </cell>
          <cell r="C161" t="str">
            <v>Xăng</v>
          </cell>
          <cell r="D161" t="str">
            <v>kg</v>
          </cell>
          <cell r="E161">
            <v>2.6</v>
          </cell>
          <cell r="F161">
            <v>18382</v>
          </cell>
          <cell r="G161">
            <v>47793.200000000004</v>
          </cell>
        </row>
        <row r="162">
          <cell r="B162">
            <v>4</v>
          </cell>
          <cell r="C162" t="str">
            <v>Giấy ráp</v>
          </cell>
          <cell r="D162" t="str">
            <v>tờ</v>
          </cell>
          <cell r="E162">
            <v>2.9</v>
          </cell>
          <cell r="F162">
            <v>10000</v>
          </cell>
          <cell r="G162">
            <v>29000</v>
          </cell>
        </row>
        <row r="163">
          <cell r="B163">
            <v>5</v>
          </cell>
          <cell r="C163" t="str">
            <v>Vải nhựa</v>
          </cell>
          <cell r="D163" t="str">
            <v>cuộn</v>
          </cell>
          <cell r="E163">
            <v>6</v>
          </cell>
          <cell r="F163">
            <v>10000</v>
          </cell>
          <cell r="G163">
            <v>60000</v>
          </cell>
        </row>
        <row r="164">
          <cell r="B164">
            <v>6</v>
          </cell>
          <cell r="C164" t="str">
            <v>Vải trắng</v>
          </cell>
          <cell r="D164" t="str">
            <v>m</v>
          </cell>
          <cell r="E164">
            <v>2.5</v>
          </cell>
          <cell r="F164">
            <v>15000</v>
          </cell>
          <cell r="G164">
            <v>37500</v>
          </cell>
        </row>
        <row r="165">
          <cell r="B165">
            <v>7</v>
          </cell>
          <cell r="C165" t="str">
            <v>Sơn chống rỉ</v>
          </cell>
          <cell r="D165" t="str">
            <v>kg</v>
          </cell>
          <cell r="E165">
            <v>0.2</v>
          </cell>
          <cell r="F165">
            <v>36000</v>
          </cell>
          <cell r="G165">
            <v>7200</v>
          </cell>
        </row>
        <row r="166">
          <cell r="B166">
            <v>8</v>
          </cell>
          <cell r="C166" t="str">
            <v>Mỡ YOC</v>
          </cell>
          <cell r="D166" t="str">
            <v>kg</v>
          </cell>
          <cell r="E166">
            <v>0.5</v>
          </cell>
          <cell r="F166">
            <v>35000</v>
          </cell>
          <cell r="G166">
            <v>17500</v>
          </cell>
        </row>
        <row r="167">
          <cell r="B167">
            <v>30</v>
          </cell>
          <cell r="C167" t="str">
            <v>Dây thép mạ kẽm fi 2-4</v>
          </cell>
          <cell r="D167" t="str">
            <v>kg</v>
          </cell>
          <cell r="E167">
            <v>3.53</v>
          </cell>
          <cell r="F167">
            <v>1000</v>
          </cell>
          <cell r="G167">
            <v>3530</v>
          </cell>
        </row>
        <row r="168">
          <cell r="B168">
            <v>9</v>
          </cell>
          <cell r="C168" t="str">
            <v>Giẻ lau</v>
          </cell>
          <cell r="D168" t="str">
            <v>kg</v>
          </cell>
          <cell r="E168">
            <v>2</v>
          </cell>
          <cell r="F168">
            <v>9500</v>
          </cell>
          <cell r="G168">
            <v>19000</v>
          </cell>
        </row>
        <row r="169">
          <cell r="B169">
            <v>44</v>
          </cell>
          <cell r="C169" t="str">
            <v>Gỗ ván nhóm 4</v>
          </cell>
          <cell r="D169" t="str">
            <v>m3</v>
          </cell>
          <cell r="E169">
            <v>0.06</v>
          </cell>
          <cell r="F169">
            <v>2300000</v>
          </cell>
          <cell r="G169">
            <v>138000</v>
          </cell>
        </row>
        <row r="170">
          <cell r="B170">
            <v>117</v>
          </cell>
          <cell r="C170" t="str">
            <v>Vật liệu khác</v>
          </cell>
          <cell r="D170" t="str">
            <v>%</v>
          </cell>
          <cell r="E170">
            <v>5</v>
          </cell>
          <cell r="G170">
            <v>18663.66</v>
          </cell>
        </row>
        <row r="171">
          <cell r="C171" t="str">
            <v>Nhân công</v>
          </cell>
          <cell r="G171">
            <v>13978057.065789474</v>
          </cell>
        </row>
        <row r="172">
          <cell r="B172" t="str">
            <v>NC1457</v>
          </cell>
          <cell r="C172" t="str">
            <v>Ngày công bậc 4,5/7</v>
          </cell>
          <cell r="D172" t="str">
            <v>công</v>
          </cell>
          <cell r="E172">
            <v>66</v>
          </cell>
          <cell r="F172">
            <v>211788.74342105264</v>
          </cell>
          <cell r="G172">
            <v>13978057.065789474</v>
          </cell>
        </row>
        <row r="173">
          <cell r="C173" t="str">
            <v>Máy thi công</v>
          </cell>
          <cell r="G173">
            <v>1668061.2005200002</v>
          </cell>
        </row>
        <row r="174">
          <cell r="B174">
            <v>8014</v>
          </cell>
          <cell r="C174" t="str">
            <v>Cần trục bánh hơi 10 tấn</v>
          </cell>
          <cell r="D174" t="str">
            <v>ca</v>
          </cell>
          <cell r="E174">
            <v>0.59</v>
          </cell>
          <cell r="F174">
            <v>2198624.7400000002</v>
          </cell>
          <cell r="G174">
            <v>1297188.5966</v>
          </cell>
        </row>
        <row r="175">
          <cell r="B175">
            <v>8015</v>
          </cell>
          <cell r="C175" t="str">
            <v>Cần trục bánh hơi 5 tấn</v>
          </cell>
          <cell r="D175" t="str">
            <v>ca</v>
          </cell>
          <cell r="E175">
            <v>0.26</v>
          </cell>
          <cell r="F175">
            <v>1426433.0920000002</v>
          </cell>
          <cell r="G175">
            <v>370872.60392000008</v>
          </cell>
        </row>
        <row r="176">
          <cell r="A176" t="str">
            <v>T1.1205</v>
          </cell>
          <cell r="C176" t="str">
            <v>Lắp đặt máy biến áp 110/35/22;15;10;6KV &lt;=11MVA 3 pha hai cuộn dây</v>
          </cell>
          <cell r="D176" t="str">
            <v>Máy</v>
          </cell>
          <cell r="H176">
            <v>357518.7</v>
          </cell>
          <cell r="I176">
            <v>13342690.835526315</v>
          </cell>
          <cell r="J176">
            <v>1668061.2005200002</v>
          </cell>
        </row>
        <row r="177">
          <cell r="C177" t="str">
            <v>Vật liệu</v>
          </cell>
          <cell r="G177">
            <v>357518.7</v>
          </cell>
        </row>
        <row r="178">
          <cell r="B178">
            <v>1</v>
          </cell>
          <cell r="C178" t="str">
            <v>Cồn công nghiệp</v>
          </cell>
          <cell r="D178" t="str">
            <v>kg</v>
          </cell>
          <cell r="E178">
            <v>0.4</v>
          </cell>
          <cell r="F178">
            <v>9500</v>
          </cell>
          <cell r="G178">
            <v>3800</v>
          </cell>
        </row>
        <row r="179">
          <cell r="B179">
            <v>2</v>
          </cell>
          <cell r="C179" t="str">
            <v>Keo dán</v>
          </cell>
          <cell r="D179" t="str">
            <v>kg</v>
          </cell>
          <cell r="E179">
            <v>0.2</v>
          </cell>
          <cell r="F179">
            <v>45000</v>
          </cell>
          <cell r="G179">
            <v>9000</v>
          </cell>
        </row>
        <row r="180">
          <cell r="B180">
            <v>3</v>
          </cell>
          <cell r="C180" t="str">
            <v>Xăng</v>
          </cell>
          <cell r="D180" t="str">
            <v>kg</v>
          </cell>
          <cell r="E180">
            <v>2</v>
          </cell>
          <cell r="F180">
            <v>18382</v>
          </cell>
          <cell r="G180">
            <v>36764</v>
          </cell>
        </row>
        <row r="181">
          <cell r="B181">
            <v>4</v>
          </cell>
          <cell r="C181" t="str">
            <v>Giấy ráp</v>
          </cell>
          <cell r="D181" t="str">
            <v>tờ</v>
          </cell>
          <cell r="E181">
            <v>2.2999999999999998</v>
          </cell>
          <cell r="F181">
            <v>10000</v>
          </cell>
          <cell r="G181">
            <v>23000</v>
          </cell>
        </row>
        <row r="182">
          <cell r="B182">
            <v>5</v>
          </cell>
          <cell r="C182" t="str">
            <v>Vải nhựa</v>
          </cell>
          <cell r="D182" t="str">
            <v>cuộn</v>
          </cell>
          <cell r="E182">
            <v>6</v>
          </cell>
          <cell r="F182">
            <v>10000</v>
          </cell>
          <cell r="G182">
            <v>60000</v>
          </cell>
        </row>
        <row r="183">
          <cell r="B183">
            <v>6</v>
          </cell>
          <cell r="C183" t="str">
            <v>Vải trắng</v>
          </cell>
          <cell r="D183" t="str">
            <v>m</v>
          </cell>
          <cell r="E183">
            <v>2</v>
          </cell>
          <cell r="F183">
            <v>15000</v>
          </cell>
          <cell r="G183">
            <v>30000</v>
          </cell>
        </row>
        <row r="184">
          <cell r="B184">
            <v>7</v>
          </cell>
          <cell r="C184" t="str">
            <v>Sơn chống rỉ</v>
          </cell>
          <cell r="D184" t="str">
            <v>kg</v>
          </cell>
          <cell r="E184">
            <v>0.2</v>
          </cell>
          <cell r="F184">
            <v>36000</v>
          </cell>
          <cell r="G184">
            <v>7200</v>
          </cell>
        </row>
        <row r="185">
          <cell r="B185">
            <v>8</v>
          </cell>
          <cell r="C185" t="str">
            <v>Mỡ YOC</v>
          </cell>
          <cell r="D185" t="str">
            <v>kg</v>
          </cell>
          <cell r="E185">
            <v>0.4</v>
          </cell>
          <cell r="F185">
            <v>35000</v>
          </cell>
          <cell r="G185">
            <v>14000</v>
          </cell>
        </row>
        <row r="186">
          <cell r="B186">
            <v>30</v>
          </cell>
          <cell r="C186" t="str">
            <v>Dây thép mạ kẽm fi 2-4</v>
          </cell>
          <cell r="D186" t="str">
            <v>kg</v>
          </cell>
          <cell r="E186">
            <v>3.53</v>
          </cell>
          <cell r="F186">
            <v>1000</v>
          </cell>
          <cell r="G186">
            <v>3530</v>
          </cell>
        </row>
        <row r="187">
          <cell r="B187">
            <v>9</v>
          </cell>
          <cell r="C187" t="str">
            <v>Giẻ lau</v>
          </cell>
          <cell r="D187" t="str">
            <v>kg</v>
          </cell>
          <cell r="E187">
            <v>1.6</v>
          </cell>
          <cell r="F187">
            <v>9500</v>
          </cell>
          <cell r="G187">
            <v>15200</v>
          </cell>
        </row>
        <row r="188">
          <cell r="B188">
            <v>44</v>
          </cell>
          <cell r="C188" t="str">
            <v>Gỗ ván nhóm 4</v>
          </cell>
          <cell r="D188" t="str">
            <v>m3</v>
          </cell>
          <cell r="E188">
            <v>0.06</v>
          </cell>
          <cell r="F188">
            <v>2300000</v>
          </cell>
          <cell r="G188">
            <v>138000</v>
          </cell>
        </row>
        <row r="189">
          <cell r="B189">
            <v>117</v>
          </cell>
          <cell r="C189" t="str">
            <v>Vật liệu khác</v>
          </cell>
          <cell r="D189" t="str">
            <v>%</v>
          </cell>
          <cell r="E189">
            <v>5</v>
          </cell>
          <cell r="G189">
            <v>17024.7</v>
          </cell>
        </row>
        <row r="190">
          <cell r="C190" t="str">
            <v>Nhân công</v>
          </cell>
          <cell r="G190">
            <v>13342690.835526315</v>
          </cell>
        </row>
        <row r="191">
          <cell r="B191" t="str">
            <v>NC1457</v>
          </cell>
          <cell r="C191" t="str">
            <v>Ngày công bậc 4,5/7</v>
          </cell>
          <cell r="D191" t="str">
            <v>công</v>
          </cell>
          <cell r="E191">
            <v>63</v>
          </cell>
          <cell r="F191">
            <v>211788.74342105264</v>
          </cell>
          <cell r="G191">
            <v>13342690.835526315</v>
          </cell>
        </row>
        <row r="192">
          <cell r="C192" t="str">
            <v>Máy thi công</v>
          </cell>
          <cell r="G192">
            <v>1668061.2005200002</v>
          </cell>
        </row>
        <row r="193">
          <cell r="B193">
            <v>8014</v>
          </cell>
          <cell r="C193" t="str">
            <v>Cần trục bánh hơi 10 tấn</v>
          </cell>
          <cell r="D193" t="str">
            <v>ca</v>
          </cell>
          <cell r="E193">
            <v>0.59</v>
          </cell>
          <cell r="F193">
            <v>2198624.7400000002</v>
          </cell>
          <cell r="G193">
            <v>1297188.5966</v>
          </cell>
        </row>
        <row r="194">
          <cell r="B194">
            <v>8015</v>
          </cell>
          <cell r="C194" t="str">
            <v>Cần trục bánh hơi 5 tấn</v>
          </cell>
          <cell r="D194" t="str">
            <v>ca</v>
          </cell>
          <cell r="E194">
            <v>0.26</v>
          </cell>
          <cell r="F194">
            <v>1426433.0920000002</v>
          </cell>
          <cell r="G194">
            <v>370872.60392000008</v>
          </cell>
        </row>
        <row r="195">
          <cell r="A195" t="str">
            <v>T1.1301</v>
          </cell>
          <cell r="C195" t="str">
            <v>Lắp đặt máy biến áp trung gian 3 pha 3 cuộn dây 35/22;15;10;6kV &lt;=1000KVA</v>
          </cell>
          <cell r="D195" t="str">
            <v>Máy</v>
          </cell>
          <cell r="H195">
            <v>172530.33000000002</v>
          </cell>
          <cell r="I195">
            <v>3282725.523026316</v>
          </cell>
          <cell r="J195">
            <v>656159.22232000006</v>
          </cell>
        </row>
        <row r="196">
          <cell r="C196" t="str">
            <v>Vật liệu</v>
          </cell>
          <cell r="G196">
            <v>172530.33000000002</v>
          </cell>
        </row>
        <row r="197">
          <cell r="B197">
            <v>1</v>
          </cell>
          <cell r="C197" t="str">
            <v>Cồn công nghiệp</v>
          </cell>
          <cell r="D197" t="str">
            <v>kg</v>
          </cell>
          <cell r="E197">
            <v>0.3</v>
          </cell>
          <cell r="F197">
            <v>9500</v>
          </cell>
          <cell r="G197">
            <v>2850</v>
          </cell>
        </row>
        <row r="198">
          <cell r="B198">
            <v>3</v>
          </cell>
          <cell r="C198" t="str">
            <v>Xăng</v>
          </cell>
          <cell r="D198" t="str">
            <v>kg</v>
          </cell>
          <cell r="E198">
            <v>0.3</v>
          </cell>
          <cell r="F198">
            <v>18382</v>
          </cell>
          <cell r="G198">
            <v>5514.5999999999995</v>
          </cell>
        </row>
        <row r="199">
          <cell r="B199">
            <v>4</v>
          </cell>
          <cell r="C199" t="str">
            <v>Giấy ráp</v>
          </cell>
          <cell r="D199" t="str">
            <v>tờ</v>
          </cell>
          <cell r="E199">
            <v>1</v>
          </cell>
          <cell r="F199">
            <v>10000</v>
          </cell>
          <cell r="G199">
            <v>10000</v>
          </cell>
        </row>
        <row r="200">
          <cell r="B200">
            <v>7</v>
          </cell>
          <cell r="C200" t="str">
            <v>Sơn chống rỉ</v>
          </cell>
          <cell r="D200" t="str">
            <v>kg</v>
          </cell>
          <cell r="E200">
            <v>0.2</v>
          </cell>
          <cell r="F200">
            <v>36000</v>
          </cell>
          <cell r="G200">
            <v>7200</v>
          </cell>
        </row>
        <row r="201">
          <cell r="B201">
            <v>9</v>
          </cell>
          <cell r="C201" t="str">
            <v>Giẻ lau</v>
          </cell>
          <cell r="D201" t="str">
            <v>kg</v>
          </cell>
          <cell r="E201">
            <v>2.5</v>
          </cell>
          <cell r="F201">
            <v>9500</v>
          </cell>
          <cell r="G201">
            <v>23750</v>
          </cell>
        </row>
        <row r="202">
          <cell r="B202">
            <v>44</v>
          </cell>
          <cell r="C202" t="str">
            <v>Gỗ ván nhóm 4</v>
          </cell>
          <cell r="D202" t="str">
            <v>m3</v>
          </cell>
          <cell r="E202">
            <v>0.05</v>
          </cell>
          <cell r="F202">
            <v>2300000</v>
          </cell>
          <cell r="G202">
            <v>115000</v>
          </cell>
        </row>
        <row r="203">
          <cell r="B203">
            <v>117</v>
          </cell>
          <cell r="C203" t="str">
            <v>Vật liệu khác</v>
          </cell>
          <cell r="D203" t="str">
            <v>%</v>
          </cell>
          <cell r="E203">
            <v>5</v>
          </cell>
          <cell r="G203">
            <v>8215.7300000000014</v>
          </cell>
        </row>
        <row r="204">
          <cell r="C204" t="str">
            <v>Nhân công</v>
          </cell>
          <cell r="G204">
            <v>3282725.523026316</v>
          </cell>
        </row>
        <row r="205">
          <cell r="B205" t="str">
            <v>NC1457</v>
          </cell>
          <cell r="C205" t="str">
            <v>Ngày công bậc 4,5/7</v>
          </cell>
          <cell r="D205" t="str">
            <v>công</v>
          </cell>
          <cell r="E205">
            <v>15.5</v>
          </cell>
          <cell r="F205">
            <v>211788.74342105264</v>
          </cell>
          <cell r="G205">
            <v>3282725.523026316</v>
          </cell>
        </row>
        <row r="206">
          <cell r="C206" t="str">
            <v>Máy thi công</v>
          </cell>
          <cell r="G206">
            <v>656159.22232000006</v>
          </cell>
        </row>
        <row r="207">
          <cell r="B207">
            <v>8015</v>
          </cell>
          <cell r="C207" t="str">
            <v>Cần trục bánh hơi 5 tấn</v>
          </cell>
          <cell r="D207" t="str">
            <v>ca</v>
          </cell>
          <cell r="E207">
            <v>0.46</v>
          </cell>
          <cell r="F207">
            <v>1426433.0920000002</v>
          </cell>
          <cell r="G207">
            <v>656159.22232000006</v>
          </cell>
        </row>
        <row r="208">
          <cell r="A208" t="str">
            <v>T1.1302</v>
          </cell>
          <cell r="C208" t="str">
            <v>Lắp đặt máy biến áp trung gian  3 pha 3 cuộn dây 35/22;15;10;6kV &lt;=1800KVA</v>
          </cell>
          <cell r="D208" t="str">
            <v>Máy</v>
          </cell>
          <cell r="H208">
            <v>179628.33000000002</v>
          </cell>
          <cell r="I208">
            <v>3875734.0046052635</v>
          </cell>
          <cell r="J208">
            <v>656159.22232000006</v>
          </cell>
        </row>
        <row r="209">
          <cell r="C209" t="str">
            <v>Vật liệu</v>
          </cell>
          <cell r="G209">
            <v>179628.33000000002</v>
          </cell>
        </row>
        <row r="210">
          <cell r="B210">
            <v>1</v>
          </cell>
          <cell r="C210" t="str">
            <v>Cồn công nghiệp</v>
          </cell>
          <cell r="D210" t="str">
            <v>kg</v>
          </cell>
          <cell r="E210">
            <v>0.36</v>
          </cell>
          <cell r="F210">
            <v>9500</v>
          </cell>
          <cell r="G210">
            <v>3420</v>
          </cell>
        </row>
        <row r="211">
          <cell r="B211">
            <v>3</v>
          </cell>
          <cell r="C211" t="str">
            <v>Xăng</v>
          </cell>
          <cell r="D211" t="str">
            <v>kg</v>
          </cell>
          <cell r="E211">
            <v>0.3</v>
          </cell>
          <cell r="F211">
            <v>18382</v>
          </cell>
          <cell r="G211">
            <v>5514.5999999999995</v>
          </cell>
        </row>
        <row r="212">
          <cell r="B212">
            <v>4</v>
          </cell>
          <cell r="C212" t="str">
            <v>Giấy ráp</v>
          </cell>
          <cell r="D212" t="str">
            <v>tờ</v>
          </cell>
          <cell r="E212">
            <v>1</v>
          </cell>
          <cell r="F212">
            <v>10000</v>
          </cell>
          <cell r="G212">
            <v>10000</v>
          </cell>
        </row>
        <row r="213">
          <cell r="B213">
            <v>7</v>
          </cell>
          <cell r="C213" t="str">
            <v>Sơn chống rỉ</v>
          </cell>
          <cell r="D213" t="str">
            <v>kg</v>
          </cell>
          <cell r="E213">
            <v>0.24</v>
          </cell>
          <cell r="F213">
            <v>36000</v>
          </cell>
          <cell r="G213">
            <v>8640</v>
          </cell>
        </row>
        <row r="214">
          <cell r="B214">
            <v>9</v>
          </cell>
          <cell r="C214" t="str">
            <v>Giẻ lau</v>
          </cell>
          <cell r="D214" t="str">
            <v>kg</v>
          </cell>
          <cell r="E214">
            <v>3</v>
          </cell>
          <cell r="F214">
            <v>9500</v>
          </cell>
          <cell r="G214">
            <v>28500</v>
          </cell>
        </row>
        <row r="215">
          <cell r="B215">
            <v>44</v>
          </cell>
          <cell r="C215" t="str">
            <v>Gỗ ván nhóm 4</v>
          </cell>
          <cell r="D215" t="str">
            <v>m3</v>
          </cell>
          <cell r="E215">
            <v>0.05</v>
          </cell>
          <cell r="F215">
            <v>2300000</v>
          </cell>
          <cell r="G215">
            <v>115000</v>
          </cell>
        </row>
        <row r="216">
          <cell r="B216">
            <v>117</v>
          </cell>
          <cell r="C216" t="str">
            <v>Vật liệu khác</v>
          </cell>
          <cell r="D216" t="str">
            <v>%</v>
          </cell>
          <cell r="E216">
            <v>5</v>
          </cell>
          <cell r="G216">
            <v>8553.7300000000014</v>
          </cell>
        </row>
        <row r="217">
          <cell r="C217" t="str">
            <v>Nhân công</v>
          </cell>
          <cell r="G217">
            <v>3875734.0046052635</v>
          </cell>
        </row>
        <row r="218">
          <cell r="B218" t="str">
            <v>NC1457</v>
          </cell>
          <cell r="C218" t="str">
            <v>Ngày công bậc 4,5/7</v>
          </cell>
          <cell r="D218" t="str">
            <v>công</v>
          </cell>
          <cell r="E218">
            <v>18.3</v>
          </cell>
          <cell r="F218">
            <v>211788.74342105264</v>
          </cell>
          <cell r="G218">
            <v>3875734.0046052635</v>
          </cell>
        </row>
        <row r="219">
          <cell r="C219" t="str">
            <v>Máy thi công</v>
          </cell>
          <cell r="G219">
            <v>656159.22232000006</v>
          </cell>
        </row>
        <row r="220">
          <cell r="B220">
            <v>8015</v>
          </cell>
          <cell r="C220" t="str">
            <v>Cần trục bánh hơi 5 tấn</v>
          </cell>
          <cell r="D220" t="str">
            <v>ca</v>
          </cell>
          <cell r="E220">
            <v>0.46</v>
          </cell>
          <cell r="F220">
            <v>1426433.0920000002</v>
          </cell>
          <cell r="G220">
            <v>656159.22232000006</v>
          </cell>
        </row>
        <row r="221">
          <cell r="A221" t="str">
            <v>T1.1303</v>
          </cell>
          <cell r="C221" t="str">
            <v>Lắp đặt máy biến áp trung gian  3 pha 3 cuộn dây 35/22;15;10;6kV &lt;=3200KVA</v>
          </cell>
          <cell r="D221" t="str">
            <v>Máy</v>
          </cell>
          <cell r="H221">
            <v>315737.64600000001</v>
          </cell>
          <cell r="I221">
            <v>4659352.3552631577</v>
          </cell>
          <cell r="J221">
            <v>741745.20784000016</v>
          </cell>
        </row>
        <row r="222">
          <cell r="C222" t="str">
            <v>Vật liệu</v>
          </cell>
          <cell r="G222">
            <v>315737.64600000001</v>
          </cell>
        </row>
        <row r="223">
          <cell r="B223">
            <v>1</v>
          </cell>
          <cell r="C223" t="str">
            <v>Cồn công nghiệp</v>
          </cell>
          <cell r="D223" t="str">
            <v>kg</v>
          </cell>
          <cell r="E223">
            <v>0.43</v>
          </cell>
          <cell r="F223">
            <v>9500</v>
          </cell>
          <cell r="G223">
            <v>4085</v>
          </cell>
        </row>
        <row r="224">
          <cell r="B224">
            <v>3</v>
          </cell>
          <cell r="C224" t="str">
            <v>Xăng</v>
          </cell>
          <cell r="D224" t="str">
            <v>kg</v>
          </cell>
          <cell r="E224">
            <v>0.36</v>
          </cell>
          <cell r="F224">
            <v>18382</v>
          </cell>
          <cell r="G224">
            <v>6617.5199999999995</v>
          </cell>
        </row>
        <row r="225">
          <cell r="B225">
            <v>4</v>
          </cell>
          <cell r="C225" t="str">
            <v>Giấy ráp</v>
          </cell>
          <cell r="D225" t="str">
            <v>tờ</v>
          </cell>
          <cell r="E225">
            <v>1.5</v>
          </cell>
          <cell r="F225">
            <v>10000</v>
          </cell>
          <cell r="G225">
            <v>15000</v>
          </cell>
        </row>
        <row r="226">
          <cell r="B226">
            <v>7</v>
          </cell>
          <cell r="C226" t="str">
            <v>Sơn chống rỉ</v>
          </cell>
          <cell r="D226" t="str">
            <v>kg</v>
          </cell>
          <cell r="E226">
            <v>0.3</v>
          </cell>
          <cell r="F226">
            <v>36000</v>
          </cell>
          <cell r="G226">
            <v>10800</v>
          </cell>
        </row>
        <row r="227">
          <cell r="B227">
            <v>9</v>
          </cell>
          <cell r="C227" t="str">
            <v>Giẻ lau</v>
          </cell>
          <cell r="D227" t="str">
            <v>kg</v>
          </cell>
          <cell r="E227">
            <v>3.6</v>
          </cell>
          <cell r="F227">
            <v>9500</v>
          </cell>
          <cell r="G227">
            <v>34200</v>
          </cell>
        </row>
        <row r="228">
          <cell r="B228">
            <v>44</v>
          </cell>
          <cell r="C228" t="str">
            <v>Gỗ ván nhóm 4</v>
          </cell>
          <cell r="D228" t="str">
            <v>m3</v>
          </cell>
          <cell r="E228">
            <v>0.1</v>
          </cell>
          <cell r="F228">
            <v>2300000</v>
          </cell>
          <cell r="G228">
            <v>230000</v>
          </cell>
        </row>
        <row r="229">
          <cell r="B229">
            <v>117</v>
          </cell>
          <cell r="C229" t="str">
            <v>Vật liệu khác</v>
          </cell>
          <cell r="D229" t="str">
            <v>%</v>
          </cell>
          <cell r="E229">
            <v>5</v>
          </cell>
          <cell r="G229">
            <v>15035.126000000002</v>
          </cell>
        </row>
        <row r="230">
          <cell r="C230" t="str">
            <v>Nhân công</v>
          </cell>
          <cell r="G230">
            <v>4659352.3552631577</v>
          </cell>
        </row>
        <row r="231">
          <cell r="B231" t="str">
            <v>NC1457</v>
          </cell>
          <cell r="C231" t="str">
            <v>Ngày công bậc 4,5/7</v>
          </cell>
          <cell r="D231" t="str">
            <v>công</v>
          </cell>
          <cell r="E231">
            <v>22</v>
          </cell>
          <cell r="F231">
            <v>211788.74342105264</v>
          </cell>
          <cell r="G231">
            <v>4659352.3552631577</v>
          </cell>
        </row>
        <row r="232">
          <cell r="C232" t="str">
            <v>Máy thi công</v>
          </cell>
          <cell r="G232">
            <v>741745.20784000016</v>
          </cell>
        </row>
        <row r="233">
          <cell r="B233">
            <v>8015</v>
          </cell>
          <cell r="C233" t="str">
            <v>Cần trục bánh hơi 5 tấn</v>
          </cell>
          <cell r="D233" t="str">
            <v>ca</v>
          </cell>
          <cell r="E233">
            <v>0.52</v>
          </cell>
          <cell r="F233">
            <v>1426433.0920000002</v>
          </cell>
          <cell r="G233">
            <v>741745.20784000016</v>
          </cell>
        </row>
        <row r="234">
          <cell r="A234" t="str">
            <v>T1.1304</v>
          </cell>
          <cell r="C234" t="str">
            <v>Lắp đặt máy biến áp trung gian  3 pha 3 cuộn dây 35/22;15;10;6kV &lt;=5600KVA</v>
          </cell>
          <cell r="D234" t="str">
            <v>Máy</v>
          </cell>
          <cell r="H234">
            <v>322338.723</v>
          </cell>
          <cell r="I234">
            <v>5718296.0723684216</v>
          </cell>
          <cell r="J234">
            <v>927181.50980000012</v>
          </cell>
        </row>
        <row r="235">
          <cell r="C235" t="str">
            <v>Vật liệu</v>
          </cell>
          <cell r="G235">
            <v>322338.723</v>
          </cell>
        </row>
        <row r="236">
          <cell r="B236">
            <v>1</v>
          </cell>
          <cell r="C236" t="str">
            <v>Cồn công nghiệp</v>
          </cell>
          <cell r="D236" t="str">
            <v>kg</v>
          </cell>
          <cell r="E236">
            <v>0.43</v>
          </cell>
          <cell r="F236">
            <v>9500</v>
          </cell>
          <cell r="G236">
            <v>4085</v>
          </cell>
        </row>
        <row r="237">
          <cell r="B237">
            <v>3</v>
          </cell>
          <cell r="C237" t="str">
            <v>Xăng</v>
          </cell>
          <cell r="D237" t="str">
            <v>kg</v>
          </cell>
          <cell r="E237">
            <v>0.43</v>
          </cell>
          <cell r="F237">
            <v>18382</v>
          </cell>
          <cell r="G237">
            <v>7904.26</v>
          </cell>
        </row>
        <row r="238">
          <cell r="B238">
            <v>4</v>
          </cell>
          <cell r="C238" t="str">
            <v>Giấy ráp</v>
          </cell>
          <cell r="D238" t="str">
            <v>tờ</v>
          </cell>
          <cell r="E238">
            <v>2</v>
          </cell>
          <cell r="F238">
            <v>10000</v>
          </cell>
          <cell r="G238">
            <v>20000</v>
          </cell>
        </row>
        <row r="239">
          <cell r="B239">
            <v>7</v>
          </cell>
          <cell r="C239" t="str">
            <v>Sơn chống rỉ</v>
          </cell>
          <cell r="D239" t="str">
            <v>kg</v>
          </cell>
          <cell r="E239">
            <v>0.3</v>
          </cell>
          <cell r="F239">
            <v>36000</v>
          </cell>
          <cell r="G239">
            <v>10800</v>
          </cell>
        </row>
        <row r="240">
          <cell r="B240">
            <v>9</v>
          </cell>
          <cell r="C240" t="str">
            <v>Giẻ lau</v>
          </cell>
          <cell r="D240" t="str">
            <v>kg</v>
          </cell>
          <cell r="E240">
            <v>3.6</v>
          </cell>
          <cell r="F240">
            <v>9500</v>
          </cell>
          <cell r="G240">
            <v>34200</v>
          </cell>
        </row>
        <row r="241">
          <cell r="B241">
            <v>44</v>
          </cell>
          <cell r="C241" t="str">
            <v>Gỗ ván nhóm 4</v>
          </cell>
          <cell r="D241" t="str">
            <v>m3</v>
          </cell>
          <cell r="E241">
            <v>0.1</v>
          </cell>
          <cell r="F241">
            <v>2300000</v>
          </cell>
          <cell r="G241">
            <v>230000</v>
          </cell>
        </row>
        <row r="242">
          <cell r="B242">
            <v>117</v>
          </cell>
          <cell r="C242" t="str">
            <v>Vật liệu khác</v>
          </cell>
          <cell r="D242" t="str">
            <v>%</v>
          </cell>
          <cell r="E242">
            <v>5</v>
          </cell>
          <cell r="G242">
            <v>15349.463000000002</v>
          </cell>
        </row>
        <row r="243">
          <cell r="C243" t="str">
            <v>Nhân công</v>
          </cell>
          <cell r="G243">
            <v>5718296.0723684216</v>
          </cell>
        </row>
        <row r="244">
          <cell r="B244" t="str">
            <v>NC1457</v>
          </cell>
          <cell r="C244" t="str">
            <v>Ngày công bậc 4,5/7</v>
          </cell>
          <cell r="D244" t="str">
            <v>công</v>
          </cell>
          <cell r="E244">
            <v>27</v>
          </cell>
          <cell r="F244">
            <v>211788.74342105264</v>
          </cell>
          <cell r="G244">
            <v>5718296.0723684216</v>
          </cell>
        </row>
        <row r="245">
          <cell r="C245" t="str">
            <v>Máy thi công</v>
          </cell>
          <cell r="G245">
            <v>927181.50980000012</v>
          </cell>
        </row>
        <row r="246">
          <cell r="B246">
            <v>8015</v>
          </cell>
          <cell r="C246" t="str">
            <v>Cần trục bánh hơi 5 tấn</v>
          </cell>
          <cell r="D246" t="str">
            <v>ca</v>
          </cell>
          <cell r="E246">
            <v>0.65</v>
          </cell>
          <cell r="F246">
            <v>1426433.0920000002</v>
          </cell>
          <cell r="G246">
            <v>927181.50980000012</v>
          </cell>
        </row>
        <row r="247">
          <cell r="A247" t="str">
            <v>T1.1305</v>
          </cell>
          <cell r="C247" t="str">
            <v>Lắp đặt máy biến áp trung gian 3 pha 3 cuộn dây 35/22;15;10;6kV &lt;=7500KVA</v>
          </cell>
          <cell r="D247" t="str">
            <v>Máy</v>
          </cell>
          <cell r="H247">
            <v>322338.723</v>
          </cell>
          <cell r="I247">
            <v>6175759.7581578949</v>
          </cell>
          <cell r="J247">
            <v>927181.50980000012</v>
          </cell>
        </row>
        <row r="248">
          <cell r="C248" t="str">
            <v>Vật liệu</v>
          </cell>
          <cell r="G248">
            <v>322338.723</v>
          </cell>
        </row>
        <row r="249">
          <cell r="B249">
            <v>1</v>
          </cell>
          <cell r="C249" t="str">
            <v>Cồn công nghiệp</v>
          </cell>
          <cell r="D249" t="str">
            <v>kg</v>
          </cell>
          <cell r="E249">
            <v>0.43</v>
          </cell>
          <cell r="F249">
            <v>9500</v>
          </cell>
          <cell r="G249">
            <v>4085</v>
          </cell>
        </row>
        <row r="250">
          <cell r="B250">
            <v>3</v>
          </cell>
          <cell r="C250" t="str">
            <v>Xăng</v>
          </cell>
          <cell r="D250" t="str">
            <v>kg</v>
          </cell>
          <cell r="E250">
            <v>0.43</v>
          </cell>
          <cell r="F250">
            <v>18382</v>
          </cell>
          <cell r="G250">
            <v>7904.26</v>
          </cell>
        </row>
        <row r="251">
          <cell r="B251">
            <v>4</v>
          </cell>
          <cell r="C251" t="str">
            <v>Giấy ráp</v>
          </cell>
          <cell r="D251" t="str">
            <v>tờ</v>
          </cell>
          <cell r="E251">
            <v>2</v>
          </cell>
          <cell r="F251">
            <v>10000</v>
          </cell>
          <cell r="G251">
            <v>20000</v>
          </cell>
        </row>
        <row r="252">
          <cell r="B252">
            <v>7</v>
          </cell>
          <cell r="C252" t="str">
            <v>Sơn chống rỉ</v>
          </cell>
          <cell r="D252" t="str">
            <v>kg</v>
          </cell>
          <cell r="E252">
            <v>0.3</v>
          </cell>
          <cell r="F252">
            <v>36000</v>
          </cell>
          <cell r="G252">
            <v>10800</v>
          </cell>
        </row>
        <row r="253">
          <cell r="B253">
            <v>9</v>
          </cell>
          <cell r="C253" t="str">
            <v>Giẻ lau</v>
          </cell>
          <cell r="D253" t="str">
            <v>kg</v>
          </cell>
          <cell r="E253">
            <v>3.6</v>
          </cell>
          <cell r="F253">
            <v>9500</v>
          </cell>
          <cell r="G253">
            <v>34200</v>
          </cell>
        </row>
        <row r="254">
          <cell r="B254">
            <v>44</v>
          </cell>
          <cell r="C254" t="str">
            <v>Gỗ ván nhóm 4</v>
          </cell>
          <cell r="D254" t="str">
            <v>m3</v>
          </cell>
          <cell r="E254">
            <v>0.1</v>
          </cell>
          <cell r="F254">
            <v>2300000</v>
          </cell>
          <cell r="G254">
            <v>230000</v>
          </cell>
        </row>
        <row r="255">
          <cell r="B255">
            <v>117</v>
          </cell>
          <cell r="C255" t="str">
            <v>Vật liệu khác</v>
          </cell>
          <cell r="D255" t="str">
            <v>%</v>
          </cell>
          <cell r="E255">
            <v>5</v>
          </cell>
          <cell r="G255">
            <v>15349.463000000002</v>
          </cell>
        </row>
        <row r="256">
          <cell r="C256" t="str">
            <v>Nhân công</v>
          </cell>
          <cell r="G256">
            <v>6175759.7581578949</v>
          </cell>
        </row>
        <row r="257">
          <cell r="B257" t="str">
            <v>NC1457</v>
          </cell>
          <cell r="C257" t="str">
            <v>Ngày công bậc 4,5/7</v>
          </cell>
          <cell r="D257" t="str">
            <v>công</v>
          </cell>
          <cell r="E257">
            <v>29.16</v>
          </cell>
          <cell r="F257">
            <v>211788.74342105264</v>
          </cell>
          <cell r="G257">
            <v>6175759.7581578949</v>
          </cell>
        </row>
        <row r="258">
          <cell r="C258" t="str">
            <v>Máy thi công</v>
          </cell>
          <cell r="G258">
            <v>927181.50980000012</v>
          </cell>
        </row>
        <row r="259">
          <cell r="B259">
            <v>8015</v>
          </cell>
          <cell r="C259" t="str">
            <v>Cần trục bánh hơi 5 tấn</v>
          </cell>
          <cell r="D259" t="str">
            <v>ca</v>
          </cell>
          <cell r="E259">
            <v>0.65</v>
          </cell>
          <cell r="F259">
            <v>1426433.0920000002</v>
          </cell>
          <cell r="G259">
            <v>927181.50980000012</v>
          </cell>
        </row>
        <row r="260">
          <cell r="A260" t="str">
            <v>T1.1411</v>
          </cell>
          <cell r="C260" t="str">
            <v>Lắp đặt máy biến áp phân phối 3 pha 35;22/0,4kV &lt;=30KVA</v>
          </cell>
          <cell r="D260" t="str">
            <v>bộ</v>
          </cell>
          <cell r="H260">
            <v>517362.72000000003</v>
          </cell>
          <cell r="I260">
            <v>652309.32973684219</v>
          </cell>
          <cell r="J260">
            <v>370872.60392000008</v>
          </cell>
        </row>
        <row r="261">
          <cell r="C261" t="str">
            <v>Vật liệu</v>
          </cell>
          <cell r="G261">
            <v>517362.72000000003</v>
          </cell>
        </row>
        <row r="262">
          <cell r="B262">
            <v>1</v>
          </cell>
          <cell r="C262" t="str">
            <v>Cồn công nghiệp</v>
          </cell>
          <cell r="D262" t="str">
            <v>kg</v>
          </cell>
          <cell r="E262">
            <v>0.3</v>
          </cell>
          <cell r="F262">
            <v>9500</v>
          </cell>
          <cell r="G262">
            <v>2850</v>
          </cell>
        </row>
        <row r="263">
          <cell r="B263">
            <v>10</v>
          </cell>
          <cell r="C263" t="str">
            <v>Gôm lắc</v>
          </cell>
          <cell r="D263" t="str">
            <v>kg</v>
          </cell>
          <cell r="E263">
            <v>0.1</v>
          </cell>
          <cell r="F263">
            <v>45000</v>
          </cell>
          <cell r="G263">
            <v>4500</v>
          </cell>
        </row>
        <row r="264">
          <cell r="B264">
            <v>3</v>
          </cell>
          <cell r="C264" t="str">
            <v>Xăng</v>
          </cell>
          <cell r="D264" t="str">
            <v>kg</v>
          </cell>
          <cell r="E264">
            <v>0.2</v>
          </cell>
          <cell r="F264">
            <v>18382</v>
          </cell>
          <cell r="G264">
            <v>3676.4</v>
          </cell>
        </row>
        <row r="265">
          <cell r="B265">
            <v>4</v>
          </cell>
          <cell r="C265" t="str">
            <v>Giấy ráp</v>
          </cell>
          <cell r="D265" t="str">
            <v>tờ</v>
          </cell>
          <cell r="E265">
            <v>0.5</v>
          </cell>
          <cell r="F265">
            <v>10000</v>
          </cell>
          <cell r="G265">
            <v>5000</v>
          </cell>
        </row>
        <row r="266">
          <cell r="B266">
            <v>7</v>
          </cell>
          <cell r="C266" t="str">
            <v>Sơn chống rỉ</v>
          </cell>
          <cell r="D266" t="str">
            <v>kg</v>
          </cell>
          <cell r="E266">
            <v>0.2</v>
          </cell>
          <cell r="F266">
            <v>36000</v>
          </cell>
          <cell r="G266">
            <v>7200</v>
          </cell>
        </row>
        <row r="267">
          <cell r="B267">
            <v>9</v>
          </cell>
          <cell r="C267" t="str">
            <v>Giẻ lau</v>
          </cell>
          <cell r="D267" t="str">
            <v>kg</v>
          </cell>
          <cell r="E267">
            <v>1</v>
          </cell>
          <cell r="F267">
            <v>9500</v>
          </cell>
          <cell r="G267">
            <v>9500</v>
          </cell>
        </row>
        <row r="268">
          <cell r="B268">
            <v>44</v>
          </cell>
          <cell r="C268" t="str">
            <v>Gỗ ván nhóm 4</v>
          </cell>
          <cell r="D268" t="str">
            <v>m3</v>
          </cell>
          <cell r="E268">
            <v>0.2</v>
          </cell>
          <cell r="F268">
            <v>2300000</v>
          </cell>
          <cell r="G268">
            <v>460000</v>
          </cell>
        </row>
        <row r="269">
          <cell r="C269" t="str">
            <v>Vật liệu khác</v>
          </cell>
          <cell r="D269" t="str">
            <v>%</v>
          </cell>
          <cell r="E269">
            <v>5</v>
          </cell>
          <cell r="G269">
            <v>24636.320000000003</v>
          </cell>
        </row>
        <row r="270">
          <cell r="C270" t="str">
            <v>Nhân công</v>
          </cell>
          <cell r="G270">
            <v>652309.32973684219</v>
          </cell>
        </row>
        <row r="271">
          <cell r="B271" t="str">
            <v>NC1457</v>
          </cell>
          <cell r="C271" t="str">
            <v>Ngày công bậc 4,5/7</v>
          </cell>
          <cell r="D271" t="str">
            <v>công</v>
          </cell>
          <cell r="E271">
            <v>3.08</v>
          </cell>
          <cell r="F271">
            <v>211788.74342105264</v>
          </cell>
          <cell r="G271">
            <v>652309.32973684219</v>
          </cell>
        </row>
        <row r="272">
          <cell r="C272" t="str">
            <v>Máy thi công</v>
          </cell>
          <cell r="G272">
            <v>370872.60392000008</v>
          </cell>
        </row>
        <row r="273">
          <cell r="B273">
            <v>8015</v>
          </cell>
          <cell r="C273" t="str">
            <v>Cần trục bánh hơi 5 tấn</v>
          </cell>
          <cell r="D273" t="str">
            <v>ca</v>
          </cell>
          <cell r="E273">
            <v>0.26</v>
          </cell>
          <cell r="F273">
            <v>1426433.0920000002</v>
          </cell>
          <cell r="G273">
            <v>370872.60392000008</v>
          </cell>
        </row>
        <row r="274">
          <cell r="A274" t="str">
            <v>T1.1412</v>
          </cell>
          <cell r="C274" t="str">
            <v>Lắp đặt máy biến áp phân phối 3 pha 35;22/0,4kV &lt;=50KVA</v>
          </cell>
          <cell r="D274" t="str">
            <v>bộ</v>
          </cell>
          <cell r="H274">
            <v>521392.82999999996</v>
          </cell>
          <cell r="I274">
            <v>734906.93967105274</v>
          </cell>
          <cell r="J274">
            <v>370872.60392000008</v>
          </cell>
        </row>
        <row r="275">
          <cell r="C275" t="str">
            <v>Vật liệu</v>
          </cell>
          <cell r="G275">
            <v>521392.82999999996</v>
          </cell>
        </row>
        <row r="276">
          <cell r="B276">
            <v>1</v>
          </cell>
          <cell r="C276" t="str">
            <v>Cồn công nghiệp</v>
          </cell>
          <cell r="D276" t="str">
            <v>kg</v>
          </cell>
          <cell r="E276">
            <v>0.3</v>
          </cell>
          <cell r="F276">
            <v>9500</v>
          </cell>
          <cell r="G276">
            <v>2850</v>
          </cell>
        </row>
        <row r="277">
          <cell r="B277">
            <v>10</v>
          </cell>
          <cell r="C277" t="str">
            <v>Gôm lắc</v>
          </cell>
          <cell r="D277" t="str">
            <v>kg</v>
          </cell>
          <cell r="E277">
            <v>0.1</v>
          </cell>
          <cell r="F277">
            <v>45000</v>
          </cell>
          <cell r="G277">
            <v>4500</v>
          </cell>
        </row>
        <row r="278">
          <cell r="B278">
            <v>3</v>
          </cell>
          <cell r="C278" t="str">
            <v>Xăng</v>
          </cell>
          <cell r="D278" t="str">
            <v>kg</v>
          </cell>
          <cell r="E278">
            <v>0.3</v>
          </cell>
          <cell r="F278">
            <v>18382</v>
          </cell>
          <cell r="G278">
            <v>5514.5999999999995</v>
          </cell>
        </row>
        <row r="279">
          <cell r="B279">
            <v>4</v>
          </cell>
          <cell r="C279" t="str">
            <v>Giấy ráp</v>
          </cell>
          <cell r="D279" t="str">
            <v>tờ</v>
          </cell>
          <cell r="E279">
            <v>0.7</v>
          </cell>
          <cell r="F279">
            <v>10000</v>
          </cell>
          <cell r="G279">
            <v>7000</v>
          </cell>
        </row>
        <row r="280">
          <cell r="B280">
            <v>7</v>
          </cell>
          <cell r="C280" t="str">
            <v>Sơn chống rỉ</v>
          </cell>
          <cell r="D280" t="str">
            <v>kg</v>
          </cell>
          <cell r="E280">
            <v>0.2</v>
          </cell>
          <cell r="F280">
            <v>36000</v>
          </cell>
          <cell r="G280">
            <v>7200</v>
          </cell>
        </row>
        <row r="281">
          <cell r="B281">
            <v>9</v>
          </cell>
          <cell r="C281" t="str">
            <v>Giẻ lau</v>
          </cell>
          <cell r="D281" t="str">
            <v>kg</v>
          </cell>
          <cell r="E281">
            <v>1</v>
          </cell>
          <cell r="F281">
            <v>9500</v>
          </cell>
          <cell r="G281">
            <v>9500</v>
          </cell>
        </row>
        <row r="282">
          <cell r="B282">
            <v>44</v>
          </cell>
          <cell r="C282" t="str">
            <v>Gỗ ván nhóm 4</v>
          </cell>
          <cell r="D282" t="str">
            <v>m3</v>
          </cell>
          <cell r="E282">
            <v>0.2</v>
          </cell>
          <cell r="F282">
            <v>2300000</v>
          </cell>
          <cell r="G282">
            <v>460000</v>
          </cell>
        </row>
        <row r="283">
          <cell r="C283" t="str">
            <v>Vật liệu khác</v>
          </cell>
          <cell r="D283" t="str">
            <v>%</v>
          </cell>
          <cell r="E283">
            <v>5</v>
          </cell>
          <cell r="G283">
            <v>24828.23</v>
          </cell>
        </row>
        <row r="284">
          <cell r="C284" t="str">
            <v>Nhân công</v>
          </cell>
          <cell r="G284">
            <v>734906.93967105274</v>
          </cell>
        </row>
        <row r="285">
          <cell r="B285" t="str">
            <v>NC1457</v>
          </cell>
          <cell r="C285" t="str">
            <v>Ngày công bậc 4,5/7</v>
          </cell>
          <cell r="D285" t="str">
            <v>công</v>
          </cell>
          <cell r="E285">
            <v>3.47</v>
          </cell>
          <cell r="F285">
            <v>211788.74342105264</v>
          </cell>
          <cell r="G285">
            <v>734906.93967105274</v>
          </cell>
        </row>
        <row r="286">
          <cell r="C286" t="str">
            <v>Máy thi công</v>
          </cell>
          <cell r="G286">
            <v>370872.60392000008</v>
          </cell>
        </row>
        <row r="287">
          <cell r="B287">
            <v>8015</v>
          </cell>
          <cell r="C287" t="str">
            <v>Cần trục bánh hơi 5 tấn</v>
          </cell>
          <cell r="D287" t="str">
            <v>ca</v>
          </cell>
          <cell r="E287">
            <v>0.26</v>
          </cell>
          <cell r="F287">
            <v>1426433.0920000002</v>
          </cell>
          <cell r="G287">
            <v>370872.60392000008</v>
          </cell>
        </row>
        <row r="288">
          <cell r="A288" t="str">
            <v>T1.1413</v>
          </cell>
          <cell r="C288" t="str">
            <v>Lắp đặt máy biến áp phân phối 3 pha 35;22/0,4kV &lt;=100KVA</v>
          </cell>
          <cell r="D288" t="str">
            <v>bộ</v>
          </cell>
          <cell r="H288">
            <v>530527.82999999996</v>
          </cell>
          <cell r="I288">
            <v>897984.2721052632</v>
          </cell>
          <cell r="J288">
            <v>370872.60392000008</v>
          </cell>
        </row>
        <row r="289">
          <cell r="C289" t="str">
            <v>Vật liệu</v>
          </cell>
          <cell r="G289">
            <v>530527.82999999996</v>
          </cell>
        </row>
        <row r="290">
          <cell r="B290">
            <v>1</v>
          </cell>
          <cell r="C290" t="str">
            <v>Cồn công nghiệp</v>
          </cell>
          <cell r="D290" t="str">
            <v>kg</v>
          </cell>
          <cell r="E290">
            <v>0.3</v>
          </cell>
          <cell r="F290">
            <v>9500</v>
          </cell>
          <cell r="G290">
            <v>2850</v>
          </cell>
        </row>
        <row r="291">
          <cell r="B291">
            <v>10</v>
          </cell>
          <cell r="C291" t="str">
            <v>Gôm lắc</v>
          </cell>
          <cell r="D291" t="str">
            <v>kg</v>
          </cell>
          <cell r="E291">
            <v>0.1</v>
          </cell>
          <cell r="F291">
            <v>45000</v>
          </cell>
          <cell r="G291">
            <v>4500</v>
          </cell>
        </row>
        <row r="292">
          <cell r="B292">
            <v>3</v>
          </cell>
          <cell r="C292" t="str">
            <v>Xăng</v>
          </cell>
          <cell r="D292" t="str">
            <v>kg</v>
          </cell>
          <cell r="E292">
            <v>0.3</v>
          </cell>
          <cell r="F292">
            <v>18382</v>
          </cell>
          <cell r="G292">
            <v>5514.5999999999995</v>
          </cell>
        </row>
        <row r="293">
          <cell r="B293">
            <v>4</v>
          </cell>
          <cell r="C293" t="str">
            <v>Giấy ráp</v>
          </cell>
          <cell r="D293" t="str">
            <v>tờ</v>
          </cell>
          <cell r="E293">
            <v>1</v>
          </cell>
          <cell r="F293">
            <v>10000</v>
          </cell>
          <cell r="G293">
            <v>10000</v>
          </cell>
        </row>
        <row r="294">
          <cell r="B294">
            <v>7</v>
          </cell>
          <cell r="C294" t="str">
            <v>Sơn chống rỉ</v>
          </cell>
          <cell r="D294" t="str">
            <v>kg</v>
          </cell>
          <cell r="E294">
            <v>0.2</v>
          </cell>
          <cell r="F294">
            <v>36000</v>
          </cell>
          <cell r="G294">
            <v>7200</v>
          </cell>
        </row>
        <row r="295">
          <cell r="B295">
            <v>9</v>
          </cell>
          <cell r="C295" t="str">
            <v>Giẻ lau</v>
          </cell>
          <cell r="D295" t="str">
            <v>kg</v>
          </cell>
          <cell r="E295">
            <v>1.6</v>
          </cell>
          <cell r="F295">
            <v>9500</v>
          </cell>
          <cell r="G295">
            <v>15200</v>
          </cell>
        </row>
        <row r="296">
          <cell r="B296">
            <v>44</v>
          </cell>
          <cell r="C296" t="str">
            <v>Gỗ ván nhóm 4</v>
          </cell>
          <cell r="D296" t="str">
            <v>m3</v>
          </cell>
          <cell r="E296">
            <v>0.2</v>
          </cell>
          <cell r="F296">
            <v>2300000</v>
          </cell>
          <cell r="G296">
            <v>460000</v>
          </cell>
        </row>
        <row r="297">
          <cell r="C297" t="str">
            <v>Vật liệu khác</v>
          </cell>
          <cell r="D297" t="str">
            <v>%</v>
          </cell>
          <cell r="E297">
            <v>5</v>
          </cell>
          <cell r="G297">
            <v>25263.23</v>
          </cell>
        </row>
        <row r="298">
          <cell r="C298" t="str">
            <v>Nhân công</v>
          </cell>
          <cell r="G298">
            <v>897984.2721052632</v>
          </cell>
        </row>
        <row r="299">
          <cell r="B299" t="str">
            <v>NC1457</v>
          </cell>
          <cell r="C299" t="str">
            <v>Ngày công bậc 4,5/7</v>
          </cell>
          <cell r="D299" t="str">
            <v>công</v>
          </cell>
          <cell r="E299">
            <v>4.24</v>
          </cell>
          <cell r="F299">
            <v>211788.74342105264</v>
          </cell>
          <cell r="G299">
            <v>897984.2721052632</v>
          </cell>
        </row>
        <row r="300">
          <cell r="C300" t="str">
            <v>Máy thi công</v>
          </cell>
          <cell r="G300">
            <v>370872.60392000008</v>
          </cell>
        </row>
        <row r="301">
          <cell r="B301">
            <v>8015</v>
          </cell>
          <cell r="C301" t="str">
            <v>Cần trục bánh hơi 5 tấn</v>
          </cell>
          <cell r="D301" t="str">
            <v>ca</v>
          </cell>
          <cell r="E301">
            <v>0.26</v>
          </cell>
          <cell r="F301">
            <v>1426433.0920000002</v>
          </cell>
          <cell r="G301">
            <v>370872.60392000008</v>
          </cell>
        </row>
        <row r="302">
          <cell r="A302" t="str">
            <v>T1.1414</v>
          </cell>
          <cell r="C302" t="str">
            <v>Lắp đặt máy biến áp phân phối 3 pha 35;22/0,4kV &lt;=180KVA</v>
          </cell>
          <cell r="D302" t="str">
            <v>Máy</v>
          </cell>
          <cell r="H302">
            <v>530527.82999999996</v>
          </cell>
          <cell r="I302">
            <v>1052590.0548026315</v>
          </cell>
          <cell r="J302">
            <v>370872.60392000008</v>
          </cell>
        </row>
        <row r="303">
          <cell r="C303" t="str">
            <v>Vật liệu</v>
          </cell>
          <cell r="G303">
            <v>530527.82999999996</v>
          </cell>
        </row>
        <row r="304">
          <cell r="B304">
            <v>1</v>
          </cell>
          <cell r="C304" t="str">
            <v>Cồn công nghiệp</v>
          </cell>
          <cell r="D304" t="str">
            <v>kg</v>
          </cell>
          <cell r="E304">
            <v>0.3</v>
          </cell>
          <cell r="F304">
            <v>9500</v>
          </cell>
          <cell r="G304">
            <v>2850</v>
          </cell>
        </row>
        <row r="305">
          <cell r="B305">
            <v>10</v>
          </cell>
          <cell r="C305" t="str">
            <v>Gôm lắc</v>
          </cell>
          <cell r="D305" t="str">
            <v>kg</v>
          </cell>
          <cell r="E305">
            <v>0.1</v>
          </cell>
          <cell r="F305">
            <v>45000</v>
          </cell>
          <cell r="G305">
            <v>4500</v>
          </cell>
        </row>
        <row r="306">
          <cell r="B306">
            <v>3</v>
          </cell>
          <cell r="C306" t="str">
            <v>Xăng</v>
          </cell>
          <cell r="D306" t="str">
            <v>kg</v>
          </cell>
          <cell r="E306">
            <v>0.3</v>
          </cell>
          <cell r="F306">
            <v>18382</v>
          </cell>
          <cell r="G306">
            <v>5514.5999999999995</v>
          </cell>
        </row>
        <row r="307">
          <cell r="B307">
            <v>4</v>
          </cell>
          <cell r="C307" t="str">
            <v>Giấy ráp</v>
          </cell>
          <cell r="D307" t="str">
            <v>tờ</v>
          </cell>
          <cell r="E307">
            <v>1</v>
          </cell>
          <cell r="F307">
            <v>10000</v>
          </cell>
          <cell r="G307">
            <v>10000</v>
          </cell>
        </row>
        <row r="308">
          <cell r="B308">
            <v>7</v>
          </cell>
          <cell r="C308" t="str">
            <v>Sơn chống rỉ</v>
          </cell>
          <cell r="D308" t="str">
            <v>kg</v>
          </cell>
          <cell r="E308">
            <v>0.2</v>
          </cell>
          <cell r="F308">
            <v>36000</v>
          </cell>
          <cell r="G308">
            <v>7200</v>
          </cell>
        </row>
        <row r="309">
          <cell r="B309">
            <v>9</v>
          </cell>
          <cell r="C309" t="str">
            <v>Giẻ lau</v>
          </cell>
          <cell r="D309" t="str">
            <v>kg</v>
          </cell>
          <cell r="E309">
            <v>1.6</v>
          </cell>
          <cell r="F309">
            <v>9500</v>
          </cell>
          <cell r="G309">
            <v>15200</v>
          </cell>
        </row>
        <row r="310">
          <cell r="B310">
            <v>44</v>
          </cell>
          <cell r="C310" t="str">
            <v>Gỗ ván nhóm 4</v>
          </cell>
          <cell r="D310" t="str">
            <v>m3</v>
          </cell>
          <cell r="E310">
            <v>0.2</v>
          </cell>
          <cell r="F310">
            <v>2300000</v>
          </cell>
          <cell r="G310">
            <v>460000</v>
          </cell>
        </row>
        <row r="311">
          <cell r="C311" t="str">
            <v>Vật liệu khác</v>
          </cell>
          <cell r="D311" t="str">
            <v>%</v>
          </cell>
          <cell r="E311">
            <v>5</v>
          </cell>
          <cell r="G311">
            <v>25263.23</v>
          </cell>
        </row>
        <row r="312">
          <cell r="C312" t="str">
            <v>Nhân công</v>
          </cell>
          <cell r="G312">
            <v>1052590.0548026315</v>
          </cell>
        </row>
        <row r="313">
          <cell r="B313" t="str">
            <v>NC1457</v>
          </cell>
          <cell r="C313" t="str">
            <v>Ngày công bậc 4,5/7</v>
          </cell>
          <cell r="D313" t="str">
            <v>công</v>
          </cell>
          <cell r="E313">
            <v>4.97</v>
          </cell>
          <cell r="F313">
            <v>211788.74342105264</v>
          </cell>
          <cell r="G313">
            <v>1052590.0548026315</v>
          </cell>
        </row>
        <row r="314">
          <cell r="C314" t="str">
            <v>Máy thi công</v>
          </cell>
          <cell r="G314">
            <v>370872.60392000008</v>
          </cell>
        </row>
        <row r="315">
          <cell r="B315">
            <v>8015</v>
          </cell>
          <cell r="C315" t="str">
            <v>Cần trục bánh hơi 5 tấn</v>
          </cell>
          <cell r="D315" t="str">
            <v>ca</v>
          </cell>
          <cell r="E315">
            <v>0.26</v>
          </cell>
          <cell r="F315">
            <v>1426433.0920000002</v>
          </cell>
          <cell r="G315">
            <v>370872.60392000008</v>
          </cell>
        </row>
        <row r="316">
          <cell r="A316" t="str">
            <v>T1.1415</v>
          </cell>
          <cell r="C316" t="str">
            <v>Lắp đặt máy biến áp phân phối 3 pha 35;22/0,4kV &lt;=320KVA</v>
          </cell>
          <cell r="D316" t="str">
            <v>Máy</v>
          </cell>
          <cell r="H316">
            <v>530527.82999999996</v>
          </cell>
          <cell r="I316">
            <v>1230492.5992763157</v>
          </cell>
          <cell r="J316">
            <v>470722.92036000011</v>
          </cell>
        </row>
        <row r="317">
          <cell r="C317" t="str">
            <v>Vật liệu</v>
          </cell>
          <cell r="G317">
            <v>530527.82999999996</v>
          </cell>
        </row>
        <row r="318">
          <cell r="B318">
            <v>1</v>
          </cell>
          <cell r="C318" t="str">
            <v>Cồn công nghiệp</v>
          </cell>
          <cell r="D318" t="str">
            <v>kg</v>
          </cell>
          <cell r="E318">
            <v>0.3</v>
          </cell>
          <cell r="F318">
            <v>9500</v>
          </cell>
          <cell r="G318">
            <v>2850</v>
          </cell>
        </row>
        <row r="319">
          <cell r="B319">
            <v>10</v>
          </cell>
          <cell r="C319" t="str">
            <v>Gôm lắc</v>
          </cell>
          <cell r="D319" t="str">
            <v>kg</v>
          </cell>
          <cell r="E319">
            <v>0.1</v>
          </cell>
          <cell r="F319">
            <v>45000</v>
          </cell>
          <cell r="G319">
            <v>4500</v>
          </cell>
        </row>
        <row r="320">
          <cell r="B320">
            <v>3</v>
          </cell>
          <cell r="C320" t="str">
            <v>Xăng</v>
          </cell>
          <cell r="D320" t="str">
            <v>kg</v>
          </cell>
          <cell r="E320">
            <v>0.3</v>
          </cell>
          <cell r="F320">
            <v>18382</v>
          </cell>
          <cell r="G320">
            <v>5514.5999999999995</v>
          </cell>
        </row>
        <row r="321">
          <cell r="B321">
            <v>4</v>
          </cell>
          <cell r="C321" t="str">
            <v>Giấy ráp</v>
          </cell>
          <cell r="D321" t="str">
            <v>tờ</v>
          </cell>
          <cell r="E321">
            <v>1</v>
          </cell>
          <cell r="F321">
            <v>10000</v>
          </cell>
          <cell r="G321">
            <v>10000</v>
          </cell>
        </row>
        <row r="322">
          <cell r="B322">
            <v>7</v>
          </cell>
          <cell r="C322" t="str">
            <v>Sơn chống rỉ</v>
          </cell>
          <cell r="D322" t="str">
            <v>kg</v>
          </cell>
          <cell r="E322">
            <v>0.2</v>
          </cell>
          <cell r="F322">
            <v>36000</v>
          </cell>
          <cell r="G322">
            <v>7200</v>
          </cell>
        </row>
        <row r="323">
          <cell r="B323">
            <v>9</v>
          </cell>
          <cell r="C323" t="str">
            <v>Giẻ lau</v>
          </cell>
          <cell r="D323" t="str">
            <v>kg</v>
          </cell>
          <cell r="E323">
            <v>1.6</v>
          </cell>
          <cell r="F323">
            <v>9500</v>
          </cell>
          <cell r="G323">
            <v>15200</v>
          </cell>
        </row>
        <row r="324">
          <cell r="B324">
            <v>44</v>
          </cell>
          <cell r="C324" t="str">
            <v>Gỗ ván nhóm 4</v>
          </cell>
          <cell r="D324" t="str">
            <v>m3</v>
          </cell>
          <cell r="E324">
            <v>0.2</v>
          </cell>
          <cell r="F324">
            <v>2300000</v>
          </cell>
          <cell r="G324">
            <v>460000</v>
          </cell>
        </row>
        <row r="325">
          <cell r="C325" t="str">
            <v>Vật liệu khác</v>
          </cell>
          <cell r="D325" t="str">
            <v>%</v>
          </cell>
          <cell r="E325">
            <v>5</v>
          </cell>
          <cell r="G325">
            <v>25263.23</v>
          </cell>
        </row>
        <row r="326">
          <cell r="C326" t="str">
            <v>Nhân công</v>
          </cell>
          <cell r="G326">
            <v>1230492.5992763157</v>
          </cell>
        </row>
        <row r="327">
          <cell r="B327" t="str">
            <v>NC1457</v>
          </cell>
          <cell r="C327" t="str">
            <v>Ngày công bậc 4,5/7</v>
          </cell>
          <cell r="D327" t="str">
            <v>công</v>
          </cell>
          <cell r="E327">
            <v>5.81</v>
          </cell>
          <cell r="F327">
            <v>211788.74342105264</v>
          </cell>
          <cell r="G327">
            <v>1230492.5992763157</v>
          </cell>
        </row>
        <row r="328">
          <cell r="C328" t="str">
            <v>Máy thi công</v>
          </cell>
          <cell r="G328">
            <v>470722.92036000011</v>
          </cell>
        </row>
        <row r="329">
          <cell r="B329">
            <v>8015</v>
          </cell>
          <cell r="C329" t="str">
            <v>Cần trục bánh hơi 5 tấn</v>
          </cell>
          <cell r="D329" t="str">
            <v>ca</v>
          </cell>
          <cell r="E329">
            <v>0.33</v>
          </cell>
          <cell r="F329">
            <v>1426433.0920000002</v>
          </cell>
          <cell r="G329">
            <v>470722.92036000011</v>
          </cell>
        </row>
        <row r="330">
          <cell r="A330" t="str">
            <v>T1.1416</v>
          </cell>
          <cell r="C330" t="str">
            <v>Lắp đặt máy biến áp phân phối 3 pha 35;22/0,4kV &lt;=560KVA</v>
          </cell>
          <cell r="D330" t="str">
            <v>Máy</v>
          </cell>
          <cell r="H330">
            <v>530527.82999999996</v>
          </cell>
          <cell r="I330">
            <v>1467695.9919078948</v>
          </cell>
          <cell r="J330">
            <v>470722.92036000011</v>
          </cell>
        </row>
        <row r="331">
          <cell r="C331" t="str">
            <v>Vật liệu</v>
          </cell>
          <cell r="G331">
            <v>530527.82999999996</v>
          </cell>
        </row>
        <row r="332">
          <cell r="B332">
            <v>1</v>
          </cell>
          <cell r="C332" t="str">
            <v>Cồn công nghiệp</v>
          </cell>
          <cell r="D332" t="str">
            <v>kg</v>
          </cell>
          <cell r="E332">
            <v>0.3</v>
          </cell>
          <cell r="F332">
            <v>9500</v>
          </cell>
          <cell r="G332">
            <v>2850</v>
          </cell>
        </row>
        <row r="333">
          <cell r="B333">
            <v>10</v>
          </cell>
          <cell r="C333" t="str">
            <v>Gôm lắc</v>
          </cell>
          <cell r="D333" t="str">
            <v>kg</v>
          </cell>
          <cell r="E333">
            <v>0.1</v>
          </cell>
          <cell r="F333">
            <v>45000</v>
          </cell>
          <cell r="G333">
            <v>4500</v>
          </cell>
        </row>
        <row r="334">
          <cell r="B334">
            <v>3</v>
          </cell>
          <cell r="C334" t="str">
            <v>Xăng</v>
          </cell>
          <cell r="D334" t="str">
            <v>kg</v>
          </cell>
          <cell r="E334">
            <v>0.3</v>
          </cell>
          <cell r="F334">
            <v>18382</v>
          </cell>
          <cell r="G334">
            <v>5514.5999999999995</v>
          </cell>
        </row>
        <row r="335">
          <cell r="B335">
            <v>4</v>
          </cell>
          <cell r="C335" t="str">
            <v>Giấy ráp</v>
          </cell>
          <cell r="D335" t="str">
            <v>tờ</v>
          </cell>
          <cell r="E335">
            <v>1</v>
          </cell>
          <cell r="F335">
            <v>10000</v>
          </cell>
          <cell r="G335">
            <v>10000</v>
          </cell>
        </row>
        <row r="336">
          <cell r="B336">
            <v>7</v>
          </cell>
          <cell r="C336" t="str">
            <v>Sơn chống rỉ</v>
          </cell>
          <cell r="D336" t="str">
            <v>kg</v>
          </cell>
          <cell r="E336">
            <v>0.2</v>
          </cell>
          <cell r="F336">
            <v>36000</v>
          </cell>
          <cell r="G336">
            <v>7200</v>
          </cell>
        </row>
        <row r="337">
          <cell r="B337">
            <v>9</v>
          </cell>
          <cell r="C337" t="str">
            <v>Giẻ lau</v>
          </cell>
          <cell r="D337" t="str">
            <v>kg</v>
          </cell>
          <cell r="E337">
            <v>1.6</v>
          </cell>
          <cell r="F337">
            <v>9500</v>
          </cell>
          <cell r="G337">
            <v>15200</v>
          </cell>
        </row>
        <row r="338">
          <cell r="B338">
            <v>44</v>
          </cell>
          <cell r="C338" t="str">
            <v>Gỗ ván nhóm 4</v>
          </cell>
          <cell r="D338" t="str">
            <v>m3</v>
          </cell>
          <cell r="E338">
            <v>0.2</v>
          </cell>
          <cell r="F338">
            <v>2300000</v>
          </cell>
          <cell r="G338">
            <v>460000</v>
          </cell>
        </row>
        <row r="339">
          <cell r="C339" t="str">
            <v>Vật liệu khác</v>
          </cell>
          <cell r="D339" t="str">
            <v>%</v>
          </cell>
          <cell r="E339">
            <v>5</v>
          </cell>
          <cell r="G339">
            <v>25263.23</v>
          </cell>
        </row>
        <row r="340">
          <cell r="C340" t="str">
            <v>Nhân công</v>
          </cell>
          <cell r="G340">
            <v>1467695.9919078948</v>
          </cell>
        </row>
        <row r="341">
          <cell r="B341" t="str">
            <v>NC1457</v>
          </cell>
          <cell r="C341" t="str">
            <v>Ngày công bậc 4,5/7</v>
          </cell>
          <cell r="D341" t="str">
            <v>công</v>
          </cell>
          <cell r="E341">
            <v>6.93</v>
          </cell>
          <cell r="F341">
            <v>211788.74342105264</v>
          </cell>
          <cell r="G341">
            <v>1467695.9919078948</v>
          </cell>
        </row>
        <row r="342">
          <cell r="C342" t="str">
            <v>Máy thi công</v>
          </cell>
          <cell r="G342">
            <v>470722.92036000011</v>
          </cell>
        </row>
        <row r="343">
          <cell r="B343">
            <v>8015</v>
          </cell>
          <cell r="C343" t="str">
            <v>Cần trục bánh hơi 5 tấn</v>
          </cell>
          <cell r="D343" t="str">
            <v>ca</v>
          </cell>
          <cell r="E343">
            <v>0.33</v>
          </cell>
          <cell r="F343">
            <v>1426433.0920000002</v>
          </cell>
          <cell r="G343">
            <v>470722.92036000011</v>
          </cell>
        </row>
        <row r="344">
          <cell r="A344" t="str">
            <v>T1.1417</v>
          </cell>
          <cell r="C344" t="str">
            <v>Lắp đặt máy biến áp phân phối 3 pha 35;22/0,4kV &gt;=750KVA</v>
          </cell>
          <cell r="D344" t="str">
            <v>Máy</v>
          </cell>
          <cell r="H344">
            <v>530527.82999999996</v>
          </cell>
          <cell r="I344">
            <v>1704899.3845394738</v>
          </cell>
          <cell r="J344">
            <v>556308.90588000009</v>
          </cell>
        </row>
        <row r="345">
          <cell r="C345" t="str">
            <v>Vật liệu</v>
          </cell>
          <cell r="G345">
            <v>530527.82999999996</v>
          </cell>
        </row>
        <row r="346">
          <cell r="B346">
            <v>1</v>
          </cell>
          <cell r="C346" t="str">
            <v>Cồn công nghiệp</v>
          </cell>
          <cell r="D346" t="str">
            <v>kg</v>
          </cell>
          <cell r="E346">
            <v>0.3</v>
          </cell>
          <cell r="F346">
            <v>9500</v>
          </cell>
          <cell r="G346">
            <v>2850</v>
          </cell>
        </row>
        <row r="347">
          <cell r="B347">
            <v>10</v>
          </cell>
          <cell r="C347" t="str">
            <v>Gôm lắc</v>
          </cell>
          <cell r="D347" t="str">
            <v>kg</v>
          </cell>
          <cell r="E347">
            <v>0.1</v>
          </cell>
          <cell r="F347">
            <v>45000</v>
          </cell>
          <cell r="G347">
            <v>4500</v>
          </cell>
        </row>
        <row r="348">
          <cell r="B348">
            <v>3</v>
          </cell>
          <cell r="C348" t="str">
            <v>Xăng</v>
          </cell>
          <cell r="D348" t="str">
            <v>kg</v>
          </cell>
          <cell r="E348">
            <v>0.3</v>
          </cell>
          <cell r="F348">
            <v>18382</v>
          </cell>
          <cell r="G348">
            <v>5514.5999999999995</v>
          </cell>
        </row>
        <row r="349">
          <cell r="B349">
            <v>4</v>
          </cell>
          <cell r="C349" t="str">
            <v>Giấy ráp</v>
          </cell>
          <cell r="D349" t="str">
            <v>tờ</v>
          </cell>
          <cell r="E349">
            <v>1</v>
          </cell>
          <cell r="F349">
            <v>10000</v>
          </cell>
          <cell r="G349">
            <v>10000</v>
          </cell>
        </row>
        <row r="350">
          <cell r="B350">
            <v>7</v>
          </cell>
          <cell r="C350" t="str">
            <v>Sơn chống rỉ</v>
          </cell>
          <cell r="D350" t="str">
            <v>kg</v>
          </cell>
          <cell r="E350">
            <v>0.2</v>
          </cell>
          <cell r="F350">
            <v>36000</v>
          </cell>
          <cell r="G350">
            <v>7200</v>
          </cell>
        </row>
        <row r="351">
          <cell r="B351">
            <v>9</v>
          </cell>
          <cell r="C351" t="str">
            <v>Giẻ lau</v>
          </cell>
          <cell r="D351" t="str">
            <v>kg</v>
          </cell>
          <cell r="E351">
            <v>1.6</v>
          </cell>
          <cell r="F351">
            <v>9500</v>
          </cell>
          <cell r="G351">
            <v>15200</v>
          </cell>
        </row>
        <row r="352">
          <cell r="B352">
            <v>44</v>
          </cell>
          <cell r="C352" t="str">
            <v>Gỗ ván nhóm 4</v>
          </cell>
          <cell r="D352" t="str">
            <v>m3</v>
          </cell>
          <cell r="E352">
            <v>0.2</v>
          </cell>
          <cell r="F352">
            <v>2300000</v>
          </cell>
          <cell r="G352">
            <v>460000</v>
          </cell>
        </row>
        <row r="353">
          <cell r="C353" t="str">
            <v>Vật liệu khác</v>
          </cell>
          <cell r="D353" t="str">
            <v>%</v>
          </cell>
          <cell r="E353">
            <v>5</v>
          </cell>
          <cell r="G353">
            <v>25263.23</v>
          </cell>
        </row>
        <row r="354">
          <cell r="C354" t="str">
            <v>Nhân công</v>
          </cell>
          <cell r="G354">
            <v>1704899.3845394738</v>
          </cell>
        </row>
        <row r="355">
          <cell r="B355" t="str">
            <v>NC1457</v>
          </cell>
          <cell r="C355" t="str">
            <v>Ngày công bậc 4,5/7</v>
          </cell>
          <cell r="D355" t="str">
            <v>công</v>
          </cell>
          <cell r="E355">
            <v>8.0500000000000007</v>
          </cell>
          <cell r="F355">
            <v>211788.74342105264</v>
          </cell>
          <cell r="G355">
            <v>1704899.3845394738</v>
          </cell>
        </row>
        <row r="356">
          <cell r="C356" t="str">
            <v>Máy thi công</v>
          </cell>
          <cell r="G356">
            <v>556308.90588000009</v>
          </cell>
        </row>
        <row r="357">
          <cell r="B357">
            <v>8015</v>
          </cell>
          <cell r="C357" t="str">
            <v>Cần trục bánh hơi 5 tấn</v>
          </cell>
          <cell r="D357" t="str">
            <v>ca</v>
          </cell>
          <cell r="E357">
            <v>0.39</v>
          </cell>
          <cell r="F357">
            <v>1426433.0920000002</v>
          </cell>
          <cell r="G357">
            <v>556308.90588000009</v>
          </cell>
        </row>
        <row r="358">
          <cell r="A358" t="str">
            <v>T1.1421</v>
          </cell>
          <cell r="C358" t="str">
            <v>Lắp đặt máy biến áp phân phối  3 pha 15;10;6/0,4kV &lt;=30KVA</v>
          </cell>
          <cell r="D358" t="str">
            <v>bộ</v>
          </cell>
          <cell r="H358">
            <v>497990.92800000001</v>
          </cell>
          <cell r="I358">
            <v>593008.48157894739</v>
          </cell>
          <cell r="J358">
            <v>370872.60392000008</v>
          </cell>
        </row>
        <row r="359">
          <cell r="C359" t="str">
            <v>Vật liệu</v>
          </cell>
          <cell r="G359">
            <v>497990.92800000001</v>
          </cell>
        </row>
        <row r="360">
          <cell r="B360">
            <v>1</v>
          </cell>
          <cell r="C360" t="str">
            <v>Cồn công nghiệp</v>
          </cell>
          <cell r="D360" t="str">
            <v>kg</v>
          </cell>
          <cell r="E360">
            <v>0.3</v>
          </cell>
          <cell r="F360">
            <v>9500</v>
          </cell>
          <cell r="G360">
            <v>2850</v>
          </cell>
        </row>
        <row r="361">
          <cell r="B361">
            <v>3</v>
          </cell>
          <cell r="C361" t="str">
            <v>Xăng</v>
          </cell>
          <cell r="D361" t="str">
            <v>kg</v>
          </cell>
          <cell r="E361">
            <v>0.2</v>
          </cell>
          <cell r="F361">
            <v>18382</v>
          </cell>
          <cell r="G361">
            <v>3676.4</v>
          </cell>
        </row>
        <row r="362">
          <cell r="B362">
            <v>4</v>
          </cell>
          <cell r="C362" t="str">
            <v>Giấy ráp</v>
          </cell>
          <cell r="D362" t="str">
            <v>tờ</v>
          </cell>
          <cell r="E362">
            <v>0.5</v>
          </cell>
          <cell r="F362">
            <v>10000</v>
          </cell>
          <cell r="G362">
            <v>5000</v>
          </cell>
        </row>
        <row r="363">
          <cell r="B363">
            <v>7</v>
          </cell>
          <cell r="C363" t="str">
            <v>Sơn chống rỉ</v>
          </cell>
          <cell r="D363" t="str">
            <v>kg</v>
          </cell>
          <cell r="E363">
            <v>0.2</v>
          </cell>
          <cell r="F363">
            <v>36000</v>
          </cell>
          <cell r="G363">
            <v>7200</v>
          </cell>
        </row>
        <row r="364">
          <cell r="B364">
            <v>9</v>
          </cell>
          <cell r="C364" t="str">
            <v>Giẻ lau</v>
          </cell>
          <cell r="D364" t="str">
            <v>kg</v>
          </cell>
          <cell r="E364">
            <v>1</v>
          </cell>
          <cell r="F364">
            <v>9500</v>
          </cell>
          <cell r="G364">
            <v>9500</v>
          </cell>
        </row>
        <row r="365">
          <cell r="B365">
            <v>44</v>
          </cell>
          <cell r="C365" t="str">
            <v>Gỗ ván nhóm 4</v>
          </cell>
          <cell r="D365" t="str">
            <v>m3</v>
          </cell>
          <cell r="E365">
            <v>0.2</v>
          </cell>
          <cell r="F365">
            <v>2300000</v>
          </cell>
          <cell r="G365">
            <v>460000</v>
          </cell>
        </row>
        <row r="366">
          <cell r="B366">
            <v>117</v>
          </cell>
          <cell r="C366" t="str">
            <v>Vật liệu khác</v>
          </cell>
          <cell r="D366" t="str">
            <v>%</v>
          </cell>
          <cell r="E366">
            <v>2</v>
          </cell>
          <cell r="G366">
            <v>9764.5280000000002</v>
          </cell>
        </row>
        <row r="367">
          <cell r="C367" t="str">
            <v>Nhân công</v>
          </cell>
          <cell r="G367">
            <v>593008.48157894739</v>
          </cell>
        </row>
        <row r="368">
          <cell r="B368" t="str">
            <v>NC1457</v>
          </cell>
          <cell r="C368" t="str">
            <v>Ngày công bậc 4,5/7</v>
          </cell>
          <cell r="D368" t="str">
            <v>công</v>
          </cell>
          <cell r="E368">
            <v>2.8</v>
          </cell>
          <cell r="F368">
            <v>211788.74342105264</v>
          </cell>
          <cell r="G368">
            <v>593008.48157894739</v>
          </cell>
        </row>
        <row r="369">
          <cell r="C369" t="str">
            <v>Máy thi công</v>
          </cell>
          <cell r="G369">
            <v>370872.60392000008</v>
          </cell>
        </row>
        <row r="370">
          <cell r="B370">
            <v>8015</v>
          </cell>
          <cell r="C370" t="str">
            <v>Cần trục bánh hơi 5 tấn</v>
          </cell>
          <cell r="D370" t="str">
            <v>ca</v>
          </cell>
          <cell r="E370">
            <v>0.26</v>
          </cell>
          <cell r="F370">
            <v>1426433.0920000002</v>
          </cell>
          <cell r="G370">
            <v>370872.60392000008</v>
          </cell>
        </row>
        <row r="371">
          <cell r="A371" t="str">
            <v>T1.1422</v>
          </cell>
          <cell r="C371" t="str">
            <v>Lắp đặt máy biến áp phân phối  3 pha 15;10;6/0,4kV &lt;=50KVA</v>
          </cell>
          <cell r="D371" t="str">
            <v>bộ</v>
          </cell>
          <cell r="H371">
            <v>501905.89199999999</v>
          </cell>
          <cell r="I371">
            <v>667134.54177631577</v>
          </cell>
          <cell r="J371">
            <v>370872.60392000008</v>
          </cell>
        </row>
        <row r="372">
          <cell r="C372" t="str">
            <v>Vật liệu</v>
          </cell>
          <cell r="G372">
            <v>501905.89199999999</v>
          </cell>
        </row>
        <row r="373">
          <cell r="B373">
            <v>1</v>
          </cell>
          <cell r="C373" t="str">
            <v>Cồn công nghiệp</v>
          </cell>
          <cell r="D373" t="str">
            <v>kg</v>
          </cell>
          <cell r="E373">
            <v>0.3</v>
          </cell>
          <cell r="F373">
            <v>9500</v>
          </cell>
          <cell r="G373">
            <v>2850</v>
          </cell>
        </row>
        <row r="374">
          <cell r="B374">
            <v>3</v>
          </cell>
          <cell r="C374" t="str">
            <v>Xăng</v>
          </cell>
          <cell r="D374" t="str">
            <v>kg</v>
          </cell>
          <cell r="E374">
            <v>0.3</v>
          </cell>
          <cell r="F374">
            <v>18382</v>
          </cell>
          <cell r="G374">
            <v>5514.5999999999995</v>
          </cell>
        </row>
        <row r="375">
          <cell r="B375">
            <v>4</v>
          </cell>
          <cell r="C375" t="str">
            <v>Giấy ráp</v>
          </cell>
          <cell r="D375" t="str">
            <v>tờ</v>
          </cell>
          <cell r="E375">
            <v>0.7</v>
          </cell>
          <cell r="F375">
            <v>10000</v>
          </cell>
          <cell r="G375">
            <v>7000</v>
          </cell>
        </row>
        <row r="376">
          <cell r="B376">
            <v>7</v>
          </cell>
          <cell r="C376" t="str">
            <v>Sơn chống rỉ</v>
          </cell>
          <cell r="D376" t="str">
            <v>kg</v>
          </cell>
          <cell r="E376">
            <v>0.2</v>
          </cell>
          <cell r="F376">
            <v>36000</v>
          </cell>
          <cell r="G376">
            <v>7200</v>
          </cell>
        </row>
        <row r="377">
          <cell r="B377">
            <v>9</v>
          </cell>
          <cell r="C377" t="str">
            <v>Giẻ lau</v>
          </cell>
          <cell r="D377" t="str">
            <v>kg</v>
          </cell>
          <cell r="E377">
            <v>1</v>
          </cell>
          <cell r="F377">
            <v>9500</v>
          </cell>
          <cell r="G377">
            <v>9500</v>
          </cell>
        </row>
        <row r="378">
          <cell r="B378">
            <v>44</v>
          </cell>
          <cell r="C378" t="str">
            <v>Gỗ ván nhóm 4</v>
          </cell>
          <cell r="D378" t="str">
            <v>m3</v>
          </cell>
          <cell r="E378">
            <v>0.2</v>
          </cell>
          <cell r="F378">
            <v>2300000</v>
          </cell>
          <cell r="G378">
            <v>460000</v>
          </cell>
        </row>
        <row r="379">
          <cell r="B379">
            <v>117</v>
          </cell>
          <cell r="C379" t="str">
            <v>Vật liệu khác</v>
          </cell>
          <cell r="D379" t="str">
            <v>%</v>
          </cell>
          <cell r="E379">
            <v>2</v>
          </cell>
          <cell r="G379">
            <v>9841.2919999999995</v>
          </cell>
        </row>
        <row r="380">
          <cell r="C380" t="str">
            <v>Nhân công</v>
          </cell>
          <cell r="G380">
            <v>667134.54177631577</v>
          </cell>
        </row>
        <row r="381">
          <cell r="B381" t="str">
            <v>NC1457</v>
          </cell>
          <cell r="C381" t="str">
            <v>Ngày công bậc 4,5/7</v>
          </cell>
          <cell r="D381" t="str">
            <v>công</v>
          </cell>
          <cell r="E381">
            <v>3.15</v>
          </cell>
          <cell r="F381">
            <v>211788.74342105264</v>
          </cell>
          <cell r="G381">
            <v>667134.54177631577</v>
          </cell>
        </row>
        <row r="382">
          <cell r="C382" t="str">
            <v>Máy thi công</v>
          </cell>
          <cell r="G382">
            <v>370872.60392000008</v>
          </cell>
        </row>
        <row r="383">
          <cell r="B383">
            <v>8015</v>
          </cell>
          <cell r="C383" t="str">
            <v>Cần trục bánh hơi 5 tấn</v>
          </cell>
          <cell r="D383" t="str">
            <v>ca</v>
          </cell>
          <cell r="E383">
            <v>0.26</v>
          </cell>
          <cell r="F383">
            <v>1426433.0920000002</v>
          </cell>
          <cell r="G383">
            <v>370872.60392000008</v>
          </cell>
        </row>
        <row r="384">
          <cell r="A384" t="str">
            <v>T1.1423</v>
          </cell>
          <cell r="C384" t="str">
            <v>Lắp đặt máy biến áp phân phối  3 pha 15;10;6/0,4kV &lt;=100KVA</v>
          </cell>
          <cell r="D384" t="str">
            <v>bộ</v>
          </cell>
          <cell r="H384">
            <v>510779.89199999999</v>
          </cell>
          <cell r="I384">
            <v>815386.66217105265</v>
          </cell>
          <cell r="J384">
            <v>370872.60392000008</v>
          </cell>
        </row>
        <row r="385">
          <cell r="C385" t="str">
            <v>Vật liệu</v>
          </cell>
          <cell r="G385">
            <v>510779.89199999999</v>
          </cell>
        </row>
        <row r="386">
          <cell r="B386">
            <v>1</v>
          </cell>
          <cell r="C386" t="str">
            <v>Cồn công nghiệp</v>
          </cell>
          <cell r="D386" t="str">
            <v>kg</v>
          </cell>
          <cell r="E386">
            <v>0.3</v>
          </cell>
          <cell r="F386">
            <v>9500</v>
          </cell>
          <cell r="G386">
            <v>2850</v>
          </cell>
        </row>
        <row r="387">
          <cell r="B387">
            <v>3</v>
          </cell>
          <cell r="C387" t="str">
            <v>Xăng</v>
          </cell>
          <cell r="D387" t="str">
            <v>kg</v>
          </cell>
          <cell r="E387">
            <v>0.3</v>
          </cell>
          <cell r="F387">
            <v>18382</v>
          </cell>
          <cell r="G387">
            <v>5514.5999999999995</v>
          </cell>
        </row>
        <row r="388">
          <cell r="B388">
            <v>4</v>
          </cell>
          <cell r="C388" t="str">
            <v>Giấy ráp</v>
          </cell>
          <cell r="D388" t="str">
            <v>tờ</v>
          </cell>
          <cell r="E388">
            <v>1</v>
          </cell>
          <cell r="F388">
            <v>10000</v>
          </cell>
          <cell r="G388">
            <v>10000</v>
          </cell>
        </row>
        <row r="389">
          <cell r="B389">
            <v>7</v>
          </cell>
          <cell r="C389" t="str">
            <v>Sơn chống rỉ</v>
          </cell>
          <cell r="D389" t="str">
            <v>kg</v>
          </cell>
          <cell r="E389">
            <v>0.2</v>
          </cell>
          <cell r="F389">
            <v>36000</v>
          </cell>
          <cell r="G389">
            <v>7200</v>
          </cell>
        </row>
        <row r="390">
          <cell r="B390">
            <v>9</v>
          </cell>
          <cell r="C390" t="str">
            <v>Giẻ lau</v>
          </cell>
          <cell r="D390" t="str">
            <v>kg</v>
          </cell>
          <cell r="E390">
            <v>1.6</v>
          </cell>
          <cell r="F390">
            <v>9500</v>
          </cell>
          <cell r="G390">
            <v>15200</v>
          </cell>
        </row>
        <row r="391">
          <cell r="B391">
            <v>44</v>
          </cell>
          <cell r="C391" t="str">
            <v>Gỗ ván nhóm 4</v>
          </cell>
          <cell r="D391" t="str">
            <v>m3</v>
          </cell>
          <cell r="E391">
            <v>0.2</v>
          </cell>
          <cell r="F391">
            <v>2300000</v>
          </cell>
          <cell r="G391">
            <v>460000</v>
          </cell>
        </row>
        <row r="392">
          <cell r="B392">
            <v>117</v>
          </cell>
          <cell r="C392" t="str">
            <v>Vật liệu khác</v>
          </cell>
          <cell r="D392" t="str">
            <v>%</v>
          </cell>
          <cell r="E392">
            <v>2</v>
          </cell>
          <cell r="G392">
            <v>10015.291999999999</v>
          </cell>
        </row>
        <row r="393">
          <cell r="C393" t="str">
            <v>Nhân công</v>
          </cell>
          <cell r="G393">
            <v>815386.66217105265</v>
          </cell>
        </row>
        <row r="394">
          <cell r="B394" t="str">
            <v>NC1457</v>
          </cell>
          <cell r="C394" t="str">
            <v>Ngày công bậc 4,5/7</v>
          </cell>
          <cell r="D394" t="str">
            <v>công</v>
          </cell>
          <cell r="E394">
            <v>3.85</v>
          </cell>
          <cell r="F394">
            <v>211788.74342105264</v>
          </cell>
          <cell r="G394">
            <v>815386.66217105265</v>
          </cell>
        </row>
        <row r="395">
          <cell r="C395" t="str">
            <v>Máy thi công</v>
          </cell>
          <cell r="G395">
            <v>370872.60392000008</v>
          </cell>
        </row>
        <row r="396">
          <cell r="B396">
            <v>8015</v>
          </cell>
          <cell r="C396" t="str">
            <v>Cần trục bánh hơi 5 tấn</v>
          </cell>
          <cell r="D396" t="str">
            <v>ca</v>
          </cell>
          <cell r="E396">
            <v>0.26</v>
          </cell>
          <cell r="F396">
            <v>1426433.0920000002</v>
          </cell>
          <cell r="G396">
            <v>370872.60392000008</v>
          </cell>
        </row>
        <row r="397">
          <cell r="A397" t="str">
            <v>T1.1424</v>
          </cell>
          <cell r="C397" t="str">
            <v>Lắp đặt máy biến áp phân phối  3 pha 15;10;6/0,4kV &lt;=180KVA</v>
          </cell>
          <cell r="D397" t="str">
            <v>Máy</v>
          </cell>
          <cell r="H397">
            <v>510779.89199999999</v>
          </cell>
          <cell r="I397">
            <v>963638.78256578953</v>
          </cell>
          <cell r="J397">
            <v>370872.60392000008</v>
          </cell>
        </row>
        <row r="398">
          <cell r="C398" t="str">
            <v>Vật liệu</v>
          </cell>
          <cell r="G398">
            <v>510779.89199999999</v>
          </cell>
        </row>
        <row r="399">
          <cell r="B399">
            <v>1</v>
          </cell>
          <cell r="C399" t="str">
            <v>Cồn công nghiệp</v>
          </cell>
          <cell r="D399" t="str">
            <v>kg</v>
          </cell>
          <cell r="E399">
            <v>0.3</v>
          </cell>
          <cell r="F399">
            <v>9500</v>
          </cell>
          <cell r="G399">
            <v>2850</v>
          </cell>
        </row>
        <row r="400">
          <cell r="B400">
            <v>3</v>
          </cell>
          <cell r="C400" t="str">
            <v>Xăng</v>
          </cell>
          <cell r="D400" t="str">
            <v>kg</v>
          </cell>
          <cell r="E400">
            <v>0.3</v>
          </cell>
          <cell r="F400">
            <v>18382</v>
          </cell>
          <cell r="G400">
            <v>5514.5999999999995</v>
          </cell>
        </row>
        <row r="401">
          <cell r="B401">
            <v>4</v>
          </cell>
          <cell r="C401" t="str">
            <v>Giấy ráp</v>
          </cell>
          <cell r="D401" t="str">
            <v>tờ</v>
          </cell>
          <cell r="E401">
            <v>1</v>
          </cell>
          <cell r="F401">
            <v>10000</v>
          </cell>
          <cell r="G401">
            <v>10000</v>
          </cell>
        </row>
        <row r="402">
          <cell r="B402">
            <v>7</v>
          </cell>
          <cell r="C402" t="str">
            <v>Sơn chống rỉ</v>
          </cell>
          <cell r="D402" t="str">
            <v>kg</v>
          </cell>
          <cell r="E402">
            <v>0.2</v>
          </cell>
          <cell r="F402">
            <v>36000</v>
          </cell>
          <cell r="G402">
            <v>7200</v>
          </cell>
        </row>
        <row r="403">
          <cell r="B403">
            <v>9</v>
          </cell>
          <cell r="C403" t="str">
            <v>Giẻ lau</v>
          </cell>
          <cell r="D403" t="str">
            <v>kg</v>
          </cell>
          <cell r="E403">
            <v>1.6</v>
          </cell>
          <cell r="F403">
            <v>9500</v>
          </cell>
          <cell r="G403">
            <v>15200</v>
          </cell>
        </row>
        <row r="404">
          <cell r="B404">
            <v>44</v>
          </cell>
          <cell r="C404" t="str">
            <v>Gỗ ván nhóm 4</v>
          </cell>
          <cell r="D404" t="str">
            <v>m3</v>
          </cell>
          <cell r="E404">
            <v>0.2</v>
          </cell>
          <cell r="F404">
            <v>2300000</v>
          </cell>
          <cell r="G404">
            <v>460000</v>
          </cell>
        </row>
        <row r="405">
          <cell r="B405">
            <v>117</v>
          </cell>
          <cell r="C405" t="str">
            <v>Vật liệu khác</v>
          </cell>
          <cell r="D405" t="str">
            <v>%</v>
          </cell>
          <cell r="E405">
            <v>2</v>
          </cell>
          <cell r="G405">
            <v>10015.291999999999</v>
          </cell>
        </row>
        <row r="406">
          <cell r="C406" t="str">
            <v>Nhân công</v>
          </cell>
          <cell r="G406">
            <v>963638.78256578953</v>
          </cell>
        </row>
        <row r="407">
          <cell r="B407" t="str">
            <v>NC1457</v>
          </cell>
          <cell r="C407" t="str">
            <v>Ngày công bậc 4,5/7</v>
          </cell>
          <cell r="D407" t="str">
            <v>công</v>
          </cell>
          <cell r="E407">
            <v>4.55</v>
          </cell>
          <cell r="F407">
            <v>211788.74342105264</v>
          </cell>
          <cell r="G407">
            <v>963638.78256578953</v>
          </cell>
        </row>
        <row r="408">
          <cell r="C408" t="str">
            <v>Máy thi công</v>
          </cell>
          <cell r="G408">
            <v>370872.60392000008</v>
          </cell>
        </row>
        <row r="409">
          <cell r="B409">
            <v>8015</v>
          </cell>
          <cell r="C409" t="str">
            <v>Cần trục bánh hơi 5 tấn</v>
          </cell>
          <cell r="D409" t="str">
            <v>ca</v>
          </cell>
          <cell r="E409">
            <v>0.26</v>
          </cell>
          <cell r="F409">
            <v>1426433.0920000002</v>
          </cell>
          <cell r="G409">
            <v>370872.60392000008</v>
          </cell>
        </row>
        <row r="410">
          <cell r="A410" t="str">
            <v>T1.1425</v>
          </cell>
          <cell r="C410" t="str">
            <v>Lắp đặt máy biến áp phân phối  3 pha 15;10;6/0,4kV &lt;=320KVA</v>
          </cell>
          <cell r="D410" t="str">
            <v>Máy</v>
          </cell>
          <cell r="H410">
            <v>510779.89199999999</v>
          </cell>
          <cell r="I410">
            <v>1126716.1150000002</v>
          </cell>
          <cell r="J410">
            <v>470722.92036000011</v>
          </cell>
        </row>
        <row r="411">
          <cell r="C411" t="str">
            <v>Vật liệu</v>
          </cell>
          <cell r="G411">
            <v>510779.89199999999</v>
          </cell>
        </row>
        <row r="412">
          <cell r="B412">
            <v>1</v>
          </cell>
          <cell r="C412" t="str">
            <v>Cồn công nghiệp</v>
          </cell>
          <cell r="D412" t="str">
            <v>kg</v>
          </cell>
          <cell r="E412">
            <v>0.3</v>
          </cell>
          <cell r="F412">
            <v>9500</v>
          </cell>
          <cell r="G412">
            <v>2850</v>
          </cell>
        </row>
        <row r="413">
          <cell r="B413">
            <v>3</v>
          </cell>
          <cell r="C413" t="str">
            <v>Xăng</v>
          </cell>
          <cell r="D413" t="str">
            <v>kg</v>
          </cell>
          <cell r="E413">
            <v>0.3</v>
          </cell>
          <cell r="F413">
            <v>18382</v>
          </cell>
          <cell r="G413">
            <v>5514.5999999999995</v>
          </cell>
        </row>
        <row r="414">
          <cell r="B414">
            <v>4</v>
          </cell>
          <cell r="C414" t="str">
            <v>Giấy ráp</v>
          </cell>
          <cell r="D414" t="str">
            <v>tờ</v>
          </cell>
          <cell r="E414">
            <v>1</v>
          </cell>
          <cell r="F414">
            <v>10000</v>
          </cell>
          <cell r="G414">
            <v>10000</v>
          </cell>
        </row>
        <row r="415">
          <cell r="B415">
            <v>7</v>
          </cell>
          <cell r="C415" t="str">
            <v>Sơn chống rỉ</v>
          </cell>
          <cell r="D415" t="str">
            <v>kg</v>
          </cell>
          <cell r="E415">
            <v>0.2</v>
          </cell>
          <cell r="F415">
            <v>36000</v>
          </cell>
          <cell r="G415">
            <v>7200</v>
          </cell>
        </row>
        <row r="416">
          <cell r="B416">
            <v>9</v>
          </cell>
          <cell r="C416" t="str">
            <v>Giẻ lau</v>
          </cell>
          <cell r="D416" t="str">
            <v>kg</v>
          </cell>
          <cell r="E416">
            <v>1.6</v>
          </cell>
          <cell r="F416">
            <v>9500</v>
          </cell>
          <cell r="G416">
            <v>15200</v>
          </cell>
        </row>
        <row r="417">
          <cell r="B417">
            <v>44</v>
          </cell>
          <cell r="C417" t="str">
            <v>Gỗ ván nhóm 4</v>
          </cell>
          <cell r="D417" t="str">
            <v>m3</v>
          </cell>
          <cell r="E417">
            <v>0.2</v>
          </cell>
          <cell r="F417">
            <v>2300000</v>
          </cell>
          <cell r="G417">
            <v>460000</v>
          </cell>
        </row>
        <row r="418">
          <cell r="B418">
            <v>117</v>
          </cell>
          <cell r="C418" t="str">
            <v>Vật liệu khác</v>
          </cell>
          <cell r="D418" t="str">
            <v>%</v>
          </cell>
          <cell r="E418">
            <v>2</v>
          </cell>
          <cell r="G418">
            <v>10015.291999999999</v>
          </cell>
        </row>
        <row r="419">
          <cell r="C419" t="str">
            <v>Nhân công</v>
          </cell>
          <cell r="G419">
            <v>1126716.1150000002</v>
          </cell>
        </row>
        <row r="420">
          <cell r="B420" t="str">
            <v>NC1457</v>
          </cell>
          <cell r="C420" t="str">
            <v>Ngày công bậc 4,5/7</v>
          </cell>
          <cell r="D420" t="str">
            <v>công</v>
          </cell>
          <cell r="E420">
            <v>5.32</v>
          </cell>
          <cell r="F420">
            <v>211788.74342105264</v>
          </cell>
          <cell r="G420">
            <v>1126716.1150000002</v>
          </cell>
        </row>
        <row r="421">
          <cell r="C421" t="str">
            <v>Máy thi công</v>
          </cell>
          <cell r="G421">
            <v>470722.92036000011</v>
          </cell>
        </row>
        <row r="422">
          <cell r="B422">
            <v>8015</v>
          </cell>
          <cell r="C422" t="str">
            <v>Cần trục bánh hơi 5 tấn</v>
          </cell>
          <cell r="D422" t="str">
            <v>ca</v>
          </cell>
          <cell r="E422">
            <v>0.33</v>
          </cell>
          <cell r="F422">
            <v>1426433.0920000002</v>
          </cell>
          <cell r="G422">
            <v>470722.92036000011</v>
          </cell>
        </row>
        <row r="423">
          <cell r="A423" t="str">
            <v>T1.1426</v>
          </cell>
          <cell r="C423" t="str">
            <v>Lắp đặt máy biến áp phân phối  3 pha 15;10;6/0,4kV &lt;=560KVA</v>
          </cell>
          <cell r="D423" t="str">
            <v>Máy</v>
          </cell>
          <cell r="H423">
            <v>510779.89199999999</v>
          </cell>
          <cell r="I423">
            <v>1334269.0835526315</v>
          </cell>
          <cell r="J423">
            <v>470722.92036000011</v>
          </cell>
        </row>
        <row r="424">
          <cell r="C424" t="str">
            <v>Vật liệu</v>
          </cell>
          <cell r="G424">
            <v>510779.89199999999</v>
          </cell>
        </row>
        <row r="425">
          <cell r="B425">
            <v>1</v>
          </cell>
          <cell r="C425" t="str">
            <v>Cồn công nghiệp</v>
          </cell>
          <cell r="D425" t="str">
            <v>kg</v>
          </cell>
          <cell r="E425">
            <v>0.3</v>
          </cell>
          <cell r="F425">
            <v>9500</v>
          </cell>
          <cell r="G425">
            <v>2850</v>
          </cell>
        </row>
        <row r="426">
          <cell r="B426">
            <v>3</v>
          </cell>
          <cell r="C426" t="str">
            <v>Xăng</v>
          </cell>
          <cell r="D426" t="str">
            <v>kg</v>
          </cell>
          <cell r="E426">
            <v>0.3</v>
          </cell>
          <cell r="F426">
            <v>18382</v>
          </cell>
          <cell r="G426">
            <v>5514.5999999999995</v>
          </cell>
        </row>
        <row r="427">
          <cell r="B427">
            <v>4</v>
          </cell>
          <cell r="C427" t="str">
            <v>Giấy ráp</v>
          </cell>
          <cell r="D427" t="str">
            <v>tờ</v>
          </cell>
          <cell r="E427">
            <v>1</v>
          </cell>
          <cell r="F427">
            <v>10000</v>
          </cell>
          <cell r="G427">
            <v>10000</v>
          </cell>
        </row>
        <row r="428">
          <cell r="B428">
            <v>7</v>
          </cell>
          <cell r="C428" t="str">
            <v>Sơn chống rỉ</v>
          </cell>
          <cell r="D428" t="str">
            <v>kg</v>
          </cell>
          <cell r="E428">
            <v>0.2</v>
          </cell>
          <cell r="F428">
            <v>36000</v>
          </cell>
          <cell r="G428">
            <v>7200</v>
          </cell>
        </row>
        <row r="429">
          <cell r="B429">
            <v>9</v>
          </cell>
          <cell r="C429" t="str">
            <v>Giẻ lau</v>
          </cell>
          <cell r="D429" t="str">
            <v>kg</v>
          </cell>
          <cell r="E429">
            <v>1.6</v>
          </cell>
          <cell r="F429">
            <v>9500</v>
          </cell>
          <cell r="G429">
            <v>15200</v>
          </cell>
        </row>
        <row r="430">
          <cell r="B430">
            <v>44</v>
          </cell>
          <cell r="C430" t="str">
            <v>Gỗ ván nhóm 4</v>
          </cell>
          <cell r="D430" t="str">
            <v>m3</v>
          </cell>
          <cell r="E430">
            <v>0.2</v>
          </cell>
          <cell r="F430">
            <v>2300000</v>
          </cell>
          <cell r="G430">
            <v>460000</v>
          </cell>
        </row>
        <row r="431">
          <cell r="B431">
            <v>117</v>
          </cell>
          <cell r="C431" t="str">
            <v>Vật liệu khác</v>
          </cell>
          <cell r="D431" t="str">
            <v>%</v>
          </cell>
          <cell r="E431">
            <v>2</v>
          </cell>
          <cell r="G431">
            <v>10015.291999999999</v>
          </cell>
        </row>
        <row r="432">
          <cell r="C432" t="str">
            <v>Nhân công</v>
          </cell>
          <cell r="G432">
            <v>1334269.0835526315</v>
          </cell>
        </row>
        <row r="433">
          <cell r="B433" t="str">
            <v>NC1457</v>
          </cell>
          <cell r="C433" t="str">
            <v>Ngày công bậc 4,5/7</v>
          </cell>
          <cell r="D433" t="str">
            <v>công</v>
          </cell>
          <cell r="E433">
            <v>6.3</v>
          </cell>
          <cell r="F433">
            <v>211788.74342105264</v>
          </cell>
          <cell r="G433">
            <v>1334269.0835526315</v>
          </cell>
        </row>
        <row r="434">
          <cell r="C434" t="str">
            <v>Máy thi công</v>
          </cell>
          <cell r="G434">
            <v>470722.92036000011</v>
          </cell>
        </row>
        <row r="435">
          <cell r="B435">
            <v>8015</v>
          </cell>
          <cell r="C435" t="str">
            <v>Cần trục bánh hơi 5 tấn</v>
          </cell>
          <cell r="D435" t="str">
            <v>ca</v>
          </cell>
          <cell r="E435">
            <v>0.33</v>
          </cell>
          <cell r="F435">
            <v>1426433.0920000002</v>
          </cell>
          <cell r="G435">
            <v>470722.92036000011</v>
          </cell>
        </row>
        <row r="436">
          <cell r="A436" t="str">
            <v>T1.1427</v>
          </cell>
          <cell r="C436" t="str">
            <v>Lắp đặt máy biến áp phân phối  3 pha 15;10;6/0,4kV &gt;=750KVA</v>
          </cell>
          <cell r="D436" t="str">
            <v>Máy</v>
          </cell>
          <cell r="H436">
            <v>510779.89199999999</v>
          </cell>
          <cell r="I436">
            <v>1556647.2641447368</v>
          </cell>
          <cell r="J436">
            <v>556308.90588000009</v>
          </cell>
        </row>
        <row r="437">
          <cell r="C437" t="str">
            <v>Vật liệu</v>
          </cell>
          <cell r="G437">
            <v>510779.89199999999</v>
          </cell>
        </row>
        <row r="438">
          <cell r="B438">
            <v>1</v>
          </cell>
          <cell r="C438" t="str">
            <v>Cồn công nghiệp</v>
          </cell>
          <cell r="D438" t="str">
            <v>kg</v>
          </cell>
          <cell r="E438">
            <v>0.3</v>
          </cell>
          <cell r="F438">
            <v>9500</v>
          </cell>
          <cell r="G438">
            <v>2850</v>
          </cell>
        </row>
        <row r="439">
          <cell r="B439">
            <v>3</v>
          </cell>
          <cell r="C439" t="str">
            <v>Xăng</v>
          </cell>
          <cell r="D439" t="str">
            <v>kg</v>
          </cell>
          <cell r="E439">
            <v>0.3</v>
          </cell>
          <cell r="F439">
            <v>18382</v>
          </cell>
          <cell r="G439">
            <v>5514.5999999999995</v>
          </cell>
        </row>
        <row r="440">
          <cell r="B440">
            <v>4</v>
          </cell>
          <cell r="C440" t="str">
            <v>Giấy ráp</v>
          </cell>
          <cell r="D440" t="str">
            <v>tờ</v>
          </cell>
          <cell r="E440">
            <v>1</v>
          </cell>
          <cell r="F440">
            <v>10000</v>
          </cell>
          <cell r="G440">
            <v>10000</v>
          </cell>
        </row>
        <row r="441">
          <cell r="B441">
            <v>7</v>
          </cell>
          <cell r="C441" t="str">
            <v>Sơn chống rỉ</v>
          </cell>
          <cell r="D441" t="str">
            <v>kg</v>
          </cell>
          <cell r="E441">
            <v>0.2</v>
          </cell>
          <cell r="F441">
            <v>36000</v>
          </cell>
          <cell r="G441">
            <v>7200</v>
          </cell>
        </row>
        <row r="442">
          <cell r="B442">
            <v>9</v>
          </cell>
          <cell r="C442" t="str">
            <v>Giẻ lau</v>
          </cell>
          <cell r="D442" t="str">
            <v>kg</v>
          </cell>
          <cell r="E442">
            <v>1.6</v>
          </cell>
          <cell r="F442">
            <v>9500</v>
          </cell>
          <cell r="G442">
            <v>15200</v>
          </cell>
        </row>
        <row r="443">
          <cell r="B443">
            <v>44</v>
          </cell>
          <cell r="C443" t="str">
            <v>Gỗ ván nhóm 4</v>
          </cell>
          <cell r="D443" t="str">
            <v>m3</v>
          </cell>
          <cell r="E443">
            <v>0.2</v>
          </cell>
          <cell r="F443">
            <v>2300000</v>
          </cell>
          <cell r="G443">
            <v>460000</v>
          </cell>
        </row>
        <row r="444">
          <cell r="B444">
            <v>117</v>
          </cell>
          <cell r="C444" t="str">
            <v>Vật liệu khác</v>
          </cell>
          <cell r="D444" t="str">
            <v>%</v>
          </cell>
          <cell r="E444">
            <v>2</v>
          </cell>
          <cell r="G444">
            <v>10015.291999999999</v>
          </cell>
        </row>
        <row r="445">
          <cell r="C445" t="str">
            <v>Nhân công</v>
          </cell>
          <cell r="G445">
            <v>1556647.2641447368</v>
          </cell>
        </row>
        <row r="446">
          <cell r="B446" t="str">
            <v>NC1457</v>
          </cell>
          <cell r="C446" t="str">
            <v>Ngày công bậc 4,5/7</v>
          </cell>
          <cell r="D446" t="str">
            <v>công</v>
          </cell>
          <cell r="E446">
            <v>7.35</v>
          </cell>
          <cell r="F446">
            <v>211788.74342105264</v>
          </cell>
          <cell r="G446">
            <v>1556647.2641447368</v>
          </cell>
        </row>
        <row r="447">
          <cell r="C447" t="str">
            <v>Máy thi công</v>
          </cell>
          <cell r="G447">
            <v>556308.90588000009</v>
          </cell>
        </row>
        <row r="448">
          <cell r="B448">
            <v>8015</v>
          </cell>
          <cell r="C448" t="str">
            <v>Cần trục bánh hơi 5 tấn</v>
          </cell>
          <cell r="D448" t="str">
            <v>ca</v>
          </cell>
          <cell r="E448">
            <v>0.39</v>
          </cell>
          <cell r="F448">
            <v>1426433.0920000002</v>
          </cell>
          <cell r="G448">
            <v>556308.90588000009</v>
          </cell>
        </row>
        <row r="449">
          <cell r="A449" t="str">
            <v>T1.1431</v>
          </cell>
          <cell r="C449" t="str">
            <v>Lắp đặt máy biến áp 1 pha 15;10;6/0,4kV &lt;=30KVA</v>
          </cell>
          <cell r="D449" t="str">
            <v>bộ</v>
          </cell>
          <cell r="H449">
            <v>497990.92800000001</v>
          </cell>
          <cell r="I449">
            <v>482878.33499999996</v>
          </cell>
          <cell r="J449">
            <v>370872.60392000008</v>
          </cell>
        </row>
        <row r="450">
          <cell r="C450" t="str">
            <v>Vật liệu</v>
          </cell>
          <cell r="G450">
            <v>497990.92800000001</v>
          </cell>
        </row>
        <row r="451">
          <cell r="B451">
            <v>1</v>
          </cell>
          <cell r="C451" t="str">
            <v>Cồn công nghiệp</v>
          </cell>
          <cell r="D451" t="str">
            <v>kg</v>
          </cell>
          <cell r="E451">
            <v>0.3</v>
          </cell>
          <cell r="F451">
            <v>9500</v>
          </cell>
          <cell r="G451">
            <v>2850</v>
          </cell>
        </row>
        <row r="452">
          <cell r="B452">
            <v>3</v>
          </cell>
          <cell r="C452" t="str">
            <v>Xăng</v>
          </cell>
          <cell r="D452" t="str">
            <v>kg</v>
          </cell>
          <cell r="E452">
            <v>0.2</v>
          </cell>
          <cell r="F452">
            <v>18382</v>
          </cell>
          <cell r="G452">
            <v>3676.4</v>
          </cell>
        </row>
        <row r="453">
          <cell r="B453">
            <v>4</v>
          </cell>
          <cell r="C453" t="str">
            <v>Giấy ráp</v>
          </cell>
          <cell r="D453" t="str">
            <v>tờ</v>
          </cell>
          <cell r="E453">
            <v>0.5</v>
          </cell>
          <cell r="F453">
            <v>10000</v>
          </cell>
          <cell r="G453">
            <v>5000</v>
          </cell>
        </row>
        <row r="454">
          <cell r="B454">
            <v>7</v>
          </cell>
          <cell r="C454" t="str">
            <v>Sơn chống rỉ</v>
          </cell>
          <cell r="D454" t="str">
            <v>kg</v>
          </cell>
          <cell r="E454">
            <v>0.2</v>
          </cell>
          <cell r="F454">
            <v>36000</v>
          </cell>
          <cell r="G454">
            <v>7200</v>
          </cell>
        </row>
        <row r="455">
          <cell r="B455">
            <v>9</v>
          </cell>
          <cell r="C455" t="str">
            <v>Giẻ lau</v>
          </cell>
          <cell r="D455" t="str">
            <v>kg</v>
          </cell>
          <cell r="E455">
            <v>1</v>
          </cell>
          <cell r="F455">
            <v>9500</v>
          </cell>
          <cell r="G455">
            <v>9500</v>
          </cell>
        </row>
        <row r="456">
          <cell r="B456">
            <v>44</v>
          </cell>
          <cell r="C456" t="str">
            <v>Gỗ ván nhóm 4</v>
          </cell>
          <cell r="D456" t="str">
            <v>m3</v>
          </cell>
          <cell r="E456">
            <v>0.2</v>
          </cell>
          <cell r="F456">
            <v>2300000</v>
          </cell>
          <cell r="G456">
            <v>460000</v>
          </cell>
        </row>
        <row r="457">
          <cell r="B457">
            <v>117</v>
          </cell>
          <cell r="C457" t="str">
            <v>Vật liệu khác</v>
          </cell>
          <cell r="D457" t="str">
            <v>%</v>
          </cell>
          <cell r="E457">
            <v>2</v>
          </cell>
          <cell r="G457">
            <v>9764.5280000000002</v>
          </cell>
        </row>
        <row r="458">
          <cell r="C458" t="str">
            <v>Nhân công</v>
          </cell>
          <cell r="G458">
            <v>482878.33499999996</v>
          </cell>
        </row>
        <row r="459">
          <cell r="B459" t="str">
            <v>NC1457</v>
          </cell>
          <cell r="C459" t="str">
            <v>Ngày công bậc 4,5/7</v>
          </cell>
          <cell r="D459" t="str">
            <v>công</v>
          </cell>
          <cell r="E459">
            <v>2.2799999999999998</v>
          </cell>
          <cell r="F459">
            <v>211788.74342105264</v>
          </cell>
          <cell r="G459">
            <v>482878.33499999996</v>
          </cell>
        </row>
        <row r="460">
          <cell r="C460" t="str">
            <v>Máy thi công</v>
          </cell>
          <cell r="G460">
            <v>370872.60392000008</v>
          </cell>
        </row>
        <row r="461">
          <cell r="B461">
            <v>8015</v>
          </cell>
          <cell r="C461" t="str">
            <v>Cần trục bánh hơi 5 tấn</v>
          </cell>
          <cell r="D461" t="str">
            <v>ca</v>
          </cell>
          <cell r="E461">
            <v>0.26</v>
          </cell>
          <cell r="F461">
            <v>1426433.0920000002</v>
          </cell>
          <cell r="G461">
            <v>370872.60392000008</v>
          </cell>
        </row>
        <row r="462">
          <cell r="A462" t="str">
            <v>T1.1432</v>
          </cell>
          <cell r="C462" t="str">
            <v>Lắp đặt máy biến áp 1 pha 15;10;6/0,4kV &lt;=50KVA</v>
          </cell>
          <cell r="D462" t="str">
            <v>bộ</v>
          </cell>
          <cell r="H462">
            <v>501905.89199999999</v>
          </cell>
          <cell r="I462">
            <v>557004.39519736846</v>
          </cell>
          <cell r="J462">
            <v>370872.60392000008</v>
          </cell>
        </row>
        <row r="463">
          <cell r="C463" t="str">
            <v>Vật liệu</v>
          </cell>
          <cell r="G463">
            <v>501905.89199999999</v>
          </cell>
        </row>
        <row r="464">
          <cell r="B464">
            <v>1</v>
          </cell>
          <cell r="C464" t="str">
            <v>Cồn công nghiệp</v>
          </cell>
          <cell r="D464" t="str">
            <v>kg</v>
          </cell>
          <cell r="E464">
            <v>0.3</v>
          </cell>
          <cell r="F464">
            <v>9500</v>
          </cell>
          <cell r="G464">
            <v>2850</v>
          </cell>
        </row>
        <row r="465">
          <cell r="B465">
            <v>3</v>
          </cell>
          <cell r="C465" t="str">
            <v>Xăng</v>
          </cell>
          <cell r="D465" t="str">
            <v>kg</v>
          </cell>
          <cell r="E465">
            <v>0.3</v>
          </cell>
          <cell r="F465">
            <v>18382</v>
          </cell>
          <cell r="G465">
            <v>5514.5999999999995</v>
          </cell>
        </row>
        <row r="466">
          <cell r="B466">
            <v>4</v>
          </cell>
          <cell r="C466" t="str">
            <v>Giấy ráp</v>
          </cell>
          <cell r="D466" t="str">
            <v>tờ</v>
          </cell>
          <cell r="E466">
            <v>0.7</v>
          </cell>
          <cell r="F466">
            <v>10000</v>
          </cell>
          <cell r="G466">
            <v>7000</v>
          </cell>
        </row>
        <row r="467">
          <cell r="B467">
            <v>7</v>
          </cell>
          <cell r="C467" t="str">
            <v>Sơn chống rỉ</v>
          </cell>
          <cell r="D467" t="str">
            <v>kg</v>
          </cell>
          <cell r="E467">
            <v>0.2</v>
          </cell>
          <cell r="F467">
            <v>36000</v>
          </cell>
          <cell r="G467">
            <v>7200</v>
          </cell>
        </row>
        <row r="468">
          <cell r="B468">
            <v>9</v>
          </cell>
          <cell r="C468" t="str">
            <v>Giẻ lau</v>
          </cell>
          <cell r="D468" t="str">
            <v>kg</v>
          </cell>
          <cell r="E468">
            <v>1</v>
          </cell>
          <cell r="F468">
            <v>9500</v>
          </cell>
          <cell r="G468">
            <v>9500</v>
          </cell>
        </row>
        <row r="469">
          <cell r="B469">
            <v>44</v>
          </cell>
          <cell r="C469" t="str">
            <v>Gỗ ván nhóm 4</v>
          </cell>
          <cell r="D469" t="str">
            <v>m3</v>
          </cell>
          <cell r="E469">
            <v>0.2</v>
          </cell>
          <cell r="F469">
            <v>2300000</v>
          </cell>
          <cell r="G469">
            <v>460000</v>
          </cell>
        </row>
        <row r="470">
          <cell r="B470">
            <v>117</v>
          </cell>
          <cell r="C470" t="str">
            <v>Vật liệu khác</v>
          </cell>
          <cell r="D470" t="str">
            <v>%</v>
          </cell>
          <cell r="E470">
            <v>2</v>
          </cell>
          <cell r="G470">
            <v>9841.2919999999995</v>
          </cell>
        </row>
        <row r="471">
          <cell r="C471" t="str">
            <v>Nhân công</v>
          </cell>
          <cell r="G471">
            <v>557004.39519736846</v>
          </cell>
        </row>
        <row r="472">
          <cell r="B472" t="str">
            <v>NC1457</v>
          </cell>
          <cell r="C472" t="str">
            <v>Ngày công bậc 4,5/7</v>
          </cell>
          <cell r="D472" t="str">
            <v>công</v>
          </cell>
          <cell r="E472">
            <v>2.63</v>
          </cell>
          <cell r="F472">
            <v>211788.74342105264</v>
          </cell>
          <cell r="G472">
            <v>557004.39519736846</v>
          </cell>
        </row>
        <row r="473">
          <cell r="C473" t="str">
            <v>Máy thi công</v>
          </cell>
          <cell r="G473">
            <v>370872.60392000008</v>
          </cell>
        </row>
        <row r="474">
          <cell r="B474">
            <v>8015</v>
          </cell>
          <cell r="C474" t="str">
            <v>Cần trục bánh hơi 5 tấn</v>
          </cell>
          <cell r="D474" t="str">
            <v>ca</v>
          </cell>
          <cell r="E474">
            <v>0.26</v>
          </cell>
          <cell r="F474">
            <v>1426433.0920000002</v>
          </cell>
          <cell r="G474">
            <v>370872.60392000008</v>
          </cell>
        </row>
        <row r="475">
          <cell r="A475" t="str">
            <v>T1.1433</v>
          </cell>
          <cell r="C475" t="str">
            <v>Lắp đặt máy biến áp 1 pha 15;10;6/0,4kV &lt;=75KVA</v>
          </cell>
          <cell r="D475" t="str">
            <v>bộ</v>
          </cell>
          <cell r="H475">
            <v>510779.89199999999</v>
          </cell>
          <cell r="I475">
            <v>741260.60197368427</v>
          </cell>
          <cell r="J475">
            <v>370872.60392000008</v>
          </cell>
        </row>
        <row r="476">
          <cell r="C476" t="str">
            <v>Vật liệu</v>
          </cell>
          <cell r="G476">
            <v>510779.89199999999</v>
          </cell>
        </row>
        <row r="477">
          <cell r="B477">
            <v>1</v>
          </cell>
          <cell r="C477" t="str">
            <v>Cồn công nghiệp</v>
          </cell>
          <cell r="D477" t="str">
            <v>kg</v>
          </cell>
          <cell r="E477">
            <v>0.3</v>
          </cell>
          <cell r="F477">
            <v>9500</v>
          </cell>
          <cell r="G477">
            <v>2850</v>
          </cell>
        </row>
        <row r="478">
          <cell r="B478">
            <v>3</v>
          </cell>
          <cell r="C478" t="str">
            <v>Xăng</v>
          </cell>
          <cell r="D478" t="str">
            <v>kg</v>
          </cell>
          <cell r="E478">
            <v>0.3</v>
          </cell>
          <cell r="F478">
            <v>18382</v>
          </cell>
          <cell r="G478">
            <v>5514.5999999999995</v>
          </cell>
        </row>
        <row r="479">
          <cell r="B479">
            <v>4</v>
          </cell>
          <cell r="C479" t="str">
            <v>Giấy ráp</v>
          </cell>
          <cell r="D479" t="str">
            <v>tờ</v>
          </cell>
          <cell r="E479">
            <v>1</v>
          </cell>
          <cell r="F479">
            <v>10000</v>
          </cell>
          <cell r="G479">
            <v>10000</v>
          </cell>
        </row>
        <row r="480">
          <cell r="B480">
            <v>7</v>
          </cell>
          <cell r="C480" t="str">
            <v>Sơn chống rỉ</v>
          </cell>
          <cell r="D480" t="str">
            <v>kg</v>
          </cell>
          <cell r="E480">
            <v>0.2</v>
          </cell>
          <cell r="F480">
            <v>36000</v>
          </cell>
          <cell r="G480">
            <v>7200</v>
          </cell>
        </row>
        <row r="481">
          <cell r="B481">
            <v>9</v>
          </cell>
          <cell r="C481" t="str">
            <v>Giẻ lau</v>
          </cell>
          <cell r="D481" t="str">
            <v>kg</v>
          </cell>
          <cell r="E481">
            <v>1.6</v>
          </cell>
          <cell r="F481">
            <v>9500</v>
          </cell>
          <cell r="G481">
            <v>15200</v>
          </cell>
        </row>
        <row r="482">
          <cell r="B482">
            <v>44</v>
          </cell>
          <cell r="C482" t="str">
            <v>Gỗ ván nhóm 4</v>
          </cell>
          <cell r="D482" t="str">
            <v>m3</v>
          </cell>
          <cell r="E482">
            <v>0.2</v>
          </cell>
          <cell r="F482">
            <v>2300000</v>
          </cell>
          <cell r="G482">
            <v>460000</v>
          </cell>
        </row>
        <row r="483">
          <cell r="B483">
            <v>117</v>
          </cell>
          <cell r="C483" t="str">
            <v>Vật liệu khác</v>
          </cell>
          <cell r="D483" t="str">
            <v>%</v>
          </cell>
          <cell r="E483">
            <v>2</v>
          </cell>
          <cell r="G483">
            <v>10015.291999999999</v>
          </cell>
        </row>
        <row r="484">
          <cell r="C484" t="str">
            <v>Nhân công</v>
          </cell>
          <cell r="G484">
            <v>741260.60197368427</v>
          </cell>
        </row>
        <row r="485">
          <cell r="B485" t="str">
            <v>NC1457</v>
          </cell>
          <cell r="C485" t="str">
            <v>Ngày công bậc 4,5/7</v>
          </cell>
          <cell r="D485" t="str">
            <v>công</v>
          </cell>
          <cell r="E485">
            <v>3.5</v>
          </cell>
          <cell r="F485">
            <v>211788.74342105264</v>
          </cell>
          <cell r="G485">
            <v>741260.60197368427</v>
          </cell>
        </row>
        <row r="486">
          <cell r="C486" t="str">
            <v>Máy thi công</v>
          </cell>
          <cell r="G486">
            <v>370872.60392000008</v>
          </cell>
        </row>
        <row r="487">
          <cell r="B487">
            <v>8015</v>
          </cell>
          <cell r="C487" t="str">
            <v>Cần trục bánh hơi 5 tấn</v>
          </cell>
          <cell r="D487" t="str">
            <v>ca</v>
          </cell>
          <cell r="E487">
            <v>0.26</v>
          </cell>
          <cell r="F487">
            <v>1426433.0920000002</v>
          </cell>
          <cell r="G487">
            <v>370872.60392000008</v>
          </cell>
        </row>
        <row r="488">
          <cell r="A488" t="str">
            <v>T1.1434</v>
          </cell>
          <cell r="C488" t="str">
            <v>Lắp đặt máy biến áp 1 pha 15;10;6/0,4kV &lt;=100KVA</v>
          </cell>
          <cell r="D488" t="str">
            <v>bộ</v>
          </cell>
          <cell r="H488">
            <v>510779.89199999999</v>
          </cell>
          <cell r="I488">
            <v>787854.12552631588</v>
          </cell>
          <cell r="J488">
            <v>370872.60392000008</v>
          </cell>
        </row>
        <row r="489">
          <cell r="C489" t="str">
            <v>Vật liệu</v>
          </cell>
          <cell r="G489">
            <v>510779.89199999999</v>
          </cell>
        </row>
        <row r="490">
          <cell r="B490">
            <v>1</v>
          </cell>
          <cell r="C490" t="str">
            <v>Cồn công nghiệp</v>
          </cell>
          <cell r="D490" t="str">
            <v>kg</v>
          </cell>
          <cell r="E490">
            <v>0.3</v>
          </cell>
          <cell r="F490">
            <v>9500</v>
          </cell>
          <cell r="G490">
            <v>2850</v>
          </cell>
        </row>
        <row r="491">
          <cell r="B491">
            <v>3</v>
          </cell>
          <cell r="C491" t="str">
            <v>Xăng</v>
          </cell>
          <cell r="D491" t="str">
            <v>kg</v>
          </cell>
          <cell r="E491">
            <v>0.3</v>
          </cell>
          <cell r="F491">
            <v>18382</v>
          </cell>
          <cell r="G491">
            <v>5514.5999999999995</v>
          </cell>
        </row>
        <row r="492">
          <cell r="B492">
            <v>4</v>
          </cell>
          <cell r="C492" t="str">
            <v>Giấy ráp</v>
          </cell>
          <cell r="D492" t="str">
            <v>tờ</v>
          </cell>
          <cell r="E492">
            <v>1</v>
          </cell>
          <cell r="F492">
            <v>10000</v>
          </cell>
          <cell r="G492">
            <v>10000</v>
          </cell>
        </row>
        <row r="493">
          <cell r="B493">
            <v>7</v>
          </cell>
          <cell r="C493" t="str">
            <v>Sơn chống rỉ</v>
          </cell>
          <cell r="D493" t="str">
            <v>kg</v>
          </cell>
          <cell r="E493">
            <v>0.2</v>
          </cell>
          <cell r="F493">
            <v>36000</v>
          </cell>
          <cell r="G493">
            <v>7200</v>
          </cell>
        </row>
        <row r="494">
          <cell r="B494">
            <v>9</v>
          </cell>
          <cell r="C494" t="str">
            <v>Giẻ lau</v>
          </cell>
          <cell r="D494" t="str">
            <v>kg</v>
          </cell>
          <cell r="E494">
            <v>1.6</v>
          </cell>
          <cell r="F494">
            <v>9500</v>
          </cell>
          <cell r="G494">
            <v>15200</v>
          </cell>
        </row>
        <row r="495">
          <cell r="B495">
            <v>44</v>
          </cell>
          <cell r="C495" t="str">
            <v>Gỗ ván nhóm 4</v>
          </cell>
          <cell r="D495" t="str">
            <v>m3</v>
          </cell>
          <cell r="E495">
            <v>0.2</v>
          </cell>
          <cell r="F495">
            <v>2300000</v>
          </cell>
          <cell r="G495">
            <v>460000</v>
          </cell>
        </row>
        <row r="496">
          <cell r="B496">
            <v>117</v>
          </cell>
          <cell r="C496" t="str">
            <v>Vật liệu khác</v>
          </cell>
          <cell r="D496" t="str">
            <v>%</v>
          </cell>
          <cell r="E496">
            <v>2</v>
          </cell>
          <cell r="G496">
            <v>10015.291999999999</v>
          </cell>
        </row>
        <row r="497">
          <cell r="C497" t="str">
            <v>Nhân công</v>
          </cell>
          <cell r="G497">
            <v>787854.12552631588</v>
          </cell>
        </row>
        <row r="498">
          <cell r="B498" t="str">
            <v>NC1457</v>
          </cell>
          <cell r="C498" t="str">
            <v>Ngày công bậc 4,5/7</v>
          </cell>
          <cell r="D498" t="str">
            <v>công</v>
          </cell>
          <cell r="E498">
            <v>3.72</v>
          </cell>
          <cell r="F498">
            <v>211788.74342105264</v>
          </cell>
          <cell r="G498">
            <v>787854.12552631588</v>
          </cell>
        </row>
        <row r="499">
          <cell r="C499" t="str">
            <v>Máy thi công</v>
          </cell>
          <cell r="G499">
            <v>370872.60392000008</v>
          </cell>
        </row>
        <row r="500">
          <cell r="B500">
            <v>8015</v>
          </cell>
          <cell r="C500" t="str">
            <v>Cần trục bánh hơi 5 tấn</v>
          </cell>
          <cell r="D500" t="str">
            <v>ca</v>
          </cell>
          <cell r="E500">
            <v>0.26</v>
          </cell>
          <cell r="F500">
            <v>1426433.0920000002</v>
          </cell>
          <cell r="G500">
            <v>370872.60392000008</v>
          </cell>
        </row>
        <row r="501">
          <cell r="A501" t="str">
            <v>T1.1435</v>
          </cell>
          <cell r="C501" t="str">
            <v>Lắp đặt máy biến áp 1 pha 15;10;6/0,4kV &lt;=150KVA</v>
          </cell>
          <cell r="D501" t="str">
            <v>bộ</v>
          </cell>
          <cell r="H501">
            <v>510779.89199999999</v>
          </cell>
          <cell r="I501">
            <v>859862.29828947363</v>
          </cell>
          <cell r="J501">
            <v>370872.60392000008</v>
          </cell>
        </row>
        <row r="502">
          <cell r="C502" t="str">
            <v>Vật liệu</v>
          </cell>
          <cell r="G502">
            <v>510779.89199999999</v>
          </cell>
        </row>
        <row r="503">
          <cell r="B503">
            <v>1</v>
          </cell>
          <cell r="C503" t="str">
            <v>Cồn công nghiệp</v>
          </cell>
          <cell r="D503" t="str">
            <v>kg</v>
          </cell>
          <cell r="E503">
            <v>0.3</v>
          </cell>
          <cell r="F503">
            <v>9500</v>
          </cell>
          <cell r="G503">
            <v>2850</v>
          </cell>
        </row>
        <row r="504">
          <cell r="B504">
            <v>3</v>
          </cell>
          <cell r="C504" t="str">
            <v>Xăng</v>
          </cell>
          <cell r="D504" t="str">
            <v>kg</v>
          </cell>
          <cell r="E504">
            <v>0.3</v>
          </cell>
          <cell r="F504">
            <v>18382</v>
          </cell>
          <cell r="G504">
            <v>5514.5999999999995</v>
          </cell>
        </row>
        <row r="505">
          <cell r="B505">
            <v>4</v>
          </cell>
          <cell r="C505" t="str">
            <v>Giấy ráp</v>
          </cell>
          <cell r="D505" t="str">
            <v>tờ</v>
          </cell>
          <cell r="E505">
            <v>1</v>
          </cell>
          <cell r="F505">
            <v>10000</v>
          </cell>
          <cell r="G505">
            <v>10000</v>
          </cell>
        </row>
        <row r="506">
          <cell r="B506">
            <v>7</v>
          </cell>
          <cell r="C506" t="str">
            <v>Sơn chống rỉ</v>
          </cell>
          <cell r="D506" t="str">
            <v>kg</v>
          </cell>
          <cell r="E506">
            <v>0.2</v>
          </cell>
          <cell r="F506">
            <v>36000</v>
          </cell>
          <cell r="G506">
            <v>7200</v>
          </cell>
        </row>
        <row r="507">
          <cell r="B507">
            <v>9</v>
          </cell>
          <cell r="C507" t="str">
            <v>Giẻ lau</v>
          </cell>
          <cell r="D507" t="str">
            <v>kg</v>
          </cell>
          <cell r="E507">
            <v>1.6</v>
          </cell>
          <cell r="F507">
            <v>9500</v>
          </cell>
          <cell r="G507">
            <v>15200</v>
          </cell>
        </row>
        <row r="508">
          <cell r="B508">
            <v>44</v>
          </cell>
          <cell r="C508" t="str">
            <v>Gỗ ván nhóm 4</v>
          </cell>
          <cell r="D508" t="str">
            <v>m3</v>
          </cell>
          <cell r="E508">
            <v>0.2</v>
          </cell>
          <cell r="F508">
            <v>2300000</v>
          </cell>
          <cell r="G508">
            <v>460000</v>
          </cell>
        </row>
        <row r="509">
          <cell r="B509">
            <v>117</v>
          </cell>
          <cell r="C509" t="str">
            <v>Vật liệu khác</v>
          </cell>
          <cell r="D509" t="str">
            <v>%</v>
          </cell>
          <cell r="E509">
            <v>2</v>
          </cell>
          <cell r="G509">
            <v>10015.291999999999</v>
          </cell>
        </row>
        <row r="510">
          <cell r="C510" t="str">
            <v>Nhân công</v>
          </cell>
          <cell r="G510">
            <v>859862.29828947363</v>
          </cell>
        </row>
        <row r="511">
          <cell r="B511" t="str">
            <v>NC1457</v>
          </cell>
          <cell r="C511" t="str">
            <v>Ngày công bậc 4,5/7</v>
          </cell>
          <cell r="D511" t="str">
            <v>công</v>
          </cell>
          <cell r="E511">
            <v>4.0599999999999996</v>
          </cell>
          <cell r="F511">
            <v>211788.74342105264</v>
          </cell>
          <cell r="G511">
            <v>859862.29828947363</v>
          </cell>
        </row>
        <row r="512">
          <cell r="C512" t="str">
            <v>Máy thi công</v>
          </cell>
          <cell r="G512">
            <v>370872.60392000008</v>
          </cell>
        </row>
        <row r="513">
          <cell r="B513">
            <v>8015</v>
          </cell>
          <cell r="C513" t="str">
            <v>Cần trục bánh hơi 5 tấn</v>
          </cell>
          <cell r="D513" t="str">
            <v>ca</v>
          </cell>
          <cell r="E513">
            <v>0.26</v>
          </cell>
          <cell r="F513">
            <v>1426433.0920000002</v>
          </cell>
          <cell r="G513">
            <v>370872.60392000008</v>
          </cell>
        </row>
        <row r="514">
          <cell r="A514" t="str">
            <v>T1.1436</v>
          </cell>
          <cell r="C514" t="str">
            <v>Lắp đặt máy biến áp 1 pha 15;10;6/0,4kV &lt;=250KVA</v>
          </cell>
          <cell r="D514" t="str">
            <v>bộ</v>
          </cell>
          <cell r="H514">
            <v>510779.89199999999</v>
          </cell>
          <cell r="I514">
            <v>963638.78256578953</v>
          </cell>
          <cell r="J514">
            <v>370872.60392000008</v>
          </cell>
        </row>
        <row r="515">
          <cell r="C515" t="str">
            <v>Vật liệu</v>
          </cell>
          <cell r="G515">
            <v>510779.89199999999</v>
          </cell>
        </row>
        <row r="516">
          <cell r="B516">
            <v>1</v>
          </cell>
          <cell r="C516" t="str">
            <v>Cồn công nghiệp</v>
          </cell>
          <cell r="D516" t="str">
            <v>kg</v>
          </cell>
          <cell r="E516">
            <v>0.3</v>
          </cell>
          <cell r="F516">
            <v>9500</v>
          </cell>
          <cell r="G516">
            <v>2850</v>
          </cell>
        </row>
        <row r="517">
          <cell r="B517">
            <v>3</v>
          </cell>
          <cell r="C517" t="str">
            <v>Xăng</v>
          </cell>
          <cell r="D517" t="str">
            <v>kg</v>
          </cell>
          <cell r="E517">
            <v>0.3</v>
          </cell>
          <cell r="F517">
            <v>18382</v>
          </cell>
          <cell r="G517">
            <v>5514.5999999999995</v>
          </cell>
        </row>
        <row r="518">
          <cell r="B518">
            <v>4</v>
          </cell>
          <cell r="C518" t="str">
            <v>Giấy ráp</v>
          </cell>
          <cell r="D518" t="str">
            <v>tờ</v>
          </cell>
          <cell r="E518">
            <v>1</v>
          </cell>
          <cell r="F518">
            <v>10000</v>
          </cell>
          <cell r="G518">
            <v>10000</v>
          </cell>
        </row>
        <row r="519">
          <cell r="B519">
            <v>7</v>
          </cell>
          <cell r="C519" t="str">
            <v>Sơn chống rỉ</v>
          </cell>
          <cell r="D519" t="str">
            <v>kg</v>
          </cell>
          <cell r="E519">
            <v>0.2</v>
          </cell>
          <cell r="F519">
            <v>36000</v>
          </cell>
          <cell r="G519">
            <v>7200</v>
          </cell>
        </row>
        <row r="520">
          <cell r="B520">
            <v>9</v>
          </cell>
          <cell r="C520" t="str">
            <v>Giẻ lau</v>
          </cell>
          <cell r="D520" t="str">
            <v>kg</v>
          </cell>
          <cell r="E520">
            <v>1.6</v>
          </cell>
          <cell r="F520">
            <v>9500</v>
          </cell>
          <cell r="G520">
            <v>15200</v>
          </cell>
        </row>
        <row r="521">
          <cell r="B521">
            <v>44</v>
          </cell>
          <cell r="C521" t="str">
            <v>Gỗ ván nhóm 4</v>
          </cell>
          <cell r="D521" t="str">
            <v>m3</v>
          </cell>
          <cell r="E521">
            <v>0.2</v>
          </cell>
          <cell r="F521">
            <v>2300000</v>
          </cell>
          <cell r="G521">
            <v>460000</v>
          </cell>
        </row>
        <row r="522">
          <cell r="B522">
            <v>117</v>
          </cell>
          <cell r="C522" t="str">
            <v>Vật liệu khác</v>
          </cell>
          <cell r="D522" t="str">
            <v>%</v>
          </cell>
          <cell r="E522">
            <v>2</v>
          </cell>
          <cell r="G522">
            <v>10015.291999999999</v>
          </cell>
        </row>
        <row r="523">
          <cell r="C523" t="str">
            <v>Nhân công</v>
          </cell>
          <cell r="G523">
            <v>963638.78256578953</v>
          </cell>
        </row>
        <row r="524">
          <cell r="B524" t="str">
            <v>NC1457</v>
          </cell>
          <cell r="C524" t="str">
            <v>Ngày công bậc 4,5/7</v>
          </cell>
          <cell r="D524" t="str">
            <v>công</v>
          </cell>
          <cell r="E524">
            <v>4.55</v>
          </cell>
          <cell r="F524">
            <v>211788.74342105264</v>
          </cell>
          <cell r="G524">
            <v>963638.78256578953</v>
          </cell>
        </row>
        <row r="525">
          <cell r="C525" t="str">
            <v>Máy thi công</v>
          </cell>
          <cell r="G525">
            <v>370872.60392000008</v>
          </cell>
        </row>
        <row r="526">
          <cell r="B526">
            <v>8015</v>
          </cell>
          <cell r="C526" t="str">
            <v>Cần trục bánh hơi 5 tấn</v>
          </cell>
          <cell r="D526" t="str">
            <v>ca</v>
          </cell>
          <cell r="E526">
            <v>0.26</v>
          </cell>
          <cell r="F526">
            <v>1426433.0920000002</v>
          </cell>
          <cell r="G526">
            <v>370872.60392000008</v>
          </cell>
        </row>
        <row r="527">
          <cell r="A527" t="str">
            <v>T1.2011</v>
          </cell>
          <cell r="C527" t="str">
            <v>Lọc dầu bằng máy lọc ép; Mức điện áp trước khi lọc 10KV, mức điện áp sau khi lọc 25KV</v>
          </cell>
          <cell r="D527" t="str">
            <v>tấn</v>
          </cell>
          <cell r="H527">
            <v>11385</v>
          </cell>
          <cell r="I527">
            <v>584041.38157894742</v>
          </cell>
          <cell r="J527">
            <v>46718.100000000006</v>
          </cell>
        </row>
        <row r="528">
          <cell r="C528" t="str">
            <v>Vật liệu</v>
          </cell>
          <cell r="G528">
            <v>11385</v>
          </cell>
        </row>
        <row r="529">
          <cell r="B529">
            <v>6</v>
          </cell>
          <cell r="C529" t="str">
            <v>Vải trắng</v>
          </cell>
          <cell r="D529" t="str">
            <v>m</v>
          </cell>
          <cell r="E529">
            <v>0.5</v>
          </cell>
          <cell r="F529">
            <v>15000</v>
          </cell>
          <cell r="G529">
            <v>7500</v>
          </cell>
        </row>
        <row r="530">
          <cell r="B530">
            <v>9</v>
          </cell>
          <cell r="C530" t="str">
            <v>Giẻ lau</v>
          </cell>
          <cell r="D530" t="str">
            <v>kg</v>
          </cell>
          <cell r="E530">
            <v>0.3</v>
          </cell>
          <cell r="F530">
            <v>9500</v>
          </cell>
          <cell r="G530">
            <v>2850</v>
          </cell>
        </row>
        <row r="531">
          <cell r="B531">
            <v>117</v>
          </cell>
          <cell r="C531" t="str">
            <v>Vật liệu khác</v>
          </cell>
          <cell r="D531" t="str">
            <v>%</v>
          </cell>
          <cell r="E531">
            <v>10</v>
          </cell>
          <cell r="G531">
            <v>1035</v>
          </cell>
        </row>
        <row r="532">
          <cell r="C532" t="str">
            <v>Nhân công</v>
          </cell>
          <cell r="G532">
            <v>584041.38157894742</v>
          </cell>
        </row>
        <row r="533">
          <cell r="B533" t="str">
            <v>NC1407</v>
          </cell>
          <cell r="C533" t="str">
            <v>Ngày công bậc 4,0/7</v>
          </cell>
          <cell r="D533" t="str">
            <v>công</v>
          </cell>
          <cell r="E533">
            <v>3</v>
          </cell>
          <cell r="F533">
            <v>194680.46052631579</v>
          </cell>
          <cell r="G533">
            <v>584041.38157894742</v>
          </cell>
        </row>
        <row r="534">
          <cell r="C534" t="str">
            <v>Máy thi công</v>
          </cell>
          <cell r="G534">
            <v>46718.100000000006</v>
          </cell>
        </row>
        <row r="535">
          <cell r="B535">
            <v>8004</v>
          </cell>
          <cell r="C535" t="str">
            <v>Máy lọc ép</v>
          </cell>
          <cell r="D535" t="str">
            <v>ca</v>
          </cell>
          <cell r="E535">
            <v>0.8</v>
          </cell>
          <cell r="F535">
            <v>24073</v>
          </cell>
          <cell r="G535">
            <v>19258.400000000001</v>
          </cell>
        </row>
        <row r="536">
          <cell r="B536">
            <v>8011</v>
          </cell>
          <cell r="C536" t="str">
            <v>Máy bơm ly tâm</v>
          </cell>
          <cell r="D536" t="str">
            <v>ca</v>
          </cell>
          <cell r="E536">
            <v>0.3</v>
          </cell>
          <cell r="F536">
            <v>25135</v>
          </cell>
          <cell r="G536">
            <v>7540.5</v>
          </cell>
        </row>
        <row r="537">
          <cell r="B537">
            <v>8010</v>
          </cell>
          <cell r="C537" t="str">
            <v>Máy bơm chân không</v>
          </cell>
          <cell r="D537" t="str">
            <v>ca</v>
          </cell>
          <cell r="E537">
            <v>0.3</v>
          </cell>
          <cell r="F537">
            <v>21010</v>
          </cell>
          <cell r="G537">
            <v>6303</v>
          </cell>
        </row>
        <row r="538">
          <cell r="B538">
            <v>8005</v>
          </cell>
          <cell r="C538" t="str">
            <v>Máy thử cao áp AI-70</v>
          </cell>
          <cell r="D538" t="str">
            <v>ca</v>
          </cell>
          <cell r="E538">
            <v>0.1</v>
          </cell>
          <cell r="F538">
            <v>136162</v>
          </cell>
          <cell r="G538">
            <v>13616.2</v>
          </cell>
        </row>
        <row r="539">
          <cell r="A539" t="str">
            <v>T1.2012</v>
          </cell>
          <cell r="C539" t="str">
            <v>Lọc dầu bằng máy lọc ép; Mức điện áp trước khi lọc 10KV, mức điện áp sau khi lọc 30KV</v>
          </cell>
          <cell r="D539" t="str">
            <v>tấn</v>
          </cell>
          <cell r="H539">
            <v>11385</v>
          </cell>
          <cell r="I539">
            <v>642445.51973684202</v>
          </cell>
          <cell r="J539">
            <v>50991.210000000006</v>
          </cell>
        </row>
        <row r="540">
          <cell r="C540" t="str">
            <v>Vật liệu</v>
          </cell>
          <cell r="G540">
            <v>11385</v>
          </cell>
        </row>
        <row r="541">
          <cell r="B541">
            <v>6</v>
          </cell>
          <cell r="C541" t="str">
            <v>Vải trắng</v>
          </cell>
          <cell r="D541" t="str">
            <v>m</v>
          </cell>
          <cell r="E541">
            <v>0.5</v>
          </cell>
          <cell r="F541">
            <v>15000</v>
          </cell>
          <cell r="G541">
            <v>7500</v>
          </cell>
        </row>
        <row r="542">
          <cell r="B542">
            <v>9</v>
          </cell>
          <cell r="C542" t="str">
            <v>Giẻ lau</v>
          </cell>
          <cell r="D542" t="str">
            <v>kg</v>
          </cell>
          <cell r="E542">
            <v>0.3</v>
          </cell>
          <cell r="F542">
            <v>9500</v>
          </cell>
          <cell r="G542">
            <v>2850</v>
          </cell>
        </row>
        <row r="543">
          <cell r="B543">
            <v>117</v>
          </cell>
          <cell r="C543" t="str">
            <v>Vật liệu khác</v>
          </cell>
          <cell r="D543" t="str">
            <v>%</v>
          </cell>
          <cell r="E543">
            <v>10</v>
          </cell>
          <cell r="G543">
            <v>1035</v>
          </cell>
        </row>
        <row r="544">
          <cell r="C544" t="str">
            <v>Nhân công</v>
          </cell>
          <cell r="G544">
            <v>642445.51973684202</v>
          </cell>
        </row>
        <row r="545">
          <cell r="B545" t="str">
            <v>NC1407</v>
          </cell>
          <cell r="C545" t="str">
            <v>Ngày công bậc 4,0/7</v>
          </cell>
          <cell r="D545" t="str">
            <v>công</v>
          </cell>
          <cell r="E545">
            <v>3.3</v>
          </cell>
          <cell r="F545">
            <v>194680.46052631579</v>
          </cell>
          <cell r="G545">
            <v>642445.51973684202</v>
          </cell>
        </row>
        <row r="546">
          <cell r="C546" t="str">
            <v>Máy thi công</v>
          </cell>
          <cell r="G546">
            <v>50991.210000000006</v>
          </cell>
        </row>
        <row r="547">
          <cell r="B547">
            <v>8004</v>
          </cell>
          <cell r="C547" t="str">
            <v>Máy lọc ép</v>
          </cell>
          <cell r="D547" t="str">
            <v>ca</v>
          </cell>
          <cell r="E547">
            <v>0.92</v>
          </cell>
          <cell r="F547">
            <v>24073</v>
          </cell>
          <cell r="G547">
            <v>22147.16</v>
          </cell>
        </row>
        <row r="548">
          <cell r="B548">
            <v>8011</v>
          </cell>
          <cell r="C548" t="str">
            <v>Máy bơm ly tâm</v>
          </cell>
          <cell r="D548" t="str">
            <v>ca</v>
          </cell>
          <cell r="E548">
            <v>0.33</v>
          </cell>
          <cell r="F548">
            <v>25135</v>
          </cell>
          <cell r="G548">
            <v>8294.5500000000011</v>
          </cell>
        </row>
        <row r="549">
          <cell r="B549">
            <v>8010</v>
          </cell>
          <cell r="C549" t="str">
            <v>Máy bơm chân không</v>
          </cell>
          <cell r="D549" t="str">
            <v>ca</v>
          </cell>
          <cell r="E549">
            <v>0.33</v>
          </cell>
          <cell r="F549">
            <v>21010</v>
          </cell>
          <cell r="G549">
            <v>6933.3</v>
          </cell>
        </row>
        <row r="550">
          <cell r="B550">
            <v>8005</v>
          </cell>
          <cell r="C550" t="str">
            <v>Máy thử cao áp AI-70</v>
          </cell>
          <cell r="D550" t="str">
            <v>ca</v>
          </cell>
          <cell r="E550">
            <v>0.1</v>
          </cell>
          <cell r="F550">
            <v>136162</v>
          </cell>
          <cell r="G550">
            <v>13616.2</v>
          </cell>
        </row>
        <row r="551">
          <cell r="A551" t="str">
            <v>T1.2013</v>
          </cell>
          <cell r="C551" t="str">
            <v>Lọc dầu bằng máy lọc ép; Mức điện áp trước khi lọc 10KV, mức điện áp sau khi lọc 35KV</v>
          </cell>
          <cell r="D551" t="str">
            <v>tấn</v>
          </cell>
          <cell r="H551">
            <v>11385</v>
          </cell>
          <cell r="I551">
            <v>992870.34868421045</v>
          </cell>
          <cell r="J551">
            <v>69427.98</v>
          </cell>
        </row>
        <row r="552">
          <cell r="C552" t="str">
            <v>Vật liệu</v>
          </cell>
          <cell r="G552">
            <v>11385</v>
          </cell>
        </row>
        <row r="553">
          <cell r="B553">
            <v>6</v>
          </cell>
          <cell r="C553" t="str">
            <v>Vải trắng</v>
          </cell>
          <cell r="D553" t="str">
            <v>m</v>
          </cell>
          <cell r="E553">
            <v>0.5</v>
          </cell>
          <cell r="F553">
            <v>15000</v>
          </cell>
          <cell r="G553">
            <v>7500</v>
          </cell>
        </row>
        <row r="554">
          <cell r="B554">
            <v>9</v>
          </cell>
          <cell r="C554" t="str">
            <v>Giẻ lau</v>
          </cell>
          <cell r="D554" t="str">
            <v>kg</v>
          </cell>
          <cell r="E554">
            <v>0.3</v>
          </cell>
          <cell r="F554">
            <v>9500</v>
          </cell>
          <cell r="G554">
            <v>2850</v>
          </cell>
        </row>
        <row r="555">
          <cell r="B555">
            <v>117</v>
          </cell>
          <cell r="C555" t="str">
            <v>Vật liệu khác</v>
          </cell>
          <cell r="D555" t="str">
            <v>%</v>
          </cell>
          <cell r="E555">
            <v>10</v>
          </cell>
          <cell r="G555">
            <v>1035</v>
          </cell>
        </row>
        <row r="556">
          <cell r="C556" t="str">
            <v>Nhân công</v>
          </cell>
          <cell r="G556">
            <v>992870.34868421045</v>
          </cell>
        </row>
        <row r="557">
          <cell r="B557" t="str">
            <v>NC1407</v>
          </cell>
          <cell r="C557" t="str">
            <v>Ngày công bậc 4,0/7</v>
          </cell>
          <cell r="D557" t="str">
            <v>công</v>
          </cell>
          <cell r="E557">
            <v>5.0999999999999996</v>
          </cell>
          <cell r="F557">
            <v>194680.46052631579</v>
          </cell>
          <cell r="G557">
            <v>992870.34868421045</v>
          </cell>
        </row>
        <row r="558">
          <cell r="C558" t="str">
            <v>Máy thi công</v>
          </cell>
          <cell r="G558">
            <v>69427.98</v>
          </cell>
        </row>
        <row r="559">
          <cell r="B559">
            <v>8004</v>
          </cell>
          <cell r="C559" t="str">
            <v>Máy lọc ép</v>
          </cell>
          <cell r="D559" t="str">
            <v>ca</v>
          </cell>
          <cell r="E559">
            <v>1.36</v>
          </cell>
          <cell r="F559">
            <v>24073</v>
          </cell>
          <cell r="G559">
            <v>32739.280000000002</v>
          </cell>
        </row>
        <row r="560">
          <cell r="B560">
            <v>8011</v>
          </cell>
          <cell r="C560" t="str">
            <v>Máy bơm ly tâm</v>
          </cell>
          <cell r="D560" t="str">
            <v>ca</v>
          </cell>
          <cell r="E560">
            <v>0.5</v>
          </cell>
          <cell r="F560">
            <v>25135</v>
          </cell>
          <cell r="G560">
            <v>12567.5</v>
          </cell>
        </row>
        <row r="561">
          <cell r="B561">
            <v>8010</v>
          </cell>
          <cell r="C561" t="str">
            <v>Máy bơm chân không</v>
          </cell>
          <cell r="D561" t="str">
            <v>ca</v>
          </cell>
          <cell r="E561">
            <v>0.5</v>
          </cell>
          <cell r="F561">
            <v>21010</v>
          </cell>
          <cell r="G561">
            <v>10505</v>
          </cell>
        </row>
        <row r="562">
          <cell r="B562">
            <v>8005</v>
          </cell>
          <cell r="C562" t="str">
            <v>Máy thử cao áp AI-70</v>
          </cell>
          <cell r="D562" t="str">
            <v>ca</v>
          </cell>
          <cell r="E562">
            <v>0.1</v>
          </cell>
          <cell r="F562">
            <v>136162</v>
          </cell>
          <cell r="G562">
            <v>13616.2</v>
          </cell>
        </row>
        <row r="563">
          <cell r="A563" t="str">
            <v>T1.2014</v>
          </cell>
          <cell r="C563" t="str">
            <v>Lọc dầu bằng máy lọc ép; Mức điện áp trước khi lọc 10KV, mức điện áp sau khi lọc 40KV</v>
          </cell>
          <cell r="D563" t="str">
            <v>tấn</v>
          </cell>
          <cell r="H563">
            <v>11385</v>
          </cell>
          <cell r="I563">
            <v>1207018.855263158</v>
          </cell>
          <cell r="J563">
            <v>80542.189999999988</v>
          </cell>
        </row>
        <row r="564">
          <cell r="C564" t="str">
            <v>Vật liệu</v>
          </cell>
          <cell r="G564">
            <v>11385</v>
          </cell>
        </row>
        <row r="565">
          <cell r="B565">
            <v>6</v>
          </cell>
          <cell r="C565" t="str">
            <v>Vải trắng</v>
          </cell>
          <cell r="D565" t="str">
            <v>m</v>
          </cell>
          <cell r="E565">
            <v>0.5</v>
          </cell>
          <cell r="F565">
            <v>15000</v>
          </cell>
          <cell r="G565">
            <v>7500</v>
          </cell>
        </row>
        <row r="566">
          <cell r="B566">
            <v>9</v>
          </cell>
          <cell r="C566" t="str">
            <v>Giẻ lau</v>
          </cell>
          <cell r="D566" t="str">
            <v>kg</v>
          </cell>
          <cell r="E566">
            <v>0.3</v>
          </cell>
          <cell r="F566">
            <v>9500</v>
          </cell>
          <cell r="G566">
            <v>2850</v>
          </cell>
        </row>
        <row r="567">
          <cell r="B567">
            <v>117</v>
          </cell>
          <cell r="C567" t="str">
            <v>Vật liệu khác</v>
          </cell>
          <cell r="D567" t="str">
            <v>%</v>
          </cell>
          <cell r="E567">
            <v>10</v>
          </cell>
          <cell r="G567">
            <v>1035</v>
          </cell>
        </row>
        <row r="568">
          <cell r="C568" t="str">
            <v>Nhân công</v>
          </cell>
          <cell r="G568">
            <v>1207018.855263158</v>
          </cell>
        </row>
        <row r="569">
          <cell r="B569" t="str">
            <v>NC1407</v>
          </cell>
          <cell r="C569" t="str">
            <v>Ngày công bậc 4,0/7</v>
          </cell>
          <cell r="D569" t="str">
            <v>công</v>
          </cell>
          <cell r="E569">
            <v>6.2</v>
          </cell>
          <cell r="F569">
            <v>194680.46052631579</v>
          </cell>
          <cell r="G569">
            <v>1207018.855263158</v>
          </cell>
        </row>
        <row r="570">
          <cell r="C570" t="str">
            <v>Máy thi công</v>
          </cell>
          <cell r="G570">
            <v>80542.189999999988</v>
          </cell>
        </row>
        <row r="571">
          <cell r="B571">
            <v>8004</v>
          </cell>
          <cell r="C571" t="str">
            <v>Máy lọc ép</v>
          </cell>
          <cell r="D571" t="str">
            <v>ca</v>
          </cell>
          <cell r="E571">
            <v>1.63</v>
          </cell>
          <cell r="F571">
            <v>24073</v>
          </cell>
          <cell r="G571">
            <v>39238.99</v>
          </cell>
        </row>
        <row r="572">
          <cell r="B572">
            <v>8011</v>
          </cell>
          <cell r="C572" t="str">
            <v>Máy bơm ly tâm</v>
          </cell>
          <cell r="D572" t="str">
            <v>ca</v>
          </cell>
          <cell r="E572">
            <v>0.6</v>
          </cell>
          <cell r="F572">
            <v>25135</v>
          </cell>
          <cell r="G572">
            <v>15081</v>
          </cell>
        </row>
        <row r="573">
          <cell r="B573">
            <v>8010</v>
          </cell>
          <cell r="C573" t="str">
            <v>Máy bơm chân không</v>
          </cell>
          <cell r="D573" t="str">
            <v>ca</v>
          </cell>
          <cell r="E573">
            <v>0.6</v>
          </cell>
          <cell r="F573">
            <v>21010</v>
          </cell>
          <cell r="G573">
            <v>12606</v>
          </cell>
        </row>
        <row r="574">
          <cell r="B574">
            <v>8005</v>
          </cell>
          <cell r="C574" t="str">
            <v>Máy thử cao áp AI-70</v>
          </cell>
          <cell r="D574" t="str">
            <v>ca</v>
          </cell>
          <cell r="E574">
            <v>0.1</v>
          </cell>
          <cell r="F574">
            <v>136162</v>
          </cell>
          <cell r="G574">
            <v>13616.2</v>
          </cell>
        </row>
        <row r="575">
          <cell r="A575" t="str">
            <v>T1.2021</v>
          </cell>
          <cell r="C575" t="str">
            <v>Lọc dầu bằng máy lọc dầu cải tạo YBM-2 (đã có máy hút chân không) hoặc tương đương; Mức điện áp trước khi lọc 10KV, mức điện áp sau khi lọc 25KV</v>
          </cell>
          <cell r="D575" t="str">
            <v>tấn</v>
          </cell>
          <cell r="H575">
            <v>11385</v>
          </cell>
          <cell r="I575">
            <v>584041.38157894742</v>
          </cell>
          <cell r="J575">
            <v>377352.52</v>
          </cell>
        </row>
        <row r="576">
          <cell r="C576" t="str">
            <v>Vật liệu</v>
          </cell>
          <cell r="G576">
            <v>11385</v>
          </cell>
        </row>
        <row r="577">
          <cell r="B577">
            <v>6</v>
          </cell>
          <cell r="C577" t="str">
            <v>Vải trắng</v>
          </cell>
          <cell r="D577" t="str">
            <v>m</v>
          </cell>
          <cell r="E577">
            <v>0.5</v>
          </cell>
          <cell r="F577">
            <v>15000</v>
          </cell>
          <cell r="G577">
            <v>7500</v>
          </cell>
        </row>
        <row r="578">
          <cell r="B578">
            <v>9</v>
          </cell>
          <cell r="C578" t="str">
            <v>Giẻ lau</v>
          </cell>
          <cell r="D578" t="str">
            <v>kg</v>
          </cell>
          <cell r="E578">
            <v>0.3</v>
          </cell>
          <cell r="F578">
            <v>9500</v>
          </cell>
          <cell r="G578">
            <v>2850</v>
          </cell>
        </row>
        <row r="579">
          <cell r="B579">
            <v>117</v>
          </cell>
          <cell r="C579" t="str">
            <v>Vật liệu khác</v>
          </cell>
          <cell r="D579" t="str">
            <v>%</v>
          </cell>
          <cell r="E579">
            <v>10</v>
          </cell>
          <cell r="G579">
            <v>1035</v>
          </cell>
        </row>
        <row r="580">
          <cell r="C580" t="str">
            <v>Nhân công</v>
          </cell>
          <cell r="G580">
            <v>584041.38157894742</v>
          </cell>
        </row>
        <row r="581">
          <cell r="B581" t="str">
            <v>NC1407</v>
          </cell>
          <cell r="C581" t="str">
            <v>Ngày công bậc 4,0/7</v>
          </cell>
          <cell r="D581" t="str">
            <v>công</v>
          </cell>
          <cell r="E581">
            <v>3</v>
          </cell>
          <cell r="F581">
            <v>194680.46052631579</v>
          </cell>
          <cell r="G581">
            <v>584041.38157894742</v>
          </cell>
        </row>
        <row r="582">
          <cell r="C582" t="str">
            <v>Máy thi công</v>
          </cell>
          <cell r="G582">
            <v>377352.52</v>
          </cell>
        </row>
        <row r="583">
          <cell r="B583">
            <v>8002</v>
          </cell>
          <cell r="C583" t="str">
            <v>Máy lọc dầu cải tạo YBM-2</v>
          </cell>
          <cell r="D583" t="str">
            <v>ca</v>
          </cell>
          <cell r="E583">
            <v>0.48</v>
          </cell>
          <cell r="F583">
            <v>757784</v>
          </cell>
          <cell r="G583">
            <v>363736.32000000001</v>
          </cell>
        </row>
        <row r="584">
          <cell r="B584">
            <v>8005</v>
          </cell>
          <cell r="C584" t="str">
            <v>Máy thử cao áp AI-70</v>
          </cell>
          <cell r="D584" t="str">
            <v>ca</v>
          </cell>
          <cell r="E584">
            <v>0.1</v>
          </cell>
          <cell r="F584">
            <v>136162</v>
          </cell>
          <cell r="G584">
            <v>13616.2</v>
          </cell>
        </row>
        <row r="585">
          <cell r="A585" t="str">
            <v>T1.2022</v>
          </cell>
          <cell r="C585" t="str">
            <v>Lọc dầu bằng máy lọc dầu cải tạo YBM-2 (đã có máy hút chân không) hoặc tương đương; Mức điện áp trước khi lọc 10KV, mức điện áp sau khi lọc 30KV</v>
          </cell>
          <cell r="D585" t="str">
            <v>tấn</v>
          </cell>
          <cell r="H585">
            <v>11385</v>
          </cell>
          <cell r="I585">
            <v>642445.51973684202</v>
          </cell>
          <cell r="J585">
            <v>430397.4</v>
          </cell>
        </row>
        <row r="586">
          <cell r="C586" t="str">
            <v>Vật liệu</v>
          </cell>
          <cell r="G586">
            <v>11385</v>
          </cell>
        </row>
        <row r="587">
          <cell r="B587">
            <v>6</v>
          </cell>
          <cell r="C587" t="str">
            <v>Vải trắng</v>
          </cell>
          <cell r="D587" t="str">
            <v>m</v>
          </cell>
          <cell r="E587">
            <v>0.5</v>
          </cell>
          <cell r="F587">
            <v>15000</v>
          </cell>
          <cell r="G587">
            <v>7500</v>
          </cell>
        </row>
        <row r="588">
          <cell r="B588">
            <v>9</v>
          </cell>
          <cell r="C588" t="str">
            <v>Giẻ lau</v>
          </cell>
          <cell r="D588" t="str">
            <v>kg</v>
          </cell>
          <cell r="E588">
            <v>0.3</v>
          </cell>
          <cell r="F588">
            <v>9500</v>
          </cell>
          <cell r="G588">
            <v>2850</v>
          </cell>
        </row>
        <row r="589">
          <cell r="B589">
            <v>117</v>
          </cell>
          <cell r="C589" t="str">
            <v>Vật liệu khác</v>
          </cell>
          <cell r="D589" t="str">
            <v>%</v>
          </cell>
          <cell r="E589">
            <v>10</v>
          </cell>
          <cell r="G589">
            <v>1035</v>
          </cell>
        </row>
        <row r="590">
          <cell r="C590" t="str">
            <v>Nhân công</v>
          </cell>
          <cell r="G590">
            <v>642445.51973684202</v>
          </cell>
        </row>
        <row r="591">
          <cell r="B591" t="str">
            <v>NC1407</v>
          </cell>
          <cell r="C591" t="str">
            <v>Ngày công bậc 4,0/7</v>
          </cell>
          <cell r="D591" t="str">
            <v>công</v>
          </cell>
          <cell r="E591">
            <v>3.3</v>
          </cell>
          <cell r="F591">
            <v>194680.46052631579</v>
          </cell>
          <cell r="G591">
            <v>642445.51973684202</v>
          </cell>
        </row>
        <row r="592">
          <cell r="C592" t="str">
            <v>Máy thi công</v>
          </cell>
          <cell r="G592">
            <v>430397.4</v>
          </cell>
        </row>
        <row r="593">
          <cell r="B593">
            <v>8002</v>
          </cell>
          <cell r="C593" t="str">
            <v>Máy lọc dầu cải tạo YBM-2</v>
          </cell>
          <cell r="D593" t="str">
            <v>ca</v>
          </cell>
          <cell r="E593">
            <v>0.55000000000000004</v>
          </cell>
          <cell r="F593">
            <v>757784</v>
          </cell>
          <cell r="G593">
            <v>416781.2</v>
          </cell>
        </row>
        <row r="594">
          <cell r="B594">
            <v>8005</v>
          </cell>
          <cell r="C594" t="str">
            <v>Máy thử cao áp AI-70</v>
          </cell>
          <cell r="D594" t="str">
            <v>ca</v>
          </cell>
          <cell r="E594">
            <v>0.1</v>
          </cell>
          <cell r="F594">
            <v>136162</v>
          </cell>
          <cell r="G594">
            <v>13616.2</v>
          </cell>
        </row>
        <row r="595">
          <cell r="A595" t="str">
            <v>T1.2023</v>
          </cell>
          <cell r="C595" t="str">
            <v>Lọc dầu bằng máy lọc dầu cải tạo YBM-2 (đã có máy hút chân không) hoặc tương đương; Mức điện áp trước khi lọc 10KV, mức điện áp sau khi lọc 35KV</v>
          </cell>
          <cell r="D595" t="str">
            <v>tấn</v>
          </cell>
          <cell r="H595">
            <v>11385</v>
          </cell>
          <cell r="I595">
            <v>992870.34868421045</v>
          </cell>
          <cell r="J595">
            <v>634999.07999999996</v>
          </cell>
        </row>
        <row r="596">
          <cell r="C596" t="str">
            <v>Vật liệu</v>
          </cell>
          <cell r="G596">
            <v>11385</v>
          </cell>
        </row>
        <row r="597">
          <cell r="B597">
            <v>6</v>
          </cell>
          <cell r="C597" t="str">
            <v>Vải trắng</v>
          </cell>
          <cell r="D597" t="str">
            <v>m</v>
          </cell>
          <cell r="E597">
            <v>0.5</v>
          </cell>
          <cell r="F597">
            <v>15000</v>
          </cell>
          <cell r="G597">
            <v>7500</v>
          </cell>
        </row>
        <row r="598">
          <cell r="B598">
            <v>9</v>
          </cell>
          <cell r="C598" t="str">
            <v>Giẻ lau</v>
          </cell>
          <cell r="D598" t="str">
            <v>kg</v>
          </cell>
          <cell r="E598">
            <v>0.3</v>
          </cell>
          <cell r="F598">
            <v>9500</v>
          </cell>
          <cell r="G598">
            <v>2850</v>
          </cell>
        </row>
        <row r="599">
          <cell r="B599">
            <v>117</v>
          </cell>
          <cell r="C599" t="str">
            <v>Vật liệu khác</v>
          </cell>
          <cell r="D599" t="str">
            <v>%</v>
          </cell>
          <cell r="E599">
            <v>10</v>
          </cell>
          <cell r="G599">
            <v>1035</v>
          </cell>
        </row>
        <row r="600">
          <cell r="C600" t="str">
            <v>Nhân công</v>
          </cell>
          <cell r="G600">
            <v>992870.34868421045</v>
          </cell>
        </row>
        <row r="601">
          <cell r="B601" t="str">
            <v>NC1407</v>
          </cell>
          <cell r="C601" t="str">
            <v>Ngày công bậc 4,0/7</v>
          </cell>
          <cell r="D601" t="str">
            <v>công</v>
          </cell>
          <cell r="E601">
            <v>5.0999999999999996</v>
          </cell>
          <cell r="F601">
            <v>194680.46052631579</v>
          </cell>
          <cell r="G601">
            <v>992870.34868421045</v>
          </cell>
        </row>
        <row r="602">
          <cell r="C602" t="str">
            <v>Máy thi công</v>
          </cell>
          <cell r="G602">
            <v>634999.07999999996</v>
          </cell>
        </row>
        <row r="603">
          <cell r="B603">
            <v>8002</v>
          </cell>
          <cell r="C603" t="str">
            <v>Máy lọc dầu cải tạo YBM-2</v>
          </cell>
          <cell r="D603" t="str">
            <v>ca</v>
          </cell>
          <cell r="E603">
            <v>0.82</v>
          </cell>
          <cell r="F603">
            <v>757784</v>
          </cell>
          <cell r="G603">
            <v>621382.88</v>
          </cell>
        </row>
        <row r="604">
          <cell r="B604">
            <v>8005</v>
          </cell>
          <cell r="C604" t="str">
            <v>Máy thử cao áp AI-70</v>
          </cell>
          <cell r="D604" t="str">
            <v>ca</v>
          </cell>
          <cell r="E604">
            <v>0.1</v>
          </cell>
          <cell r="F604">
            <v>136162</v>
          </cell>
          <cell r="G604">
            <v>13616.2</v>
          </cell>
        </row>
        <row r="605">
          <cell r="A605" t="str">
            <v>T1.2024</v>
          </cell>
          <cell r="C605" t="str">
            <v>Lọc dầu bằng máy lọc dầu cải tạo YBM-2 (đã có máy hút chân không) hoặc tương đương; Mức điện áp trước khi lọc 10KV, mức điện áp sau khi lọc 40KV</v>
          </cell>
          <cell r="D605" t="str">
            <v>tấn</v>
          </cell>
          <cell r="H605">
            <v>11385</v>
          </cell>
          <cell r="I605">
            <v>1207018.855263158</v>
          </cell>
          <cell r="J605">
            <v>756244.5199999999</v>
          </cell>
        </row>
        <row r="606">
          <cell r="C606" t="str">
            <v>Vật liệu</v>
          </cell>
          <cell r="G606">
            <v>11385</v>
          </cell>
        </row>
        <row r="607">
          <cell r="B607">
            <v>6</v>
          </cell>
          <cell r="C607" t="str">
            <v>Vải trắng</v>
          </cell>
          <cell r="D607" t="str">
            <v>m</v>
          </cell>
          <cell r="E607">
            <v>0.5</v>
          </cell>
          <cell r="F607">
            <v>15000</v>
          </cell>
          <cell r="G607">
            <v>7500</v>
          </cell>
        </row>
        <row r="608">
          <cell r="B608">
            <v>9</v>
          </cell>
          <cell r="C608" t="str">
            <v>Giẻ lau</v>
          </cell>
          <cell r="D608" t="str">
            <v>kg</v>
          </cell>
          <cell r="E608">
            <v>0.3</v>
          </cell>
          <cell r="F608">
            <v>9500</v>
          </cell>
          <cell r="G608">
            <v>2850</v>
          </cell>
        </row>
        <row r="609">
          <cell r="B609">
            <v>117</v>
          </cell>
          <cell r="C609" t="str">
            <v>Vật liệu khác</v>
          </cell>
          <cell r="D609" t="str">
            <v>%</v>
          </cell>
          <cell r="E609">
            <v>10</v>
          </cell>
          <cell r="G609">
            <v>1035</v>
          </cell>
        </row>
        <row r="610">
          <cell r="C610" t="str">
            <v>Nhân công</v>
          </cell>
          <cell r="G610">
            <v>1207018.855263158</v>
          </cell>
        </row>
        <row r="611">
          <cell r="B611" t="str">
            <v>NC1407</v>
          </cell>
          <cell r="C611" t="str">
            <v>Ngày công bậc 4,0/7</v>
          </cell>
          <cell r="D611" t="str">
            <v>công</v>
          </cell>
          <cell r="E611">
            <v>6.2</v>
          </cell>
          <cell r="F611">
            <v>194680.46052631579</v>
          </cell>
          <cell r="G611">
            <v>1207018.855263158</v>
          </cell>
        </row>
        <row r="612">
          <cell r="C612" t="str">
            <v>Máy thi công</v>
          </cell>
          <cell r="G612">
            <v>756244.5199999999</v>
          </cell>
        </row>
        <row r="613">
          <cell r="B613">
            <v>8002</v>
          </cell>
          <cell r="C613" t="str">
            <v>Máy lọc dầu cải tạo YBM-2</v>
          </cell>
          <cell r="D613" t="str">
            <v>ca</v>
          </cell>
          <cell r="E613">
            <v>0.98</v>
          </cell>
          <cell r="F613">
            <v>757784</v>
          </cell>
          <cell r="G613">
            <v>742628.32</v>
          </cell>
        </row>
        <row r="614">
          <cell r="B614">
            <v>8005</v>
          </cell>
          <cell r="C614" t="str">
            <v>Máy thử cao áp AI-70</v>
          </cell>
          <cell r="D614" t="str">
            <v>ca</v>
          </cell>
          <cell r="E614">
            <v>0.1</v>
          </cell>
          <cell r="F614">
            <v>136162</v>
          </cell>
          <cell r="G614">
            <v>13616.2</v>
          </cell>
        </row>
        <row r="615">
          <cell r="A615" t="str">
            <v>T1.2031</v>
          </cell>
          <cell r="C615" t="str">
            <v>Lọc dầu bằng máy lọc dầu hợp bộ KATO KLVC-4AXVSO hoặc tương đương; Mức điện áp trước khi lọc 10KV, mức điện áp sau khi lọc 25KV</v>
          </cell>
          <cell r="D615" t="str">
            <v>tấn</v>
          </cell>
          <cell r="H615">
            <v>11385</v>
          </cell>
          <cell r="I615">
            <v>584041.38157894742</v>
          </cell>
          <cell r="J615">
            <v>402757.82800000004</v>
          </cell>
        </row>
        <row r="616">
          <cell r="C616" t="str">
            <v>Vật liệu</v>
          </cell>
          <cell r="G616">
            <v>11385</v>
          </cell>
        </row>
        <row r="617">
          <cell r="B617">
            <v>6</v>
          </cell>
          <cell r="C617" t="str">
            <v>Vải trắng</v>
          </cell>
          <cell r="D617" t="str">
            <v>m</v>
          </cell>
          <cell r="E617">
            <v>0.5</v>
          </cell>
          <cell r="F617">
            <v>15000</v>
          </cell>
          <cell r="G617">
            <v>7500</v>
          </cell>
        </row>
        <row r="618">
          <cell r="B618">
            <v>9</v>
          </cell>
          <cell r="C618" t="str">
            <v>Giẻ lau</v>
          </cell>
          <cell r="D618" t="str">
            <v>kg</v>
          </cell>
          <cell r="E618">
            <v>0.3</v>
          </cell>
          <cell r="F618">
            <v>9500</v>
          </cell>
          <cell r="G618">
            <v>2850</v>
          </cell>
        </row>
        <row r="619">
          <cell r="B619">
            <v>117</v>
          </cell>
          <cell r="C619" t="str">
            <v>Vật liệu khác</v>
          </cell>
          <cell r="D619" t="str">
            <v>%</v>
          </cell>
          <cell r="E619">
            <v>10</v>
          </cell>
          <cell r="G619">
            <v>1035</v>
          </cell>
        </row>
        <row r="620">
          <cell r="C620" t="str">
            <v>Nhân công</v>
          </cell>
          <cell r="G620">
            <v>584041.38157894742</v>
          </cell>
        </row>
        <row r="621">
          <cell r="B621" t="str">
            <v>NC1407</v>
          </cell>
          <cell r="C621" t="str">
            <v>Ngày công bậc 4,0/7</v>
          </cell>
          <cell r="D621" t="str">
            <v>công</v>
          </cell>
          <cell r="E621">
            <v>3</v>
          </cell>
          <cell r="F621">
            <v>194680.46052631579</v>
          </cell>
          <cell r="G621">
            <v>584041.38157894742</v>
          </cell>
        </row>
        <row r="622">
          <cell r="C622" t="str">
            <v>Máy thi công</v>
          </cell>
          <cell r="G622">
            <v>402757.82800000004</v>
          </cell>
        </row>
        <row r="623">
          <cell r="B623">
            <v>8003</v>
          </cell>
          <cell r="C623" t="str">
            <v>Máy lọc dầu hợp bộ KATO KLVC-4AXVSO</v>
          </cell>
          <cell r="D623" t="str">
            <v>ca</v>
          </cell>
          <cell r="E623">
            <v>0.26800000000000002</v>
          </cell>
          <cell r="F623">
            <v>1452021</v>
          </cell>
          <cell r="G623">
            <v>389141.62800000003</v>
          </cell>
        </row>
        <row r="624">
          <cell r="B624">
            <v>8005</v>
          </cell>
          <cell r="C624" t="str">
            <v>Máy thử cao áp AI-70</v>
          </cell>
          <cell r="D624" t="str">
            <v>ca</v>
          </cell>
          <cell r="E624">
            <v>0.1</v>
          </cell>
          <cell r="F624">
            <v>136162</v>
          </cell>
          <cell r="G624">
            <v>13616.2</v>
          </cell>
        </row>
        <row r="625">
          <cell r="A625" t="str">
            <v>T1.2032</v>
          </cell>
          <cell r="C625" t="str">
            <v>Lọc dầu bằng máy lọc dầu hợp bộ KATO KLVC-4AXVSO hoặc tương đương; Mức điện áp trước khi lọc 10KV, mức điện áp sau khi lọc 30KV</v>
          </cell>
          <cell r="D625" t="str">
            <v>tấn</v>
          </cell>
          <cell r="H625">
            <v>11385</v>
          </cell>
          <cell r="I625">
            <v>642445.51973684202</v>
          </cell>
          <cell r="J625">
            <v>479714.94100000005</v>
          </cell>
        </row>
        <row r="626">
          <cell r="C626" t="str">
            <v>Vật liệu</v>
          </cell>
          <cell r="G626">
            <v>11385</v>
          </cell>
        </row>
        <row r="627">
          <cell r="B627">
            <v>6</v>
          </cell>
          <cell r="C627" t="str">
            <v>Vải trắng</v>
          </cell>
          <cell r="D627" t="str">
            <v>m</v>
          </cell>
          <cell r="E627">
            <v>0.5</v>
          </cell>
          <cell r="F627">
            <v>15000</v>
          </cell>
          <cell r="G627">
            <v>7500</v>
          </cell>
        </row>
        <row r="628">
          <cell r="B628">
            <v>9</v>
          </cell>
          <cell r="C628" t="str">
            <v>Giẻ lau</v>
          </cell>
          <cell r="D628" t="str">
            <v>kg</v>
          </cell>
          <cell r="E628">
            <v>0.3</v>
          </cell>
          <cell r="F628">
            <v>9500</v>
          </cell>
          <cell r="G628">
            <v>2850</v>
          </cell>
        </row>
        <row r="629">
          <cell r="B629">
            <v>117</v>
          </cell>
          <cell r="C629" t="str">
            <v>Vật liệu khác</v>
          </cell>
          <cell r="D629" t="str">
            <v>%</v>
          </cell>
          <cell r="E629">
            <v>10</v>
          </cell>
          <cell r="G629">
            <v>1035</v>
          </cell>
        </row>
        <row r="630">
          <cell r="C630" t="str">
            <v>Nhân công</v>
          </cell>
          <cell r="G630">
            <v>642445.51973684202</v>
          </cell>
        </row>
        <row r="631">
          <cell r="B631" t="str">
            <v>NC1407</v>
          </cell>
          <cell r="C631" t="str">
            <v>Ngày công bậc 4,0/7</v>
          </cell>
          <cell r="D631" t="str">
            <v>công</v>
          </cell>
          <cell r="E631">
            <v>3.3</v>
          </cell>
          <cell r="F631">
            <v>194680.46052631579</v>
          </cell>
          <cell r="G631">
            <v>642445.51973684202</v>
          </cell>
        </row>
        <row r="632">
          <cell r="C632" t="str">
            <v>Máy thi công</v>
          </cell>
          <cell r="G632">
            <v>479714.94100000005</v>
          </cell>
        </row>
        <row r="633">
          <cell r="B633">
            <v>8003</v>
          </cell>
          <cell r="C633" t="str">
            <v>Máy lọc dầu hợp bộ KATO KLVC-4AXVSO</v>
          </cell>
          <cell r="D633" t="str">
            <v>ca</v>
          </cell>
          <cell r="E633">
            <v>0.32100000000000001</v>
          </cell>
          <cell r="F633">
            <v>1452021</v>
          </cell>
          <cell r="G633">
            <v>466098.74100000004</v>
          </cell>
        </row>
        <row r="634">
          <cell r="B634">
            <v>8005</v>
          </cell>
          <cell r="C634" t="str">
            <v>Máy thử cao áp AI-70</v>
          </cell>
          <cell r="D634" t="str">
            <v>ca</v>
          </cell>
          <cell r="E634">
            <v>0.1</v>
          </cell>
          <cell r="F634">
            <v>136162</v>
          </cell>
          <cell r="G634">
            <v>13616.2</v>
          </cell>
        </row>
        <row r="635">
          <cell r="A635" t="str">
            <v>T1.2033</v>
          </cell>
          <cell r="C635" t="str">
            <v>Lọc dầu bằng máy lọc dầu hợp bộ KATO KLVC-4AXVSO hoặc tương đương; Mức điện áp trước khi lọc 10KV, mức điện áp sau khi lọc 35KV</v>
          </cell>
          <cell r="D635" t="str">
            <v>tấn</v>
          </cell>
          <cell r="H635">
            <v>11385</v>
          </cell>
          <cell r="I635">
            <v>992870.34868421045</v>
          </cell>
          <cell r="J635">
            <v>563932.15899999999</v>
          </cell>
        </row>
        <row r="636">
          <cell r="C636" t="str">
            <v>Vật liệu</v>
          </cell>
          <cell r="G636">
            <v>11385</v>
          </cell>
        </row>
        <row r="637">
          <cell r="B637">
            <v>6</v>
          </cell>
          <cell r="C637" t="str">
            <v>Vải trắng</v>
          </cell>
          <cell r="D637" t="str">
            <v>m</v>
          </cell>
          <cell r="E637">
            <v>0.5</v>
          </cell>
          <cell r="F637">
            <v>15000</v>
          </cell>
          <cell r="G637">
            <v>7500</v>
          </cell>
        </row>
        <row r="638">
          <cell r="B638">
            <v>9</v>
          </cell>
          <cell r="C638" t="str">
            <v>Giẻ lau</v>
          </cell>
          <cell r="D638" t="str">
            <v>kg</v>
          </cell>
          <cell r="E638">
            <v>0.3</v>
          </cell>
          <cell r="F638">
            <v>9500</v>
          </cell>
          <cell r="G638">
            <v>2850</v>
          </cell>
        </row>
        <row r="639">
          <cell r="B639">
            <v>117</v>
          </cell>
          <cell r="C639" t="str">
            <v>Vật liệu khác</v>
          </cell>
          <cell r="D639" t="str">
            <v>%</v>
          </cell>
          <cell r="E639">
            <v>10</v>
          </cell>
          <cell r="G639">
            <v>1035</v>
          </cell>
        </row>
        <row r="640">
          <cell r="C640" t="str">
            <v>Nhân công</v>
          </cell>
          <cell r="G640">
            <v>992870.34868421045</v>
          </cell>
        </row>
        <row r="641">
          <cell r="B641" t="str">
            <v>NC1407</v>
          </cell>
          <cell r="C641" t="str">
            <v>Ngày công bậc 4,0/7</v>
          </cell>
          <cell r="D641" t="str">
            <v>công</v>
          </cell>
          <cell r="E641">
            <v>5.0999999999999996</v>
          </cell>
          <cell r="F641">
            <v>194680.46052631579</v>
          </cell>
          <cell r="G641">
            <v>992870.34868421045</v>
          </cell>
        </row>
        <row r="642">
          <cell r="C642" t="str">
            <v>Máy thi công</v>
          </cell>
          <cell r="G642">
            <v>563932.15899999999</v>
          </cell>
        </row>
        <row r="643">
          <cell r="B643">
            <v>8003</v>
          </cell>
          <cell r="C643" t="str">
            <v>Máy lọc dầu hợp bộ KATO KLVC-4AXVSO</v>
          </cell>
          <cell r="D643" t="str">
            <v>ca</v>
          </cell>
          <cell r="E643">
            <v>0.379</v>
          </cell>
          <cell r="F643">
            <v>1452021</v>
          </cell>
          <cell r="G643">
            <v>550315.95900000003</v>
          </cell>
        </row>
        <row r="644">
          <cell r="B644">
            <v>8005</v>
          </cell>
          <cell r="C644" t="str">
            <v>Máy thử cao áp AI-70</v>
          </cell>
          <cell r="D644" t="str">
            <v>ca</v>
          </cell>
          <cell r="E644">
            <v>0.1</v>
          </cell>
          <cell r="F644">
            <v>136162</v>
          </cell>
          <cell r="G644">
            <v>13616.2</v>
          </cell>
        </row>
        <row r="645">
          <cell r="A645" t="str">
            <v>T1.2034</v>
          </cell>
          <cell r="C645" t="str">
            <v>Lọc dầu bằng máy lọc dầu hợp bộ KATO KLVC-4AXVSO hoặc tương đương; Mức điện áp trước khi lọc 10KV, mức điện áp sau khi lọc 40KV</v>
          </cell>
          <cell r="D645" t="str">
            <v>tấn</v>
          </cell>
          <cell r="H645">
            <v>11385</v>
          </cell>
          <cell r="I645">
            <v>1207018.855263158</v>
          </cell>
          <cell r="J645">
            <v>653957.46100000001</v>
          </cell>
        </row>
        <row r="646">
          <cell r="C646" t="str">
            <v>Vật liệu</v>
          </cell>
          <cell r="G646">
            <v>11385</v>
          </cell>
        </row>
        <row r="647">
          <cell r="B647">
            <v>6</v>
          </cell>
          <cell r="C647" t="str">
            <v>Vải trắng</v>
          </cell>
          <cell r="D647" t="str">
            <v>m</v>
          </cell>
          <cell r="E647">
            <v>0.5</v>
          </cell>
          <cell r="F647">
            <v>15000</v>
          </cell>
          <cell r="G647">
            <v>7500</v>
          </cell>
        </row>
        <row r="648">
          <cell r="B648">
            <v>9</v>
          </cell>
          <cell r="C648" t="str">
            <v>Giẻ lau</v>
          </cell>
          <cell r="D648" t="str">
            <v>kg</v>
          </cell>
          <cell r="E648">
            <v>0.3</v>
          </cell>
          <cell r="F648">
            <v>9500</v>
          </cell>
          <cell r="G648">
            <v>2850</v>
          </cell>
        </row>
        <row r="649">
          <cell r="B649">
            <v>117</v>
          </cell>
          <cell r="C649" t="str">
            <v>Vật liệu khác</v>
          </cell>
          <cell r="D649" t="str">
            <v>%</v>
          </cell>
          <cell r="E649">
            <v>10</v>
          </cell>
          <cell r="G649">
            <v>1035</v>
          </cell>
        </row>
        <row r="650">
          <cell r="C650" t="str">
            <v>Nhân công</v>
          </cell>
          <cell r="G650">
            <v>1207018.855263158</v>
          </cell>
        </row>
        <row r="651">
          <cell r="B651" t="str">
            <v>NC1407</v>
          </cell>
          <cell r="C651" t="str">
            <v>Ngày công bậc 4,0/7</v>
          </cell>
          <cell r="D651" t="str">
            <v>công</v>
          </cell>
          <cell r="E651">
            <v>6.2</v>
          </cell>
          <cell r="F651">
            <v>194680.46052631579</v>
          </cell>
          <cell r="G651">
            <v>1207018.855263158</v>
          </cell>
        </row>
        <row r="652">
          <cell r="C652" t="str">
            <v>Máy thi công</v>
          </cell>
          <cell r="G652">
            <v>653957.46100000001</v>
          </cell>
        </row>
        <row r="653">
          <cell r="B653">
            <v>8003</v>
          </cell>
          <cell r="C653" t="str">
            <v>Máy lọc dầu hợp bộ KATO KLVC-4AXVSO</v>
          </cell>
          <cell r="D653" t="str">
            <v>ca</v>
          </cell>
          <cell r="E653">
            <v>0.441</v>
          </cell>
          <cell r="F653">
            <v>1452021</v>
          </cell>
          <cell r="G653">
            <v>640341.26100000006</v>
          </cell>
        </row>
        <row r="654">
          <cell r="B654">
            <v>8005</v>
          </cell>
          <cell r="C654" t="str">
            <v>Máy thử cao áp AI-70</v>
          </cell>
          <cell r="D654" t="str">
            <v>ca</v>
          </cell>
          <cell r="E654">
            <v>0.1</v>
          </cell>
          <cell r="F654">
            <v>136162</v>
          </cell>
          <cell r="G654">
            <v>13616.2</v>
          </cell>
        </row>
        <row r="655">
          <cell r="A655" t="str">
            <v>T1.2041</v>
          </cell>
          <cell r="C655" t="str">
            <v>Lọc dầu bằng máy lọc ép; Mức điện áp trước khi lọc 15KV, mức điện áp sau khi lọc 25KV</v>
          </cell>
          <cell r="D655" t="str">
            <v>tấn</v>
          </cell>
          <cell r="H655">
            <v>11385</v>
          </cell>
          <cell r="I655">
            <v>389360.92105263157</v>
          </cell>
          <cell r="J655">
            <v>36787.53</v>
          </cell>
        </row>
        <row r="656">
          <cell r="C656" t="str">
            <v>Vật liệu</v>
          </cell>
          <cell r="G656">
            <v>11385</v>
          </cell>
        </row>
        <row r="657">
          <cell r="B657">
            <v>6</v>
          </cell>
          <cell r="C657" t="str">
            <v>Vải trắng</v>
          </cell>
          <cell r="D657" t="str">
            <v>m</v>
          </cell>
          <cell r="E657">
            <v>0.5</v>
          </cell>
          <cell r="F657">
            <v>15000</v>
          </cell>
          <cell r="G657">
            <v>7500</v>
          </cell>
        </row>
        <row r="658">
          <cell r="B658">
            <v>9</v>
          </cell>
          <cell r="C658" t="str">
            <v>Giẻ lau</v>
          </cell>
          <cell r="D658" t="str">
            <v>kg</v>
          </cell>
          <cell r="E658">
            <v>0.3</v>
          </cell>
          <cell r="F658">
            <v>9500</v>
          </cell>
          <cell r="G658">
            <v>2850</v>
          </cell>
        </row>
        <row r="659">
          <cell r="B659">
            <v>117</v>
          </cell>
          <cell r="C659" t="str">
            <v>Vật liệu khác</v>
          </cell>
          <cell r="D659" t="str">
            <v>%</v>
          </cell>
          <cell r="E659">
            <v>10</v>
          </cell>
          <cell r="G659">
            <v>1035</v>
          </cell>
        </row>
        <row r="660">
          <cell r="C660" t="str">
            <v>Nhân công</v>
          </cell>
          <cell r="G660">
            <v>389360.92105263157</v>
          </cell>
        </row>
        <row r="661">
          <cell r="B661" t="str">
            <v>NC1407</v>
          </cell>
          <cell r="C661" t="str">
            <v>Ngày công bậc 4,0/7</v>
          </cell>
          <cell r="D661" t="str">
            <v>công</v>
          </cell>
          <cell r="E661">
            <v>2</v>
          </cell>
          <cell r="F661">
            <v>194680.46052631579</v>
          </cell>
          <cell r="G661">
            <v>389360.92105263157</v>
          </cell>
        </row>
        <row r="662">
          <cell r="C662" t="str">
            <v>Máy thi công</v>
          </cell>
          <cell r="G662">
            <v>36787.53</v>
          </cell>
        </row>
        <row r="663">
          <cell r="B663">
            <v>8004</v>
          </cell>
          <cell r="C663" t="str">
            <v>Máy lọc ép</v>
          </cell>
          <cell r="D663" t="str">
            <v>ca</v>
          </cell>
          <cell r="E663">
            <v>0.56000000000000005</v>
          </cell>
          <cell r="F663">
            <v>24073</v>
          </cell>
          <cell r="G663">
            <v>13480.880000000001</v>
          </cell>
        </row>
        <row r="664">
          <cell r="B664">
            <v>8011</v>
          </cell>
          <cell r="C664" t="str">
            <v>Máy bơm ly tâm</v>
          </cell>
          <cell r="D664" t="str">
            <v>ca</v>
          </cell>
          <cell r="E664">
            <v>0.21</v>
          </cell>
          <cell r="F664">
            <v>25135</v>
          </cell>
          <cell r="G664">
            <v>5278.3499999999995</v>
          </cell>
        </row>
        <row r="665">
          <cell r="B665">
            <v>8010</v>
          </cell>
          <cell r="C665" t="str">
            <v>Máy bơm chân không</v>
          </cell>
          <cell r="D665" t="str">
            <v>ca</v>
          </cell>
          <cell r="E665">
            <v>0.21</v>
          </cell>
          <cell r="F665">
            <v>21010</v>
          </cell>
          <cell r="G665">
            <v>4412.0999999999995</v>
          </cell>
        </row>
        <row r="666">
          <cell r="B666">
            <v>8005</v>
          </cell>
          <cell r="C666" t="str">
            <v>Máy thử cao áp AI-70</v>
          </cell>
          <cell r="D666" t="str">
            <v>ca</v>
          </cell>
          <cell r="E666">
            <v>0.1</v>
          </cell>
          <cell r="F666">
            <v>136162</v>
          </cell>
          <cell r="G666">
            <v>13616.2</v>
          </cell>
        </row>
        <row r="667">
          <cell r="A667" t="str">
            <v>T1.2042</v>
          </cell>
          <cell r="C667" t="str">
            <v>Lọc dầu bằng máy lọc ép; Mức điện áp trước khi lọc 15KV, mức điện áp sau khi lọc 30KV</v>
          </cell>
          <cell r="D667" t="str">
            <v>tấn</v>
          </cell>
          <cell r="H667">
            <v>11385</v>
          </cell>
          <cell r="I667">
            <v>486701.15131578944</v>
          </cell>
          <cell r="J667">
            <v>42003.55</v>
          </cell>
        </row>
        <row r="668">
          <cell r="C668" t="str">
            <v>Vật liệu</v>
          </cell>
          <cell r="G668">
            <v>11385</v>
          </cell>
        </row>
        <row r="669">
          <cell r="B669">
            <v>6</v>
          </cell>
          <cell r="C669" t="str">
            <v>Vải trắng</v>
          </cell>
          <cell r="D669" t="str">
            <v>m</v>
          </cell>
          <cell r="E669">
            <v>0.5</v>
          </cell>
          <cell r="F669">
            <v>15000</v>
          </cell>
          <cell r="G669">
            <v>7500</v>
          </cell>
        </row>
        <row r="670">
          <cell r="B670">
            <v>9</v>
          </cell>
          <cell r="C670" t="str">
            <v>Giẻ lau</v>
          </cell>
          <cell r="D670" t="str">
            <v>kg</v>
          </cell>
          <cell r="E670">
            <v>0.3</v>
          </cell>
          <cell r="F670">
            <v>9500</v>
          </cell>
          <cell r="G670">
            <v>2850</v>
          </cell>
        </row>
        <row r="671">
          <cell r="B671">
            <v>117</v>
          </cell>
          <cell r="C671" t="str">
            <v>Vật liệu khác</v>
          </cell>
          <cell r="D671" t="str">
            <v>%</v>
          </cell>
          <cell r="E671">
            <v>10</v>
          </cell>
          <cell r="G671">
            <v>1035</v>
          </cell>
        </row>
        <row r="672">
          <cell r="C672" t="str">
            <v>Nhân công</v>
          </cell>
          <cell r="G672">
            <v>486701.15131578944</v>
          </cell>
        </row>
        <row r="673">
          <cell r="B673" t="str">
            <v>NC1407</v>
          </cell>
          <cell r="C673" t="str">
            <v>Ngày công bậc 4,0/7</v>
          </cell>
          <cell r="D673" t="str">
            <v>công</v>
          </cell>
          <cell r="E673">
            <v>2.5</v>
          </cell>
          <cell r="F673">
            <v>194680.46052631579</v>
          </cell>
          <cell r="G673">
            <v>486701.15131578944</v>
          </cell>
        </row>
        <row r="674">
          <cell r="C674" t="str">
            <v>Máy thi công</v>
          </cell>
          <cell r="G674">
            <v>42003.55</v>
          </cell>
        </row>
        <row r="675">
          <cell r="B675">
            <v>8004</v>
          </cell>
          <cell r="C675" t="str">
            <v>Máy lọc ép</v>
          </cell>
          <cell r="D675" t="str">
            <v>ca</v>
          </cell>
          <cell r="E675">
            <v>0.7</v>
          </cell>
          <cell r="F675">
            <v>24073</v>
          </cell>
          <cell r="G675">
            <v>16851.099999999999</v>
          </cell>
        </row>
        <row r="676">
          <cell r="B676">
            <v>8011</v>
          </cell>
          <cell r="C676" t="str">
            <v>Máy bơm ly tâm</v>
          </cell>
          <cell r="D676" t="str">
            <v>ca</v>
          </cell>
          <cell r="E676">
            <v>0.25</v>
          </cell>
          <cell r="F676">
            <v>25135</v>
          </cell>
          <cell r="G676">
            <v>6283.75</v>
          </cell>
        </row>
        <row r="677">
          <cell r="B677">
            <v>8010</v>
          </cell>
          <cell r="C677" t="str">
            <v>Máy bơm chân không</v>
          </cell>
          <cell r="D677" t="str">
            <v>ca</v>
          </cell>
          <cell r="E677">
            <v>0.25</v>
          </cell>
          <cell r="F677">
            <v>21010</v>
          </cell>
          <cell r="G677">
            <v>5252.5</v>
          </cell>
        </row>
        <row r="678">
          <cell r="B678">
            <v>8005</v>
          </cell>
          <cell r="C678" t="str">
            <v>Máy thử cao áp AI-70</v>
          </cell>
          <cell r="D678" t="str">
            <v>ca</v>
          </cell>
          <cell r="E678">
            <v>0.1</v>
          </cell>
          <cell r="F678">
            <v>136162</v>
          </cell>
          <cell r="G678">
            <v>13616.2</v>
          </cell>
        </row>
        <row r="679">
          <cell r="A679" t="str">
            <v>T1.2043</v>
          </cell>
          <cell r="C679" t="str">
            <v>Lọc dầu bằng máy lọc ép; Mức điện áp trước khi lọc 15KV, mức điện áp sau khi lọc 35KV</v>
          </cell>
          <cell r="D679" t="str">
            <v>tấn</v>
          </cell>
          <cell r="H679">
            <v>11385</v>
          </cell>
          <cell r="I679">
            <v>584041.38157894742</v>
          </cell>
          <cell r="J679">
            <v>47681.020000000004</v>
          </cell>
        </row>
        <row r="680">
          <cell r="C680" t="str">
            <v>Vật liệu</v>
          </cell>
          <cell r="G680">
            <v>11385</v>
          </cell>
        </row>
        <row r="681">
          <cell r="B681">
            <v>6</v>
          </cell>
          <cell r="C681" t="str">
            <v>Vải trắng</v>
          </cell>
          <cell r="D681" t="str">
            <v>m</v>
          </cell>
          <cell r="E681">
            <v>0.5</v>
          </cell>
          <cell r="F681">
            <v>15000</v>
          </cell>
          <cell r="G681">
            <v>7500</v>
          </cell>
        </row>
        <row r="682">
          <cell r="B682">
            <v>9</v>
          </cell>
          <cell r="C682" t="str">
            <v>Giẻ lau</v>
          </cell>
          <cell r="D682" t="str">
            <v>kg</v>
          </cell>
          <cell r="E682">
            <v>0.3</v>
          </cell>
          <cell r="F682">
            <v>9500</v>
          </cell>
          <cell r="G682">
            <v>2850</v>
          </cell>
        </row>
        <row r="683">
          <cell r="B683">
            <v>117</v>
          </cell>
          <cell r="C683" t="str">
            <v>Vật liệu khác</v>
          </cell>
          <cell r="D683" t="str">
            <v>%</v>
          </cell>
          <cell r="E683">
            <v>10</v>
          </cell>
          <cell r="G683">
            <v>1035</v>
          </cell>
        </row>
        <row r="684">
          <cell r="C684" t="str">
            <v>Nhân công</v>
          </cell>
          <cell r="G684">
            <v>584041.38157894742</v>
          </cell>
        </row>
        <row r="685">
          <cell r="B685" t="str">
            <v>NC1407</v>
          </cell>
          <cell r="C685" t="str">
            <v>Ngày công bậc 4,0/7</v>
          </cell>
          <cell r="D685" t="str">
            <v>công</v>
          </cell>
          <cell r="E685">
            <v>3</v>
          </cell>
          <cell r="F685">
            <v>194680.46052631579</v>
          </cell>
          <cell r="G685">
            <v>584041.38157894742</v>
          </cell>
        </row>
        <row r="686">
          <cell r="C686" t="str">
            <v>Máy thi công</v>
          </cell>
          <cell r="G686">
            <v>47681.020000000004</v>
          </cell>
        </row>
        <row r="687">
          <cell r="B687">
            <v>8004</v>
          </cell>
          <cell r="C687" t="str">
            <v>Máy lọc ép</v>
          </cell>
          <cell r="D687" t="str">
            <v>ca</v>
          </cell>
          <cell r="E687">
            <v>0.84</v>
          </cell>
          <cell r="F687">
            <v>24073</v>
          </cell>
          <cell r="G687">
            <v>20221.32</v>
          </cell>
        </row>
        <row r="688">
          <cell r="B688">
            <v>8011</v>
          </cell>
          <cell r="C688" t="str">
            <v>Máy bơm ly tâm</v>
          </cell>
          <cell r="D688" t="str">
            <v>ca</v>
          </cell>
          <cell r="E688">
            <v>0.3</v>
          </cell>
          <cell r="F688">
            <v>25135</v>
          </cell>
          <cell r="G688">
            <v>7540.5</v>
          </cell>
        </row>
        <row r="689">
          <cell r="B689">
            <v>8010</v>
          </cell>
          <cell r="C689" t="str">
            <v>Máy bơm chân không</v>
          </cell>
          <cell r="D689" t="str">
            <v>ca</v>
          </cell>
          <cell r="E689">
            <v>0.3</v>
          </cell>
          <cell r="F689">
            <v>21010</v>
          </cell>
          <cell r="G689">
            <v>6303</v>
          </cell>
        </row>
        <row r="690">
          <cell r="B690">
            <v>8005</v>
          </cell>
          <cell r="C690" t="str">
            <v>Máy thử cao áp AI-70</v>
          </cell>
          <cell r="D690" t="str">
            <v>ca</v>
          </cell>
          <cell r="E690">
            <v>0.1</v>
          </cell>
          <cell r="F690">
            <v>136162</v>
          </cell>
          <cell r="G690">
            <v>13616.2</v>
          </cell>
        </row>
        <row r="691">
          <cell r="A691" t="str">
            <v>T1.2044</v>
          </cell>
          <cell r="C691" t="str">
            <v>Lọc dầu bằng máy lọc ép; Mức điện áp trước khi lọc 15KV, mức điện áp sau khi lọc 40KV</v>
          </cell>
          <cell r="D691" t="str">
            <v>tấn</v>
          </cell>
          <cell r="H691">
            <v>11385</v>
          </cell>
          <cell r="I691">
            <v>739785.75</v>
          </cell>
          <cell r="J691">
            <v>55023.59</v>
          </cell>
        </row>
        <row r="692">
          <cell r="C692" t="str">
            <v>Vật liệu</v>
          </cell>
          <cell r="G692">
            <v>11385</v>
          </cell>
        </row>
        <row r="693">
          <cell r="B693">
            <v>6</v>
          </cell>
          <cell r="C693" t="str">
            <v>Vải trắng</v>
          </cell>
          <cell r="D693" t="str">
            <v>m</v>
          </cell>
          <cell r="E693">
            <v>0.5</v>
          </cell>
          <cell r="F693">
            <v>15000</v>
          </cell>
          <cell r="G693">
            <v>7500</v>
          </cell>
        </row>
        <row r="694">
          <cell r="B694">
            <v>9</v>
          </cell>
          <cell r="C694" t="str">
            <v>Giẻ lau</v>
          </cell>
          <cell r="D694" t="str">
            <v>kg</v>
          </cell>
          <cell r="E694">
            <v>0.3</v>
          </cell>
          <cell r="F694">
            <v>9500</v>
          </cell>
          <cell r="G694">
            <v>2850</v>
          </cell>
        </row>
        <row r="695">
          <cell r="B695">
            <v>117</v>
          </cell>
          <cell r="C695" t="str">
            <v>Vật liệu khác</v>
          </cell>
          <cell r="D695" t="str">
            <v>%</v>
          </cell>
          <cell r="E695">
            <v>10</v>
          </cell>
          <cell r="G695">
            <v>1035</v>
          </cell>
        </row>
        <row r="696">
          <cell r="C696" t="str">
            <v>Nhân công</v>
          </cell>
          <cell r="G696">
            <v>739785.75</v>
          </cell>
        </row>
        <row r="697">
          <cell r="B697" t="str">
            <v>NC1407</v>
          </cell>
          <cell r="C697" t="str">
            <v>Ngày công bậc 4,0/7</v>
          </cell>
          <cell r="D697" t="str">
            <v>công</v>
          </cell>
          <cell r="E697">
            <v>3.8</v>
          </cell>
          <cell r="F697">
            <v>194680.46052631579</v>
          </cell>
          <cell r="G697">
            <v>739785.75</v>
          </cell>
        </row>
        <row r="698">
          <cell r="C698" t="str">
            <v>Máy thi công</v>
          </cell>
          <cell r="G698">
            <v>55023.59</v>
          </cell>
        </row>
        <row r="699">
          <cell r="B699">
            <v>8004</v>
          </cell>
          <cell r="C699" t="str">
            <v>Máy lọc ép</v>
          </cell>
          <cell r="D699" t="str">
            <v>ca</v>
          </cell>
          <cell r="E699">
            <v>1.03</v>
          </cell>
          <cell r="F699">
            <v>24073</v>
          </cell>
          <cell r="G699">
            <v>24795.190000000002</v>
          </cell>
        </row>
        <row r="700">
          <cell r="B700">
            <v>8011</v>
          </cell>
          <cell r="C700" t="str">
            <v>Máy bơm ly tâm</v>
          </cell>
          <cell r="D700" t="str">
            <v>ca</v>
          </cell>
          <cell r="E700">
            <v>0.36</v>
          </cell>
          <cell r="F700">
            <v>25135</v>
          </cell>
          <cell r="G700">
            <v>9048.6</v>
          </cell>
        </row>
        <row r="701">
          <cell r="B701">
            <v>8010</v>
          </cell>
          <cell r="C701" t="str">
            <v>Máy bơm chân không</v>
          </cell>
          <cell r="D701" t="str">
            <v>ca</v>
          </cell>
          <cell r="E701">
            <v>0.36</v>
          </cell>
          <cell r="F701">
            <v>21010</v>
          </cell>
          <cell r="G701">
            <v>7563.5999999999995</v>
          </cell>
        </row>
        <row r="702">
          <cell r="B702">
            <v>8005</v>
          </cell>
          <cell r="C702" t="str">
            <v>Máy thử cao áp AI-70</v>
          </cell>
          <cell r="D702" t="str">
            <v>ca</v>
          </cell>
          <cell r="E702">
            <v>0.1</v>
          </cell>
          <cell r="F702">
            <v>136162</v>
          </cell>
          <cell r="G702">
            <v>13616.2</v>
          </cell>
        </row>
        <row r="703">
          <cell r="A703" t="str">
            <v>T1.2045</v>
          </cell>
          <cell r="C703" t="str">
            <v>Lọc dầu bằng máy lọc ép; Mức điện áp trước khi lọc 15KV, mức điện áp sau khi lọc 45KV</v>
          </cell>
          <cell r="D703" t="str">
            <v>tấn</v>
          </cell>
          <cell r="H703">
            <v>11385</v>
          </cell>
          <cell r="I703">
            <v>934466.21052631573</v>
          </cell>
          <cell r="J703">
            <v>64251.979999999996</v>
          </cell>
        </row>
        <row r="704">
          <cell r="C704" t="str">
            <v>Vật liệu</v>
          </cell>
          <cell r="G704">
            <v>11385</v>
          </cell>
        </row>
        <row r="705">
          <cell r="B705">
            <v>6</v>
          </cell>
          <cell r="C705" t="str">
            <v>Vải trắng</v>
          </cell>
          <cell r="D705" t="str">
            <v>m</v>
          </cell>
          <cell r="E705">
            <v>0.5</v>
          </cell>
          <cell r="F705">
            <v>15000</v>
          </cell>
          <cell r="G705">
            <v>7500</v>
          </cell>
        </row>
        <row r="706">
          <cell r="B706">
            <v>9</v>
          </cell>
          <cell r="C706" t="str">
            <v>Giẻ lau</v>
          </cell>
          <cell r="D706" t="str">
            <v>kg</v>
          </cell>
          <cell r="E706">
            <v>0.3</v>
          </cell>
          <cell r="F706">
            <v>9500</v>
          </cell>
          <cell r="G706">
            <v>2850</v>
          </cell>
        </row>
        <row r="707">
          <cell r="B707">
            <v>117</v>
          </cell>
          <cell r="C707" t="str">
            <v>Vật liệu khác</v>
          </cell>
          <cell r="D707" t="str">
            <v>%</v>
          </cell>
          <cell r="E707">
            <v>10</v>
          </cell>
          <cell r="G707">
            <v>1035</v>
          </cell>
        </row>
        <row r="708">
          <cell r="C708" t="str">
            <v>Nhân công</v>
          </cell>
          <cell r="G708">
            <v>934466.21052631573</v>
          </cell>
        </row>
        <row r="709">
          <cell r="B709" t="str">
            <v>NC1407</v>
          </cell>
          <cell r="C709" t="str">
            <v>Ngày công bậc 4,0/7</v>
          </cell>
          <cell r="D709" t="str">
            <v>công</v>
          </cell>
          <cell r="E709">
            <v>4.8</v>
          </cell>
          <cell r="F709">
            <v>194680.46052631579</v>
          </cell>
          <cell r="G709">
            <v>934466.21052631573</v>
          </cell>
        </row>
        <row r="710">
          <cell r="C710" t="str">
            <v>Máy thi công</v>
          </cell>
          <cell r="G710">
            <v>64251.979999999996</v>
          </cell>
        </row>
        <row r="711">
          <cell r="B711">
            <v>8004</v>
          </cell>
          <cell r="C711" t="str">
            <v>Máy lọc ép</v>
          </cell>
          <cell r="D711" t="str">
            <v>ca</v>
          </cell>
          <cell r="E711">
            <v>1.26</v>
          </cell>
          <cell r="F711">
            <v>24073</v>
          </cell>
          <cell r="G711">
            <v>30331.98</v>
          </cell>
        </row>
        <row r="712">
          <cell r="B712">
            <v>8011</v>
          </cell>
          <cell r="C712" t="str">
            <v>Máy bơm ly tâm</v>
          </cell>
          <cell r="D712" t="str">
            <v>ca</v>
          </cell>
          <cell r="E712">
            <v>0.44</v>
          </cell>
          <cell r="F712">
            <v>25135</v>
          </cell>
          <cell r="G712">
            <v>11059.4</v>
          </cell>
        </row>
        <row r="713">
          <cell r="B713">
            <v>8010</v>
          </cell>
          <cell r="C713" t="str">
            <v>Máy bơm chân không</v>
          </cell>
          <cell r="D713" t="str">
            <v>ca</v>
          </cell>
          <cell r="E713">
            <v>0.44</v>
          </cell>
          <cell r="F713">
            <v>21010</v>
          </cell>
          <cell r="G713">
            <v>9244.4</v>
          </cell>
        </row>
        <row r="714">
          <cell r="B714">
            <v>8005</v>
          </cell>
          <cell r="C714" t="str">
            <v>Máy thử cao áp AI-70</v>
          </cell>
          <cell r="D714" t="str">
            <v>ca</v>
          </cell>
          <cell r="E714">
            <v>0.1</v>
          </cell>
          <cell r="F714">
            <v>136162</v>
          </cell>
          <cell r="G714">
            <v>13616.2</v>
          </cell>
        </row>
        <row r="715">
          <cell r="A715" t="str">
            <v>T1.2051</v>
          </cell>
          <cell r="C715" t="str">
            <v>Lọc dầu bằng máy lọc dầu cải tạo YBM-2 (đã có máy hút chân không) hoặc tương đương; Mức điện áp trước khi lọc 15KV, mức điện áp sau khi lọc 25KV</v>
          </cell>
          <cell r="D715" t="str">
            <v>tấn</v>
          </cell>
          <cell r="H715">
            <v>11385</v>
          </cell>
          <cell r="I715">
            <v>389360.92105263157</v>
          </cell>
          <cell r="J715">
            <v>271262.76</v>
          </cell>
        </row>
        <row r="716">
          <cell r="C716" t="str">
            <v>Vật liệu</v>
          </cell>
          <cell r="G716">
            <v>11385</v>
          </cell>
        </row>
        <row r="717">
          <cell r="B717">
            <v>6</v>
          </cell>
          <cell r="C717" t="str">
            <v>Vải trắng</v>
          </cell>
          <cell r="D717" t="str">
            <v>m</v>
          </cell>
          <cell r="E717">
            <v>0.5</v>
          </cell>
          <cell r="F717">
            <v>15000</v>
          </cell>
          <cell r="G717">
            <v>7500</v>
          </cell>
        </row>
        <row r="718">
          <cell r="B718">
            <v>9</v>
          </cell>
          <cell r="C718" t="str">
            <v>Giẻ lau</v>
          </cell>
          <cell r="D718" t="str">
            <v>kg</v>
          </cell>
          <cell r="E718">
            <v>0.3</v>
          </cell>
          <cell r="F718">
            <v>9500</v>
          </cell>
          <cell r="G718">
            <v>2850</v>
          </cell>
        </row>
        <row r="719">
          <cell r="B719">
            <v>117</v>
          </cell>
          <cell r="C719" t="str">
            <v>Vật liệu khác</v>
          </cell>
          <cell r="D719" t="str">
            <v>%</v>
          </cell>
          <cell r="E719">
            <v>10</v>
          </cell>
          <cell r="G719">
            <v>1035</v>
          </cell>
        </row>
        <row r="720">
          <cell r="C720" t="str">
            <v>Nhân công</v>
          </cell>
          <cell r="G720">
            <v>389360.92105263157</v>
          </cell>
        </row>
        <row r="721">
          <cell r="B721" t="str">
            <v>NC1407</v>
          </cell>
          <cell r="C721" t="str">
            <v>Ngày công bậc 4,0/7</v>
          </cell>
          <cell r="D721" t="str">
            <v>công</v>
          </cell>
          <cell r="E721">
            <v>2</v>
          </cell>
          <cell r="F721">
            <v>194680.46052631579</v>
          </cell>
          <cell r="G721">
            <v>389360.92105263157</v>
          </cell>
        </row>
        <row r="722">
          <cell r="C722" t="str">
            <v>Máy thi công</v>
          </cell>
          <cell r="G722">
            <v>271262.76</v>
          </cell>
        </row>
        <row r="723">
          <cell r="B723">
            <v>8002</v>
          </cell>
          <cell r="C723" t="str">
            <v>Máy lọc dầu cải tạo YBM-2</v>
          </cell>
          <cell r="D723" t="str">
            <v>ca</v>
          </cell>
          <cell r="E723">
            <v>0.34</v>
          </cell>
          <cell r="F723">
            <v>757784</v>
          </cell>
          <cell r="G723">
            <v>257646.56000000003</v>
          </cell>
        </row>
        <row r="724">
          <cell r="B724">
            <v>8005</v>
          </cell>
          <cell r="C724" t="str">
            <v>Máy thử cao áp AI-70</v>
          </cell>
          <cell r="D724" t="str">
            <v>ca</v>
          </cell>
          <cell r="E724">
            <v>0.1</v>
          </cell>
          <cell r="F724">
            <v>136162</v>
          </cell>
          <cell r="G724">
            <v>13616.2</v>
          </cell>
        </row>
        <row r="725">
          <cell r="A725" t="str">
            <v>T1.2052</v>
          </cell>
          <cell r="C725" t="str">
            <v>Lọc dầu bằng máy lọc dầu cải tạo YBM-2 (đã có máy hút chân không) hoặc tương đương; Mức điện áp trước khi lọc 15KV, mức điện áp sau khi lọc 30KV</v>
          </cell>
          <cell r="D725" t="str">
            <v>tấn</v>
          </cell>
          <cell r="H725">
            <v>11385</v>
          </cell>
          <cell r="I725">
            <v>486701.15131578944</v>
          </cell>
          <cell r="J725">
            <v>331885.48</v>
          </cell>
        </row>
        <row r="726">
          <cell r="C726" t="str">
            <v>Vật liệu</v>
          </cell>
          <cell r="G726">
            <v>11385</v>
          </cell>
        </row>
        <row r="727">
          <cell r="B727">
            <v>6</v>
          </cell>
          <cell r="C727" t="str">
            <v>Vải trắng</v>
          </cell>
          <cell r="D727" t="str">
            <v>m</v>
          </cell>
          <cell r="E727">
            <v>0.5</v>
          </cell>
          <cell r="F727">
            <v>15000</v>
          </cell>
          <cell r="G727">
            <v>7500</v>
          </cell>
        </row>
        <row r="728">
          <cell r="B728">
            <v>9</v>
          </cell>
          <cell r="C728" t="str">
            <v>Giẻ lau</v>
          </cell>
          <cell r="D728" t="str">
            <v>kg</v>
          </cell>
          <cell r="E728">
            <v>0.3</v>
          </cell>
          <cell r="F728">
            <v>9500</v>
          </cell>
          <cell r="G728">
            <v>2850</v>
          </cell>
        </row>
        <row r="729">
          <cell r="B729">
            <v>117</v>
          </cell>
          <cell r="C729" t="str">
            <v>Vật liệu khác</v>
          </cell>
          <cell r="D729" t="str">
            <v>%</v>
          </cell>
          <cell r="E729">
            <v>10</v>
          </cell>
          <cell r="G729">
            <v>1035</v>
          </cell>
        </row>
        <row r="730">
          <cell r="C730" t="str">
            <v>Nhân công</v>
          </cell>
          <cell r="G730">
            <v>486701.15131578944</v>
          </cell>
        </row>
        <row r="731">
          <cell r="B731" t="str">
            <v>NC1407</v>
          </cell>
          <cell r="C731" t="str">
            <v>Ngày công bậc 4,0/7</v>
          </cell>
          <cell r="D731" t="str">
            <v>công</v>
          </cell>
          <cell r="E731">
            <v>2.5</v>
          </cell>
          <cell r="F731">
            <v>194680.46052631579</v>
          </cell>
          <cell r="G731">
            <v>486701.15131578944</v>
          </cell>
        </row>
        <row r="732">
          <cell r="C732" t="str">
            <v>Máy thi công</v>
          </cell>
          <cell r="G732">
            <v>331885.48</v>
          </cell>
        </row>
        <row r="733">
          <cell r="B733">
            <v>8002</v>
          </cell>
          <cell r="C733" t="str">
            <v>Máy lọc dầu cải tạo YBM-2</v>
          </cell>
          <cell r="D733" t="str">
            <v>ca</v>
          </cell>
          <cell r="E733">
            <v>0.42</v>
          </cell>
          <cell r="F733">
            <v>757784</v>
          </cell>
          <cell r="G733">
            <v>318269.27999999997</v>
          </cell>
        </row>
        <row r="734">
          <cell r="B734">
            <v>8005</v>
          </cell>
          <cell r="C734" t="str">
            <v>Máy thử cao áp AI-70</v>
          </cell>
          <cell r="D734" t="str">
            <v>ca</v>
          </cell>
          <cell r="E734">
            <v>0.1</v>
          </cell>
          <cell r="F734">
            <v>136162</v>
          </cell>
          <cell r="G734">
            <v>13616.2</v>
          </cell>
        </row>
        <row r="735">
          <cell r="A735" t="str">
            <v>T1.2053</v>
          </cell>
          <cell r="C735" t="str">
            <v>Lọc dầu bằng máy lọc dầu cải tạo YBM-2 (đã có máy hút chân không) hoặc tương đương; Mức điện áp trước khi lọc 15KV, mức điện áp sau khi lọc 35KV</v>
          </cell>
          <cell r="D735" t="str">
            <v>tấn</v>
          </cell>
          <cell r="H735">
            <v>11385</v>
          </cell>
          <cell r="I735">
            <v>584041.38157894742</v>
          </cell>
          <cell r="J735">
            <v>392508.2</v>
          </cell>
        </row>
        <row r="736">
          <cell r="C736" t="str">
            <v>Vật liệu</v>
          </cell>
          <cell r="G736">
            <v>11385</v>
          </cell>
        </row>
        <row r="737">
          <cell r="B737">
            <v>6</v>
          </cell>
          <cell r="C737" t="str">
            <v>Vải trắng</v>
          </cell>
          <cell r="D737" t="str">
            <v>m</v>
          </cell>
          <cell r="E737">
            <v>0.5</v>
          </cell>
          <cell r="F737">
            <v>15000</v>
          </cell>
          <cell r="G737">
            <v>7500</v>
          </cell>
        </row>
        <row r="738">
          <cell r="B738">
            <v>9</v>
          </cell>
          <cell r="C738" t="str">
            <v>Giẻ lau</v>
          </cell>
          <cell r="D738" t="str">
            <v>kg</v>
          </cell>
          <cell r="E738">
            <v>0.3</v>
          </cell>
          <cell r="F738">
            <v>9500</v>
          </cell>
          <cell r="G738">
            <v>2850</v>
          </cell>
        </row>
        <row r="739">
          <cell r="B739">
            <v>117</v>
          </cell>
          <cell r="C739" t="str">
            <v>Vật liệu khác</v>
          </cell>
          <cell r="D739" t="str">
            <v>%</v>
          </cell>
          <cell r="E739">
            <v>10</v>
          </cell>
          <cell r="G739">
            <v>1035</v>
          </cell>
        </row>
        <row r="740">
          <cell r="C740" t="str">
            <v>Nhân công</v>
          </cell>
          <cell r="G740">
            <v>584041.38157894742</v>
          </cell>
        </row>
        <row r="741">
          <cell r="B741" t="str">
            <v>NC1407</v>
          </cell>
          <cell r="C741" t="str">
            <v>Ngày công bậc 4,0/7</v>
          </cell>
          <cell r="D741" t="str">
            <v>công</v>
          </cell>
          <cell r="E741">
            <v>3</v>
          </cell>
          <cell r="F741">
            <v>194680.46052631579</v>
          </cell>
          <cell r="G741">
            <v>584041.38157894742</v>
          </cell>
        </row>
        <row r="742">
          <cell r="C742" t="str">
            <v>Máy thi công</v>
          </cell>
          <cell r="G742">
            <v>392508.2</v>
          </cell>
        </row>
        <row r="743">
          <cell r="B743">
            <v>8002</v>
          </cell>
          <cell r="C743" t="str">
            <v>Máy lọc dầu cải tạo YBM-2</v>
          </cell>
          <cell r="D743" t="str">
            <v>ca</v>
          </cell>
          <cell r="E743">
            <v>0.5</v>
          </cell>
          <cell r="F743">
            <v>757784</v>
          </cell>
          <cell r="G743">
            <v>378892</v>
          </cell>
        </row>
        <row r="744">
          <cell r="B744">
            <v>8005</v>
          </cell>
          <cell r="C744" t="str">
            <v>Máy thử cao áp AI-70</v>
          </cell>
          <cell r="D744" t="str">
            <v>ca</v>
          </cell>
          <cell r="E744">
            <v>0.1</v>
          </cell>
          <cell r="F744">
            <v>136162</v>
          </cell>
          <cell r="G744">
            <v>13616.2</v>
          </cell>
        </row>
        <row r="745">
          <cell r="A745" t="str">
            <v>T1.2054</v>
          </cell>
          <cell r="C745" t="str">
            <v>Lọc dầu bằng máy lọc dầu cải tạo YBM-2 (đã có máy hút chân không) hoặc tương đương; Mức điện áp trước khi lọc 15KV, mức điện áp sau khi lọc 40KV</v>
          </cell>
          <cell r="D745" t="str">
            <v>tấn</v>
          </cell>
          <cell r="H745">
            <v>11385</v>
          </cell>
          <cell r="I745">
            <v>739785.75</v>
          </cell>
          <cell r="J745">
            <v>483442.28</v>
          </cell>
        </row>
        <row r="746">
          <cell r="C746" t="str">
            <v>Vật liệu</v>
          </cell>
          <cell r="G746">
            <v>11385</v>
          </cell>
        </row>
        <row r="747">
          <cell r="B747">
            <v>6</v>
          </cell>
          <cell r="C747" t="str">
            <v>Vải trắng</v>
          </cell>
          <cell r="D747" t="str">
            <v>m</v>
          </cell>
          <cell r="E747">
            <v>0.5</v>
          </cell>
          <cell r="F747">
            <v>15000</v>
          </cell>
          <cell r="G747">
            <v>7500</v>
          </cell>
        </row>
        <row r="748">
          <cell r="B748">
            <v>9</v>
          </cell>
          <cell r="C748" t="str">
            <v>Giẻ lau</v>
          </cell>
          <cell r="D748" t="str">
            <v>kg</v>
          </cell>
          <cell r="E748">
            <v>0.3</v>
          </cell>
          <cell r="F748">
            <v>9500</v>
          </cell>
          <cell r="G748">
            <v>2850</v>
          </cell>
        </row>
        <row r="749">
          <cell r="B749">
            <v>117</v>
          </cell>
          <cell r="C749" t="str">
            <v>Vật liệu khác</v>
          </cell>
          <cell r="D749" t="str">
            <v>%</v>
          </cell>
          <cell r="E749">
            <v>10</v>
          </cell>
          <cell r="G749">
            <v>1035</v>
          </cell>
        </row>
        <row r="750">
          <cell r="C750" t="str">
            <v>Nhân công</v>
          </cell>
          <cell r="G750">
            <v>739785.75</v>
          </cell>
        </row>
        <row r="751">
          <cell r="B751" t="str">
            <v>NC1407</v>
          </cell>
          <cell r="C751" t="str">
            <v>Ngày công bậc 4,0/7</v>
          </cell>
          <cell r="D751" t="str">
            <v>công</v>
          </cell>
          <cell r="E751">
            <v>3.8</v>
          </cell>
          <cell r="F751">
            <v>194680.46052631579</v>
          </cell>
          <cell r="G751">
            <v>739785.75</v>
          </cell>
        </row>
        <row r="752">
          <cell r="C752" t="str">
            <v>Máy thi công</v>
          </cell>
          <cell r="G752">
            <v>483442.28</v>
          </cell>
        </row>
        <row r="753">
          <cell r="B753">
            <v>8002</v>
          </cell>
          <cell r="C753" t="str">
            <v>Máy lọc dầu cải tạo YBM-2</v>
          </cell>
          <cell r="D753" t="str">
            <v>ca</v>
          </cell>
          <cell r="E753">
            <v>0.62</v>
          </cell>
          <cell r="F753">
            <v>757784</v>
          </cell>
          <cell r="G753">
            <v>469826.08</v>
          </cell>
        </row>
        <row r="754">
          <cell r="B754">
            <v>8005</v>
          </cell>
          <cell r="C754" t="str">
            <v>Máy thử cao áp AI-70</v>
          </cell>
          <cell r="D754" t="str">
            <v>ca</v>
          </cell>
          <cell r="E754">
            <v>0.1</v>
          </cell>
          <cell r="F754">
            <v>136162</v>
          </cell>
          <cell r="G754">
            <v>13616.2</v>
          </cell>
        </row>
        <row r="755">
          <cell r="A755" t="str">
            <v>T1.2055</v>
          </cell>
          <cell r="C755" t="str">
            <v>Lọc dầu bằng máy lọc dầu cải tạo YBM-2 (đã có máy hút chân không) hoặc tương đương; Mức điện áp trước khi lọc 15KV, mức điện áp sau khi lọc 45KV</v>
          </cell>
          <cell r="D755" t="str">
            <v>tấn</v>
          </cell>
          <cell r="H755">
            <v>11385</v>
          </cell>
          <cell r="I755">
            <v>934466.21052631573</v>
          </cell>
          <cell r="J755">
            <v>589532.03999999992</v>
          </cell>
        </row>
        <row r="756">
          <cell r="C756" t="str">
            <v>Vật liệu</v>
          </cell>
          <cell r="G756">
            <v>11385</v>
          </cell>
        </row>
        <row r="757">
          <cell r="B757">
            <v>6</v>
          </cell>
          <cell r="C757" t="str">
            <v>Vải trắng</v>
          </cell>
          <cell r="D757" t="str">
            <v>m</v>
          </cell>
          <cell r="E757">
            <v>0.5</v>
          </cell>
          <cell r="F757">
            <v>15000</v>
          </cell>
          <cell r="G757">
            <v>7500</v>
          </cell>
        </row>
        <row r="758">
          <cell r="B758">
            <v>9</v>
          </cell>
          <cell r="C758" t="str">
            <v>Giẻ lau</v>
          </cell>
          <cell r="D758" t="str">
            <v>kg</v>
          </cell>
          <cell r="E758">
            <v>0.3</v>
          </cell>
          <cell r="F758">
            <v>9500</v>
          </cell>
          <cell r="G758">
            <v>2850</v>
          </cell>
        </row>
        <row r="759">
          <cell r="B759">
            <v>117</v>
          </cell>
          <cell r="C759" t="str">
            <v>Vật liệu khác</v>
          </cell>
          <cell r="D759" t="str">
            <v>%</v>
          </cell>
          <cell r="E759">
            <v>10</v>
          </cell>
          <cell r="G759">
            <v>1035</v>
          </cell>
        </row>
        <row r="760">
          <cell r="C760" t="str">
            <v>Nhân công</v>
          </cell>
          <cell r="G760">
            <v>934466.21052631573</v>
          </cell>
        </row>
        <row r="761">
          <cell r="B761" t="str">
            <v>NC1407</v>
          </cell>
          <cell r="C761" t="str">
            <v>Ngày công bậc 4,0/7</v>
          </cell>
          <cell r="D761" t="str">
            <v>công</v>
          </cell>
          <cell r="E761">
            <v>4.8</v>
          </cell>
          <cell r="F761">
            <v>194680.46052631579</v>
          </cell>
          <cell r="G761">
            <v>934466.21052631573</v>
          </cell>
        </row>
        <row r="762">
          <cell r="C762" t="str">
            <v>Máy thi công</v>
          </cell>
          <cell r="G762">
            <v>589532.03999999992</v>
          </cell>
        </row>
        <row r="763">
          <cell r="B763">
            <v>8002</v>
          </cell>
          <cell r="C763" t="str">
            <v>Máy lọc dầu cải tạo YBM-2</v>
          </cell>
          <cell r="D763" t="str">
            <v>ca</v>
          </cell>
          <cell r="E763">
            <v>0.76</v>
          </cell>
          <cell r="F763">
            <v>757784</v>
          </cell>
          <cell r="G763">
            <v>575915.84</v>
          </cell>
        </row>
        <row r="764">
          <cell r="B764">
            <v>8005</v>
          </cell>
          <cell r="C764" t="str">
            <v>Máy thử cao áp AI-70</v>
          </cell>
          <cell r="D764" t="str">
            <v>ca</v>
          </cell>
          <cell r="E764">
            <v>0.1</v>
          </cell>
          <cell r="F764">
            <v>136162</v>
          </cell>
          <cell r="G764">
            <v>13616.2</v>
          </cell>
        </row>
        <row r="765">
          <cell r="A765" t="str">
            <v>T1.2061</v>
          </cell>
          <cell r="C765" t="str">
            <v>Lọc dầu bằng máy lọc dầu hợp bộ KATO KLVC-4AXVSO hoặc tương đương; Mức điện áp trước khi lọc 15KV, mức điện áp sau khi lọc 25KV</v>
          </cell>
          <cell r="D765" t="str">
            <v>tấn</v>
          </cell>
          <cell r="H765">
            <v>11385</v>
          </cell>
          <cell r="I765">
            <v>389360.92105263157</v>
          </cell>
          <cell r="J765">
            <v>330156.77799999999</v>
          </cell>
        </row>
        <row r="766">
          <cell r="C766" t="str">
            <v>Vật liệu</v>
          </cell>
          <cell r="G766">
            <v>11385</v>
          </cell>
        </row>
        <row r="767">
          <cell r="B767">
            <v>6</v>
          </cell>
          <cell r="C767" t="str">
            <v>Vải trắng</v>
          </cell>
          <cell r="D767" t="str">
            <v>m</v>
          </cell>
          <cell r="E767">
            <v>0.5</v>
          </cell>
          <cell r="F767">
            <v>15000</v>
          </cell>
          <cell r="G767">
            <v>7500</v>
          </cell>
        </row>
        <row r="768">
          <cell r="B768">
            <v>9</v>
          </cell>
          <cell r="C768" t="str">
            <v>Giẻ lau</v>
          </cell>
          <cell r="D768" t="str">
            <v>kg</v>
          </cell>
          <cell r="E768">
            <v>0.3</v>
          </cell>
          <cell r="F768">
            <v>9500</v>
          </cell>
          <cell r="G768">
            <v>2850</v>
          </cell>
        </row>
        <row r="769">
          <cell r="B769">
            <v>117</v>
          </cell>
          <cell r="C769" t="str">
            <v>Vật liệu khác</v>
          </cell>
          <cell r="D769" t="str">
            <v>%</v>
          </cell>
          <cell r="E769">
            <v>10</v>
          </cell>
          <cell r="G769">
            <v>1035</v>
          </cell>
        </row>
        <row r="770">
          <cell r="C770" t="str">
            <v>Nhân công</v>
          </cell>
          <cell r="G770">
            <v>389360.92105263157</v>
          </cell>
        </row>
        <row r="771">
          <cell r="B771" t="str">
            <v>NC1407</v>
          </cell>
          <cell r="C771" t="str">
            <v>Ngày công bậc 4,0/7</v>
          </cell>
          <cell r="D771" t="str">
            <v>công</v>
          </cell>
          <cell r="E771">
            <v>2</v>
          </cell>
          <cell r="F771">
            <v>194680.46052631579</v>
          </cell>
          <cell r="G771">
            <v>389360.92105263157</v>
          </cell>
        </row>
        <row r="772">
          <cell r="C772" t="str">
            <v>Máy thi công</v>
          </cell>
          <cell r="G772">
            <v>330156.77799999999</v>
          </cell>
        </row>
        <row r="773">
          <cell r="B773">
            <v>8003</v>
          </cell>
          <cell r="C773" t="str">
            <v>Máy lọc dầu hợp bộ KATO KLVC-4AXVSO</v>
          </cell>
          <cell r="D773" t="str">
            <v>ca</v>
          </cell>
          <cell r="E773">
            <v>0.218</v>
          </cell>
          <cell r="F773">
            <v>1452021</v>
          </cell>
          <cell r="G773">
            <v>316540.57799999998</v>
          </cell>
        </row>
        <row r="774">
          <cell r="B774">
            <v>8005</v>
          </cell>
          <cell r="C774" t="str">
            <v>Máy thử cao áp AI-70</v>
          </cell>
          <cell r="D774" t="str">
            <v>ca</v>
          </cell>
          <cell r="E774">
            <v>0.1</v>
          </cell>
          <cell r="F774">
            <v>136162</v>
          </cell>
          <cell r="G774">
            <v>13616.2</v>
          </cell>
        </row>
        <row r="775">
          <cell r="A775" t="str">
            <v>T1.2062</v>
          </cell>
          <cell r="C775" t="str">
            <v>Lọc dầu bằng máy lọc dầu hợp bộ KATO KLVC-4AXVSO hoặc tương đương; Mức điện áp trước khi lọc 15KV, mức điện áp sau khi lọc 30KV</v>
          </cell>
          <cell r="D775" t="str">
            <v>tấn</v>
          </cell>
          <cell r="H775">
            <v>11643.75</v>
          </cell>
          <cell r="I775">
            <v>486701.15131578944</v>
          </cell>
          <cell r="J775">
            <v>404209.84900000005</v>
          </cell>
        </row>
        <row r="776">
          <cell r="C776" t="str">
            <v>Vật liệu</v>
          </cell>
          <cell r="G776">
            <v>11643.75</v>
          </cell>
        </row>
        <row r="777">
          <cell r="B777">
            <v>6</v>
          </cell>
          <cell r="C777" t="str">
            <v>Vải trắng</v>
          </cell>
          <cell r="D777" t="str">
            <v>m</v>
          </cell>
          <cell r="E777">
            <v>0.5</v>
          </cell>
          <cell r="F777">
            <v>15000</v>
          </cell>
          <cell r="G777">
            <v>7500</v>
          </cell>
        </row>
        <row r="778">
          <cell r="B778">
            <v>9</v>
          </cell>
          <cell r="C778" t="str">
            <v>Giẻ lau</v>
          </cell>
          <cell r="D778" t="str">
            <v>kg</v>
          </cell>
          <cell r="E778">
            <v>0.3</v>
          </cell>
          <cell r="F778">
            <v>9500</v>
          </cell>
          <cell r="G778">
            <v>2850</v>
          </cell>
        </row>
        <row r="779">
          <cell r="B779">
            <v>117</v>
          </cell>
          <cell r="C779" t="str">
            <v>Vật liệu khác</v>
          </cell>
          <cell r="D779" t="str">
            <v>%</v>
          </cell>
          <cell r="E779">
            <v>12.5</v>
          </cell>
          <cell r="G779">
            <v>1293.75</v>
          </cell>
        </row>
        <row r="780">
          <cell r="C780" t="str">
            <v>Nhân công</v>
          </cell>
          <cell r="G780">
            <v>486701.15131578944</v>
          </cell>
        </row>
        <row r="781">
          <cell r="B781" t="str">
            <v>NC1407</v>
          </cell>
          <cell r="C781" t="str">
            <v>Ngày công bậc 4,0/7</v>
          </cell>
          <cell r="D781" t="str">
            <v>công</v>
          </cell>
          <cell r="E781">
            <v>2.5</v>
          </cell>
          <cell r="F781">
            <v>194680.46052631579</v>
          </cell>
          <cell r="G781">
            <v>486701.15131578944</v>
          </cell>
        </row>
        <row r="782">
          <cell r="C782" t="str">
            <v>Máy thi công</v>
          </cell>
          <cell r="G782">
            <v>404209.84900000005</v>
          </cell>
        </row>
        <row r="783">
          <cell r="B783">
            <v>8003</v>
          </cell>
          <cell r="C783" t="str">
            <v>Máy lọc dầu hợp bộ KATO KLVC-4AXVSO</v>
          </cell>
          <cell r="D783" t="str">
            <v>ca</v>
          </cell>
          <cell r="E783">
            <v>0.26900000000000002</v>
          </cell>
          <cell r="F783">
            <v>1452021</v>
          </cell>
          <cell r="G783">
            <v>390593.64900000003</v>
          </cell>
        </row>
        <row r="784">
          <cell r="B784">
            <v>8005</v>
          </cell>
          <cell r="C784" t="str">
            <v>Máy thử cao áp AI-70</v>
          </cell>
          <cell r="D784" t="str">
            <v>ca</v>
          </cell>
          <cell r="E784">
            <v>0.1</v>
          </cell>
          <cell r="F784">
            <v>136162</v>
          </cell>
          <cell r="G784">
            <v>13616.2</v>
          </cell>
        </row>
        <row r="785">
          <cell r="A785" t="str">
            <v>T1.2063</v>
          </cell>
          <cell r="C785" t="str">
            <v>Lọc dầu bằng máy lọc dầu hợp bộ KATO KLVC-4AXVSO hoặc tương đương; Mức điện áp trước khi lọc 15KV, mức điện áp sau khi lọc 35KV</v>
          </cell>
          <cell r="D785" t="str">
            <v>tấn</v>
          </cell>
          <cell r="H785">
            <v>11902.5</v>
          </cell>
          <cell r="I785">
            <v>584041.38157894742</v>
          </cell>
          <cell r="J785">
            <v>479714.94100000005</v>
          </cell>
        </row>
        <row r="786">
          <cell r="C786" t="str">
            <v>Vật liệu</v>
          </cell>
          <cell r="G786">
            <v>11902.5</v>
          </cell>
        </row>
        <row r="787">
          <cell r="B787">
            <v>6</v>
          </cell>
          <cell r="C787" t="str">
            <v>Vải trắng</v>
          </cell>
          <cell r="D787" t="str">
            <v>m</v>
          </cell>
          <cell r="E787">
            <v>0.5</v>
          </cell>
          <cell r="F787">
            <v>15000</v>
          </cell>
          <cell r="G787">
            <v>7500</v>
          </cell>
        </row>
        <row r="788">
          <cell r="B788">
            <v>9</v>
          </cell>
          <cell r="C788" t="str">
            <v>Giẻ lau</v>
          </cell>
          <cell r="D788" t="str">
            <v>kg</v>
          </cell>
          <cell r="E788">
            <v>0.3</v>
          </cell>
          <cell r="F788">
            <v>9500</v>
          </cell>
          <cell r="G788">
            <v>2850</v>
          </cell>
        </row>
        <row r="789">
          <cell r="B789">
            <v>117</v>
          </cell>
          <cell r="C789" t="str">
            <v>Vật liệu khác</v>
          </cell>
          <cell r="D789" t="str">
            <v>%</v>
          </cell>
          <cell r="E789">
            <v>15</v>
          </cell>
          <cell r="G789">
            <v>1552.5</v>
          </cell>
        </row>
        <row r="790">
          <cell r="C790" t="str">
            <v>Nhân công</v>
          </cell>
          <cell r="G790">
            <v>584041.38157894742</v>
          </cell>
        </row>
        <row r="791">
          <cell r="B791" t="str">
            <v>NC1407</v>
          </cell>
          <cell r="C791" t="str">
            <v>Ngày công bậc 4,0/7</v>
          </cell>
          <cell r="D791" t="str">
            <v>công</v>
          </cell>
          <cell r="E791">
            <v>3</v>
          </cell>
          <cell r="F791">
            <v>194680.46052631579</v>
          </cell>
          <cell r="G791">
            <v>584041.38157894742</v>
          </cell>
        </row>
        <row r="792">
          <cell r="C792" t="str">
            <v>Máy thi công</v>
          </cell>
          <cell r="G792">
            <v>479714.94100000005</v>
          </cell>
        </row>
        <row r="793">
          <cell r="B793">
            <v>8003</v>
          </cell>
          <cell r="C793" t="str">
            <v>Máy lọc dầu hợp bộ KATO KLVC-4AXVSO</v>
          </cell>
          <cell r="D793" t="str">
            <v>ca</v>
          </cell>
          <cell r="E793">
            <v>0.32100000000000001</v>
          </cell>
          <cell r="F793">
            <v>1452021</v>
          </cell>
          <cell r="G793">
            <v>466098.74100000004</v>
          </cell>
        </row>
        <row r="794">
          <cell r="B794">
            <v>8005</v>
          </cell>
          <cell r="C794" t="str">
            <v>Máy thử cao áp AI-70</v>
          </cell>
          <cell r="D794" t="str">
            <v>ca</v>
          </cell>
          <cell r="E794">
            <v>0.1</v>
          </cell>
          <cell r="F794">
            <v>136162</v>
          </cell>
          <cell r="G794">
            <v>13616.2</v>
          </cell>
        </row>
        <row r="795">
          <cell r="A795" t="str">
            <v>T1.2064</v>
          </cell>
          <cell r="C795" t="str">
            <v>Lọc dầu bằng máy lọc dầu hợp bộ KATO KLVC-4AXVSO hoặc tương đương; Mức điện áp trước khi lọc 15KV, mức điện áp sau khi lọc 40KV</v>
          </cell>
          <cell r="D795" t="str">
            <v>tấn</v>
          </cell>
          <cell r="H795">
            <v>12109.5</v>
          </cell>
          <cell r="I795">
            <v>739785.75</v>
          </cell>
          <cell r="J795">
            <v>565384.17999999993</v>
          </cell>
        </row>
        <row r="796">
          <cell r="C796" t="str">
            <v>Vật liệu</v>
          </cell>
          <cell r="G796">
            <v>12109.5</v>
          </cell>
        </row>
        <row r="797">
          <cell r="B797">
            <v>6</v>
          </cell>
          <cell r="C797" t="str">
            <v>Vải trắng</v>
          </cell>
          <cell r="D797" t="str">
            <v>m</v>
          </cell>
          <cell r="E797">
            <v>0.5</v>
          </cell>
          <cell r="F797">
            <v>15000</v>
          </cell>
          <cell r="G797">
            <v>7500</v>
          </cell>
        </row>
        <row r="798">
          <cell r="B798">
            <v>9</v>
          </cell>
          <cell r="C798" t="str">
            <v>Giẻ lau</v>
          </cell>
          <cell r="D798" t="str">
            <v>kg</v>
          </cell>
          <cell r="E798">
            <v>0.3</v>
          </cell>
          <cell r="F798">
            <v>9500</v>
          </cell>
          <cell r="G798">
            <v>2850</v>
          </cell>
        </row>
        <row r="799">
          <cell r="B799">
            <v>117</v>
          </cell>
          <cell r="C799" t="str">
            <v>Vật liệu khác</v>
          </cell>
          <cell r="D799" t="str">
            <v>%</v>
          </cell>
          <cell r="E799">
            <v>17</v>
          </cell>
          <cell r="G799">
            <v>1759.5000000000002</v>
          </cell>
        </row>
        <row r="800">
          <cell r="C800" t="str">
            <v>Nhân công</v>
          </cell>
          <cell r="G800">
            <v>739785.75</v>
          </cell>
        </row>
        <row r="801">
          <cell r="B801" t="str">
            <v>NC1407</v>
          </cell>
          <cell r="C801" t="str">
            <v>Ngày công bậc 4,0/7</v>
          </cell>
          <cell r="D801" t="str">
            <v>công</v>
          </cell>
          <cell r="E801">
            <v>3.8</v>
          </cell>
          <cell r="F801">
            <v>194680.46052631579</v>
          </cell>
          <cell r="G801">
            <v>739785.75</v>
          </cell>
        </row>
        <row r="802">
          <cell r="C802" t="str">
            <v>Máy thi công</v>
          </cell>
          <cell r="G802">
            <v>565384.17999999993</v>
          </cell>
        </row>
        <row r="803">
          <cell r="B803">
            <v>8003</v>
          </cell>
          <cell r="C803" t="str">
            <v>Máy lọc dầu hợp bộ KATO KLVC-4AXVSO</v>
          </cell>
          <cell r="D803" t="str">
            <v>ca</v>
          </cell>
          <cell r="E803">
            <v>0.38</v>
          </cell>
          <cell r="F803">
            <v>1452021</v>
          </cell>
          <cell r="G803">
            <v>551767.98</v>
          </cell>
        </row>
        <row r="804">
          <cell r="B804">
            <v>8005</v>
          </cell>
          <cell r="C804" t="str">
            <v>Máy thử cao áp AI-70</v>
          </cell>
          <cell r="D804" t="str">
            <v>ca</v>
          </cell>
          <cell r="E804">
            <v>0.1</v>
          </cell>
          <cell r="F804">
            <v>136162</v>
          </cell>
          <cell r="G804">
            <v>13616.2</v>
          </cell>
        </row>
        <row r="805">
          <cell r="A805" t="str">
            <v>T1.2065</v>
          </cell>
          <cell r="C805" t="str">
            <v>Lọc dầu bằng máy lọc dầu hợp bộ KATO KLVC-4AXVSO hoặc tương đương; Mức điện áp trước khi lọc 15KV, mức điện áp sau khi lọc 45KV</v>
          </cell>
          <cell r="D805" t="str">
            <v>tấn</v>
          </cell>
          <cell r="H805">
            <v>12316.5</v>
          </cell>
          <cell r="I805">
            <v>934466.21052631573</v>
          </cell>
          <cell r="J805">
            <v>652505.43999999994</v>
          </cell>
        </row>
        <row r="806">
          <cell r="C806" t="str">
            <v>Vật liệu</v>
          </cell>
          <cell r="G806">
            <v>12316.5</v>
          </cell>
        </row>
        <row r="807">
          <cell r="B807">
            <v>6</v>
          </cell>
          <cell r="C807" t="str">
            <v>Vải trắng</v>
          </cell>
          <cell r="D807" t="str">
            <v>m</v>
          </cell>
          <cell r="E807">
            <v>0.5</v>
          </cell>
          <cell r="F807">
            <v>15000</v>
          </cell>
          <cell r="G807">
            <v>7500</v>
          </cell>
        </row>
        <row r="808">
          <cell r="B808">
            <v>9</v>
          </cell>
          <cell r="C808" t="str">
            <v>Giẻ lau</v>
          </cell>
          <cell r="D808" t="str">
            <v>kg</v>
          </cell>
          <cell r="E808">
            <v>0.3</v>
          </cell>
          <cell r="F808">
            <v>9500</v>
          </cell>
          <cell r="G808">
            <v>2850</v>
          </cell>
        </row>
        <row r="809">
          <cell r="B809">
            <v>117</v>
          </cell>
          <cell r="C809" t="str">
            <v>Vật liệu khác</v>
          </cell>
          <cell r="D809" t="str">
            <v>%</v>
          </cell>
          <cell r="E809">
            <v>19</v>
          </cell>
          <cell r="G809">
            <v>1966.5</v>
          </cell>
        </row>
        <row r="810">
          <cell r="C810" t="str">
            <v>Nhân công</v>
          </cell>
          <cell r="G810">
            <v>934466.21052631573</v>
          </cell>
        </row>
        <row r="811">
          <cell r="B811" t="str">
            <v>NC1407</v>
          </cell>
          <cell r="C811" t="str">
            <v>Ngày công bậc 4,0/7</v>
          </cell>
          <cell r="D811" t="str">
            <v>công</v>
          </cell>
          <cell r="E811">
            <v>4.8</v>
          </cell>
          <cell r="F811">
            <v>194680.46052631579</v>
          </cell>
          <cell r="G811">
            <v>934466.21052631573</v>
          </cell>
        </row>
        <row r="812">
          <cell r="C812" t="str">
            <v>Máy thi công</v>
          </cell>
          <cell r="G812">
            <v>652505.43999999994</v>
          </cell>
        </row>
        <row r="813">
          <cell r="B813">
            <v>8003</v>
          </cell>
          <cell r="C813" t="str">
            <v>Máy lọc dầu hợp bộ KATO KLVC-4AXVSO</v>
          </cell>
          <cell r="D813" t="str">
            <v>ca</v>
          </cell>
          <cell r="E813">
            <v>0.44</v>
          </cell>
          <cell r="F813">
            <v>1452021</v>
          </cell>
          <cell r="G813">
            <v>638889.24</v>
          </cell>
        </row>
        <row r="814">
          <cell r="B814">
            <v>8005</v>
          </cell>
          <cell r="C814" t="str">
            <v>Máy thử cao áp AI-70</v>
          </cell>
          <cell r="D814" t="str">
            <v>ca</v>
          </cell>
          <cell r="E814">
            <v>0.1</v>
          </cell>
          <cell r="F814">
            <v>136162</v>
          </cell>
          <cell r="G814">
            <v>13616.2</v>
          </cell>
        </row>
        <row r="815">
          <cell r="A815" t="str">
            <v>T1.2071</v>
          </cell>
          <cell r="C815" t="str">
            <v>Lọc dầu bằng máy lọc ép; Mức điện áp trước khi lọc 20KV, mức điện áp sau khi lọc 25KV</v>
          </cell>
          <cell r="D815" t="str">
            <v>tấn</v>
          </cell>
          <cell r="H815">
            <v>11643.75</v>
          </cell>
          <cell r="I815">
            <v>292020.69078947371</v>
          </cell>
          <cell r="J815">
            <v>31110.06</v>
          </cell>
        </row>
        <row r="816">
          <cell r="C816" t="str">
            <v>Vật liệu</v>
          </cell>
          <cell r="G816">
            <v>11643.75</v>
          </cell>
        </row>
        <row r="817">
          <cell r="B817">
            <v>6</v>
          </cell>
          <cell r="C817" t="str">
            <v>Vải trắng</v>
          </cell>
          <cell r="D817" t="str">
            <v>m</v>
          </cell>
          <cell r="E817">
            <v>0.5</v>
          </cell>
          <cell r="F817">
            <v>15000</v>
          </cell>
          <cell r="G817">
            <v>7500</v>
          </cell>
        </row>
        <row r="818">
          <cell r="B818">
            <v>9</v>
          </cell>
          <cell r="C818" t="str">
            <v>Giẻ lau</v>
          </cell>
          <cell r="D818" t="str">
            <v>kg</v>
          </cell>
          <cell r="E818">
            <v>0.3</v>
          </cell>
          <cell r="F818">
            <v>9500</v>
          </cell>
          <cell r="G818">
            <v>2850</v>
          </cell>
        </row>
        <row r="819">
          <cell r="B819">
            <v>117</v>
          </cell>
          <cell r="C819" t="str">
            <v>Vật liệu khác</v>
          </cell>
          <cell r="D819" t="str">
            <v>%</v>
          </cell>
          <cell r="E819">
            <v>12.5</v>
          </cell>
          <cell r="G819">
            <v>1293.75</v>
          </cell>
        </row>
        <row r="820">
          <cell r="C820" t="str">
            <v>Nhân công</v>
          </cell>
          <cell r="G820">
            <v>292020.69078947371</v>
          </cell>
        </row>
        <row r="821">
          <cell r="B821" t="str">
            <v>NC1407</v>
          </cell>
          <cell r="C821" t="str">
            <v>Ngày công bậc 4,0/7</v>
          </cell>
          <cell r="D821" t="str">
            <v>công</v>
          </cell>
          <cell r="E821">
            <v>1.5</v>
          </cell>
          <cell r="F821">
            <v>194680.46052631579</v>
          </cell>
          <cell r="G821">
            <v>292020.69078947371</v>
          </cell>
        </row>
        <row r="822">
          <cell r="C822" t="str">
            <v>Máy thi công</v>
          </cell>
          <cell r="G822">
            <v>31110.06</v>
          </cell>
        </row>
        <row r="823">
          <cell r="B823">
            <v>8004</v>
          </cell>
          <cell r="C823" t="str">
            <v>Máy lọc ép</v>
          </cell>
          <cell r="D823" t="str">
            <v>ca</v>
          </cell>
          <cell r="E823">
            <v>0.42</v>
          </cell>
          <cell r="F823">
            <v>24073</v>
          </cell>
          <cell r="G823">
            <v>10110.66</v>
          </cell>
        </row>
        <row r="824">
          <cell r="B824">
            <v>8011</v>
          </cell>
          <cell r="C824" t="str">
            <v>Máy bơm ly tâm</v>
          </cell>
          <cell r="D824" t="str">
            <v>ca</v>
          </cell>
          <cell r="E824">
            <v>0.16</v>
          </cell>
          <cell r="F824">
            <v>25135</v>
          </cell>
          <cell r="G824">
            <v>4021.6</v>
          </cell>
        </row>
        <row r="825">
          <cell r="B825">
            <v>8010</v>
          </cell>
          <cell r="C825" t="str">
            <v>Máy bơm chân không</v>
          </cell>
          <cell r="D825" t="str">
            <v>ca</v>
          </cell>
          <cell r="E825">
            <v>0.16</v>
          </cell>
          <cell r="F825">
            <v>21010</v>
          </cell>
          <cell r="G825">
            <v>3361.6</v>
          </cell>
        </row>
        <row r="826">
          <cell r="B826">
            <v>8005</v>
          </cell>
          <cell r="C826" t="str">
            <v>Máy thử cao áp AI-70</v>
          </cell>
          <cell r="D826" t="str">
            <v>ca</v>
          </cell>
          <cell r="E826">
            <v>0.1</v>
          </cell>
          <cell r="F826">
            <v>136162</v>
          </cell>
          <cell r="G826">
            <v>13616.2</v>
          </cell>
        </row>
        <row r="827">
          <cell r="A827" t="str">
            <v>T1.2072</v>
          </cell>
          <cell r="C827" t="str">
            <v>Lọc dầu bằng máy lọc ép; Mức điện áp trước khi lọc 20KV, mức điện áp sau khi lọc 30KV</v>
          </cell>
          <cell r="D827" t="str">
            <v>tấn</v>
          </cell>
          <cell r="H827">
            <v>11902.5</v>
          </cell>
          <cell r="I827">
            <v>389360.92105263157</v>
          </cell>
          <cell r="J827">
            <v>35864.630000000005</v>
          </cell>
        </row>
        <row r="828">
          <cell r="C828" t="str">
            <v>Vật liệu</v>
          </cell>
          <cell r="G828">
            <v>11902.5</v>
          </cell>
        </row>
        <row r="829">
          <cell r="B829">
            <v>6</v>
          </cell>
          <cell r="C829" t="str">
            <v>Vải trắng</v>
          </cell>
          <cell r="D829" t="str">
            <v>m</v>
          </cell>
          <cell r="E829">
            <v>0.5</v>
          </cell>
          <cell r="F829">
            <v>15000</v>
          </cell>
          <cell r="G829">
            <v>7500</v>
          </cell>
        </row>
        <row r="830">
          <cell r="B830">
            <v>9</v>
          </cell>
          <cell r="C830" t="str">
            <v>Giẻ lau</v>
          </cell>
          <cell r="D830" t="str">
            <v>kg</v>
          </cell>
          <cell r="E830">
            <v>0.3</v>
          </cell>
          <cell r="F830">
            <v>9500</v>
          </cell>
          <cell r="G830">
            <v>2850</v>
          </cell>
        </row>
        <row r="831">
          <cell r="B831">
            <v>117</v>
          </cell>
          <cell r="C831" t="str">
            <v>Vật liệu khác</v>
          </cell>
          <cell r="D831" t="str">
            <v>%</v>
          </cell>
          <cell r="E831">
            <v>15</v>
          </cell>
          <cell r="G831">
            <v>1552.5</v>
          </cell>
        </row>
        <row r="832">
          <cell r="C832" t="str">
            <v>Nhân công</v>
          </cell>
          <cell r="G832">
            <v>389360.92105263157</v>
          </cell>
        </row>
        <row r="833">
          <cell r="B833" t="str">
            <v>NC1407</v>
          </cell>
          <cell r="C833" t="str">
            <v>Ngày công bậc 4,0/7</v>
          </cell>
          <cell r="D833" t="str">
            <v>công</v>
          </cell>
          <cell r="E833">
            <v>2</v>
          </cell>
          <cell r="F833">
            <v>194680.46052631579</v>
          </cell>
          <cell r="G833">
            <v>389360.92105263157</v>
          </cell>
        </row>
        <row r="834">
          <cell r="C834" t="str">
            <v>Máy thi công</v>
          </cell>
          <cell r="G834">
            <v>35864.630000000005</v>
          </cell>
        </row>
        <row r="835">
          <cell r="B835">
            <v>8004</v>
          </cell>
          <cell r="C835" t="str">
            <v>Máy lọc ép</v>
          </cell>
          <cell r="D835" t="str">
            <v>ca</v>
          </cell>
          <cell r="E835">
            <v>0.56000000000000005</v>
          </cell>
          <cell r="F835">
            <v>24073</v>
          </cell>
          <cell r="G835">
            <v>13480.880000000001</v>
          </cell>
        </row>
        <row r="836">
          <cell r="B836">
            <v>8011</v>
          </cell>
          <cell r="C836" t="str">
            <v>Máy bơm ly tâm</v>
          </cell>
          <cell r="D836" t="str">
            <v>ca</v>
          </cell>
          <cell r="E836">
            <v>0.19</v>
          </cell>
          <cell r="F836">
            <v>25135</v>
          </cell>
          <cell r="G836">
            <v>4775.6499999999996</v>
          </cell>
        </row>
        <row r="837">
          <cell r="B837">
            <v>8010</v>
          </cell>
          <cell r="C837" t="str">
            <v>Máy bơm chân không</v>
          </cell>
          <cell r="D837" t="str">
            <v>ca</v>
          </cell>
          <cell r="E837">
            <v>0.19</v>
          </cell>
          <cell r="F837">
            <v>21010</v>
          </cell>
          <cell r="G837">
            <v>3991.9</v>
          </cell>
        </row>
        <row r="838">
          <cell r="B838">
            <v>8005</v>
          </cell>
          <cell r="C838" t="str">
            <v>Máy thử cao áp AI-70</v>
          </cell>
          <cell r="D838" t="str">
            <v>ca</v>
          </cell>
          <cell r="E838">
            <v>0.1</v>
          </cell>
          <cell r="F838">
            <v>136162</v>
          </cell>
          <cell r="G838">
            <v>13616.2</v>
          </cell>
        </row>
        <row r="839">
          <cell r="A839" t="str">
            <v>T1.2073</v>
          </cell>
          <cell r="C839" t="str">
            <v>Lọc dầu bằng máy lọc ép; Mức điện áp trước khi lọc 20KV, mức điện áp sau khi lọc 35KV</v>
          </cell>
          <cell r="D839" t="str">
            <v>tấn</v>
          </cell>
          <cell r="H839">
            <v>12161.25</v>
          </cell>
          <cell r="I839">
            <v>486701.15131578944</v>
          </cell>
          <cell r="J839">
            <v>41562.11</v>
          </cell>
        </row>
        <row r="840">
          <cell r="C840" t="str">
            <v>Vật liệu</v>
          </cell>
          <cell r="G840">
            <v>12161.25</v>
          </cell>
        </row>
        <row r="841">
          <cell r="B841">
            <v>6</v>
          </cell>
          <cell r="C841" t="str">
            <v>Vải trắng</v>
          </cell>
          <cell r="D841" t="str">
            <v>m</v>
          </cell>
          <cell r="E841">
            <v>0.5</v>
          </cell>
          <cell r="F841">
            <v>15000</v>
          </cell>
          <cell r="G841">
            <v>7500</v>
          </cell>
        </row>
        <row r="842">
          <cell r="B842">
            <v>9</v>
          </cell>
          <cell r="C842" t="str">
            <v>Giẻ lau</v>
          </cell>
          <cell r="D842" t="str">
            <v>kg</v>
          </cell>
          <cell r="E842">
            <v>0.3</v>
          </cell>
          <cell r="F842">
            <v>9500</v>
          </cell>
          <cell r="G842">
            <v>2850</v>
          </cell>
        </row>
        <row r="843">
          <cell r="B843">
            <v>117</v>
          </cell>
          <cell r="C843" t="str">
            <v>Vật liệu khác</v>
          </cell>
          <cell r="D843" t="str">
            <v>%</v>
          </cell>
          <cell r="E843">
            <v>17.5</v>
          </cell>
          <cell r="G843">
            <v>1811.2499999999998</v>
          </cell>
        </row>
        <row r="844">
          <cell r="C844" t="str">
            <v>Nhân công</v>
          </cell>
          <cell r="G844">
            <v>486701.15131578944</v>
          </cell>
        </row>
        <row r="845">
          <cell r="B845" t="str">
            <v>NC1407</v>
          </cell>
          <cell r="C845" t="str">
            <v>Ngày công bậc 4,0/7</v>
          </cell>
          <cell r="D845" t="str">
            <v>công</v>
          </cell>
          <cell r="E845">
            <v>2.5</v>
          </cell>
          <cell r="F845">
            <v>194680.46052631579</v>
          </cell>
          <cell r="G845">
            <v>486701.15131578944</v>
          </cell>
        </row>
        <row r="846">
          <cell r="C846" t="str">
            <v>Máy thi công</v>
          </cell>
          <cell r="G846">
            <v>41562.11</v>
          </cell>
        </row>
        <row r="847">
          <cell r="B847">
            <v>8004</v>
          </cell>
          <cell r="C847" t="str">
            <v>Máy lọc ép</v>
          </cell>
          <cell r="D847" t="str">
            <v>ca</v>
          </cell>
          <cell r="E847">
            <v>0.72</v>
          </cell>
          <cell r="F847">
            <v>24073</v>
          </cell>
          <cell r="G847">
            <v>17332.559999999998</v>
          </cell>
        </row>
        <row r="848">
          <cell r="B848">
            <v>8011</v>
          </cell>
          <cell r="C848" t="str">
            <v>Máy bơm ly tâm</v>
          </cell>
          <cell r="D848" t="str">
            <v>ca</v>
          </cell>
          <cell r="E848">
            <v>0.23</v>
          </cell>
          <cell r="F848">
            <v>25135</v>
          </cell>
          <cell r="G848">
            <v>5781.05</v>
          </cell>
        </row>
        <row r="849">
          <cell r="B849">
            <v>8010</v>
          </cell>
          <cell r="C849" t="str">
            <v>Máy bơm chân không</v>
          </cell>
          <cell r="D849" t="str">
            <v>ca</v>
          </cell>
          <cell r="E849">
            <v>0.23</v>
          </cell>
          <cell r="F849">
            <v>21010</v>
          </cell>
          <cell r="G849">
            <v>4832.3</v>
          </cell>
        </row>
        <row r="850">
          <cell r="B850">
            <v>8005</v>
          </cell>
          <cell r="C850" t="str">
            <v>Máy thử cao áp AI-70</v>
          </cell>
          <cell r="D850" t="str">
            <v>ca</v>
          </cell>
          <cell r="E850">
            <v>0.1</v>
          </cell>
          <cell r="F850">
            <v>136162</v>
          </cell>
          <cell r="G850">
            <v>13616.2</v>
          </cell>
        </row>
        <row r="851">
          <cell r="A851" t="str">
            <v>T1.2074</v>
          </cell>
          <cell r="C851" t="str">
            <v>Lọc dầu bằng máy lọc ép; Mức điện áp trước khi lọc 20KV, mức điện áp sau khi lọc 40KV</v>
          </cell>
          <cell r="D851" t="str">
            <v>tấn</v>
          </cell>
          <cell r="H851">
            <v>12316.5</v>
          </cell>
          <cell r="I851">
            <v>622977.47368421056</v>
          </cell>
          <cell r="J851">
            <v>46778.130000000005</v>
          </cell>
        </row>
        <row r="852">
          <cell r="C852" t="str">
            <v>Vật liệu</v>
          </cell>
          <cell r="G852">
            <v>12316.5</v>
          </cell>
        </row>
        <row r="853">
          <cell r="B853">
            <v>6</v>
          </cell>
          <cell r="C853" t="str">
            <v>Vải trắng</v>
          </cell>
          <cell r="D853" t="str">
            <v>m</v>
          </cell>
          <cell r="E853">
            <v>0.5</v>
          </cell>
          <cell r="F853">
            <v>15000</v>
          </cell>
          <cell r="G853">
            <v>7500</v>
          </cell>
        </row>
        <row r="854">
          <cell r="B854">
            <v>9</v>
          </cell>
          <cell r="C854" t="str">
            <v>Giẻ lau</v>
          </cell>
          <cell r="D854" t="str">
            <v>kg</v>
          </cell>
          <cell r="E854">
            <v>0.3</v>
          </cell>
          <cell r="F854">
            <v>9500</v>
          </cell>
          <cell r="G854">
            <v>2850</v>
          </cell>
        </row>
        <row r="855">
          <cell r="B855">
            <v>117</v>
          </cell>
          <cell r="C855" t="str">
            <v>Vật liệu khác</v>
          </cell>
          <cell r="D855" t="str">
            <v>%</v>
          </cell>
          <cell r="E855">
            <v>19</v>
          </cell>
          <cell r="G855">
            <v>1966.5</v>
          </cell>
        </row>
        <row r="856">
          <cell r="C856" t="str">
            <v>Nhân công</v>
          </cell>
          <cell r="G856">
            <v>622977.47368421056</v>
          </cell>
        </row>
        <row r="857">
          <cell r="B857" t="str">
            <v>NC1407</v>
          </cell>
          <cell r="C857" t="str">
            <v>Ngày công bậc 4,0/7</v>
          </cell>
          <cell r="D857" t="str">
            <v>công</v>
          </cell>
          <cell r="E857">
            <v>3.2</v>
          </cell>
          <cell r="F857">
            <v>194680.46052631579</v>
          </cell>
          <cell r="G857">
            <v>622977.47368421056</v>
          </cell>
        </row>
        <row r="858">
          <cell r="C858" t="str">
            <v>Máy thi công</v>
          </cell>
          <cell r="G858">
            <v>46778.130000000005</v>
          </cell>
        </row>
        <row r="859">
          <cell r="B859">
            <v>8004</v>
          </cell>
          <cell r="C859" t="str">
            <v>Máy lọc ép</v>
          </cell>
          <cell r="D859" t="str">
            <v>ca</v>
          </cell>
          <cell r="E859">
            <v>0.86</v>
          </cell>
          <cell r="F859">
            <v>24073</v>
          </cell>
          <cell r="G859">
            <v>20702.78</v>
          </cell>
        </row>
        <row r="860">
          <cell r="B860">
            <v>8011</v>
          </cell>
          <cell r="C860" t="str">
            <v>Máy bơm ly tâm</v>
          </cell>
          <cell r="D860" t="str">
            <v>ca</v>
          </cell>
          <cell r="E860">
            <v>0.27</v>
          </cell>
          <cell r="F860">
            <v>25135</v>
          </cell>
          <cell r="G860">
            <v>6786.4500000000007</v>
          </cell>
        </row>
        <row r="861">
          <cell r="B861">
            <v>8010</v>
          </cell>
          <cell r="C861" t="str">
            <v>Máy bơm chân không</v>
          </cell>
          <cell r="D861" t="str">
            <v>ca</v>
          </cell>
          <cell r="E861">
            <v>0.27</v>
          </cell>
          <cell r="F861">
            <v>21010</v>
          </cell>
          <cell r="G861">
            <v>5672.7000000000007</v>
          </cell>
        </row>
        <row r="862">
          <cell r="B862">
            <v>8005</v>
          </cell>
          <cell r="C862" t="str">
            <v>Máy thử cao áp AI-70</v>
          </cell>
          <cell r="D862" t="str">
            <v>ca</v>
          </cell>
          <cell r="E862">
            <v>0.1</v>
          </cell>
          <cell r="F862">
            <v>136162</v>
          </cell>
          <cell r="G862">
            <v>13616.2</v>
          </cell>
        </row>
        <row r="863">
          <cell r="A863" t="str">
            <v>T1.2075</v>
          </cell>
          <cell r="C863" t="str">
            <v>Lọc dầu bằng máy lọc ép; Mức điện áp trước khi lọc 20KV, mức điện áp sau khi lọc 45KV</v>
          </cell>
          <cell r="D863" t="str">
            <v>tấn</v>
          </cell>
          <cell r="H863">
            <v>12471.75</v>
          </cell>
          <cell r="I863">
            <v>778721.84210526315</v>
          </cell>
          <cell r="J863">
            <v>53879.97</v>
          </cell>
        </row>
        <row r="864">
          <cell r="C864" t="str">
            <v>Vật liệu</v>
          </cell>
          <cell r="G864">
            <v>12471.75</v>
          </cell>
        </row>
        <row r="865">
          <cell r="B865">
            <v>6</v>
          </cell>
          <cell r="C865" t="str">
            <v>Vải trắng</v>
          </cell>
          <cell r="D865" t="str">
            <v>m</v>
          </cell>
          <cell r="E865">
            <v>0.5</v>
          </cell>
          <cell r="F865">
            <v>15000</v>
          </cell>
          <cell r="G865">
            <v>7500</v>
          </cell>
        </row>
        <row r="866">
          <cell r="B866">
            <v>9</v>
          </cell>
          <cell r="C866" t="str">
            <v>Giẻ lau</v>
          </cell>
          <cell r="D866" t="str">
            <v>kg</v>
          </cell>
          <cell r="E866">
            <v>0.3</v>
          </cell>
          <cell r="F866">
            <v>9500</v>
          </cell>
          <cell r="G866">
            <v>2850</v>
          </cell>
        </row>
        <row r="867">
          <cell r="B867">
            <v>117</v>
          </cell>
          <cell r="C867" t="str">
            <v>Vật liệu khác</v>
          </cell>
          <cell r="D867" t="str">
            <v>%</v>
          </cell>
          <cell r="E867">
            <v>20.5</v>
          </cell>
          <cell r="G867">
            <v>2121.75</v>
          </cell>
        </row>
        <row r="868">
          <cell r="C868" t="str">
            <v>Nhân công</v>
          </cell>
          <cell r="G868">
            <v>778721.84210526315</v>
          </cell>
        </row>
        <row r="869">
          <cell r="B869" t="str">
            <v>NC1407</v>
          </cell>
          <cell r="C869" t="str">
            <v>Ngày công bậc 4,0/7</v>
          </cell>
          <cell r="D869" t="str">
            <v>công</v>
          </cell>
          <cell r="E869">
            <v>4</v>
          </cell>
          <cell r="F869">
            <v>194680.46052631579</v>
          </cell>
          <cell r="G869">
            <v>778721.84210526315</v>
          </cell>
        </row>
        <row r="870">
          <cell r="C870" t="str">
            <v>Máy thi công</v>
          </cell>
          <cell r="G870">
            <v>53879.97</v>
          </cell>
        </row>
        <row r="871">
          <cell r="B871">
            <v>8004</v>
          </cell>
          <cell r="C871" t="str">
            <v>Máy lọc ép</v>
          </cell>
          <cell r="D871" t="str">
            <v>ca</v>
          </cell>
          <cell r="E871">
            <v>1.04</v>
          </cell>
          <cell r="F871">
            <v>24073</v>
          </cell>
          <cell r="G871">
            <v>25035.920000000002</v>
          </cell>
        </row>
        <row r="872">
          <cell r="B872">
            <v>8011</v>
          </cell>
          <cell r="C872" t="str">
            <v>Máy bơm ly tâm</v>
          </cell>
          <cell r="D872" t="str">
            <v>ca</v>
          </cell>
          <cell r="E872">
            <v>0.33</v>
          </cell>
          <cell r="F872">
            <v>25135</v>
          </cell>
          <cell r="G872">
            <v>8294.5500000000011</v>
          </cell>
        </row>
        <row r="873">
          <cell r="B873">
            <v>8010</v>
          </cell>
          <cell r="C873" t="str">
            <v>Máy bơm chân không</v>
          </cell>
          <cell r="D873" t="str">
            <v>ca</v>
          </cell>
          <cell r="E873">
            <v>0.33</v>
          </cell>
          <cell r="F873">
            <v>21010</v>
          </cell>
          <cell r="G873">
            <v>6933.3</v>
          </cell>
        </row>
        <row r="874">
          <cell r="B874">
            <v>8005</v>
          </cell>
          <cell r="C874" t="str">
            <v>Máy thử cao áp AI-70</v>
          </cell>
          <cell r="D874" t="str">
            <v>ca</v>
          </cell>
          <cell r="E874">
            <v>0.1</v>
          </cell>
          <cell r="F874">
            <v>136162</v>
          </cell>
          <cell r="G874">
            <v>13616.2</v>
          </cell>
        </row>
        <row r="875">
          <cell r="A875" t="str">
            <v>T1.2076</v>
          </cell>
          <cell r="C875" t="str">
            <v>Lọc dầu bằng máy lọc ép; Mức điện áp trước khi lọc 20KV, mức điện áp sau khi lọc 50KV</v>
          </cell>
          <cell r="D875" t="str">
            <v>tấn</v>
          </cell>
          <cell r="H875">
            <v>12627</v>
          </cell>
          <cell r="I875">
            <v>914998.16447368427</v>
          </cell>
          <cell r="J875">
            <v>62165.45</v>
          </cell>
        </row>
        <row r="876">
          <cell r="C876" t="str">
            <v>Vật liệu</v>
          </cell>
          <cell r="G876">
            <v>12627</v>
          </cell>
        </row>
        <row r="877">
          <cell r="B877">
            <v>6</v>
          </cell>
          <cell r="C877" t="str">
            <v>Vải trắng</v>
          </cell>
          <cell r="D877" t="str">
            <v>m</v>
          </cell>
          <cell r="E877">
            <v>0.5</v>
          </cell>
          <cell r="F877">
            <v>15000</v>
          </cell>
          <cell r="G877">
            <v>7500</v>
          </cell>
        </row>
        <row r="878">
          <cell r="B878">
            <v>9</v>
          </cell>
          <cell r="C878" t="str">
            <v>Giẻ lau</v>
          </cell>
          <cell r="D878" t="str">
            <v>kg</v>
          </cell>
          <cell r="E878">
            <v>0.3</v>
          </cell>
          <cell r="F878">
            <v>9500</v>
          </cell>
          <cell r="G878">
            <v>2850</v>
          </cell>
        </row>
        <row r="879">
          <cell r="B879">
            <v>117</v>
          </cell>
          <cell r="C879" t="str">
            <v>Vật liệu khác</v>
          </cell>
          <cell r="D879" t="str">
            <v>%</v>
          </cell>
          <cell r="E879">
            <v>22</v>
          </cell>
          <cell r="G879">
            <v>2277</v>
          </cell>
        </row>
        <row r="880">
          <cell r="C880" t="str">
            <v>Nhân công</v>
          </cell>
          <cell r="G880">
            <v>914998.16447368427</v>
          </cell>
        </row>
        <row r="881">
          <cell r="B881" t="str">
            <v>NC1407</v>
          </cell>
          <cell r="C881" t="str">
            <v>Ngày công bậc 4,0/7</v>
          </cell>
          <cell r="D881" t="str">
            <v>công</v>
          </cell>
          <cell r="E881">
            <v>4.7</v>
          </cell>
          <cell r="F881">
            <v>194680.46052631579</v>
          </cell>
          <cell r="G881">
            <v>914998.16447368427</v>
          </cell>
        </row>
        <row r="882">
          <cell r="C882" t="str">
            <v>Máy thi công</v>
          </cell>
          <cell r="G882">
            <v>62165.45</v>
          </cell>
        </row>
        <row r="883">
          <cell r="B883">
            <v>8004</v>
          </cell>
          <cell r="C883" t="str">
            <v>Máy lọc ép</v>
          </cell>
          <cell r="D883" t="str">
            <v>ca</v>
          </cell>
          <cell r="E883">
            <v>1.25</v>
          </cell>
          <cell r="F883">
            <v>24073</v>
          </cell>
          <cell r="G883">
            <v>30091.25</v>
          </cell>
        </row>
        <row r="884">
          <cell r="B884">
            <v>8011</v>
          </cell>
          <cell r="C884" t="str">
            <v>Máy bơm ly tâm</v>
          </cell>
          <cell r="D884" t="str">
            <v>ca</v>
          </cell>
          <cell r="E884">
            <v>0.4</v>
          </cell>
          <cell r="F884">
            <v>25135</v>
          </cell>
          <cell r="G884">
            <v>10054</v>
          </cell>
        </row>
        <row r="885">
          <cell r="B885">
            <v>8010</v>
          </cell>
          <cell r="C885" t="str">
            <v>Máy bơm chân không</v>
          </cell>
          <cell r="D885" t="str">
            <v>ca</v>
          </cell>
          <cell r="E885">
            <v>0.4</v>
          </cell>
          <cell r="F885">
            <v>21010</v>
          </cell>
          <cell r="G885">
            <v>8404</v>
          </cell>
        </row>
        <row r="886">
          <cell r="B886">
            <v>8005</v>
          </cell>
          <cell r="C886" t="str">
            <v>Máy thử cao áp AI-70</v>
          </cell>
          <cell r="D886" t="str">
            <v>ca</v>
          </cell>
          <cell r="E886">
            <v>0.1</v>
          </cell>
          <cell r="F886">
            <v>136162</v>
          </cell>
          <cell r="G886">
            <v>13616.2</v>
          </cell>
        </row>
        <row r="887">
          <cell r="A887" t="str">
            <v>T1.2081</v>
          </cell>
          <cell r="C887" t="str">
            <v>Lọc dầu bằng máy lọc dầu cải tạo YBM-2 (đã có máy hút chân không) hoặc tương đương; Mức điện áp trước khi lọc 20KV, mức điện áp sau khi lọc 25KV</v>
          </cell>
          <cell r="D887" t="str">
            <v>tấn</v>
          </cell>
          <cell r="H887">
            <v>11643.75</v>
          </cell>
          <cell r="I887">
            <v>292020.69078947371</v>
          </cell>
          <cell r="J887">
            <v>203062.2</v>
          </cell>
        </row>
        <row r="888">
          <cell r="C888" t="str">
            <v>Vật liệu</v>
          </cell>
          <cell r="G888">
            <v>11643.75</v>
          </cell>
        </row>
        <row r="889">
          <cell r="B889">
            <v>6</v>
          </cell>
          <cell r="C889" t="str">
            <v>Vải trắng</v>
          </cell>
          <cell r="D889" t="str">
            <v>m</v>
          </cell>
          <cell r="E889">
            <v>0.5</v>
          </cell>
          <cell r="F889">
            <v>15000</v>
          </cell>
          <cell r="G889">
            <v>7500</v>
          </cell>
        </row>
        <row r="890">
          <cell r="B890">
            <v>9</v>
          </cell>
          <cell r="C890" t="str">
            <v>Giẻ lau</v>
          </cell>
          <cell r="D890" t="str">
            <v>kg</v>
          </cell>
          <cell r="E890">
            <v>0.3</v>
          </cell>
          <cell r="F890">
            <v>9500</v>
          </cell>
          <cell r="G890">
            <v>2850</v>
          </cell>
        </row>
        <row r="891">
          <cell r="B891">
            <v>117</v>
          </cell>
          <cell r="C891" t="str">
            <v>Vật liệu khác</v>
          </cell>
          <cell r="D891" t="str">
            <v>%</v>
          </cell>
          <cell r="E891">
            <v>12.5</v>
          </cell>
          <cell r="G891">
            <v>1293.75</v>
          </cell>
        </row>
        <row r="892">
          <cell r="C892" t="str">
            <v>Nhân công</v>
          </cell>
          <cell r="G892">
            <v>292020.69078947371</v>
          </cell>
        </row>
        <row r="893">
          <cell r="B893" t="str">
            <v>NC1407</v>
          </cell>
          <cell r="C893" t="str">
            <v>Ngày công bậc 4,0/7</v>
          </cell>
          <cell r="D893" t="str">
            <v>công</v>
          </cell>
          <cell r="E893">
            <v>1.5</v>
          </cell>
          <cell r="F893">
            <v>194680.46052631579</v>
          </cell>
          <cell r="G893">
            <v>292020.69078947371</v>
          </cell>
        </row>
        <row r="894">
          <cell r="C894" t="str">
            <v>Máy thi công</v>
          </cell>
          <cell r="G894">
            <v>203062.2</v>
          </cell>
        </row>
        <row r="895">
          <cell r="B895">
            <v>8002</v>
          </cell>
          <cell r="C895" t="str">
            <v>Máy lọc dầu cải tạo YBM-2</v>
          </cell>
          <cell r="D895" t="str">
            <v>ca</v>
          </cell>
          <cell r="E895">
            <v>0.25</v>
          </cell>
          <cell r="F895">
            <v>757784</v>
          </cell>
          <cell r="G895">
            <v>189446</v>
          </cell>
        </row>
        <row r="896">
          <cell r="B896">
            <v>8005</v>
          </cell>
          <cell r="C896" t="str">
            <v>Máy thử cao áp AI-70</v>
          </cell>
          <cell r="D896" t="str">
            <v>ca</v>
          </cell>
          <cell r="E896">
            <v>0.1</v>
          </cell>
          <cell r="F896">
            <v>136162</v>
          </cell>
          <cell r="G896">
            <v>13616.2</v>
          </cell>
        </row>
        <row r="897">
          <cell r="A897" t="str">
            <v>T1.2082</v>
          </cell>
          <cell r="C897" t="str">
            <v>Lọc dầu bằng máy lọc dầu cải tạo YBM-2 (đã có máy hút chân không) hoặc tương đương; Mức điện áp trước khi lọc 20KV, mức điện áp sau khi lọc 30KV</v>
          </cell>
          <cell r="D897" t="str">
            <v>tấn</v>
          </cell>
          <cell r="H897">
            <v>11902.5</v>
          </cell>
          <cell r="I897">
            <v>389360.92105263157</v>
          </cell>
          <cell r="J897">
            <v>271262.76</v>
          </cell>
        </row>
        <row r="898">
          <cell r="C898" t="str">
            <v>Vật liệu</v>
          </cell>
          <cell r="G898">
            <v>11902.5</v>
          </cell>
        </row>
        <row r="899">
          <cell r="B899">
            <v>6</v>
          </cell>
          <cell r="C899" t="str">
            <v>Vải trắng</v>
          </cell>
          <cell r="D899" t="str">
            <v>m</v>
          </cell>
          <cell r="E899">
            <v>0.5</v>
          </cell>
          <cell r="F899">
            <v>15000</v>
          </cell>
          <cell r="G899">
            <v>7500</v>
          </cell>
        </row>
        <row r="900">
          <cell r="B900">
            <v>9</v>
          </cell>
          <cell r="C900" t="str">
            <v>Giẻ lau</v>
          </cell>
          <cell r="D900" t="str">
            <v>kg</v>
          </cell>
          <cell r="E900">
            <v>0.3</v>
          </cell>
          <cell r="F900">
            <v>9500</v>
          </cell>
          <cell r="G900">
            <v>2850</v>
          </cell>
        </row>
        <row r="901">
          <cell r="B901">
            <v>117</v>
          </cell>
          <cell r="C901" t="str">
            <v>Vật liệu khác</v>
          </cell>
          <cell r="D901" t="str">
            <v>%</v>
          </cell>
          <cell r="E901">
            <v>15</v>
          </cell>
          <cell r="G901">
            <v>1552.5</v>
          </cell>
        </row>
        <row r="902">
          <cell r="C902" t="str">
            <v>Nhân công</v>
          </cell>
          <cell r="G902">
            <v>389360.92105263157</v>
          </cell>
        </row>
        <row r="903">
          <cell r="B903" t="str">
            <v>NC1407</v>
          </cell>
          <cell r="C903" t="str">
            <v>Ngày công bậc 4,0/7</v>
          </cell>
          <cell r="D903" t="str">
            <v>công</v>
          </cell>
          <cell r="E903">
            <v>2</v>
          </cell>
          <cell r="F903">
            <v>194680.46052631579</v>
          </cell>
          <cell r="G903">
            <v>389360.92105263157</v>
          </cell>
        </row>
        <row r="904">
          <cell r="C904" t="str">
            <v>Máy thi công</v>
          </cell>
          <cell r="G904">
            <v>271262.76</v>
          </cell>
        </row>
        <row r="905">
          <cell r="B905">
            <v>8002</v>
          </cell>
          <cell r="C905" t="str">
            <v>Máy lọc dầu cải tạo YBM-2</v>
          </cell>
          <cell r="D905" t="str">
            <v>ca</v>
          </cell>
          <cell r="E905">
            <v>0.34</v>
          </cell>
          <cell r="F905">
            <v>757784</v>
          </cell>
          <cell r="G905">
            <v>257646.56000000003</v>
          </cell>
        </row>
        <row r="906">
          <cell r="B906">
            <v>8005</v>
          </cell>
          <cell r="C906" t="str">
            <v>Máy thử cao áp AI-70</v>
          </cell>
          <cell r="D906" t="str">
            <v>ca</v>
          </cell>
          <cell r="E906">
            <v>0.1</v>
          </cell>
          <cell r="F906">
            <v>136162</v>
          </cell>
          <cell r="G906">
            <v>13616.2</v>
          </cell>
        </row>
        <row r="907">
          <cell r="A907" t="str">
            <v>T1.2083</v>
          </cell>
          <cell r="C907" t="str">
            <v>Lọc dầu bằng máy lọc dầu cải tạo YBM-2 (đã có máy hút chân không) hoặc tương đương; Mức điện áp trước khi lọc 20KV, mức điện áp sau khi lọc 35KV</v>
          </cell>
          <cell r="D907" t="str">
            <v>tấn</v>
          </cell>
          <cell r="H907">
            <v>12161.25</v>
          </cell>
          <cell r="I907">
            <v>486701.15131578944</v>
          </cell>
          <cell r="J907">
            <v>339463.32</v>
          </cell>
        </row>
        <row r="908">
          <cell r="C908" t="str">
            <v>Vật liệu</v>
          </cell>
          <cell r="G908">
            <v>12161.25</v>
          </cell>
        </row>
        <row r="909">
          <cell r="B909">
            <v>6</v>
          </cell>
          <cell r="C909" t="str">
            <v>Vải trắng</v>
          </cell>
          <cell r="D909" t="str">
            <v>m</v>
          </cell>
          <cell r="E909">
            <v>0.5</v>
          </cell>
          <cell r="F909">
            <v>15000</v>
          </cell>
          <cell r="G909">
            <v>7500</v>
          </cell>
        </row>
        <row r="910">
          <cell r="B910">
            <v>9</v>
          </cell>
          <cell r="C910" t="str">
            <v>Giẻ lau</v>
          </cell>
          <cell r="D910" t="str">
            <v>kg</v>
          </cell>
          <cell r="E910">
            <v>0.3</v>
          </cell>
          <cell r="F910">
            <v>9500</v>
          </cell>
          <cell r="G910">
            <v>2850</v>
          </cell>
        </row>
        <row r="911">
          <cell r="B911">
            <v>117</v>
          </cell>
          <cell r="C911" t="str">
            <v>Vật liệu khác</v>
          </cell>
          <cell r="D911" t="str">
            <v>%</v>
          </cell>
          <cell r="E911">
            <v>17.5</v>
          </cell>
          <cell r="G911">
            <v>1811.2499999999998</v>
          </cell>
        </row>
        <row r="912">
          <cell r="C912" t="str">
            <v>Nhân công</v>
          </cell>
          <cell r="G912">
            <v>486701.15131578944</v>
          </cell>
        </row>
        <row r="913">
          <cell r="B913" t="str">
            <v>NC1407</v>
          </cell>
          <cell r="C913" t="str">
            <v>Ngày công bậc 4,0/7</v>
          </cell>
          <cell r="D913" t="str">
            <v>công</v>
          </cell>
          <cell r="E913">
            <v>2.5</v>
          </cell>
          <cell r="F913">
            <v>194680.46052631579</v>
          </cell>
          <cell r="G913">
            <v>486701.15131578944</v>
          </cell>
        </row>
        <row r="914">
          <cell r="C914" t="str">
            <v>Máy thi công</v>
          </cell>
          <cell r="G914">
            <v>339463.32</v>
          </cell>
        </row>
        <row r="915">
          <cell r="B915">
            <v>8002</v>
          </cell>
          <cell r="C915" t="str">
            <v>Máy lọc dầu cải tạo YBM-2</v>
          </cell>
          <cell r="D915" t="str">
            <v>ca</v>
          </cell>
          <cell r="E915">
            <v>0.43</v>
          </cell>
          <cell r="F915">
            <v>757784</v>
          </cell>
          <cell r="G915">
            <v>325847.12</v>
          </cell>
        </row>
        <row r="916">
          <cell r="B916">
            <v>8005</v>
          </cell>
          <cell r="C916" t="str">
            <v>Máy thử cao áp AI-70</v>
          </cell>
          <cell r="D916" t="str">
            <v>ca</v>
          </cell>
          <cell r="E916">
            <v>0.1</v>
          </cell>
          <cell r="F916">
            <v>136162</v>
          </cell>
          <cell r="G916">
            <v>13616.2</v>
          </cell>
        </row>
        <row r="917">
          <cell r="A917" t="str">
            <v>T1.2084</v>
          </cell>
          <cell r="C917" t="str">
            <v>Lọc dầu bằng máy lọc dầu cải tạo YBM-2 (đã có máy hút chân không) hoặc tương đương; Mức điện áp trước khi lọc 20KV, mức điện áp sau khi lọc 40KV</v>
          </cell>
          <cell r="D917" t="str">
            <v>tấn</v>
          </cell>
          <cell r="H917">
            <v>12316.5</v>
          </cell>
          <cell r="I917">
            <v>622977.47368421056</v>
          </cell>
          <cell r="J917">
            <v>407663.88</v>
          </cell>
        </row>
        <row r="918">
          <cell r="C918" t="str">
            <v>Vật liệu</v>
          </cell>
          <cell r="G918">
            <v>12316.5</v>
          </cell>
        </row>
        <row r="919">
          <cell r="B919">
            <v>6</v>
          </cell>
          <cell r="C919" t="str">
            <v>Vải trắng</v>
          </cell>
          <cell r="D919" t="str">
            <v>m</v>
          </cell>
          <cell r="E919">
            <v>0.5</v>
          </cell>
          <cell r="F919">
            <v>15000</v>
          </cell>
          <cell r="G919">
            <v>7500</v>
          </cell>
        </row>
        <row r="920">
          <cell r="B920">
            <v>9</v>
          </cell>
          <cell r="C920" t="str">
            <v>Giẻ lau</v>
          </cell>
          <cell r="D920" t="str">
            <v>kg</v>
          </cell>
          <cell r="E920">
            <v>0.3</v>
          </cell>
          <cell r="F920">
            <v>9500</v>
          </cell>
          <cell r="G920">
            <v>2850</v>
          </cell>
        </row>
        <row r="921">
          <cell r="B921">
            <v>117</v>
          </cell>
          <cell r="C921" t="str">
            <v>Vật liệu khác</v>
          </cell>
          <cell r="D921" t="str">
            <v>%</v>
          </cell>
          <cell r="E921">
            <v>19</v>
          </cell>
          <cell r="G921">
            <v>1966.5</v>
          </cell>
        </row>
        <row r="922">
          <cell r="C922" t="str">
            <v>Nhân công</v>
          </cell>
          <cell r="G922">
            <v>622977.47368421056</v>
          </cell>
        </row>
        <row r="923">
          <cell r="B923" t="str">
            <v>NC1407</v>
          </cell>
          <cell r="C923" t="str">
            <v>Ngày công bậc 4,0/7</v>
          </cell>
          <cell r="D923" t="str">
            <v>công</v>
          </cell>
          <cell r="E923">
            <v>3.2</v>
          </cell>
          <cell r="F923">
            <v>194680.46052631579</v>
          </cell>
          <cell r="G923">
            <v>622977.47368421056</v>
          </cell>
        </row>
        <row r="924">
          <cell r="C924" t="str">
            <v>Máy thi công</v>
          </cell>
          <cell r="G924">
            <v>407663.88</v>
          </cell>
        </row>
        <row r="925">
          <cell r="B925">
            <v>8002</v>
          </cell>
          <cell r="C925" t="str">
            <v>Máy lọc dầu cải tạo YBM-2</v>
          </cell>
          <cell r="D925" t="str">
            <v>ca</v>
          </cell>
          <cell r="E925">
            <v>0.52</v>
          </cell>
          <cell r="F925">
            <v>757784</v>
          </cell>
          <cell r="G925">
            <v>394047.68</v>
          </cell>
        </row>
        <row r="926">
          <cell r="B926">
            <v>8005</v>
          </cell>
          <cell r="C926" t="str">
            <v>Máy thử cao áp AI-70</v>
          </cell>
          <cell r="D926" t="str">
            <v>ca</v>
          </cell>
          <cell r="E926">
            <v>0.1</v>
          </cell>
          <cell r="F926">
            <v>136162</v>
          </cell>
          <cell r="G926">
            <v>13616.2</v>
          </cell>
        </row>
        <row r="927">
          <cell r="A927" t="str">
            <v>T1.2085</v>
          </cell>
          <cell r="C927" t="str">
            <v>Lọc dầu bằng máy lọc dầu cải tạo YBM-2 (đã có máy hút chân không) hoặc tương đương; Mức điện áp trước khi lọc 20KV, mức điện áp sau khi lọc 45KV</v>
          </cell>
          <cell r="D927" t="str">
            <v>tấn</v>
          </cell>
          <cell r="H927">
            <v>12471.75</v>
          </cell>
          <cell r="I927">
            <v>778721.84210526315</v>
          </cell>
          <cell r="J927">
            <v>483442.28</v>
          </cell>
        </row>
        <row r="928">
          <cell r="C928" t="str">
            <v>Vật liệu</v>
          </cell>
          <cell r="G928">
            <v>12471.75</v>
          </cell>
        </row>
        <row r="929">
          <cell r="B929">
            <v>6</v>
          </cell>
          <cell r="C929" t="str">
            <v>Vải trắng</v>
          </cell>
          <cell r="D929" t="str">
            <v>m</v>
          </cell>
          <cell r="E929">
            <v>0.5</v>
          </cell>
          <cell r="F929">
            <v>15000</v>
          </cell>
          <cell r="G929">
            <v>7500</v>
          </cell>
        </row>
        <row r="930">
          <cell r="B930">
            <v>9</v>
          </cell>
          <cell r="C930" t="str">
            <v>Giẻ lau</v>
          </cell>
          <cell r="D930" t="str">
            <v>kg</v>
          </cell>
          <cell r="E930">
            <v>0.3</v>
          </cell>
          <cell r="F930">
            <v>9500</v>
          </cell>
          <cell r="G930">
            <v>2850</v>
          </cell>
        </row>
        <row r="931">
          <cell r="B931">
            <v>117</v>
          </cell>
          <cell r="C931" t="str">
            <v>Vật liệu khác</v>
          </cell>
          <cell r="D931" t="str">
            <v>%</v>
          </cell>
          <cell r="E931">
            <v>20.5</v>
          </cell>
          <cell r="G931">
            <v>2121.75</v>
          </cell>
        </row>
        <row r="932">
          <cell r="C932" t="str">
            <v>Nhân công</v>
          </cell>
          <cell r="G932">
            <v>778721.84210526315</v>
          </cell>
        </row>
        <row r="933">
          <cell r="B933" t="str">
            <v>NC1407</v>
          </cell>
          <cell r="C933" t="str">
            <v>Ngày công bậc 4,0/7</v>
          </cell>
          <cell r="D933" t="str">
            <v>công</v>
          </cell>
          <cell r="E933">
            <v>4</v>
          </cell>
          <cell r="F933">
            <v>194680.46052631579</v>
          </cell>
          <cell r="G933">
            <v>778721.84210526315</v>
          </cell>
        </row>
        <row r="934">
          <cell r="C934" t="str">
            <v>Máy thi công</v>
          </cell>
          <cell r="G934">
            <v>483442.28</v>
          </cell>
        </row>
        <row r="935">
          <cell r="B935">
            <v>8002</v>
          </cell>
          <cell r="C935" t="str">
            <v>Máy lọc dầu cải tạo YBM-2</v>
          </cell>
          <cell r="D935" t="str">
            <v>ca</v>
          </cell>
          <cell r="E935">
            <v>0.62</v>
          </cell>
          <cell r="F935">
            <v>757784</v>
          </cell>
          <cell r="G935">
            <v>469826.08</v>
          </cell>
        </row>
        <row r="936">
          <cell r="B936">
            <v>8005</v>
          </cell>
          <cell r="C936" t="str">
            <v>Máy thử cao áp AI-70</v>
          </cell>
          <cell r="D936" t="str">
            <v>ca</v>
          </cell>
          <cell r="E936">
            <v>0.1</v>
          </cell>
          <cell r="F936">
            <v>136162</v>
          </cell>
          <cell r="G936">
            <v>13616.2</v>
          </cell>
        </row>
        <row r="937">
          <cell r="A937" t="str">
            <v>T1.2086</v>
          </cell>
          <cell r="C937" t="str">
            <v>Lọc dầu bằng máy lọc dầu cải tạo YBM-2 (đã có máy hút chân không) hoặc tương đương; Mức điện áp trước khi lọc 20KV, mức điện áp sau khi lọc 50KV</v>
          </cell>
          <cell r="D937" t="str">
            <v>tấn</v>
          </cell>
          <cell r="H937">
            <v>12627</v>
          </cell>
          <cell r="I937">
            <v>914998.16447368427</v>
          </cell>
          <cell r="J937">
            <v>581954.19999999995</v>
          </cell>
        </row>
        <row r="938">
          <cell r="C938" t="str">
            <v>Vật liệu</v>
          </cell>
          <cell r="G938">
            <v>12627</v>
          </cell>
        </row>
        <row r="939">
          <cell r="B939">
            <v>6</v>
          </cell>
          <cell r="C939" t="str">
            <v>Vải trắng</v>
          </cell>
          <cell r="D939" t="str">
            <v>m</v>
          </cell>
          <cell r="E939">
            <v>0.5</v>
          </cell>
          <cell r="F939">
            <v>15000</v>
          </cell>
          <cell r="G939">
            <v>7500</v>
          </cell>
        </row>
        <row r="940">
          <cell r="B940">
            <v>9</v>
          </cell>
          <cell r="C940" t="str">
            <v>Giẻ lau</v>
          </cell>
          <cell r="D940" t="str">
            <v>kg</v>
          </cell>
          <cell r="E940">
            <v>0.3</v>
          </cell>
          <cell r="F940">
            <v>9500</v>
          </cell>
          <cell r="G940">
            <v>2850</v>
          </cell>
        </row>
        <row r="941">
          <cell r="B941">
            <v>117</v>
          </cell>
          <cell r="C941" t="str">
            <v>Vật liệu khác</v>
          </cell>
          <cell r="D941" t="str">
            <v>%</v>
          </cell>
          <cell r="E941">
            <v>22</v>
          </cell>
          <cell r="G941">
            <v>2277</v>
          </cell>
        </row>
        <row r="942">
          <cell r="C942" t="str">
            <v>Nhân công</v>
          </cell>
          <cell r="G942">
            <v>914998.16447368427</v>
          </cell>
        </row>
        <row r="943">
          <cell r="B943" t="str">
            <v>NC1407</v>
          </cell>
          <cell r="C943" t="str">
            <v>Ngày công bậc 4,0/7</v>
          </cell>
          <cell r="D943" t="str">
            <v>công</v>
          </cell>
          <cell r="E943">
            <v>4.7</v>
          </cell>
          <cell r="F943">
            <v>194680.46052631579</v>
          </cell>
          <cell r="G943">
            <v>914998.16447368427</v>
          </cell>
        </row>
        <row r="944">
          <cell r="C944" t="str">
            <v>Máy thi công</v>
          </cell>
          <cell r="G944">
            <v>581954.19999999995</v>
          </cell>
        </row>
        <row r="945">
          <cell r="B945">
            <v>8002</v>
          </cell>
          <cell r="C945" t="str">
            <v>Máy lọc dầu cải tạo YBM-2</v>
          </cell>
          <cell r="D945" t="str">
            <v>ca</v>
          </cell>
          <cell r="E945">
            <v>0.75</v>
          </cell>
          <cell r="F945">
            <v>757784</v>
          </cell>
          <cell r="G945">
            <v>568338</v>
          </cell>
        </row>
        <row r="946">
          <cell r="B946">
            <v>8005</v>
          </cell>
          <cell r="C946" t="str">
            <v>Máy thử cao áp AI-70</v>
          </cell>
          <cell r="D946" t="str">
            <v>ca</v>
          </cell>
          <cell r="E946">
            <v>0.1</v>
          </cell>
          <cell r="F946">
            <v>136162</v>
          </cell>
          <cell r="G946">
            <v>13616.2</v>
          </cell>
        </row>
        <row r="947">
          <cell r="A947" t="str">
            <v>T1.2091</v>
          </cell>
          <cell r="C947" t="str">
            <v>Lọc dầu bằng máy lọc dầu hợp bộ KATO KLVC-4AXVSO hoặc tương đương; Mức điện áp trước khi lọc 20KV, mức điện áp sau khi lọc 25KV</v>
          </cell>
          <cell r="D947" t="str">
            <v>tấn</v>
          </cell>
          <cell r="H947">
            <v>11643.75</v>
          </cell>
          <cell r="I947">
            <v>292020.69078947371</v>
          </cell>
          <cell r="J947">
            <v>266267.85399999999</v>
          </cell>
        </row>
        <row r="948">
          <cell r="C948" t="str">
            <v>Vật liệu</v>
          </cell>
          <cell r="G948">
            <v>11643.75</v>
          </cell>
        </row>
        <row r="949">
          <cell r="B949">
            <v>6</v>
          </cell>
          <cell r="C949" t="str">
            <v>Vải trắng</v>
          </cell>
          <cell r="D949" t="str">
            <v>m</v>
          </cell>
          <cell r="E949">
            <v>0.5</v>
          </cell>
          <cell r="F949">
            <v>15000</v>
          </cell>
          <cell r="G949">
            <v>7500</v>
          </cell>
        </row>
        <row r="950">
          <cell r="B950">
            <v>9</v>
          </cell>
          <cell r="C950" t="str">
            <v>Giẻ lau</v>
          </cell>
          <cell r="D950" t="str">
            <v>kg</v>
          </cell>
          <cell r="E950">
            <v>0.3</v>
          </cell>
          <cell r="F950">
            <v>9500</v>
          </cell>
          <cell r="G950">
            <v>2850</v>
          </cell>
        </row>
        <row r="951">
          <cell r="B951">
            <v>117</v>
          </cell>
          <cell r="C951" t="str">
            <v>Vật liệu khác</v>
          </cell>
          <cell r="D951" t="str">
            <v>%</v>
          </cell>
          <cell r="E951">
            <v>12.5</v>
          </cell>
          <cell r="G951">
            <v>1293.75</v>
          </cell>
        </row>
        <row r="952">
          <cell r="C952" t="str">
            <v>Nhân công</v>
          </cell>
          <cell r="G952">
            <v>292020.69078947371</v>
          </cell>
        </row>
        <row r="953">
          <cell r="B953" t="str">
            <v>NC1407</v>
          </cell>
          <cell r="C953" t="str">
            <v>Ngày công bậc 4,0/7</v>
          </cell>
          <cell r="D953" t="str">
            <v>công</v>
          </cell>
          <cell r="E953">
            <v>1.5</v>
          </cell>
          <cell r="F953">
            <v>194680.46052631579</v>
          </cell>
          <cell r="G953">
            <v>292020.69078947371</v>
          </cell>
        </row>
        <row r="954">
          <cell r="C954" t="str">
            <v>Máy thi công</v>
          </cell>
          <cell r="G954">
            <v>266267.85399999999</v>
          </cell>
        </row>
        <row r="955">
          <cell r="B955">
            <v>8003</v>
          </cell>
          <cell r="C955" t="str">
            <v>Máy lọc dầu hợp bộ KATO KLVC-4AXVSO</v>
          </cell>
          <cell r="D955" t="str">
            <v>ca</v>
          </cell>
          <cell r="E955">
            <v>0.17399999999999999</v>
          </cell>
          <cell r="F955">
            <v>1452021</v>
          </cell>
          <cell r="G955">
            <v>252651.65399999998</v>
          </cell>
        </row>
        <row r="956">
          <cell r="B956">
            <v>8005</v>
          </cell>
          <cell r="C956" t="str">
            <v>Máy thử cao áp AI-70</v>
          </cell>
          <cell r="D956" t="str">
            <v>ca</v>
          </cell>
          <cell r="E956">
            <v>0.1</v>
          </cell>
          <cell r="F956">
            <v>136162</v>
          </cell>
          <cell r="G956">
            <v>13616.2</v>
          </cell>
        </row>
        <row r="957">
          <cell r="A957" t="str">
            <v>T1.2092</v>
          </cell>
          <cell r="C957" t="str">
            <v>Lọc dầu bằng máy lọc dầu hợp bộ KATO KLVC-4AXVSO hoặc tương đương; Mức điện áp trước khi lọc 20KV, mức điện áp sau khi lọc 30KV</v>
          </cell>
          <cell r="D957" t="str">
            <v>tấn</v>
          </cell>
          <cell r="H957">
            <v>11902.5</v>
          </cell>
          <cell r="I957">
            <v>389360.92105263157</v>
          </cell>
          <cell r="J957">
            <v>330156.77799999999</v>
          </cell>
        </row>
        <row r="958">
          <cell r="C958" t="str">
            <v>Vật liệu</v>
          </cell>
          <cell r="G958">
            <v>11902.5</v>
          </cell>
        </row>
        <row r="959">
          <cell r="B959">
            <v>6</v>
          </cell>
          <cell r="C959" t="str">
            <v>Vải trắng</v>
          </cell>
          <cell r="D959" t="str">
            <v>m</v>
          </cell>
          <cell r="E959">
            <v>0.5</v>
          </cell>
          <cell r="F959">
            <v>15000</v>
          </cell>
          <cell r="G959">
            <v>7500</v>
          </cell>
        </row>
        <row r="960">
          <cell r="B960">
            <v>9</v>
          </cell>
          <cell r="C960" t="str">
            <v>Giẻ lau</v>
          </cell>
          <cell r="D960" t="str">
            <v>kg</v>
          </cell>
          <cell r="E960">
            <v>0.3</v>
          </cell>
          <cell r="F960">
            <v>9500</v>
          </cell>
          <cell r="G960">
            <v>2850</v>
          </cell>
        </row>
        <row r="961">
          <cell r="B961">
            <v>117</v>
          </cell>
          <cell r="C961" t="str">
            <v>Vật liệu khác</v>
          </cell>
          <cell r="D961" t="str">
            <v>%</v>
          </cell>
          <cell r="E961">
            <v>15</v>
          </cell>
          <cell r="G961">
            <v>1552.5</v>
          </cell>
        </row>
        <row r="962">
          <cell r="C962" t="str">
            <v>Nhân công</v>
          </cell>
          <cell r="G962">
            <v>389360.92105263157</v>
          </cell>
        </row>
        <row r="963">
          <cell r="B963" t="str">
            <v>NC1407</v>
          </cell>
          <cell r="C963" t="str">
            <v>Ngày công bậc 4,0/7</v>
          </cell>
          <cell r="D963" t="str">
            <v>công</v>
          </cell>
          <cell r="E963">
            <v>2</v>
          </cell>
          <cell r="F963">
            <v>194680.46052631579</v>
          </cell>
          <cell r="G963">
            <v>389360.92105263157</v>
          </cell>
        </row>
        <row r="964">
          <cell r="C964" t="str">
            <v>Máy thi công</v>
          </cell>
          <cell r="G964">
            <v>330156.77799999999</v>
          </cell>
        </row>
        <row r="965">
          <cell r="B965">
            <v>8003</v>
          </cell>
          <cell r="C965" t="str">
            <v>Máy lọc dầu hợp bộ KATO KLVC-4AXVSO</v>
          </cell>
          <cell r="D965" t="str">
            <v>ca</v>
          </cell>
          <cell r="E965">
            <v>0.218</v>
          </cell>
          <cell r="F965">
            <v>1452021</v>
          </cell>
          <cell r="G965">
            <v>316540.57799999998</v>
          </cell>
        </row>
        <row r="966">
          <cell r="B966">
            <v>8005</v>
          </cell>
          <cell r="C966" t="str">
            <v>Máy thử cao áp AI-70</v>
          </cell>
          <cell r="D966" t="str">
            <v>ca</v>
          </cell>
          <cell r="E966">
            <v>0.1</v>
          </cell>
          <cell r="F966">
            <v>136162</v>
          </cell>
          <cell r="G966">
            <v>13616.2</v>
          </cell>
        </row>
        <row r="967">
          <cell r="A967" t="str">
            <v>T1.2093</v>
          </cell>
          <cell r="C967" t="str">
            <v>Lọc dầu bằng máy lọc dầu hợp bộ KATO KLVC-4AXVSO hoặc tương đương; Mức điện áp trước khi lọc 20KV, mức điện áp sau khi lọc 35KV</v>
          </cell>
          <cell r="D967" t="str">
            <v>tấn</v>
          </cell>
          <cell r="H967">
            <v>12161.25</v>
          </cell>
          <cell r="I967">
            <v>486701.15131578944</v>
          </cell>
          <cell r="J967">
            <v>404209.84900000005</v>
          </cell>
        </row>
        <row r="968">
          <cell r="C968" t="str">
            <v>Vật liệu</v>
          </cell>
          <cell r="G968">
            <v>12161.25</v>
          </cell>
        </row>
        <row r="969">
          <cell r="B969">
            <v>6</v>
          </cell>
          <cell r="C969" t="str">
            <v>Vải trắng</v>
          </cell>
          <cell r="D969" t="str">
            <v>m</v>
          </cell>
          <cell r="E969">
            <v>0.5</v>
          </cell>
          <cell r="F969">
            <v>15000</v>
          </cell>
          <cell r="G969">
            <v>7500</v>
          </cell>
        </row>
        <row r="970">
          <cell r="B970">
            <v>9</v>
          </cell>
          <cell r="C970" t="str">
            <v>Giẻ lau</v>
          </cell>
          <cell r="D970" t="str">
            <v>kg</v>
          </cell>
          <cell r="E970">
            <v>0.3</v>
          </cell>
          <cell r="F970">
            <v>9500</v>
          </cell>
          <cell r="G970">
            <v>2850</v>
          </cell>
        </row>
        <row r="971">
          <cell r="B971">
            <v>117</v>
          </cell>
          <cell r="C971" t="str">
            <v>Vật liệu khác</v>
          </cell>
          <cell r="D971" t="str">
            <v>%</v>
          </cell>
          <cell r="E971">
            <v>17.5</v>
          </cell>
          <cell r="G971">
            <v>1811.2499999999998</v>
          </cell>
        </row>
        <row r="972">
          <cell r="C972" t="str">
            <v>Nhân công</v>
          </cell>
          <cell r="G972">
            <v>486701.15131578944</v>
          </cell>
        </row>
        <row r="973">
          <cell r="B973" t="str">
            <v>NC1407</v>
          </cell>
          <cell r="C973" t="str">
            <v>Ngày công bậc 4,0/7</v>
          </cell>
          <cell r="D973" t="str">
            <v>công</v>
          </cell>
          <cell r="E973">
            <v>2.5</v>
          </cell>
          <cell r="F973">
            <v>194680.46052631579</v>
          </cell>
          <cell r="G973">
            <v>486701.15131578944</v>
          </cell>
        </row>
        <row r="974">
          <cell r="C974" t="str">
            <v>Máy thi công</v>
          </cell>
          <cell r="G974">
            <v>404209.84900000005</v>
          </cell>
        </row>
        <row r="975">
          <cell r="B975">
            <v>8003</v>
          </cell>
          <cell r="C975" t="str">
            <v>Máy lọc dầu hợp bộ KATO KLVC-4AXVSO</v>
          </cell>
          <cell r="D975" t="str">
            <v>ca</v>
          </cell>
          <cell r="E975">
            <v>0.26900000000000002</v>
          </cell>
          <cell r="F975">
            <v>1452021</v>
          </cell>
          <cell r="G975">
            <v>390593.64900000003</v>
          </cell>
        </row>
        <row r="976">
          <cell r="B976">
            <v>8005</v>
          </cell>
          <cell r="C976" t="str">
            <v>Máy thử cao áp AI-70</v>
          </cell>
          <cell r="D976" t="str">
            <v>ca</v>
          </cell>
          <cell r="E976">
            <v>0.1</v>
          </cell>
          <cell r="F976">
            <v>136162</v>
          </cell>
          <cell r="G976">
            <v>13616.2</v>
          </cell>
        </row>
        <row r="977">
          <cell r="A977" t="str">
            <v>T1.2094</v>
          </cell>
          <cell r="C977" t="str">
            <v>Lọc dầu bằng máy lọc dầu hợp bộ KATO KLVC-4AXVSO hoặc tương đương; Mức điện áp trước khi lọc 20KV, mức điện áp sau khi lọc 40KV</v>
          </cell>
          <cell r="D977" t="str">
            <v>tấn</v>
          </cell>
          <cell r="H977">
            <v>12316.5</v>
          </cell>
          <cell r="I977">
            <v>622977.47368421056</v>
          </cell>
          <cell r="J977">
            <v>479714.94100000005</v>
          </cell>
        </row>
        <row r="978">
          <cell r="C978" t="str">
            <v>Vật liệu</v>
          </cell>
          <cell r="G978">
            <v>12316.5</v>
          </cell>
        </row>
        <row r="979">
          <cell r="B979">
            <v>6</v>
          </cell>
          <cell r="C979" t="str">
            <v>Vải trắng</v>
          </cell>
          <cell r="D979" t="str">
            <v>m</v>
          </cell>
          <cell r="E979">
            <v>0.5</v>
          </cell>
          <cell r="F979">
            <v>15000</v>
          </cell>
          <cell r="G979">
            <v>7500</v>
          </cell>
        </row>
        <row r="980">
          <cell r="B980">
            <v>9</v>
          </cell>
          <cell r="C980" t="str">
            <v>Giẻ lau</v>
          </cell>
          <cell r="D980" t="str">
            <v>kg</v>
          </cell>
          <cell r="E980">
            <v>0.3</v>
          </cell>
          <cell r="F980">
            <v>9500</v>
          </cell>
          <cell r="G980">
            <v>2850</v>
          </cell>
        </row>
        <row r="981">
          <cell r="B981">
            <v>117</v>
          </cell>
          <cell r="C981" t="str">
            <v>Vật liệu khác</v>
          </cell>
          <cell r="D981" t="str">
            <v>%</v>
          </cell>
          <cell r="E981">
            <v>19</v>
          </cell>
          <cell r="G981">
            <v>1966.5</v>
          </cell>
        </row>
        <row r="982">
          <cell r="C982" t="str">
            <v>Nhân công</v>
          </cell>
          <cell r="G982">
            <v>622977.47368421056</v>
          </cell>
        </row>
        <row r="983">
          <cell r="B983" t="str">
            <v>NC1407</v>
          </cell>
          <cell r="C983" t="str">
            <v>Ngày công bậc 4,0/7</v>
          </cell>
          <cell r="D983" t="str">
            <v>công</v>
          </cell>
          <cell r="E983">
            <v>3.2</v>
          </cell>
          <cell r="F983">
            <v>194680.46052631579</v>
          </cell>
          <cell r="G983">
            <v>622977.47368421056</v>
          </cell>
        </row>
        <row r="984">
          <cell r="C984" t="str">
            <v>Máy thi công</v>
          </cell>
          <cell r="G984">
            <v>479714.94100000005</v>
          </cell>
        </row>
        <row r="985">
          <cell r="B985">
            <v>8003</v>
          </cell>
          <cell r="C985" t="str">
            <v>Máy lọc dầu hợp bộ KATO KLVC-4AXVSO</v>
          </cell>
          <cell r="D985" t="str">
            <v>ca</v>
          </cell>
          <cell r="E985">
            <v>0.32100000000000001</v>
          </cell>
          <cell r="F985">
            <v>1452021</v>
          </cell>
          <cell r="G985">
            <v>466098.74100000004</v>
          </cell>
        </row>
        <row r="986">
          <cell r="B986">
            <v>8005</v>
          </cell>
          <cell r="C986" t="str">
            <v>Máy thử cao áp AI-70</v>
          </cell>
          <cell r="D986" t="str">
            <v>ca</v>
          </cell>
          <cell r="E986">
            <v>0.1</v>
          </cell>
          <cell r="F986">
            <v>136162</v>
          </cell>
          <cell r="G986">
            <v>13616.2</v>
          </cell>
        </row>
        <row r="987">
          <cell r="A987" t="str">
            <v>T1.2095</v>
          </cell>
          <cell r="C987" t="str">
            <v>Lọc dầu bằng máy lọc dầu hợp bộ KATO KLVC-4AXVSO hoặc tương đương; Mức điện áp trước khi lọc 20KV, mức điện áp sau khi lọc 45KV</v>
          </cell>
          <cell r="D987" t="str">
            <v>tấn</v>
          </cell>
          <cell r="H987">
            <v>12471.75</v>
          </cell>
          <cell r="I987">
            <v>778721.84210526315</v>
          </cell>
          <cell r="J987">
            <v>565384.17999999993</v>
          </cell>
        </row>
        <row r="988">
          <cell r="C988" t="str">
            <v>Vật liệu</v>
          </cell>
          <cell r="G988">
            <v>12471.75</v>
          </cell>
        </row>
        <row r="989">
          <cell r="B989">
            <v>6</v>
          </cell>
          <cell r="C989" t="str">
            <v>Vải trắng</v>
          </cell>
          <cell r="D989" t="str">
            <v>m</v>
          </cell>
          <cell r="E989">
            <v>0.5</v>
          </cell>
          <cell r="F989">
            <v>15000</v>
          </cell>
          <cell r="G989">
            <v>7500</v>
          </cell>
        </row>
        <row r="990">
          <cell r="B990">
            <v>9</v>
          </cell>
          <cell r="C990" t="str">
            <v>Giẻ lau</v>
          </cell>
          <cell r="D990" t="str">
            <v>kg</v>
          </cell>
          <cell r="E990">
            <v>0.3</v>
          </cell>
          <cell r="F990">
            <v>9500</v>
          </cell>
          <cell r="G990">
            <v>2850</v>
          </cell>
        </row>
        <row r="991">
          <cell r="B991">
            <v>117</v>
          </cell>
          <cell r="C991" t="str">
            <v>Vật liệu khác</v>
          </cell>
          <cell r="D991" t="str">
            <v>%</v>
          </cell>
          <cell r="E991">
            <v>20.5</v>
          </cell>
          <cell r="G991">
            <v>2121.75</v>
          </cell>
        </row>
        <row r="992">
          <cell r="C992" t="str">
            <v>Nhân công</v>
          </cell>
          <cell r="G992">
            <v>778721.84210526315</v>
          </cell>
        </row>
        <row r="993">
          <cell r="B993" t="str">
            <v>NC1407</v>
          </cell>
          <cell r="C993" t="str">
            <v>Ngày công bậc 4,0/7</v>
          </cell>
          <cell r="D993" t="str">
            <v>công</v>
          </cell>
          <cell r="E993">
            <v>4</v>
          </cell>
          <cell r="F993">
            <v>194680.46052631579</v>
          </cell>
          <cell r="G993">
            <v>778721.84210526315</v>
          </cell>
        </row>
        <row r="994">
          <cell r="C994" t="str">
            <v>Máy thi công</v>
          </cell>
          <cell r="G994">
            <v>565384.17999999993</v>
          </cell>
        </row>
        <row r="995">
          <cell r="B995">
            <v>8003</v>
          </cell>
          <cell r="C995" t="str">
            <v>Máy lọc dầu hợp bộ KATO KLVC-4AXVSO</v>
          </cell>
          <cell r="D995" t="str">
            <v>ca</v>
          </cell>
          <cell r="E995">
            <v>0.38</v>
          </cell>
          <cell r="F995">
            <v>1452021</v>
          </cell>
          <cell r="G995">
            <v>551767.98</v>
          </cell>
        </row>
        <row r="996">
          <cell r="B996">
            <v>8005</v>
          </cell>
          <cell r="C996" t="str">
            <v>Máy thử cao áp AI-70</v>
          </cell>
          <cell r="D996" t="str">
            <v>ca</v>
          </cell>
          <cell r="E996">
            <v>0.1</v>
          </cell>
          <cell r="F996">
            <v>136162</v>
          </cell>
          <cell r="G996">
            <v>13616.2</v>
          </cell>
        </row>
        <row r="997">
          <cell r="A997" t="str">
            <v>T1.2096</v>
          </cell>
          <cell r="C997" t="str">
            <v>Lọc dầu bằng máy lọc dầu hợp bộ KATO KLVC-4AXVSO hoặc tương đương; Mức điện áp trước khi lọc 20KV, mức điện áp sau khi lọc 50KV</v>
          </cell>
          <cell r="D997" t="str">
            <v>tấn</v>
          </cell>
          <cell r="H997">
            <v>12627</v>
          </cell>
          <cell r="I997">
            <v>914998.16447368427</v>
          </cell>
          <cell r="J997">
            <v>653957.46100000001</v>
          </cell>
        </row>
        <row r="998">
          <cell r="C998" t="str">
            <v>Vật liệu</v>
          </cell>
          <cell r="G998">
            <v>12627</v>
          </cell>
        </row>
        <row r="999">
          <cell r="B999">
            <v>6</v>
          </cell>
          <cell r="C999" t="str">
            <v>Vải trắng</v>
          </cell>
          <cell r="D999" t="str">
            <v>m</v>
          </cell>
          <cell r="E999">
            <v>0.5</v>
          </cell>
          <cell r="F999">
            <v>15000</v>
          </cell>
          <cell r="G999">
            <v>7500</v>
          </cell>
        </row>
        <row r="1000">
          <cell r="B1000">
            <v>9</v>
          </cell>
          <cell r="C1000" t="str">
            <v>Giẻ lau</v>
          </cell>
          <cell r="D1000" t="str">
            <v>kg</v>
          </cell>
          <cell r="E1000">
            <v>0.3</v>
          </cell>
          <cell r="F1000">
            <v>9500</v>
          </cell>
          <cell r="G1000">
            <v>2850</v>
          </cell>
        </row>
        <row r="1001">
          <cell r="B1001">
            <v>117</v>
          </cell>
          <cell r="C1001" t="str">
            <v>Vật liệu khác</v>
          </cell>
          <cell r="D1001" t="str">
            <v>%</v>
          </cell>
          <cell r="E1001">
            <v>22</v>
          </cell>
          <cell r="G1001">
            <v>2277</v>
          </cell>
        </row>
        <row r="1002">
          <cell r="C1002" t="str">
            <v>Nhân công</v>
          </cell>
          <cell r="G1002">
            <v>914998.16447368427</v>
          </cell>
        </row>
        <row r="1003">
          <cell r="B1003" t="str">
            <v>NC1407</v>
          </cell>
          <cell r="C1003" t="str">
            <v>Ngày công bậc 4,0/7</v>
          </cell>
          <cell r="D1003" t="str">
            <v>công</v>
          </cell>
          <cell r="E1003">
            <v>4.7</v>
          </cell>
          <cell r="F1003">
            <v>194680.46052631579</v>
          </cell>
          <cell r="G1003">
            <v>914998.16447368427</v>
          </cell>
        </row>
        <row r="1004">
          <cell r="C1004" t="str">
            <v>Máy thi công</v>
          </cell>
          <cell r="G1004">
            <v>653957.46100000001</v>
          </cell>
        </row>
        <row r="1005">
          <cell r="B1005">
            <v>8003</v>
          </cell>
          <cell r="C1005" t="str">
            <v>Máy lọc dầu hợp bộ KATO KLVC-4AXVSO</v>
          </cell>
          <cell r="D1005" t="str">
            <v>ca</v>
          </cell>
          <cell r="E1005">
            <v>0.441</v>
          </cell>
          <cell r="F1005">
            <v>1452021</v>
          </cell>
          <cell r="G1005">
            <v>640341.26100000006</v>
          </cell>
        </row>
        <row r="1006">
          <cell r="B1006">
            <v>8005</v>
          </cell>
          <cell r="C1006" t="str">
            <v>Máy thử cao áp AI-70</v>
          </cell>
          <cell r="D1006" t="str">
            <v>ca</v>
          </cell>
          <cell r="E1006">
            <v>0.1</v>
          </cell>
          <cell r="F1006">
            <v>136162</v>
          </cell>
          <cell r="G1006">
            <v>13616.2</v>
          </cell>
        </row>
        <row r="1007">
          <cell r="A1007" t="str">
            <v>T1.2101</v>
          </cell>
          <cell r="C1007" t="str">
            <v>Lọc dầu bằng máy lọc ép; Mức điện áp trước khi lọc 25KV, mức điện áp sau khi lọc 30KV</v>
          </cell>
          <cell r="D1007" t="str">
            <v>tấn</v>
          </cell>
          <cell r="H1007">
            <v>11385</v>
          </cell>
          <cell r="I1007">
            <v>330956.78289473685</v>
          </cell>
          <cell r="J1007">
            <v>33236.61</v>
          </cell>
        </row>
        <row r="1008">
          <cell r="C1008" t="str">
            <v>Vật liệu</v>
          </cell>
          <cell r="G1008">
            <v>11385</v>
          </cell>
        </row>
        <row r="1009">
          <cell r="B1009">
            <v>6</v>
          </cell>
          <cell r="C1009" t="str">
            <v>Vải trắng</v>
          </cell>
          <cell r="D1009" t="str">
            <v>m</v>
          </cell>
          <cell r="E1009">
            <v>0.5</v>
          </cell>
          <cell r="F1009">
            <v>15000</v>
          </cell>
          <cell r="G1009">
            <v>7500</v>
          </cell>
        </row>
        <row r="1010">
          <cell r="B1010">
            <v>9</v>
          </cell>
          <cell r="C1010" t="str">
            <v>Giẻ lau</v>
          </cell>
          <cell r="D1010" t="str">
            <v>kg</v>
          </cell>
          <cell r="E1010">
            <v>0.3</v>
          </cell>
          <cell r="F1010">
            <v>9500</v>
          </cell>
          <cell r="G1010">
            <v>2850</v>
          </cell>
        </row>
        <row r="1011">
          <cell r="B1011">
            <v>117</v>
          </cell>
          <cell r="C1011" t="str">
            <v>Vật liệu khác</v>
          </cell>
          <cell r="D1011" t="str">
            <v>%</v>
          </cell>
          <cell r="E1011">
            <v>10</v>
          </cell>
          <cell r="G1011">
            <v>1035</v>
          </cell>
        </row>
        <row r="1012">
          <cell r="C1012" t="str">
            <v>Nhân công</v>
          </cell>
          <cell r="G1012">
            <v>330956.78289473685</v>
          </cell>
        </row>
        <row r="1013">
          <cell r="B1013" t="str">
            <v>NC1407</v>
          </cell>
          <cell r="C1013" t="str">
            <v>Ngày công bậc 4,0/7</v>
          </cell>
          <cell r="D1013" t="str">
            <v>công</v>
          </cell>
          <cell r="E1013">
            <v>1.7</v>
          </cell>
          <cell r="F1013">
            <v>194680.46052631579</v>
          </cell>
          <cell r="G1013">
            <v>330956.78289473685</v>
          </cell>
        </row>
        <row r="1014">
          <cell r="C1014" t="str">
            <v>Máy thi công</v>
          </cell>
          <cell r="G1014">
            <v>33236.61</v>
          </cell>
        </row>
        <row r="1015">
          <cell r="B1015">
            <v>8004</v>
          </cell>
          <cell r="C1015" t="str">
            <v>Máy lọc ép</v>
          </cell>
          <cell r="D1015" t="str">
            <v>ca</v>
          </cell>
          <cell r="E1015">
            <v>0.47</v>
          </cell>
          <cell r="F1015">
            <v>24073</v>
          </cell>
          <cell r="G1015">
            <v>11314.31</v>
          </cell>
        </row>
        <row r="1016">
          <cell r="B1016">
            <v>8011</v>
          </cell>
          <cell r="C1016" t="str">
            <v>Máy bơm ly tâm</v>
          </cell>
          <cell r="D1016" t="str">
            <v>ca</v>
          </cell>
          <cell r="E1016">
            <v>0.18</v>
          </cell>
          <cell r="F1016">
            <v>25135</v>
          </cell>
          <cell r="G1016">
            <v>4524.3</v>
          </cell>
        </row>
        <row r="1017">
          <cell r="B1017">
            <v>8010</v>
          </cell>
          <cell r="C1017" t="str">
            <v>Máy bơm chân không</v>
          </cell>
          <cell r="D1017" t="str">
            <v>ca</v>
          </cell>
          <cell r="E1017">
            <v>0.18</v>
          </cell>
          <cell r="F1017">
            <v>21010</v>
          </cell>
          <cell r="G1017">
            <v>3781.7999999999997</v>
          </cell>
        </row>
        <row r="1018">
          <cell r="B1018">
            <v>8005</v>
          </cell>
          <cell r="C1018" t="str">
            <v>Máy thử cao áp AI-70</v>
          </cell>
          <cell r="D1018" t="str">
            <v>ca</v>
          </cell>
          <cell r="E1018">
            <v>0.1</v>
          </cell>
          <cell r="F1018">
            <v>136162</v>
          </cell>
          <cell r="G1018">
            <v>13616.2</v>
          </cell>
        </row>
        <row r="1019">
          <cell r="A1019" t="str">
            <v>T1.2102</v>
          </cell>
          <cell r="C1019" t="str">
            <v>Lọc dầu bằng máy lọc ép; Mức điện áp trước khi lọc 25KV, mức điện áp sau khi lọc 35KV</v>
          </cell>
          <cell r="D1019" t="str">
            <v>tấn</v>
          </cell>
          <cell r="H1019">
            <v>11385</v>
          </cell>
          <cell r="I1019">
            <v>428297.01315789478</v>
          </cell>
          <cell r="J1019">
            <v>37991.179999999993</v>
          </cell>
        </row>
        <row r="1020">
          <cell r="C1020" t="str">
            <v>Vật liệu</v>
          </cell>
          <cell r="G1020">
            <v>11385</v>
          </cell>
        </row>
        <row r="1021">
          <cell r="B1021">
            <v>6</v>
          </cell>
          <cell r="C1021" t="str">
            <v>Vải trắng</v>
          </cell>
          <cell r="D1021" t="str">
            <v>m</v>
          </cell>
          <cell r="E1021">
            <v>0.5</v>
          </cell>
          <cell r="F1021">
            <v>15000</v>
          </cell>
          <cell r="G1021">
            <v>7500</v>
          </cell>
        </row>
        <row r="1022">
          <cell r="B1022">
            <v>9</v>
          </cell>
          <cell r="C1022" t="str">
            <v>Giẻ lau</v>
          </cell>
          <cell r="D1022" t="str">
            <v>kg</v>
          </cell>
          <cell r="E1022">
            <v>0.3</v>
          </cell>
          <cell r="F1022">
            <v>9500</v>
          </cell>
          <cell r="G1022">
            <v>2850</v>
          </cell>
        </row>
        <row r="1023">
          <cell r="B1023">
            <v>117</v>
          </cell>
          <cell r="C1023" t="str">
            <v>Vật liệu khác</v>
          </cell>
          <cell r="D1023" t="str">
            <v>%</v>
          </cell>
          <cell r="E1023">
            <v>10</v>
          </cell>
          <cell r="G1023">
            <v>1035</v>
          </cell>
        </row>
        <row r="1024">
          <cell r="C1024" t="str">
            <v>Nhân công</v>
          </cell>
          <cell r="G1024">
            <v>428297.01315789478</v>
          </cell>
        </row>
        <row r="1025">
          <cell r="B1025" t="str">
            <v>NC1407</v>
          </cell>
          <cell r="C1025" t="str">
            <v>Ngày công bậc 4,0/7</v>
          </cell>
          <cell r="D1025" t="str">
            <v>công</v>
          </cell>
          <cell r="E1025">
            <v>2.2000000000000002</v>
          </cell>
          <cell r="F1025">
            <v>194680.46052631579</v>
          </cell>
          <cell r="G1025">
            <v>428297.01315789478</v>
          </cell>
        </row>
        <row r="1026">
          <cell r="C1026" t="str">
            <v>Máy thi công</v>
          </cell>
          <cell r="G1026">
            <v>37991.179999999993</v>
          </cell>
        </row>
        <row r="1027">
          <cell r="B1027">
            <v>8004</v>
          </cell>
          <cell r="C1027" t="str">
            <v>Máy lọc ép</v>
          </cell>
          <cell r="D1027" t="str">
            <v>ca</v>
          </cell>
          <cell r="E1027">
            <v>0.61</v>
          </cell>
          <cell r="F1027">
            <v>24073</v>
          </cell>
          <cell r="G1027">
            <v>14684.529999999999</v>
          </cell>
        </row>
        <row r="1028">
          <cell r="B1028">
            <v>8011</v>
          </cell>
          <cell r="C1028" t="str">
            <v>Máy bơm ly tâm</v>
          </cell>
          <cell r="D1028" t="str">
            <v>ca</v>
          </cell>
          <cell r="E1028">
            <v>0.21</v>
          </cell>
          <cell r="F1028">
            <v>25135</v>
          </cell>
          <cell r="G1028">
            <v>5278.3499999999995</v>
          </cell>
        </row>
        <row r="1029">
          <cell r="B1029">
            <v>8010</v>
          </cell>
          <cell r="C1029" t="str">
            <v>Máy bơm chân không</v>
          </cell>
          <cell r="D1029" t="str">
            <v>ca</v>
          </cell>
          <cell r="E1029">
            <v>0.21</v>
          </cell>
          <cell r="F1029">
            <v>21010</v>
          </cell>
          <cell r="G1029">
            <v>4412.0999999999995</v>
          </cell>
        </row>
        <row r="1030">
          <cell r="B1030">
            <v>8005</v>
          </cell>
          <cell r="C1030" t="str">
            <v>Máy thử cao áp AI-70</v>
          </cell>
          <cell r="D1030" t="str">
            <v>ca</v>
          </cell>
          <cell r="E1030">
            <v>0.1</v>
          </cell>
          <cell r="F1030">
            <v>136162</v>
          </cell>
          <cell r="G1030">
            <v>13616.2</v>
          </cell>
        </row>
        <row r="1031">
          <cell r="A1031" t="str">
            <v>T1.2103</v>
          </cell>
          <cell r="C1031" t="str">
            <v>Lọc dầu bằng máy lọc ép; Mức điện áp trước khi lọc 25KV, mức điện áp sau khi lọc 40KV</v>
          </cell>
          <cell r="D1031" t="str">
            <v>tấn</v>
          </cell>
          <cell r="H1031">
            <v>11902.5</v>
          </cell>
          <cell r="I1031">
            <v>545105.28947368416</v>
          </cell>
          <cell r="J1031">
            <v>42725.740000000005</v>
          </cell>
        </row>
        <row r="1032">
          <cell r="C1032" t="str">
            <v>Vật liệu</v>
          </cell>
          <cell r="G1032">
            <v>11902.5</v>
          </cell>
        </row>
        <row r="1033">
          <cell r="B1033">
            <v>6</v>
          </cell>
          <cell r="C1033" t="str">
            <v>Vải trắng</v>
          </cell>
          <cell r="D1033" t="str">
            <v>m</v>
          </cell>
          <cell r="E1033">
            <v>0.5</v>
          </cell>
          <cell r="F1033">
            <v>15000</v>
          </cell>
          <cell r="G1033">
            <v>7500</v>
          </cell>
        </row>
        <row r="1034">
          <cell r="B1034">
            <v>9</v>
          </cell>
          <cell r="C1034" t="str">
            <v>Giẻ lau</v>
          </cell>
          <cell r="D1034" t="str">
            <v>kg</v>
          </cell>
          <cell r="E1034">
            <v>0.3</v>
          </cell>
          <cell r="F1034">
            <v>9500</v>
          </cell>
          <cell r="G1034">
            <v>2850</v>
          </cell>
        </row>
        <row r="1035">
          <cell r="B1035">
            <v>117</v>
          </cell>
          <cell r="C1035" t="str">
            <v>Vật liệu khác</v>
          </cell>
          <cell r="D1035" t="str">
            <v>%</v>
          </cell>
          <cell r="E1035">
            <v>15</v>
          </cell>
          <cell r="G1035">
            <v>1552.5</v>
          </cell>
        </row>
        <row r="1036">
          <cell r="C1036" t="str">
            <v>Nhân công</v>
          </cell>
          <cell r="G1036">
            <v>545105.28947368416</v>
          </cell>
        </row>
        <row r="1037">
          <cell r="B1037" t="str">
            <v>NC1407</v>
          </cell>
          <cell r="C1037" t="str">
            <v>Ngày công bậc 4,0/7</v>
          </cell>
          <cell r="D1037" t="str">
            <v>công</v>
          </cell>
          <cell r="E1037">
            <v>2.8</v>
          </cell>
          <cell r="F1037">
            <v>194680.46052631579</v>
          </cell>
          <cell r="G1037">
            <v>545105.28947368416</v>
          </cell>
        </row>
        <row r="1038">
          <cell r="C1038" t="str">
            <v>Máy thi công</v>
          </cell>
          <cell r="G1038">
            <v>42725.740000000005</v>
          </cell>
        </row>
        <row r="1039">
          <cell r="B1039">
            <v>8004</v>
          </cell>
          <cell r="C1039" t="str">
            <v>Máy lọc ép</v>
          </cell>
          <cell r="D1039" t="str">
            <v>ca</v>
          </cell>
          <cell r="E1039">
            <v>0.73</v>
          </cell>
          <cell r="F1039">
            <v>24073</v>
          </cell>
          <cell r="G1039">
            <v>17573.29</v>
          </cell>
        </row>
        <row r="1040">
          <cell r="B1040">
            <v>8011</v>
          </cell>
          <cell r="C1040" t="str">
            <v>Máy bơm ly tâm</v>
          </cell>
          <cell r="D1040" t="str">
            <v>ca</v>
          </cell>
          <cell r="E1040">
            <v>0.25</v>
          </cell>
          <cell r="F1040">
            <v>25135</v>
          </cell>
          <cell r="G1040">
            <v>6283.75</v>
          </cell>
        </row>
        <row r="1041">
          <cell r="B1041">
            <v>8010</v>
          </cell>
          <cell r="C1041" t="str">
            <v>Máy bơm chân không</v>
          </cell>
          <cell r="D1041" t="str">
            <v>ca</v>
          </cell>
          <cell r="E1041">
            <v>0.25</v>
          </cell>
          <cell r="F1041">
            <v>21010</v>
          </cell>
          <cell r="G1041">
            <v>5252.5</v>
          </cell>
        </row>
        <row r="1042">
          <cell r="B1042">
            <v>8005</v>
          </cell>
          <cell r="C1042" t="str">
            <v>Máy thử cao áp AI-70</v>
          </cell>
          <cell r="D1042" t="str">
            <v>ca</v>
          </cell>
          <cell r="E1042">
            <v>0.1</v>
          </cell>
          <cell r="F1042">
            <v>136162</v>
          </cell>
          <cell r="G1042">
            <v>13616.2</v>
          </cell>
        </row>
        <row r="1043">
          <cell r="A1043" t="str">
            <v>T1.2104</v>
          </cell>
          <cell r="C1043" t="str">
            <v>Lọc dầu bằng máy lọc ép; Mức điện áp trước khi lọc 25KV, mức điện áp sau khi lọc 45KV</v>
          </cell>
          <cell r="D1043" t="str">
            <v>tấn</v>
          </cell>
          <cell r="H1043">
            <v>12109.5</v>
          </cell>
          <cell r="I1043">
            <v>681381.61184210528</v>
          </cell>
          <cell r="J1043">
            <v>48864.66</v>
          </cell>
        </row>
        <row r="1044">
          <cell r="C1044" t="str">
            <v>Vật liệu</v>
          </cell>
          <cell r="G1044">
            <v>12109.5</v>
          </cell>
        </row>
        <row r="1045">
          <cell r="B1045">
            <v>6</v>
          </cell>
          <cell r="C1045" t="str">
            <v>Vải trắng</v>
          </cell>
          <cell r="D1045" t="str">
            <v>m</v>
          </cell>
          <cell r="E1045">
            <v>0.5</v>
          </cell>
          <cell r="F1045">
            <v>15000</v>
          </cell>
          <cell r="G1045">
            <v>7500</v>
          </cell>
        </row>
        <row r="1046">
          <cell r="B1046">
            <v>9</v>
          </cell>
          <cell r="C1046" t="str">
            <v>Giẻ lau</v>
          </cell>
          <cell r="D1046" t="str">
            <v>kg</v>
          </cell>
          <cell r="E1046">
            <v>0.3</v>
          </cell>
          <cell r="F1046">
            <v>9500</v>
          </cell>
          <cell r="G1046">
            <v>2850</v>
          </cell>
        </row>
        <row r="1047">
          <cell r="B1047">
            <v>117</v>
          </cell>
          <cell r="C1047" t="str">
            <v>Vật liệu khác</v>
          </cell>
          <cell r="D1047" t="str">
            <v>%</v>
          </cell>
          <cell r="E1047">
            <v>17</v>
          </cell>
          <cell r="G1047">
            <v>1759.5000000000002</v>
          </cell>
        </row>
        <row r="1048">
          <cell r="C1048" t="str">
            <v>Nhân công</v>
          </cell>
          <cell r="G1048">
            <v>681381.61184210528</v>
          </cell>
        </row>
        <row r="1049">
          <cell r="B1049" t="str">
            <v>NC1407</v>
          </cell>
          <cell r="C1049" t="str">
            <v>Ngày công bậc 4,0/7</v>
          </cell>
          <cell r="D1049" t="str">
            <v>công</v>
          </cell>
          <cell r="E1049">
            <v>3.5</v>
          </cell>
          <cell r="F1049">
            <v>194680.46052631579</v>
          </cell>
          <cell r="G1049">
            <v>681381.61184210528</v>
          </cell>
        </row>
        <row r="1050">
          <cell r="C1050" t="str">
            <v>Máy thi công</v>
          </cell>
          <cell r="G1050">
            <v>48864.66</v>
          </cell>
        </row>
        <row r="1051">
          <cell r="B1051">
            <v>8004</v>
          </cell>
          <cell r="C1051" t="str">
            <v>Máy lọc ép</v>
          </cell>
          <cell r="D1051" t="str">
            <v>ca</v>
          </cell>
          <cell r="E1051">
            <v>0.87</v>
          </cell>
          <cell r="F1051">
            <v>24073</v>
          </cell>
          <cell r="G1051">
            <v>20943.509999999998</v>
          </cell>
        </row>
        <row r="1052">
          <cell r="B1052">
            <v>8011</v>
          </cell>
          <cell r="C1052" t="str">
            <v>Máy bơm ly tâm</v>
          </cell>
          <cell r="D1052" t="str">
            <v>ca</v>
          </cell>
          <cell r="E1052">
            <v>0.31</v>
          </cell>
          <cell r="F1052">
            <v>25135</v>
          </cell>
          <cell r="G1052">
            <v>7791.85</v>
          </cell>
        </row>
        <row r="1053">
          <cell r="B1053">
            <v>8010</v>
          </cell>
          <cell r="C1053" t="str">
            <v>Máy bơm chân không</v>
          </cell>
          <cell r="D1053" t="str">
            <v>ca</v>
          </cell>
          <cell r="E1053">
            <v>0.31</v>
          </cell>
          <cell r="F1053">
            <v>21010</v>
          </cell>
          <cell r="G1053">
            <v>6513.1</v>
          </cell>
        </row>
        <row r="1054">
          <cell r="B1054">
            <v>8005</v>
          </cell>
          <cell r="C1054" t="str">
            <v>Máy thử cao áp AI-70</v>
          </cell>
          <cell r="D1054" t="str">
            <v>ca</v>
          </cell>
          <cell r="E1054">
            <v>0.1</v>
          </cell>
          <cell r="F1054">
            <v>136162</v>
          </cell>
          <cell r="G1054">
            <v>13616.2</v>
          </cell>
        </row>
        <row r="1055">
          <cell r="A1055" t="str">
            <v>T1.2105</v>
          </cell>
          <cell r="C1055" t="str">
            <v>Lọc dầu bằng máy lọc ép; Mức điện áp trước khi lọc 25KV, mức điện áp sau khi lọc 50KV</v>
          </cell>
          <cell r="D1055" t="str">
            <v>tấn</v>
          </cell>
          <cell r="H1055">
            <v>12316.5</v>
          </cell>
          <cell r="I1055">
            <v>817657.93421052629</v>
          </cell>
          <cell r="J1055">
            <v>55966.5</v>
          </cell>
        </row>
        <row r="1056">
          <cell r="C1056" t="str">
            <v>Vật liệu</v>
          </cell>
          <cell r="G1056">
            <v>12316.5</v>
          </cell>
        </row>
        <row r="1057">
          <cell r="B1057">
            <v>6</v>
          </cell>
          <cell r="C1057" t="str">
            <v>Vải trắng</v>
          </cell>
          <cell r="D1057" t="str">
            <v>m</v>
          </cell>
          <cell r="E1057">
            <v>0.5</v>
          </cell>
          <cell r="F1057">
            <v>15000</v>
          </cell>
          <cell r="G1057">
            <v>7500</v>
          </cell>
        </row>
        <row r="1058">
          <cell r="B1058">
            <v>9</v>
          </cell>
          <cell r="C1058" t="str">
            <v>Giẻ lau</v>
          </cell>
          <cell r="D1058" t="str">
            <v>kg</v>
          </cell>
          <cell r="E1058">
            <v>0.3</v>
          </cell>
          <cell r="F1058">
            <v>9500</v>
          </cell>
          <cell r="G1058">
            <v>2850</v>
          </cell>
        </row>
        <row r="1059">
          <cell r="B1059">
            <v>117</v>
          </cell>
          <cell r="C1059" t="str">
            <v>Vật liệu khác</v>
          </cell>
          <cell r="D1059" t="str">
            <v>%</v>
          </cell>
          <cell r="E1059">
            <v>19</v>
          </cell>
          <cell r="G1059">
            <v>1966.5</v>
          </cell>
        </row>
        <row r="1060">
          <cell r="C1060" t="str">
            <v>Nhân công</v>
          </cell>
          <cell r="G1060">
            <v>817657.93421052629</v>
          </cell>
        </row>
        <row r="1061">
          <cell r="B1061" t="str">
            <v>NC1407</v>
          </cell>
          <cell r="C1061" t="str">
            <v>Ngày công bậc 4,0/7</v>
          </cell>
          <cell r="D1061" t="str">
            <v>công</v>
          </cell>
          <cell r="E1061">
            <v>4.2</v>
          </cell>
          <cell r="F1061">
            <v>194680.46052631579</v>
          </cell>
          <cell r="G1061">
            <v>817657.93421052629</v>
          </cell>
        </row>
        <row r="1062">
          <cell r="C1062" t="str">
            <v>Máy thi công</v>
          </cell>
          <cell r="G1062">
            <v>55966.5</v>
          </cell>
        </row>
        <row r="1063">
          <cell r="B1063">
            <v>8004</v>
          </cell>
          <cell r="C1063" t="str">
            <v>Máy lọc ép</v>
          </cell>
          <cell r="D1063" t="str">
            <v>ca</v>
          </cell>
          <cell r="E1063">
            <v>1.05</v>
          </cell>
          <cell r="F1063">
            <v>24073</v>
          </cell>
          <cell r="G1063">
            <v>25276.65</v>
          </cell>
        </row>
        <row r="1064">
          <cell r="B1064">
            <v>8011</v>
          </cell>
          <cell r="C1064" t="str">
            <v>Máy bơm ly tâm</v>
          </cell>
          <cell r="D1064" t="str">
            <v>ca</v>
          </cell>
          <cell r="E1064">
            <v>0.37</v>
          </cell>
          <cell r="F1064">
            <v>25135</v>
          </cell>
          <cell r="G1064">
            <v>9299.9500000000007</v>
          </cell>
        </row>
        <row r="1065">
          <cell r="B1065">
            <v>8010</v>
          </cell>
          <cell r="C1065" t="str">
            <v>Máy bơm chân không</v>
          </cell>
          <cell r="D1065" t="str">
            <v>ca</v>
          </cell>
          <cell r="E1065">
            <v>0.37</v>
          </cell>
          <cell r="F1065">
            <v>21010</v>
          </cell>
          <cell r="G1065">
            <v>7773.7</v>
          </cell>
        </row>
        <row r="1066">
          <cell r="B1066">
            <v>8005</v>
          </cell>
          <cell r="C1066" t="str">
            <v>Máy thử cao áp AI-70</v>
          </cell>
          <cell r="D1066" t="str">
            <v>ca</v>
          </cell>
          <cell r="E1066">
            <v>0.1</v>
          </cell>
          <cell r="F1066">
            <v>136162</v>
          </cell>
          <cell r="G1066">
            <v>13616.2</v>
          </cell>
        </row>
        <row r="1067">
          <cell r="A1067" t="str">
            <v>T1.2111</v>
          </cell>
          <cell r="C1067" t="str">
            <v>Lọc dầu bằng máy lọc dầu cải tạo YBM-2 (đã có máy hút chân không) hoặc tương đương; Mức điện áp trước khi lọc 25KV, mức điện áp sau khi lọc 30KV</v>
          </cell>
          <cell r="D1067" t="str">
            <v>tấn</v>
          </cell>
          <cell r="H1067">
            <v>11385</v>
          </cell>
          <cell r="I1067">
            <v>330956.78289473685</v>
          </cell>
          <cell r="J1067">
            <v>225795.72000000003</v>
          </cell>
        </row>
        <row r="1068">
          <cell r="C1068" t="str">
            <v>Vật liệu</v>
          </cell>
          <cell r="G1068">
            <v>11385</v>
          </cell>
        </row>
        <row r="1069">
          <cell r="B1069">
            <v>6</v>
          </cell>
          <cell r="C1069" t="str">
            <v>Vải trắng</v>
          </cell>
          <cell r="D1069" t="str">
            <v>m</v>
          </cell>
          <cell r="E1069">
            <v>0.5</v>
          </cell>
          <cell r="F1069">
            <v>15000</v>
          </cell>
          <cell r="G1069">
            <v>7500</v>
          </cell>
        </row>
        <row r="1070">
          <cell r="B1070">
            <v>9</v>
          </cell>
          <cell r="C1070" t="str">
            <v>Giẻ lau</v>
          </cell>
          <cell r="D1070" t="str">
            <v>kg</v>
          </cell>
          <cell r="E1070">
            <v>0.3</v>
          </cell>
          <cell r="F1070">
            <v>9500</v>
          </cell>
          <cell r="G1070">
            <v>2850</v>
          </cell>
        </row>
        <row r="1071">
          <cell r="B1071">
            <v>117</v>
          </cell>
          <cell r="C1071" t="str">
            <v>Vật liệu khác</v>
          </cell>
          <cell r="D1071" t="str">
            <v>%</v>
          </cell>
          <cell r="E1071">
            <v>10</v>
          </cell>
          <cell r="G1071">
            <v>1035</v>
          </cell>
        </row>
        <row r="1072">
          <cell r="C1072" t="str">
            <v>Nhân công</v>
          </cell>
          <cell r="G1072">
            <v>330956.78289473685</v>
          </cell>
        </row>
        <row r="1073">
          <cell r="B1073" t="str">
            <v>NC1407</v>
          </cell>
          <cell r="C1073" t="str">
            <v>Ngày công bậc 4,0/7</v>
          </cell>
          <cell r="D1073" t="str">
            <v>công</v>
          </cell>
          <cell r="E1073">
            <v>1.7</v>
          </cell>
          <cell r="F1073">
            <v>194680.46052631579</v>
          </cell>
          <cell r="G1073">
            <v>330956.78289473685</v>
          </cell>
        </row>
        <row r="1074">
          <cell r="C1074" t="str">
            <v>Máy thi công</v>
          </cell>
          <cell r="G1074">
            <v>225795.72000000003</v>
          </cell>
        </row>
        <row r="1075">
          <cell r="B1075">
            <v>8002</v>
          </cell>
          <cell r="C1075" t="str">
            <v>Máy lọc dầu cải tạo YBM-2</v>
          </cell>
          <cell r="D1075" t="str">
            <v>ca</v>
          </cell>
          <cell r="E1075">
            <v>0.28000000000000003</v>
          </cell>
          <cell r="F1075">
            <v>757784</v>
          </cell>
          <cell r="G1075">
            <v>212179.52000000002</v>
          </cell>
        </row>
        <row r="1076">
          <cell r="B1076">
            <v>8005</v>
          </cell>
          <cell r="C1076" t="str">
            <v>Máy thử cao áp AI-70</v>
          </cell>
          <cell r="D1076" t="str">
            <v>ca</v>
          </cell>
          <cell r="E1076">
            <v>0.1</v>
          </cell>
          <cell r="F1076">
            <v>136162</v>
          </cell>
          <cell r="G1076">
            <v>13616.2</v>
          </cell>
        </row>
        <row r="1077">
          <cell r="A1077" t="str">
            <v>T1.2112</v>
          </cell>
          <cell r="C1077" t="str">
            <v>Lọc dầu bằng máy lọc dầu cải tạo YBM-2 (đã có máy hút chân không) hoặc tương đương; Mức điện áp trước khi lọc 25KV, mức điện áp sau khi lọc 35KV</v>
          </cell>
          <cell r="D1077" t="str">
            <v>tấn</v>
          </cell>
          <cell r="H1077">
            <v>11385</v>
          </cell>
          <cell r="I1077">
            <v>428297.01315789478</v>
          </cell>
          <cell r="J1077">
            <v>293996.28000000003</v>
          </cell>
        </row>
        <row r="1078">
          <cell r="C1078" t="str">
            <v>Vật liệu</v>
          </cell>
          <cell r="G1078">
            <v>11385</v>
          </cell>
        </row>
        <row r="1079">
          <cell r="B1079">
            <v>6</v>
          </cell>
          <cell r="C1079" t="str">
            <v>Vải trắng</v>
          </cell>
          <cell r="D1079" t="str">
            <v>m</v>
          </cell>
          <cell r="E1079">
            <v>0.5</v>
          </cell>
          <cell r="F1079">
            <v>15000</v>
          </cell>
          <cell r="G1079">
            <v>7500</v>
          </cell>
        </row>
        <row r="1080">
          <cell r="B1080">
            <v>9</v>
          </cell>
          <cell r="C1080" t="str">
            <v>Giẻ lau</v>
          </cell>
          <cell r="D1080" t="str">
            <v>kg</v>
          </cell>
          <cell r="E1080">
            <v>0.3</v>
          </cell>
          <cell r="F1080">
            <v>9500</v>
          </cell>
          <cell r="G1080">
            <v>2850</v>
          </cell>
        </row>
        <row r="1081">
          <cell r="B1081">
            <v>117</v>
          </cell>
          <cell r="C1081" t="str">
            <v>Vật liệu khác</v>
          </cell>
          <cell r="D1081" t="str">
            <v>%</v>
          </cell>
          <cell r="E1081">
            <v>10</v>
          </cell>
          <cell r="G1081">
            <v>1035</v>
          </cell>
        </row>
        <row r="1082">
          <cell r="C1082" t="str">
            <v>Nhân công</v>
          </cell>
          <cell r="G1082">
            <v>428297.01315789478</v>
          </cell>
        </row>
        <row r="1083">
          <cell r="B1083" t="str">
            <v>NC1407</v>
          </cell>
          <cell r="C1083" t="str">
            <v>Ngày công bậc 4,0/7</v>
          </cell>
          <cell r="D1083" t="str">
            <v>công</v>
          </cell>
          <cell r="E1083">
            <v>2.2000000000000002</v>
          </cell>
          <cell r="F1083">
            <v>194680.46052631579</v>
          </cell>
          <cell r="G1083">
            <v>428297.01315789478</v>
          </cell>
        </row>
        <row r="1084">
          <cell r="C1084" t="str">
            <v>Máy thi công</v>
          </cell>
          <cell r="G1084">
            <v>293996.28000000003</v>
          </cell>
        </row>
        <row r="1085">
          <cell r="B1085">
            <v>8002</v>
          </cell>
          <cell r="C1085" t="str">
            <v>Máy lọc dầu cải tạo YBM-2</v>
          </cell>
          <cell r="D1085" t="str">
            <v>ca</v>
          </cell>
          <cell r="E1085">
            <v>0.37</v>
          </cell>
          <cell r="F1085">
            <v>757784</v>
          </cell>
          <cell r="G1085">
            <v>280380.08</v>
          </cell>
        </row>
        <row r="1086">
          <cell r="B1086">
            <v>8005</v>
          </cell>
          <cell r="C1086" t="str">
            <v>Máy thử cao áp AI-70</v>
          </cell>
          <cell r="D1086" t="str">
            <v>ca</v>
          </cell>
          <cell r="E1086">
            <v>0.1</v>
          </cell>
          <cell r="F1086">
            <v>136162</v>
          </cell>
          <cell r="G1086">
            <v>13616.2</v>
          </cell>
        </row>
        <row r="1087">
          <cell r="A1087" t="str">
            <v>T1.2113</v>
          </cell>
          <cell r="C1087" t="str">
            <v>Lọc dầu bằng máy lọc dầu cải tạo YBM-2 (đã có máy hút chân không) hoặc tương đương; Mức điện áp trước khi lọc 25KV, mức điện áp sau khi lọc 40KV</v>
          </cell>
          <cell r="D1087" t="str">
            <v>tấn</v>
          </cell>
          <cell r="H1087">
            <v>11902.5</v>
          </cell>
          <cell r="I1087">
            <v>545105.28947368416</v>
          </cell>
          <cell r="J1087">
            <v>347041.16000000003</v>
          </cell>
        </row>
        <row r="1088">
          <cell r="C1088" t="str">
            <v>Vật liệu</v>
          </cell>
          <cell r="G1088">
            <v>11902.5</v>
          </cell>
        </row>
        <row r="1089">
          <cell r="B1089">
            <v>6</v>
          </cell>
          <cell r="C1089" t="str">
            <v>Vải trắng</v>
          </cell>
          <cell r="D1089" t="str">
            <v>m</v>
          </cell>
          <cell r="E1089">
            <v>0.5</v>
          </cell>
          <cell r="F1089">
            <v>15000</v>
          </cell>
          <cell r="G1089">
            <v>7500</v>
          </cell>
        </row>
        <row r="1090">
          <cell r="B1090">
            <v>9</v>
          </cell>
          <cell r="C1090" t="str">
            <v>Giẻ lau</v>
          </cell>
          <cell r="D1090" t="str">
            <v>kg</v>
          </cell>
          <cell r="E1090">
            <v>0.3</v>
          </cell>
          <cell r="F1090">
            <v>9500</v>
          </cell>
          <cell r="G1090">
            <v>2850</v>
          </cell>
        </row>
        <row r="1091">
          <cell r="B1091">
            <v>117</v>
          </cell>
          <cell r="C1091" t="str">
            <v>Vật liệu khác</v>
          </cell>
          <cell r="D1091" t="str">
            <v>%</v>
          </cell>
          <cell r="E1091">
            <v>15</v>
          </cell>
          <cell r="G1091">
            <v>1552.5</v>
          </cell>
        </row>
        <row r="1092">
          <cell r="C1092" t="str">
            <v>Nhân công</v>
          </cell>
          <cell r="G1092">
            <v>545105.28947368416</v>
          </cell>
        </row>
        <row r="1093">
          <cell r="B1093" t="str">
            <v>NC1407</v>
          </cell>
          <cell r="C1093" t="str">
            <v>Ngày công bậc 4,0/7</v>
          </cell>
          <cell r="D1093" t="str">
            <v>công</v>
          </cell>
          <cell r="E1093">
            <v>2.8</v>
          </cell>
          <cell r="F1093">
            <v>194680.46052631579</v>
          </cell>
          <cell r="G1093">
            <v>545105.28947368416</v>
          </cell>
        </row>
        <row r="1094">
          <cell r="C1094" t="str">
            <v>Máy thi công</v>
          </cell>
          <cell r="G1094">
            <v>347041.16000000003</v>
          </cell>
        </row>
        <row r="1095">
          <cell r="B1095">
            <v>8002</v>
          </cell>
          <cell r="C1095" t="str">
            <v>Máy lọc dầu cải tạo YBM-2</v>
          </cell>
          <cell r="D1095" t="str">
            <v>ca</v>
          </cell>
          <cell r="E1095">
            <v>0.44</v>
          </cell>
          <cell r="F1095">
            <v>757784</v>
          </cell>
          <cell r="G1095">
            <v>333424.96000000002</v>
          </cell>
        </row>
        <row r="1096">
          <cell r="B1096">
            <v>8005</v>
          </cell>
          <cell r="C1096" t="str">
            <v>Máy thử cao áp AI-70</v>
          </cell>
          <cell r="D1096" t="str">
            <v>ca</v>
          </cell>
          <cell r="E1096">
            <v>0.1</v>
          </cell>
          <cell r="F1096">
            <v>136162</v>
          </cell>
          <cell r="G1096">
            <v>13616.2</v>
          </cell>
        </row>
        <row r="1097">
          <cell r="A1097" t="str">
            <v>T1.2114</v>
          </cell>
          <cell r="C1097" t="str">
            <v>Lọc dầu bằng máy lọc dầu cải tạo YBM-2 (đã có máy hút chân không) hoặc tương đương; Mức điện áp trước khi lọc 25KV, mức điện áp sau khi lọc 45KV</v>
          </cell>
          <cell r="D1097" t="str">
            <v>tấn</v>
          </cell>
          <cell r="H1097">
            <v>12109.5</v>
          </cell>
          <cell r="I1097">
            <v>681381.61184210528</v>
          </cell>
          <cell r="J1097">
            <v>407663.88</v>
          </cell>
        </row>
        <row r="1098">
          <cell r="C1098" t="str">
            <v>Vật liệu</v>
          </cell>
          <cell r="G1098">
            <v>12109.5</v>
          </cell>
        </row>
        <row r="1099">
          <cell r="B1099">
            <v>6</v>
          </cell>
          <cell r="C1099" t="str">
            <v>Vải trắng</v>
          </cell>
          <cell r="D1099" t="str">
            <v>m</v>
          </cell>
          <cell r="E1099">
            <v>0.5</v>
          </cell>
          <cell r="F1099">
            <v>15000</v>
          </cell>
          <cell r="G1099">
            <v>7500</v>
          </cell>
        </row>
        <row r="1100">
          <cell r="B1100">
            <v>9</v>
          </cell>
          <cell r="C1100" t="str">
            <v>Giẻ lau</v>
          </cell>
          <cell r="D1100" t="str">
            <v>kg</v>
          </cell>
          <cell r="E1100">
            <v>0.3</v>
          </cell>
          <cell r="F1100">
            <v>9500</v>
          </cell>
          <cell r="G1100">
            <v>2850</v>
          </cell>
        </row>
        <row r="1101">
          <cell r="B1101">
            <v>117</v>
          </cell>
          <cell r="C1101" t="str">
            <v>Vật liệu khác</v>
          </cell>
          <cell r="D1101" t="str">
            <v>%</v>
          </cell>
          <cell r="E1101">
            <v>17</v>
          </cell>
          <cell r="G1101">
            <v>1759.5000000000002</v>
          </cell>
        </row>
        <row r="1102">
          <cell r="C1102" t="str">
            <v>Nhân công</v>
          </cell>
          <cell r="G1102">
            <v>681381.61184210528</v>
          </cell>
        </row>
        <row r="1103">
          <cell r="B1103" t="str">
            <v>NC1407</v>
          </cell>
          <cell r="C1103" t="str">
            <v>Ngày công bậc 4,0/7</v>
          </cell>
          <cell r="D1103" t="str">
            <v>công</v>
          </cell>
          <cell r="E1103">
            <v>3.5</v>
          </cell>
          <cell r="F1103">
            <v>194680.46052631579</v>
          </cell>
          <cell r="G1103">
            <v>681381.61184210528</v>
          </cell>
        </row>
        <row r="1104">
          <cell r="C1104" t="str">
            <v>Máy thi công</v>
          </cell>
          <cell r="G1104">
            <v>407663.88</v>
          </cell>
        </row>
        <row r="1105">
          <cell r="B1105">
            <v>8002</v>
          </cell>
          <cell r="C1105" t="str">
            <v>Máy lọc dầu cải tạo YBM-2</v>
          </cell>
          <cell r="D1105" t="str">
            <v>ca</v>
          </cell>
          <cell r="E1105">
            <v>0.52</v>
          </cell>
          <cell r="F1105">
            <v>757784</v>
          </cell>
          <cell r="G1105">
            <v>394047.68</v>
          </cell>
        </row>
        <row r="1106">
          <cell r="B1106">
            <v>8005</v>
          </cell>
          <cell r="C1106" t="str">
            <v>Máy thử cao áp AI-70</v>
          </cell>
          <cell r="D1106" t="str">
            <v>ca</v>
          </cell>
          <cell r="E1106">
            <v>0.1</v>
          </cell>
          <cell r="F1106">
            <v>136162</v>
          </cell>
          <cell r="G1106">
            <v>13616.2</v>
          </cell>
        </row>
        <row r="1107">
          <cell r="A1107" t="str">
            <v>T1.2115</v>
          </cell>
          <cell r="C1107" t="str">
            <v>Lọc dầu bằng máy lọc dầu cải tạo YBM-2 (đã có máy hút chân không) hoặc tương đương; Mức điện áp trước khi lọc 25KV, mức điện áp sau khi lọc 50KV</v>
          </cell>
          <cell r="D1107" t="str">
            <v>tấn</v>
          </cell>
          <cell r="H1107">
            <v>12316.5</v>
          </cell>
          <cell r="I1107">
            <v>817657.93421052629</v>
          </cell>
          <cell r="J1107">
            <v>491020.12</v>
          </cell>
        </row>
        <row r="1108">
          <cell r="C1108" t="str">
            <v>Vật liệu</v>
          </cell>
          <cell r="G1108">
            <v>12316.5</v>
          </cell>
        </row>
        <row r="1109">
          <cell r="B1109">
            <v>6</v>
          </cell>
          <cell r="C1109" t="str">
            <v>Vải trắng</v>
          </cell>
          <cell r="D1109" t="str">
            <v>m</v>
          </cell>
          <cell r="E1109">
            <v>0.5</v>
          </cell>
          <cell r="F1109">
            <v>15000</v>
          </cell>
          <cell r="G1109">
            <v>7500</v>
          </cell>
        </row>
        <row r="1110">
          <cell r="B1110">
            <v>9</v>
          </cell>
          <cell r="C1110" t="str">
            <v>Giẻ lau</v>
          </cell>
          <cell r="D1110" t="str">
            <v>kg</v>
          </cell>
          <cell r="E1110">
            <v>0.3</v>
          </cell>
          <cell r="F1110">
            <v>9500</v>
          </cell>
          <cell r="G1110">
            <v>2850</v>
          </cell>
        </row>
        <row r="1111">
          <cell r="B1111">
            <v>117</v>
          </cell>
          <cell r="C1111" t="str">
            <v>Vật liệu khác</v>
          </cell>
          <cell r="D1111" t="str">
            <v>%</v>
          </cell>
          <cell r="E1111">
            <v>19</v>
          </cell>
          <cell r="G1111">
            <v>1966.5</v>
          </cell>
        </row>
        <row r="1112">
          <cell r="C1112" t="str">
            <v>Nhân công</v>
          </cell>
          <cell r="G1112">
            <v>817657.93421052629</v>
          </cell>
        </row>
        <row r="1113">
          <cell r="B1113" t="str">
            <v>NC1407</v>
          </cell>
          <cell r="C1113" t="str">
            <v>Ngày công bậc 4,0/7</v>
          </cell>
          <cell r="D1113" t="str">
            <v>công</v>
          </cell>
          <cell r="E1113">
            <v>4.2</v>
          </cell>
          <cell r="F1113">
            <v>194680.46052631579</v>
          </cell>
          <cell r="G1113">
            <v>817657.93421052629</v>
          </cell>
        </row>
        <row r="1114">
          <cell r="C1114" t="str">
            <v>Máy thi công</v>
          </cell>
          <cell r="G1114">
            <v>491020.12</v>
          </cell>
        </row>
        <row r="1115">
          <cell r="B1115">
            <v>8002</v>
          </cell>
          <cell r="C1115" t="str">
            <v>Máy lọc dầu cải tạo YBM-2</v>
          </cell>
          <cell r="D1115" t="str">
            <v>ca</v>
          </cell>
          <cell r="E1115">
            <v>0.63</v>
          </cell>
          <cell r="F1115">
            <v>757784</v>
          </cell>
          <cell r="G1115">
            <v>477403.92</v>
          </cell>
        </row>
        <row r="1116">
          <cell r="B1116">
            <v>8005</v>
          </cell>
          <cell r="C1116" t="str">
            <v>Máy thử cao áp AI-70</v>
          </cell>
          <cell r="D1116" t="str">
            <v>ca</v>
          </cell>
          <cell r="E1116">
            <v>0.1</v>
          </cell>
          <cell r="F1116">
            <v>136162</v>
          </cell>
          <cell r="G1116">
            <v>13616.2</v>
          </cell>
        </row>
        <row r="1117">
          <cell r="A1117" t="str">
            <v>T1.2121</v>
          </cell>
          <cell r="C1117" t="str">
            <v>Lọc dầu bằng máy lọc dầu hợp bộ KATO KLVC-4AXVSO hoặc tương đương; Mức điện áp trước khi lọc 25KV, mức điện áp sau khi lọc 30KV</v>
          </cell>
          <cell r="D1117" t="str">
            <v>tấn</v>
          </cell>
          <cell r="H1117">
            <v>11385</v>
          </cell>
          <cell r="I1117">
            <v>330956.78289473685</v>
          </cell>
          <cell r="J1117">
            <v>269171.89600000001</v>
          </cell>
        </row>
        <row r="1118">
          <cell r="C1118" t="str">
            <v>Vật liệu</v>
          </cell>
          <cell r="G1118">
            <v>11385</v>
          </cell>
        </row>
        <row r="1119">
          <cell r="B1119">
            <v>6</v>
          </cell>
          <cell r="C1119" t="str">
            <v>Vải trắng</v>
          </cell>
          <cell r="D1119" t="str">
            <v>m</v>
          </cell>
          <cell r="E1119">
            <v>0.5</v>
          </cell>
          <cell r="F1119">
            <v>15000</v>
          </cell>
          <cell r="G1119">
            <v>7500</v>
          </cell>
        </row>
        <row r="1120">
          <cell r="B1120">
            <v>9</v>
          </cell>
          <cell r="C1120" t="str">
            <v>Giẻ lau</v>
          </cell>
          <cell r="D1120" t="str">
            <v>kg</v>
          </cell>
          <cell r="E1120">
            <v>0.3</v>
          </cell>
          <cell r="F1120">
            <v>9500</v>
          </cell>
          <cell r="G1120">
            <v>2850</v>
          </cell>
        </row>
        <row r="1121">
          <cell r="B1121">
            <v>117</v>
          </cell>
          <cell r="C1121" t="str">
            <v>Vật liệu khác</v>
          </cell>
          <cell r="D1121" t="str">
            <v>%</v>
          </cell>
          <cell r="E1121">
            <v>10</v>
          </cell>
          <cell r="G1121">
            <v>1035</v>
          </cell>
        </row>
        <row r="1122">
          <cell r="C1122" t="str">
            <v>Nhân công</v>
          </cell>
          <cell r="G1122">
            <v>330956.78289473685</v>
          </cell>
        </row>
        <row r="1123">
          <cell r="B1123" t="str">
            <v>NC1407</v>
          </cell>
          <cell r="C1123" t="str">
            <v>Ngày công bậc 4,0/7</v>
          </cell>
          <cell r="D1123" t="str">
            <v>công</v>
          </cell>
          <cell r="E1123">
            <v>1.7</v>
          </cell>
          <cell r="F1123">
            <v>194680.46052631579</v>
          </cell>
          <cell r="G1123">
            <v>330956.78289473685</v>
          </cell>
        </row>
        <row r="1124">
          <cell r="C1124" t="str">
            <v>Máy thi công</v>
          </cell>
          <cell r="G1124">
            <v>269171.89600000001</v>
          </cell>
        </row>
        <row r="1125">
          <cell r="B1125">
            <v>8003</v>
          </cell>
          <cell r="C1125" t="str">
            <v>Máy lọc dầu hợp bộ KATO KLVC-4AXVSO</v>
          </cell>
          <cell r="D1125" t="str">
            <v>ca</v>
          </cell>
          <cell r="E1125">
            <v>0.17599999999999999</v>
          </cell>
          <cell r="F1125">
            <v>1452021</v>
          </cell>
          <cell r="G1125">
            <v>255555.696</v>
          </cell>
        </row>
        <row r="1126">
          <cell r="B1126">
            <v>8005</v>
          </cell>
          <cell r="C1126" t="str">
            <v>Máy thử cao áp AI-70</v>
          </cell>
          <cell r="D1126" t="str">
            <v>ca</v>
          </cell>
          <cell r="E1126">
            <v>0.1</v>
          </cell>
          <cell r="F1126">
            <v>136162</v>
          </cell>
          <cell r="G1126">
            <v>13616.2</v>
          </cell>
        </row>
        <row r="1127">
          <cell r="A1127" t="str">
            <v>T1.2122</v>
          </cell>
          <cell r="C1127" t="str">
            <v>Lọc dầu bằng máy lọc dầu hợp bộ KATO KLVC-4AXVSO hoặc tương đương; Mức điện áp trước khi lọc 25KV, mức điện áp sau khi lọc 35KV</v>
          </cell>
          <cell r="D1127" t="str">
            <v>tấn</v>
          </cell>
          <cell r="H1127">
            <v>11385</v>
          </cell>
          <cell r="I1127">
            <v>428297.01315789478</v>
          </cell>
          <cell r="J1127">
            <v>334512.84100000001</v>
          </cell>
        </row>
        <row r="1128">
          <cell r="C1128" t="str">
            <v>Vật liệu</v>
          </cell>
          <cell r="G1128">
            <v>11385</v>
          </cell>
        </row>
        <row r="1129">
          <cell r="B1129">
            <v>6</v>
          </cell>
          <cell r="C1129" t="str">
            <v>Vải trắng</v>
          </cell>
          <cell r="D1129" t="str">
            <v>m</v>
          </cell>
          <cell r="E1129">
            <v>0.5</v>
          </cell>
          <cell r="F1129">
            <v>15000</v>
          </cell>
          <cell r="G1129">
            <v>7500</v>
          </cell>
        </row>
        <row r="1130">
          <cell r="B1130">
            <v>9</v>
          </cell>
          <cell r="C1130" t="str">
            <v>Giẻ lau</v>
          </cell>
          <cell r="D1130" t="str">
            <v>kg</v>
          </cell>
          <cell r="E1130">
            <v>0.3</v>
          </cell>
          <cell r="F1130">
            <v>9500</v>
          </cell>
          <cell r="G1130">
            <v>2850</v>
          </cell>
        </row>
        <row r="1131">
          <cell r="B1131">
            <v>117</v>
          </cell>
          <cell r="C1131" t="str">
            <v>Vật liệu khác</v>
          </cell>
          <cell r="D1131" t="str">
            <v>%</v>
          </cell>
          <cell r="E1131">
            <v>10</v>
          </cell>
          <cell r="G1131">
            <v>1035</v>
          </cell>
        </row>
        <row r="1132">
          <cell r="C1132" t="str">
            <v>Nhân công</v>
          </cell>
          <cell r="G1132">
            <v>428297.01315789478</v>
          </cell>
        </row>
        <row r="1133">
          <cell r="B1133" t="str">
            <v>NC1407</v>
          </cell>
          <cell r="C1133" t="str">
            <v>Ngày công bậc 4,0/7</v>
          </cell>
          <cell r="D1133" t="str">
            <v>công</v>
          </cell>
          <cell r="E1133">
            <v>2.2000000000000002</v>
          </cell>
          <cell r="F1133">
            <v>194680.46052631579</v>
          </cell>
          <cell r="G1133">
            <v>428297.01315789478</v>
          </cell>
        </row>
        <row r="1134">
          <cell r="C1134" t="str">
            <v>Máy thi công</v>
          </cell>
          <cell r="G1134">
            <v>334512.84100000001</v>
          </cell>
        </row>
        <row r="1135">
          <cell r="B1135">
            <v>8003</v>
          </cell>
          <cell r="C1135" t="str">
            <v>Máy lọc dầu hợp bộ KATO KLVC-4AXVSO</v>
          </cell>
          <cell r="D1135" t="str">
            <v>ca</v>
          </cell>
          <cell r="E1135">
            <v>0.221</v>
          </cell>
          <cell r="F1135">
            <v>1452021</v>
          </cell>
          <cell r="G1135">
            <v>320896.641</v>
          </cell>
        </row>
        <row r="1136">
          <cell r="B1136">
            <v>8005</v>
          </cell>
          <cell r="C1136" t="str">
            <v>Máy thử cao áp AI-70</v>
          </cell>
          <cell r="D1136" t="str">
            <v>ca</v>
          </cell>
          <cell r="E1136">
            <v>0.1</v>
          </cell>
          <cell r="F1136">
            <v>136162</v>
          </cell>
          <cell r="G1136">
            <v>13616.2</v>
          </cell>
        </row>
        <row r="1137">
          <cell r="A1137" t="str">
            <v>T1.2123</v>
          </cell>
          <cell r="C1137" t="str">
            <v>Lọc dầu bằng máy lọc dầu hợp bộ KATO KLVC-4AXVSO hoặc tương đương; Mức điện áp trước khi lọc 25KV, mức điện áp sau khi lọc 40KV</v>
          </cell>
          <cell r="D1137" t="str">
            <v>tấn</v>
          </cell>
          <cell r="H1137">
            <v>11902.5</v>
          </cell>
          <cell r="I1137">
            <v>545105.28947368416</v>
          </cell>
          <cell r="J1137">
            <v>405661.87000000005</v>
          </cell>
        </row>
        <row r="1138">
          <cell r="C1138" t="str">
            <v>Vật liệu</v>
          </cell>
          <cell r="G1138">
            <v>11902.5</v>
          </cell>
        </row>
        <row r="1139">
          <cell r="B1139">
            <v>6</v>
          </cell>
          <cell r="C1139" t="str">
            <v>Vải trắng</v>
          </cell>
          <cell r="D1139" t="str">
            <v>m</v>
          </cell>
          <cell r="E1139">
            <v>0.5</v>
          </cell>
          <cell r="F1139">
            <v>15000</v>
          </cell>
          <cell r="G1139">
            <v>7500</v>
          </cell>
        </row>
        <row r="1140">
          <cell r="B1140">
            <v>9</v>
          </cell>
          <cell r="C1140" t="str">
            <v>Giẻ lau</v>
          </cell>
          <cell r="D1140" t="str">
            <v>kg</v>
          </cell>
          <cell r="E1140">
            <v>0.3</v>
          </cell>
          <cell r="F1140">
            <v>9500</v>
          </cell>
          <cell r="G1140">
            <v>2850</v>
          </cell>
        </row>
        <row r="1141">
          <cell r="B1141">
            <v>117</v>
          </cell>
          <cell r="C1141" t="str">
            <v>Vật liệu khác</v>
          </cell>
          <cell r="D1141" t="str">
            <v>%</v>
          </cell>
          <cell r="E1141">
            <v>15</v>
          </cell>
          <cell r="G1141">
            <v>1552.5</v>
          </cell>
        </row>
        <row r="1142">
          <cell r="C1142" t="str">
            <v>Nhân công</v>
          </cell>
          <cell r="G1142">
            <v>545105.28947368416</v>
          </cell>
        </row>
        <row r="1143">
          <cell r="B1143" t="str">
            <v>NC1407</v>
          </cell>
          <cell r="C1143" t="str">
            <v>Ngày công bậc 4,0/7</v>
          </cell>
          <cell r="D1143" t="str">
            <v>công</v>
          </cell>
          <cell r="E1143">
            <v>2.8</v>
          </cell>
          <cell r="F1143">
            <v>194680.46052631579</v>
          </cell>
          <cell r="G1143">
            <v>545105.28947368416</v>
          </cell>
        </row>
        <row r="1144">
          <cell r="C1144" t="str">
            <v>Máy thi công</v>
          </cell>
          <cell r="G1144">
            <v>405661.87000000005</v>
          </cell>
        </row>
        <row r="1145">
          <cell r="B1145">
            <v>8003</v>
          </cell>
          <cell r="C1145" t="str">
            <v>Máy lọc dầu hợp bộ KATO KLVC-4AXVSO</v>
          </cell>
          <cell r="D1145" t="str">
            <v>ca</v>
          </cell>
          <cell r="E1145">
            <v>0.27</v>
          </cell>
          <cell r="F1145">
            <v>1452021</v>
          </cell>
          <cell r="G1145">
            <v>392045.67000000004</v>
          </cell>
        </row>
        <row r="1146">
          <cell r="B1146">
            <v>8005</v>
          </cell>
          <cell r="C1146" t="str">
            <v>Máy thử cao áp AI-70</v>
          </cell>
          <cell r="D1146" t="str">
            <v>ca</v>
          </cell>
          <cell r="E1146">
            <v>0.1</v>
          </cell>
          <cell r="F1146">
            <v>136162</v>
          </cell>
          <cell r="G1146">
            <v>13616.2</v>
          </cell>
        </row>
        <row r="1147">
          <cell r="A1147" t="str">
            <v>T1.2124</v>
          </cell>
          <cell r="C1147" t="str">
            <v>Lọc dầu bằng máy lọc dầu hợp bộ KATO KLVC-4AXVSO hoặc tương đương; Mức điện áp trước khi lọc 25KV, mức điện áp sau khi lọc 45KV</v>
          </cell>
          <cell r="D1147" t="str">
            <v>tấn</v>
          </cell>
          <cell r="H1147">
            <v>12109.5</v>
          </cell>
          <cell r="I1147">
            <v>681381.61184210528</v>
          </cell>
          <cell r="J1147">
            <v>482618.98300000001</v>
          </cell>
        </row>
        <row r="1148">
          <cell r="C1148" t="str">
            <v>Vật liệu</v>
          </cell>
          <cell r="G1148">
            <v>12109.5</v>
          </cell>
        </row>
        <row r="1149">
          <cell r="B1149">
            <v>6</v>
          </cell>
          <cell r="C1149" t="str">
            <v>Vải trắng</v>
          </cell>
          <cell r="D1149" t="str">
            <v>m</v>
          </cell>
          <cell r="E1149">
            <v>0.5</v>
          </cell>
          <cell r="F1149">
            <v>15000</v>
          </cell>
          <cell r="G1149">
            <v>7500</v>
          </cell>
        </row>
        <row r="1150">
          <cell r="B1150">
            <v>9</v>
          </cell>
          <cell r="C1150" t="str">
            <v>Giẻ lau</v>
          </cell>
          <cell r="D1150" t="str">
            <v>kg</v>
          </cell>
          <cell r="E1150">
            <v>0.3</v>
          </cell>
          <cell r="F1150">
            <v>9500</v>
          </cell>
          <cell r="G1150">
            <v>2850</v>
          </cell>
        </row>
        <row r="1151">
          <cell r="B1151">
            <v>117</v>
          </cell>
          <cell r="C1151" t="str">
            <v>Vật liệu khác</v>
          </cell>
          <cell r="D1151" t="str">
            <v>%</v>
          </cell>
          <cell r="E1151">
            <v>17</v>
          </cell>
          <cell r="G1151">
            <v>1759.5000000000002</v>
          </cell>
        </row>
        <row r="1152">
          <cell r="C1152" t="str">
            <v>Nhân công</v>
          </cell>
          <cell r="G1152">
            <v>681381.61184210528</v>
          </cell>
        </row>
        <row r="1153">
          <cell r="B1153" t="str">
            <v>NC1407</v>
          </cell>
          <cell r="C1153" t="str">
            <v>Ngày công bậc 4,0/7</v>
          </cell>
          <cell r="D1153" t="str">
            <v>công</v>
          </cell>
          <cell r="E1153">
            <v>3.5</v>
          </cell>
          <cell r="F1153">
            <v>194680.46052631579</v>
          </cell>
          <cell r="G1153">
            <v>681381.61184210528</v>
          </cell>
        </row>
        <row r="1154">
          <cell r="C1154" t="str">
            <v>Máy thi công</v>
          </cell>
          <cell r="G1154">
            <v>482618.98300000001</v>
          </cell>
        </row>
        <row r="1155">
          <cell r="B1155">
            <v>8003</v>
          </cell>
          <cell r="C1155" t="str">
            <v>Máy lọc dầu hợp bộ KATO KLVC-4AXVSO</v>
          </cell>
          <cell r="D1155" t="str">
            <v>ca</v>
          </cell>
          <cell r="E1155">
            <v>0.32300000000000001</v>
          </cell>
          <cell r="F1155">
            <v>1452021</v>
          </cell>
          <cell r="G1155">
            <v>469002.783</v>
          </cell>
        </row>
        <row r="1156">
          <cell r="B1156">
            <v>8005</v>
          </cell>
          <cell r="C1156" t="str">
            <v>Máy thử cao áp AI-70</v>
          </cell>
          <cell r="D1156" t="str">
            <v>ca</v>
          </cell>
          <cell r="E1156">
            <v>0.1</v>
          </cell>
          <cell r="F1156">
            <v>136162</v>
          </cell>
          <cell r="G1156">
            <v>13616.2</v>
          </cell>
        </row>
        <row r="1157">
          <cell r="A1157" t="str">
            <v>T1.2125</v>
          </cell>
          <cell r="C1157" t="str">
            <v>Lọc dầu bằng máy lọc dầu hợp bộ KATO KLVC-4AXVSO hoặc tương đương; Mức điện áp trước khi lọc 25KV, mức điện áp sau khi lọc 50KV</v>
          </cell>
          <cell r="D1157" t="str">
            <v>tấn</v>
          </cell>
          <cell r="H1157">
            <v>12316.5</v>
          </cell>
          <cell r="I1157">
            <v>817657.93421052629</v>
          </cell>
          <cell r="J1157">
            <v>565384.17999999993</v>
          </cell>
        </row>
        <row r="1158">
          <cell r="C1158" t="str">
            <v>Vật liệu</v>
          </cell>
          <cell r="G1158">
            <v>12316.5</v>
          </cell>
        </row>
        <row r="1159">
          <cell r="B1159">
            <v>6</v>
          </cell>
          <cell r="C1159" t="str">
            <v>Vải trắng</v>
          </cell>
          <cell r="D1159" t="str">
            <v>m</v>
          </cell>
          <cell r="E1159">
            <v>0.5</v>
          </cell>
          <cell r="F1159">
            <v>15000</v>
          </cell>
          <cell r="G1159">
            <v>7500</v>
          </cell>
        </row>
        <row r="1160">
          <cell r="B1160">
            <v>9</v>
          </cell>
          <cell r="C1160" t="str">
            <v>Giẻ lau</v>
          </cell>
          <cell r="D1160" t="str">
            <v>kg</v>
          </cell>
          <cell r="E1160">
            <v>0.3</v>
          </cell>
          <cell r="F1160">
            <v>9500</v>
          </cell>
          <cell r="G1160">
            <v>2850</v>
          </cell>
        </row>
        <row r="1161">
          <cell r="B1161">
            <v>117</v>
          </cell>
          <cell r="C1161" t="str">
            <v>Vật liệu khác</v>
          </cell>
          <cell r="D1161" t="str">
            <v>%</v>
          </cell>
          <cell r="E1161">
            <v>19</v>
          </cell>
          <cell r="G1161">
            <v>1966.5</v>
          </cell>
        </row>
        <row r="1162">
          <cell r="C1162" t="str">
            <v>Nhân công</v>
          </cell>
          <cell r="G1162">
            <v>817657.93421052629</v>
          </cell>
        </row>
        <row r="1163">
          <cell r="B1163" t="str">
            <v>NC1407</v>
          </cell>
          <cell r="C1163" t="str">
            <v>Ngày công bậc 4,0/7</v>
          </cell>
          <cell r="D1163" t="str">
            <v>công</v>
          </cell>
          <cell r="E1163">
            <v>4.2</v>
          </cell>
          <cell r="F1163">
            <v>194680.46052631579</v>
          </cell>
          <cell r="G1163">
            <v>817657.93421052629</v>
          </cell>
        </row>
        <row r="1164">
          <cell r="C1164" t="str">
            <v>Máy thi công</v>
          </cell>
          <cell r="G1164">
            <v>565384.17999999993</v>
          </cell>
        </row>
        <row r="1165">
          <cell r="B1165">
            <v>8003</v>
          </cell>
          <cell r="C1165" t="str">
            <v>Máy lọc dầu hợp bộ KATO KLVC-4AXVSO</v>
          </cell>
          <cell r="D1165" t="str">
            <v>ca</v>
          </cell>
          <cell r="E1165">
            <v>0.38</v>
          </cell>
          <cell r="F1165">
            <v>1452021</v>
          </cell>
          <cell r="G1165">
            <v>551767.98</v>
          </cell>
        </row>
        <row r="1166">
          <cell r="B1166">
            <v>8005</v>
          </cell>
          <cell r="C1166" t="str">
            <v>Máy thử cao áp AI-70</v>
          </cell>
          <cell r="D1166" t="str">
            <v>ca</v>
          </cell>
          <cell r="E1166">
            <v>0.1</v>
          </cell>
          <cell r="F1166">
            <v>136162</v>
          </cell>
          <cell r="G1166">
            <v>13616.2</v>
          </cell>
        </row>
        <row r="1167">
          <cell r="A1167" t="str">
            <v>T1.2131</v>
          </cell>
          <cell r="C1167" t="str">
            <v>Lọc dầu bằng máy lọc ép; Mức điện áp trước khi lọc 30KV, mức điện áp sau khi lọc 35KV</v>
          </cell>
          <cell r="D1167" t="str">
            <v>tấn</v>
          </cell>
          <cell r="H1167">
            <v>11902.5</v>
          </cell>
          <cell r="I1167">
            <v>389360.92105263157</v>
          </cell>
          <cell r="J1167">
            <v>36787.53</v>
          </cell>
        </row>
        <row r="1168">
          <cell r="C1168" t="str">
            <v>Vật liệu</v>
          </cell>
          <cell r="G1168">
            <v>11902.5</v>
          </cell>
        </row>
        <row r="1169">
          <cell r="B1169">
            <v>6</v>
          </cell>
          <cell r="C1169" t="str">
            <v>Vải trắng</v>
          </cell>
          <cell r="D1169" t="str">
            <v>m</v>
          </cell>
          <cell r="E1169">
            <v>0.5</v>
          </cell>
          <cell r="F1169">
            <v>15000</v>
          </cell>
          <cell r="G1169">
            <v>7500</v>
          </cell>
        </row>
        <row r="1170">
          <cell r="B1170">
            <v>9</v>
          </cell>
          <cell r="C1170" t="str">
            <v>Giẻ lau</v>
          </cell>
          <cell r="D1170" t="str">
            <v>kg</v>
          </cell>
          <cell r="E1170">
            <v>0.3</v>
          </cell>
          <cell r="F1170">
            <v>9500</v>
          </cell>
          <cell r="G1170">
            <v>2850</v>
          </cell>
        </row>
        <row r="1171">
          <cell r="B1171">
            <v>117</v>
          </cell>
          <cell r="C1171" t="str">
            <v>Vật liệu khác</v>
          </cell>
          <cell r="D1171" t="str">
            <v>%</v>
          </cell>
          <cell r="E1171">
            <v>15</v>
          </cell>
          <cell r="G1171">
            <v>1552.5</v>
          </cell>
        </row>
        <row r="1172">
          <cell r="C1172" t="str">
            <v>Nhân công</v>
          </cell>
          <cell r="G1172">
            <v>389360.92105263157</v>
          </cell>
        </row>
        <row r="1173">
          <cell r="B1173" t="str">
            <v>NC1407</v>
          </cell>
          <cell r="C1173" t="str">
            <v>Ngày công bậc 4,0/7</v>
          </cell>
          <cell r="D1173" t="str">
            <v>công</v>
          </cell>
          <cell r="E1173">
            <v>2</v>
          </cell>
          <cell r="F1173">
            <v>194680.46052631579</v>
          </cell>
          <cell r="G1173">
            <v>389360.92105263157</v>
          </cell>
        </row>
        <row r="1174">
          <cell r="C1174" t="str">
            <v>Máy thi công</v>
          </cell>
          <cell r="G1174">
            <v>36787.53</v>
          </cell>
        </row>
        <row r="1175">
          <cell r="B1175">
            <v>8004</v>
          </cell>
          <cell r="C1175" t="str">
            <v>Máy lọc ép</v>
          </cell>
          <cell r="D1175" t="str">
            <v>ca</v>
          </cell>
          <cell r="E1175">
            <v>0.56000000000000005</v>
          </cell>
          <cell r="F1175">
            <v>24073</v>
          </cell>
          <cell r="G1175">
            <v>13480.880000000001</v>
          </cell>
        </row>
        <row r="1176">
          <cell r="B1176">
            <v>8011</v>
          </cell>
          <cell r="C1176" t="str">
            <v>Máy bơm ly tâm</v>
          </cell>
          <cell r="D1176" t="str">
            <v>ca</v>
          </cell>
          <cell r="E1176">
            <v>0.21</v>
          </cell>
          <cell r="F1176">
            <v>25135</v>
          </cell>
          <cell r="G1176">
            <v>5278.3499999999995</v>
          </cell>
        </row>
        <row r="1177">
          <cell r="B1177">
            <v>8010</v>
          </cell>
          <cell r="C1177" t="str">
            <v>Máy bơm chân không</v>
          </cell>
          <cell r="D1177" t="str">
            <v>ca</v>
          </cell>
          <cell r="E1177">
            <v>0.21</v>
          </cell>
          <cell r="F1177">
            <v>21010</v>
          </cell>
          <cell r="G1177">
            <v>4412.0999999999995</v>
          </cell>
        </row>
        <row r="1178">
          <cell r="B1178">
            <v>8005</v>
          </cell>
          <cell r="C1178" t="str">
            <v>Máy thử cao áp AI-70</v>
          </cell>
          <cell r="D1178" t="str">
            <v>ca</v>
          </cell>
          <cell r="E1178">
            <v>0.1</v>
          </cell>
          <cell r="F1178">
            <v>136162</v>
          </cell>
          <cell r="G1178">
            <v>13616.2</v>
          </cell>
        </row>
        <row r="1179">
          <cell r="A1179" t="str">
            <v>T1.2132</v>
          </cell>
          <cell r="C1179" t="str">
            <v>Lọc dầu bằng máy lọc ép; Mức điện áp trước khi lọc 30KV, mức điện áp sau khi lọc 40KV</v>
          </cell>
          <cell r="D1179" t="str">
            <v>tấn</v>
          </cell>
          <cell r="H1179">
            <v>12109.5</v>
          </cell>
          <cell r="I1179">
            <v>486701.15131578944</v>
          </cell>
          <cell r="J1179">
            <v>42003.55</v>
          </cell>
        </row>
        <row r="1180">
          <cell r="C1180" t="str">
            <v>Vật liệu</v>
          </cell>
          <cell r="G1180">
            <v>12109.5</v>
          </cell>
        </row>
        <row r="1181">
          <cell r="B1181">
            <v>6</v>
          </cell>
          <cell r="C1181" t="str">
            <v>Vải trắng</v>
          </cell>
          <cell r="D1181" t="str">
            <v>m</v>
          </cell>
          <cell r="E1181">
            <v>0.5</v>
          </cell>
          <cell r="F1181">
            <v>15000</v>
          </cell>
          <cell r="G1181">
            <v>7500</v>
          </cell>
        </row>
        <row r="1182">
          <cell r="B1182">
            <v>9</v>
          </cell>
          <cell r="C1182" t="str">
            <v>Giẻ lau</v>
          </cell>
          <cell r="D1182" t="str">
            <v>kg</v>
          </cell>
          <cell r="E1182">
            <v>0.3</v>
          </cell>
          <cell r="F1182">
            <v>9500</v>
          </cell>
          <cell r="G1182">
            <v>2850</v>
          </cell>
        </row>
        <row r="1183">
          <cell r="B1183">
            <v>117</v>
          </cell>
          <cell r="C1183" t="str">
            <v>Vật liệu khác</v>
          </cell>
          <cell r="D1183" t="str">
            <v>%</v>
          </cell>
          <cell r="E1183">
            <v>17</v>
          </cell>
          <cell r="G1183">
            <v>1759.5000000000002</v>
          </cell>
        </row>
        <row r="1184">
          <cell r="C1184" t="str">
            <v>Nhân công</v>
          </cell>
          <cell r="G1184">
            <v>486701.15131578944</v>
          </cell>
        </row>
        <row r="1185">
          <cell r="B1185" t="str">
            <v>NC1407</v>
          </cell>
          <cell r="C1185" t="str">
            <v>Ngày công bậc 4,0/7</v>
          </cell>
          <cell r="D1185" t="str">
            <v>công</v>
          </cell>
          <cell r="E1185">
            <v>2.5</v>
          </cell>
          <cell r="F1185">
            <v>194680.46052631579</v>
          </cell>
          <cell r="G1185">
            <v>486701.15131578944</v>
          </cell>
        </row>
        <row r="1186">
          <cell r="C1186" t="str">
            <v>Máy thi công</v>
          </cell>
          <cell r="G1186">
            <v>42003.55</v>
          </cell>
        </row>
        <row r="1187">
          <cell r="B1187">
            <v>8004</v>
          </cell>
          <cell r="C1187" t="str">
            <v>Máy lọc ép</v>
          </cell>
          <cell r="D1187" t="str">
            <v>ca</v>
          </cell>
          <cell r="E1187">
            <v>0.7</v>
          </cell>
          <cell r="F1187">
            <v>24073</v>
          </cell>
          <cell r="G1187">
            <v>16851.099999999999</v>
          </cell>
        </row>
        <row r="1188">
          <cell r="B1188">
            <v>8011</v>
          </cell>
          <cell r="C1188" t="str">
            <v>Máy bơm ly tâm</v>
          </cell>
          <cell r="D1188" t="str">
            <v>ca</v>
          </cell>
          <cell r="E1188">
            <v>0.25</v>
          </cell>
          <cell r="F1188">
            <v>25135</v>
          </cell>
          <cell r="G1188">
            <v>6283.75</v>
          </cell>
        </row>
        <row r="1189">
          <cell r="B1189">
            <v>8010</v>
          </cell>
          <cell r="C1189" t="str">
            <v>Máy bơm chân không</v>
          </cell>
          <cell r="D1189" t="str">
            <v>ca</v>
          </cell>
          <cell r="E1189">
            <v>0.25</v>
          </cell>
          <cell r="F1189">
            <v>21010</v>
          </cell>
          <cell r="G1189">
            <v>5252.5</v>
          </cell>
        </row>
        <row r="1190">
          <cell r="B1190">
            <v>8005</v>
          </cell>
          <cell r="C1190" t="str">
            <v>Máy thử cao áp AI-70</v>
          </cell>
          <cell r="D1190" t="str">
            <v>ca</v>
          </cell>
          <cell r="E1190">
            <v>0.1</v>
          </cell>
          <cell r="F1190">
            <v>136162</v>
          </cell>
          <cell r="G1190">
            <v>13616.2</v>
          </cell>
        </row>
        <row r="1191">
          <cell r="A1191" t="str">
            <v>T1.2133</v>
          </cell>
          <cell r="C1191" t="str">
            <v>Lọc dầu bằng máy lọc ép; Mức điện áp trước khi lọc 30KV, mức điện áp sau khi lọc 45KV</v>
          </cell>
          <cell r="D1191" t="str">
            <v>tấn</v>
          </cell>
          <cell r="H1191">
            <v>12316.5</v>
          </cell>
          <cell r="I1191">
            <v>603509.42763157899</v>
          </cell>
          <cell r="J1191">
            <v>47681.020000000004</v>
          </cell>
        </row>
        <row r="1192">
          <cell r="C1192" t="str">
            <v>Vật liệu</v>
          </cell>
          <cell r="G1192">
            <v>12316.5</v>
          </cell>
        </row>
        <row r="1193">
          <cell r="B1193">
            <v>6</v>
          </cell>
          <cell r="C1193" t="str">
            <v>Vải trắng</v>
          </cell>
          <cell r="D1193" t="str">
            <v>m</v>
          </cell>
          <cell r="E1193">
            <v>0.5</v>
          </cell>
          <cell r="F1193">
            <v>15000</v>
          </cell>
          <cell r="G1193">
            <v>7500</v>
          </cell>
        </row>
        <row r="1194">
          <cell r="B1194">
            <v>9</v>
          </cell>
          <cell r="C1194" t="str">
            <v>Giẻ lau</v>
          </cell>
          <cell r="D1194" t="str">
            <v>kg</v>
          </cell>
          <cell r="E1194">
            <v>0.3</v>
          </cell>
          <cell r="F1194">
            <v>9500</v>
          </cell>
          <cell r="G1194">
            <v>2850</v>
          </cell>
        </row>
        <row r="1195">
          <cell r="B1195">
            <v>117</v>
          </cell>
          <cell r="C1195" t="str">
            <v>Vật liệu khác</v>
          </cell>
          <cell r="D1195" t="str">
            <v>%</v>
          </cell>
          <cell r="E1195">
            <v>19</v>
          </cell>
          <cell r="G1195">
            <v>1966.5</v>
          </cell>
        </row>
        <row r="1196">
          <cell r="C1196" t="str">
            <v>Nhân công</v>
          </cell>
          <cell r="G1196">
            <v>603509.42763157899</v>
          </cell>
        </row>
        <row r="1197">
          <cell r="B1197" t="str">
            <v>NC1407</v>
          </cell>
          <cell r="C1197" t="str">
            <v>Ngày công bậc 4,0/7</v>
          </cell>
          <cell r="D1197" t="str">
            <v>công</v>
          </cell>
          <cell r="E1197">
            <v>3.1</v>
          </cell>
          <cell r="F1197">
            <v>194680.46052631579</v>
          </cell>
          <cell r="G1197">
            <v>603509.42763157899</v>
          </cell>
        </row>
        <row r="1198">
          <cell r="C1198" t="str">
            <v>Máy thi công</v>
          </cell>
          <cell r="G1198">
            <v>47681.020000000004</v>
          </cell>
        </row>
        <row r="1199">
          <cell r="B1199">
            <v>8004</v>
          </cell>
          <cell r="C1199" t="str">
            <v>Máy lọc ép</v>
          </cell>
          <cell r="D1199" t="str">
            <v>ca</v>
          </cell>
          <cell r="E1199">
            <v>0.84</v>
          </cell>
          <cell r="F1199">
            <v>24073</v>
          </cell>
          <cell r="G1199">
            <v>20221.32</v>
          </cell>
        </row>
        <row r="1200">
          <cell r="B1200">
            <v>8011</v>
          </cell>
          <cell r="C1200" t="str">
            <v>Máy bơm ly tâm</v>
          </cell>
          <cell r="D1200" t="str">
            <v>ca</v>
          </cell>
          <cell r="E1200">
            <v>0.3</v>
          </cell>
          <cell r="F1200">
            <v>25135</v>
          </cell>
          <cell r="G1200">
            <v>7540.5</v>
          </cell>
        </row>
        <row r="1201">
          <cell r="B1201">
            <v>8010</v>
          </cell>
          <cell r="C1201" t="str">
            <v>Máy bơm chân không</v>
          </cell>
          <cell r="D1201" t="str">
            <v>ca</v>
          </cell>
          <cell r="E1201">
            <v>0.3</v>
          </cell>
          <cell r="F1201">
            <v>21010</v>
          </cell>
          <cell r="G1201">
            <v>6303</v>
          </cell>
        </row>
        <row r="1202">
          <cell r="B1202">
            <v>8005</v>
          </cell>
          <cell r="C1202" t="str">
            <v>Máy thử cao áp AI-70</v>
          </cell>
          <cell r="D1202" t="str">
            <v>ca</v>
          </cell>
          <cell r="E1202">
            <v>0.1</v>
          </cell>
          <cell r="F1202">
            <v>136162</v>
          </cell>
          <cell r="G1202">
            <v>13616.2</v>
          </cell>
        </row>
        <row r="1203">
          <cell r="A1203" t="str">
            <v>T1.2134</v>
          </cell>
          <cell r="C1203" t="str">
            <v>Lọc dầu bằng máy lọc ép; Mức điện áp trước khi lọc 30KV, mức điện áp sau khi lọc 50KV</v>
          </cell>
          <cell r="D1203" t="str">
            <v>tấn</v>
          </cell>
          <cell r="H1203">
            <v>12471.75</v>
          </cell>
          <cell r="I1203">
            <v>681381.61184210528</v>
          </cell>
          <cell r="J1203">
            <v>55023.59</v>
          </cell>
        </row>
        <row r="1204">
          <cell r="C1204" t="str">
            <v>Vật liệu</v>
          </cell>
          <cell r="G1204">
            <v>12471.75</v>
          </cell>
        </row>
        <row r="1205">
          <cell r="B1205">
            <v>6</v>
          </cell>
          <cell r="C1205" t="str">
            <v>Vải trắng</v>
          </cell>
          <cell r="D1205" t="str">
            <v>m</v>
          </cell>
          <cell r="E1205">
            <v>0.5</v>
          </cell>
          <cell r="F1205">
            <v>15000</v>
          </cell>
          <cell r="G1205">
            <v>7500</v>
          </cell>
        </row>
        <row r="1206">
          <cell r="B1206">
            <v>9</v>
          </cell>
          <cell r="C1206" t="str">
            <v>Giẻ lau</v>
          </cell>
          <cell r="D1206" t="str">
            <v>kg</v>
          </cell>
          <cell r="E1206">
            <v>0.3</v>
          </cell>
          <cell r="F1206">
            <v>9500</v>
          </cell>
          <cell r="G1206">
            <v>2850</v>
          </cell>
        </row>
        <row r="1207">
          <cell r="B1207">
            <v>117</v>
          </cell>
          <cell r="C1207" t="str">
            <v>Vật liệu khác</v>
          </cell>
          <cell r="D1207" t="str">
            <v>%</v>
          </cell>
          <cell r="E1207">
            <v>20.5</v>
          </cell>
          <cell r="G1207">
            <v>2121.75</v>
          </cell>
        </row>
        <row r="1208">
          <cell r="C1208" t="str">
            <v>Nhân công</v>
          </cell>
          <cell r="G1208">
            <v>681381.61184210528</v>
          </cell>
        </row>
        <row r="1209">
          <cell r="B1209" t="str">
            <v>NC1407</v>
          </cell>
          <cell r="C1209" t="str">
            <v>Ngày công bậc 4,0/7</v>
          </cell>
          <cell r="D1209" t="str">
            <v>công</v>
          </cell>
          <cell r="E1209">
            <v>3.5</v>
          </cell>
          <cell r="F1209">
            <v>194680.46052631579</v>
          </cell>
          <cell r="G1209">
            <v>681381.61184210528</v>
          </cell>
        </row>
        <row r="1210">
          <cell r="C1210" t="str">
            <v>Máy thi công</v>
          </cell>
          <cell r="G1210">
            <v>55023.59</v>
          </cell>
        </row>
        <row r="1211">
          <cell r="B1211">
            <v>8004</v>
          </cell>
          <cell r="C1211" t="str">
            <v>Máy lọc ép</v>
          </cell>
          <cell r="D1211" t="str">
            <v>ca</v>
          </cell>
          <cell r="E1211">
            <v>1.03</v>
          </cell>
          <cell r="F1211">
            <v>24073</v>
          </cell>
          <cell r="G1211">
            <v>24795.190000000002</v>
          </cell>
        </row>
        <row r="1212">
          <cell r="B1212">
            <v>8011</v>
          </cell>
          <cell r="C1212" t="str">
            <v>Máy bơm ly tâm</v>
          </cell>
          <cell r="D1212" t="str">
            <v>ca</v>
          </cell>
          <cell r="E1212">
            <v>0.36</v>
          </cell>
          <cell r="F1212">
            <v>25135</v>
          </cell>
          <cell r="G1212">
            <v>9048.6</v>
          </cell>
        </row>
        <row r="1213">
          <cell r="B1213">
            <v>8010</v>
          </cell>
          <cell r="C1213" t="str">
            <v>Máy bơm chân không</v>
          </cell>
          <cell r="D1213" t="str">
            <v>ca</v>
          </cell>
          <cell r="E1213">
            <v>0.36</v>
          </cell>
          <cell r="F1213">
            <v>21010</v>
          </cell>
          <cell r="G1213">
            <v>7563.5999999999995</v>
          </cell>
        </row>
        <row r="1214">
          <cell r="B1214">
            <v>8005</v>
          </cell>
          <cell r="C1214" t="str">
            <v>Máy thử cao áp AI-70</v>
          </cell>
          <cell r="D1214" t="str">
            <v>ca</v>
          </cell>
          <cell r="E1214">
            <v>0.1</v>
          </cell>
          <cell r="F1214">
            <v>136162</v>
          </cell>
          <cell r="G1214">
            <v>13616.2</v>
          </cell>
        </row>
        <row r="1215">
          <cell r="A1215" t="str">
            <v>T1.2135</v>
          </cell>
          <cell r="C1215" t="str">
            <v>Lọc dầu bằng máy lọc ép; Mức điện áp trước khi lọc 30KV, mức điện áp sau khi lọc 60KV</v>
          </cell>
          <cell r="D1215" t="str">
            <v>tấn</v>
          </cell>
          <cell r="H1215">
            <v>12627</v>
          </cell>
          <cell r="I1215">
            <v>817657.93421052629</v>
          </cell>
          <cell r="J1215">
            <v>66197.83</v>
          </cell>
        </row>
        <row r="1216">
          <cell r="C1216" t="str">
            <v>Vật liệu</v>
          </cell>
          <cell r="G1216">
            <v>12627</v>
          </cell>
        </row>
        <row r="1217">
          <cell r="B1217">
            <v>6</v>
          </cell>
          <cell r="C1217" t="str">
            <v>Vải trắng</v>
          </cell>
          <cell r="D1217" t="str">
            <v>m</v>
          </cell>
          <cell r="E1217">
            <v>0.5</v>
          </cell>
          <cell r="F1217">
            <v>15000</v>
          </cell>
          <cell r="G1217">
            <v>7500</v>
          </cell>
        </row>
        <row r="1218">
          <cell r="B1218">
            <v>9</v>
          </cell>
          <cell r="C1218" t="str">
            <v>Giẻ lau</v>
          </cell>
          <cell r="D1218" t="str">
            <v>kg</v>
          </cell>
          <cell r="E1218">
            <v>0.3</v>
          </cell>
          <cell r="F1218">
            <v>9500</v>
          </cell>
          <cell r="G1218">
            <v>2850</v>
          </cell>
        </row>
        <row r="1219">
          <cell r="B1219">
            <v>117</v>
          </cell>
          <cell r="C1219" t="str">
            <v>Vật liệu khác</v>
          </cell>
          <cell r="D1219" t="str">
            <v>%</v>
          </cell>
          <cell r="E1219">
            <v>22</v>
          </cell>
          <cell r="G1219">
            <v>2277</v>
          </cell>
        </row>
        <row r="1220">
          <cell r="C1220" t="str">
            <v>Nhân công</v>
          </cell>
          <cell r="G1220">
            <v>817657.93421052629</v>
          </cell>
        </row>
        <row r="1221">
          <cell r="B1221" t="str">
            <v>NC1407</v>
          </cell>
          <cell r="C1221" t="str">
            <v>Ngày công bậc 4,0/7</v>
          </cell>
          <cell r="D1221" t="str">
            <v>công</v>
          </cell>
          <cell r="E1221">
            <v>4.2</v>
          </cell>
          <cell r="F1221">
            <v>194680.46052631579</v>
          </cell>
          <cell r="G1221">
            <v>817657.93421052629</v>
          </cell>
        </row>
        <row r="1222">
          <cell r="C1222" t="str">
            <v>Máy thi công</v>
          </cell>
          <cell r="G1222">
            <v>66197.83</v>
          </cell>
        </row>
        <row r="1223">
          <cell r="B1223">
            <v>8004</v>
          </cell>
          <cell r="C1223" t="str">
            <v>Máy lọc ép</v>
          </cell>
          <cell r="D1223" t="str">
            <v>ca</v>
          </cell>
          <cell r="E1223">
            <v>1.36</v>
          </cell>
          <cell r="F1223">
            <v>24073</v>
          </cell>
          <cell r="G1223">
            <v>32739.280000000002</v>
          </cell>
        </row>
        <row r="1224">
          <cell r="B1224">
            <v>8011</v>
          </cell>
          <cell r="C1224" t="str">
            <v>Máy bơm ly tâm</v>
          </cell>
          <cell r="D1224" t="str">
            <v>ca</v>
          </cell>
          <cell r="E1224">
            <v>0.43</v>
          </cell>
          <cell r="F1224">
            <v>25135</v>
          </cell>
          <cell r="G1224">
            <v>10808.05</v>
          </cell>
        </row>
        <row r="1225">
          <cell r="B1225">
            <v>8010</v>
          </cell>
          <cell r="C1225" t="str">
            <v>Máy bơm chân không</v>
          </cell>
          <cell r="D1225" t="str">
            <v>ca</v>
          </cell>
          <cell r="E1225">
            <v>0.43</v>
          </cell>
          <cell r="F1225">
            <v>21010</v>
          </cell>
          <cell r="G1225">
            <v>9034.2999999999993</v>
          </cell>
        </row>
        <row r="1226">
          <cell r="B1226">
            <v>8005</v>
          </cell>
          <cell r="C1226" t="str">
            <v>Máy thử cao áp AI-70</v>
          </cell>
          <cell r="D1226" t="str">
            <v>ca</v>
          </cell>
          <cell r="E1226">
            <v>0.1</v>
          </cell>
          <cell r="F1226">
            <v>136162</v>
          </cell>
          <cell r="G1226">
            <v>13616.2</v>
          </cell>
        </row>
        <row r="1227">
          <cell r="A1227" t="str">
            <v>T1.2141</v>
          </cell>
          <cell r="C1227" t="str">
            <v>Lọc dầu bằng máy lọc dầu cải tạo YBM-2 (đã có máy hút chân không) hoặc tương đương; Mức điện áp trước khi lọc 30KV, mức điện áp sau khi lọc 35KV</v>
          </cell>
          <cell r="D1227" t="str">
            <v>tấn</v>
          </cell>
          <cell r="H1227">
            <v>11902.5</v>
          </cell>
          <cell r="I1227">
            <v>389360.92105263157</v>
          </cell>
          <cell r="J1227">
            <v>271262.76</v>
          </cell>
        </row>
        <row r="1228">
          <cell r="C1228" t="str">
            <v>Vật liệu</v>
          </cell>
          <cell r="G1228">
            <v>11902.5</v>
          </cell>
        </row>
        <row r="1229">
          <cell r="B1229">
            <v>6</v>
          </cell>
          <cell r="C1229" t="str">
            <v>Vải trắng</v>
          </cell>
          <cell r="D1229" t="str">
            <v>m</v>
          </cell>
          <cell r="E1229">
            <v>0.5</v>
          </cell>
          <cell r="F1229">
            <v>15000</v>
          </cell>
          <cell r="G1229">
            <v>7500</v>
          </cell>
        </row>
        <row r="1230">
          <cell r="B1230">
            <v>9</v>
          </cell>
          <cell r="C1230" t="str">
            <v>Giẻ lau</v>
          </cell>
          <cell r="D1230" t="str">
            <v>kg</v>
          </cell>
          <cell r="E1230">
            <v>0.3</v>
          </cell>
          <cell r="F1230">
            <v>9500</v>
          </cell>
          <cell r="G1230">
            <v>2850</v>
          </cell>
        </row>
        <row r="1231">
          <cell r="B1231">
            <v>117</v>
          </cell>
          <cell r="C1231" t="str">
            <v>Vật liệu khác</v>
          </cell>
          <cell r="D1231" t="str">
            <v>%</v>
          </cell>
          <cell r="E1231">
            <v>15</v>
          </cell>
          <cell r="G1231">
            <v>1552.5</v>
          </cell>
        </row>
        <row r="1232">
          <cell r="C1232" t="str">
            <v>Nhân công</v>
          </cell>
          <cell r="G1232">
            <v>389360.92105263157</v>
          </cell>
        </row>
        <row r="1233">
          <cell r="B1233" t="str">
            <v>NC1407</v>
          </cell>
          <cell r="C1233" t="str">
            <v>Ngày công bậc 4,0/7</v>
          </cell>
          <cell r="D1233" t="str">
            <v>công</v>
          </cell>
          <cell r="E1233">
            <v>2</v>
          </cell>
          <cell r="F1233">
            <v>194680.46052631579</v>
          </cell>
          <cell r="G1233">
            <v>389360.92105263157</v>
          </cell>
        </row>
        <row r="1234">
          <cell r="C1234" t="str">
            <v>Máy thi công</v>
          </cell>
          <cell r="G1234">
            <v>271262.76</v>
          </cell>
        </row>
        <row r="1235">
          <cell r="B1235">
            <v>8002</v>
          </cell>
          <cell r="C1235" t="str">
            <v>Máy lọc dầu cải tạo YBM-2</v>
          </cell>
          <cell r="D1235" t="str">
            <v>ca</v>
          </cell>
          <cell r="E1235">
            <v>0.34</v>
          </cell>
          <cell r="F1235">
            <v>757784</v>
          </cell>
          <cell r="G1235">
            <v>257646.56000000003</v>
          </cell>
        </row>
        <row r="1236">
          <cell r="B1236">
            <v>8005</v>
          </cell>
          <cell r="C1236" t="str">
            <v>Máy thử cao áp AI-70</v>
          </cell>
          <cell r="D1236" t="str">
            <v>ca</v>
          </cell>
          <cell r="E1236">
            <v>0.1</v>
          </cell>
          <cell r="F1236">
            <v>136162</v>
          </cell>
          <cell r="G1236">
            <v>13616.2</v>
          </cell>
        </row>
        <row r="1237">
          <cell r="A1237" t="str">
            <v>T1.2142</v>
          </cell>
          <cell r="C1237" t="str">
            <v>Lọc dầu bằng máy lọc dầu cải tạo YBM-2 (đã có máy hút chân không) hoặc tương đương; Mức điện áp trước khi lọc 30KV, mức điện áp sau khi lọc 40KV</v>
          </cell>
          <cell r="D1237" t="str">
            <v>tấn</v>
          </cell>
          <cell r="H1237">
            <v>12109.5</v>
          </cell>
          <cell r="I1237">
            <v>486701.15131578944</v>
          </cell>
          <cell r="J1237">
            <v>331885.48</v>
          </cell>
        </row>
        <row r="1238">
          <cell r="C1238" t="str">
            <v>Vật liệu</v>
          </cell>
          <cell r="G1238">
            <v>12109.5</v>
          </cell>
        </row>
        <row r="1239">
          <cell r="B1239">
            <v>6</v>
          </cell>
          <cell r="C1239" t="str">
            <v>Vải trắng</v>
          </cell>
          <cell r="D1239" t="str">
            <v>m</v>
          </cell>
          <cell r="E1239">
            <v>0.5</v>
          </cell>
          <cell r="F1239">
            <v>15000</v>
          </cell>
          <cell r="G1239">
            <v>7500</v>
          </cell>
        </row>
        <row r="1240">
          <cell r="B1240">
            <v>9</v>
          </cell>
          <cell r="C1240" t="str">
            <v>Giẻ lau</v>
          </cell>
          <cell r="D1240" t="str">
            <v>kg</v>
          </cell>
          <cell r="E1240">
            <v>0.3</v>
          </cell>
          <cell r="F1240">
            <v>9500</v>
          </cell>
          <cell r="G1240">
            <v>2850</v>
          </cell>
        </row>
        <row r="1241">
          <cell r="B1241">
            <v>117</v>
          </cell>
          <cell r="C1241" t="str">
            <v>Vật liệu khác</v>
          </cell>
          <cell r="D1241" t="str">
            <v>%</v>
          </cell>
          <cell r="E1241">
            <v>17</v>
          </cell>
          <cell r="G1241">
            <v>1759.5000000000002</v>
          </cell>
        </row>
        <row r="1242">
          <cell r="C1242" t="str">
            <v>Nhân công</v>
          </cell>
          <cell r="G1242">
            <v>486701.15131578944</v>
          </cell>
        </row>
        <row r="1243">
          <cell r="B1243" t="str">
            <v>NC1407</v>
          </cell>
          <cell r="C1243" t="str">
            <v>Ngày công bậc 4,0/7</v>
          </cell>
          <cell r="D1243" t="str">
            <v>công</v>
          </cell>
          <cell r="E1243">
            <v>2.5</v>
          </cell>
          <cell r="F1243">
            <v>194680.46052631579</v>
          </cell>
          <cell r="G1243">
            <v>486701.15131578944</v>
          </cell>
        </row>
        <row r="1244">
          <cell r="C1244" t="str">
            <v>Máy thi công</v>
          </cell>
          <cell r="G1244">
            <v>331885.48</v>
          </cell>
        </row>
        <row r="1245">
          <cell r="B1245">
            <v>8002</v>
          </cell>
          <cell r="C1245" t="str">
            <v>Máy lọc dầu cải tạo YBM-2</v>
          </cell>
          <cell r="D1245" t="str">
            <v>ca</v>
          </cell>
          <cell r="E1245">
            <v>0.42</v>
          </cell>
          <cell r="F1245">
            <v>757784</v>
          </cell>
          <cell r="G1245">
            <v>318269.27999999997</v>
          </cell>
        </row>
        <row r="1246">
          <cell r="B1246">
            <v>8005</v>
          </cell>
          <cell r="C1246" t="str">
            <v>Máy thử cao áp AI-70</v>
          </cell>
          <cell r="D1246" t="str">
            <v>ca</v>
          </cell>
          <cell r="E1246">
            <v>0.1</v>
          </cell>
          <cell r="F1246">
            <v>136162</v>
          </cell>
          <cell r="G1246">
            <v>13616.2</v>
          </cell>
        </row>
        <row r="1247">
          <cell r="A1247" t="str">
            <v>T1.2143</v>
          </cell>
          <cell r="C1247" t="str">
            <v>Lọc dầu bằng máy lọc dầu cải tạo YBM-2 (đã có máy hút chân không) hoặc tương đương; Mức điện áp trước khi lọc 30KV, mức điện áp sau khi lọc 45KV</v>
          </cell>
          <cell r="D1247" t="str">
            <v>tấn</v>
          </cell>
          <cell r="H1247">
            <v>12316.5</v>
          </cell>
          <cell r="I1247">
            <v>603509.42763157899</v>
          </cell>
          <cell r="J1247">
            <v>392508.2</v>
          </cell>
        </row>
        <row r="1248">
          <cell r="C1248" t="str">
            <v>Vật liệu</v>
          </cell>
          <cell r="G1248">
            <v>12316.5</v>
          </cell>
        </row>
        <row r="1249">
          <cell r="B1249">
            <v>6</v>
          </cell>
          <cell r="C1249" t="str">
            <v>Vải trắng</v>
          </cell>
          <cell r="D1249" t="str">
            <v>m</v>
          </cell>
          <cell r="E1249">
            <v>0.5</v>
          </cell>
          <cell r="F1249">
            <v>15000</v>
          </cell>
          <cell r="G1249">
            <v>7500</v>
          </cell>
        </row>
        <row r="1250">
          <cell r="B1250">
            <v>9</v>
          </cell>
          <cell r="C1250" t="str">
            <v>Giẻ lau</v>
          </cell>
          <cell r="D1250" t="str">
            <v>kg</v>
          </cell>
          <cell r="E1250">
            <v>0.3</v>
          </cell>
          <cell r="F1250">
            <v>9500</v>
          </cell>
          <cell r="G1250">
            <v>2850</v>
          </cell>
        </row>
        <row r="1251">
          <cell r="B1251">
            <v>117</v>
          </cell>
          <cell r="C1251" t="str">
            <v>Vật liệu khác</v>
          </cell>
          <cell r="D1251" t="str">
            <v>%</v>
          </cell>
          <cell r="E1251">
            <v>19</v>
          </cell>
          <cell r="G1251">
            <v>1966.5</v>
          </cell>
        </row>
        <row r="1252">
          <cell r="C1252" t="str">
            <v>Nhân công</v>
          </cell>
          <cell r="G1252">
            <v>603509.42763157899</v>
          </cell>
        </row>
        <row r="1253">
          <cell r="B1253" t="str">
            <v>NC1407</v>
          </cell>
          <cell r="C1253" t="str">
            <v>Ngày công bậc 4,0/7</v>
          </cell>
          <cell r="D1253" t="str">
            <v>công</v>
          </cell>
          <cell r="E1253">
            <v>3.1</v>
          </cell>
          <cell r="F1253">
            <v>194680.46052631579</v>
          </cell>
          <cell r="G1253">
            <v>603509.42763157899</v>
          </cell>
        </row>
        <row r="1254">
          <cell r="C1254" t="str">
            <v>Máy thi công</v>
          </cell>
          <cell r="G1254">
            <v>392508.2</v>
          </cell>
        </row>
        <row r="1255">
          <cell r="B1255">
            <v>8002</v>
          </cell>
          <cell r="C1255" t="str">
            <v>Máy lọc dầu cải tạo YBM-2</v>
          </cell>
          <cell r="D1255" t="str">
            <v>ca</v>
          </cell>
          <cell r="E1255">
            <v>0.5</v>
          </cell>
          <cell r="F1255">
            <v>757784</v>
          </cell>
          <cell r="G1255">
            <v>378892</v>
          </cell>
        </row>
        <row r="1256">
          <cell r="B1256">
            <v>8005</v>
          </cell>
          <cell r="C1256" t="str">
            <v>Máy thử cao áp AI-70</v>
          </cell>
          <cell r="D1256" t="str">
            <v>ca</v>
          </cell>
          <cell r="E1256">
            <v>0.1</v>
          </cell>
          <cell r="F1256">
            <v>136162</v>
          </cell>
          <cell r="G1256">
            <v>13616.2</v>
          </cell>
        </row>
        <row r="1257">
          <cell r="A1257" t="str">
            <v>T1.2144</v>
          </cell>
          <cell r="C1257" t="str">
            <v>Lọc dầu bằng máy lọc dầu cải tạo YBM-2 (đã có máy hút chân không) hoặc tương đương; Mức điện áp trước khi lọc 30KV, mức điện áp sau khi lọc 50KV</v>
          </cell>
          <cell r="D1257" t="str">
            <v>tấn</v>
          </cell>
          <cell r="H1257">
            <v>12471.75</v>
          </cell>
          <cell r="I1257">
            <v>681381.61184210528</v>
          </cell>
          <cell r="J1257">
            <v>483442.28</v>
          </cell>
        </row>
        <row r="1258">
          <cell r="C1258" t="str">
            <v>Vật liệu</v>
          </cell>
          <cell r="G1258">
            <v>12471.75</v>
          </cell>
        </row>
        <row r="1259">
          <cell r="B1259">
            <v>6</v>
          </cell>
          <cell r="C1259" t="str">
            <v>Vải trắng</v>
          </cell>
          <cell r="D1259" t="str">
            <v>m</v>
          </cell>
          <cell r="E1259">
            <v>0.5</v>
          </cell>
          <cell r="F1259">
            <v>15000</v>
          </cell>
          <cell r="G1259">
            <v>7500</v>
          </cell>
        </row>
        <row r="1260">
          <cell r="B1260">
            <v>9</v>
          </cell>
          <cell r="C1260" t="str">
            <v>Giẻ lau</v>
          </cell>
          <cell r="D1260" t="str">
            <v>kg</v>
          </cell>
          <cell r="E1260">
            <v>0.3</v>
          </cell>
          <cell r="F1260">
            <v>9500</v>
          </cell>
          <cell r="G1260">
            <v>2850</v>
          </cell>
        </row>
        <row r="1261">
          <cell r="B1261">
            <v>117</v>
          </cell>
          <cell r="C1261" t="str">
            <v>Vật liệu khác</v>
          </cell>
          <cell r="D1261" t="str">
            <v>%</v>
          </cell>
          <cell r="E1261">
            <v>20.5</v>
          </cell>
          <cell r="G1261">
            <v>2121.75</v>
          </cell>
        </row>
        <row r="1262">
          <cell r="C1262" t="str">
            <v>Nhân công</v>
          </cell>
          <cell r="G1262">
            <v>681381.61184210528</v>
          </cell>
        </row>
        <row r="1263">
          <cell r="B1263" t="str">
            <v>NC1407</v>
          </cell>
          <cell r="C1263" t="str">
            <v>Ngày công bậc 4,0/7</v>
          </cell>
          <cell r="D1263" t="str">
            <v>công</v>
          </cell>
          <cell r="E1263">
            <v>3.5</v>
          </cell>
          <cell r="F1263">
            <v>194680.46052631579</v>
          </cell>
          <cell r="G1263">
            <v>681381.61184210528</v>
          </cell>
        </row>
        <row r="1264">
          <cell r="C1264" t="str">
            <v>Máy thi công</v>
          </cell>
          <cell r="G1264">
            <v>483442.28</v>
          </cell>
        </row>
        <row r="1265">
          <cell r="B1265">
            <v>8002</v>
          </cell>
          <cell r="C1265" t="str">
            <v>Máy lọc dầu cải tạo YBM-2</v>
          </cell>
          <cell r="D1265" t="str">
            <v>ca</v>
          </cell>
          <cell r="E1265">
            <v>0.62</v>
          </cell>
          <cell r="F1265">
            <v>757784</v>
          </cell>
          <cell r="G1265">
            <v>469826.08</v>
          </cell>
        </row>
        <row r="1266">
          <cell r="B1266">
            <v>8005</v>
          </cell>
          <cell r="C1266" t="str">
            <v>Máy thử cao áp AI-70</v>
          </cell>
          <cell r="D1266" t="str">
            <v>ca</v>
          </cell>
          <cell r="E1266">
            <v>0.1</v>
          </cell>
          <cell r="F1266">
            <v>136162</v>
          </cell>
          <cell r="G1266">
            <v>13616.2</v>
          </cell>
        </row>
        <row r="1267">
          <cell r="A1267" t="str">
            <v>T1.2144</v>
          </cell>
          <cell r="C1267" t="str">
            <v>Lọc dầu bằng máy lọc dầu cải tạo YBM-2 (đã có máy hút chân không) hoặc tương đương; Mức điện áp trước khi lọc 30KV, mức điện áp sau khi lọc 60KV</v>
          </cell>
          <cell r="D1267" t="str">
            <v>tấn</v>
          </cell>
          <cell r="H1267">
            <v>12627</v>
          </cell>
          <cell r="I1267">
            <v>817657.93421052629</v>
          </cell>
          <cell r="J1267">
            <v>634999.07999999996</v>
          </cell>
        </row>
        <row r="1268">
          <cell r="C1268" t="str">
            <v>Vật liệu</v>
          </cell>
          <cell r="G1268">
            <v>12627</v>
          </cell>
        </row>
        <row r="1269">
          <cell r="B1269">
            <v>6</v>
          </cell>
          <cell r="C1269" t="str">
            <v>Vải trắng</v>
          </cell>
          <cell r="D1269" t="str">
            <v>m</v>
          </cell>
          <cell r="E1269">
            <v>0.5</v>
          </cell>
          <cell r="F1269">
            <v>15000</v>
          </cell>
          <cell r="G1269">
            <v>7500</v>
          </cell>
        </row>
        <row r="1270">
          <cell r="B1270">
            <v>9</v>
          </cell>
          <cell r="C1270" t="str">
            <v>Giẻ lau</v>
          </cell>
          <cell r="D1270" t="str">
            <v>kg</v>
          </cell>
          <cell r="E1270">
            <v>0.3</v>
          </cell>
          <cell r="F1270">
            <v>9500</v>
          </cell>
          <cell r="G1270">
            <v>2850</v>
          </cell>
        </row>
        <row r="1271">
          <cell r="B1271">
            <v>117</v>
          </cell>
          <cell r="C1271" t="str">
            <v>Vật liệu khác</v>
          </cell>
          <cell r="D1271" t="str">
            <v>%</v>
          </cell>
          <cell r="E1271">
            <v>22</v>
          </cell>
          <cell r="G1271">
            <v>2277</v>
          </cell>
        </row>
        <row r="1272">
          <cell r="C1272" t="str">
            <v>Nhân công</v>
          </cell>
          <cell r="G1272">
            <v>817657.93421052629</v>
          </cell>
        </row>
        <row r="1273">
          <cell r="B1273" t="str">
            <v>NC1407</v>
          </cell>
          <cell r="C1273" t="str">
            <v>Ngày công bậc 4,0/7</v>
          </cell>
          <cell r="D1273" t="str">
            <v>công</v>
          </cell>
          <cell r="E1273">
            <v>4.2</v>
          </cell>
          <cell r="F1273">
            <v>194680.46052631579</v>
          </cell>
          <cell r="G1273">
            <v>817657.93421052629</v>
          </cell>
        </row>
        <row r="1274">
          <cell r="C1274" t="str">
            <v>Máy thi công</v>
          </cell>
          <cell r="G1274">
            <v>634999.07999999996</v>
          </cell>
        </row>
        <row r="1275">
          <cell r="B1275">
            <v>8002</v>
          </cell>
          <cell r="C1275" t="str">
            <v>Máy lọc dầu cải tạo YBM-2</v>
          </cell>
          <cell r="D1275" t="str">
            <v>ca</v>
          </cell>
          <cell r="E1275">
            <v>0.82</v>
          </cell>
          <cell r="F1275">
            <v>757784</v>
          </cell>
          <cell r="G1275">
            <v>621382.88</v>
          </cell>
        </row>
        <row r="1276">
          <cell r="B1276">
            <v>8005</v>
          </cell>
          <cell r="C1276" t="str">
            <v>Máy thử cao áp AI-70</v>
          </cell>
          <cell r="D1276" t="str">
            <v>ca</v>
          </cell>
          <cell r="E1276">
            <v>0.1</v>
          </cell>
          <cell r="F1276">
            <v>136162</v>
          </cell>
          <cell r="G1276">
            <v>13616.2</v>
          </cell>
        </row>
        <row r="1277">
          <cell r="A1277" t="str">
            <v>T1.2151</v>
          </cell>
          <cell r="C1277" t="str">
            <v>Lọc dầu bằng máy lọc dầu hợp bộ KATO KLVC-4AXVSO hoặc tương đương; Mức điện áp trước khi lọc 30KV, mức điện áp sau khi lọc 35KV</v>
          </cell>
          <cell r="D1277" t="str">
            <v>tấn</v>
          </cell>
          <cell r="H1277">
            <v>11902.5</v>
          </cell>
          <cell r="I1277">
            <v>389360.92105263157</v>
          </cell>
          <cell r="J1277">
            <v>282240.08500000002</v>
          </cell>
        </row>
        <row r="1278">
          <cell r="C1278" t="str">
            <v>Vật liệu</v>
          </cell>
          <cell r="G1278">
            <v>11902.5</v>
          </cell>
        </row>
        <row r="1279">
          <cell r="B1279">
            <v>6</v>
          </cell>
          <cell r="C1279" t="str">
            <v>Vải trắng</v>
          </cell>
          <cell r="D1279" t="str">
            <v>m</v>
          </cell>
          <cell r="E1279">
            <v>0.5</v>
          </cell>
          <cell r="F1279">
            <v>15000</v>
          </cell>
          <cell r="G1279">
            <v>7500</v>
          </cell>
        </row>
        <row r="1280">
          <cell r="B1280">
            <v>9</v>
          </cell>
          <cell r="C1280" t="str">
            <v>Giẻ lau</v>
          </cell>
          <cell r="D1280" t="str">
            <v>kg</v>
          </cell>
          <cell r="E1280">
            <v>0.3</v>
          </cell>
          <cell r="F1280">
            <v>9500</v>
          </cell>
          <cell r="G1280">
            <v>2850</v>
          </cell>
        </row>
        <row r="1281">
          <cell r="B1281">
            <v>117</v>
          </cell>
          <cell r="C1281" t="str">
            <v>Vật liệu khác</v>
          </cell>
          <cell r="D1281" t="str">
            <v>%</v>
          </cell>
          <cell r="E1281">
            <v>15</v>
          </cell>
          <cell r="G1281">
            <v>1552.5</v>
          </cell>
        </row>
        <row r="1282">
          <cell r="C1282" t="str">
            <v>Nhân công</v>
          </cell>
          <cell r="G1282">
            <v>389360.92105263157</v>
          </cell>
        </row>
        <row r="1283">
          <cell r="B1283" t="str">
            <v>NC1407</v>
          </cell>
          <cell r="C1283" t="str">
            <v>Ngày công bậc 4,0/7</v>
          </cell>
          <cell r="D1283" t="str">
            <v>công</v>
          </cell>
          <cell r="E1283">
            <v>2</v>
          </cell>
          <cell r="F1283">
            <v>194680.46052631579</v>
          </cell>
          <cell r="G1283">
            <v>389360.92105263157</v>
          </cell>
        </row>
        <row r="1284">
          <cell r="C1284" t="str">
            <v>Máy thi công</v>
          </cell>
          <cell r="G1284">
            <v>282240.08500000002</v>
          </cell>
        </row>
        <row r="1285">
          <cell r="B1285">
            <v>8003</v>
          </cell>
          <cell r="C1285" t="str">
            <v>Máy lọc dầu hợp bộ KATO KLVC-4AXVSO</v>
          </cell>
          <cell r="D1285" t="str">
            <v>ca</v>
          </cell>
          <cell r="E1285">
            <v>0.185</v>
          </cell>
          <cell r="F1285">
            <v>1452021</v>
          </cell>
          <cell r="G1285">
            <v>268623.88500000001</v>
          </cell>
        </row>
        <row r="1286">
          <cell r="B1286">
            <v>8005</v>
          </cell>
          <cell r="C1286" t="str">
            <v>Máy thử cao áp AI-70</v>
          </cell>
          <cell r="D1286" t="str">
            <v>ca</v>
          </cell>
          <cell r="E1286">
            <v>0.1</v>
          </cell>
          <cell r="F1286">
            <v>136162</v>
          </cell>
          <cell r="G1286">
            <v>13616.2</v>
          </cell>
        </row>
        <row r="1287">
          <cell r="A1287" t="str">
            <v>T1.2152</v>
          </cell>
          <cell r="C1287" t="str">
            <v>Lọc dầu bằng máy lọc dầu hợp bộ KATO KLVC-4AXVSO hoặc tương đương; Mức điện áp trước khi lọc 30KV, mức điện áp sau khi lọc 40KV</v>
          </cell>
          <cell r="D1287" t="str">
            <v>tấn</v>
          </cell>
          <cell r="H1287">
            <v>12109.5</v>
          </cell>
          <cell r="I1287">
            <v>486701.15131578944</v>
          </cell>
          <cell r="J1287">
            <v>351937.09300000005</v>
          </cell>
        </row>
        <row r="1288">
          <cell r="C1288" t="str">
            <v>Vật liệu</v>
          </cell>
          <cell r="G1288">
            <v>12109.5</v>
          </cell>
        </row>
        <row r="1289">
          <cell r="B1289">
            <v>6</v>
          </cell>
          <cell r="C1289" t="str">
            <v>Vải trắng</v>
          </cell>
          <cell r="D1289" t="str">
            <v>m</v>
          </cell>
          <cell r="E1289">
            <v>0.5</v>
          </cell>
          <cell r="F1289">
            <v>15000</v>
          </cell>
          <cell r="G1289">
            <v>7500</v>
          </cell>
        </row>
        <row r="1290">
          <cell r="B1290">
            <v>9</v>
          </cell>
          <cell r="C1290" t="str">
            <v>Giẻ lau</v>
          </cell>
          <cell r="D1290" t="str">
            <v>kg</v>
          </cell>
          <cell r="E1290">
            <v>0.3</v>
          </cell>
          <cell r="F1290">
            <v>9500</v>
          </cell>
          <cell r="G1290">
            <v>2850</v>
          </cell>
        </row>
        <row r="1291">
          <cell r="B1291">
            <v>117</v>
          </cell>
          <cell r="C1291" t="str">
            <v>Vật liệu khác</v>
          </cell>
          <cell r="D1291" t="str">
            <v>%</v>
          </cell>
          <cell r="E1291">
            <v>17</v>
          </cell>
          <cell r="G1291">
            <v>1759.5000000000002</v>
          </cell>
        </row>
        <row r="1292">
          <cell r="C1292" t="str">
            <v>Nhân công</v>
          </cell>
          <cell r="G1292">
            <v>486701.15131578944</v>
          </cell>
        </row>
        <row r="1293">
          <cell r="B1293" t="str">
            <v>NC1407</v>
          </cell>
          <cell r="C1293" t="str">
            <v>Ngày công bậc 4,0/7</v>
          </cell>
          <cell r="D1293" t="str">
            <v>công</v>
          </cell>
          <cell r="E1293">
            <v>2.5</v>
          </cell>
          <cell r="F1293">
            <v>194680.46052631579</v>
          </cell>
          <cell r="G1293">
            <v>486701.15131578944</v>
          </cell>
        </row>
        <row r="1294">
          <cell r="C1294" t="str">
            <v>Máy thi công</v>
          </cell>
          <cell r="G1294">
            <v>351937.09300000005</v>
          </cell>
        </row>
        <row r="1295">
          <cell r="B1295">
            <v>8003</v>
          </cell>
          <cell r="C1295" t="str">
            <v>Máy lọc dầu hợp bộ KATO KLVC-4AXVSO</v>
          </cell>
          <cell r="D1295" t="str">
            <v>ca</v>
          </cell>
          <cell r="E1295">
            <v>0.23300000000000001</v>
          </cell>
          <cell r="F1295">
            <v>1452021</v>
          </cell>
          <cell r="G1295">
            <v>338320.89300000004</v>
          </cell>
        </row>
        <row r="1296">
          <cell r="B1296">
            <v>8005</v>
          </cell>
          <cell r="C1296" t="str">
            <v>Máy thử cao áp AI-70</v>
          </cell>
          <cell r="D1296" t="str">
            <v>ca</v>
          </cell>
          <cell r="E1296">
            <v>0.1</v>
          </cell>
          <cell r="F1296">
            <v>136162</v>
          </cell>
          <cell r="G1296">
            <v>13616.2</v>
          </cell>
        </row>
        <row r="1297">
          <cell r="A1297" t="str">
            <v>T1.2153</v>
          </cell>
          <cell r="C1297" t="str">
            <v>Lọc dầu bằng máy lọc dầu hợp bộ KATO KLVC-4AXVSO hoặc tương đương; Mức điện áp trước khi lọc 30KV, mức điện áp sau khi lọc 45KV</v>
          </cell>
          <cell r="D1297" t="str">
            <v>tấn</v>
          </cell>
          <cell r="H1297">
            <v>12316.5</v>
          </cell>
          <cell r="I1297">
            <v>603509.42763157899</v>
          </cell>
          <cell r="J1297">
            <v>373717.408</v>
          </cell>
        </row>
        <row r="1298">
          <cell r="C1298" t="str">
            <v>Vật liệu</v>
          </cell>
          <cell r="G1298">
            <v>12316.5</v>
          </cell>
        </row>
        <row r="1299">
          <cell r="B1299">
            <v>6</v>
          </cell>
          <cell r="C1299" t="str">
            <v>Vải trắng</v>
          </cell>
          <cell r="D1299" t="str">
            <v>m</v>
          </cell>
          <cell r="E1299">
            <v>0.5</v>
          </cell>
          <cell r="F1299">
            <v>15000</v>
          </cell>
          <cell r="G1299">
            <v>7500</v>
          </cell>
        </row>
        <row r="1300">
          <cell r="B1300">
            <v>9</v>
          </cell>
          <cell r="C1300" t="str">
            <v>Giẻ lau</v>
          </cell>
          <cell r="D1300" t="str">
            <v>kg</v>
          </cell>
          <cell r="E1300">
            <v>0.3</v>
          </cell>
          <cell r="F1300">
            <v>9500</v>
          </cell>
          <cell r="G1300">
            <v>2850</v>
          </cell>
        </row>
        <row r="1301">
          <cell r="B1301">
            <v>117</v>
          </cell>
          <cell r="C1301" t="str">
            <v>Vật liệu khác</v>
          </cell>
          <cell r="D1301" t="str">
            <v>%</v>
          </cell>
          <cell r="E1301">
            <v>19</v>
          </cell>
          <cell r="G1301">
            <v>1966.5</v>
          </cell>
        </row>
        <row r="1302">
          <cell r="C1302" t="str">
            <v>Nhân công</v>
          </cell>
          <cell r="G1302">
            <v>603509.42763157899</v>
          </cell>
        </row>
        <row r="1303">
          <cell r="B1303" t="str">
            <v>NC1407</v>
          </cell>
          <cell r="C1303" t="str">
            <v>Ngày công bậc 4,0/7</v>
          </cell>
          <cell r="D1303" t="str">
            <v>công</v>
          </cell>
          <cell r="E1303">
            <v>3.1</v>
          </cell>
          <cell r="F1303">
            <v>194680.46052631579</v>
          </cell>
          <cell r="G1303">
            <v>603509.42763157899</v>
          </cell>
        </row>
        <row r="1304">
          <cell r="C1304" t="str">
            <v>Máy thi công</v>
          </cell>
          <cell r="G1304">
            <v>373717.408</v>
          </cell>
        </row>
        <row r="1305">
          <cell r="B1305">
            <v>8003</v>
          </cell>
          <cell r="C1305" t="str">
            <v>Máy lọc dầu hợp bộ KATO KLVC-4AXVSO</v>
          </cell>
          <cell r="D1305" t="str">
            <v>ca</v>
          </cell>
          <cell r="E1305">
            <v>0.248</v>
          </cell>
          <cell r="F1305">
            <v>1452021</v>
          </cell>
          <cell r="G1305">
            <v>360101.20799999998</v>
          </cell>
        </row>
        <row r="1306">
          <cell r="B1306">
            <v>8005</v>
          </cell>
          <cell r="C1306" t="str">
            <v>Máy thử cao áp AI-70</v>
          </cell>
          <cell r="D1306" t="str">
            <v>ca</v>
          </cell>
          <cell r="E1306">
            <v>0.1</v>
          </cell>
          <cell r="F1306">
            <v>136162</v>
          </cell>
          <cell r="G1306">
            <v>13616.2</v>
          </cell>
        </row>
        <row r="1307">
          <cell r="A1307" t="str">
            <v>T1.2154</v>
          </cell>
          <cell r="C1307" t="str">
            <v>Lọc dầu bằng máy lọc dầu hợp bộ KATO KLVC-4AXVSO hoặc tương đương; Mức điện áp trước khi lọc 30KV, mức điện áp sau khi lọc 50KV</v>
          </cell>
          <cell r="D1307" t="str">
            <v>tấn</v>
          </cell>
          <cell r="H1307">
            <v>12471.75</v>
          </cell>
          <cell r="I1307">
            <v>681381.61184210528</v>
          </cell>
          <cell r="J1307">
            <v>507303.34</v>
          </cell>
        </row>
        <row r="1308">
          <cell r="C1308" t="str">
            <v>Vật liệu</v>
          </cell>
          <cell r="G1308">
            <v>12471.75</v>
          </cell>
        </row>
        <row r="1309">
          <cell r="B1309">
            <v>6</v>
          </cell>
          <cell r="C1309" t="str">
            <v>Vải trắng</v>
          </cell>
          <cell r="D1309" t="str">
            <v>m</v>
          </cell>
          <cell r="E1309">
            <v>0.5</v>
          </cell>
          <cell r="F1309">
            <v>15000</v>
          </cell>
          <cell r="G1309">
            <v>7500</v>
          </cell>
        </row>
        <row r="1310">
          <cell r="B1310">
            <v>9</v>
          </cell>
          <cell r="C1310" t="str">
            <v>Giẻ lau</v>
          </cell>
          <cell r="D1310" t="str">
            <v>kg</v>
          </cell>
          <cell r="E1310">
            <v>0.3</v>
          </cell>
          <cell r="F1310">
            <v>9500</v>
          </cell>
          <cell r="G1310">
            <v>2850</v>
          </cell>
        </row>
        <row r="1311">
          <cell r="B1311">
            <v>117</v>
          </cell>
          <cell r="C1311" t="str">
            <v>Vật liệu khác</v>
          </cell>
          <cell r="D1311" t="str">
            <v>%</v>
          </cell>
          <cell r="E1311">
            <v>20.5</v>
          </cell>
          <cell r="G1311">
            <v>2121.75</v>
          </cell>
        </row>
        <row r="1312">
          <cell r="C1312" t="str">
            <v>Nhân công</v>
          </cell>
          <cell r="G1312">
            <v>681381.61184210528</v>
          </cell>
        </row>
        <row r="1313">
          <cell r="B1313" t="str">
            <v>NC1407</v>
          </cell>
          <cell r="C1313" t="str">
            <v>Ngày công bậc 4,0/7</v>
          </cell>
          <cell r="D1313" t="str">
            <v>công</v>
          </cell>
          <cell r="E1313">
            <v>3.5</v>
          </cell>
          <cell r="F1313">
            <v>194680.46052631579</v>
          </cell>
          <cell r="G1313">
            <v>681381.61184210528</v>
          </cell>
        </row>
        <row r="1314">
          <cell r="C1314" t="str">
            <v>Máy thi công</v>
          </cell>
          <cell r="G1314">
            <v>507303.34</v>
          </cell>
        </row>
        <row r="1315">
          <cell r="B1315">
            <v>8003</v>
          </cell>
          <cell r="C1315" t="str">
            <v>Máy lọc dầu hợp bộ KATO KLVC-4AXVSO</v>
          </cell>
          <cell r="D1315" t="str">
            <v>ca</v>
          </cell>
          <cell r="E1315">
            <v>0.34</v>
          </cell>
          <cell r="F1315">
            <v>1452021</v>
          </cell>
          <cell r="G1315">
            <v>493687.14</v>
          </cell>
        </row>
        <row r="1316">
          <cell r="B1316">
            <v>8005</v>
          </cell>
          <cell r="C1316" t="str">
            <v>Máy thử cao áp AI-70</v>
          </cell>
          <cell r="D1316" t="str">
            <v>ca</v>
          </cell>
          <cell r="E1316">
            <v>0.1</v>
          </cell>
          <cell r="F1316">
            <v>136162</v>
          </cell>
          <cell r="G1316">
            <v>13616.2</v>
          </cell>
        </row>
        <row r="1317">
          <cell r="A1317" t="str">
            <v>T1.2155</v>
          </cell>
          <cell r="C1317" t="str">
            <v>Lọc dầu bằng máy lọc dầu hợp bộ KATO KLVC-4AXVSO hoặc tương đương; Mức điện áp trước khi lọc 30KV, mức điện áp sau khi lọc 60KV</v>
          </cell>
          <cell r="D1317" t="str">
            <v>tấn</v>
          </cell>
          <cell r="H1317">
            <v>12627</v>
          </cell>
          <cell r="I1317">
            <v>817657.93421052629</v>
          </cell>
          <cell r="J1317">
            <v>592972.57900000003</v>
          </cell>
        </row>
        <row r="1318">
          <cell r="C1318" t="str">
            <v>Vật liệu</v>
          </cell>
          <cell r="G1318">
            <v>12627</v>
          </cell>
        </row>
        <row r="1319">
          <cell r="B1319">
            <v>6</v>
          </cell>
          <cell r="C1319" t="str">
            <v>Vải trắng</v>
          </cell>
          <cell r="D1319" t="str">
            <v>m</v>
          </cell>
          <cell r="E1319">
            <v>0.5</v>
          </cell>
          <cell r="F1319">
            <v>15000</v>
          </cell>
          <cell r="G1319">
            <v>7500</v>
          </cell>
        </row>
        <row r="1320">
          <cell r="B1320">
            <v>9</v>
          </cell>
          <cell r="C1320" t="str">
            <v>Giẻ lau</v>
          </cell>
          <cell r="D1320" t="str">
            <v>kg</v>
          </cell>
          <cell r="E1320">
            <v>0.3</v>
          </cell>
          <cell r="F1320">
            <v>9500</v>
          </cell>
          <cell r="G1320">
            <v>2850</v>
          </cell>
        </row>
        <row r="1321">
          <cell r="B1321">
            <v>117</v>
          </cell>
          <cell r="C1321" t="str">
            <v>Vật liệu khác</v>
          </cell>
          <cell r="D1321" t="str">
            <v>%</v>
          </cell>
          <cell r="E1321">
            <v>22</v>
          </cell>
          <cell r="G1321">
            <v>2277</v>
          </cell>
        </row>
        <row r="1322">
          <cell r="C1322" t="str">
            <v>Nhân công</v>
          </cell>
          <cell r="G1322">
            <v>817657.93421052629</v>
          </cell>
        </row>
        <row r="1323">
          <cell r="B1323" t="str">
            <v>NC1407</v>
          </cell>
          <cell r="C1323" t="str">
            <v>Ngày công bậc 4,0/7</v>
          </cell>
          <cell r="D1323" t="str">
            <v>công</v>
          </cell>
          <cell r="E1323">
            <v>4.2</v>
          </cell>
          <cell r="F1323">
            <v>194680.46052631579</v>
          </cell>
          <cell r="G1323">
            <v>817657.93421052629</v>
          </cell>
        </row>
        <row r="1324">
          <cell r="C1324" t="str">
            <v>Máy thi công</v>
          </cell>
          <cell r="G1324">
            <v>592972.57900000003</v>
          </cell>
        </row>
        <row r="1325">
          <cell r="B1325">
            <v>8003</v>
          </cell>
          <cell r="C1325" t="str">
            <v>Máy lọc dầu hợp bộ KATO KLVC-4AXVSO</v>
          </cell>
          <cell r="D1325" t="str">
            <v>ca</v>
          </cell>
          <cell r="E1325">
            <v>0.39900000000000002</v>
          </cell>
          <cell r="F1325">
            <v>1452021</v>
          </cell>
          <cell r="G1325">
            <v>579356.37900000007</v>
          </cell>
        </row>
        <row r="1326">
          <cell r="B1326">
            <v>8005</v>
          </cell>
          <cell r="C1326" t="str">
            <v>Máy thử cao áp AI-70</v>
          </cell>
          <cell r="D1326" t="str">
            <v>ca</v>
          </cell>
          <cell r="E1326">
            <v>0.1</v>
          </cell>
          <cell r="F1326">
            <v>136162</v>
          </cell>
          <cell r="G1326">
            <v>13616.2</v>
          </cell>
        </row>
        <row r="1327">
          <cell r="A1327" t="str">
            <v>T1.2161</v>
          </cell>
          <cell r="C1327" t="str">
            <v>Lọc dầu bằng máy lọc ép; Mức điện áp trước khi lọc 35KV, mức điện áp sau khi lọc 40KV</v>
          </cell>
          <cell r="D1327" t="str">
            <v>tấn</v>
          </cell>
          <cell r="H1327">
            <v>11385</v>
          </cell>
          <cell r="I1327">
            <v>428297.01315789478</v>
          </cell>
          <cell r="J1327">
            <v>37991.179999999993</v>
          </cell>
        </row>
        <row r="1328">
          <cell r="C1328" t="str">
            <v>Vật liệu</v>
          </cell>
          <cell r="G1328">
            <v>11385</v>
          </cell>
        </row>
        <row r="1329">
          <cell r="B1329">
            <v>6</v>
          </cell>
          <cell r="C1329" t="str">
            <v>Vải trắng</v>
          </cell>
          <cell r="D1329" t="str">
            <v>m</v>
          </cell>
          <cell r="E1329">
            <v>0.5</v>
          </cell>
          <cell r="F1329">
            <v>15000</v>
          </cell>
          <cell r="G1329">
            <v>7500</v>
          </cell>
        </row>
        <row r="1330">
          <cell r="B1330">
            <v>9</v>
          </cell>
          <cell r="C1330" t="str">
            <v>Giẻ lau</v>
          </cell>
          <cell r="D1330" t="str">
            <v>kg</v>
          </cell>
          <cell r="E1330">
            <v>0.3</v>
          </cell>
          <cell r="F1330">
            <v>9500</v>
          </cell>
          <cell r="G1330">
            <v>2850</v>
          </cell>
        </row>
        <row r="1331">
          <cell r="B1331">
            <v>117</v>
          </cell>
          <cell r="C1331" t="str">
            <v>Vật liệu khác</v>
          </cell>
          <cell r="D1331" t="str">
            <v>%</v>
          </cell>
          <cell r="E1331">
            <v>10</v>
          </cell>
          <cell r="G1331">
            <v>1035</v>
          </cell>
        </row>
        <row r="1332">
          <cell r="C1332" t="str">
            <v>Nhân công</v>
          </cell>
          <cell r="G1332">
            <v>428297.01315789478</v>
          </cell>
        </row>
        <row r="1333">
          <cell r="B1333" t="str">
            <v>NC1407</v>
          </cell>
          <cell r="C1333" t="str">
            <v>Ngày công bậc 4,0/7</v>
          </cell>
          <cell r="D1333" t="str">
            <v>công</v>
          </cell>
          <cell r="E1333">
            <v>2.2000000000000002</v>
          </cell>
          <cell r="F1333">
            <v>194680.46052631579</v>
          </cell>
          <cell r="G1333">
            <v>428297.01315789478</v>
          </cell>
        </row>
        <row r="1334">
          <cell r="C1334" t="str">
            <v>Máy thi công</v>
          </cell>
          <cell r="G1334">
            <v>37991.179999999993</v>
          </cell>
        </row>
        <row r="1335">
          <cell r="B1335">
            <v>8004</v>
          </cell>
          <cell r="C1335" t="str">
            <v>Máy lọc ép</v>
          </cell>
          <cell r="D1335" t="str">
            <v>ca</v>
          </cell>
          <cell r="E1335">
            <v>0.61</v>
          </cell>
          <cell r="F1335">
            <v>24073</v>
          </cell>
          <cell r="G1335">
            <v>14684.529999999999</v>
          </cell>
        </row>
        <row r="1336">
          <cell r="B1336">
            <v>8011</v>
          </cell>
          <cell r="C1336" t="str">
            <v>Máy bơm ly tâm</v>
          </cell>
          <cell r="D1336" t="str">
            <v>ca</v>
          </cell>
          <cell r="E1336">
            <v>0.21</v>
          </cell>
          <cell r="F1336">
            <v>25135</v>
          </cell>
          <cell r="G1336">
            <v>5278.3499999999995</v>
          </cell>
        </row>
        <row r="1337">
          <cell r="B1337">
            <v>8010</v>
          </cell>
          <cell r="C1337" t="str">
            <v>Máy bơm chân không</v>
          </cell>
          <cell r="D1337" t="str">
            <v>ca</v>
          </cell>
          <cell r="E1337">
            <v>0.21</v>
          </cell>
          <cell r="F1337">
            <v>21010</v>
          </cell>
          <cell r="G1337">
            <v>4412.0999999999995</v>
          </cell>
        </row>
        <row r="1338">
          <cell r="B1338">
            <v>8005</v>
          </cell>
          <cell r="C1338" t="str">
            <v>Máy thử cao áp AI-70</v>
          </cell>
          <cell r="D1338" t="str">
            <v>ca</v>
          </cell>
          <cell r="E1338">
            <v>0.1</v>
          </cell>
          <cell r="F1338">
            <v>136162</v>
          </cell>
          <cell r="G1338">
            <v>13616.2</v>
          </cell>
        </row>
        <row r="1339">
          <cell r="A1339" t="str">
            <v>T1.2162</v>
          </cell>
          <cell r="C1339" t="str">
            <v>Lọc dầu bằng máy lọc ép; Mức điện áp trước khi lọc 35KV, mức điện áp sau khi lọc 45KV</v>
          </cell>
          <cell r="D1339" t="str">
            <v>tấn</v>
          </cell>
          <cell r="H1339">
            <v>11902.5</v>
          </cell>
          <cell r="I1339">
            <v>525637.2434210527</v>
          </cell>
          <cell r="J1339">
            <v>42485.009999999995</v>
          </cell>
        </row>
        <row r="1340">
          <cell r="C1340" t="str">
            <v>Vật liệu</v>
          </cell>
          <cell r="G1340">
            <v>11902.5</v>
          </cell>
        </row>
        <row r="1341">
          <cell r="B1341">
            <v>6</v>
          </cell>
          <cell r="C1341" t="str">
            <v>Vải trắng</v>
          </cell>
          <cell r="D1341" t="str">
            <v>m</v>
          </cell>
          <cell r="E1341">
            <v>0.5</v>
          </cell>
          <cell r="F1341">
            <v>15000</v>
          </cell>
          <cell r="G1341">
            <v>7500</v>
          </cell>
        </row>
        <row r="1342">
          <cell r="B1342">
            <v>9</v>
          </cell>
          <cell r="C1342" t="str">
            <v>Giẻ lau</v>
          </cell>
          <cell r="D1342" t="str">
            <v>kg</v>
          </cell>
          <cell r="E1342">
            <v>0.3</v>
          </cell>
          <cell r="F1342">
            <v>9500</v>
          </cell>
          <cell r="G1342">
            <v>2850</v>
          </cell>
        </row>
        <row r="1343">
          <cell r="B1343">
            <v>117</v>
          </cell>
          <cell r="C1343" t="str">
            <v>Vật liệu khác</v>
          </cell>
          <cell r="D1343" t="str">
            <v>%</v>
          </cell>
          <cell r="E1343">
            <v>15</v>
          </cell>
          <cell r="G1343">
            <v>1552.5</v>
          </cell>
        </row>
        <row r="1344">
          <cell r="C1344" t="str">
            <v>Nhân công</v>
          </cell>
          <cell r="G1344">
            <v>525637.2434210527</v>
          </cell>
        </row>
        <row r="1345">
          <cell r="B1345" t="str">
            <v>NC1407</v>
          </cell>
          <cell r="C1345" t="str">
            <v>Ngày công bậc 4,0/7</v>
          </cell>
          <cell r="D1345" t="str">
            <v>công</v>
          </cell>
          <cell r="E1345">
            <v>2.7</v>
          </cell>
          <cell r="F1345">
            <v>194680.46052631579</v>
          </cell>
          <cell r="G1345">
            <v>525637.2434210527</v>
          </cell>
        </row>
        <row r="1346">
          <cell r="C1346" t="str">
            <v>Máy thi công</v>
          </cell>
          <cell r="G1346">
            <v>42485.009999999995</v>
          </cell>
        </row>
        <row r="1347">
          <cell r="B1347">
            <v>8004</v>
          </cell>
          <cell r="C1347" t="str">
            <v>Máy lọc ép</v>
          </cell>
          <cell r="D1347" t="str">
            <v>ca</v>
          </cell>
          <cell r="E1347">
            <v>0.72</v>
          </cell>
          <cell r="F1347">
            <v>24073</v>
          </cell>
          <cell r="G1347">
            <v>17332.559999999998</v>
          </cell>
        </row>
        <row r="1348">
          <cell r="B1348">
            <v>8011</v>
          </cell>
          <cell r="C1348" t="str">
            <v>Máy bơm ly tâm</v>
          </cell>
          <cell r="D1348" t="str">
            <v>ca</v>
          </cell>
          <cell r="E1348">
            <v>0.25</v>
          </cell>
          <cell r="F1348">
            <v>25135</v>
          </cell>
          <cell r="G1348">
            <v>6283.75</v>
          </cell>
        </row>
        <row r="1349">
          <cell r="B1349">
            <v>8010</v>
          </cell>
          <cell r="C1349" t="str">
            <v>Máy bơm chân không</v>
          </cell>
          <cell r="D1349" t="str">
            <v>ca</v>
          </cell>
          <cell r="E1349">
            <v>0.25</v>
          </cell>
          <cell r="F1349">
            <v>21010</v>
          </cell>
          <cell r="G1349">
            <v>5252.5</v>
          </cell>
        </row>
        <row r="1350">
          <cell r="B1350">
            <v>8005</v>
          </cell>
          <cell r="C1350" t="str">
            <v>Máy thử cao áp AI-70</v>
          </cell>
          <cell r="D1350" t="str">
            <v>ca</v>
          </cell>
          <cell r="E1350">
            <v>0.1</v>
          </cell>
          <cell r="F1350">
            <v>136162</v>
          </cell>
          <cell r="G1350">
            <v>13616.2</v>
          </cell>
        </row>
        <row r="1351">
          <cell r="A1351" t="str">
            <v>T1.2163</v>
          </cell>
          <cell r="C1351" t="str">
            <v>Lọc dầu bằng máy lọc ép; Mức điện áp trước khi lọc 35KV, mức điện áp sau khi lọc 50KV</v>
          </cell>
          <cell r="D1351" t="str">
            <v>tấn</v>
          </cell>
          <cell r="H1351">
            <v>12109.5</v>
          </cell>
          <cell r="I1351">
            <v>642445.51973684202</v>
          </cell>
          <cell r="J1351">
            <v>46778.130000000005</v>
          </cell>
        </row>
        <row r="1352">
          <cell r="C1352" t="str">
            <v>Vật liệu</v>
          </cell>
          <cell r="G1352">
            <v>12109.5</v>
          </cell>
        </row>
        <row r="1353">
          <cell r="B1353">
            <v>6</v>
          </cell>
          <cell r="C1353" t="str">
            <v>Vải trắng</v>
          </cell>
          <cell r="D1353" t="str">
            <v>m</v>
          </cell>
          <cell r="E1353">
            <v>0.5</v>
          </cell>
          <cell r="F1353">
            <v>15000</v>
          </cell>
          <cell r="G1353">
            <v>7500</v>
          </cell>
        </row>
        <row r="1354">
          <cell r="B1354">
            <v>9</v>
          </cell>
          <cell r="C1354" t="str">
            <v>Giẻ lau</v>
          </cell>
          <cell r="D1354" t="str">
            <v>kg</v>
          </cell>
          <cell r="E1354">
            <v>0.3</v>
          </cell>
          <cell r="F1354">
            <v>9500</v>
          </cell>
          <cell r="G1354">
            <v>2850</v>
          </cell>
        </row>
        <row r="1355">
          <cell r="B1355">
            <v>117</v>
          </cell>
          <cell r="C1355" t="str">
            <v>Vật liệu khác</v>
          </cell>
          <cell r="D1355" t="str">
            <v>%</v>
          </cell>
          <cell r="E1355">
            <v>17</v>
          </cell>
          <cell r="G1355">
            <v>1759.5000000000002</v>
          </cell>
        </row>
        <row r="1356">
          <cell r="C1356" t="str">
            <v>Nhân công</v>
          </cell>
          <cell r="G1356">
            <v>642445.51973684202</v>
          </cell>
        </row>
        <row r="1357">
          <cell r="B1357" t="str">
            <v>NC1407</v>
          </cell>
          <cell r="C1357" t="str">
            <v>Ngày công bậc 4,0/7</v>
          </cell>
          <cell r="D1357" t="str">
            <v>công</v>
          </cell>
          <cell r="E1357">
            <v>3.3</v>
          </cell>
          <cell r="F1357">
            <v>194680.46052631579</v>
          </cell>
          <cell r="G1357">
            <v>642445.51973684202</v>
          </cell>
        </row>
        <row r="1358">
          <cell r="C1358" t="str">
            <v>Máy thi công</v>
          </cell>
          <cell r="G1358">
            <v>46778.130000000005</v>
          </cell>
        </row>
        <row r="1359">
          <cell r="B1359">
            <v>8004</v>
          </cell>
          <cell r="C1359" t="str">
            <v>Máy lọc ép</v>
          </cell>
          <cell r="D1359" t="str">
            <v>ca</v>
          </cell>
          <cell r="E1359">
            <v>0.86</v>
          </cell>
          <cell r="F1359">
            <v>24073</v>
          </cell>
          <cell r="G1359">
            <v>20702.78</v>
          </cell>
        </row>
        <row r="1360">
          <cell r="B1360">
            <v>8011</v>
          </cell>
          <cell r="C1360" t="str">
            <v>Máy bơm ly tâm</v>
          </cell>
          <cell r="D1360" t="str">
            <v>ca</v>
          </cell>
          <cell r="E1360">
            <v>0.27</v>
          </cell>
          <cell r="F1360">
            <v>25135</v>
          </cell>
          <cell r="G1360">
            <v>6786.4500000000007</v>
          </cell>
        </row>
        <row r="1361">
          <cell r="B1361">
            <v>8010</v>
          </cell>
          <cell r="C1361" t="str">
            <v>Máy bơm chân không</v>
          </cell>
          <cell r="D1361" t="str">
            <v>ca</v>
          </cell>
          <cell r="E1361">
            <v>0.27</v>
          </cell>
          <cell r="F1361">
            <v>21010</v>
          </cell>
          <cell r="G1361">
            <v>5672.7000000000007</v>
          </cell>
        </row>
        <row r="1362">
          <cell r="B1362">
            <v>8005</v>
          </cell>
          <cell r="C1362" t="str">
            <v>Máy thử cao áp AI-70</v>
          </cell>
          <cell r="D1362" t="str">
            <v>ca</v>
          </cell>
          <cell r="E1362">
            <v>0.1</v>
          </cell>
          <cell r="F1362">
            <v>136162</v>
          </cell>
          <cell r="G1362">
            <v>13616.2</v>
          </cell>
        </row>
        <row r="1363">
          <cell r="A1363" t="str">
            <v>T1.2164</v>
          </cell>
          <cell r="C1363" t="str">
            <v>Lọc dầu bằng máy lọc ép; Mức điện áp trước khi lọc 35KV, mức điện áp sau khi lọc 60KV</v>
          </cell>
          <cell r="D1363" t="str">
            <v>tấn</v>
          </cell>
          <cell r="H1363">
            <v>12316.5</v>
          </cell>
          <cell r="I1363">
            <v>770934.62368421047</v>
          </cell>
          <cell r="J1363">
            <v>55825.819999999992</v>
          </cell>
        </row>
        <row r="1364">
          <cell r="C1364" t="str">
            <v>Vật liệu</v>
          </cell>
          <cell r="G1364">
            <v>12316.5</v>
          </cell>
        </row>
        <row r="1365">
          <cell r="B1365">
            <v>6</v>
          </cell>
          <cell r="C1365" t="str">
            <v>Vải trắng</v>
          </cell>
          <cell r="D1365" t="str">
            <v>m</v>
          </cell>
          <cell r="E1365">
            <v>0.5</v>
          </cell>
          <cell r="F1365">
            <v>15000</v>
          </cell>
          <cell r="G1365">
            <v>7500</v>
          </cell>
        </row>
        <row r="1366">
          <cell r="B1366">
            <v>9</v>
          </cell>
          <cell r="C1366" t="str">
            <v>Giẻ lau</v>
          </cell>
          <cell r="D1366" t="str">
            <v>kg</v>
          </cell>
          <cell r="E1366">
            <v>0.3</v>
          </cell>
          <cell r="F1366">
            <v>9500</v>
          </cell>
          <cell r="G1366">
            <v>2850</v>
          </cell>
        </row>
        <row r="1367">
          <cell r="B1367">
            <v>117</v>
          </cell>
          <cell r="C1367" t="str">
            <v>Vật liệu khác</v>
          </cell>
          <cell r="D1367" t="str">
            <v>%</v>
          </cell>
          <cell r="E1367">
            <v>19</v>
          </cell>
          <cell r="G1367">
            <v>1966.5</v>
          </cell>
        </row>
        <row r="1368">
          <cell r="C1368" t="str">
            <v>Nhân công</v>
          </cell>
          <cell r="G1368">
            <v>770934.62368421047</v>
          </cell>
        </row>
        <row r="1369">
          <cell r="B1369" t="str">
            <v>NC1407</v>
          </cell>
          <cell r="C1369" t="str">
            <v>Ngày công bậc 4,0/7</v>
          </cell>
          <cell r="D1369" t="str">
            <v>công</v>
          </cell>
          <cell r="E1369">
            <v>3.96</v>
          </cell>
          <cell r="F1369">
            <v>194680.46052631579</v>
          </cell>
          <cell r="G1369">
            <v>770934.62368421047</v>
          </cell>
        </row>
        <row r="1370">
          <cell r="C1370" t="str">
            <v>Máy thi công</v>
          </cell>
          <cell r="G1370">
            <v>55825.819999999992</v>
          </cell>
        </row>
        <row r="1371">
          <cell r="B1371">
            <v>8004</v>
          </cell>
          <cell r="C1371" t="str">
            <v>Máy lọc ép</v>
          </cell>
          <cell r="D1371" t="str">
            <v>ca</v>
          </cell>
          <cell r="E1371">
            <v>1.1399999999999999</v>
          </cell>
          <cell r="F1371">
            <v>24073</v>
          </cell>
          <cell r="G1371">
            <v>27443.219999999998</v>
          </cell>
        </row>
        <row r="1372">
          <cell r="B1372">
            <v>8011</v>
          </cell>
          <cell r="C1372" t="str">
            <v>Máy bơm ly tâm</v>
          </cell>
          <cell r="D1372" t="str">
            <v>ca</v>
          </cell>
          <cell r="E1372">
            <v>0.32</v>
          </cell>
          <cell r="F1372">
            <v>25135</v>
          </cell>
          <cell r="G1372">
            <v>8043.2</v>
          </cell>
        </row>
        <row r="1373">
          <cell r="B1373">
            <v>8010</v>
          </cell>
          <cell r="C1373" t="str">
            <v>Máy bơm chân không</v>
          </cell>
          <cell r="D1373" t="str">
            <v>ca</v>
          </cell>
          <cell r="E1373">
            <v>0.32</v>
          </cell>
          <cell r="F1373">
            <v>21010</v>
          </cell>
          <cell r="G1373">
            <v>6723.2</v>
          </cell>
        </row>
        <row r="1374">
          <cell r="B1374">
            <v>8005</v>
          </cell>
          <cell r="C1374" t="str">
            <v>Máy thử cao áp AI-70</v>
          </cell>
          <cell r="D1374" t="str">
            <v>ca</v>
          </cell>
          <cell r="E1374">
            <v>0.1</v>
          </cell>
          <cell r="F1374">
            <v>136162</v>
          </cell>
          <cell r="G1374">
            <v>13616.2</v>
          </cell>
        </row>
        <row r="1375">
          <cell r="A1375" t="str">
            <v>T1.2171</v>
          </cell>
          <cell r="C1375" t="str">
            <v>Lọc dầu bằng máy lọc dầu cải tạo YBM-2 (đã có máy hút chân không) hoặc tương đương; Mức điện áp trước khi lọc 35KV, mức điện áp sau khi lọc 40KV</v>
          </cell>
          <cell r="D1375" t="str">
            <v>tấn</v>
          </cell>
          <cell r="H1375">
            <v>11385</v>
          </cell>
          <cell r="I1375">
            <v>428297.01315789478</v>
          </cell>
          <cell r="J1375">
            <v>293996.28000000003</v>
          </cell>
        </row>
        <row r="1376">
          <cell r="C1376" t="str">
            <v>Vật liệu</v>
          </cell>
          <cell r="G1376">
            <v>11385</v>
          </cell>
        </row>
        <row r="1377">
          <cell r="B1377">
            <v>6</v>
          </cell>
          <cell r="C1377" t="str">
            <v>Vải trắng</v>
          </cell>
          <cell r="D1377" t="str">
            <v>m</v>
          </cell>
          <cell r="E1377">
            <v>0.5</v>
          </cell>
          <cell r="F1377">
            <v>15000</v>
          </cell>
          <cell r="G1377">
            <v>7500</v>
          </cell>
        </row>
        <row r="1378">
          <cell r="B1378">
            <v>9</v>
          </cell>
          <cell r="C1378" t="str">
            <v>Giẻ lau</v>
          </cell>
          <cell r="D1378" t="str">
            <v>kg</v>
          </cell>
          <cell r="E1378">
            <v>0.3</v>
          </cell>
          <cell r="F1378">
            <v>9500</v>
          </cell>
          <cell r="G1378">
            <v>2850</v>
          </cell>
        </row>
        <row r="1379">
          <cell r="B1379">
            <v>117</v>
          </cell>
          <cell r="C1379" t="str">
            <v>Vật liệu khác</v>
          </cell>
          <cell r="D1379" t="str">
            <v>%</v>
          </cell>
          <cell r="E1379">
            <v>10</v>
          </cell>
          <cell r="G1379">
            <v>1035</v>
          </cell>
        </row>
        <row r="1380">
          <cell r="C1380" t="str">
            <v>Nhân công</v>
          </cell>
          <cell r="G1380">
            <v>428297.01315789478</v>
          </cell>
        </row>
        <row r="1381">
          <cell r="B1381" t="str">
            <v>NC1407</v>
          </cell>
          <cell r="C1381" t="str">
            <v>Ngày công bậc 4,0/7</v>
          </cell>
          <cell r="D1381" t="str">
            <v>công</v>
          </cell>
          <cell r="E1381">
            <v>2.2000000000000002</v>
          </cell>
          <cell r="F1381">
            <v>194680.46052631579</v>
          </cell>
          <cell r="G1381">
            <v>428297.01315789478</v>
          </cell>
        </row>
        <row r="1382">
          <cell r="C1382" t="str">
            <v>Máy thi công</v>
          </cell>
          <cell r="G1382">
            <v>293996.28000000003</v>
          </cell>
        </row>
        <row r="1383">
          <cell r="B1383">
            <v>8002</v>
          </cell>
          <cell r="C1383" t="str">
            <v>Máy lọc dầu cải tạo YBM-2</v>
          </cell>
          <cell r="D1383" t="str">
            <v>ca</v>
          </cell>
          <cell r="E1383">
            <v>0.37</v>
          </cell>
          <cell r="F1383">
            <v>757784</v>
          </cell>
          <cell r="G1383">
            <v>280380.08</v>
          </cell>
        </row>
        <row r="1384">
          <cell r="B1384">
            <v>8005</v>
          </cell>
          <cell r="C1384" t="str">
            <v>Máy thử cao áp AI-70</v>
          </cell>
          <cell r="D1384" t="str">
            <v>ca</v>
          </cell>
          <cell r="E1384">
            <v>0.1</v>
          </cell>
          <cell r="F1384">
            <v>136162</v>
          </cell>
          <cell r="G1384">
            <v>13616.2</v>
          </cell>
        </row>
        <row r="1385">
          <cell r="A1385" t="str">
            <v>T1.2172</v>
          </cell>
          <cell r="C1385" t="str">
            <v>Lọc dầu bằng máy lọc dầu cải tạo YBM-2 (đã có máy hút chân không) hoặc tương đương; Mức điện áp trước khi lọc 35KV, mức điện áp sau khi lọc 45KV</v>
          </cell>
          <cell r="D1385" t="str">
            <v>tấn</v>
          </cell>
          <cell r="H1385">
            <v>11902.5</v>
          </cell>
          <cell r="I1385">
            <v>525637.2434210527</v>
          </cell>
          <cell r="J1385">
            <v>339463.32</v>
          </cell>
        </row>
        <row r="1386">
          <cell r="C1386" t="str">
            <v>Vật liệu</v>
          </cell>
          <cell r="G1386">
            <v>11902.5</v>
          </cell>
        </row>
        <row r="1387">
          <cell r="B1387">
            <v>6</v>
          </cell>
          <cell r="C1387" t="str">
            <v>Vải trắng</v>
          </cell>
          <cell r="D1387" t="str">
            <v>m</v>
          </cell>
          <cell r="E1387">
            <v>0.5</v>
          </cell>
          <cell r="F1387">
            <v>15000</v>
          </cell>
          <cell r="G1387">
            <v>7500</v>
          </cell>
        </row>
        <row r="1388">
          <cell r="B1388">
            <v>9</v>
          </cell>
          <cell r="C1388" t="str">
            <v>Giẻ lau</v>
          </cell>
          <cell r="D1388" t="str">
            <v>kg</v>
          </cell>
          <cell r="E1388">
            <v>0.3</v>
          </cell>
          <cell r="F1388">
            <v>9500</v>
          </cell>
          <cell r="G1388">
            <v>2850</v>
          </cell>
        </row>
        <row r="1389">
          <cell r="B1389">
            <v>117</v>
          </cell>
          <cell r="C1389" t="str">
            <v>Vật liệu khác</v>
          </cell>
          <cell r="D1389" t="str">
            <v>%</v>
          </cell>
          <cell r="E1389">
            <v>15</v>
          </cell>
          <cell r="G1389">
            <v>1552.5</v>
          </cell>
        </row>
        <row r="1390">
          <cell r="C1390" t="str">
            <v>Nhân công</v>
          </cell>
          <cell r="G1390">
            <v>525637.2434210527</v>
          </cell>
        </row>
        <row r="1391">
          <cell r="B1391" t="str">
            <v>NC1407</v>
          </cell>
          <cell r="C1391" t="str">
            <v>Ngày công bậc 4,0/7</v>
          </cell>
          <cell r="D1391" t="str">
            <v>công</v>
          </cell>
          <cell r="E1391">
            <v>2.7</v>
          </cell>
          <cell r="F1391">
            <v>194680.46052631579</v>
          </cell>
          <cell r="G1391">
            <v>525637.2434210527</v>
          </cell>
        </row>
        <row r="1392">
          <cell r="C1392" t="str">
            <v>Máy thi công</v>
          </cell>
          <cell r="G1392">
            <v>339463.32</v>
          </cell>
        </row>
        <row r="1393">
          <cell r="B1393">
            <v>8002</v>
          </cell>
          <cell r="C1393" t="str">
            <v>Máy lọc dầu cải tạo YBM-2</v>
          </cell>
          <cell r="D1393" t="str">
            <v>ca</v>
          </cell>
          <cell r="E1393">
            <v>0.43</v>
          </cell>
          <cell r="F1393">
            <v>757784</v>
          </cell>
          <cell r="G1393">
            <v>325847.12</v>
          </cell>
        </row>
        <row r="1394">
          <cell r="B1394">
            <v>8005</v>
          </cell>
          <cell r="C1394" t="str">
            <v>Máy thử cao áp AI-70</v>
          </cell>
          <cell r="D1394" t="str">
            <v>ca</v>
          </cell>
          <cell r="E1394">
            <v>0.1</v>
          </cell>
          <cell r="F1394">
            <v>136162</v>
          </cell>
          <cell r="G1394">
            <v>13616.2</v>
          </cell>
        </row>
        <row r="1395">
          <cell r="A1395" t="str">
            <v>T1.2173</v>
          </cell>
          <cell r="C1395" t="str">
            <v>Lọc dầu bằng máy lọc dầu cải tạo YBM-2 (đã có máy hút chân không) hoặc tương đương; Mức điện áp trước khi lọc 35KV, mức điện áp sau khi lọc 50KV</v>
          </cell>
          <cell r="D1395" t="str">
            <v>tấn</v>
          </cell>
          <cell r="H1395">
            <v>12109.5</v>
          </cell>
          <cell r="I1395">
            <v>642445.51973684202</v>
          </cell>
          <cell r="J1395">
            <v>407663.88</v>
          </cell>
        </row>
        <row r="1396">
          <cell r="C1396" t="str">
            <v>Vật liệu</v>
          </cell>
          <cell r="G1396">
            <v>12109.5</v>
          </cell>
        </row>
        <row r="1397">
          <cell r="B1397">
            <v>6</v>
          </cell>
          <cell r="C1397" t="str">
            <v>Vải trắng</v>
          </cell>
          <cell r="D1397" t="str">
            <v>m</v>
          </cell>
          <cell r="E1397">
            <v>0.5</v>
          </cell>
          <cell r="F1397">
            <v>15000</v>
          </cell>
          <cell r="G1397">
            <v>7500</v>
          </cell>
        </row>
        <row r="1398">
          <cell r="B1398">
            <v>9</v>
          </cell>
          <cell r="C1398" t="str">
            <v>Giẻ lau</v>
          </cell>
          <cell r="D1398" t="str">
            <v>kg</v>
          </cell>
          <cell r="E1398">
            <v>0.3</v>
          </cell>
          <cell r="F1398">
            <v>9500</v>
          </cell>
          <cell r="G1398">
            <v>2850</v>
          </cell>
        </row>
        <row r="1399">
          <cell r="B1399">
            <v>117</v>
          </cell>
          <cell r="C1399" t="str">
            <v>Vật liệu khác</v>
          </cell>
          <cell r="D1399" t="str">
            <v>%</v>
          </cell>
          <cell r="E1399">
            <v>17</v>
          </cell>
          <cell r="G1399">
            <v>1759.5000000000002</v>
          </cell>
        </row>
        <row r="1400">
          <cell r="C1400" t="str">
            <v>Nhân công</v>
          </cell>
          <cell r="G1400">
            <v>642445.51973684202</v>
          </cell>
        </row>
        <row r="1401">
          <cell r="B1401" t="str">
            <v>NC1407</v>
          </cell>
          <cell r="C1401" t="str">
            <v>Ngày công bậc 4,0/7</v>
          </cell>
          <cell r="D1401" t="str">
            <v>công</v>
          </cell>
          <cell r="E1401">
            <v>3.3</v>
          </cell>
          <cell r="F1401">
            <v>194680.46052631579</v>
          </cell>
          <cell r="G1401">
            <v>642445.51973684202</v>
          </cell>
        </row>
        <row r="1402">
          <cell r="C1402" t="str">
            <v>Máy thi công</v>
          </cell>
          <cell r="G1402">
            <v>407663.88</v>
          </cell>
        </row>
        <row r="1403">
          <cell r="B1403">
            <v>8002</v>
          </cell>
          <cell r="C1403" t="str">
            <v>Máy lọc dầu cải tạo YBM-2</v>
          </cell>
          <cell r="D1403" t="str">
            <v>ca</v>
          </cell>
          <cell r="E1403">
            <v>0.52</v>
          </cell>
          <cell r="F1403">
            <v>757784</v>
          </cell>
          <cell r="G1403">
            <v>394047.68</v>
          </cell>
        </row>
        <row r="1404">
          <cell r="B1404">
            <v>8005</v>
          </cell>
          <cell r="C1404" t="str">
            <v>Máy thử cao áp AI-70</v>
          </cell>
          <cell r="D1404" t="str">
            <v>ca</v>
          </cell>
          <cell r="E1404">
            <v>0.1</v>
          </cell>
          <cell r="F1404">
            <v>136162</v>
          </cell>
          <cell r="G1404">
            <v>13616.2</v>
          </cell>
        </row>
        <row r="1405">
          <cell r="A1405" t="str">
            <v>T1.2174</v>
          </cell>
          <cell r="C1405" t="str">
            <v>Lọc dầu bằng máy lọc dầu cải tạo YBM-2 (đã có máy hút chân không) hoặc tương đương; Mức điện áp trước khi lọc 35KV, mức điện áp sau khi lọc 60KV</v>
          </cell>
          <cell r="D1405" t="str">
            <v>tấn</v>
          </cell>
          <cell r="H1405">
            <v>12316.5</v>
          </cell>
          <cell r="I1405">
            <v>770934.62368421047</v>
          </cell>
          <cell r="J1405">
            <v>528909.32000000007</v>
          </cell>
        </row>
        <row r="1406">
          <cell r="C1406" t="str">
            <v>Vật liệu</v>
          </cell>
          <cell r="G1406">
            <v>12316.5</v>
          </cell>
        </row>
        <row r="1407">
          <cell r="B1407">
            <v>6</v>
          </cell>
          <cell r="C1407" t="str">
            <v>Vải trắng</v>
          </cell>
          <cell r="D1407" t="str">
            <v>m</v>
          </cell>
          <cell r="E1407">
            <v>0.5</v>
          </cell>
          <cell r="F1407">
            <v>15000</v>
          </cell>
          <cell r="G1407">
            <v>7500</v>
          </cell>
        </row>
        <row r="1408">
          <cell r="B1408">
            <v>9</v>
          </cell>
          <cell r="C1408" t="str">
            <v>Giẻ lau</v>
          </cell>
          <cell r="D1408" t="str">
            <v>kg</v>
          </cell>
          <cell r="E1408">
            <v>0.3</v>
          </cell>
          <cell r="F1408">
            <v>9500</v>
          </cell>
          <cell r="G1408">
            <v>2850</v>
          </cell>
        </row>
        <row r="1409">
          <cell r="B1409">
            <v>117</v>
          </cell>
          <cell r="C1409" t="str">
            <v>Vật liệu khác</v>
          </cell>
          <cell r="D1409" t="str">
            <v>%</v>
          </cell>
          <cell r="E1409">
            <v>19</v>
          </cell>
          <cell r="G1409">
            <v>1966.5</v>
          </cell>
        </row>
        <row r="1410">
          <cell r="C1410" t="str">
            <v>Nhân công</v>
          </cell>
          <cell r="G1410">
            <v>770934.62368421047</v>
          </cell>
        </row>
        <row r="1411">
          <cell r="B1411" t="str">
            <v>NC1407</v>
          </cell>
          <cell r="C1411" t="str">
            <v>Ngày công bậc 4,0/7</v>
          </cell>
          <cell r="D1411" t="str">
            <v>công</v>
          </cell>
          <cell r="E1411">
            <v>3.96</v>
          </cell>
          <cell r="F1411">
            <v>194680.46052631579</v>
          </cell>
          <cell r="G1411">
            <v>770934.62368421047</v>
          </cell>
        </row>
        <row r="1412">
          <cell r="C1412" t="str">
            <v>Máy thi công</v>
          </cell>
          <cell r="G1412">
            <v>528909.32000000007</v>
          </cell>
        </row>
        <row r="1413">
          <cell r="B1413">
            <v>8002</v>
          </cell>
          <cell r="C1413" t="str">
            <v>Máy lọc dầu cải tạo YBM-2</v>
          </cell>
          <cell r="D1413" t="str">
            <v>ca</v>
          </cell>
          <cell r="E1413">
            <v>0.68</v>
          </cell>
          <cell r="F1413">
            <v>757784</v>
          </cell>
          <cell r="G1413">
            <v>515293.12000000005</v>
          </cell>
        </row>
        <row r="1414">
          <cell r="B1414">
            <v>8005</v>
          </cell>
          <cell r="C1414" t="str">
            <v>Máy thử cao áp AI-70</v>
          </cell>
          <cell r="D1414" t="str">
            <v>ca</v>
          </cell>
          <cell r="E1414">
            <v>0.1</v>
          </cell>
          <cell r="F1414">
            <v>136162</v>
          </cell>
          <cell r="G1414">
            <v>13616.2</v>
          </cell>
        </row>
        <row r="1415">
          <cell r="A1415" t="str">
            <v>T1.2181</v>
          </cell>
          <cell r="C1415" t="str">
            <v>Lọc dầu bằng máy lọc dầu hợp bộ KATO KLVC-4AXVSO hoặc tương đương; Mức điện áp trước khi lọc 35KV, mức điện áp sau khi lọc 40KV</v>
          </cell>
          <cell r="D1415" t="str">
            <v>tấn</v>
          </cell>
          <cell r="H1415">
            <v>11385</v>
          </cell>
          <cell r="I1415">
            <v>428297.01315789478</v>
          </cell>
          <cell r="J1415">
            <v>285144.12700000004</v>
          </cell>
        </row>
        <row r="1416">
          <cell r="C1416" t="str">
            <v>Vật liệu</v>
          </cell>
          <cell r="G1416">
            <v>11385</v>
          </cell>
        </row>
        <row r="1417">
          <cell r="B1417">
            <v>6</v>
          </cell>
          <cell r="C1417" t="str">
            <v>Vải trắng</v>
          </cell>
          <cell r="D1417" t="str">
            <v>m</v>
          </cell>
          <cell r="E1417">
            <v>0.5</v>
          </cell>
          <cell r="F1417">
            <v>15000</v>
          </cell>
          <cell r="G1417">
            <v>7500</v>
          </cell>
        </row>
        <row r="1418">
          <cell r="B1418">
            <v>9</v>
          </cell>
          <cell r="C1418" t="str">
            <v>Giẻ lau</v>
          </cell>
          <cell r="D1418" t="str">
            <v>kg</v>
          </cell>
          <cell r="E1418">
            <v>0.3</v>
          </cell>
          <cell r="F1418">
            <v>9500</v>
          </cell>
          <cell r="G1418">
            <v>2850</v>
          </cell>
        </row>
        <row r="1419">
          <cell r="B1419">
            <v>117</v>
          </cell>
          <cell r="C1419" t="str">
            <v>Vật liệu khác</v>
          </cell>
          <cell r="D1419" t="str">
            <v>%</v>
          </cell>
          <cell r="E1419">
            <v>10</v>
          </cell>
          <cell r="G1419">
            <v>1035</v>
          </cell>
        </row>
        <row r="1420">
          <cell r="C1420" t="str">
            <v>Nhân công</v>
          </cell>
          <cell r="G1420">
            <v>428297.01315789478</v>
          </cell>
        </row>
        <row r="1421">
          <cell r="B1421" t="str">
            <v>NC1407</v>
          </cell>
          <cell r="C1421" t="str">
            <v>Ngày công bậc 4,0/7</v>
          </cell>
          <cell r="D1421" t="str">
            <v>công</v>
          </cell>
          <cell r="E1421">
            <v>2.2000000000000002</v>
          </cell>
          <cell r="F1421">
            <v>194680.46052631579</v>
          </cell>
          <cell r="G1421">
            <v>428297.01315789478</v>
          </cell>
        </row>
        <row r="1422">
          <cell r="C1422" t="str">
            <v>Máy thi công</v>
          </cell>
          <cell r="G1422">
            <v>285144.12700000004</v>
          </cell>
        </row>
        <row r="1423">
          <cell r="B1423">
            <v>8003</v>
          </cell>
          <cell r="C1423" t="str">
            <v>Máy lọc dầu hợp bộ KATO KLVC-4AXVSO</v>
          </cell>
          <cell r="D1423" t="str">
            <v>ca</v>
          </cell>
          <cell r="E1423">
            <v>0.187</v>
          </cell>
          <cell r="F1423">
            <v>1452021</v>
          </cell>
          <cell r="G1423">
            <v>271527.92700000003</v>
          </cell>
        </row>
        <row r="1424">
          <cell r="B1424">
            <v>8005</v>
          </cell>
          <cell r="C1424" t="str">
            <v>Máy thử cao áp AI-70</v>
          </cell>
          <cell r="D1424" t="str">
            <v>ca</v>
          </cell>
          <cell r="E1424">
            <v>0.1</v>
          </cell>
          <cell r="F1424">
            <v>136162</v>
          </cell>
          <cell r="G1424">
            <v>13616.2</v>
          </cell>
        </row>
        <row r="1425">
          <cell r="A1425" t="str">
            <v>T1.2182</v>
          </cell>
          <cell r="C1425" t="str">
            <v>Lọc dầu bằng máy lọc dầu hợp bộ KATO KLVC-4AXVSO hoặc tương đương; Mức điện áp trước khi lọc 35KV, mức điện áp sau khi lọc 45KV</v>
          </cell>
          <cell r="D1425" t="str">
            <v>tấn</v>
          </cell>
          <cell r="H1425">
            <v>11902.5</v>
          </cell>
          <cell r="I1425">
            <v>525637.2434210527</v>
          </cell>
          <cell r="J1425">
            <v>353389.11400000006</v>
          </cell>
        </row>
        <row r="1426">
          <cell r="C1426" t="str">
            <v>Vật liệu</v>
          </cell>
          <cell r="G1426">
            <v>11902.5</v>
          </cell>
        </row>
        <row r="1427">
          <cell r="B1427">
            <v>6</v>
          </cell>
          <cell r="C1427" t="str">
            <v>Vải trắng</v>
          </cell>
          <cell r="D1427" t="str">
            <v>m</v>
          </cell>
          <cell r="E1427">
            <v>0.5</v>
          </cell>
          <cell r="F1427">
            <v>15000</v>
          </cell>
          <cell r="G1427">
            <v>7500</v>
          </cell>
        </row>
        <row r="1428">
          <cell r="B1428">
            <v>9</v>
          </cell>
          <cell r="C1428" t="str">
            <v>Giẻ lau</v>
          </cell>
          <cell r="D1428" t="str">
            <v>kg</v>
          </cell>
          <cell r="E1428">
            <v>0.3</v>
          </cell>
          <cell r="F1428">
            <v>9500</v>
          </cell>
          <cell r="G1428">
            <v>2850</v>
          </cell>
        </row>
        <row r="1429">
          <cell r="B1429">
            <v>117</v>
          </cell>
          <cell r="C1429" t="str">
            <v>Vật liệu khác</v>
          </cell>
          <cell r="D1429" t="str">
            <v>%</v>
          </cell>
          <cell r="E1429">
            <v>15</v>
          </cell>
          <cell r="G1429">
            <v>1552.5</v>
          </cell>
        </row>
        <row r="1430">
          <cell r="C1430" t="str">
            <v>Nhân công</v>
          </cell>
          <cell r="G1430">
            <v>525637.2434210527</v>
          </cell>
        </row>
        <row r="1431">
          <cell r="B1431" t="str">
            <v>NC1407</v>
          </cell>
          <cell r="C1431" t="str">
            <v>Ngày công bậc 4,0/7</v>
          </cell>
          <cell r="D1431" t="str">
            <v>công</v>
          </cell>
          <cell r="E1431">
            <v>2.7</v>
          </cell>
          <cell r="F1431">
            <v>194680.46052631579</v>
          </cell>
          <cell r="G1431">
            <v>525637.2434210527</v>
          </cell>
        </row>
        <row r="1432">
          <cell r="C1432" t="str">
            <v>Máy thi công</v>
          </cell>
          <cell r="G1432">
            <v>353389.11400000006</v>
          </cell>
        </row>
        <row r="1433">
          <cell r="B1433">
            <v>8003</v>
          </cell>
          <cell r="C1433" t="str">
            <v>Máy lọc dầu hợp bộ KATO KLVC-4AXVSO</v>
          </cell>
          <cell r="D1433" t="str">
            <v>ca</v>
          </cell>
          <cell r="E1433">
            <v>0.23400000000000001</v>
          </cell>
          <cell r="F1433">
            <v>1452021</v>
          </cell>
          <cell r="G1433">
            <v>339772.91400000005</v>
          </cell>
        </row>
        <row r="1434">
          <cell r="B1434">
            <v>8005</v>
          </cell>
          <cell r="C1434" t="str">
            <v>Máy thử cao áp AI-70</v>
          </cell>
          <cell r="D1434" t="str">
            <v>ca</v>
          </cell>
          <cell r="E1434">
            <v>0.1</v>
          </cell>
          <cell r="F1434">
            <v>136162</v>
          </cell>
          <cell r="G1434">
            <v>13616.2</v>
          </cell>
        </row>
        <row r="1435">
          <cell r="A1435" t="str">
            <v>T1.2183</v>
          </cell>
          <cell r="C1435" t="str">
            <v>Lọc dầu bằng máy lọc dầu hợp bộ KATO KLVC-4AXVSO hoặc tương đương; Mức điện áp trước khi lọc 35KV, mức điện áp sau khi lọc 50KV</v>
          </cell>
          <cell r="D1435" t="str">
            <v>tấn</v>
          </cell>
          <cell r="H1435">
            <v>12109.5</v>
          </cell>
          <cell r="I1435">
            <v>642445.51973684202</v>
          </cell>
          <cell r="J1435">
            <v>427442.185</v>
          </cell>
        </row>
        <row r="1436">
          <cell r="C1436" t="str">
            <v>Vật liệu</v>
          </cell>
          <cell r="G1436">
            <v>12109.5</v>
          </cell>
        </row>
        <row r="1437">
          <cell r="B1437">
            <v>6</v>
          </cell>
          <cell r="C1437" t="str">
            <v>Vải trắng</v>
          </cell>
          <cell r="D1437" t="str">
            <v>m</v>
          </cell>
          <cell r="E1437">
            <v>0.5</v>
          </cell>
          <cell r="F1437">
            <v>15000</v>
          </cell>
          <cell r="G1437">
            <v>7500</v>
          </cell>
        </row>
        <row r="1438">
          <cell r="B1438">
            <v>9</v>
          </cell>
          <cell r="C1438" t="str">
            <v>Giẻ lau</v>
          </cell>
          <cell r="D1438" t="str">
            <v>kg</v>
          </cell>
          <cell r="E1438">
            <v>0.3</v>
          </cell>
          <cell r="F1438">
            <v>9500</v>
          </cell>
          <cell r="G1438">
            <v>2850</v>
          </cell>
        </row>
        <row r="1439">
          <cell r="B1439">
            <v>117</v>
          </cell>
          <cell r="C1439" t="str">
            <v>Vật liệu khác</v>
          </cell>
          <cell r="D1439" t="str">
            <v>%</v>
          </cell>
          <cell r="E1439">
            <v>17</v>
          </cell>
          <cell r="G1439">
            <v>1759.5000000000002</v>
          </cell>
        </row>
        <row r="1440">
          <cell r="C1440" t="str">
            <v>Nhân công</v>
          </cell>
          <cell r="G1440">
            <v>642445.51973684202</v>
          </cell>
        </row>
        <row r="1441">
          <cell r="B1441" t="str">
            <v>NC1407</v>
          </cell>
          <cell r="C1441" t="str">
            <v>Ngày công bậc 4,0/7</v>
          </cell>
          <cell r="D1441" t="str">
            <v>công</v>
          </cell>
          <cell r="E1441">
            <v>3.3</v>
          </cell>
          <cell r="F1441">
            <v>194680.46052631579</v>
          </cell>
          <cell r="G1441">
            <v>642445.51973684202</v>
          </cell>
        </row>
        <row r="1442">
          <cell r="C1442" t="str">
            <v>Máy thi công</v>
          </cell>
          <cell r="G1442">
            <v>427442.185</v>
          </cell>
        </row>
        <row r="1443">
          <cell r="B1443">
            <v>8003</v>
          </cell>
          <cell r="C1443" t="str">
            <v>Máy lọc dầu hợp bộ KATO KLVC-4AXVSO</v>
          </cell>
          <cell r="D1443" t="str">
            <v>ca</v>
          </cell>
          <cell r="E1443">
            <v>0.28499999999999998</v>
          </cell>
          <cell r="F1443">
            <v>1452021</v>
          </cell>
          <cell r="G1443">
            <v>413825.98499999999</v>
          </cell>
        </row>
        <row r="1444">
          <cell r="B1444">
            <v>8005</v>
          </cell>
          <cell r="C1444" t="str">
            <v>Máy thử cao áp AI-70</v>
          </cell>
          <cell r="D1444" t="str">
            <v>ca</v>
          </cell>
          <cell r="E1444">
            <v>0.1</v>
          </cell>
          <cell r="F1444">
            <v>136162</v>
          </cell>
          <cell r="G1444">
            <v>13616.2</v>
          </cell>
        </row>
        <row r="1445">
          <cell r="A1445" t="str">
            <v>T1.2184</v>
          </cell>
          <cell r="C1445" t="str">
            <v>Lọc dầu bằng máy lọc dầu hợp bộ KATO KLVC-4AXVSO hoặc tương đương; Mức điện áp trước khi lọc 35KV, mức điện áp sau khi lọc 60KV</v>
          </cell>
          <cell r="D1445" t="str">
            <v>tấn</v>
          </cell>
          <cell r="H1445">
            <v>12316.5</v>
          </cell>
          <cell r="I1445">
            <v>770934.62368421047</v>
          </cell>
          <cell r="J1445">
            <v>507303.34</v>
          </cell>
        </row>
        <row r="1446">
          <cell r="C1446" t="str">
            <v>Vật liệu</v>
          </cell>
          <cell r="G1446">
            <v>12316.5</v>
          </cell>
        </row>
        <row r="1447">
          <cell r="B1447">
            <v>6</v>
          </cell>
          <cell r="C1447" t="str">
            <v>Vải trắng</v>
          </cell>
          <cell r="D1447" t="str">
            <v>m</v>
          </cell>
          <cell r="E1447">
            <v>0.5</v>
          </cell>
          <cell r="F1447">
            <v>15000</v>
          </cell>
          <cell r="G1447">
            <v>7500</v>
          </cell>
        </row>
        <row r="1448">
          <cell r="B1448">
            <v>9</v>
          </cell>
          <cell r="C1448" t="str">
            <v>Giẻ lau</v>
          </cell>
          <cell r="D1448" t="str">
            <v>kg</v>
          </cell>
          <cell r="E1448">
            <v>0.3</v>
          </cell>
          <cell r="F1448">
            <v>9500</v>
          </cell>
          <cell r="G1448">
            <v>2850</v>
          </cell>
        </row>
        <row r="1449">
          <cell r="B1449">
            <v>117</v>
          </cell>
          <cell r="C1449" t="str">
            <v>Vật liệu khác</v>
          </cell>
          <cell r="D1449" t="str">
            <v>%</v>
          </cell>
          <cell r="E1449">
            <v>19</v>
          </cell>
          <cell r="G1449">
            <v>1966.5</v>
          </cell>
        </row>
        <row r="1450">
          <cell r="C1450" t="str">
            <v>Nhân công</v>
          </cell>
          <cell r="G1450">
            <v>770934.62368421047</v>
          </cell>
        </row>
        <row r="1451">
          <cell r="B1451" t="str">
            <v>NC1407</v>
          </cell>
          <cell r="C1451" t="str">
            <v>Ngày công bậc 4,0/7</v>
          </cell>
          <cell r="D1451" t="str">
            <v>công</v>
          </cell>
          <cell r="E1451">
            <v>3.96</v>
          </cell>
          <cell r="F1451">
            <v>194680.46052631579</v>
          </cell>
          <cell r="G1451">
            <v>770934.62368421047</v>
          </cell>
        </row>
        <row r="1452">
          <cell r="C1452" t="str">
            <v>Máy thi công</v>
          </cell>
          <cell r="G1452">
            <v>507303.34</v>
          </cell>
        </row>
        <row r="1453">
          <cell r="B1453">
            <v>8003</v>
          </cell>
          <cell r="C1453" t="str">
            <v>Máy lọc dầu hợp bộ KATO KLVC-4AXVSO</v>
          </cell>
          <cell r="D1453" t="str">
            <v>ca</v>
          </cell>
          <cell r="E1453">
            <v>0.34</v>
          </cell>
          <cell r="F1453">
            <v>1452021</v>
          </cell>
          <cell r="G1453">
            <v>493687.14</v>
          </cell>
        </row>
        <row r="1454">
          <cell r="B1454">
            <v>8005</v>
          </cell>
          <cell r="C1454" t="str">
            <v>Máy thử cao áp AI-70</v>
          </cell>
          <cell r="D1454" t="str">
            <v>ca</v>
          </cell>
          <cell r="E1454">
            <v>0.1</v>
          </cell>
          <cell r="F1454">
            <v>136162</v>
          </cell>
          <cell r="G1454">
            <v>13616.2</v>
          </cell>
        </row>
        <row r="1455">
          <cell r="A1455" t="str">
            <v>T1.2191</v>
          </cell>
          <cell r="C1455" t="str">
            <v>Lọc dầu bằng máy lọc ép; Mức điện áp trước khi lọc40KV, mức điện áp sau khi lọc 45KV</v>
          </cell>
          <cell r="D1455" t="str">
            <v>tấn</v>
          </cell>
          <cell r="H1455">
            <v>11385</v>
          </cell>
          <cell r="I1455">
            <v>389360.92105263157</v>
          </cell>
          <cell r="J1455">
            <v>37991.179999999993</v>
          </cell>
        </row>
        <row r="1456">
          <cell r="C1456" t="str">
            <v>Vật liệu</v>
          </cell>
          <cell r="G1456">
            <v>11385</v>
          </cell>
        </row>
        <row r="1457">
          <cell r="B1457">
            <v>6</v>
          </cell>
          <cell r="C1457" t="str">
            <v>Vải trắng</v>
          </cell>
          <cell r="D1457" t="str">
            <v>m</v>
          </cell>
          <cell r="E1457">
            <v>0.5</v>
          </cell>
          <cell r="F1457">
            <v>15000</v>
          </cell>
          <cell r="G1457">
            <v>7500</v>
          </cell>
        </row>
        <row r="1458">
          <cell r="B1458">
            <v>9</v>
          </cell>
          <cell r="C1458" t="str">
            <v>Giẻ lau</v>
          </cell>
          <cell r="D1458" t="str">
            <v>kg</v>
          </cell>
          <cell r="E1458">
            <v>0.3</v>
          </cell>
          <cell r="F1458">
            <v>9500</v>
          </cell>
          <cell r="G1458">
            <v>2850</v>
          </cell>
        </row>
        <row r="1459">
          <cell r="B1459">
            <v>117</v>
          </cell>
          <cell r="C1459" t="str">
            <v>Vật liệu khác</v>
          </cell>
          <cell r="D1459" t="str">
            <v>%</v>
          </cell>
          <cell r="E1459">
            <v>10</v>
          </cell>
          <cell r="G1459">
            <v>1035</v>
          </cell>
        </row>
        <row r="1460">
          <cell r="C1460" t="str">
            <v>Nhân công</v>
          </cell>
          <cell r="G1460">
            <v>389360.92105263157</v>
          </cell>
        </row>
        <row r="1461">
          <cell r="B1461" t="str">
            <v>NC1407</v>
          </cell>
          <cell r="C1461" t="str">
            <v>Ngày công bậc 4,0/7</v>
          </cell>
          <cell r="D1461" t="str">
            <v>công</v>
          </cell>
          <cell r="E1461">
            <v>2</v>
          </cell>
          <cell r="F1461">
            <v>194680.46052631579</v>
          </cell>
          <cell r="G1461">
            <v>389360.92105263157</v>
          </cell>
        </row>
        <row r="1462">
          <cell r="C1462" t="str">
            <v>Máy thi công</v>
          </cell>
          <cell r="G1462">
            <v>37991.179999999993</v>
          </cell>
        </row>
        <row r="1463">
          <cell r="B1463">
            <v>8004</v>
          </cell>
          <cell r="C1463" t="str">
            <v>Máy lọc ép</v>
          </cell>
          <cell r="D1463" t="str">
            <v>ca</v>
          </cell>
          <cell r="E1463">
            <v>0.61</v>
          </cell>
          <cell r="F1463">
            <v>24073</v>
          </cell>
          <cell r="G1463">
            <v>14684.529999999999</v>
          </cell>
        </row>
        <row r="1464">
          <cell r="B1464">
            <v>8011</v>
          </cell>
          <cell r="C1464" t="str">
            <v>Máy bơm ly tâm</v>
          </cell>
          <cell r="D1464" t="str">
            <v>ca</v>
          </cell>
          <cell r="E1464">
            <v>0.21</v>
          </cell>
          <cell r="F1464">
            <v>25135</v>
          </cell>
          <cell r="G1464">
            <v>5278.3499999999995</v>
          </cell>
        </row>
        <row r="1465">
          <cell r="B1465">
            <v>8010</v>
          </cell>
          <cell r="C1465" t="str">
            <v>Máy bơm chân không</v>
          </cell>
          <cell r="D1465" t="str">
            <v>ca</v>
          </cell>
          <cell r="E1465">
            <v>0.21</v>
          </cell>
          <cell r="F1465">
            <v>21010</v>
          </cell>
          <cell r="G1465">
            <v>4412.0999999999995</v>
          </cell>
        </row>
        <row r="1466">
          <cell r="B1466">
            <v>8005</v>
          </cell>
          <cell r="C1466" t="str">
            <v>Máy thử cao áp AI-70</v>
          </cell>
          <cell r="D1466" t="str">
            <v>ca</v>
          </cell>
          <cell r="E1466">
            <v>0.1</v>
          </cell>
          <cell r="F1466">
            <v>136162</v>
          </cell>
          <cell r="G1466">
            <v>13616.2</v>
          </cell>
        </row>
        <row r="1467">
          <cell r="A1467" t="str">
            <v>T1.2192</v>
          </cell>
          <cell r="C1467" t="str">
            <v>Lọc dầu bằng máy lọc ép; Mức điện áp trước khi lọc40KV, mức điện áp sau khi lọc 50KV</v>
          </cell>
          <cell r="D1467" t="str">
            <v>tấn</v>
          </cell>
          <cell r="H1467">
            <v>11902.5</v>
          </cell>
          <cell r="I1467">
            <v>486701.15131578944</v>
          </cell>
          <cell r="J1467">
            <v>41562.11</v>
          </cell>
        </row>
        <row r="1468">
          <cell r="C1468" t="str">
            <v>Vật liệu</v>
          </cell>
          <cell r="G1468">
            <v>11902.5</v>
          </cell>
        </row>
        <row r="1469">
          <cell r="B1469">
            <v>6</v>
          </cell>
          <cell r="C1469" t="str">
            <v>Vải trắng</v>
          </cell>
          <cell r="D1469" t="str">
            <v>m</v>
          </cell>
          <cell r="E1469">
            <v>0.5</v>
          </cell>
          <cell r="F1469">
            <v>15000</v>
          </cell>
          <cell r="G1469">
            <v>7500</v>
          </cell>
        </row>
        <row r="1470">
          <cell r="B1470">
            <v>9</v>
          </cell>
          <cell r="C1470" t="str">
            <v>Giẻ lau</v>
          </cell>
          <cell r="D1470" t="str">
            <v>kg</v>
          </cell>
          <cell r="E1470">
            <v>0.3</v>
          </cell>
          <cell r="F1470">
            <v>9500</v>
          </cell>
          <cell r="G1470">
            <v>2850</v>
          </cell>
        </row>
        <row r="1471">
          <cell r="B1471">
            <v>117</v>
          </cell>
          <cell r="C1471" t="str">
            <v>Vật liệu khác</v>
          </cell>
          <cell r="D1471" t="str">
            <v>%</v>
          </cell>
          <cell r="E1471">
            <v>15</v>
          </cell>
          <cell r="G1471">
            <v>1552.5</v>
          </cell>
        </row>
        <row r="1472">
          <cell r="C1472" t="str">
            <v>Nhân công</v>
          </cell>
          <cell r="G1472">
            <v>486701.15131578944</v>
          </cell>
        </row>
        <row r="1473">
          <cell r="B1473" t="str">
            <v>NC1407</v>
          </cell>
          <cell r="C1473" t="str">
            <v>Ngày công bậc 4,0/7</v>
          </cell>
          <cell r="D1473" t="str">
            <v>công</v>
          </cell>
          <cell r="E1473">
            <v>2.5</v>
          </cell>
          <cell r="F1473">
            <v>194680.46052631579</v>
          </cell>
          <cell r="G1473">
            <v>486701.15131578944</v>
          </cell>
        </row>
        <row r="1474">
          <cell r="C1474" t="str">
            <v>Máy thi công</v>
          </cell>
          <cell r="G1474">
            <v>41562.11</v>
          </cell>
        </row>
        <row r="1475">
          <cell r="B1475">
            <v>8004</v>
          </cell>
          <cell r="C1475" t="str">
            <v>Máy lọc ép</v>
          </cell>
          <cell r="D1475" t="str">
            <v>ca</v>
          </cell>
          <cell r="E1475">
            <v>0.72</v>
          </cell>
          <cell r="F1475">
            <v>24073</v>
          </cell>
          <cell r="G1475">
            <v>17332.559999999998</v>
          </cell>
        </row>
        <row r="1476">
          <cell r="B1476">
            <v>8011</v>
          </cell>
          <cell r="C1476" t="str">
            <v>Máy bơm ly tâm</v>
          </cell>
          <cell r="D1476" t="str">
            <v>ca</v>
          </cell>
          <cell r="E1476">
            <v>0.23</v>
          </cell>
          <cell r="F1476">
            <v>25135</v>
          </cell>
          <cell r="G1476">
            <v>5781.05</v>
          </cell>
        </row>
        <row r="1477">
          <cell r="B1477">
            <v>8010</v>
          </cell>
          <cell r="C1477" t="str">
            <v>Máy bơm chân không</v>
          </cell>
          <cell r="D1477" t="str">
            <v>ca</v>
          </cell>
          <cell r="E1477">
            <v>0.23</v>
          </cell>
          <cell r="F1477">
            <v>21010</v>
          </cell>
          <cell r="G1477">
            <v>4832.3</v>
          </cell>
        </row>
        <row r="1478">
          <cell r="B1478">
            <v>8005</v>
          </cell>
          <cell r="C1478" t="str">
            <v>Máy thử cao áp AI-70</v>
          </cell>
          <cell r="D1478" t="str">
            <v>ca</v>
          </cell>
          <cell r="E1478">
            <v>0.1</v>
          </cell>
          <cell r="F1478">
            <v>136162</v>
          </cell>
          <cell r="G1478">
            <v>13616.2</v>
          </cell>
        </row>
        <row r="1479">
          <cell r="A1479" t="str">
            <v>T1.2193</v>
          </cell>
          <cell r="C1479" t="str">
            <v>Lọc dầu bằng máy lọc ép; Mức điện áp trước khi lọc40KV, mức điện áp sau khi lọc 55KV</v>
          </cell>
          <cell r="D1479" t="str">
            <v>tấn</v>
          </cell>
          <cell r="H1479">
            <v>12109.5</v>
          </cell>
          <cell r="I1479">
            <v>603509.42763157899</v>
          </cell>
          <cell r="J1479">
            <v>46778.130000000005</v>
          </cell>
        </row>
        <row r="1480">
          <cell r="C1480" t="str">
            <v>Vật liệu</v>
          </cell>
          <cell r="G1480">
            <v>12109.5</v>
          </cell>
        </row>
        <row r="1481">
          <cell r="B1481">
            <v>6</v>
          </cell>
          <cell r="C1481" t="str">
            <v>Vải trắng</v>
          </cell>
          <cell r="D1481" t="str">
            <v>m</v>
          </cell>
          <cell r="E1481">
            <v>0.5</v>
          </cell>
          <cell r="F1481">
            <v>15000</v>
          </cell>
          <cell r="G1481">
            <v>7500</v>
          </cell>
        </row>
        <row r="1482">
          <cell r="B1482">
            <v>9</v>
          </cell>
          <cell r="C1482" t="str">
            <v>Giẻ lau</v>
          </cell>
          <cell r="D1482" t="str">
            <v>kg</v>
          </cell>
          <cell r="E1482">
            <v>0.3</v>
          </cell>
          <cell r="F1482">
            <v>9500</v>
          </cell>
          <cell r="G1482">
            <v>2850</v>
          </cell>
        </row>
        <row r="1483">
          <cell r="C1483" t="str">
            <v>Vật liệu khác</v>
          </cell>
          <cell r="D1483" t="str">
            <v>%</v>
          </cell>
          <cell r="E1483">
            <v>17</v>
          </cell>
          <cell r="G1483">
            <v>1759.5000000000002</v>
          </cell>
        </row>
        <row r="1484">
          <cell r="C1484" t="str">
            <v>Nhân công</v>
          </cell>
          <cell r="G1484">
            <v>603509.42763157899</v>
          </cell>
        </row>
        <row r="1485">
          <cell r="B1485" t="str">
            <v>NC1407</v>
          </cell>
          <cell r="C1485" t="str">
            <v>Ngày công bậc 4,0/7</v>
          </cell>
          <cell r="D1485" t="str">
            <v>công</v>
          </cell>
          <cell r="E1485">
            <v>3.1</v>
          </cell>
          <cell r="F1485">
            <v>194680.46052631579</v>
          </cell>
          <cell r="G1485">
            <v>603509.42763157899</v>
          </cell>
        </row>
        <row r="1486">
          <cell r="C1486" t="str">
            <v>Máy thi công</v>
          </cell>
          <cell r="G1486">
            <v>46778.130000000005</v>
          </cell>
        </row>
        <row r="1487">
          <cell r="B1487">
            <v>8004</v>
          </cell>
          <cell r="C1487" t="str">
            <v>Máy lọc ép</v>
          </cell>
          <cell r="D1487" t="str">
            <v>ca</v>
          </cell>
          <cell r="E1487">
            <v>0.86</v>
          </cell>
          <cell r="F1487">
            <v>24073</v>
          </cell>
          <cell r="G1487">
            <v>20702.78</v>
          </cell>
        </row>
        <row r="1488">
          <cell r="B1488">
            <v>8011</v>
          </cell>
          <cell r="C1488" t="str">
            <v>Máy bơm ly tâm</v>
          </cell>
          <cell r="D1488" t="str">
            <v>ca</v>
          </cell>
          <cell r="E1488">
            <v>0.27</v>
          </cell>
          <cell r="F1488">
            <v>25135</v>
          </cell>
          <cell r="G1488">
            <v>6786.4500000000007</v>
          </cell>
        </row>
        <row r="1489">
          <cell r="B1489">
            <v>8010</v>
          </cell>
          <cell r="C1489" t="str">
            <v>Máy bơm chân không</v>
          </cell>
          <cell r="D1489" t="str">
            <v>ca</v>
          </cell>
          <cell r="E1489">
            <v>0.27</v>
          </cell>
          <cell r="F1489">
            <v>21010</v>
          </cell>
          <cell r="G1489">
            <v>5672.7000000000007</v>
          </cell>
        </row>
        <row r="1490">
          <cell r="B1490">
            <v>8005</v>
          </cell>
          <cell r="C1490" t="str">
            <v>Máy thử cao áp AI-70</v>
          </cell>
          <cell r="D1490" t="str">
            <v>ca</v>
          </cell>
          <cell r="E1490">
            <v>0.1</v>
          </cell>
          <cell r="F1490">
            <v>136162</v>
          </cell>
          <cell r="G1490">
            <v>13616.2</v>
          </cell>
        </row>
        <row r="1491">
          <cell r="A1491" t="str">
            <v>T1.2194</v>
          </cell>
          <cell r="C1491" t="str">
            <v>Lọc dầu bằng máy lọc ép; Mức điện áp trước khi lọc40KV, mức điện áp sau khi lọc 60KV</v>
          </cell>
          <cell r="D1491" t="str">
            <v>tấn</v>
          </cell>
          <cell r="H1491">
            <v>12316.5</v>
          </cell>
          <cell r="I1491">
            <v>681381.61184210528</v>
          </cell>
          <cell r="J1491">
            <v>55023.59</v>
          </cell>
        </row>
        <row r="1492">
          <cell r="C1492" t="str">
            <v>Vật liệu</v>
          </cell>
          <cell r="G1492">
            <v>12316.5</v>
          </cell>
        </row>
        <row r="1493">
          <cell r="B1493">
            <v>6</v>
          </cell>
          <cell r="C1493" t="str">
            <v>Vải trắng</v>
          </cell>
          <cell r="D1493" t="str">
            <v>m</v>
          </cell>
          <cell r="E1493">
            <v>0.5</v>
          </cell>
          <cell r="F1493">
            <v>15000</v>
          </cell>
          <cell r="G1493">
            <v>7500</v>
          </cell>
        </row>
        <row r="1494">
          <cell r="B1494">
            <v>9</v>
          </cell>
          <cell r="C1494" t="str">
            <v>Giẻ lau</v>
          </cell>
          <cell r="D1494" t="str">
            <v>kg</v>
          </cell>
          <cell r="E1494">
            <v>0.3</v>
          </cell>
          <cell r="F1494">
            <v>9500</v>
          </cell>
          <cell r="G1494">
            <v>2850</v>
          </cell>
        </row>
        <row r="1495">
          <cell r="C1495" t="str">
            <v>Vật liệu khác</v>
          </cell>
          <cell r="D1495" t="str">
            <v>%</v>
          </cell>
          <cell r="E1495">
            <v>19</v>
          </cell>
          <cell r="G1495">
            <v>1966.5</v>
          </cell>
        </row>
        <row r="1496">
          <cell r="C1496" t="str">
            <v>Nhân công</v>
          </cell>
          <cell r="G1496">
            <v>681381.61184210528</v>
          </cell>
        </row>
        <row r="1497">
          <cell r="B1497" t="str">
            <v>NC1407</v>
          </cell>
          <cell r="C1497" t="str">
            <v>Ngày công bậc 4,0/7</v>
          </cell>
          <cell r="D1497" t="str">
            <v>công</v>
          </cell>
          <cell r="E1497">
            <v>3.5</v>
          </cell>
          <cell r="F1497">
            <v>194680.46052631579</v>
          </cell>
          <cell r="G1497">
            <v>681381.61184210528</v>
          </cell>
        </row>
        <row r="1498">
          <cell r="C1498" t="str">
            <v>Máy thi công</v>
          </cell>
          <cell r="G1498">
            <v>55023.59</v>
          </cell>
        </row>
        <row r="1499">
          <cell r="B1499">
            <v>8004</v>
          </cell>
          <cell r="C1499" t="str">
            <v>Máy lọc ép</v>
          </cell>
          <cell r="D1499" t="str">
            <v>ca</v>
          </cell>
          <cell r="E1499">
            <v>1.03</v>
          </cell>
          <cell r="F1499">
            <v>24073</v>
          </cell>
          <cell r="G1499">
            <v>24795.190000000002</v>
          </cell>
        </row>
        <row r="1500">
          <cell r="B1500">
            <v>8011</v>
          </cell>
          <cell r="C1500" t="str">
            <v>Máy bơm ly tâm</v>
          </cell>
          <cell r="D1500" t="str">
            <v>ca</v>
          </cell>
          <cell r="E1500">
            <v>0.36</v>
          </cell>
          <cell r="F1500">
            <v>25135</v>
          </cell>
          <cell r="G1500">
            <v>9048.6</v>
          </cell>
        </row>
        <row r="1501">
          <cell r="B1501">
            <v>8010</v>
          </cell>
          <cell r="C1501" t="str">
            <v>Máy bơm chân không</v>
          </cell>
          <cell r="D1501" t="str">
            <v>ca</v>
          </cell>
          <cell r="E1501">
            <v>0.36</v>
          </cell>
          <cell r="F1501">
            <v>21010</v>
          </cell>
          <cell r="G1501">
            <v>7563.5999999999995</v>
          </cell>
        </row>
        <row r="1502">
          <cell r="B1502">
            <v>8005</v>
          </cell>
          <cell r="C1502" t="str">
            <v>Máy thử cao áp AI-70</v>
          </cell>
          <cell r="D1502" t="str">
            <v>ca</v>
          </cell>
          <cell r="E1502">
            <v>0.1</v>
          </cell>
          <cell r="F1502">
            <v>136162</v>
          </cell>
          <cell r="G1502">
            <v>13616.2</v>
          </cell>
        </row>
        <row r="1503">
          <cell r="A1503" t="str">
            <v>T1.2201</v>
          </cell>
          <cell r="C1503" t="str">
            <v>Lọc dầu bằng máy lọc dầu cải tạo YBM-2 (đã có máy hút chân không) hoặc tương đương; Mức điện áp trước khi lọc40KV, mức điện áp sau khi lọc 45KV</v>
          </cell>
          <cell r="D1503" t="str">
            <v>tấn</v>
          </cell>
          <cell r="H1503">
            <v>11385</v>
          </cell>
          <cell r="I1503">
            <v>389360.92105263157</v>
          </cell>
          <cell r="J1503">
            <v>293996.28000000003</v>
          </cell>
        </row>
        <row r="1504">
          <cell r="C1504" t="str">
            <v>Vật liệu</v>
          </cell>
          <cell r="G1504">
            <v>11385</v>
          </cell>
        </row>
        <row r="1505">
          <cell r="B1505">
            <v>6</v>
          </cell>
          <cell r="C1505" t="str">
            <v>Vải trắng</v>
          </cell>
          <cell r="D1505" t="str">
            <v>m</v>
          </cell>
          <cell r="E1505">
            <v>0.5</v>
          </cell>
          <cell r="F1505">
            <v>15000</v>
          </cell>
          <cell r="G1505">
            <v>7500</v>
          </cell>
        </row>
        <row r="1506">
          <cell r="B1506">
            <v>9</v>
          </cell>
          <cell r="C1506" t="str">
            <v>Giẻ lau</v>
          </cell>
          <cell r="D1506" t="str">
            <v>kg</v>
          </cell>
          <cell r="E1506">
            <v>0.3</v>
          </cell>
          <cell r="F1506">
            <v>9500</v>
          </cell>
          <cell r="G1506">
            <v>2850</v>
          </cell>
        </row>
        <row r="1507">
          <cell r="C1507" t="str">
            <v>Vật liệu khác</v>
          </cell>
          <cell r="D1507" t="str">
            <v>%</v>
          </cell>
          <cell r="E1507">
            <v>10</v>
          </cell>
          <cell r="G1507">
            <v>1035</v>
          </cell>
        </row>
        <row r="1508">
          <cell r="C1508" t="str">
            <v>Nhân công</v>
          </cell>
          <cell r="G1508">
            <v>389360.92105263157</v>
          </cell>
        </row>
        <row r="1509">
          <cell r="B1509" t="str">
            <v>NC1407</v>
          </cell>
          <cell r="C1509" t="str">
            <v>Ngày công bậc 4,0/7</v>
          </cell>
          <cell r="D1509" t="str">
            <v>công</v>
          </cell>
          <cell r="E1509">
            <v>2</v>
          </cell>
          <cell r="F1509">
            <v>194680.46052631579</v>
          </cell>
          <cell r="G1509">
            <v>389360.92105263157</v>
          </cell>
        </row>
        <row r="1510">
          <cell r="C1510" t="str">
            <v>Máy thi công</v>
          </cell>
          <cell r="G1510">
            <v>293996.28000000003</v>
          </cell>
        </row>
        <row r="1511">
          <cell r="B1511">
            <v>8002</v>
          </cell>
          <cell r="C1511" t="str">
            <v>Máy lọc dầu cải tạo YBM-2</v>
          </cell>
          <cell r="D1511" t="str">
            <v>ca</v>
          </cell>
          <cell r="E1511">
            <v>0.37</v>
          </cell>
          <cell r="F1511">
            <v>757784</v>
          </cell>
          <cell r="G1511">
            <v>280380.08</v>
          </cell>
        </row>
        <row r="1512">
          <cell r="B1512">
            <v>8005</v>
          </cell>
          <cell r="C1512" t="str">
            <v>Máy thử cao áp AI-70</v>
          </cell>
          <cell r="D1512" t="str">
            <v>ca</v>
          </cell>
          <cell r="E1512">
            <v>0.1</v>
          </cell>
          <cell r="F1512">
            <v>136162</v>
          </cell>
          <cell r="G1512">
            <v>13616.2</v>
          </cell>
        </row>
        <row r="1513">
          <cell r="A1513" t="str">
            <v>T1.2202</v>
          </cell>
          <cell r="C1513" t="str">
            <v>Lọc dầu bằng máy lọc dầu cải tạo YBM-2 (đã có máy hút chân không) hoặc tương đương; Mức điện áp trước khi lọc40KV, mức điện áp sau khi lọc 50KV</v>
          </cell>
          <cell r="D1513" t="str">
            <v>tấn</v>
          </cell>
          <cell r="H1513">
            <v>11902.5</v>
          </cell>
          <cell r="I1513">
            <v>486701.15131578944</v>
          </cell>
          <cell r="J1513">
            <v>339463.32</v>
          </cell>
        </row>
        <row r="1514">
          <cell r="C1514" t="str">
            <v>Vật liệu</v>
          </cell>
          <cell r="G1514">
            <v>11902.5</v>
          </cell>
        </row>
        <row r="1515">
          <cell r="B1515">
            <v>6</v>
          </cell>
          <cell r="C1515" t="str">
            <v>Vải trắng</v>
          </cell>
          <cell r="D1515" t="str">
            <v>m</v>
          </cell>
          <cell r="E1515">
            <v>0.5</v>
          </cell>
          <cell r="F1515">
            <v>15000</v>
          </cell>
          <cell r="G1515">
            <v>7500</v>
          </cell>
        </row>
        <row r="1516">
          <cell r="B1516">
            <v>9</v>
          </cell>
          <cell r="C1516" t="str">
            <v>Giẻ lau</v>
          </cell>
          <cell r="D1516" t="str">
            <v>kg</v>
          </cell>
          <cell r="E1516">
            <v>0.3</v>
          </cell>
          <cell r="F1516">
            <v>9500</v>
          </cell>
          <cell r="G1516">
            <v>2850</v>
          </cell>
        </row>
        <row r="1517">
          <cell r="C1517" t="str">
            <v>Vật liệu khác</v>
          </cell>
          <cell r="D1517" t="str">
            <v>%</v>
          </cell>
          <cell r="E1517">
            <v>15</v>
          </cell>
          <cell r="G1517">
            <v>1552.5</v>
          </cell>
        </row>
        <row r="1518">
          <cell r="C1518" t="str">
            <v>Nhân công</v>
          </cell>
          <cell r="G1518">
            <v>486701.15131578944</v>
          </cell>
        </row>
        <row r="1519">
          <cell r="B1519" t="str">
            <v>NC1407</v>
          </cell>
          <cell r="C1519" t="str">
            <v>Ngày công bậc 4,0/7</v>
          </cell>
          <cell r="D1519" t="str">
            <v>công</v>
          </cell>
          <cell r="E1519">
            <v>2.5</v>
          </cell>
          <cell r="F1519">
            <v>194680.46052631579</v>
          </cell>
          <cell r="G1519">
            <v>486701.15131578944</v>
          </cell>
        </row>
        <row r="1520">
          <cell r="C1520" t="str">
            <v>Máy thi công</v>
          </cell>
          <cell r="G1520">
            <v>339463.32</v>
          </cell>
        </row>
        <row r="1521">
          <cell r="B1521">
            <v>8002</v>
          </cell>
          <cell r="C1521" t="str">
            <v>Máy lọc dầu cải tạo YBM-2</v>
          </cell>
          <cell r="D1521" t="str">
            <v>ca</v>
          </cell>
          <cell r="E1521">
            <v>0.43</v>
          </cell>
          <cell r="F1521">
            <v>757784</v>
          </cell>
          <cell r="G1521">
            <v>325847.12</v>
          </cell>
        </row>
        <row r="1522">
          <cell r="B1522">
            <v>8005</v>
          </cell>
          <cell r="C1522" t="str">
            <v>Máy thử cao áp AI-70</v>
          </cell>
          <cell r="D1522" t="str">
            <v>ca</v>
          </cell>
          <cell r="E1522">
            <v>0.1</v>
          </cell>
          <cell r="F1522">
            <v>136162</v>
          </cell>
          <cell r="G1522">
            <v>13616.2</v>
          </cell>
        </row>
        <row r="1523">
          <cell r="A1523" t="str">
            <v>T1.2203</v>
          </cell>
          <cell r="C1523" t="str">
            <v>Lọc dầu bằng máy lọc dầu cải tạo YBM-2 (đã có máy hút chân không) hoặc tương đương; Mức điện áp trước khi lọc40KV, mức điện áp sau khi lọc 55KV</v>
          </cell>
          <cell r="D1523" t="str">
            <v>tấn</v>
          </cell>
          <cell r="H1523">
            <v>12109.5</v>
          </cell>
          <cell r="I1523">
            <v>603509.42763157899</v>
          </cell>
          <cell r="J1523">
            <v>407663.88</v>
          </cell>
        </row>
        <row r="1524">
          <cell r="C1524" t="str">
            <v>Vật liệu</v>
          </cell>
          <cell r="G1524">
            <v>12109.5</v>
          </cell>
        </row>
        <row r="1525">
          <cell r="B1525">
            <v>6</v>
          </cell>
          <cell r="C1525" t="str">
            <v>Vải trắng</v>
          </cell>
          <cell r="D1525" t="str">
            <v>m</v>
          </cell>
          <cell r="E1525">
            <v>0.5</v>
          </cell>
          <cell r="F1525">
            <v>15000</v>
          </cell>
          <cell r="G1525">
            <v>7500</v>
          </cell>
        </row>
        <row r="1526">
          <cell r="B1526">
            <v>9</v>
          </cell>
          <cell r="C1526" t="str">
            <v>Giẻ lau</v>
          </cell>
          <cell r="D1526" t="str">
            <v>kg</v>
          </cell>
          <cell r="E1526">
            <v>0.3</v>
          </cell>
          <cell r="F1526">
            <v>9500</v>
          </cell>
          <cell r="G1526">
            <v>2850</v>
          </cell>
        </row>
        <row r="1527">
          <cell r="C1527" t="str">
            <v>Vật liệu khác</v>
          </cell>
          <cell r="D1527" t="str">
            <v>%</v>
          </cell>
          <cell r="E1527">
            <v>17</v>
          </cell>
          <cell r="G1527">
            <v>1759.5000000000002</v>
          </cell>
        </row>
        <row r="1528">
          <cell r="C1528" t="str">
            <v>Nhân công</v>
          </cell>
          <cell r="G1528">
            <v>603509.42763157899</v>
          </cell>
        </row>
        <row r="1529">
          <cell r="B1529" t="str">
            <v>NC1407</v>
          </cell>
          <cell r="C1529" t="str">
            <v>Ngày công bậc 4,0/7</v>
          </cell>
          <cell r="D1529" t="str">
            <v>công</v>
          </cell>
          <cell r="E1529">
            <v>3.1</v>
          </cell>
          <cell r="F1529">
            <v>194680.46052631579</v>
          </cell>
          <cell r="G1529">
            <v>603509.42763157899</v>
          </cell>
        </row>
        <row r="1530">
          <cell r="C1530" t="str">
            <v>Máy thi công</v>
          </cell>
          <cell r="G1530">
            <v>407663.88</v>
          </cell>
        </row>
        <row r="1531">
          <cell r="B1531">
            <v>8002</v>
          </cell>
          <cell r="C1531" t="str">
            <v>Máy lọc dầu cải tạo YBM-2</v>
          </cell>
          <cell r="D1531" t="str">
            <v>ca</v>
          </cell>
          <cell r="E1531">
            <v>0.52</v>
          </cell>
          <cell r="F1531">
            <v>757784</v>
          </cell>
          <cell r="G1531">
            <v>394047.68</v>
          </cell>
        </row>
        <row r="1532">
          <cell r="B1532">
            <v>8005</v>
          </cell>
          <cell r="C1532" t="str">
            <v>Máy thử cao áp AI-70</v>
          </cell>
          <cell r="D1532" t="str">
            <v>ca</v>
          </cell>
          <cell r="E1532">
            <v>0.1</v>
          </cell>
          <cell r="F1532">
            <v>136162</v>
          </cell>
          <cell r="G1532">
            <v>13616.2</v>
          </cell>
        </row>
        <row r="1533">
          <cell r="A1533" t="str">
            <v>T1.2204</v>
          </cell>
          <cell r="C1533" t="str">
            <v>Lọc dầu bằng máy lọc dầu cải tạo YBM-2 (đã có máy hút chân không) hoặc tương đương; Mức điện áp trước khi lọc40KV, mức điện áp sau khi lọc 60KV</v>
          </cell>
          <cell r="D1533" t="str">
            <v>tấn</v>
          </cell>
          <cell r="H1533">
            <v>12316.5</v>
          </cell>
          <cell r="I1533">
            <v>681381.61184210528</v>
          </cell>
          <cell r="J1533">
            <v>483442.28</v>
          </cell>
        </row>
        <row r="1534">
          <cell r="C1534" t="str">
            <v>Vật liệu</v>
          </cell>
          <cell r="G1534">
            <v>12316.5</v>
          </cell>
        </row>
        <row r="1535">
          <cell r="B1535">
            <v>6</v>
          </cell>
          <cell r="C1535" t="str">
            <v>Vải trắng</v>
          </cell>
          <cell r="D1535" t="str">
            <v>m</v>
          </cell>
          <cell r="E1535">
            <v>0.5</v>
          </cell>
          <cell r="F1535">
            <v>15000</v>
          </cell>
          <cell r="G1535">
            <v>7500</v>
          </cell>
        </row>
        <row r="1536">
          <cell r="B1536">
            <v>9</v>
          </cell>
          <cell r="C1536" t="str">
            <v>Giẻ lau</v>
          </cell>
          <cell r="D1536" t="str">
            <v>kg</v>
          </cell>
          <cell r="E1536">
            <v>0.3</v>
          </cell>
          <cell r="F1536">
            <v>9500</v>
          </cell>
          <cell r="G1536">
            <v>2850</v>
          </cell>
        </row>
        <row r="1537">
          <cell r="C1537" t="str">
            <v>Vật liệu khác</v>
          </cell>
          <cell r="D1537" t="str">
            <v>%</v>
          </cell>
          <cell r="E1537">
            <v>19</v>
          </cell>
          <cell r="G1537">
            <v>1966.5</v>
          </cell>
        </row>
        <row r="1538">
          <cell r="C1538" t="str">
            <v>Nhân công</v>
          </cell>
          <cell r="G1538">
            <v>681381.61184210528</v>
          </cell>
        </row>
        <row r="1539">
          <cell r="B1539" t="str">
            <v>NC1407</v>
          </cell>
          <cell r="C1539" t="str">
            <v>Ngày công bậc 4,0/7</v>
          </cell>
          <cell r="D1539" t="str">
            <v>công</v>
          </cell>
          <cell r="E1539">
            <v>3.5</v>
          </cell>
          <cell r="F1539">
            <v>194680.46052631579</v>
          </cell>
          <cell r="G1539">
            <v>681381.61184210528</v>
          </cell>
        </row>
        <row r="1540">
          <cell r="C1540" t="str">
            <v>Máy thi công</v>
          </cell>
          <cell r="G1540">
            <v>483442.28</v>
          </cell>
        </row>
        <row r="1541">
          <cell r="B1541">
            <v>8002</v>
          </cell>
          <cell r="C1541" t="str">
            <v>Máy lọc dầu cải tạo YBM-2</v>
          </cell>
          <cell r="D1541" t="str">
            <v>ca</v>
          </cell>
          <cell r="E1541">
            <v>0.62</v>
          </cell>
          <cell r="F1541">
            <v>757784</v>
          </cell>
          <cell r="G1541">
            <v>469826.08</v>
          </cell>
        </row>
        <row r="1542">
          <cell r="B1542">
            <v>8005</v>
          </cell>
          <cell r="C1542" t="str">
            <v>Máy thử cao áp AI-70</v>
          </cell>
          <cell r="D1542" t="str">
            <v>ca</v>
          </cell>
          <cell r="E1542">
            <v>0.1</v>
          </cell>
          <cell r="F1542">
            <v>136162</v>
          </cell>
          <cell r="G1542">
            <v>13616.2</v>
          </cell>
        </row>
        <row r="1543">
          <cell r="A1543" t="str">
            <v>T1.2211</v>
          </cell>
          <cell r="C1543" t="str">
            <v>Lọc dầu bằng máy lọc dầu hợp bộ KATO KLVC-4AXVSO hoặc tương đương; Mức điện áp trước khi lọc40KV, mức điện áp sau khi lọc 45KV</v>
          </cell>
          <cell r="D1543" t="str">
            <v>tấn</v>
          </cell>
          <cell r="H1543">
            <v>11385</v>
          </cell>
          <cell r="I1543">
            <v>389360.92105263157</v>
          </cell>
          <cell r="J1543">
            <v>282240.08500000002</v>
          </cell>
        </row>
        <row r="1544">
          <cell r="C1544" t="str">
            <v>Vật liệu</v>
          </cell>
          <cell r="G1544">
            <v>11385</v>
          </cell>
        </row>
        <row r="1545">
          <cell r="B1545">
            <v>6</v>
          </cell>
          <cell r="C1545" t="str">
            <v>Vải trắng</v>
          </cell>
          <cell r="D1545" t="str">
            <v>m</v>
          </cell>
          <cell r="E1545">
            <v>0.5</v>
          </cell>
          <cell r="F1545">
            <v>15000</v>
          </cell>
          <cell r="G1545">
            <v>7500</v>
          </cell>
        </row>
        <row r="1546">
          <cell r="B1546">
            <v>9</v>
          </cell>
          <cell r="C1546" t="str">
            <v>Giẻ lau</v>
          </cell>
          <cell r="D1546" t="str">
            <v>kg</v>
          </cell>
          <cell r="E1546">
            <v>0.3</v>
          </cell>
          <cell r="F1546">
            <v>9500</v>
          </cell>
          <cell r="G1546">
            <v>2850</v>
          </cell>
        </row>
        <row r="1547">
          <cell r="C1547" t="str">
            <v>Vật liệu khác</v>
          </cell>
          <cell r="D1547" t="str">
            <v>%</v>
          </cell>
          <cell r="E1547">
            <v>10</v>
          </cell>
          <cell r="G1547">
            <v>1035</v>
          </cell>
        </row>
        <row r="1548">
          <cell r="C1548" t="str">
            <v>Nhân công</v>
          </cell>
          <cell r="G1548">
            <v>389360.92105263157</v>
          </cell>
        </row>
        <row r="1549">
          <cell r="B1549" t="str">
            <v>NC1407</v>
          </cell>
          <cell r="C1549" t="str">
            <v>Ngày công bậc 4,0/7</v>
          </cell>
          <cell r="D1549" t="str">
            <v>công</v>
          </cell>
          <cell r="E1549">
            <v>2</v>
          </cell>
          <cell r="F1549">
            <v>194680.46052631579</v>
          </cell>
          <cell r="G1549">
            <v>389360.92105263157</v>
          </cell>
        </row>
        <row r="1550">
          <cell r="C1550" t="str">
            <v>Máy thi công</v>
          </cell>
          <cell r="G1550">
            <v>282240.08500000002</v>
          </cell>
        </row>
        <row r="1551">
          <cell r="B1551">
            <v>8003</v>
          </cell>
          <cell r="C1551" t="str">
            <v>Máy lọc dầu hợp bộ KATO KLVC-4AXVSO</v>
          </cell>
          <cell r="D1551" t="str">
            <v>ca</v>
          </cell>
          <cell r="E1551">
            <v>0.185</v>
          </cell>
          <cell r="F1551">
            <v>1452021</v>
          </cell>
          <cell r="G1551">
            <v>268623.88500000001</v>
          </cell>
        </row>
        <row r="1552">
          <cell r="B1552">
            <v>8005</v>
          </cell>
          <cell r="C1552" t="str">
            <v>Máy thử cao áp AI-70</v>
          </cell>
          <cell r="D1552" t="str">
            <v>ca</v>
          </cell>
          <cell r="E1552">
            <v>0.1</v>
          </cell>
          <cell r="F1552">
            <v>136162</v>
          </cell>
          <cell r="G1552">
            <v>13616.2</v>
          </cell>
        </row>
        <row r="1553">
          <cell r="A1553" t="str">
            <v>T1.2212</v>
          </cell>
          <cell r="C1553" t="str">
            <v>Lọc dầu bằng máy lọc dầu hợp bộ KATO KLVC-4AXVSO hoặc tương đương; Mức điện áp trước khi lọc40KV, mức điện áp sau khi lọc 50KV</v>
          </cell>
          <cell r="D1553" t="str">
            <v>tấn</v>
          </cell>
          <cell r="H1553">
            <v>11902.5</v>
          </cell>
          <cell r="I1553">
            <v>486701.15131578944</v>
          </cell>
          <cell r="J1553">
            <v>351937.09300000005</v>
          </cell>
        </row>
        <row r="1554">
          <cell r="C1554" t="str">
            <v>Vật liệu</v>
          </cell>
          <cell r="G1554">
            <v>11902.5</v>
          </cell>
        </row>
        <row r="1555">
          <cell r="B1555">
            <v>6</v>
          </cell>
          <cell r="C1555" t="str">
            <v>Vải trắng</v>
          </cell>
          <cell r="D1555" t="str">
            <v>m</v>
          </cell>
          <cell r="E1555">
            <v>0.5</v>
          </cell>
          <cell r="F1555">
            <v>15000</v>
          </cell>
          <cell r="G1555">
            <v>7500</v>
          </cell>
        </row>
        <row r="1556">
          <cell r="B1556">
            <v>9</v>
          </cell>
          <cell r="C1556" t="str">
            <v>Giẻ lau</v>
          </cell>
          <cell r="D1556" t="str">
            <v>kg</v>
          </cell>
          <cell r="E1556">
            <v>0.3</v>
          </cell>
          <cell r="F1556">
            <v>9500</v>
          </cell>
          <cell r="G1556">
            <v>2850</v>
          </cell>
        </row>
        <row r="1557">
          <cell r="C1557" t="str">
            <v>Vật liệu khác</v>
          </cell>
          <cell r="D1557" t="str">
            <v>%</v>
          </cell>
          <cell r="E1557">
            <v>15</v>
          </cell>
          <cell r="G1557">
            <v>1552.5</v>
          </cell>
        </row>
        <row r="1558">
          <cell r="C1558" t="str">
            <v>Nhân công</v>
          </cell>
          <cell r="G1558">
            <v>486701.15131578944</v>
          </cell>
        </row>
        <row r="1559">
          <cell r="B1559" t="str">
            <v>NC1407</v>
          </cell>
          <cell r="C1559" t="str">
            <v>Ngày công bậc 4,0/7</v>
          </cell>
          <cell r="D1559" t="str">
            <v>công</v>
          </cell>
          <cell r="E1559">
            <v>2.5</v>
          </cell>
          <cell r="F1559">
            <v>194680.46052631579</v>
          </cell>
          <cell r="G1559">
            <v>486701.15131578944</v>
          </cell>
        </row>
        <row r="1560">
          <cell r="C1560" t="str">
            <v>Máy thi công</v>
          </cell>
          <cell r="G1560">
            <v>351937.09300000005</v>
          </cell>
        </row>
        <row r="1561">
          <cell r="B1561">
            <v>8003</v>
          </cell>
          <cell r="C1561" t="str">
            <v>Máy lọc dầu hợp bộ KATO KLVC-4AXVSO</v>
          </cell>
          <cell r="D1561" t="str">
            <v>ca</v>
          </cell>
          <cell r="E1561">
            <v>0.23300000000000001</v>
          </cell>
          <cell r="F1561">
            <v>1452021</v>
          </cell>
          <cell r="G1561">
            <v>338320.89300000004</v>
          </cell>
        </row>
        <row r="1562">
          <cell r="B1562">
            <v>8005</v>
          </cell>
          <cell r="C1562" t="str">
            <v>Máy thử cao áp AI-70</v>
          </cell>
          <cell r="D1562" t="str">
            <v>ca</v>
          </cell>
          <cell r="E1562">
            <v>0.1</v>
          </cell>
          <cell r="F1562">
            <v>136162</v>
          </cell>
          <cell r="G1562">
            <v>13616.2</v>
          </cell>
        </row>
        <row r="1563">
          <cell r="A1563" t="str">
            <v>T1.2213</v>
          </cell>
          <cell r="C1563" t="str">
            <v>Lọc dầu bằng máy lọc dầu hợp bộ KATO KLVC-4AXVSO hoặc tương đương; Mức điện áp trước khi lọc40KV, mức điện áp sau khi lọc 55KV</v>
          </cell>
          <cell r="D1563" t="str">
            <v>tấn</v>
          </cell>
          <cell r="H1563">
            <v>12109.5</v>
          </cell>
          <cell r="I1563">
            <v>603509.42763157899</v>
          </cell>
          <cell r="J1563">
            <v>425990.16399999999</v>
          </cell>
        </row>
        <row r="1564">
          <cell r="C1564" t="str">
            <v>Vật liệu</v>
          </cell>
          <cell r="G1564">
            <v>12109.5</v>
          </cell>
        </row>
        <row r="1565">
          <cell r="B1565">
            <v>6</v>
          </cell>
          <cell r="C1565" t="str">
            <v>Vải trắng</v>
          </cell>
          <cell r="D1565" t="str">
            <v>m</v>
          </cell>
          <cell r="E1565">
            <v>0.5</v>
          </cell>
          <cell r="F1565">
            <v>15000</v>
          </cell>
          <cell r="G1565">
            <v>7500</v>
          </cell>
        </row>
        <row r="1566">
          <cell r="B1566">
            <v>9</v>
          </cell>
          <cell r="C1566" t="str">
            <v>Giẻ lau</v>
          </cell>
          <cell r="D1566" t="str">
            <v>kg</v>
          </cell>
          <cell r="E1566">
            <v>0.3</v>
          </cell>
          <cell r="F1566">
            <v>9500</v>
          </cell>
          <cell r="G1566">
            <v>2850</v>
          </cell>
        </row>
        <row r="1567">
          <cell r="C1567" t="str">
            <v>Vật liệu khác</v>
          </cell>
          <cell r="D1567" t="str">
            <v>%</v>
          </cell>
          <cell r="E1567">
            <v>17</v>
          </cell>
          <cell r="G1567">
            <v>1759.5000000000002</v>
          </cell>
        </row>
        <row r="1568">
          <cell r="C1568" t="str">
            <v>Nhân công</v>
          </cell>
          <cell r="G1568">
            <v>603509.42763157899</v>
          </cell>
        </row>
        <row r="1569">
          <cell r="B1569" t="str">
            <v>NC1407</v>
          </cell>
          <cell r="C1569" t="str">
            <v>Ngày công bậc 4,0/7</v>
          </cell>
          <cell r="D1569" t="str">
            <v>công</v>
          </cell>
          <cell r="E1569">
            <v>3.1</v>
          </cell>
          <cell r="F1569">
            <v>194680.46052631579</v>
          </cell>
          <cell r="G1569">
            <v>603509.42763157899</v>
          </cell>
        </row>
        <row r="1570">
          <cell r="C1570" t="str">
            <v>Máy thi công</v>
          </cell>
          <cell r="G1570">
            <v>425990.16399999999</v>
          </cell>
        </row>
        <row r="1571">
          <cell r="B1571">
            <v>8003</v>
          </cell>
          <cell r="C1571" t="str">
            <v>Máy lọc dầu hợp bộ KATO KLVC-4AXVSO</v>
          </cell>
          <cell r="D1571" t="str">
            <v>ca</v>
          </cell>
          <cell r="E1571">
            <v>0.28399999999999997</v>
          </cell>
          <cell r="F1571">
            <v>1452021</v>
          </cell>
          <cell r="G1571">
            <v>412373.96399999998</v>
          </cell>
        </row>
        <row r="1572">
          <cell r="B1572">
            <v>8005</v>
          </cell>
          <cell r="C1572" t="str">
            <v>Máy thử cao áp AI-70</v>
          </cell>
          <cell r="D1572" t="str">
            <v>ca</v>
          </cell>
          <cell r="E1572">
            <v>0.1</v>
          </cell>
          <cell r="F1572">
            <v>136162</v>
          </cell>
          <cell r="G1572">
            <v>13616.2</v>
          </cell>
        </row>
        <row r="1573">
          <cell r="A1573" t="str">
            <v>T1.2214</v>
          </cell>
          <cell r="C1573" t="str">
            <v>Lọc dầu bằng máy lọc dầu hợp bộ KATO KLVC-4AXVSO hoặc tương đương; Mức điện áp trước khi lọc40KV, mức điện áp sau khi lọc 60KV</v>
          </cell>
          <cell r="D1573" t="str">
            <v>tấn</v>
          </cell>
          <cell r="H1573">
            <v>12316.5</v>
          </cell>
          <cell r="I1573">
            <v>681381.61184210528</v>
          </cell>
          <cell r="J1573">
            <v>507303.34</v>
          </cell>
        </row>
        <row r="1574">
          <cell r="C1574" t="str">
            <v>Vật liệu</v>
          </cell>
          <cell r="G1574">
            <v>12316.5</v>
          </cell>
        </row>
        <row r="1575">
          <cell r="B1575">
            <v>6</v>
          </cell>
          <cell r="C1575" t="str">
            <v>Vải trắng</v>
          </cell>
          <cell r="D1575" t="str">
            <v>m</v>
          </cell>
          <cell r="E1575">
            <v>0.5</v>
          </cell>
          <cell r="F1575">
            <v>15000</v>
          </cell>
          <cell r="G1575">
            <v>7500</v>
          </cell>
        </row>
        <row r="1576">
          <cell r="B1576">
            <v>9</v>
          </cell>
          <cell r="C1576" t="str">
            <v>Giẻ lau</v>
          </cell>
          <cell r="D1576" t="str">
            <v>kg</v>
          </cell>
          <cell r="E1576">
            <v>0.3</v>
          </cell>
          <cell r="F1576">
            <v>9500</v>
          </cell>
          <cell r="G1576">
            <v>2850</v>
          </cell>
        </row>
        <row r="1577">
          <cell r="C1577" t="str">
            <v>Vật liệu khác</v>
          </cell>
          <cell r="D1577" t="str">
            <v>%</v>
          </cell>
          <cell r="E1577">
            <v>19</v>
          </cell>
          <cell r="G1577">
            <v>1966.5</v>
          </cell>
        </row>
        <row r="1578">
          <cell r="C1578" t="str">
            <v>Nhân công</v>
          </cell>
          <cell r="G1578">
            <v>681381.61184210528</v>
          </cell>
        </row>
        <row r="1579">
          <cell r="B1579" t="str">
            <v>NC1407</v>
          </cell>
          <cell r="C1579" t="str">
            <v>Ngày công bậc 4,0/7</v>
          </cell>
          <cell r="D1579" t="str">
            <v>công</v>
          </cell>
          <cell r="E1579">
            <v>3.5</v>
          </cell>
          <cell r="F1579">
            <v>194680.46052631579</v>
          </cell>
          <cell r="G1579">
            <v>681381.61184210528</v>
          </cell>
        </row>
        <row r="1580">
          <cell r="C1580" t="str">
            <v>Máy thi công</v>
          </cell>
          <cell r="G1580">
            <v>507303.34</v>
          </cell>
        </row>
        <row r="1581">
          <cell r="B1581">
            <v>8003</v>
          </cell>
          <cell r="C1581" t="str">
            <v>Máy lọc dầu hợp bộ KATO KLVC-4AXVSO</v>
          </cell>
          <cell r="D1581" t="str">
            <v>ca</v>
          </cell>
          <cell r="E1581">
            <v>0.34</v>
          </cell>
          <cell r="F1581">
            <v>1452021</v>
          </cell>
          <cell r="G1581">
            <v>493687.14</v>
          </cell>
        </row>
        <row r="1582">
          <cell r="B1582">
            <v>8005</v>
          </cell>
          <cell r="C1582" t="str">
            <v>Máy thử cao áp AI-70</v>
          </cell>
          <cell r="D1582" t="str">
            <v>ca</v>
          </cell>
          <cell r="E1582">
            <v>0.1</v>
          </cell>
          <cell r="F1582">
            <v>136162</v>
          </cell>
          <cell r="G1582">
            <v>13616.2</v>
          </cell>
        </row>
        <row r="1583">
          <cell r="A1583" t="str">
            <v>T1.2221</v>
          </cell>
          <cell r="C1583" t="str">
            <v>Lọc dầu bằng máy lọc ép; Mức điện áp trước khi lọc 45KV, mức điện áp sau khi lọc 50KV</v>
          </cell>
          <cell r="D1583" t="str">
            <v>tấn</v>
          </cell>
          <cell r="H1583">
            <v>11385</v>
          </cell>
          <cell r="I1583">
            <v>605456.23223684204</v>
          </cell>
          <cell r="J1583">
            <v>41562.11</v>
          </cell>
        </row>
        <row r="1584">
          <cell r="C1584" t="str">
            <v>Vật liệu</v>
          </cell>
          <cell r="G1584">
            <v>11385</v>
          </cell>
        </row>
        <row r="1585">
          <cell r="B1585">
            <v>6</v>
          </cell>
          <cell r="C1585" t="str">
            <v>Vải trắng</v>
          </cell>
          <cell r="D1585" t="str">
            <v>m</v>
          </cell>
          <cell r="E1585">
            <v>0.5</v>
          </cell>
          <cell r="F1585">
            <v>15000</v>
          </cell>
          <cell r="G1585">
            <v>7500</v>
          </cell>
        </row>
        <row r="1586">
          <cell r="B1586">
            <v>9</v>
          </cell>
          <cell r="C1586" t="str">
            <v>Giẻ lau</v>
          </cell>
          <cell r="D1586" t="str">
            <v>kg</v>
          </cell>
          <cell r="E1586">
            <v>0.3</v>
          </cell>
          <cell r="F1586">
            <v>9500</v>
          </cell>
          <cell r="G1586">
            <v>2850</v>
          </cell>
        </row>
        <row r="1587">
          <cell r="C1587" t="str">
            <v>Vật liệu khác</v>
          </cell>
          <cell r="D1587" t="str">
            <v>%</v>
          </cell>
          <cell r="E1587">
            <v>10</v>
          </cell>
          <cell r="G1587">
            <v>1035</v>
          </cell>
        </row>
        <row r="1588">
          <cell r="C1588" t="str">
            <v>Nhân công</v>
          </cell>
          <cell r="G1588">
            <v>605456.23223684204</v>
          </cell>
        </row>
        <row r="1589">
          <cell r="B1589" t="str">
            <v>NC1407</v>
          </cell>
          <cell r="C1589" t="str">
            <v>Ngày công bậc 4,0/7</v>
          </cell>
          <cell r="D1589" t="str">
            <v>công</v>
          </cell>
          <cell r="E1589">
            <v>3.11</v>
          </cell>
          <cell r="F1589">
            <v>194680.46052631579</v>
          </cell>
          <cell r="G1589">
            <v>605456.23223684204</v>
          </cell>
        </row>
        <row r="1590">
          <cell r="C1590" t="str">
            <v>Máy thi công</v>
          </cell>
          <cell r="G1590">
            <v>41562.11</v>
          </cell>
        </row>
        <row r="1591">
          <cell r="B1591">
            <v>8004</v>
          </cell>
          <cell r="C1591" t="str">
            <v>Máy lọc ép</v>
          </cell>
          <cell r="D1591" t="str">
            <v>ca</v>
          </cell>
          <cell r="E1591">
            <v>0.72</v>
          </cell>
          <cell r="F1591">
            <v>24073</v>
          </cell>
          <cell r="G1591">
            <v>17332.559999999998</v>
          </cell>
        </row>
        <row r="1592">
          <cell r="B1592">
            <v>8011</v>
          </cell>
          <cell r="C1592" t="str">
            <v>Máy bơm ly tâm</v>
          </cell>
          <cell r="D1592" t="str">
            <v>ca</v>
          </cell>
          <cell r="E1592">
            <v>0.23</v>
          </cell>
          <cell r="F1592">
            <v>25135</v>
          </cell>
          <cell r="G1592">
            <v>5781.05</v>
          </cell>
        </row>
        <row r="1593">
          <cell r="B1593">
            <v>8010</v>
          </cell>
          <cell r="C1593" t="str">
            <v>Máy bơm chân không</v>
          </cell>
          <cell r="D1593" t="str">
            <v>ca</v>
          </cell>
          <cell r="E1593">
            <v>0.23</v>
          </cell>
          <cell r="F1593">
            <v>21010</v>
          </cell>
          <cell r="G1593">
            <v>4832.3</v>
          </cell>
        </row>
        <row r="1594">
          <cell r="B1594">
            <v>8005</v>
          </cell>
          <cell r="C1594" t="str">
            <v>Máy thử cao áp AI-70</v>
          </cell>
          <cell r="D1594" t="str">
            <v>ca</v>
          </cell>
          <cell r="E1594">
            <v>0.1</v>
          </cell>
          <cell r="F1594">
            <v>136162</v>
          </cell>
          <cell r="G1594">
            <v>13616.2</v>
          </cell>
        </row>
        <row r="1595">
          <cell r="A1595" t="str">
            <v>T1.2222</v>
          </cell>
          <cell r="C1595" t="str">
            <v>Lọc dầu bằng máy lọc ép; Mức điện áp trước khi lọc 45KV, mức điện áp sau khi lọc 55KV</v>
          </cell>
          <cell r="D1595" t="str">
            <v>tấn</v>
          </cell>
          <cell r="H1595">
            <v>11643.75</v>
          </cell>
          <cell r="I1595">
            <v>663860.37039473688</v>
          </cell>
          <cell r="J1595">
            <v>44170.12</v>
          </cell>
        </row>
        <row r="1596">
          <cell r="C1596" t="str">
            <v>Vật liệu</v>
          </cell>
          <cell r="G1596">
            <v>11643.75</v>
          </cell>
        </row>
        <row r="1597">
          <cell r="B1597">
            <v>6</v>
          </cell>
          <cell r="C1597" t="str">
            <v>Vải trắng</v>
          </cell>
          <cell r="D1597" t="str">
            <v>m</v>
          </cell>
          <cell r="E1597">
            <v>0.5</v>
          </cell>
          <cell r="F1597">
            <v>15000</v>
          </cell>
          <cell r="G1597">
            <v>7500</v>
          </cell>
        </row>
        <row r="1598">
          <cell r="B1598">
            <v>9</v>
          </cell>
          <cell r="C1598" t="str">
            <v>Giẻ lau</v>
          </cell>
          <cell r="D1598" t="str">
            <v>kg</v>
          </cell>
          <cell r="E1598">
            <v>0.3</v>
          </cell>
          <cell r="F1598">
            <v>9500</v>
          </cell>
          <cell r="G1598">
            <v>2850</v>
          </cell>
        </row>
        <row r="1599">
          <cell r="C1599" t="str">
            <v>Vật liệu khác</v>
          </cell>
          <cell r="D1599" t="str">
            <v>%</v>
          </cell>
          <cell r="E1599">
            <v>12.5</v>
          </cell>
          <cell r="G1599">
            <v>1293.75</v>
          </cell>
        </row>
        <row r="1600">
          <cell r="C1600" t="str">
            <v>Nhân công</v>
          </cell>
          <cell r="G1600">
            <v>663860.37039473688</v>
          </cell>
        </row>
        <row r="1601">
          <cell r="B1601" t="str">
            <v>NC1407</v>
          </cell>
          <cell r="C1601" t="str">
            <v>Ngày công bậc 4,0/7</v>
          </cell>
          <cell r="D1601" t="str">
            <v>công</v>
          </cell>
          <cell r="E1601">
            <v>3.41</v>
          </cell>
          <cell r="F1601">
            <v>194680.46052631579</v>
          </cell>
          <cell r="G1601">
            <v>663860.37039473688</v>
          </cell>
        </row>
        <row r="1602">
          <cell r="C1602" t="str">
            <v>Máy thi công</v>
          </cell>
          <cell r="G1602">
            <v>44170.12</v>
          </cell>
        </row>
        <row r="1603">
          <cell r="B1603">
            <v>8004</v>
          </cell>
          <cell r="C1603" t="str">
            <v>Máy lọc ép</v>
          </cell>
          <cell r="D1603" t="str">
            <v>ca</v>
          </cell>
          <cell r="E1603">
            <v>0.79</v>
          </cell>
          <cell r="F1603">
            <v>24073</v>
          </cell>
          <cell r="G1603">
            <v>19017.670000000002</v>
          </cell>
        </row>
        <row r="1604">
          <cell r="B1604">
            <v>8011</v>
          </cell>
          <cell r="C1604" t="str">
            <v>Máy bơm ly tâm</v>
          </cell>
          <cell r="D1604" t="str">
            <v>ca</v>
          </cell>
          <cell r="E1604">
            <v>0.25</v>
          </cell>
          <cell r="F1604">
            <v>25135</v>
          </cell>
          <cell r="G1604">
            <v>6283.75</v>
          </cell>
        </row>
        <row r="1605">
          <cell r="B1605">
            <v>8010</v>
          </cell>
          <cell r="C1605" t="str">
            <v>Máy bơm chân không</v>
          </cell>
          <cell r="D1605" t="str">
            <v>ca</v>
          </cell>
          <cell r="E1605">
            <v>0.25</v>
          </cell>
          <cell r="F1605">
            <v>21010</v>
          </cell>
          <cell r="G1605">
            <v>5252.5</v>
          </cell>
        </row>
        <row r="1606">
          <cell r="B1606">
            <v>8005</v>
          </cell>
          <cell r="C1606" t="str">
            <v>Máy thử cao áp AI-70</v>
          </cell>
          <cell r="D1606" t="str">
            <v>ca</v>
          </cell>
          <cell r="E1606">
            <v>0.1</v>
          </cell>
          <cell r="F1606">
            <v>136162</v>
          </cell>
          <cell r="G1606">
            <v>13616.2</v>
          </cell>
        </row>
        <row r="1607">
          <cell r="A1607" t="str">
            <v>T1.2223</v>
          </cell>
          <cell r="C1607" t="str">
            <v>Lọc dầu bằng máy lọc ép; Mức điện áp trước khi lọc 45KV, mức điện áp sau khi lọc 60KV</v>
          </cell>
          <cell r="D1607" t="str">
            <v>tấn</v>
          </cell>
          <cell r="H1607">
            <v>11902.5</v>
          </cell>
          <cell r="I1607">
            <v>724211.31315789477</v>
          </cell>
          <cell r="J1607">
            <v>46778.130000000005</v>
          </cell>
        </row>
        <row r="1608">
          <cell r="C1608" t="str">
            <v>Vật liệu</v>
          </cell>
          <cell r="G1608">
            <v>11902.5</v>
          </cell>
        </row>
        <row r="1609">
          <cell r="B1609">
            <v>6</v>
          </cell>
          <cell r="C1609" t="str">
            <v>Vải trắng</v>
          </cell>
          <cell r="D1609" t="str">
            <v>m</v>
          </cell>
          <cell r="E1609">
            <v>0.5</v>
          </cell>
          <cell r="F1609">
            <v>15000</v>
          </cell>
          <cell r="G1609">
            <v>7500</v>
          </cell>
        </row>
        <row r="1610">
          <cell r="B1610">
            <v>9</v>
          </cell>
          <cell r="C1610" t="str">
            <v>Giẻ lau</v>
          </cell>
          <cell r="D1610" t="str">
            <v>kg</v>
          </cell>
          <cell r="E1610">
            <v>0.3</v>
          </cell>
          <cell r="F1610">
            <v>9500</v>
          </cell>
          <cell r="G1610">
            <v>2850</v>
          </cell>
        </row>
        <row r="1611">
          <cell r="C1611" t="str">
            <v>Vật liệu khác</v>
          </cell>
          <cell r="D1611" t="str">
            <v>%</v>
          </cell>
          <cell r="E1611">
            <v>15</v>
          </cell>
          <cell r="G1611">
            <v>1552.5</v>
          </cell>
        </row>
        <row r="1612">
          <cell r="C1612" t="str">
            <v>Nhân công</v>
          </cell>
          <cell r="G1612">
            <v>724211.31315789477</v>
          </cell>
        </row>
        <row r="1613">
          <cell r="B1613" t="str">
            <v>NC1407</v>
          </cell>
          <cell r="C1613" t="str">
            <v>Ngày công bậc 4,0/7</v>
          </cell>
          <cell r="D1613" t="str">
            <v>công</v>
          </cell>
          <cell r="E1613">
            <v>3.72</v>
          </cell>
          <cell r="F1613">
            <v>194680.46052631579</v>
          </cell>
          <cell r="G1613">
            <v>724211.31315789477</v>
          </cell>
        </row>
        <row r="1614">
          <cell r="C1614" t="str">
            <v>Máy thi công</v>
          </cell>
          <cell r="G1614">
            <v>46778.130000000005</v>
          </cell>
        </row>
        <row r="1615">
          <cell r="B1615">
            <v>8004</v>
          </cell>
          <cell r="C1615" t="str">
            <v>Máy lọc ép</v>
          </cell>
          <cell r="D1615" t="str">
            <v>ca</v>
          </cell>
          <cell r="E1615">
            <v>0.86</v>
          </cell>
          <cell r="F1615">
            <v>24073</v>
          </cell>
          <cell r="G1615">
            <v>20702.78</v>
          </cell>
        </row>
        <row r="1616">
          <cell r="B1616">
            <v>8011</v>
          </cell>
          <cell r="C1616" t="str">
            <v>Máy bơm ly tâm</v>
          </cell>
          <cell r="D1616" t="str">
            <v>ca</v>
          </cell>
          <cell r="E1616">
            <v>0.27</v>
          </cell>
          <cell r="F1616">
            <v>25135</v>
          </cell>
          <cell r="G1616">
            <v>6786.4500000000007</v>
          </cell>
        </row>
        <row r="1617">
          <cell r="B1617">
            <v>8010</v>
          </cell>
          <cell r="C1617" t="str">
            <v>Máy bơm chân không</v>
          </cell>
          <cell r="D1617" t="str">
            <v>ca</v>
          </cell>
          <cell r="E1617">
            <v>0.27</v>
          </cell>
          <cell r="F1617">
            <v>21010</v>
          </cell>
          <cell r="G1617">
            <v>5672.7000000000007</v>
          </cell>
        </row>
        <row r="1618">
          <cell r="B1618">
            <v>8005</v>
          </cell>
          <cell r="C1618" t="str">
            <v>Máy thử cao áp AI-70</v>
          </cell>
          <cell r="D1618" t="str">
            <v>ca</v>
          </cell>
          <cell r="E1618">
            <v>0.1</v>
          </cell>
          <cell r="F1618">
            <v>136162</v>
          </cell>
          <cell r="G1618">
            <v>13616.2</v>
          </cell>
        </row>
        <row r="1619">
          <cell r="A1619" t="str">
            <v>T1.2224</v>
          </cell>
          <cell r="C1619" t="str">
            <v>Lọc dầu bằng máy lọc ép; Mức điện áp trước khi lọc 45KV, mức điện áp sau khi lọc 70KV</v>
          </cell>
          <cell r="D1619" t="str">
            <v>tấn</v>
          </cell>
          <cell r="H1619">
            <v>12109.5</v>
          </cell>
          <cell r="I1619">
            <v>844913.19868421054</v>
          </cell>
          <cell r="J1619">
            <v>55103.630000000005</v>
          </cell>
        </row>
        <row r="1620">
          <cell r="C1620" t="str">
            <v>Vật liệu</v>
          </cell>
          <cell r="G1620">
            <v>12109.5</v>
          </cell>
        </row>
        <row r="1621">
          <cell r="B1621">
            <v>6</v>
          </cell>
          <cell r="C1621" t="str">
            <v>Vải trắng</v>
          </cell>
          <cell r="D1621" t="str">
            <v>m</v>
          </cell>
          <cell r="E1621">
            <v>0.5</v>
          </cell>
          <cell r="F1621">
            <v>15000</v>
          </cell>
          <cell r="G1621">
            <v>7500</v>
          </cell>
        </row>
        <row r="1622">
          <cell r="B1622">
            <v>9</v>
          </cell>
          <cell r="C1622" t="str">
            <v>Giẻ lau</v>
          </cell>
          <cell r="D1622" t="str">
            <v>kg</v>
          </cell>
          <cell r="E1622">
            <v>0.3</v>
          </cell>
          <cell r="F1622">
            <v>9500</v>
          </cell>
          <cell r="G1622">
            <v>2850</v>
          </cell>
        </row>
        <row r="1623">
          <cell r="C1623" t="str">
            <v>Vật liệu khác</v>
          </cell>
          <cell r="D1623" t="str">
            <v>%</v>
          </cell>
          <cell r="E1623">
            <v>17</v>
          </cell>
          <cell r="G1623">
            <v>1759.5000000000002</v>
          </cell>
        </row>
        <row r="1624">
          <cell r="C1624" t="str">
            <v>Nhân công</v>
          </cell>
          <cell r="G1624">
            <v>844913.19868421054</v>
          </cell>
        </row>
        <row r="1625">
          <cell r="B1625" t="str">
            <v>NC1407</v>
          </cell>
          <cell r="C1625" t="str">
            <v>Ngày công bậc 4,0/7</v>
          </cell>
          <cell r="D1625" t="str">
            <v>công</v>
          </cell>
          <cell r="E1625">
            <v>4.34</v>
          </cell>
          <cell r="F1625">
            <v>194680.46052631579</v>
          </cell>
          <cell r="G1625">
            <v>844913.19868421054</v>
          </cell>
        </row>
        <row r="1626">
          <cell r="C1626" t="str">
            <v>Máy thi công</v>
          </cell>
          <cell r="G1626">
            <v>55103.630000000005</v>
          </cell>
        </row>
        <row r="1627">
          <cell r="B1627">
            <v>8004</v>
          </cell>
          <cell r="C1627" t="str">
            <v>Máy lọc ép</v>
          </cell>
          <cell r="D1627" t="str">
            <v>ca</v>
          </cell>
          <cell r="E1627">
            <v>1.1100000000000001</v>
          </cell>
          <cell r="F1627">
            <v>24073</v>
          </cell>
          <cell r="G1627">
            <v>26721.030000000002</v>
          </cell>
        </row>
        <row r="1628">
          <cell r="B1628">
            <v>8011</v>
          </cell>
          <cell r="C1628" t="str">
            <v>Máy bơm ly tâm</v>
          </cell>
          <cell r="D1628" t="str">
            <v>ca</v>
          </cell>
          <cell r="E1628">
            <v>0.32</v>
          </cell>
          <cell r="F1628">
            <v>25135</v>
          </cell>
          <cell r="G1628">
            <v>8043.2</v>
          </cell>
        </row>
        <row r="1629">
          <cell r="B1629">
            <v>8010</v>
          </cell>
          <cell r="C1629" t="str">
            <v>Máy bơm chân không</v>
          </cell>
          <cell r="D1629" t="str">
            <v>ca</v>
          </cell>
          <cell r="E1629">
            <v>0.32</v>
          </cell>
          <cell r="F1629">
            <v>21010</v>
          </cell>
          <cell r="G1629">
            <v>6723.2</v>
          </cell>
        </row>
        <row r="1630">
          <cell r="B1630">
            <v>8005</v>
          </cell>
          <cell r="C1630" t="str">
            <v>Máy thử cao áp AI-70</v>
          </cell>
          <cell r="D1630" t="str">
            <v>ca</v>
          </cell>
          <cell r="E1630">
            <v>0.1</v>
          </cell>
          <cell r="F1630">
            <v>136162</v>
          </cell>
          <cell r="G1630">
            <v>13616.2</v>
          </cell>
        </row>
        <row r="1631">
          <cell r="A1631" t="str">
            <v>T1.2231</v>
          </cell>
          <cell r="C1631" t="str">
            <v>Lọc dầu bằng máy lọc dầu cải tạo YBM-2 (đã có máy hút chân không) hoặc tương đương; Mức điện áp trước khi lọc 45KV, mức điện áp sau khi lọc 50KV</v>
          </cell>
          <cell r="D1631" t="str">
            <v>tấn</v>
          </cell>
          <cell r="H1631">
            <v>11385</v>
          </cell>
          <cell r="I1631">
            <v>605456.23223684204</v>
          </cell>
          <cell r="J1631">
            <v>339463.32</v>
          </cell>
        </row>
        <row r="1632">
          <cell r="C1632" t="str">
            <v>Vật liệu</v>
          </cell>
          <cell r="G1632">
            <v>11385</v>
          </cell>
        </row>
        <row r="1633">
          <cell r="B1633">
            <v>6</v>
          </cell>
          <cell r="C1633" t="str">
            <v>Vải trắng</v>
          </cell>
          <cell r="D1633" t="str">
            <v>m</v>
          </cell>
          <cell r="E1633">
            <v>0.5</v>
          </cell>
          <cell r="F1633">
            <v>15000</v>
          </cell>
          <cell r="G1633">
            <v>7500</v>
          </cell>
        </row>
        <row r="1634">
          <cell r="B1634">
            <v>9</v>
          </cell>
          <cell r="C1634" t="str">
            <v>Giẻ lau</v>
          </cell>
          <cell r="D1634" t="str">
            <v>kg</v>
          </cell>
          <cell r="E1634">
            <v>0.3</v>
          </cell>
          <cell r="F1634">
            <v>9500</v>
          </cell>
          <cell r="G1634">
            <v>2850</v>
          </cell>
        </row>
        <row r="1635">
          <cell r="C1635" t="str">
            <v>Vật liệu khác</v>
          </cell>
          <cell r="D1635" t="str">
            <v>%</v>
          </cell>
          <cell r="E1635">
            <v>10</v>
          </cell>
          <cell r="G1635">
            <v>1035</v>
          </cell>
        </row>
        <row r="1636">
          <cell r="C1636" t="str">
            <v>Nhân công</v>
          </cell>
          <cell r="G1636">
            <v>605456.23223684204</v>
          </cell>
        </row>
        <row r="1637">
          <cell r="B1637" t="str">
            <v>NC1407</v>
          </cell>
          <cell r="C1637" t="str">
            <v>Ngày công bậc 4,0/7</v>
          </cell>
          <cell r="D1637" t="str">
            <v>công</v>
          </cell>
          <cell r="E1637">
            <v>3.11</v>
          </cell>
          <cell r="F1637">
            <v>194680.46052631579</v>
          </cell>
          <cell r="G1637">
            <v>605456.23223684204</v>
          </cell>
        </row>
        <row r="1638">
          <cell r="C1638" t="str">
            <v>Máy thi công</v>
          </cell>
          <cell r="G1638">
            <v>339463.32</v>
          </cell>
        </row>
        <row r="1639">
          <cell r="B1639">
            <v>8002</v>
          </cell>
          <cell r="C1639" t="str">
            <v>Máy lọc dầu cải tạo YBM-2</v>
          </cell>
          <cell r="D1639" t="str">
            <v>ca</v>
          </cell>
          <cell r="E1639">
            <v>0.43</v>
          </cell>
          <cell r="F1639">
            <v>757784</v>
          </cell>
          <cell r="G1639">
            <v>325847.12</v>
          </cell>
        </row>
        <row r="1640">
          <cell r="B1640">
            <v>8005</v>
          </cell>
          <cell r="C1640" t="str">
            <v>Máy thử cao áp AI-70</v>
          </cell>
          <cell r="D1640" t="str">
            <v>ca</v>
          </cell>
          <cell r="E1640">
            <v>0.1</v>
          </cell>
          <cell r="F1640">
            <v>136162</v>
          </cell>
          <cell r="G1640">
            <v>13616.2</v>
          </cell>
        </row>
        <row r="1641">
          <cell r="A1641" t="str">
            <v>T1.2232</v>
          </cell>
          <cell r="C1641" t="str">
            <v>Lọc dầu bằng máy lọc dầu cải tạo YBM-2 (đã có máy hút chân không) hoặc tương đương; Mức điện áp trước khi lọc 45KV, mức điện áp sau khi lọc 55KV</v>
          </cell>
          <cell r="D1641" t="str">
            <v>tấn</v>
          </cell>
          <cell r="H1641">
            <v>11643.75</v>
          </cell>
          <cell r="I1641">
            <v>663860.37039473688</v>
          </cell>
          <cell r="J1641">
            <v>369774.68</v>
          </cell>
        </row>
        <row r="1642">
          <cell r="C1642" t="str">
            <v>Vật liệu</v>
          </cell>
          <cell r="G1642">
            <v>11643.75</v>
          </cell>
        </row>
        <row r="1643">
          <cell r="B1643">
            <v>6</v>
          </cell>
          <cell r="C1643" t="str">
            <v>Vải trắng</v>
          </cell>
          <cell r="D1643" t="str">
            <v>m</v>
          </cell>
          <cell r="E1643">
            <v>0.5</v>
          </cell>
          <cell r="F1643">
            <v>15000</v>
          </cell>
          <cell r="G1643">
            <v>7500</v>
          </cell>
        </row>
        <row r="1644">
          <cell r="B1644">
            <v>9</v>
          </cell>
          <cell r="C1644" t="str">
            <v>Giẻ lau</v>
          </cell>
          <cell r="D1644" t="str">
            <v>kg</v>
          </cell>
          <cell r="E1644">
            <v>0.3</v>
          </cell>
          <cell r="F1644">
            <v>9500</v>
          </cell>
          <cell r="G1644">
            <v>2850</v>
          </cell>
        </row>
        <row r="1645">
          <cell r="C1645" t="str">
            <v>Vật liệu khác</v>
          </cell>
          <cell r="D1645" t="str">
            <v>%</v>
          </cell>
          <cell r="E1645">
            <v>12.5</v>
          </cell>
          <cell r="G1645">
            <v>1293.75</v>
          </cell>
        </row>
        <row r="1646">
          <cell r="C1646" t="str">
            <v>Nhân công</v>
          </cell>
          <cell r="G1646">
            <v>663860.37039473688</v>
          </cell>
        </row>
        <row r="1647">
          <cell r="B1647" t="str">
            <v>NC1407</v>
          </cell>
          <cell r="C1647" t="str">
            <v>Ngày công bậc 4,0/7</v>
          </cell>
          <cell r="D1647" t="str">
            <v>công</v>
          </cell>
          <cell r="E1647">
            <v>3.41</v>
          </cell>
          <cell r="F1647">
            <v>194680.46052631579</v>
          </cell>
          <cell r="G1647">
            <v>663860.37039473688</v>
          </cell>
        </row>
        <row r="1648">
          <cell r="C1648" t="str">
            <v>Máy thi công</v>
          </cell>
          <cell r="G1648">
            <v>369774.68</v>
          </cell>
        </row>
        <row r="1649">
          <cell r="B1649">
            <v>8002</v>
          </cell>
          <cell r="C1649" t="str">
            <v>Máy lọc dầu cải tạo YBM-2</v>
          </cell>
          <cell r="D1649" t="str">
            <v>ca</v>
          </cell>
          <cell r="E1649">
            <v>0.47</v>
          </cell>
          <cell r="F1649">
            <v>757784</v>
          </cell>
          <cell r="G1649">
            <v>356158.48</v>
          </cell>
        </row>
        <row r="1650">
          <cell r="B1650">
            <v>8005</v>
          </cell>
          <cell r="C1650" t="str">
            <v>Máy thử cao áp AI-70</v>
          </cell>
          <cell r="D1650" t="str">
            <v>ca</v>
          </cell>
          <cell r="E1650">
            <v>0.1</v>
          </cell>
          <cell r="F1650">
            <v>136162</v>
          </cell>
          <cell r="G1650">
            <v>13616.2</v>
          </cell>
        </row>
        <row r="1651">
          <cell r="A1651" t="str">
            <v>T1.2233</v>
          </cell>
          <cell r="C1651" t="str">
            <v>Lọc dầu bằng máy lọc dầu cải tạo YBM-2 (đã có máy hút chân không) hoặc tương đương; Mức điện áp trước khi lọc 45KV, mức điện áp sau khi lọc 60KV</v>
          </cell>
          <cell r="D1651" t="str">
            <v>tấn</v>
          </cell>
          <cell r="H1651">
            <v>11902.5</v>
          </cell>
          <cell r="I1651">
            <v>724211.31315789477</v>
          </cell>
          <cell r="J1651">
            <v>407663.88</v>
          </cell>
        </row>
        <row r="1652">
          <cell r="C1652" t="str">
            <v>Vật liệu</v>
          </cell>
          <cell r="G1652">
            <v>11902.5</v>
          </cell>
        </row>
        <row r="1653">
          <cell r="B1653">
            <v>6</v>
          </cell>
          <cell r="C1653" t="str">
            <v>Vải trắng</v>
          </cell>
          <cell r="D1653" t="str">
            <v>m</v>
          </cell>
          <cell r="E1653">
            <v>0.5</v>
          </cell>
          <cell r="F1653">
            <v>15000</v>
          </cell>
          <cell r="G1653">
            <v>7500</v>
          </cell>
        </row>
        <row r="1654">
          <cell r="B1654">
            <v>9</v>
          </cell>
          <cell r="C1654" t="str">
            <v>Giẻ lau</v>
          </cell>
          <cell r="D1654" t="str">
            <v>kg</v>
          </cell>
          <cell r="E1654">
            <v>0.3</v>
          </cell>
          <cell r="F1654">
            <v>9500</v>
          </cell>
          <cell r="G1654">
            <v>2850</v>
          </cell>
        </row>
        <row r="1655">
          <cell r="C1655" t="str">
            <v>Vật liệu khác</v>
          </cell>
          <cell r="D1655" t="str">
            <v>%</v>
          </cell>
          <cell r="E1655">
            <v>15</v>
          </cell>
          <cell r="G1655">
            <v>1552.5</v>
          </cell>
        </row>
        <row r="1656">
          <cell r="C1656" t="str">
            <v>Nhân công</v>
          </cell>
          <cell r="G1656">
            <v>724211.31315789477</v>
          </cell>
        </row>
        <row r="1657">
          <cell r="B1657" t="str">
            <v>NC1407</v>
          </cell>
          <cell r="C1657" t="str">
            <v>Ngày công bậc 4,0/7</v>
          </cell>
          <cell r="D1657" t="str">
            <v>công</v>
          </cell>
          <cell r="E1657">
            <v>3.72</v>
          </cell>
          <cell r="F1657">
            <v>194680.46052631579</v>
          </cell>
          <cell r="G1657">
            <v>724211.31315789477</v>
          </cell>
        </row>
        <row r="1658">
          <cell r="C1658" t="str">
            <v>Máy thi công</v>
          </cell>
          <cell r="G1658">
            <v>407663.88</v>
          </cell>
        </row>
        <row r="1659">
          <cell r="B1659">
            <v>8002</v>
          </cell>
          <cell r="C1659" t="str">
            <v>Máy lọc dầu cải tạo YBM-2</v>
          </cell>
          <cell r="D1659" t="str">
            <v>ca</v>
          </cell>
          <cell r="E1659">
            <v>0.52</v>
          </cell>
          <cell r="F1659">
            <v>757784</v>
          </cell>
          <cell r="G1659">
            <v>394047.68</v>
          </cell>
        </row>
        <row r="1660">
          <cell r="B1660">
            <v>8005</v>
          </cell>
          <cell r="C1660" t="str">
            <v>Máy thử cao áp AI-70</v>
          </cell>
          <cell r="D1660" t="str">
            <v>ca</v>
          </cell>
          <cell r="E1660">
            <v>0.1</v>
          </cell>
          <cell r="F1660">
            <v>136162</v>
          </cell>
          <cell r="G1660">
            <v>13616.2</v>
          </cell>
        </row>
        <row r="1661">
          <cell r="A1661" t="str">
            <v>T1.2234</v>
          </cell>
          <cell r="C1661" t="str">
            <v>Lọc dầu bằng máy lọc dầu cải tạo YBM-2 (đã có máy hút chân không) hoặc tương đương; Mức điện áp trước khi lọc 45KV, mức điện áp sau khi lọc 70KV</v>
          </cell>
          <cell r="D1661" t="str">
            <v>tấn</v>
          </cell>
          <cell r="H1661">
            <v>12109.5</v>
          </cell>
          <cell r="I1661">
            <v>844913.19868421054</v>
          </cell>
          <cell r="J1661">
            <v>513753.64</v>
          </cell>
        </row>
        <row r="1662">
          <cell r="C1662" t="str">
            <v>Vật liệu</v>
          </cell>
          <cell r="G1662">
            <v>12109.5</v>
          </cell>
        </row>
        <row r="1663">
          <cell r="B1663">
            <v>6</v>
          </cell>
          <cell r="C1663" t="str">
            <v>Vải trắng</v>
          </cell>
          <cell r="D1663" t="str">
            <v>m</v>
          </cell>
          <cell r="E1663">
            <v>0.5</v>
          </cell>
          <cell r="F1663">
            <v>15000</v>
          </cell>
          <cell r="G1663">
            <v>7500</v>
          </cell>
        </row>
        <row r="1664">
          <cell r="B1664">
            <v>9</v>
          </cell>
          <cell r="C1664" t="str">
            <v>Giẻ lau</v>
          </cell>
          <cell r="D1664" t="str">
            <v>kg</v>
          </cell>
          <cell r="E1664">
            <v>0.3</v>
          </cell>
          <cell r="F1664">
            <v>9500</v>
          </cell>
          <cell r="G1664">
            <v>2850</v>
          </cell>
        </row>
        <row r="1665">
          <cell r="C1665" t="str">
            <v>Vật liệu khác</v>
          </cell>
          <cell r="D1665" t="str">
            <v>%</v>
          </cell>
          <cell r="E1665">
            <v>17</v>
          </cell>
          <cell r="G1665">
            <v>1759.5000000000002</v>
          </cell>
        </row>
        <row r="1666">
          <cell r="C1666" t="str">
            <v>Nhân công</v>
          </cell>
          <cell r="G1666">
            <v>844913.19868421054</v>
          </cell>
        </row>
        <row r="1667">
          <cell r="B1667" t="str">
            <v>NC1407</v>
          </cell>
          <cell r="C1667" t="str">
            <v>Ngày công bậc 4,0/7</v>
          </cell>
          <cell r="D1667" t="str">
            <v>công</v>
          </cell>
          <cell r="E1667">
            <v>4.34</v>
          </cell>
          <cell r="F1667">
            <v>194680.46052631579</v>
          </cell>
          <cell r="G1667">
            <v>844913.19868421054</v>
          </cell>
        </row>
        <row r="1668">
          <cell r="C1668" t="str">
            <v>Máy thi công</v>
          </cell>
          <cell r="G1668">
            <v>513753.64</v>
          </cell>
        </row>
        <row r="1669">
          <cell r="B1669">
            <v>8002</v>
          </cell>
          <cell r="C1669" t="str">
            <v>Máy lọc dầu cải tạo YBM-2</v>
          </cell>
          <cell r="D1669" t="str">
            <v>ca</v>
          </cell>
          <cell r="E1669">
            <v>0.66</v>
          </cell>
          <cell r="F1669">
            <v>757784</v>
          </cell>
          <cell r="G1669">
            <v>500137.44</v>
          </cell>
        </row>
        <row r="1670">
          <cell r="B1670">
            <v>8005</v>
          </cell>
          <cell r="C1670" t="str">
            <v>Máy thử cao áp AI-70</v>
          </cell>
          <cell r="D1670" t="str">
            <v>ca</v>
          </cell>
          <cell r="E1670">
            <v>0.1</v>
          </cell>
          <cell r="F1670">
            <v>136162</v>
          </cell>
          <cell r="G1670">
            <v>13616.2</v>
          </cell>
        </row>
        <row r="1671">
          <cell r="A1671" t="str">
            <v>T1.2271</v>
          </cell>
          <cell r="C1671" t="str">
            <v>Lọc dầu bằng máy lọc dầu hợp bộ KATO KLVC-4AXVSO hoặc tương đương; Mức điện áp trước khi lọc 45KV, mức điện áp sau khi lọc 50KV</v>
          </cell>
          <cell r="D1671" t="str">
            <v>tấn</v>
          </cell>
          <cell r="H1671">
            <v>11385</v>
          </cell>
          <cell r="I1671">
            <v>605456.23223684204</v>
          </cell>
          <cell r="J1671">
            <v>285144.12700000004</v>
          </cell>
        </row>
        <row r="1672">
          <cell r="C1672" t="str">
            <v>Vật liệu</v>
          </cell>
          <cell r="G1672">
            <v>11385</v>
          </cell>
        </row>
        <row r="1673">
          <cell r="B1673">
            <v>6</v>
          </cell>
          <cell r="C1673" t="str">
            <v>Vải trắng</v>
          </cell>
          <cell r="D1673" t="str">
            <v>m</v>
          </cell>
          <cell r="E1673">
            <v>0.5</v>
          </cell>
          <cell r="F1673">
            <v>15000</v>
          </cell>
          <cell r="G1673">
            <v>7500</v>
          </cell>
        </row>
        <row r="1674">
          <cell r="B1674">
            <v>9</v>
          </cell>
          <cell r="C1674" t="str">
            <v>Giẻ lau</v>
          </cell>
          <cell r="D1674" t="str">
            <v>kg</v>
          </cell>
          <cell r="E1674">
            <v>0.3</v>
          </cell>
          <cell r="F1674">
            <v>9500</v>
          </cell>
          <cell r="G1674">
            <v>2850</v>
          </cell>
        </row>
        <row r="1675">
          <cell r="C1675" t="str">
            <v>Vật liệu khác</v>
          </cell>
          <cell r="D1675" t="str">
            <v>%</v>
          </cell>
          <cell r="E1675">
            <v>10</v>
          </cell>
          <cell r="G1675">
            <v>1035</v>
          </cell>
        </row>
        <row r="1676">
          <cell r="C1676" t="str">
            <v>Nhân công</v>
          </cell>
          <cell r="G1676">
            <v>605456.23223684204</v>
          </cell>
        </row>
        <row r="1677">
          <cell r="B1677" t="str">
            <v>NC1407</v>
          </cell>
          <cell r="C1677" t="str">
            <v>Ngày công bậc 4,0/7</v>
          </cell>
          <cell r="D1677" t="str">
            <v>công</v>
          </cell>
          <cell r="E1677">
            <v>3.11</v>
          </cell>
          <cell r="F1677">
            <v>194680.46052631579</v>
          </cell>
          <cell r="G1677">
            <v>605456.23223684204</v>
          </cell>
        </row>
        <row r="1678">
          <cell r="C1678" t="str">
            <v>Máy thi công</v>
          </cell>
          <cell r="G1678">
            <v>285144.12700000004</v>
          </cell>
        </row>
        <row r="1679">
          <cell r="B1679">
            <v>8003</v>
          </cell>
          <cell r="C1679" t="str">
            <v>Máy lọc dầu hợp bộ KATO KLVC-4AXVSO</v>
          </cell>
          <cell r="D1679" t="str">
            <v>ca</v>
          </cell>
          <cell r="E1679">
            <v>0.187</v>
          </cell>
          <cell r="F1679">
            <v>1452021</v>
          </cell>
          <cell r="G1679">
            <v>271527.92700000003</v>
          </cell>
        </row>
        <row r="1680">
          <cell r="B1680">
            <v>8005</v>
          </cell>
          <cell r="C1680" t="str">
            <v>Máy thử cao áp AI-70</v>
          </cell>
          <cell r="D1680" t="str">
            <v>ca</v>
          </cell>
          <cell r="E1680">
            <v>0.1</v>
          </cell>
          <cell r="F1680">
            <v>136162</v>
          </cell>
          <cell r="G1680">
            <v>13616.2</v>
          </cell>
        </row>
        <row r="1681">
          <cell r="A1681" t="str">
            <v>T1.2272</v>
          </cell>
          <cell r="C1681" t="str">
            <v>Lọc dầu bằng máy lọc dầu hợp bộ KATO KLVC-4AXVSO hoặc tương đương; Mức điện áp trước khi lọc 45KV, mức điện áp sau khi lọc 55KV</v>
          </cell>
          <cell r="D1681" t="str">
            <v>tấn</v>
          </cell>
          <cell r="H1681">
            <v>11643.75</v>
          </cell>
          <cell r="I1681">
            <v>663860.37039473688</v>
          </cell>
          <cell r="J1681">
            <v>353389.11400000006</v>
          </cell>
        </row>
        <row r="1682">
          <cell r="C1682" t="str">
            <v>Vật liệu</v>
          </cell>
          <cell r="G1682">
            <v>11643.75</v>
          </cell>
        </row>
        <row r="1683">
          <cell r="B1683">
            <v>6</v>
          </cell>
          <cell r="C1683" t="str">
            <v>Vải trắng</v>
          </cell>
          <cell r="D1683" t="str">
            <v>m</v>
          </cell>
          <cell r="E1683">
            <v>0.5</v>
          </cell>
          <cell r="F1683">
            <v>15000</v>
          </cell>
          <cell r="G1683">
            <v>7500</v>
          </cell>
        </row>
        <row r="1684">
          <cell r="B1684">
            <v>9</v>
          </cell>
          <cell r="C1684" t="str">
            <v>Giẻ lau</v>
          </cell>
          <cell r="D1684" t="str">
            <v>kg</v>
          </cell>
          <cell r="E1684">
            <v>0.3</v>
          </cell>
          <cell r="F1684">
            <v>9500</v>
          </cell>
          <cell r="G1684">
            <v>2850</v>
          </cell>
        </row>
        <row r="1685">
          <cell r="C1685" t="str">
            <v>Vật liệu khác</v>
          </cell>
          <cell r="D1685" t="str">
            <v>%</v>
          </cell>
          <cell r="E1685">
            <v>12.5</v>
          </cell>
          <cell r="G1685">
            <v>1293.75</v>
          </cell>
        </row>
        <row r="1686">
          <cell r="C1686" t="str">
            <v>Nhân công</v>
          </cell>
          <cell r="G1686">
            <v>663860.37039473688</v>
          </cell>
        </row>
        <row r="1687">
          <cell r="B1687" t="str">
            <v>NC1407</v>
          </cell>
          <cell r="C1687" t="str">
            <v>Ngày công bậc 4,0/7</v>
          </cell>
          <cell r="D1687" t="str">
            <v>công</v>
          </cell>
          <cell r="E1687">
            <v>3.41</v>
          </cell>
          <cell r="F1687">
            <v>194680.46052631579</v>
          </cell>
          <cell r="G1687">
            <v>663860.37039473688</v>
          </cell>
        </row>
        <row r="1688">
          <cell r="C1688" t="str">
            <v>Máy thi công</v>
          </cell>
          <cell r="G1688">
            <v>353389.11400000006</v>
          </cell>
        </row>
        <row r="1689">
          <cell r="B1689">
            <v>8003</v>
          </cell>
          <cell r="C1689" t="str">
            <v>Máy lọc dầu hợp bộ KATO KLVC-4AXVSO</v>
          </cell>
          <cell r="D1689" t="str">
            <v>ca</v>
          </cell>
          <cell r="E1689">
            <v>0.23400000000000001</v>
          </cell>
          <cell r="F1689">
            <v>1452021</v>
          </cell>
          <cell r="G1689">
            <v>339772.91400000005</v>
          </cell>
        </row>
        <row r="1690">
          <cell r="B1690">
            <v>8005</v>
          </cell>
          <cell r="C1690" t="str">
            <v>Máy thử cao áp AI-70</v>
          </cell>
          <cell r="D1690" t="str">
            <v>ca</v>
          </cell>
          <cell r="E1690">
            <v>0.1</v>
          </cell>
          <cell r="F1690">
            <v>136162</v>
          </cell>
          <cell r="G1690">
            <v>13616.2</v>
          </cell>
        </row>
        <row r="1691">
          <cell r="A1691" t="str">
            <v>T1.2273</v>
          </cell>
          <cell r="C1691" t="str">
            <v>Lọc dầu bằng máy lọc dầu hợp bộ KATO KLVC-4AXVSO hoặc tương đương; Mức điện áp trước khi lọc 45KV, mức điện áp sau khi lọc 60KV</v>
          </cell>
          <cell r="D1691" t="str">
            <v>tấn</v>
          </cell>
          <cell r="H1691">
            <v>11902.5</v>
          </cell>
          <cell r="I1691">
            <v>724211.31315789477</v>
          </cell>
          <cell r="J1691">
            <v>427442.185</v>
          </cell>
        </row>
        <row r="1692">
          <cell r="C1692" t="str">
            <v>Vật liệu</v>
          </cell>
          <cell r="G1692">
            <v>11902.5</v>
          </cell>
        </row>
        <row r="1693">
          <cell r="B1693">
            <v>6</v>
          </cell>
          <cell r="C1693" t="str">
            <v>Vải trắng</v>
          </cell>
          <cell r="D1693" t="str">
            <v>m</v>
          </cell>
          <cell r="E1693">
            <v>0.5</v>
          </cell>
          <cell r="F1693">
            <v>15000</v>
          </cell>
          <cell r="G1693">
            <v>7500</v>
          </cell>
        </row>
        <row r="1694">
          <cell r="B1694">
            <v>9</v>
          </cell>
          <cell r="C1694" t="str">
            <v>Giẻ lau</v>
          </cell>
          <cell r="D1694" t="str">
            <v>kg</v>
          </cell>
          <cell r="E1694">
            <v>0.3</v>
          </cell>
          <cell r="F1694">
            <v>9500</v>
          </cell>
          <cell r="G1694">
            <v>2850</v>
          </cell>
        </row>
        <row r="1695">
          <cell r="C1695" t="str">
            <v>Vật liệu khác</v>
          </cell>
          <cell r="D1695" t="str">
            <v>%</v>
          </cell>
          <cell r="E1695">
            <v>15</v>
          </cell>
          <cell r="G1695">
            <v>1552.5</v>
          </cell>
        </row>
        <row r="1696">
          <cell r="C1696" t="str">
            <v>Nhân công</v>
          </cell>
          <cell r="G1696">
            <v>724211.31315789477</v>
          </cell>
        </row>
        <row r="1697">
          <cell r="B1697" t="str">
            <v>NC1407</v>
          </cell>
          <cell r="C1697" t="str">
            <v>Ngày công bậc 4,0/7</v>
          </cell>
          <cell r="D1697" t="str">
            <v>công</v>
          </cell>
          <cell r="E1697">
            <v>3.72</v>
          </cell>
          <cell r="F1697">
            <v>194680.46052631579</v>
          </cell>
          <cell r="G1697">
            <v>724211.31315789477</v>
          </cell>
        </row>
        <row r="1698">
          <cell r="C1698" t="str">
            <v>Máy thi công</v>
          </cell>
          <cell r="G1698">
            <v>427442.185</v>
          </cell>
        </row>
        <row r="1699">
          <cell r="B1699">
            <v>8003</v>
          </cell>
          <cell r="C1699" t="str">
            <v>Máy lọc dầu hợp bộ KATO KLVC-4AXVSO</v>
          </cell>
          <cell r="D1699" t="str">
            <v>ca</v>
          </cell>
          <cell r="E1699">
            <v>0.28499999999999998</v>
          </cell>
          <cell r="F1699">
            <v>1452021</v>
          </cell>
          <cell r="G1699">
            <v>413825.98499999999</v>
          </cell>
        </row>
        <row r="1700">
          <cell r="B1700">
            <v>8005</v>
          </cell>
          <cell r="C1700" t="str">
            <v>Máy thử cao áp AI-70</v>
          </cell>
          <cell r="D1700" t="str">
            <v>ca</v>
          </cell>
          <cell r="E1700">
            <v>0.1</v>
          </cell>
          <cell r="F1700">
            <v>136162</v>
          </cell>
          <cell r="G1700">
            <v>13616.2</v>
          </cell>
        </row>
        <row r="1701">
          <cell r="A1701" t="str">
            <v>T1.2274</v>
          </cell>
          <cell r="C1701" t="str">
            <v>Lọc dầu bằng máy lọc dầu hợp bộ KATO KLVC-4AXVSO hoặc tương đương; Mức điện áp trước khi lọc 45KV, mức điện áp sau khi lọc 70KV</v>
          </cell>
          <cell r="D1701" t="str">
            <v>tấn</v>
          </cell>
          <cell r="H1701">
            <v>12109.5</v>
          </cell>
          <cell r="I1701">
            <v>844913.19868421054</v>
          </cell>
          <cell r="J1701">
            <v>507303.34</v>
          </cell>
        </row>
        <row r="1702">
          <cell r="C1702" t="str">
            <v>Vật liệu</v>
          </cell>
          <cell r="G1702">
            <v>12109.5</v>
          </cell>
        </row>
        <row r="1703">
          <cell r="B1703">
            <v>6</v>
          </cell>
          <cell r="C1703" t="str">
            <v>Vải trắng</v>
          </cell>
          <cell r="D1703" t="str">
            <v>m</v>
          </cell>
          <cell r="E1703">
            <v>0.5</v>
          </cell>
          <cell r="F1703">
            <v>15000</v>
          </cell>
          <cell r="G1703">
            <v>7500</v>
          </cell>
        </row>
        <row r="1704">
          <cell r="B1704">
            <v>9</v>
          </cell>
          <cell r="C1704" t="str">
            <v>Giẻ lau</v>
          </cell>
          <cell r="D1704" t="str">
            <v>kg</v>
          </cell>
          <cell r="E1704">
            <v>0.3</v>
          </cell>
          <cell r="F1704">
            <v>9500</v>
          </cell>
          <cell r="G1704">
            <v>2850</v>
          </cell>
        </row>
        <row r="1705">
          <cell r="C1705" t="str">
            <v>Vật liệu khác</v>
          </cell>
          <cell r="D1705" t="str">
            <v>%</v>
          </cell>
          <cell r="E1705">
            <v>17</v>
          </cell>
          <cell r="G1705">
            <v>1759.5000000000002</v>
          </cell>
        </row>
        <row r="1706">
          <cell r="C1706" t="str">
            <v>Nhân công</v>
          </cell>
          <cell r="G1706">
            <v>844913.19868421054</v>
          </cell>
        </row>
        <row r="1707">
          <cell r="B1707" t="str">
            <v>NC1407</v>
          </cell>
          <cell r="C1707" t="str">
            <v>Ngày công bậc 4,0/7</v>
          </cell>
          <cell r="D1707" t="str">
            <v>công</v>
          </cell>
          <cell r="E1707">
            <v>4.34</v>
          </cell>
          <cell r="F1707">
            <v>194680.46052631579</v>
          </cell>
          <cell r="G1707">
            <v>844913.19868421054</v>
          </cell>
        </row>
        <row r="1708">
          <cell r="C1708" t="str">
            <v>Máy thi công</v>
          </cell>
          <cell r="G1708">
            <v>507303.34</v>
          </cell>
        </row>
        <row r="1709">
          <cell r="B1709">
            <v>8003</v>
          </cell>
          <cell r="C1709" t="str">
            <v>Máy lọc dầu hợp bộ KATO KLVC-4AXVSO</v>
          </cell>
          <cell r="D1709" t="str">
            <v>ca</v>
          </cell>
          <cell r="E1709">
            <v>0.34</v>
          </cell>
          <cell r="F1709">
            <v>1452021</v>
          </cell>
          <cell r="G1709">
            <v>493687.14</v>
          </cell>
        </row>
        <row r="1710">
          <cell r="B1710">
            <v>8005</v>
          </cell>
          <cell r="C1710" t="str">
            <v>Máy thử cao áp AI-70</v>
          </cell>
          <cell r="D1710" t="str">
            <v>ca</v>
          </cell>
          <cell r="E1710">
            <v>0.1</v>
          </cell>
          <cell r="F1710">
            <v>136162</v>
          </cell>
          <cell r="G1710">
            <v>13616.2</v>
          </cell>
        </row>
        <row r="1711">
          <cell r="A1711" t="str">
            <v>T1.2251</v>
          </cell>
          <cell r="C1711" t="str">
            <v>Lọc dầu bằng máy lọc ép; Mức điện áp trước khi lọc 50KV, mức điện áp sau khi lọc 55KV</v>
          </cell>
          <cell r="D1711" t="str">
            <v>tấn</v>
          </cell>
          <cell r="H1711">
            <v>11385</v>
          </cell>
          <cell r="I1711">
            <v>622977.47368421056</v>
          </cell>
          <cell r="J1711">
            <v>41562.11</v>
          </cell>
        </row>
        <row r="1712">
          <cell r="C1712" t="str">
            <v>Vật liệu</v>
          </cell>
          <cell r="G1712">
            <v>11385</v>
          </cell>
        </row>
        <row r="1713">
          <cell r="B1713">
            <v>6</v>
          </cell>
          <cell r="C1713" t="str">
            <v>Vải trắng</v>
          </cell>
          <cell r="D1713" t="str">
            <v>m</v>
          </cell>
          <cell r="E1713">
            <v>0.5</v>
          </cell>
          <cell r="F1713">
            <v>15000</v>
          </cell>
          <cell r="G1713">
            <v>7500</v>
          </cell>
        </row>
        <row r="1714">
          <cell r="B1714">
            <v>9</v>
          </cell>
          <cell r="C1714" t="str">
            <v>Giẻ lau</v>
          </cell>
          <cell r="D1714" t="str">
            <v>kg</v>
          </cell>
          <cell r="E1714">
            <v>0.3</v>
          </cell>
          <cell r="F1714">
            <v>9500</v>
          </cell>
          <cell r="G1714">
            <v>2850</v>
          </cell>
        </row>
        <row r="1715">
          <cell r="C1715" t="str">
            <v>Vật liệu khác</v>
          </cell>
          <cell r="D1715" t="str">
            <v>%</v>
          </cell>
          <cell r="E1715">
            <v>10</v>
          </cell>
          <cell r="G1715">
            <v>1035</v>
          </cell>
        </row>
        <row r="1716">
          <cell r="C1716" t="str">
            <v>Nhân công</v>
          </cell>
          <cell r="G1716">
            <v>622977.47368421056</v>
          </cell>
        </row>
        <row r="1717">
          <cell r="B1717" t="str">
            <v>NC1407</v>
          </cell>
          <cell r="C1717" t="str">
            <v>Ngày công bậc 4,0/7</v>
          </cell>
          <cell r="D1717" t="str">
            <v>công</v>
          </cell>
          <cell r="E1717">
            <v>3.2</v>
          </cell>
          <cell r="F1717">
            <v>194680.46052631579</v>
          </cell>
          <cell r="G1717">
            <v>622977.47368421056</v>
          </cell>
        </row>
        <row r="1718">
          <cell r="C1718" t="str">
            <v>Máy thi công</v>
          </cell>
          <cell r="G1718">
            <v>41562.11</v>
          </cell>
        </row>
        <row r="1719">
          <cell r="B1719">
            <v>8004</v>
          </cell>
          <cell r="C1719" t="str">
            <v>Máy lọc ép</v>
          </cell>
          <cell r="D1719" t="str">
            <v>ca</v>
          </cell>
          <cell r="E1719">
            <v>0.72</v>
          </cell>
          <cell r="F1719">
            <v>24073</v>
          </cell>
          <cell r="G1719">
            <v>17332.559999999998</v>
          </cell>
        </row>
        <row r="1720">
          <cell r="B1720">
            <v>8011</v>
          </cell>
          <cell r="C1720" t="str">
            <v>Máy bơm ly tâm</v>
          </cell>
          <cell r="D1720" t="str">
            <v>ca</v>
          </cell>
          <cell r="E1720">
            <v>0.23</v>
          </cell>
          <cell r="F1720">
            <v>25135</v>
          </cell>
          <cell r="G1720">
            <v>5781.05</v>
          </cell>
        </row>
        <row r="1721">
          <cell r="B1721">
            <v>8010</v>
          </cell>
          <cell r="C1721" t="str">
            <v>Máy bơm chân không</v>
          </cell>
          <cell r="D1721" t="str">
            <v>ca</v>
          </cell>
          <cell r="E1721">
            <v>0.23</v>
          </cell>
          <cell r="F1721">
            <v>21010</v>
          </cell>
          <cell r="G1721">
            <v>4832.3</v>
          </cell>
        </row>
        <row r="1722">
          <cell r="B1722">
            <v>8005</v>
          </cell>
          <cell r="C1722" t="str">
            <v>Máy thử cao áp AI-70</v>
          </cell>
          <cell r="D1722" t="str">
            <v>ca</v>
          </cell>
          <cell r="E1722">
            <v>0.1</v>
          </cell>
          <cell r="F1722">
            <v>136162</v>
          </cell>
          <cell r="G1722">
            <v>13616.2</v>
          </cell>
        </row>
        <row r="1723">
          <cell r="A1723" t="str">
            <v>T1.2252</v>
          </cell>
          <cell r="C1723" t="str">
            <v>Lọc dầu bằng máy lọc ép; Mức điện áp trước khi lọc 50KV, mức điện áp sau khi lọc 60KV</v>
          </cell>
          <cell r="D1723" t="str">
            <v>tấn</v>
          </cell>
          <cell r="H1723">
            <v>11902.5</v>
          </cell>
          <cell r="I1723">
            <v>679434.80723684211</v>
          </cell>
          <cell r="J1723">
            <v>44170.12</v>
          </cell>
        </row>
        <row r="1724">
          <cell r="C1724" t="str">
            <v>Vật liệu</v>
          </cell>
          <cell r="G1724">
            <v>11902.5</v>
          </cell>
        </row>
        <row r="1725">
          <cell r="B1725">
            <v>6</v>
          </cell>
          <cell r="C1725" t="str">
            <v>Vải trắng</v>
          </cell>
          <cell r="D1725" t="str">
            <v>m</v>
          </cell>
          <cell r="E1725">
            <v>0.5</v>
          </cell>
          <cell r="F1725">
            <v>15000</v>
          </cell>
          <cell r="G1725">
            <v>7500</v>
          </cell>
        </row>
        <row r="1726">
          <cell r="B1726">
            <v>9</v>
          </cell>
          <cell r="C1726" t="str">
            <v>Giẻ lau</v>
          </cell>
          <cell r="D1726" t="str">
            <v>kg</v>
          </cell>
          <cell r="E1726">
            <v>0.3</v>
          </cell>
          <cell r="F1726">
            <v>9500</v>
          </cell>
          <cell r="G1726">
            <v>2850</v>
          </cell>
        </row>
        <row r="1727">
          <cell r="C1727" t="str">
            <v>Vật liệu khác</v>
          </cell>
          <cell r="D1727" t="str">
            <v>%</v>
          </cell>
          <cell r="E1727">
            <v>15</v>
          </cell>
          <cell r="G1727">
            <v>1552.5</v>
          </cell>
        </row>
        <row r="1728">
          <cell r="C1728" t="str">
            <v>Nhân công</v>
          </cell>
          <cell r="G1728">
            <v>679434.80723684211</v>
          </cell>
        </row>
        <row r="1729">
          <cell r="B1729" t="str">
            <v>NC1407</v>
          </cell>
          <cell r="C1729" t="str">
            <v>Ngày công bậc 4,0/7</v>
          </cell>
          <cell r="D1729" t="str">
            <v>công</v>
          </cell>
          <cell r="E1729">
            <v>3.49</v>
          </cell>
          <cell r="F1729">
            <v>194680.46052631579</v>
          </cell>
          <cell r="G1729">
            <v>679434.80723684211</v>
          </cell>
        </row>
        <row r="1730">
          <cell r="C1730" t="str">
            <v>Máy thi công</v>
          </cell>
          <cell r="G1730">
            <v>44170.12</v>
          </cell>
        </row>
        <row r="1731">
          <cell r="B1731">
            <v>8004</v>
          </cell>
          <cell r="C1731" t="str">
            <v>Máy lọc ép</v>
          </cell>
          <cell r="D1731" t="str">
            <v>ca</v>
          </cell>
          <cell r="E1731">
            <v>0.79</v>
          </cell>
          <cell r="F1731">
            <v>24073</v>
          </cell>
          <cell r="G1731">
            <v>19017.670000000002</v>
          </cell>
        </row>
        <row r="1732">
          <cell r="B1732">
            <v>8011</v>
          </cell>
          <cell r="C1732" t="str">
            <v>Máy bơm ly tâm</v>
          </cell>
          <cell r="D1732" t="str">
            <v>ca</v>
          </cell>
          <cell r="E1732">
            <v>0.25</v>
          </cell>
          <cell r="F1732">
            <v>25135</v>
          </cell>
          <cell r="G1732">
            <v>6283.75</v>
          </cell>
        </row>
        <row r="1733">
          <cell r="B1733">
            <v>8010</v>
          </cell>
          <cell r="C1733" t="str">
            <v>Máy bơm chân không</v>
          </cell>
          <cell r="D1733" t="str">
            <v>ca</v>
          </cell>
          <cell r="E1733">
            <v>0.25</v>
          </cell>
          <cell r="F1733">
            <v>21010</v>
          </cell>
          <cell r="G1733">
            <v>5252.5</v>
          </cell>
        </row>
        <row r="1734">
          <cell r="B1734">
            <v>8005</v>
          </cell>
          <cell r="C1734" t="str">
            <v>Máy thử cao áp AI-70</v>
          </cell>
          <cell r="D1734" t="str">
            <v>ca</v>
          </cell>
          <cell r="E1734">
            <v>0.1</v>
          </cell>
          <cell r="F1734">
            <v>136162</v>
          </cell>
          <cell r="G1734">
            <v>13616.2</v>
          </cell>
        </row>
        <row r="1735">
          <cell r="A1735" t="str">
            <v>T1.2253</v>
          </cell>
          <cell r="C1735" t="str">
            <v>Lọc dầu bằng máy lọc ép; Mức điện áp trước khi lọc 50KV, mức điện áp sau khi lọc 70KV</v>
          </cell>
          <cell r="D1735" t="str">
            <v>tấn</v>
          </cell>
          <cell r="H1735">
            <v>12109.5</v>
          </cell>
          <cell r="I1735">
            <v>792349.47434210533</v>
          </cell>
          <cell r="J1735">
            <v>46778.130000000005</v>
          </cell>
        </row>
        <row r="1736">
          <cell r="C1736" t="str">
            <v>Vật liệu</v>
          </cell>
          <cell r="G1736">
            <v>12109.5</v>
          </cell>
        </row>
        <row r="1737">
          <cell r="B1737">
            <v>6</v>
          </cell>
          <cell r="C1737" t="str">
            <v>Vải trắng</v>
          </cell>
          <cell r="D1737" t="str">
            <v>m</v>
          </cell>
          <cell r="E1737">
            <v>0.5</v>
          </cell>
          <cell r="F1737">
            <v>15000</v>
          </cell>
          <cell r="G1737">
            <v>7500</v>
          </cell>
        </row>
        <row r="1738">
          <cell r="B1738">
            <v>9</v>
          </cell>
          <cell r="C1738" t="str">
            <v>Giẻ lau</v>
          </cell>
          <cell r="D1738" t="str">
            <v>kg</v>
          </cell>
          <cell r="E1738">
            <v>0.3</v>
          </cell>
          <cell r="F1738">
            <v>9500</v>
          </cell>
          <cell r="G1738">
            <v>2850</v>
          </cell>
        </row>
        <row r="1739">
          <cell r="C1739" t="str">
            <v>Vật liệu khác</v>
          </cell>
          <cell r="D1739" t="str">
            <v>%</v>
          </cell>
          <cell r="E1739">
            <v>17</v>
          </cell>
          <cell r="G1739">
            <v>1759.5000000000002</v>
          </cell>
        </row>
        <row r="1740">
          <cell r="C1740" t="str">
            <v>Nhân công</v>
          </cell>
          <cell r="G1740">
            <v>792349.47434210533</v>
          </cell>
        </row>
        <row r="1741">
          <cell r="B1741" t="str">
            <v>NC1407</v>
          </cell>
          <cell r="C1741" t="str">
            <v>Ngày công bậc 4,0/7</v>
          </cell>
          <cell r="D1741" t="str">
            <v>công</v>
          </cell>
          <cell r="E1741">
            <v>4.07</v>
          </cell>
          <cell r="F1741">
            <v>194680.46052631579</v>
          </cell>
          <cell r="G1741">
            <v>792349.47434210533</v>
          </cell>
        </row>
        <row r="1742">
          <cell r="C1742" t="str">
            <v>Máy thi công</v>
          </cell>
          <cell r="G1742">
            <v>46778.130000000005</v>
          </cell>
        </row>
        <row r="1743">
          <cell r="B1743">
            <v>8004</v>
          </cell>
          <cell r="C1743" t="str">
            <v>Máy lọc ép</v>
          </cell>
          <cell r="D1743" t="str">
            <v>ca</v>
          </cell>
          <cell r="E1743">
            <v>0.86</v>
          </cell>
          <cell r="F1743">
            <v>24073</v>
          </cell>
          <cell r="G1743">
            <v>20702.78</v>
          </cell>
        </row>
        <row r="1744">
          <cell r="B1744">
            <v>8011</v>
          </cell>
          <cell r="C1744" t="str">
            <v>Máy bơm ly tâm</v>
          </cell>
          <cell r="D1744" t="str">
            <v>ca</v>
          </cell>
          <cell r="E1744">
            <v>0.27</v>
          </cell>
          <cell r="F1744">
            <v>25135</v>
          </cell>
          <cell r="G1744">
            <v>6786.4500000000007</v>
          </cell>
        </row>
        <row r="1745">
          <cell r="B1745">
            <v>8010</v>
          </cell>
          <cell r="C1745" t="str">
            <v>Máy bơm chân không</v>
          </cell>
          <cell r="D1745" t="str">
            <v>ca</v>
          </cell>
          <cell r="E1745">
            <v>0.27</v>
          </cell>
          <cell r="F1745">
            <v>21010</v>
          </cell>
          <cell r="G1745">
            <v>5672.7000000000007</v>
          </cell>
        </row>
        <row r="1746">
          <cell r="B1746">
            <v>8005</v>
          </cell>
          <cell r="C1746" t="str">
            <v>Máy thử cao áp AI-70</v>
          </cell>
          <cell r="D1746" t="str">
            <v>ca</v>
          </cell>
          <cell r="E1746">
            <v>0.1</v>
          </cell>
          <cell r="F1746">
            <v>136162</v>
          </cell>
          <cell r="G1746">
            <v>13616.2</v>
          </cell>
        </row>
        <row r="1747">
          <cell r="A1747" t="str">
            <v>T1.2261</v>
          </cell>
          <cell r="C1747" t="str">
            <v>Lọc dầu bằng máy lọc dầu cải tạo YBM-2 (đã có máy hút chân không) hoặc tương đương; Mức điện áp trước khi lọc 50KV, mức điện áp sau khi lọc 55KV</v>
          </cell>
          <cell r="D1747" t="str">
            <v>tấn</v>
          </cell>
          <cell r="H1747">
            <v>11385</v>
          </cell>
          <cell r="I1747">
            <v>622977.47368421056</v>
          </cell>
          <cell r="J1747">
            <v>339463.32</v>
          </cell>
        </row>
        <row r="1748">
          <cell r="C1748" t="str">
            <v>Vật liệu</v>
          </cell>
          <cell r="G1748">
            <v>11385</v>
          </cell>
        </row>
        <row r="1749">
          <cell r="B1749">
            <v>6</v>
          </cell>
          <cell r="C1749" t="str">
            <v>Vải trắng</v>
          </cell>
          <cell r="D1749" t="str">
            <v>m</v>
          </cell>
          <cell r="E1749">
            <v>0.5</v>
          </cell>
          <cell r="F1749">
            <v>15000</v>
          </cell>
          <cell r="G1749">
            <v>7500</v>
          </cell>
        </row>
        <row r="1750">
          <cell r="B1750">
            <v>9</v>
          </cell>
          <cell r="C1750" t="str">
            <v>Giẻ lau</v>
          </cell>
          <cell r="D1750" t="str">
            <v>kg</v>
          </cell>
          <cell r="E1750">
            <v>0.3</v>
          </cell>
          <cell r="F1750">
            <v>9500</v>
          </cell>
          <cell r="G1750">
            <v>2850</v>
          </cell>
        </row>
        <row r="1751">
          <cell r="C1751" t="str">
            <v>Vật liệu khác</v>
          </cell>
          <cell r="D1751" t="str">
            <v>%</v>
          </cell>
          <cell r="E1751">
            <v>10</v>
          </cell>
          <cell r="G1751">
            <v>1035</v>
          </cell>
        </row>
        <row r="1752">
          <cell r="C1752" t="str">
            <v>Nhân công</v>
          </cell>
          <cell r="G1752">
            <v>622977.47368421056</v>
          </cell>
        </row>
        <row r="1753">
          <cell r="B1753" t="str">
            <v>NC1407</v>
          </cell>
          <cell r="C1753" t="str">
            <v>Ngày công bậc 4,0/7</v>
          </cell>
          <cell r="D1753" t="str">
            <v>công</v>
          </cell>
          <cell r="E1753">
            <v>3.2</v>
          </cell>
          <cell r="F1753">
            <v>194680.46052631579</v>
          </cell>
          <cell r="G1753">
            <v>622977.47368421056</v>
          </cell>
        </row>
        <row r="1754">
          <cell r="C1754" t="str">
            <v>Máy thi công</v>
          </cell>
          <cell r="G1754">
            <v>339463.32</v>
          </cell>
        </row>
        <row r="1755">
          <cell r="B1755">
            <v>8002</v>
          </cell>
          <cell r="C1755" t="str">
            <v>Máy lọc dầu cải tạo YBM-2</v>
          </cell>
          <cell r="D1755" t="str">
            <v>ca</v>
          </cell>
          <cell r="E1755">
            <v>0.43</v>
          </cell>
          <cell r="F1755">
            <v>757784</v>
          </cell>
          <cell r="G1755">
            <v>325847.12</v>
          </cell>
        </row>
        <row r="1756">
          <cell r="B1756">
            <v>8005</v>
          </cell>
          <cell r="C1756" t="str">
            <v>Máy thử cao áp AI-70</v>
          </cell>
          <cell r="D1756" t="str">
            <v>ca</v>
          </cell>
          <cell r="E1756">
            <v>0.1</v>
          </cell>
          <cell r="F1756">
            <v>136162</v>
          </cell>
          <cell r="G1756">
            <v>13616.2</v>
          </cell>
        </row>
        <row r="1757">
          <cell r="A1757" t="str">
            <v>T1.2262</v>
          </cell>
          <cell r="C1757" t="str">
            <v>Lọc dầu bằng máy lọc dầu cải tạo YBM-2 (đã có máy hút chân không) hoặc tương đương; Mức điện áp trước khi lọc 50KV, mức điện áp sau khi lọc 60KV</v>
          </cell>
          <cell r="D1757" t="str">
            <v>tấn</v>
          </cell>
          <cell r="H1757">
            <v>11902.5</v>
          </cell>
          <cell r="I1757">
            <v>679434.80723684211</v>
          </cell>
          <cell r="J1757">
            <v>369774.68</v>
          </cell>
        </row>
        <row r="1758">
          <cell r="C1758" t="str">
            <v>Vật liệu</v>
          </cell>
          <cell r="G1758">
            <v>11902.5</v>
          </cell>
        </row>
        <row r="1759">
          <cell r="B1759">
            <v>6</v>
          </cell>
          <cell r="C1759" t="str">
            <v>Vải trắng</v>
          </cell>
          <cell r="D1759" t="str">
            <v>m</v>
          </cell>
          <cell r="E1759">
            <v>0.5</v>
          </cell>
          <cell r="F1759">
            <v>15000</v>
          </cell>
          <cell r="G1759">
            <v>7500</v>
          </cell>
        </row>
        <row r="1760">
          <cell r="B1760">
            <v>9</v>
          </cell>
          <cell r="C1760" t="str">
            <v>Giẻ lau</v>
          </cell>
          <cell r="D1760" t="str">
            <v>kg</v>
          </cell>
          <cell r="E1760">
            <v>0.3</v>
          </cell>
          <cell r="F1760">
            <v>9500</v>
          </cell>
          <cell r="G1760">
            <v>2850</v>
          </cell>
        </row>
        <row r="1761">
          <cell r="C1761" t="str">
            <v>Vật liệu khác</v>
          </cell>
          <cell r="D1761" t="str">
            <v>%</v>
          </cell>
          <cell r="E1761">
            <v>15</v>
          </cell>
          <cell r="G1761">
            <v>1552.5</v>
          </cell>
        </row>
        <row r="1762">
          <cell r="C1762" t="str">
            <v>Nhân công</v>
          </cell>
          <cell r="G1762">
            <v>679434.80723684211</v>
          </cell>
        </row>
        <row r="1763">
          <cell r="B1763" t="str">
            <v>NC1407</v>
          </cell>
          <cell r="C1763" t="str">
            <v>Ngày công bậc 4,0/7</v>
          </cell>
          <cell r="D1763" t="str">
            <v>công</v>
          </cell>
          <cell r="E1763">
            <v>3.49</v>
          </cell>
          <cell r="F1763">
            <v>194680.46052631579</v>
          </cell>
          <cell r="G1763">
            <v>679434.80723684211</v>
          </cell>
        </row>
        <row r="1764">
          <cell r="C1764" t="str">
            <v>Máy thi công</v>
          </cell>
          <cell r="G1764">
            <v>369774.68</v>
          </cell>
        </row>
        <row r="1765">
          <cell r="B1765">
            <v>8002</v>
          </cell>
          <cell r="C1765" t="str">
            <v>Máy lọc dầu cải tạo YBM-2</v>
          </cell>
          <cell r="D1765" t="str">
            <v>ca</v>
          </cell>
          <cell r="E1765">
            <v>0.47</v>
          </cell>
          <cell r="F1765">
            <v>757784</v>
          </cell>
          <cell r="G1765">
            <v>356158.48</v>
          </cell>
        </row>
        <row r="1766">
          <cell r="B1766">
            <v>8005</v>
          </cell>
          <cell r="C1766" t="str">
            <v>Máy thử cao áp AI-70</v>
          </cell>
          <cell r="D1766" t="str">
            <v>ca</v>
          </cell>
          <cell r="E1766">
            <v>0.1</v>
          </cell>
          <cell r="F1766">
            <v>136162</v>
          </cell>
          <cell r="G1766">
            <v>13616.2</v>
          </cell>
        </row>
        <row r="1767">
          <cell r="A1767" t="str">
            <v>T1.2263</v>
          </cell>
          <cell r="C1767" t="str">
            <v>Lọc dầu bằng máy lọc dầu cải tạo YBM-2 (đã có máy hút chân không) hoặc tương đương; Mức điện áp trước khi lọc 50KV, mức điện áp sau khi lọc 70KV</v>
          </cell>
          <cell r="D1767" t="str">
            <v>tấn</v>
          </cell>
          <cell r="H1767">
            <v>12109.5</v>
          </cell>
          <cell r="I1767">
            <v>792349.47434210533</v>
          </cell>
          <cell r="J1767">
            <v>407663.88</v>
          </cell>
        </row>
        <row r="1768">
          <cell r="C1768" t="str">
            <v>Vật liệu</v>
          </cell>
          <cell r="G1768">
            <v>12109.5</v>
          </cell>
        </row>
        <row r="1769">
          <cell r="B1769">
            <v>6</v>
          </cell>
          <cell r="C1769" t="str">
            <v>Vải trắng</v>
          </cell>
          <cell r="D1769" t="str">
            <v>m</v>
          </cell>
          <cell r="E1769">
            <v>0.5</v>
          </cell>
          <cell r="F1769">
            <v>15000</v>
          </cell>
          <cell r="G1769">
            <v>7500</v>
          </cell>
        </row>
        <row r="1770">
          <cell r="B1770">
            <v>9</v>
          </cell>
          <cell r="C1770" t="str">
            <v>Giẻ lau</v>
          </cell>
          <cell r="D1770" t="str">
            <v>kg</v>
          </cell>
          <cell r="E1770">
            <v>0.3</v>
          </cell>
          <cell r="F1770">
            <v>9500</v>
          </cell>
          <cell r="G1770">
            <v>2850</v>
          </cell>
        </row>
        <row r="1771">
          <cell r="C1771" t="str">
            <v>Vật liệu khác</v>
          </cell>
          <cell r="D1771" t="str">
            <v>%</v>
          </cell>
          <cell r="E1771">
            <v>17</v>
          </cell>
          <cell r="G1771">
            <v>1759.5000000000002</v>
          </cell>
        </row>
        <row r="1772">
          <cell r="C1772" t="str">
            <v>Nhân công</v>
          </cell>
          <cell r="G1772">
            <v>792349.47434210533</v>
          </cell>
        </row>
        <row r="1773">
          <cell r="B1773" t="str">
            <v>NC1407</v>
          </cell>
          <cell r="C1773" t="str">
            <v>Ngày công bậc 4,0/7</v>
          </cell>
          <cell r="D1773" t="str">
            <v>công</v>
          </cell>
          <cell r="E1773">
            <v>4.07</v>
          </cell>
          <cell r="F1773">
            <v>194680.46052631579</v>
          </cell>
          <cell r="G1773">
            <v>792349.47434210533</v>
          </cell>
        </row>
        <row r="1774">
          <cell r="C1774" t="str">
            <v>Máy thi công</v>
          </cell>
          <cell r="G1774">
            <v>407663.88</v>
          </cell>
        </row>
        <row r="1775">
          <cell r="B1775">
            <v>8002</v>
          </cell>
          <cell r="C1775" t="str">
            <v>Máy lọc dầu cải tạo YBM-2</v>
          </cell>
          <cell r="D1775" t="str">
            <v>ca</v>
          </cell>
          <cell r="E1775">
            <v>0.52</v>
          </cell>
          <cell r="F1775">
            <v>757784</v>
          </cell>
          <cell r="G1775">
            <v>394047.68</v>
          </cell>
        </row>
        <row r="1776">
          <cell r="B1776">
            <v>8005</v>
          </cell>
          <cell r="C1776" t="str">
            <v>Máy thử cao áp AI-70</v>
          </cell>
          <cell r="D1776" t="str">
            <v>ca</v>
          </cell>
          <cell r="E1776">
            <v>0.1</v>
          </cell>
          <cell r="F1776">
            <v>136162</v>
          </cell>
          <cell r="G1776">
            <v>13616.2</v>
          </cell>
        </row>
        <row r="1777">
          <cell r="A1777" t="str">
            <v>T1.2271</v>
          </cell>
          <cell r="C1777" t="str">
            <v>Lọc dầu bằng máy lọc dầu hợp bộ KATO KLVC-4AXVSO hoặc tương đương; Mức điện áp trước khi lọc 50KV, mức điện áp sau khi lọc 55KV</v>
          </cell>
          <cell r="D1777" t="str">
            <v>tấn</v>
          </cell>
          <cell r="H1777">
            <v>11385</v>
          </cell>
          <cell r="I1777">
            <v>622977.47368421056</v>
          </cell>
          <cell r="J1777">
            <v>301116.35800000001</v>
          </cell>
        </row>
        <row r="1778">
          <cell r="C1778" t="str">
            <v>Vật liệu</v>
          </cell>
          <cell r="G1778">
            <v>11385</v>
          </cell>
        </row>
        <row r="1779">
          <cell r="B1779">
            <v>6</v>
          </cell>
          <cell r="C1779" t="str">
            <v>Vải trắng</v>
          </cell>
          <cell r="D1779" t="str">
            <v>m</v>
          </cell>
          <cell r="E1779">
            <v>0.5</v>
          </cell>
          <cell r="F1779">
            <v>15000</v>
          </cell>
          <cell r="G1779">
            <v>7500</v>
          </cell>
        </row>
        <row r="1780">
          <cell r="B1780">
            <v>9</v>
          </cell>
          <cell r="C1780" t="str">
            <v>Giẻ lau</v>
          </cell>
          <cell r="D1780" t="str">
            <v>kg</v>
          </cell>
          <cell r="E1780">
            <v>0.3</v>
          </cell>
          <cell r="F1780">
            <v>9500</v>
          </cell>
          <cell r="G1780">
            <v>2850</v>
          </cell>
        </row>
        <row r="1781">
          <cell r="B1781">
            <v>117</v>
          </cell>
          <cell r="C1781" t="str">
            <v>Vật liệu khác</v>
          </cell>
          <cell r="D1781" t="str">
            <v>%</v>
          </cell>
          <cell r="E1781">
            <v>10</v>
          </cell>
          <cell r="G1781">
            <v>1035</v>
          </cell>
        </row>
        <row r="1782">
          <cell r="C1782" t="str">
            <v>Nhân công</v>
          </cell>
          <cell r="G1782">
            <v>622977.47368421056</v>
          </cell>
        </row>
        <row r="1783">
          <cell r="B1783" t="str">
            <v>NC1407</v>
          </cell>
          <cell r="C1783" t="str">
            <v>Ngày công bậc 4,0/7</v>
          </cell>
          <cell r="D1783" t="str">
            <v>công</v>
          </cell>
          <cell r="E1783">
            <v>3.2</v>
          </cell>
          <cell r="F1783">
            <v>194680.46052631579</v>
          </cell>
          <cell r="G1783">
            <v>622977.47368421056</v>
          </cell>
        </row>
        <row r="1784">
          <cell r="C1784" t="str">
            <v>Máy thi công</v>
          </cell>
          <cell r="G1784">
            <v>301116.35800000001</v>
          </cell>
        </row>
        <row r="1785">
          <cell r="B1785">
            <v>8003</v>
          </cell>
          <cell r="C1785" t="str">
            <v>Máy lọc dầu hợp bộ KATO KLVC-4AXVSO</v>
          </cell>
          <cell r="D1785" t="str">
            <v>ca</v>
          </cell>
          <cell r="E1785">
            <v>0.19800000000000001</v>
          </cell>
          <cell r="F1785">
            <v>1452021</v>
          </cell>
          <cell r="G1785">
            <v>287500.158</v>
          </cell>
        </row>
        <row r="1786">
          <cell r="B1786">
            <v>8005</v>
          </cell>
          <cell r="C1786" t="str">
            <v>Máy thử cao áp AI-70</v>
          </cell>
          <cell r="D1786" t="str">
            <v>ca</v>
          </cell>
          <cell r="E1786">
            <v>0.1</v>
          </cell>
          <cell r="F1786">
            <v>136162</v>
          </cell>
          <cell r="G1786">
            <v>13616.2</v>
          </cell>
        </row>
        <row r="1787">
          <cell r="A1787" t="str">
            <v>T1.2272</v>
          </cell>
          <cell r="C1787" t="str">
            <v>Lọc dầu bằng máy lọc dầu hợp bộ KATO KLVC-4AXVSO hoặc tương đương; Mức điện áp trước khi lọc 50KV, mức điện áp sau khi lọc 60KV</v>
          </cell>
          <cell r="D1787" t="str">
            <v>tấn</v>
          </cell>
          <cell r="H1787">
            <v>11902.5</v>
          </cell>
          <cell r="I1787">
            <v>679434.80723684211</v>
          </cell>
          <cell r="J1787">
            <v>372265.38699999999</v>
          </cell>
        </row>
        <row r="1788">
          <cell r="C1788" t="str">
            <v>Vật liệu</v>
          </cell>
          <cell r="G1788">
            <v>11902.5</v>
          </cell>
        </row>
        <row r="1789">
          <cell r="B1789">
            <v>6</v>
          </cell>
          <cell r="C1789" t="str">
            <v>Vải trắng</v>
          </cell>
          <cell r="D1789" t="str">
            <v>m</v>
          </cell>
          <cell r="E1789">
            <v>0.5</v>
          </cell>
          <cell r="F1789">
            <v>15000</v>
          </cell>
          <cell r="G1789">
            <v>7500</v>
          </cell>
        </row>
        <row r="1790">
          <cell r="B1790">
            <v>9</v>
          </cell>
          <cell r="C1790" t="str">
            <v>Giẻ lau</v>
          </cell>
          <cell r="D1790" t="str">
            <v>kg</v>
          </cell>
          <cell r="E1790">
            <v>0.3</v>
          </cell>
          <cell r="F1790">
            <v>9500</v>
          </cell>
          <cell r="G1790">
            <v>2850</v>
          </cell>
        </row>
        <row r="1791">
          <cell r="B1791">
            <v>117</v>
          </cell>
          <cell r="C1791" t="str">
            <v>Vật liệu khác</v>
          </cell>
          <cell r="D1791" t="str">
            <v>%</v>
          </cell>
          <cell r="E1791">
            <v>15</v>
          </cell>
          <cell r="G1791">
            <v>1552.5</v>
          </cell>
        </row>
        <row r="1792">
          <cell r="C1792" t="str">
            <v>Nhân công</v>
          </cell>
          <cell r="G1792">
            <v>679434.80723684211</v>
          </cell>
        </row>
        <row r="1793">
          <cell r="B1793" t="str">
            <v>NC1407</v>
          </cell>
          <cell r="C1793" t="str">
            <v>Ngày công bậc 4,0/7</v>
          </cell>
          <cell r="D1793" t="str">
            <v>công</v>
          </cell>
          <cell r="E1793">
            <v>3.49</v>
          </cell>
          <cell r="F1793">
            <v>194680.46052631579</v>
          </cell>
          <cell r="G1793">
            <v>679434.80723684211</v>
          </cell>
        </row>
        <row r="1794">
          <cell r="C1794" t="str">
            <v>Máy thi công</v>
          </cell>
          <cell r="G1794">
            <v>372265.38699999999</v>
          </cell>
        </row>
        <row r="1795">
          <cell r="B1795">
            <v>8003</v>
          </cell>
          <cell r="C1795" t="str">
            <v>Máy lọc dầu hợp bộ KATO KLVC-4AXVSO</v>
          </cell>
          <cell r="D1795" t="str">
            <v>ca</v>
          </cell>
          <cell r="E1795">
            <v>0.247</v>
          </cell>
          <cell r="F1795">
            <v>1452021</v>
          </cell>
          <cell r="G1795">
            <v>358649.18699999998</v>
          </cell>
        </row>
        <row r="1796">
          <cell r="B1796">
            <v>8005</v>
          </cell>
          <cell r="C1796" t="str">
            <v>Máy thử cao áp AI-70</v>
          </cell>
          <cell r="D1796" t="str">
            <v>ca</v>
          </cell>
          <cell r="E1796">
            <v>0.1</v>
          </cell>
          <cell r="F1796">
            <v>136162</v>
          </cell>
          <cell r="G1796">
            <v>13616.2</v>
          </cell>
        </row>
        <row r="1797">
          <cell r="A1797" t="str">
            <v>T1.2273</v>
          </cell>
          <cell r="C1797" t="str">
            <v>Lọc dầu bằng máy lọc dầu hợp bộ KATO KLVC-4AXVSO hoặc tương đương; Mức điện áp trước khi lọc 50KV, mức điện áp sau khi lọc 70KV</v>
          </cell>
          <cell r="D1797" t="str">
            <v>tấn</v>
          </cell>
          <cell r="H1797">
            <v>12109.5</v>
          </cell>
          <cell r="I1797">
            <v>792349.47434210533</v>
          </cell>
          <cell r="J1797">
            <v>507303.34</v>
          </cell>
        </row>
        <row r="1798">
          <cell r="C1798" t="str">
            <v>Vật liệu</v>
          </cell>
          <cell r="G1798">
            <v>12109.5</v>
          </cell>
        </row>
        <row r="1799">
          <cell r="B1799">
            <v>6</v>
          </cell>
          <cell r="C1799" t="str">
            <v>Vải trắng</v>
          </cell>
          <cell r="D1799" t="str">
            <v>m</v>
          </cell>
          <cell r="E1799">
            <v>0.5</v>
          </cell>
          <cell r="F1799">
            <v>15000</v>
          </cell>
          <cell r="G1799">
            <v>7500</v>
          </cell>
        </row>
        <row r="1800">
          <cell r="B1800">
            <v>9</v>
          </cell>
          <cell r="C1800" t="str">
            <v>Giẻ lau</v>
          </cell>
          <cell r="D1800" t="str">
            <v>kg</v>
          </cell>
          <cell r="E1800">
            <v>0.3</v>
          </cell>
          <cell r="F1800">
            <v>9500</v>
          </cell>
          <cell r="G1800">
            <v>2850</v>
          </cell>
        </row>
        <row r="1801">
          <cell r="B1801">
            <v>117</v>
          </cell>
          <cell r="C1801" t="str">
            <v>Vật liệu khác</v>
          </cell>
          <cell r="D1801" t="str">
            <v>%</v>
          </cell>
          <cell r="E1801">
            <v>17</v>
          </cell>
          <cell r="G1801">
            <v>1759.5000000000002</v>
          </cell>
        </row>
        <row r="1802">
          <cell r="C1802" t="str">
            <v>Nhân công</v>
          </cell>
          <cell r="G1802">
            <v>792349.47434210533</v>
          </cell>
        </row>
        <row r="1803">
          <cell r="B1803" t="str">
            <v>NC1407</v>
          </cell>
          <cell r="C1803" t="str">
            <v>Ngày công bậc 4,0/7</v>
          </cell>
          <cell r="D1803" t="str">
            <v>công</v>
          </cell>
          <cell r="E1803">
            <v>4.07</v>
          </cell>
          <cell r="F1803">
            <v>194680.46052631579</v>
          </cell>
          <cell r="G1803">
            <v>792349.47434210533</v>
          </cell>
        </row>
        <row r="1804">
          <cell r="C1804" t="str">
            <v>Máy thi công</v>
          </cell>
          <cell r="G1804">
            <v>507303.34</v>
          </cell>
        </row>
        <row r="1805">
          <cell r="B1805">
            <v>8003</v>
          </cell>
          <cell r="C1805" t="str">
            <v>Máy lọc dầu hợp bộ KATO KLVC-4AXVSO</v>
          </cell>
          <cell r="D1805" t="str">
            <v>ca</v>
          </cell>
          <cell r="E1805">
            <v>0.34</v>
          </cell>
          <cell r="F1805">
            <v>1452021</v>
          </cell>
          <cell r="G1805">
            <v>493687.14</v>
          </cell>
        </row>
        <row r="1806">
          <cell r="B1806">
            <v>8005</v>
          </cell>
          <cell r="C1806" t="str">
            <v>Máy thử cao áp AI-70</v>
          </cell>
          <cell r="D1806" t="str">
            <v>ca</v>
          </cell>
          <cell r="E1806">
            <v>0.1</v>
          </cell>
          <cell r="F1806">
            <v>136162</v>
          </cell>
          <cell r="G1806">
            <v>13616.2</v>
          </cell>
        </row>
        <row r="1807">
          <cell r="A1807" t="str">
            <v>T1.2254</v>
          </cell>
          <cell r="C1807" t="str">
            <v>Lọc dầu bằng máy lọc ép; Mức điện áp trước khi lọc 55KV, mức điện áp sau khi lọc 60KV</v>
          </cell>
          <cell r="D1807" t="str">
            <v>tấn</v>
          </cell>
          <cell r="H1807">
            <v>11385</v>
          </cell>
          <cell r="I1807">
            <v>638551.9105263158</v>
          </cell>
          <cell r="J1807">
            <v>41562.11</v>
          </cell>
        </row>
        <row r="1808">
          <cell r="C1808" t="str">
            <v>Vật liệu</v>
          </cell>
          <cell r="G1808">
            <v>11385</v>
          </cell>
        </row>
        <row r="1809">
          <cell r="B1809">
            <v>6</v>
          </cell>
          <cell r="C1809" t="str">
            <v>Vải trắng</v>
          </cell>
          <cell r="D1809" t="str">
            <v>m</v>
          </cell>
          <cell r="E1809">
            <v>0.5</v>
          </cell>
          <cell r="F1809">
            <v>15000</v>
          </cell>
          <cell r="G1809">
            <v>7500</v>
          </cell>
        </row>
        <row r="1810">
          <cell r="B1810">
            <v>9</v>
          </cell>
          <cell r="C1810" t="str">
            <v>Giẻ lau</v>
          </cell>
          <cell r="D1810" t="str">
            <v>kg</v>
          </cell>
          <cell r="E1810">
            <v>0.3</v>
          </cell>
          <cell r="F1810">
            <v>9500</v>
          </cell>
          <cell r="G1810">
            <v>2850</v>
          </cell>
        </row>
        <row r="1811">
          <cell r="B1811">
            <v>117</v>
          </cell>
          <cell r="C1811" t="str">
            <v>Vật liệu khác</v>
          </cell>
          <cell r="D1811" t="str">
            <v>%</v>
          </cell>
          <cell r="E1811">
            <v>10</v>
          </cell>
          <cell r="G1811">
            <v>1035</v>
          </cell>
        </row>
        <row r="1812">
          <cell r="C1812" t="str">
            <v>Nhân công</v>
          </cell>
          <cell r="G1812">
            <v>638551.9105263158</v>
          </cell>
        </row>
        <row r="1813">
          <cell r="B1813" t="str">
            <v>NC1407</v>
          </cell>
          <cell r="C1813" t="str">
            <v>Ngày công bậc 4,0/7</v>
          </cell>
          <cell r="D1813" t="str">
            <v>công</v>
          </cell>
          <cell r="E1813">
            <v>3.28</v>
          </cell>
          <cell r="F1813">
            <v>194680.46052631579</v>
          </cell>
          <cell r="G1813">
            <v>638551.9105263158</v>
          </cell>
        </row>
        <row r="1814">
          <cell r="C1814" t="str">
            <v>Máy thi công</v>
          </cell>
          <cell r="G1814">
            <v>41562.11</v>
          </cell>
        </row>
        <row r="1815">
          <cell r="B1815">
            <v>8004</v>
          </cell>
          <cell r="C1815" t="str">
            <v>Máy lọc ép</v>
          </cell>
          <cell r="D1815" t="str">
            <v>ca</v>
          </cell>
          <cell r="E1815">
            <v>0.72</v>
          </cell>
          <cell r="F1815">
            <v>24073</v>
          </cell>
          <cell r="G1815">
            <v>17332.559999999998</v>
          </cell>
        </row>
        <row r="1816">
          <cell r="B1816">
            <v>8011</v>
          </cell>
          <cell r="C1816" t="str">
            <v>Máy bơm ly tâm</v>
          </cell>
          <cell r="D1816" t="str">
            <v>ca</v>
          </cell>
          <cell r="E1816">
            <v>0.23</v>
          </cell>
          <cell r="F1816">
            <v>25135</v>
          </cell>
          <cell r="G1816">
            <v>5781.05</v>
          </cell>
        </row>
        <row r="1817">
          <cell r="B1817">
            <v>8010</v>
          </cell>
          <cell r="C1817" t="str">
            <v>Máy bơm chân không</v>
          </cell>
          <cell r="D1817" t="str">
            <v>ca</v>
          </cell>
          <cell r="E1817">
            <v>0.23</v>
          </cell>
          <cell r="F1817">
            <v>21010</v>
          </cell>
          <cell r="G1817">
            <v>4832.3</v>
          </cell>
        </row>
        <row r="1818">
          <cell r="B1818">
            <v>8005</v>
          </cell>
          <cell r="C1818" t="str">
            <v>Máy thử cao áp AI-70</v>
          </cell>
          <cell r="D1818" t="str">
            <v>ca</v>
          </cell>
          <cell r="E1818">
            <v>0.1</v>
          </cell>
          <cell r="F1818">
            <v>136162</v>
          </cell>
          <cell r="G1818">
            <v>13616.2</v>
          </cell>
        </row>
        <row r="1819">
          <cell r="A1819" t="str">
            <v>T1.2255</v>
          </cell>
          <cell r="C1819" t="str">
            <v>Lọc dầu bằng máy lọc ép; Mức điện áp trước khi lọc 55KV, mức điện áp sau khi lọc 70KV</v>
          </cell>
          <cell r="D1819" t="str">
            <v>tấn</v>
          </cell>
          <cell r="H1819">
            <v>11643.75</v>
          </cell>
          <cell r="I1819">
            <v>745626.16381578951</v>
          </cell>
          <cell r="J1819">
            <v>44170.12</v>
          </cell>
        </row>
        <row r="1820">
          <cell r="C1820" t="str">
            <v>Vật liệu</v>
          </cell>
          <cell r="G1820">
            <v>11643.75</v>
          </cell>
        </row>
        <row r="1821">
          <cell r="B1821">
            <v>6</v>
          </cell>
          <cell r="C1821" t="str">
            <v>Vải trắng</v>
          </cell>
          <cell r="D1821" t="str">
            <v>m</v>
          </cell>
          <cell r="E1821">
            <v>0.5</v>
          </cell>
          <cell r="F1821">
            <v>15000</v>
          </cell>
          <cell r="G1821">
            <v>7500</v>
          </cell>
        </row>
        <row r="1822">
          <cell r="B1822">
            <v>9</v>
          </cell>
          <cell r="C1822" t="str">
            <v>Giẻ lau</v>
          </cell>
          <cell r="D1822" t="str">
            <v>kg</v>
          </cell>
          <cell r="E1822">
            <v>0.3</v>
          </cell>
          <cell r="F1822">
            <v>9500</v>
          </cell>
          <cell r="G1822">
            <v>2850</v>
          </cell>
        </row>
        <row r="1823">
          <cell r="C1823" t="str">
            <v>Vật liệu khác</v>
          </cell>
          <cell r="D1823" t="str">
            <v>%</v>
          </cell>
          <cell r="E1823">
            <v>12.5</v>
          </cell>
          <cell r="G1823">
            <v>1293.75</v>
          </cell>
        </row>
        <row r="1824">
          <cell r="C1824" t="str">
            <v>Nhân công</v>
          </cell>
          <cell r="G1824">
            <v>745626.16381578951</v>
          </cell>
        </row>
        <row r="1825">
          <cell r="B1825" t="str">
            <v>NC1407</v>
          </cell>
          <cell r="C1825" t="str">
            <v>Ngày công bậc 4,0/7</v>
          </cell>
          <cell r="D1825" t="str">
            <v>công</v>
          </cell>
          <cell r="E1825">
            <v>3.83</v>
          </cell>
          <cell r="F1825">
            <v>194680.46052631579</v>
          </cell>
          <cell r="G1825">
            <v>745626.16381578951</v>
          </cell>
        </row>
        <row r="1826">
          <cell r="C1826" t="str">
            <v>Máy thi công</v>
          </cell>
          <cell r="G1826">
            <v>44170.12</v>
          </cell>
        </row>
        <row r="1827">
          <cell r="B1827">
            <v>8004</v>
          </cell>
          <cell r="C1827" t="str">
            <v>Máy lọc ép</v>
          </cell>
          <cell r="D1827" t="str">
            <v>ca</v>
          </cell>
          <cell r="E1827">
            <v>0.79</v>
          </cell>
          <cell r="F1827">
            <v>24073</v>
          </cell>
          <cell r="G1827">
            <v>19017.670000000002</v>
          </cell>
        </row>
        <row r="1828">
          <cell r="B1828">
            <v>8011</v>
          </cell>
          <cell r="C1828" t="str">
            <v>Máy bơm ly tâm</v>
          </cell>
          <cell r="D1828" t="str">
            <v>ca</v>
          </cell>
          <cell r="E1828">
            <v>0.25</v>
          </cell>
          <cell r="F1828">
            <v>25135</v>
          </cell>
          <cell r="G1828">
            <v>6283.75</v>
          </cell>
        </row>
        <row r="1829">
          <cell r="B1829">
            <v>8010</v>
          </cell>
          <cell r="C1829" t="str">
            <v>Máy bơm chân không</v>
          </cell>
          <cell r="D1829" t="str">
            <v>ca</v>
          </cell>
          <cell r="E1829">
            <v>0.25</v>
          </cell>
          <cell r="F1829">
            <v>21010</v>
          </cell>
          <cell r="G1829">
            <v>5252.5</v>
          </cell>
        </row>
        <row r="1830">
          <cell r="B1830">
            <v>8005</v>
          </cell>
          <cell r="C1830" t="str">
            <v>Máy thử cao áp AI-70</v>
          </cell>
          <cell r="D1830" t="str">
            <v>ca</v>
          </cell>
          <cell r="E1830">
            <v>0.1</v>
          </cell>
          <cell r="F1830">
            <v>136162</v>
          </cell>
          <cell r="G1830">
            <v>13616.2</v>
          </cell>
        </row>
        <row r="1831">
          <cell r="A1831" t="str">
            <v>T1.2256</v>
          </cell>
          <cell r="C1831" t="str">
            <v>Lọc dầu bằng máy lọc ép; Mức điện áp trước khi lọc =&gt;60KV, mức điện áp sau khi lọc =&gt;70KV</v>
          </cell>
          <cell r="D1831" t="str">
            <v>tấn</v>
          </cell>
          <cell r="H1831">
            <v>11385</v>
          </cell>
          <cell r="I1831">
            <v>778721.84210526315</v>
          </cell>
          <cell r="J1831">
            <v>44170.12</v>
          </cell>
        </row>
        <row r="1832">
          <cell r="C1832" t="str">
            <v>Vật liệu</v>
          </cell>
          <cell r="G1832">
            <v>11385</v>
          </cell>
        </row>
        <row r="1833">
          <cell r="B1833">
            <v>6</v>
          </cell>
          <cell r="C1833" t="str">
            <v>Vải trắng</v>
          </cell>
          <cell r="D1833" t="str">
            <v>m</v>
          </cell>
          <cell r="E1833">
            <v>0.5</v>
          </cell>
          <cell r="F1833">
            <v>15000</v>
          </cell>
          <cell r="G1833">
            <v>7500</v>
          </cell>
        </row>
        <row r="1834">
          <cell r="B1834">
            <v>9</v>
          </cell>
          <cell r="C1834" t="str">
            <v>Giẻ lau</v>
          </cell>
          <cell r="D1834" t="str">
            <v>kg</v>
          </cell>
          <cell r="E1834">
            <v>0.3</v>
          </cell>
          <cell r="F1834">
            <v>9500</v>
          </cell>
          <cell r="G1834">
            <v>2850</v>
          </cell>
        </row>
        <row r="1835">
          <cell r="C1835" t="str">
            <v>Vật liệu khác</v>
          </cell>
          <cell r="D1835" t="str">
            <v>%</v>
          </cell>
          <cell r="E1835">
            <v>10</v>
          </cell>
          <cell r="G1835">
            <v>1035</v>
          </cell>
        </row>
        <row r="1836">
          <cell r="C1836" t="str">
            <v>Nhân công</v>
          </cell>
          <cell r="G1836">
            <v>778721.84210526315</v>
          </cell>
        </row>
        <row r="1837">
          <cell r="B1837" t="str">
            <v>NC1407</v>
          </cell>
          <cell r="C1837" t="str">
            <v>Ngày công bậc 4,0/7</v>
          </cell>
          <cell r="D1837" t="str">
            <v>công</v>
          </cell>
          <cell r="E1837">
            <v>4</v>
          </cell>
          <cell r="F1837">
            <v>194680.46052631579</v>
          </cell>
          <cell r="G1837">
            <v>778721.84210526315</v>
          </cell>
        </row>
        <row r="1838">
          <cell r="C1838" t="str">
            <v>Máy thi công</v>
          </cell>
          <cell r="G1838">
            <v>44170.12</v>
          </cell>
        </row>
        <row r="1839">
          <cell r="B1839">
            <v>8004</v>
          </cell>
          <cell r="C1839" t="str">
            <v>Máy lọc ép</v>
          </cell>
          <cell r="D1839" t="str">
            <v>ca</v>
          </cell>
          <cell r="E1839">
            <v>0.79</v>
          </cell>
          <cell r="F1839">
            <v>24073</v>
          </cell>
          <cell r="G1839">
            <v>19017.670000000002</v>
          </cell>
        </row>
        <row r="1840">
          <cell r="B1840">
            <v>8011</v>
          </cell>
          <cell r="C1840" t="str">
            <v>Máy bơm ly tâm</v>
          </cell>
          <cell r="D1840" t="str">
            <v>ca</v>
          </cell>
          <cell r="E1840">
            <v>0.25</v>
          </cell>
          <cell r="F1840">
            <v>25135</v>
          </cell>
          <cell r="G1840">
            <v>6283.75</v>
          </cell>
        </row>
        <row r="1841">
          <cell r="B1841">
            <v>8010</v>
          </cell>
          <cell r="C1841" t="str">
            <v>Máy bơm chân không</v>
          </cell>
          <cell r="D1841" t="str">
            <v>ca</v>
          </cell>
          <cell r="E1841">
            <v>0.25</v>
          </cell>
          <cell r="F1841">
            <v>21010</v>
          </cell>
          <cell r="G1841">
            <v>5252.5</v>
          </cell>
        </row>
        <row r="1842">
          <cell r="B1842">
            <v>8005</v>
          </cell>
          <cell r="C1842" t="str">
            <v>Máy thử cao áp AI-70</v>
          </cell>
          <cell r="D1842" t="str">
            <v>ca</v>
          </cell>
          <cell r="E1842">
            <v>0.1</v>
          </cell>
          <cell r="F1842">
            <v>136162</v>
          </cell>
          <cell r="G1842">
            <v>13616.2</v>
          </cell>
        </row>
        <row r="1843">
          <cell r="A1843" t="str">
            <v>T1.2264</v>
          </cell>
          <cell r="C1843" t="str">
            <v>Lọc dầu bằng máy lọc dầu cải tạo YBM-2 (đã có máy hút chân không) hoặc tương đương; Mức điện áp trước khi lọc 55KV, mức điện áp sau khi lọc 60KV</v>
          </cell>
          <cell r="D1843" t="str">
            <v>tấn</v>
          </cell>
          <cell r="H1843">
            <v>11385</v>
          </cell>
          <cell r="I1843">
            <v>638551.9105263158</v>
          </cell>
          <cell r="J1843">
            <v>339463.32</v>
          </cell>
        </row>
        <row r="1844">
          <cell r="C1844" t="str">
            <v>Vật liệu</v>
          </cell>
          <cell r="G1844">
            <v>11385</v>
          </cell>
        </row>
        <row r="1845">
          <cell r="B1845">
            <v>6</v>
          </cell>
          <cell r="C1845" t="str">
            <v>Vải trắng</v>
          </cell>
          <cell r="D1845" t="str">
            <v>m</v>
          </cell>
          <cell r="E1845">
            <v>0.5</v>
          </cell>
          <cell r="F1845">
            <v>15000</v>
          </cell>
          <cell r="G1845">
            <v>7500</v>
          </cell>
        </row>
        <row r="1846">
          <cell r="B1846">
            <v>9</v>
          </cell>
          <cell r="C1846" t="str">
            <v>Giẻ lau</v>
          </cell>
          <cell r="D1846" t="str">
            <v>kg</v>
          </cell>
          <cell r="E1846">
            <v>0.3</v>
          </cell>
          <cell r="F1846">
            <v>9500</v>
          </cell>
          <cell r="G1846">
            <v>2850</v>
          </cell>
        </row>
        <row r="1847">
          <cell r="C1847" t="str">
            <v>Vật liệu khác</v>
          </cell>
          <cell r="D1847" t="str">
            <v>%</v>
          </cell>
          <cell r="E1847">
            <v>10</v>
          </cell>
          <cell r="G1847">
            <v>1035</v>
          </cell>
        </row>
        <row r="1848">
          <cell r="C1848" t="str">
            <v>Nhân công</v>
          </cell>
          <cell r="G1848">
            <v>638551.9105263158</v>
          </cell>
        </row>
        <row r="1849">
          <cell r="B1849" t="str">
            <v>NC1407</v>
          </cell>
          <cell r="C1849" t="str">
            <v>Ngày công bậc 4,0/7</v>
          </cell>
          <cell r="D1849" t="str">
            <v>công</v>
          </cell>
          <cell r="E1849">
            <v>3.28</v>
          </cell>
          <cell r="F1849">
            <v>194680.46052631579</v>
          </cell>
          <cell r="G1849">
            <v>638551.9105263158</v>
          </cell>
        </row>
        <row r="1850">
          <cell r="C1850" t="str">
            <v>Máy thi công</v>
          </cell>
          <cell r="G1850">
            <v>339463.32</v>
          </cell>
        </row>
        <row r="1851">
          <cell r="B1851">
            <v>8002</v>
          </cell>
          <cell r="C1851" t="str">
            <v>Máy lọc dầu cải tạo YBM-2</v>
          </cell>
          <cell r="D1851" t="str">
            <v>ca</v>
          </cell>
          <cell r="E1851">
            <v>0.43</v>
          </cell>
          <cell r="F1851">
            <v>757784</v>
          </cell>
          <cell r="G1851">
            <v>325847.12</v>
          </cell>
        </row>
        <row r="1852">
          <cell r="B1852">
            <v>8005</v>
          </cell>
          <cell r="C1852" t="str">
            <v>Máy thử cao áp AI-70</v>
          </cell>
          <cell r="D1852" t="str">
            <v>ca</v>
          </cell>
          <cell r="E1852">
            <v>0.1</v>
          </cell>
          <cell r="F1852">
            <v>136162</v>
          </cell>
          <cell r="G1852">
            <v>13616.2</v>
          </cell>
        </row>
        <row r="1853">
          <cell r="A1853" t="str">
            <v>T1.2265</v>
          </cell>
          <cell r="C1853" t="str">
            <v>Lọc dầu bằng máy lọc dầu cải tạo YBM-2 (đã có máy hút chân không) hoặc tương đương; Mức điện áp trước khi lọc 55KV, mức điện áp sau khi lọc 70KV</v>
          </cell>
          <cell r="D1853" t="str">
            <v>tấn</v>
          </cell>
          <cell r="H1853">
            <v>11643.75</v>
          </cell>
          <cell r="I1853">
            <v>745626.16381578951</v>
          </cell>
          <cell r="J1853">
            <v>369774.68</v>
          </cell>
        </row>
        <row r="1854">
          <cell r="C1854" t="str">
            <v>Vật liệu</v>
          </cell>
          <cell r="G1854">
            <v>11643.75</v>
          </cell>
        </row>
        <row r="1855">
          <cell r="B1855">
            <v>6</v>
          </cell>
          <cell r="C1855" t="str">
            <v>Vải trắng</v>
          </cell>
          <cell r="D1855" t="str">
            <v>m</v>
          </cell>
          <cell r="E1855">
            <v>0.5</v>
          </cell>
          <cell r="F1855">
            <v>15000</v>
          </cell>
          <cell r="G1855">
            <v>7500</v>
          </cell>
        </row>
        <row r="1856">
          <cell r="B1856">
            <v>9</v>
          </cell>
          <cell r="C1856" t="str">
            <v>Giẻ lau</v>
          </cell>
          <cell r="D1856" t="str">
            <v>kg</v>
          </cell>
          <cell r="E1856">
            <v>0.3</v>
          </cell>
          <cell r="F1856">
            <v>9500</v>
          </cell>
          <cell r="G1856">
            <v>2850</v>
          </cell>
        </row>
        <row r="1857">
          <cell r="C1857" t="str">
            <v>Vật liệu khác</v>
          </cell>
          <cell r="D1857" t="str">
            <v>%</v>
          </cell>
          <cell r="E1857">
            <v>12.5</v>
          </cell>
          <cell r="G1857">
            <v>1293.75</v>
          </cell>
        </row>
        <row r="1858">
          <cell r="C1858" t="str">
            <v>Nhân công</v>
          </cell>
          <cell r="G1858">
            <v>745626.16381578951</v>
          </cell>
        </row>
        <row r="1859">
          <cell r="B1859" t="str">
            <v>NC1407</v>
          </cell>
          <cell r="C1859" t="str">
            <v>Ngày công bậc 4,0/7</v>
          </cell>
          <cell r="D1859" t="str">
            <v>công</v>
          </cell>
          <cell r="E1859">
            <v>3.83</v>
          </cell>
          <cell r="F1859">
            <v>194680.46052631579</v>
          </cell>
          <cell r="G1859">
            <v>745626.16381578951</v>
          </cell>
        </row>
        <row r="1860">
          <cell r="C1860" t="str">
            <v>Máy thi công</v>
          </cell>
          <cell r="G1860">
            <v>369774.68</v>
          </cell>
        </row>
        <row r="1861">
          <cell r="B1861">
            <v>8002</v>
          </cell>
          <cell r="C1861" t="str">
            <v>Máy lọc dầu cải tạo YBM-2</v>
          </cell>
          <cell r="D1861" t="str">
            <v>ca</v>
          </cell>
          <cell r="E1861">
            <v>0.47</v>
          </cell>
          <cell r="F1861">
            <v>757784</v>
          </cell>
          <cell r="G1861">
            <v>356158.48</v>
          </cell>
        </row>
        <row r="1862">
          <cell r="B1862">
            <v>8005</v>
          </cell>
          <cell r="C1862" t="str">
            <v>Máy thử cao áp AI-70</v>
          </cell>
          <cell r="D1862" t="str">
            <v>ca</v>
          </cell>
          <cell r="E1862">
            <v>0.1</v>
          </cell>
          <cell r="F1862">
            <v>136162</v>
          </cell>
          <cell r="G1862">
            <v>13616.2</v>
          </cell>
        </row>
        <row r="1863">
          <cell r="A1863" t="str">
            <v>T1.2266</v>
          </cell>
          <cell r="C1863" t="str">
            <v>Lọc dầu bằng máy lọc dầu cải tạo YBM-2 (đã có máy hút chân không) hoặc tương đương; Mức điện áp trước khi lọc =&gt;60KV, mức điện áp sau khi lọc =&gt;70KV</v>
          </cell>
          <cell r="D1863" t="str">
            <v>tấn</v>
          </cell>
          <cell r="H1863">
            <v>11385</v>
          </cell>
          <cell r="I1863">
            <v>778721.84210526315</v>
          </cell>
          <cell r="J1863">
            <v>24930.510000000002</v>
          </cell>
        </row>
        <row r="1864">
          <cell r="C1864" t="str">
            <v>Vật liệu</v>
          </cell>
          <cell r="G1864">
            <v>11385</v>
          </cell>
        </row>
        <row r="1865">
          <cell r="B1865">
            <v>6</v>
          </cell>
          <cell r="C1865" t="str">
            <v>Vải trắng</v>
          </cell>
          <cell r="D1865" t="str">
            <v>m</v>
          </cell>
          <cell r="E1865">
            <v>0.5</v>
          </cell>
          <cell r="F1865">
            <v>15000</v>
          </cell>
          <cell r="G1865">
            <v>7500</v>
          </cell>
        </row>
        <row r="1866">
          <cell r="B1866">
            <v>9</v>
          </cell>
          <cell r="C1866" t="str">
            <v>Giẻ lau</v>
          </cell>
          <cell r="D1866" t="str">
            <v>kg</v>
          </cell>
          <cell r="E1866">
            <v>0.3</v>
          </cell>
          <cell r="F1866">
            <v>9500</v>
          </cell>
          <cell r="G1866">
            <v>2850</v>
          </cell>
        </row>
        <row r="1867">
          <cell r="C1867" t="str">
            <v>Vật liệu khác</v>
          </cell>
          <cell r="D1867" t="str">
            <v>%</v>
          </cell>
          <cell r="E1867">
            <v>10</v>
          </cell>
          <cell r="G1867">
            <v>1035</v>
          </cell>
        </row>
        <row r="1868">
          <cell r="C1868" t="str">
            <v>Nhân công</v>
          </cell>
          <cell r="G1868">
            <v>778721.84210526315</v>
          </cell>
        </row>
        <row r="1869">
          <cell r="B1869" t="str">
            <v>NC1407</v>
          </cell>
          <cell r="C1869" t="str">
            <v>Ngày công bậc 4,0/7</v>
          </cell>
          <cell r="D1869" t="str">
            <v>công</v>
          </cell>
          <cell r="E1869">
            <v>4</v>
          </cell>
          <cell r="F1869">
            <v>194680.46052631579</v>
          </cell>
          <cell r="G1869">
            <v>778721.84210526315</v>
          </cell>
        </row>
        <row r="1870">
          <cell r="C1870" t="str">
            <v>Máy thi công</v>
          </cell>
          <cell r="G1870">
            <v>24930.510000000002</v>
          </cell>
        </row>
        <row r="1871">
          <cell r="B1871">
            <v>8004</v>
          </cell>
          <cell r="C1871" t="str">
            <v>Máy lọc ép</v>
          </cell>
          <cell r="D1871" t="str">
            <v>ca</v>
          </cell>
          <cell r="E1871">
            <v>0.47</v>
          </cell>
          <cell r="F1871">
            <v>24073</v>
          </cell>
          <cell r="G1871">
            <v>11314.31</v>
          </cell>
        </row>
        <row r="1872">
          <cell r="B1872">
            <v>8005</v>
          </cell>
          <cell r="C1872" t="str">
            <v>Máy thử cao áp AI-70</v>
          </cell>
          <cell r="D1872" t="str">
            <v>ca</v>
          </cell>
          <cell r="E1872">
            <v>0.1</v>
          </cell>
          <cell r="F1872">
            <v>136162</v>
          </cell>
          <cell r="G1872">
            <v>13616.2</v>
          </cell>
        </row>
        <row r="1873">
          <cell r="A1873" t="str">
            <v>T1.2274</v>
          </cell>
          <cell r="C1873" t="str">
            <v>Lọc dầu bằng máy lọc dầu hợp bộ KATO KLVC-4AXVSO hoặc tương đương; Mức điện áp trước khi lọc 55KV, mức điện áp sau khi lọc 60KV</v>
          </cell>
          <cell r="D1873" t="str">
            <v>tấn</v>
          </cell>
          <cell r="H1873">
            <v>11385</v>
          </cell>
          <cell r="I1873">
            <v>638551.9105263158</v>
          </cell>
          <cell r="J1873">
            <v>302568.37900000002</v>
          </cell>
        </row>
        <row r="1874">
          <cell r="C1874" t="str">
            <v>Vật liệu</v>
          </cell>
          <cell r="G1874">
            <v>11385</v>
          </cell>
        </row>
        <row r="1875">
          <cell r="B1875">
            <v>6</v>
          </cell>
          <cell r="C1875" t="str">
            <v>Vải trắng</v>
          </cell>
          <cell r="D1875" t="str">
            <v>m</v>
          </cell>
          <cell r="E1875">
            <v>0.5</v>
          </cell>
          <cell r="F1875">
            <v>15000</v>
          </cell>
          <cell r="G1875">
            <v>7500</v>
          </cell>
        </row>
        <row r="1876">
          <cell r="B1876">
            <v>9</v>
          </cell>
          <cell r="C1876" t="str">
            <v>Giẻ lau</v>
          </cell>
          <cell r="D1876" t="str">
            <v>kg</v>
          </cell>
          <cell r="E1876">
            <v>0.3</v>
          </cell>
          <cell r="F1876">
            <v>9500</v>
          </cell>
          <cell r="G1876">
            <v>2850</v>
          </cell>
        </row>
        <row r="1877">
          <cell r="C1877" t="str">
            <v>Vật liệu khác</v>
          </cell>
          <cell r="D1877" t="str">
            <v>%</v>
          </cell>
          <cell r="E1877">
            <v>10</v>
          </cell>
          <cell r="G1877">
            <v>1035</v>
          </cell>
        </row>
        <row r="1878">
          <cell r="C1878" t="str">
            <v>Nhân công</v>
          </cell>
          <cell r="G1878">
            <v>638551.9105263158</v>
          </cell>
        </row>
        <row r="1879">
          <cell r="B1879" t="str">
            <v>NC1407</v>
          </cell>
          <cell r="C1879" t="str">
            <v>Ngày công bậc 4,0/7</v>
          </cell>
          <cell r="D1879" t="str">
            <v>công</v>
          </cell>
          <cell r="E1879">
            <v>3.28</v>
          </cell>
          <cell r="F1879">
            <v>194680.46052631579</v>
          </cell>
          <cell r="G1879">
            <v>638551.9105263158</v>
          </cell>
        </row>
        <row r="1880">
          <cell r="C1880" t="str">
            <v>Máy thi công</v>
          </cell>
          <cell r="G1880">
            <v>302568.37900000002</v>
          </cell>
        </row>
        <row r="1881">
          <cell r="B1881">
            <v>8003</v>
          </cell>
          <cell r="C1881" t="str">
            <v>Máy lọc dầu hợp bộ KATO KLVC-4AXVSO</v>
          </cell>
          <cell r="D1881" t="str">
            <v>ca</v>
          </cell>
          <cell r="E1881">
            <v>0.19900000000000001</v>
          </cell>
          <cell r="F1881">
            <v>1452021</v>
          </cell>
          <cell r="G1881">
            <v>288952.179</v>
          </cell>
        </row>
        <row r="1882">
          <cell r="B1882">
            <v>8005</v>
          </cell>
          <cell r="C1882" t="str">
            <v>Máy thử cao áp AI-70</v>
          </cell>
          <cell r="D1882" t="str">
            <v>ca</v>
          </cell>
          <cell r="E1882">
            <v>0.1</v>
          </cell>
          <cell r="F1882">
            <v>136162</v>
          </cell>
          <cell r="G1882">
            <v>13616.2</v>
          </cell>
        </row>
        <row r="1883">
          <cell r="A1883" t="str">
            <v>T1.2275</v>
          </cell>
          <cell r="C1883" t="str">
            <v>Lọc dầu bằng máy lọc dầu hợp bộ KATO KLVC-4AXVSO hoặc tương đương; Mức điện áp trước khi lọc 55KV, mức điện áp sau khi lọc 70KV</v>
          </cell>
          <cell r="D1883" t="str">
            <v>tấn</v>
          </cell>
          <cell r="H1883">
            <v>11643.75</v>
          </cell>
          <cell r="I1883">
            <v>745626.16381578951</v>
          </cell>
          <cell r="J1883">
            <v>430346.22699999996</v>
          </cell>
        </row>
        <row r="1884">
          <cell r="C1884" t="str">
            <v>Vật liệu</v>
          </cell>
          <cell r="G1884">
            <v>11643.75</v>
          </cell>
        </row>
        <row r="1885">
          <cell r="B1885">
            <v>6</v>
          </cell>
          <cell r="C1885" t="str">
            <v>Vải trắng</v>
          </cell>
          <cell r="D1885" t="str">
            <v>m</v>
          </cell>
          <cell r="E1885">
            <v>0.5</v>
          </cell>
          <cell r="F1885">
            <v>15000</v>
          </cell>
          <cell r="G1885">
            <v>7500</v>
          </cell>
        </row>
        <row r="1886">
          <cell r="B1886">
            <v>9</v>
          </cell>
          <cell r="C1886" t="str">
            <v>Giẻ lau</v>
          </cell>
          <cell r="D1886" t="str">
            <v>kg</v>
          </cell>
          <cell r="E1886">
            <v>0.3</v>
          </cell>
          <cell r="F1886">
            <v>9500</v>
          </cell>
          <cell r="G1886">
            <v>2850</v>
          </cell>
        </row>
        <row r="1887">
          <cell r="C1887" t="str">
            <v>Vật liệu khác</v>
          </cell>
          <cell r="D1887" t="str">
            <v>%</v>
          </cell>
          <cell r="E1887">
            <v>12.5</v>
          </cell>
          <cell r="G1887">
            <v>1293.75</v>
          </cell>
        </row>
        <row r="1888">
          <cell r="C1888" t="str">
            <v>Nhân công</v>
          </cell>
          <cell r="G1888">
            <v>745626.16381578951</v>
          </cell>
        </row>
        <row r="1889">
          <cell r="B1889" t="str">
            <v>NC1407</v>
          </cell>
          <cell r="C1889" t="str">
            <v>Ngày công bậc 4,0/7</v>
          </cell>
          <cell r="D1889" t="str">
            <v>công</v>
          </cell>
          <cell r="E1889">
            <v>3.83</v>
          </cell>
          <cell r="F1889">
            <v>194680.46052631579</v>
          </cell>
          <cell r="G1889">
            <v>745626.16381578951</v>
          </cell>
        </row>
        <row r="1890">
          <cell r="C1890" t="str">
            <v>Máy thi công</v>
          </cell>
          <cell r="G1890">
            <v>430346.22699999996</v>
          </cell>
        </row>
        <row r="1891">
          <cell r="B1891">
            <v>8003</v>
          </cell>
          <cell r="C1891" t="str">
            <v>Máy lọc dầu hợp bộ KATO KLVC-4AXVSO</v>
          </cell>
          <cell r="D1891" t="str">
            <v>ca</v>
          </cell>
          <cell r="E1891">
            <v>0.28699999999999998</v>
          </cell>
          <cell r="F1891">
            <v>1452021</v>
          </cell>
          <cell r="G1891">
            <v>416730.02699999994</v>
          </cell>
        </row>
        <row r="1892">
          <cell r="B1892">
            <v>8005</v>
          </cell>
          <cell r="C1892" t="str">
            <v>Máy thử cao áp AI-70</v>
          </cell>
          <cell r="D1892" t="str">
            <v>ca</v>
          </cell>
          <cell r="E1892">
            <v>0.1</v>
          </cell>
          <cell r="F1892">
            <v>136162</v>
          </cell>
          <cell r="G1892">
            <v>13616.2</v>
          </cell>
        </row>
        <row r="1893">
          <cell r="A1893" t="str">
            <v>T1.2276</v>
          </cell>
          <cell r="C1893" t="str">
            <v>Lọc dầu bằng máy lọc dầu hợp bộ KATO KLVC-4AXVSO hoặc tương đương; Mức điện áp trước khi lọc =&gt;60KV, mức điện áp sau khi lọc =&gt;70KV</v>
          </cell>
          <cell r="D1893" t="str">
            <v>tấn</v>
          </cell>
          <cell r="H1893">
            <v>11385</v>
          </cell>
          <cell r="I1893">
            <v>778721.84210526315</v>
          </cell>
          <cell r="J1893">
            <v>410017.93300000002</v>
          </cell>
        </row>
        <row r="1894">
          <cell r="C1894" t="str">
            <v>Vật liệu</v>
          </cell>
          <cell r="G1894">
            <v>11385</v>
          </cell>
        </row>
        <row r="1895">
          <cell r="B1895">
            <v>6</v>
          </cell>
          <cell r="C1895" t="str">
            <v>Vải trắng</v>
          </cell>
          <cell r="D1895" t="str">
            <v>m</v>
          </cell>
          <cell r="E1895">
            <v>0.5</v>
          </cell>
          <cell r="F1895">
            <v>15000</v>
          </cell>
          <cell r="G1895">
            <v>7500</v>
          </cell>
        </row>
        <row r="1896">
          <cell r="B1896">
            <v>9</v>
          </cell>
          <cell r="C1896" t="str">
            <v>Giẻ lau</v>
          </cell>
          <cell r="D1896" t="str">
            <v>kg</v>
          </cell>
          <cell r="E1896">
            <v>0.3</v>
          </cell>
          <cell r="F1896">
            <v>9500</v>
          </cell>
          <cell r="G1896">
            <v>2850</v>
          </cell>
        </row>
        <row r="1897">
          <cell r="C1897" t="str">
            <v>Vật liệu khác</v>
          </cell>
          <cell r="D1897" t="str">
            <v>%</v>
          </cell>
          <cell r="E1897">
            <v>10</v>
          </cell>
          <cell r="G1897">
            <v>1035</v>
          </cell>
        </row>
        <row r="1898">
          <cell r="C1898" t="str">
            <v>Nhân công</v>
          </cell>
          <cell r="G1898">
            <v>778721.84210526315</v>
          </cell>
        </row>
        <row r="1899">
          <cell r="B1899" t="str">
            <v>NC1407</v>
          </cell>
          <cell r="C1899" t="str">
            <v>Ngày công bậc 4,0/7</v>
          </cell>
          <cell r="D1899" t="str">
            <v>công</v>
          </cell>
          <cell r="E1899">
            <v>4</v>
          </cell>
          <cell r="F1899">
            <v>194680.46052631579</v>
          </cell>
          <cell r="G1899">
            <v>778721.84210526315</v>
          </cell>
        </row>
        <row r="1900">
          <cell r="C1900" t="str">
            <v>Máy thi công</v>
          </cell>
          <cell r="G1900">
            <v>410017.93300000002</v>
          </cell>
        </row>
        <row r="1901">
          <cell r="B1901">
            <v>8003</v>
          </cell>
          <cell r="C1901" t="str">
            <v>Máy lọc dầu hợp bộ KATO KLVC-4AXVSO</v>
          </cell>
          <cell r="D1901" t="str">
            <v>ca</v>
          </cell>
          <cell r="E1901">
            <v>0.27300000000000002</v>
          </cell>
          <cell r="F1901">
            <v>1452021</v>
          </cell>
          <cell r="G1901">
            <v>396401.73300000001</v>
          </cell>
        </row>
        <row r="1902">
          <cell r="B1902">
            <v>8005</v>
          </cell>
          <cell r="C1902" t="str">
            <v>Máy thử cao áp AI-70</v>
          </cell>
          <cell r="D1902" t="str">
            <v>ca</v>
          </cell>
          <cell r="E1902">
            <v>0.1</v>
          </cell>
          <cell r="F1902">
            <v>136162</v>
          </cell>
          <cell r="G1902">
            <v>13616.2</v>
          </cell>
        </row>
        <row r="1903">
          <cell r="A1903" t="str">
            <v>T2.1101</v>
          </cell>
          <cell r="C1903" t="str">
            <v>Lắp đặt máy biến điện áp 3 pha độc lập &lt;=500KV</v>
          </cell>
          <cell r="D1903" t="str">
            <v>bộ</v>
          </cell>
          <cell r="H1903">
            <v>82996.899999999994</v>
          </cell>
          <cell r="I1903">
            <v>2141485.0657894737</v>
          </cell>
          <cell r="J1903">
            <v>1354168.7088571428</v>
          </cell>
        </row>
        <row r="1904">
          <cell r="C1904" t="str">
            <v>Vật liệu</v>
          </cell>
          <cell r="G1904">
            <v>82996.899999999994</v>
          </cell>
        </row>
        <row r="1905">
          <cell r="B1905">
            <v>1</v>
          </cell>
          <cell r="C1905" t="str">
            <v>Cồn công nghiệp</v>
          </cell>
          <cell r="D1905" t="str">
            <v>kg</v>
          </cell>
          <cell r="E1905">
            <v>0.45</v>
          </cell>
          <cell r="F1905">
            <v>9500</v>
          </cell>
          <cell r="G1905">
            <v>4275</v>
          </cell>
        </row>
        <row r="1906">
          <cell r="B1906">
            <v>3</v>
          </cell>
          <cell r="C1906" t="str">
            <v>Xăng</v>
          </cell>
          <cell r="D1906" t="str">
            <v>kg</v>
          </cell>
          <cell r="E1906">
            <v>0.45</v>
          </cell>
          <cell r="F1906">
            <v>18382</v>
          </cell>
          <cell r="G1906">
            <v>8271.9</v>
          </cell>
        </row>
        <row r="1907">
          <cell r="B1907">
            <v>2</v>
          </cell>
          <cell r="C1907" t="str">
            <v>Keo dán</v>
          </cell>
          <cell r="D1907" t="str">
            <v>kg</v>
          </cell>
          <cell r="E1907">
            <v>0.16</v>
          </cell>
          <cell r="F1907">
            <v>45000</v>
          </cell>
          <cell r="G1907">
            <v>7200</v>
          </cell>
        </row>
        <row r="1908">
          <cell r="B1908">
            <v>4</v>
          </cell>
          <cell r="C1908" t="str">
            <v>Giấy ráp</v>
          </cell>
          <cell r="D1908" t="str">
            <v>tờ</v>
          </cell>
          <cell r="E1908">
            <v>3</v>
          </cell>
          <cell r="F1908">
            <v>10000</v>
          </cell>
          <cell r="G1908">
            <v>30000</v>
          </cell>
        </row>
        <row r="1909">
          <cell r="B1909">
            <v>9</v>
          </cell>
          <cell r="C1909" t="str">
            <v>Giẻ lau</v>
          </cell>
          <cell r="D1909" t="str">
            <v>kg</v>
          </cell>
          <cell r="E1909">
            <v>3.5</v>
          </cell>
          <cell r="F1909">
            <v>9500</v>
          </cell>
          <cell r="G1909">
            <v>33250</v>
          </cell>
        </row>
        <row r="1910">
          <cell r="C1910" t="str">
            <v>Vật liệu khác</v>
          </cell>
          <cell r="D1910" t="str">
            <v>%</v>
          </cell>
          <cell r="E1910">
            <v>5</v>
          </cell>
          <cell r="G1910">
            <v>3936.0949999999998</v>
          </cell>
        </row>
        <row r="1911">
          <cell r="C1911" t="str">
            <v>Nhân công</v>
          </cell>
          <cell r="G1911">
            <v>2141485.0657894737</v>
          </cell>
        </row>
        <row r="1912">
          <cell r="B1912" t="str">
            <v>NC1407</v>
          </cell>
          <cell r="C1912" t="str">
            <v>Ngày công bậc 4,0/7</v>
          </cell>
          <cell r="D1912" t="str">
            <v>công</v>
          </cell>
          <cell r="E1912">
            <v>11</v>
          </cell>
          <cell r="F1912">
            <v>194680.46052631579</v>
          </cell>
          <cell r="G1912">
            <v>2141485.0657894737</v>
          </cell>
        </row>
        <row r="1913">
          <cell r="C1913" t="str">
            <v>Máy thi công</v>
          </cell>
          <cell r="G1913">
            <v>1354168.7088571428</v>
          </cell>
        </row>
        <row r="1914">
          <cell r="B1914">
            <v>8013</v>
          </cell>
          <cell r="C1914" t="str">
            <v>Cần trục bánh hơi 10 tấn</v>
          </cell>
          <cell r="D1914" t="str">
            <v>ca</v>
          </cell>
          <cell r="E1914">
            <v>0.5</v>
          </cell>
          <cell r="F1914">
            <v>1939290.1199999999</v>
          </cell>
          <cell r="G1914">
            <v>969645.05999999994</v>
          </cell>
        </row>
        <row r="1915">
          <cell r="B1915">
            <v>8016</v>
          </cell>
          <cell r="C1915" t="str">
            <v>Xe nâng thang</v>
          </cell>
          <cell r="D1915" t="str">
            <v>ca</v>
          </cell>
          <cell r="E1915">
            <v>0.2</v>
          </cell>
          <cell r="F1915">
            <v>1922618.2442857146</v>
          </cell>
          <cell r="G1915">
            <v>384523.64885714295</v>
          </cell>
        </row>
        <row r="1916">
          <cell r="A1916" t="str">
            <v>T2.1102</v>
          </cell>
          <cell r="C1916" t="str">
            <v>Lắp đặt máy biến điện áp 3 pha độc lập &lt;=220KV</v>
          </cell>
          <cell r="D1916" t="str">
            <v>bộ</v>
          </cell>
          <cell r="H1916">
            <v>49650</v>
          </cell>
          <cell r="I1916">
            <v>1861145.202631579</v>
          </cell>
          <cell r="J1916">
            <v>967977.87242857146</v>
          </cell>
        </row>
        <row r="1917">
          <cell r="C1917" t="str">
            <v>Vật liệu</v>
          </cell>
          <cell r="G1917">
            <v>49650</v>
          </cell>
        </row>
        <row r="1918">
          <cell r="B1918">
            <v>1</v>
          </cell>
          <cell r="C1918" t="str">
            <v>Cồn công nghiệp</v>
          </cell>
          <cell r="D1918" t="str">
            <v>kg</v>
          </cell>
          <cell r="E1918">
            <v>0.3</v>
          </cell>
          <cell r="F1918">
            <v>9500</v>
          </cell>
          <cell r="G1918">
            <v>2850</v>
          </cell>
        </row>
        <row r="1919">
          <cell r="B1919">
            <v>3</v>
          </cell>
          <cell r="C1919" t="str">
            <v>Xăng</v>
          </cell>
          <cell r="D1919" t="str">
            <v>kg</v>
          </cell>
          <cell r="E1919">
            <v>0.3</v>
          </cell>
          <cell r="F1919">
            <v>18382</v>
          </cell>
        </row>
        <row r="1920">
          <cell r="B1920">
            <v>2</v>
          </cell>
          <cell r="C1920" t="str">
            <v>Keo dán</v>
          </cell>
          <cell r="D1920" t="str">
            <v>kg</v>
          </cell>
          <cell r="E1920">
            <v>0.11</v>
          </cell>
          <cell r="F1920">
            <v>45000</v>
          </cell>
          <cell r="G1920">
            <v>4950</v>
          </cell>
        </row>
        <row r="1921">
          <cell r="B1921">
            <v>4</v>
          </cell>
          <cell r="C1921" t="str">
            <v>Giấy ráp</v>
          </cell>
          <cell r="D1921" t="str">
            <v>tờ</v>
          </cell>
          <cell r="E1921">
            <v>2</v>
          </cell>
          <cell r="F1921">
            <v>10000</v>
          </cell>
          <cell r="G1921">
            <v>20000</v>
          </cell>
        </row>
        <row r="1922">
          <cell r="B1922">
            <v>9</v>
          </cell>
          <cell r="C1922" t="str">
            <v>Giẻ lau</v>
          </cell>
          <cell r="D1922" t="str">
            <v>kg</v>
          </cell>
          <cell r="E1922">
            <v>2.2999999999999998</v>
          </cell>
          <cell r="F1922">
            <v>9500</v>
          </cell>
          <cell r="G1922">
            <v>21850</v>
          </cell>
        </row>
        <row r="1923">
          <cell r="C1923" t="str">
            <v>Vật liệu khác</v>
          </cell>
          <cell r="D1923" t="str">
            <v>%</v>
          </cell>
          <cell r="E1923">
            <v>5</v>
          </cell>
          <cell r="G1923">
            <v>2340</v>
          </cell>
        </row>
        <row r="1924">
          <cell r="C1924" t="str">
            <v>Nhân công</v>
          </cell>
          <cell r="G1924">
            <v>1861145.202631579</v>
          </cell>
        </row>
        <row r="1925">
          <cell r="B1925" t="str">
            <v>NC1407</v>
          </cell>
          <cell r="C1925" t="str">
            <v>Ngày công bậc 4,0/7</v>
          </cell>
          <cell r="D1925" t="str">
            <v>công</v>
          </cell>
          <cell r="E1925">
            <v>9.56</v>
          </cell>
          <cell r="F1925">
            <v>194680.46052631579</v>
          </cell>
          <cell r="G1925">
            <v>1861145.202631579</v>
          </cell>
        </row>
        <row r="1926">
          <cell r="C1926" t="str">
            <v>Máy thi công</v>
          </cell>
          <cell r="G1926">
            <v>967977.87242857146</v>
          </cell>
        </row>
        <row r="1927">
          <cell r="B1927">
            <v>8013</v>
          </cell>
          <cell r="C1927" t="str">
            <v>Cần trục bánh hơi 10 tấn</v>
          </cell>
          <cell r="D1927" t="str">
            <v>ca</v>
          </cell>
          <cell r="E1927">
            <v>0.4</v>
          </cell>
          <cell r="F1927">
            <v>1939290.1199999999</v>
          </cell>
          <cell r="G1927">
            <v>775716.04799999995</v>
          </cell>
        </row>
        <row r="1928">
          <cell r="B1928">
            <v>8016</v>
          </cell>
          <cell r="C1928" t="str">
            <v>Xe nâng thang</v>
          </cell>
          <cell r="D1928" t="str">
            <v>ca</v>
          </cell>
          <cell r="E1928">
            <v>0.1</v>
          </cell>
          <cell r="F1928">
            <v>1922618.2442857146</v>
          </cell>
          <cell r="G1928">
            <v>192261.82442857148</v>
          </cell>
        </row>
        <row r="1929">
          <cell r="A1929" t="str">
            <v>T2.1103</v>
          </cell>
          <cell r="C1929" t="str">
            <v>Lắp đặt máy biến điện áp 3 pha độc lập &lt;=110KV</v>
          </cell>
          <cell r="D1929" t="str">
            <v>bộ</v>
          </cell>
          <cell r="H1929">
            <v>34625.22</v>
          </cell>
          <cell r="I1929">
            <v>1460103.4539473683</v>
          </cell>
          <cell r="J1929">
            <v>620191.75202857156</v>
          </cell>
        </row>
        <row r="1930">
          <cell r="C1930" t="str">
            <v>Vật liệu</v>
          </cell>
          <cell r="G1930">
            <v>34625.22</v>
          </cell>
        </row>
        <row r="1931">
          <cell r="B1931">
            <v>1</v>
          </cell>
          <cell r="C1931" t="str">
            <v>Cồn công nghiệp</v>
          </cell>
          <cell r="D1931" t="str">
            <v>kg</v>
          </cell>
          <cell r="E1931">
            <v>0.2</v>
          </cell>
          <cell r="F1931">
            <v>9500</v>
          </cell>
          <cell r="G1931">
            <v>1900</v>
          </cell>
        </row>
        <row r="1932">
          <cell r="B1932">
            <v>3</v>
          </cell>
          <cell r="C1932" t="str">
            <v>Xăng</v>
          </cell>
          <cell r="D1932" t="str">
            <v>kg</v>
          </cell>
          <cell r="E1932">
            <v>0.2</v>
          </cell>
          <cell r="F1932">
            <v>18382</v>
          </cell>
          <cell r="G1932">
            <v>3676.4</v>
          </cell>
        </row>
        <row r="1933">
          <cell r="B1933">
            <v>2</v>
          </cell>
          <cell r="C1933" t="str">
            <v>Keo dán</v>
          </cell>
          <cell r="D1933" t="str">
            <v>kg</v>
          </cell>
          <cell r="E1933">
            <v>7.0000000000000007E-2</v>
          </cell>
          <cell r="F1933">
            <v>45000</v>
          </cell>
          <cell r="G1933">
            <v>3150.0000000000005</v>
          </cell>
        </row>
        <row r="1934">
          <cell r="B1934">
            <v>4</v>
          </cell>
          <cell r="C1934" t="str">
            <v>Giấy ráp</v>
          </cell>
          <cell r="D1934" t="str">
            <v>tờ</v>
          </cell>
          <cell r="E1934">
            <v>1</v>
          </cell>
          <cell r="F1934">
            <v>10000</v>
          </cell>
          <cell r="G1934">
            <v>10000</v>
          </cell>
        </row>
        <row r="1935">
          <cell r="B1935">
            <v>9</v>
          </cell>
          <cell r="C1935" t="str">
            <v>Giẻ lau</v>
          </cell>
          <cell r="D1935" t="str">
            <v>kg</v>
          </cell>
          <cell r="E1935">
            <v>1.5</v>
          </cell>
          <cell r="F1935">
            <v>9500</v>
          </cell>
          <cell r="G1935">
            <v>14250</v>
          </cell>
        </row>
        <row r="1936">
          <cell r="C1936" t="str">
            <v>Vật liệu khác</v>
          </cell>
          <cell r="D1936" t="str">
            <v>%</v>
          </cell>
          <cell r="E1936">
            <v>5</v>
          </cell>
          <cell r="G1936">
            <v>1648.8200000000002</v>
          </cell>
        </row>
        <row r="1937">
          <cell r="C1937" t="str">
            <v>Nhân công</v>
          </cell>
          <cell r="G1937">
            <v>1460103.4539473683</v>
          </cell>
        </row>
        <row r="1938">
          <cell r="B1938" t="str">
            <v>NC1407</v>
          </cell>
          <cell r="C1938" t="str">
            <v>Ngày công bậc 4,0/7</v>
          </cell>
          <cell r="D1938" t="str">
            <v>công</v>
          </cell>
          <cell r="E1938">
            <v>7.5</v>
          </cell>
          <cell r="F1938">
            <v>194680.46052631579</v>
          </cell>
          <cell r="G1938">
            <v>1460103.4539473683</v>
          </cell>
        </row>
        <row r="1939">
          <cell r="C1939" t="str">
            <v>Máy thi công</v>
          </cell>
          <cell r="G1939">
            <v>620191.75202857156</v>
          </cell>
        </row>
        <row r="1940">
          <cell r="B1940">
            <v>8015</v>
          </cell>
          <cell r="C1940" t="str">
            <v>Cần trục bánh hơi 5 tấn</v>
          </cell>
          <cell r="D1940" t="str">
            <v>ca</v>
          </cell>
          <cell r="E1940">
            <v>0.3</v>
          </cell>
          <cell r="F1940">
            <v>1426433.0920000002</v>
          </cell>
          <cell r="G1940">
            <v>427929.92760000005</v>
          </cell>
        </row>
        <row r="1941">
          <cell r="B1941">
            <v>8016</v>
          </cell>
          <cell r="C1941" t="str">
            <v>Xe nâng thang</v>
          </cell>
          <cell r="D1941" t="str">
            <v>ca</v>
          </cell>
          <cell r="E1941">
            <v>0.1</v>
          </cell>
          <cell r="F1941">
            <v>1922618.2442857146</v>
          </cell>
          <cell r="G1941">
            <v>192261.82442857148</v>
          </cell>
        </row>
        <row r="1942">
          <cell r="A1942" t="str">
            <v>T2.1104</v>
          </cell>
          <cell r="C1942" t="str">
            <v>Lắp đặt máy biến điện áp 3 pha độc lập &lt;=35KV</v>
          </cell>
          <cell r="D1942" t="str">
            <v>bộ</v>
          </cell>
          <cell r="H1942">
            <v>23175</v>
          </cell>
          <cell r="I1942">
            <v>584041.38157894742</v>
          </cell>
          <cell r="J1942">
            <v>285286.61840000004</v>
          </cell>
        </row>
        <row r="1943">
          <cell r="C1943" t="str">
            <v>Vật liệu</v>
          </cell>
          <cell r="G1943">
            <v>23175</v>
          </cell>
        </row>
        <row r="1944">
          <cell r="B1944">
            <v>1</v>
          </cell>
          <cell r="C1944" t="str">
            <v>Cồn công nghiệp</v>
          </cell>
          <cell r="D1944" t="str">
            <v>kg</v>
          </cell>
          <cell r="E1944">
            <v>0.15</v>
          </cell>
          <cell r="F1944">
            <v>9500</v>
          </cell>
          <cell r="G1944">
            <v>1425</v>
          </cell>
        </row>
        <row r="1945">
          <cell r="B1945">
            <v>3</v>
          </cell>
          <cell r="C1945" t="str">
            <v>Xăng</v>
          </cell>
          <cell r="D1945" t="str">
            <v>kg</v>
          </cell>
          <cell r="E1945">
            <v>0.1</v>
          </cell>
          <cell r="F1945">
            <v>18382</v>
          </cell>
        </row>
        <row r="1946">
          <cell r="B1946">
            <v>2</v>
          </cell>
          <cell r="C1946" t="str">
            <v>Keo dán</v>
          </cell>
          <cell r="D1946" t="str">
            <v>kg</v>
          </cell>
          <cell r="E1946">
            <v>0.05</v>
          </cell>
          <cell r="F1946">
            <v>45000</v>
          </cell>
          <cell r="G1946">
            <v>2250</v>
          </cell>
        </row>
        <row r="1947">
          <cell r="B1947">
            <v>4</v>
          </cell>
          <cell r="C1947" t="str">
            <v>Giấy ráp</v>
          </cell>
          <cell r="D1947" t="str">
            <v>tờ</v>
          </cell>
          <cell r="E1947">
            <v>1</v>
          </cell>
          <cell r="F1947">
            <v>10000</v>
          </cell>
          <cell r="G1947">
            <v>10000</v>
          </cell>
        </row>
        <row r="1948">
          <cell r="B1948">
            <v>9</v>
          </cell>
          <cell r="C1948" t="str">
            <v>Giẻ lau</v>
          </cell>
          <cell r="D1948" t="str">
            <v>kg</v>
          </cell>
          <cell r="E1948">
            <v>1</v>
          </cell>
          <cell r="F1948">
            <v>9500</v>
          </cell>
          <cell r="G1948">
            <v>9500</v>
          </cell>
        </row>
        <row r="1949">
          <cell r="C1949" t="str">
            <v>Vật liệu khác</v>
          </cell>
          <cell r="D1949" t="str">
            <v>%</v>
          </cell>
          <cell r="E1949">
            <v>5</v>
          </cell>
          <cell r="G1949">
            <v>1087.5</v>
          </cell>
        </row>
        <row r="1950">
          <cell r="C1950" t="str">
            <v>Nhân công</v>
          </cell>
          <cell r="G1950">
            <v>584041.38157894742</v>
          </cell>
        </row>
        <row r="1951">
          <cell r="B1951" t="str">
            <v>NC1407</v>
          </cell>
          <cell r="C1951" t="str">
            <v>Ngày công bậc 4,0/7</v>
          </cell>
          <cell r="D1951" t="str">
            <v>công</v>
          </cell>
          <cell r="E1951">
            <v>3</v>
          </cell>
          <cell r="F1951">
            <v>194680.46052631579</v>
          </cell>
          <cell r="G1951">
            <v>584041.38157894742</v>
          </cell>
        </row>
        <row r="1952">
          <cell r="C1952" t="str">
            <v>Máy thi công</v>
          </cell>
          <cell r="G1952">
            <v>285286.61840000004</v>
          </cell>
        </row>
        <row r="1953">
          <cell r="B1953">
            <v>8015</v>
          </cell>
          <cell r="C1953" t="str">
            <v>Cần trục bánh hơi 5 tấn</v>
          </cell>
          <cell r="D1953" t="str">
            <v>ca</v>
          </cell>
          <cell r="E1953">
            <v>0.2</v>
          </cell>
          <cell r="F1953">
            <v>1426433.0920000002</v>
          </cell>
          <cell r="G1953">
            <v>285286.61840000004</v>
          </cell>
        </row>
        <row r="1954">
          <cell r="A1954" t="str">
            <v>T2.1105</v>
          </cell>
          <cell r="C1954" t="str">
            <v>Lắp đặt máy biến điện áp 3 pha độc lập &lt;=10KV</v>
          </cell>
          <cell r="D1954" t="str">
            <v>bộ</v>
          </cell>
          <cell r="H1954">
            <v>12050</v>
          </cell>
          <cell r="I1954">
            <v>467233.10526315786</v>
          </cell>
          <cell r="J1954">
            <v>285286.61840000004</v>
          </cell>
        </row>
        <row r="1955">
          <cell r="C1955" t="str">
            <v>Vật liệu</v>
          </cell>
          <cell r="G1955">
            <v>12050</v>
          </cell>
        </row>
        <row r="1956">
          <cell r="B1956">
            <v>1</v>
          </cell>
          <cell r="C1956" t="str">
            <v>Cồn công nghiệp</v>
          </cell>
          <cell r="D1956" t="str">
            <v>kg</v>
          </cell>
          <cell r="E1956">
            <v>0.1</v>
          </cell>
          <cell r="F1956">
            <v>9500</v>
          </cell>
          <cell r="G1956">
            <v>950</v>
          </cell>
        </row>
        <row r="1957">
          <cell r="B1957">
            <v>3</v>
          </cell>
          <cell r="C1957" t="str">
            <v>Xăng</v>
          </cell>
          <cell r="D1957" t="str">
            <v>kg</v>
          </cell>
          <cell r="E1957">
            <v>0.1</v>
          </cell>
          <cell r="F1957">
            <v>18382</v>
          </cell>
        </row>
        <row r="1958">
          <cell r="B1958">
            <v>2</v>
          </cell>
          <cell r="C1958" t="str">
            <v>Keo dán</v>
          </cell>
          <cell r="D1958" t="str">
            <v>kg</v>
          </cell>
          <cell r="E1958">
            <v>0.03</v>
          </cell>
          <cell r="F1958">
            <v>45000</v>
          </cell>
          <cell r="G1958">
            <v>1350</v>
          </cell>
        </row>
        <row r="1959">
          <cell r="B1959">
            <v>4</v>
          </cell>
          <cell r="C1959" t="str">
            <v>Giấy ráp</v>
          </cell>
          <cell r="D1959" t="str">
            <v>tờ</v>
          </cell>
          <cell r="E1959">
            <v>0.5</v>
          </cell>
          <cell r="F1959">
            <v>10000</v>
          </cell>
          <cell r="G1959">
            <v>5000</v>
          </cell>
        </row>
        <row r="1960">
          <cell r="B1960">
            <v>9</v>
          </cell>
          <cell r="C1960" t="str">
            <v>Giẻ lau</v>
          </cell>
          <cell r="D1960" t="str">
            <v>kg</v>
          </cell>
          <cell r="E1960">
            <v>0.5</v>
          </cell>
          <cell r="F1960">
            <v>9500</v>
          </cell>
          <cell r="G1960">
            <v>4750</v>
          </cell>
        </row>
        <row r="1961">
          <cell r="C1961" t="str">
            <v>Vật liệu khác</v>
          </cell>
          <cell r="D1961" t="str">
            <v>%</v>
          </cell>
          <cell r="E1961">
            <v>5</v>
          </cell>
          <cell r="G1961">
            <v>555</v>
          </cell>
        </row>
        <row r="1962">
          <cell r="C1962" t="str">
            <v>Nhân công</v>
          </cell>
          <cell r="G1962">
            <v>467233.10526315786</v>
          </cell>
        </row>
        <row r="1963">
          <cell r="B1963" t="str">
            <v>NC1407</v>
          </cell>
          <cell r="C1963" t="str">
            <v>Ngày công bậc 4,0/7</v>
          </cell>
          <cell r="D1963" t="str">
            <v>công</v>
          </cell>
          <cell r="E1963">
            <v>2.4</v>
          </cell>
          <cell r="F1963">
            <v>194680.46052631579</v>
          </cell>
          <cell r="G1963">
            <v>467233.10526315786</v>
          </cell>
        </row>
        <row r="1964">
          <cell r="C1964" t="str">
            <v>Máy thi công</v>
          </cell>
          <cell r="G1964">
            <v>285286.61840000004</v>
          </cell>
        </row>
        <row r="1965">
          <cell r="B1965">
            <v>8015</v>
          </cell>
          <cell r="C1965" t="str">
            <v>Cần trục bánh hơi 5 tấn</v>
          </cell>
          <cell r="D1965" t="str">
            <v>ca</v>
          </cell>
          <cell r="E1965">
            <v>0.2</v>
          </cell>
          <cell r="F1965">
            <v>1426433.0920000002</v>
          </cell>
          <cell r="G1965">
            <v>285286.61840000004</v>
          </cell>
        </row>
        <row r="1966">
          <cell r="A1966" t="str">
            <v>T2.1106</v>
          </cell>
          <cell r="C1966" t="str">
            <v>Lắp đặt máy biến điện áp 3 pha chung &lt;=35KV</v>
          </cell>
          <cell r="D1966" t="str">
            <v>bộ</v>
          </cell>
          <cell r="H1966">
            <v>18540</v>
          </cell>
          <cell r="I1966">
            <v>467233.10526315786</v>
          </cell>
          <cell r="J1966">
            <v>213964.96380000003</v>
          </cell>
        </row>
        <row r="1967">
          <cell r="C1967" t="str">
            <v>Vật liệu</v>
          </cell>
          <cell r="G1967">
            <v>18540</v>
          </cell>
        </row>
        <row r="1968">
          <cell r="B1968">
            <v>1</v>
          </cell>
          <cell r="C1968" t="str">
            <v>Cồn công nghiệp</v>
          </cell>
          <cell r="D1968" t="str">
            <v>kg</v>
          </cell>
          <cell r="E1968">
            <v>0.12</v>
          </cell>
          <cell r="F1968">
            <v>9500</v>
          </cell>
          <cell r="G1968">
            <v>1140</v>
          </cell>
        </row>
        <row r="1969">
          <cell r="B1969">
            <v>3</v>
          </cell>
          <cell r="C1969" t="str">
            <v>Xăng</v>
          </cell>
          <cell r="D1969" t="str">
            <v>kg</v>
          </cell>
          <cell r="E1969">
            <v>0.08</v>
          </cell>
          <cell r="F1969">
            <v>18382</v>
          </cell>
        </row>
        <row r="1970">
          <cell r="B1970">
            <v>2</v>
          </cell>
          <cell r="C1970" t="str">
            <v>Keo dán</v>
          </cell>
          <cell r="D1970" t="str">
            <v>kg</v>
          </cell>
          <cell r="E1970">
            <v>0.04</v>
          </cell>
          <cell r="F1970">
            <v>45000</v>
          </cell>
          <cell r="G1970">
            <v>1800</v>
          </cell>
        </row>
        <row r="1971">
          <cell r="B1971">
            <v>4</v>
          </cell>
          <cell r="C1971" t="str">
            <v>Giấy ráp</v>
          </cell>
          <cell r="D1971" t="str">
            <v>tờ</v>
          </cell>
          <cell r="E1971">
            <v>0.8</v>
          </cell>
          <cell r="F1971">
            <v>10000</v>
          </cell>
          <cell r="G1971">
            <v>8000</v>
          </cell>
        </row>
        <row r="1972">
          <cell r="B1972">
            <v>9</v>
          </cell>
          <cell r="C1972" t="str">
            <v>Giẻ lau</v>
          </cell>
          <cell r="D1972" t="str">
            <v>kg</v>
          </cell>
          <cell r="E1972">
            <v>0.8</v>
          </cell>
          <cell r="F1972">
            <v>9500</v>
          </cell>
          <cell r="G1972">
            <v>7600</v>
          </cell>
        </row>
        <row r="1973">
          <cell r="C1973" t="str">
            <v>Vật liệu khác</v>
          </cell>
          <cell r="D1973" t="str">
            <v>%</v>
          </cell>
          <cell r="E1973">
            <v>5</v>
          </cell>
          <cell r="G1973">
            <v>870</v>
          </cell>
        </row>
        <row r="1974">
          <cell r="C1974" t="str">
            <v>Nhân công</v>
          </cell>
          <cell r="G1974">
            <v>467233.10526315786</v>
          </cell>
        </row>
        <row r="1975">
          <cell r="B1975" t="str">
            <v>NC1407</v>
          </cell>
          <cell r="C1975" t="str">
            <v>Ngày công bậc 4,0/7</v>
          </cell>
          <cell r="D1975" t="str">
            <v>công</v>
          </cell>
          <cell r="E1975">
            <v>2.4</v>
          </cell>
          <cell r="F1975">
            <v>194680.46052631579</v>
          </cell>
          <cell r="G1975">
            <v>467233.10526315786</v>
          </cell>
        </row>
        <row r="1976">
          <cell r="C1976" t="str">
            <v>Máy thi công</v>
          </cell>
          <cell r="G1976">
            <v>213964.96380000003</v>
          </cell>
        </row>
        <row r="1977">
          <cell r="B1977">
            <v>8015</v>
          </cell>
          <cell r="C1977" t="str">
            <v>Cần trục bánh hơi 5 tấn</v>
          </cell>
          <cell r="D1977" t="str">
            <v>ca</v>
          </cell>
          <cell r="E1977">
            <v>0.15</v>
          </cell>
          <cell r="F1977">
            <v>1426433.0920000002</v>
          </cell>
          <cell r="G1977">
            <v>213964.96380000003</v>
          </cell>
        </row>
        <row r="1978">
          <cell r="A1978" t="str">
            <v>T2.1107</v>
          </cell>
          <cell r="C1978" t="str">
            <v>Lắp đặt máy biến điện áp 3 pha chung &lt;=10KV</v>
          </cell>
          <cell r="D1978" t="str">
            <v>bộ</v>
          </cell>
          <cell r="H1978">
            <v>11666.088</v>
          </cell>
          <cell r="I1978">
            <v>373786.48421052628</v>
          </cell>
          <cell r="J1978">
            <v>213964.96380000003</v>
          </cell>
        </row>
        <row r="1979">
          <cell r="C1979" t="str">
            <v>Vật liệu</v>
          </cell>
          <cell r="G1979">
            <v>11666.088</v>
          </cell>
        </row>
        <row r="1980">
          <cell r="B1980">
            <v>1</v>
          </cell>
          <cell r="C1980" t="str">
            <v>Cồn công nghiệp</v>
          </cell>
          <cell r="D1980" t="str">
            <v>kg</v>
          </cell>
          <cell r="E1980">
            <v>0.08</v>
          </cell>
          <cell r="F1980">
            <v>9500</v>
          </cell>
          <cell r="G1980">
            <v>760</v>
          </cell>
        </row>
        <row r="1981">
          <cell r="B1981">
            <v>3</v>
          </cell>
          <cell r="C1981" t="str">
            <v>Xăng</v>
          </cell>
          <cell r="D1981" t="str">
            <v>kg</v>
          </cell>
          <cell r="E1981">
            <v>0.08</v>
          </cell>
          <cell r="F1981">
            <v>18382</v>
          </cell>
          <cell r="G1981">
            <v>1470.56</v>
          </cell>
        </row>
        <row r="1982">
          <cell r="B1982">
            <v>2</v>
          </cell>
          <cell r="C1982" t="str">
            <v>Keo dán</v>
          </cell>
          <cell r="D1982" t="str">
            <v>kg</v>
          </cell>
          <cell r="E1982">
            <v>2.4E-2</v>
          </cell>
          <cell r="F1982">
            <v>45000</v>
          </cell>
          <cell r="G1982">
            <v>1080</v>
          </cell>
        </row>
        <row r="1983">
          <cell r="B1983">
            <v>4</v>
          </cell>
          <cell r="C1983" t="str">
            <v>Giấy ráp</v>
          </cell>
          <cell r="D1983" t="str">
            <v>tờ</v>
          </cell>
          <cell r="E1983">
            <v>0.4</v>
          </cell>
          <cell r="F1983">
            <v>10000</v>
          </cell>
          <cell r="G1983">
            <v>4000</v>
          </cell>
        </row>
        <row r="1984">
          <cell r="B1984">
            <v>9</v>
          </cell>
          <cell r="C1984" t="str">
            <v>Giẻ lau</v>
          </cell>
          <cell r="D1984" t="str">
            <v>kg</v>
          </cell>
          <cell r="E1984">
            <v>0.4</v>
          </cell>
          <cell r="F1984">
            <v>9500</v>
          </cell>
          <cell r="G1984">
            <v>3800</v>
          </cell>
        </row>
        <row r="1985">
          <cell r="C1985" t="str">
            <v>Vật liệu khác</v>
          </cell>
          <cell r="D1985" t="str">
            <v>%</v>
          </cell>
          <cell r="E1985">
            <v>5</v>
          </cell>
          <cell r="G1985">
            <v>555.52800000000002</v>
          </cell>
        </row>
        <row r="1986">
          <cell r="C1986" t="str">
            <v>Nhân công</v>
          </cell>
          <cell r="G1986">
            <v>373786.48421052628</v>
          </cell>
        </row>
        <row r="1987">
          <cell r="B1987" t="str">
            <v>NC1407</v>
          </cell>
          <cell r="C1987" t="str">
            <v>Ngày công bậc 4,0/7</v>
          </cell>
          <cell r="D1987" t="str">
            <v>công</v>
          </cell>
          <cell r="E1987">
            <v>1.92</v>
          </cell>
          <cell r="F1987">
            <v>194680.46052631579</v>
          </cell>
          <cell r="G1987">
            <v>373786.48421052628</v>
          </cell>
        </row>
        <row r="1988">
          <cell r="C1988" t="str">
            <v>Máy thi công</v>
          </cell>
          <cell r="G1988">
            <v>213964.96380000003</v>
          </cell>
        </row>
        <row r="1989">
          <cell r="B1989">
            <v>8015</v>
          </cell>
          <cell r="C1989" t="str">
            <v>Cần trục bánh hơi 5 tấn</v>
          </cell>
          <cell r="D1989" t="str">
            <v>ca</v>
          </cell>
          <cell r="E1989">
            <v>0.15</v>
          </cell>
          <cell r="F1989">
            <v>1426433.0920000002</v>
          </cell>
          <cell r="G1989">
            <v>213964.96380000003</v>
          </cell>
        </row>
        <row r="1990">
          <cell r="A1990" t="str">
            <v>T2.1201</v>
          </cell>
          <cell r="C1990" t="str">
            <v>Lắp đặt Máy biến dòng &lt;=500KV</v>
          </cell>
          <cell r="D1990" t="str">
            <v>bộ</v>
          </cell>
          <cell r="H1990">
            <v>87146.744999999995</v>
          </cell>
          <cell r="I1990">
            <v>2141485.0657894737</v>
          </cell>
          <cell r="J1990">
            <v>1354168.7088571428</v>
          </cell>
        </row>
        <row r="1991">
          <cell r="C1991" t="str">
            <v>Vật liệu</v>
          </cell>
          <cell r="G1991">
            <v>87146.744999999995</v>
          </cell>
        </row>
        <row r="1992">
          <cell r="B1992">
            <v>1</v>
          </cell>
          <cell r="C1992" t="str">
            <v>Cồn công nghiệp</v>
          </cell>
          <cell r="D1992" t="str">
            <v>kg</v>
          </cell>
          <cell r="E1992">
            <v>0.45</v>
          </cell>
          <cell r="F1992">
            <v>9500</v>
          </cell>
          <cell r="G1992">
            <v>4275</v>
          </cell>
        </row>
        <row r="1993">
          <cell r="B1993">
            <v>3</v>
          </cell>
          <cell r="C1993" t="str">
            <v>Xăng</v>
          </cell>
          <cell r="D1993" t="str">
            <v>kg</v>
          </cell>
          <cell r="E1993">
            <v>0.45</v>
          </cell>
          <cell r="F1993">
            <v>18382</v>
          </cell>
          <cell r="G1993">
            <v>8271.9</v>
          </cell>
        </row>
        <row r="1994">
          <cell r="B1994">
            <v>2</v>
          </cell>
          <cell r="C1994" t="str">
            <v>Keo dán</v>
          </cell>
          <cell r="D1994" t="str">
            <v>kg</v>
          </cell>
          <cell r="E1994">
            <v>0.16</v>
          </cell>
          <cell r="F1994">
            <v>45000</v>
          </cell>
          <cell r="G1994">
            <v>7200</v>
          </cell>
        </row>
        <row r="1995">
          <cell r="B1995">
            <v>4</v>
          </cell>
          <cell r="C1995" t="str">
            <v>Giấy ráp</v>
          </cell>
          <cell r="D1995" t="str">
            <v>tờ</v>
          </cell>
          <cell r="E1995">
            <v>3</v>
          </cell>
          <cell r="F1995">
            <v>10000</v>
          </cell>
          <cell r="G1995">
            <v>30000</v>
          </cell>
        </row>
        <row r="1996">
          <cell r="B1996">
            <v>9</v>
          </cell>
          <cell r="C1996" t="str">
            <v>Giẻ lau</v>
          </cell>
          <cell r="D1996" t="str">
            <v>kg</v>
          </cell>
          <cell r="E1996">
            <v>3.5</v>
          </cell>
          <cell r="F1996">
            <v>9500</v>
          </cell>
          <cell r="G1996">
            <v>33250</v>
          </cell>
        </row>
        <row r="1997">
          <cell r="C1997" t="str">
            <v>Vật liệu khác</v>
          </cell>
          <cell r="D1997" t="str">
            <v>%</v>
          </cell>
          <cell r="E1997">
            <v>5</v>
          </cell>
          <cell r="G1997">
            <v>4149.8450000000003</v>
          </cell>
        </row>
        <row r="1998">
          <cell r="C1998" t="str">
            <v>Nhân công</v>
          </cell>
          <cell r="G1998">
            <v>2141485.0657894737</v>
          </cell>
        </row>
        <row r="1999">
          <cell r="B1999" t="str">
            <v>NC1407</v>
          </cell>
          <cell r="C1999" t="str">
            <v>Ngày công bậc 4,0/7</v>
          </cell>
          <cell r="D1999" t="str">
            <v>công</v>
          </cell>
          <cell r="E1999">
            <v>11</v>
          </cell>
          <cell r="F1999">
            <v>194680.46052631579</v>
          </cell>
          <cell r="G1999">
            <v>2141485.0657894737</v>
          </cell>
        </row>
        <row r="2000">
          <cell r="C2000" t="str">
            <v>Máy thi công</v>
          </cell>
          <cell r="G2000">
            <v>1354168.7088571428</v>
          </cell>
        </row>
        <row r="2001">
          <cell r="B2001">
            <v>8013</v>
          </cell>
          <cell r="C2001" t="str">
            <v>Cần trục bánh hơi 10 tấn</v>
          </cell>
          <cell r="D2001" t="str">
            <v>ca</v>
          </cell>
          <cell r="E2001">
            <v>0.5</v>
          </cell>
          <cell r="F2001">
            <v>1939290.1199999999</v>
          </cell>
          <cell r="G2001">
            <v>969645.05999999994</v>
          </cell>
        </row>
        <row r="2002">
          <cell r="B2002">
            <v>8016</v>
          </cell>
          <cell r="C2002" t="str">
            <v>Xe nâng thang</v>
          </cell>
          <cell r="D2002" t="str">
            <v>ca</v>
          </cell>
          <cell r="E2002">
            <v>0.2</v>
          </cell>
          <cell r="F2002">
            <v>1922618.2442857146</v>
          </cell>
          <cell r="G2002">
            <v>384523.64885714295</v>
          </cell>
        </row>
        <row r="2003">
          <cell r="A2003" t="str">
            <v>T2.1202</v>
          </cell>
          <cell r="C2003" t="str">
            <v>Lắp đặt Máy biến dòng &lt;=220KV</v>
          </cell>
          <cell r="D2003" t="str">
            <v>bộ</v>
          </cell>
          <cell r="H2003">
            <v>57922.83</v>
          </cell>
          <cell r="I2003">
            <v>1861145.202631579</v>
          </cell>
          <cell r="J2003">
            <v>967977.87242857146</v>
          </cell>
        </row>
        <row r="2004">
          <cell r="C2004" t="str">
            <v>Vật liệu</v>
          </cell>
          <cell r="G2004">
            <v>57922.83</v>
          </cell>
        </row>
        <row r="2005">
          <cell r="B2005">
            <v>1</v>
          </cell>
          <cell r="C2005" t="str">
            <v>Cồn công nghiệp</v>
          </cell>
          <cell r="D2005" t="str">
            <v>kg</v>
          </cell>
          <cell r="E2005">
            <v>0.3</v>
          </cell>
          <cell r="F2005">
            <v>9500</v>
          </cell>
          <cell r="G2005">
            <v>2850</v>
          </cell>
        </row>
        <row r="2006">
          <cell r="B2006">
            <v>3</v>
          </cell>
          <cell r="C2006" t="str">
            <v>Xăng</v>
          </cell>
          <cell r="D2006" t="str">
            <v>kg</v>
          </cell>
          <cell r="E2006">
            <v>0.3</v>
          </cell>
          <cell r="F2006">
            <v>18382</v>
          </cell>
          <cell r="G2006">
            <v>5514.5999999999995</v>
          </cell>
        </row>
        <row r="2007">
          <cell r="B2007">
            <v>2</v>
          </cell>
          <cell r="C2007" t="str">
            <v>Keo dán</v>
          </cell>
          <cell r="D2007" t="str">
            <v>kg</v>
          </cell>
          <cell r="E2007">
            <v>0.11</v>
          </cell>
          <cell r="F2007">
            <v>45000</v>
          </cell>
          <cell r="G2007">
            <v>4950</v>
          </cell>
        </row>
        <row r="2008">
          <cell r="B2008">
            <v>4</v>
          </cell>
          <cell r="C2008" t="str">
            <v>Giấy ráp</v>
          </cell>
          <cell r="D2008" t="str">
            <v>tờ</v>
          </cell>
          <cell r="E2008">
            <v>2</v>
          </cell>
          <cell r="F2008">
            <v>10000</v>
          </cell>
          <cell r="G2008">
            <v>20000</v>
          </cell>
        </row>
        <row r="2009">
          <cell r="B2009">
            <v>9</v>
          </cell>
          <cell r="C2009" t="str">
            <v>Giẻ lau</v>
          </cell>
          <cell r="D2009" t="str">
            <v>kg</v>
          </cell>
          <cell r="E2009">
            <v>2.2999999999999998</v>
          </cell>
          <cell r="F2009">
            <v>9500</v>
          </cell>
          <cell r="G2009">
            <v>21850</v>
          </cell>
        </row>
        <row r="2010">
          <cell r="C2010" t="str">
            <v>Vật liệu khác</v>
          </cell>
          <cell r="D2010" t="str">
            <v>%</v>
          </cell>
          <cell r="E2010">
            <v>5</v>
          </cell>
          <cell r="G2010">
            <v>2758.23</v>
          </cell>
        </row>
        <row r="2011">
          <cell r="C2011" t="str">
            <v>Nhân công</v>
          </cell>
          <cell r="G2011">
            <v>1861145.202631579</v>
          </cell>
        </row>
        <row r="2012">
          <cell r="B2012" t="str">
            <v>NC1407</v>
          </cell>
          <cell r="C2012" t="str">
            <v>Ngày công bậc 4,0/7</v>
          </cell>
          <cell r="D2012" t="str">
            <v>công</v>
          </cell>
          <cell r="E2012">
            <v>9.56</v>
          </cell>
          <cell r="F2012">
            <v>194680.46052631579</v>
          </cell>
          <cell r="G2012">
            <v>1861145.202631579</v>
          </cell>
        </row>
        <row r="2013">
          <cell r="C2013" t="str">
            <v>Máy thi công</v>
          </cell>
          <cell r="G2013">
            <v>967977.87242857146</v>
          </cell>
        </row>
        <row r="2014">
          <cell r="B2014">
            <v>8013</v>
          </cell>
          <cell r="C2014" t="str">
            <v>Cần trục bánh hơi 10 tấn</v>
          </cell>
          <cell r="D2014" t="str">
            <v>ca</v>
          </cell>
          <cell r="E2014">
            <v>0.4</v>
          </cell>
          <cell r="F2014">
            <v>1939290.1199999999</v>
          </cell>
          <cell r="G2014">
            <v>775716.04799999995</v>
          </cell>
        </row>
        <row r="2015">
          <cell r="B2015">
            <v>8016</v>
          </cell>
          <cell r="C2015" t="str">
            <v>Xe nâng thang</v>
          </cell>
          <cell r="D2015" t="str">
            <v>ca</v>
          </cell>
          <cell r="E2015">
            <v>0.1</v>
          </cell>
          <cell r="F2015">
            <v>1922618.2442857146</v>
          </cell>
          <cell r="G2015">
            <v>192261.82442857148</v>
          </cell>
        </row>
        <row r="2016">
          <cell r="A2016" t="str">
            <v>T2.1203</v>
          </cell>
          <cell r="C2016" t="str">
            <v>Lắp đặt Máy biến dòng &lt;=110KV</v>
          </cell>
          <cell r="D2016" t="str">
            <v>bộ</v>
          </cell>
          <cell r="H2016">
            <v>29300</v>
          </cell>
          <cell r="I2016">
            <v>1460103.4539473683</v>
          </cell>
          <cell r="J2016">
            <v>620191.75202857156</v>
          </cell>
        </row>
        <row r="2017">
          <cell r="C2017" t="str">
            <v>Vật liệu</v>
          </cell>
          <cell r="G2017">
            <v>29300</v>
          </cell>
        </row>
        <row r="2018">
          <cell r="B2018">
            <v>1</v>
          </cell>
          <cell r="C2018" t="str">
            <v>Cồn công nghiệp</v>
          </cell>
          <cell r="D2018" t="str">
            <v>kg</v>
          </cell>
          <cell r="E2018">
            <v>0.2</v>
          </cell>
          <cell r="F2018">
            <v>9500</v>
          </cell>
          <cell r="G2018">
            <v>1900</v>
          </cell>
        </row>
        <row r="2019">
          <cell r="B2019">
            <v>3</v>
          </cell>
          <cell r="C2019" t="str">
            <v>Xăng</v>
          </cell>
          <cell r="D2019" t="str">
            <v>kg</v>
          </cell>
          <cell r="E2019">
            <v>0.2</v>
          </cell>
          <cell r="F2019">
            <v>18382</v>
          </cell>
        </row>
        <row r="2020">
          <cell r="B2020">
            <v>2</v>
          </cell>
          <cell r="C2020" t="str">
            <v>Keo dán</v>
          </cell>
          <cell r="D2020" t="str">
            <v>kg</v>
          </cell>
          <cell r="E2020">
            <v>7.0000000000000007E-2</v>
          </cell>
          <cell r="F2020">
            <v>45000</v>
          </cell>
          <cell r="G2020">
            <v>3150.0000000000005</v>
          </cell>
        </row>
        <row r="2021">
          <cell r="B2021">
            <v>4</v>
          </cell>
          <cell r="C2021" t="str">
            <v>Giấy ráp</v>
          </cell>
          <cell r="D2021" t="str">
            <v>tờ</v>
          </cell>
          <cell r="E2021">
            <v>1</v>
          </cell>
          <cell r="F2021">
            <v>10000</v>
          </cell>
          <cell r="G2021">
            <v>10000</v>
          </cell>
        </row>
        <row r="2022">
          <cell r="B2022">
            <v>9</v>
          </cell>
          <cell r="C2022" t="str">
            <v>Giẻ lau</v>
          </cell>
          <cell r="D2022" t="str">
            <v>kg</v>
          </cell>
          <cell r="E2022">
            <v>1.5</v>
          </cell>
          <cell r="F2022">
            <v>9500</v>
          </cell>
          <cell r="G2022">
            <v>14250</v>
          </cell>
        </row>
        <row r="2023">
          <cell r="C2023" t="str">
            <v>Vật liệu khác</v>
          </cell>
          <cell r="D2023" t="str">
            <v>%</v>
          </cell>
          <cell r="E2023">
            <v>5</v>
          </cell>
          <cell r="G2023">
            <v>1370</v>
          </cell>
        </row>
        <row r="2024">
          <cell r="C2024" t="str">
            <v>Nhân công</v>
          </cell>
          <cell r="G2024">
            <v>1460103.4539473683</v>
          </cell>
        </row>
        <row r="2025">
          <cell r="B2025" t="str">
            <v>NC1407</v>
          </cell>
          <cell r="C2025" t="str">
            <v>Ngày công bậc 4,0/7</v>
          </cell>
          <cell r="D2025" t="str">
            <v>công</v>
          </cell>
          <cell r="E2025">
            <v>7.5</v>
          </cell>
          <cell r="F2025">
            <v>194680.46052631579</v>
          </cell>
          <cell r="G2025">
            <v>1460103.4539473683</v>
          </cell>
        </row>
        <row r="2026">
          <cell r="C2026" t="str">
            <v>Máy thi công</v>
          </cell>
          <cell r="G2026">
            <v>620191.75202857156</v>
          </cell>
        </row>
        <row r="2027">
          <cell r="B2027">
            <v>8015</v>
          </cell>
          <cell r="C2027" t="str">
            <v>Cần trục bánh hơi 5 tấn</v>
          </cell>
          <cell r="D2027" t="str">
            <v>ca</v>
          </cell>
          <cell r="E2027">
            <v>0.3</v>
          </cell>
          <cell r="F2027">
            <v>1426433.0920000002</v>
          </cell>
          <cell r="G2027">
            <v>427929.92760000005</v>
          </cell>
        </row>
        <row r="2028">
          <cell r="B2028">
            <v>8016</v>
          </cell>
          <cell r="C2028" t="str">
            <v>Xe nâng thang</v>
          </cell>
          <cell r="D2028" t="str">
            <v>ca</v>
          </cell>
          <cell r="E2028">
            <v>0.1</v>
          </cell>
          <cell r="F2028">
            <v>1922618.2442857146</v>
          </cell>
          <cell r="G2028">
            <v>192261.82442857148</v>
          </cell>
        </row>
        <row r="2029">
          <cell r="A2029" t="str">
            <v>T2.1204</v>
          </cell>
          <cell r="C2029" t="str">
            <v>Lắp đặt Máy biến dòng &lt;=35KV</v>
          </cell>
          <cell r="D2029" t="str">
            <v>bộ</v>
          </cell>
          <cell r="H2029">
            <v>26263.86</v>
          </cell>
          <cell r="I2029">
            <v>584041.38157894742</v>
          </cell>
          <cell r="J2029">
            <v>285286.61840000004</v>
          </cell>
        </row>
        <row r="2030">
          <cell r="C2030" t="str">
            <v>Vật liệu</v>
          </cell>
          <cell r="G2030">
            <v>26263.86</v>
          </cell>
        </row>
        <row r="2031">
          <cell r="B2031">
            <v>1</v>
          </cell>
          <cell r="C2031" t="str">
            <v>Cồn công nghiệp</v>
          </cell>
          <cell r="D2031" t="str">
            <v>kg</v>
          </cell>
          <cell r="E2031">
            <v>0.15</v>
          </cell>
          <cell r="F2031">
            <v>9500</v>
          </cell>
          <cell r="G2031">
            <v>1425</v>
          </cell>
        </row>
        <row r="2032">
          <cell r="B2032">
            <v>3</v>
          </cell>
          <cell r="C2032" t="str">
            <v>Xăng</v>
          </cell>
          <cell r="D2032" t="str">
            <v>kg</v>
          </cell>
          <cell r="E2032">
            <v>0.1</v>
          </cell>
          <cell r="F2032">
            <v>18382</v>
          </cell>
          <cell r="G2032">
            <v>1838.2</v>
          </cell>
        </row>
        <row r="2033">
          <cell r="B2033">
            <v>2</v>
          </cell>
          <cell r="C2033" t="str">
            <v>Keo dán</v>
          </cell>
          <cell r="D2033" t="str">
            <v>kg</v>
          </cell>
          <cell r="E2033">
            <v>0.05</v>
          </cell>
          <cell r="F2033">
            <v>45000</v>
          </cell>
          <cell r="G2033">
            <v>2250</v>
          </cell>
        </row>
        <row r="2034">
          <cell r="B2034">
            <v>4</v>
          </cell>
          <cell r="C2034" t="str">
            <v>Giấy ráp</v>
          </cell>
          <cell r="D2034" t="str">
            <v>tờ</v>
          </cell>
          <cell r="E2034">
            <v>1</v>
          </cell>
          <cell r="F2034">
            <v>10000</v>
          </cell>
          <cell r="G2034">
            <v>10000</v>
          </cell>
        </row>
        <row r="2035">
          <cell r="B2035">
            <v>9</v>
          </cell>
          <cell r="C2035" t="str">
            <v>Giẻ lau</v>
          </cell>
          <cell r="D2035" t="str">
            <v>kg</v>
          </cell>
          <cell r="E2035">
            <v>1</v>
          </cell>
          <cell r="F2035">
            <v>9500</v>
          </cell>
          <cell r="G2035">
            <v>9500</v>
          </cell>
        </row>
        <row r="2036">
          <cell r="B2036">
            <v>117</v>
          </cell>
          <cell r="C2036" t="str">
            <v>Vật liệu khác</v>
          </cell>
          <cell r="D2036" t="str">
            <v>%</v>
          </cell>
          <cell r="E2036">
            <v>5</v>
          </cell>
          <cell r="G2036">
            <v>1250.6600000000001</v>
          </cell>
        </row>
        <row r="2037">
          <cell r="C2037" t="str">
            <v>Nhân công</v>
          </cell>
          <cell r="G2037">
            <v>584041.38157894742</v>
          </cell>
        </row>
        <row r="2038">
          <cell r="B2038" t="str">
            <v>NC1407</v>
          </cell>
          <cell r="C2038" t="str">
            <v>Ngày công bậc 4,0/7</v>
          </cell>
          <cell r="D2038" t="str">
            <v>công</v>
          </cell>
          <cell r="E2038">
            <v>3</v>
          </cell>
          <cell r="F2038">
            <v>194680.46052631579</v>
          </cell>
          <cell r="G2038">
            <v>584041.38157894742</v>
          </cell>
        </row>
        <row r="2039">
          <cell r="C2039" t="str">
            <v>Máy thi công</v>
          </cell>
          <cell r="G2039">
            <v>285286.61840000004</v>
          </cell>
        </row>
        <row r="2040">
          <cell r="B2040">
            <v>8015</v>
          </cell>
          <cell r="C2040" t="str">
            <v>Cần trục bánh hơi 5 tấn</v>
          </cell>
          <cell r="D2040" t="str">
            <v>ca</v>
          </cell>
          <cell r="E2040">
            <v>0.2</v>
          </cell>
          <cell r="F2040">
            <v>1426433.0920000002</v>
          </cell>
          <cell r="G2040">
            <v>285286.61840000004</v>
          </cell>
        </row>
        <row r="2041">
          <cell r="A2041" t="str">
            <v>T2.1205</v>
          </cell>
          <cell r="C2041" t="str">
            <v>Lắp đặt Máy biến dòng &lt;=10KV</v>
          </cell>
          <cell r="D2041" t="str">
            <v>bộ</v>
          </cell>
          <cell r="H2041">
            <v>14582.61</v>
          </cell>
          <cell r="I2041">
            <v>467233.10526315786</v>
          </cell>
          <cell r="J2041">
            <v>285286.61840000004</v>
          </cell>
        </row>
        <row r="2042">
          <cell r="C2042" t="str">
            <v>Vật liệu</v>
          </cell>
          <cell r="G2042">
            <v>14582.61</v>
          </cell>
        </row>
        <row r="2043">
          <cell r="B2043">
            <v>1</v>
          </cell>
          <cell r="C2043" t="str">
            <v>Cồn công nghiệp</v>
          </cell>
          <cell r="D2043" t="str">
            <v>kg</v>
          </cell>
          <cell r="E2043">
            <v>0.1</v>
          </cell>
          <cell r="F2043">
            <v>9500</v>
          </cell>
          <cell r="G2043">
            <v>950</v>
          </cell>
        </row>
        <row r="2044">
          <cell r="B2044">
            <v>3</v>
          </cell>
          <cell r="C2044" t="str">
            <v>Xăng</v>
          </cell>
          <cell r="D2044" t="str">
            <v>kg</v>
          </cell>
          <cell r="E2044">
            <v>0.1</v>
          </cell>
          <cell r="F2044">
            <v>18382</v>
          </cell>
          <cell r="G2044">
            <v>1838.2</v>
          </cell>
        </row>
        <row r="2045">
          <cell r="B2045">
            <v>2</v>
          </cell>
          <cell r="C2045" t="str">
            <v>Keo dán</v>
          </cell>
          <cell r="D2045" t="str">
            <v>kg</v>
          </cell>
          <cell r="E2045">
            <v>0.03</v>
          </cell>
          <cell r="F2045">
            <v>45000</v>
          </cell>
          <cell r="G2045">
            <v>1350</v>
          </cell>
        </row>
        <row r="2046">
          <cell r="B2046">
            <v>4</v>
          </cell>
          <cell r="C2046" t="str">
            <v>Giấy ráp</v>
          </cell>
          <cell r="D2046" t="str">
            <v>tờ</v>
          </cell>
          <cell r="E2046">
            <v>0.5</v>
          </cell>
          <cell r="F2046">
            <v>10000</v>
          </cell>
          <cell r="G2046">
            <v>5000</v>
          </cell>
        </row>
        <row r="2047">
          <cell r="B2047">
            <v>9</v>
          </cell>
          <cell r="C2047" t="str">
            <v>Giẻ lau</v>
          </cell>
          <cell r="D2047" t="str">
            <v>kg</v>
          </cell>
          <cell r="E2047">
            <v>0.5</v>
          </cell>
          <cell r="F2047">
            <v>9500</v>
          </cell>
          <cell r="G2047">
            <v>4750</v>
          </cell>
        </row>
        <row r="2048">
          <cell r="B2048">
            <v>117</v>
          </cell>
          <cell r="C2048" t="str">
            <v>Vật liệu khác</v>
          </cell>
          <cell r="D2048" t="str">
            <v>%</v>
          </cell>
          <cell r="E2048">
            <v>5</v>
          </cell>
          <cell r="G2048">
            <v>694.41000000000008</v>
          </cell>
        </row>
        <row r="2049">
          <cell r="C2049" t="str">
            <v>Nhân công</v>
          </cell>
          <cell r="G2049">
            <v>467233.10526315786</v>
          </cell>
        </row>
        <row r="2050">
          <cell r="B2050" t="str">
            <v>NC1407</v>
          </cell>
          <cell r="C2050" t="str">
            <v>Ngày công bậc 4,0/7</v>
          </cell>
          <cell r="D2050" t="str">
            <v>công</v>
          </cell>
          <cell r="E2050">
            <v>2.4</v>
          </cell>
          <cell r="F2050">
            <v>194680.46052631579</v>
          </cell>
          <cell r="G2050">
            <v>467233.10526315786</v>
          </cell>
        </row>
        <row r="2051">
          <cell r="C2051" t="str">
            <v>Máy thi công</v>
          </cell>
          <cell r="G2051">
            <v>285286.61840000004</v>
          </cell>
        </row>
        <row r="2052">
          <cell r="B2052">
            <v>8015</v>
          </cell>
          <cell r="C2052" t="str">
            <v>Cần trục bánh hơi 5 tấn</v>
          </cell>
          <cell r="D2052" t="str">
            <v>ca</v>
          </cell>
          <cell r="E2052">
            <v>0.2</v>
          </cell>
          <cell r="F2052">
            <v>1426433.0920000002</v>
          </cell>
          <cell r="G2052">
            <v>285286.61840000004</v>
          </cell>
        </row>
        <row r="2053">
          <cell r="A2053" t="str">
            <v>T2.2101</v>
          </cell>
          <cell r="C2053" t="str">
            <v>Lắp đặt máy cắt dầu ngoài trời, loại ít dầu &lt;=220kV</v>
          </cell>
          <cell r="D2053" t="str">
            <v>máy</v>
          </cell>
          <cell r="H2053">
            <v>308757.8</v>
          </cell>
          <cell r="I2053">
            <v>16095944.5</v>
          </cell>
          <cell r="J2053">
            <v>1758899.7920000004</v>
          </cell>
        </row>
        <row r="2054">
          <cell r="C2054" t="str">
            <v>Vật liệu</v>
          </cell>
          <cell r="G2054">
            <v>308757.8</v>
          </cell>
        </row>
        <row r="2055">
          <cell r="B2055">
            <v>1</v>
          </cell>
          <cell r="C2055" t="str">
            <v>Cồn công nghiệp</v>
          </cell>
          <cell r="D2055" t="str">
            <v>kg</v>
          </cell>
          <cell r="E2055">
            <v>3.6</v>
          </cell>
          <cell r="F2055">
            <v>9500</v>
          </cell>
          <cell r="G2055">
            <v>34200</v>
          </cell>
        </row>
        <row r="2056">
          <cell r="B2056">
            <v>7</v>
          </cell>
          <cell r="C2056" t="str">
            <v>Sơn chống rỉ</v>
          </cell>
          <cell r="D2056" t="str">
            <v>kg</v>
          </cell>
          <cell r="E2056">
            <v>1.1000000000000001</v>
          </cell>
          <cell r="F2056">
            <v>36000</v>
          </cell>
          <cell r="G2056">
            <v>39600</v>
          </cell>
        </row>
        <row r="2057">
          <cell r="B2057">
            <v>4</v>
          </cell>
          <cell r="C2057" t="str">
            <v>Giấy ráp</v>
          </cell>
          <cell r="D2057" t="str">
            <v>tờ</v>
          </cell>
          <cell r="E2057">
            <v>5.4</v>
          </cell>
          <cell r="F2057">
            <v>10000</v>
          </cell>
          <cell r="G2057">
            <v>54000</v>
          </cell>
        </row>
        <row r="2058">
          <cell r="B2058">
            <v>11</v>
          </cell>
          <cell r="C2058" t="str">
            <v>Vazơlin</v>
          </cell>
          <cell r="D2058" t="str">
            <v>kg</v>
          </cell>
          <cell r="E2058">
            <v>0.5</v>
          </cell>
          <cell r="F2058">
            <v>24000</v>
          </cell>
          <cell r="G2058">
            <v>12000</v>
          </cell>
        </row>
        <row r="2059">
          <cell r="B2059">
            <v>6</v>
          </cell>
          <cell r="C2059" t="str">
            <v>Vải trắng</v>
          </cell>
          <cell r="D2059" t="str">
            <v>m</v>
          </cell>
          <cell r="E2059">
            <v>3.6</v>
          </cell>
          <cell r="F2059">
            <v>15000</v>
          </cell>
          <cell r="G2059">
            <v>54000</v>
          </cell>
        </row>
        <row r="2060">
          <cell r="B2060">
            <v>8</v>
          </cell>
          <cell r="C2060" t="str">
            <v>Mỡ YOC</v>
          </cell>
          <cell r="D2060" t="str">
            <v>kg</v>
          </cell>
          <cell r="E2060">
            <v>0.54</v>
          </cell>
          <cell r="F2060">
            <v>35000</v>
          </cell>
          <cell r="G2060">
            <v>18900</v>
          </cell>
        </row>
        <row r="2061">
          <cell r="B2061">
            <v>9</v>
          </cell>
          <cell r="C2061" t="str">
            <v>Giẻ lau</v>
          </cell>
          <cell r="D2061" t="str">
            <v>kg</v>
          </cell>
          <cell r="E2061">
            <v>4.5</v>
          </cell>
          <cell r="F2061">
            <v>9500</v>
          </cell>
          <cell r="G2061">
            <v>42750</v>
          </cell>
        </row>
        <row r="2062">
          <cell r="B2062">
            <v>3</v>
          </cell>
          <cell r="C2062" t="str">
            <v>Xăng</v>
          </cell>
          <cell r="D2062" t="str">
            <v>kg</v>
          </cell>
          <cell r="E2062">
            <v>2.9</v>
          </cell>
          <cell r="F2062">
            <v>18382</v>
          </cell>
          <cell r="G2062">
            <v>53307.799999999996</v>
          </cell>
        </row>
        <row r="2063">
          <cell r="C2063" t="str">
            <v>Nhân công</v>
          </cell>
          <cell r="G2063">
            <v>16095944.5</v>
          </cell>
        </row>
        <row r="2064">
          <cell r="B2064" t="str">
            <v>NC1457</v>
          </cell>
          <cell r="C2064" t="str">
            <v>Ngày công bậc 4,5/7</v>
          </cell>
          <cell r="D2064" t="str">
            <v>công</v>
          </cell>
          <cell r="E2064">
            <v>76</v>
          </cell>
          <cell r="F2064">
            <v>211788.74342105264</v>
          </cell>
          <cell r="G2064">
            <v>16095944.5</v>
          </cell>
        </row>
        <row r="2065">
          <cell r="C2065" t="str">
            <v>Máy thi công</v>
          </cell>
          <cell r="G2065">
            <v>1758899.7920000004</v>
          </cell>
        </row>
        <row r="2066">
          <cell r="B2066">
            <v>8014</v>
          </cell>
          <cell r="C2066" t="str">
            <v>Cần trục bánh hơi 16 tấn</v>
          </cell>
          <cell r="D2066" t="str">
            <v>ca</v>
          </cell>
          <cell r="E2066">
            <v>0.8</v>
          </cell>
          <cell r="F2066">
            <v>2198624.7400000002</v>
          </cell>
          <cell r="G2066">
            <v>1758899.7920000004</v>
          </cell>
        </row>
        <row r="2067">
          <cell r="A2067" t="str">
            <v>T2.2102</v>
          </cell>
          <cell r="C2067" t="str">
            <v>Lắp đặt máy cắt dầu ngoài trời, loại ít dầu &lt;=110kV</v>
          </cell>
          <cell r="D2067" t="str">
            <v>máy</v>
          </cell>
          <cell r="H2067">
            <v>146800</v>
          </cell>
          <cell r="I2067">
            <v>6290125.6796052633</v>
          </cell>
          <cell r="J2067">
            <v>1163574.0719999999</v>
          </cell>
        </row>
        <row r="2068">
          <cell r="C2068" t="str">
            <v>Vật liệu</v>
          </cell>
          <cell r="G2068">
            <v>146800</v>
          </cell>
        </row>
        <row r="2069">
          <cell r="B2069">
            <v>1</v>
          </cell>
          <cell r="C2069" t="str">
            <v>Cồn công nghiệp</v>
          </cell>
          <cell r="D2069" t="str">
            <v>kg</v>
          </cell>
          <cell r="E2069">
            <v>2</v>
          </cell>
          <cell r="F2069">
            <v>9500</v>
          </cell>
          <cell r="G2069">
            <v>19000</v>
          </cell>
        </row>
        <row r="2070">
          <cell r="B2070">
            <v>7</v>
          </cell>
          <cell r="C2070" t="str">
            <v>Sơn chống rỉ</v>
          </cell>
          <cell r="D2070" t="str">
            <v>kg</v>
          </cell>
          <cell r="E2070">
            <v>0.6</v>
          </cell>
          <cell r="F2070">
            <v>36000</v>
          </cell>
          <cell r="G2070">
            <v>21600</v>
          </cell>
        </row>
        <row r="2071">
          <cell r="B2071">
            <v>4</v>
          </cell>
          <cell r="C2071" t="str">
            <v>Giấy ráp</v>
          </cell>
          <cell r="D2071" t="str">
            <v>tờ</v>
          </cell>
          <cell r="E2071">
            <v>3</v>
          </cell>
          <cell r="F2071">
            <v>10000</v>
          </cell>
          <cell r="G2071">
            <v>30000</v>
          </cell>
        </row>
        <row r="2072">
          <cell r="B2072">
            <v>11</v>
          </cell>
          <cell r="C2072" t="str">
            <v>Vazơlin</v>
          </cell>
          <cell r="D2072" t="str">
            <v>kg</v>
          </cell>
          <cell r="E2072">
            <v>0.3</v>
          </cell>
          <cell r="F2072">
            <v>24000</v>
          </cell>
          <cell r="G2072">
            <v>7200</v>
          </cell>
        </row>
        <row r="2073">
          <cell r="B2073">
            <v>6</v>
          </cell>
          <cell r="C2073" t="str">
            <v>Vải trắng</v>
          </cell>
          <cell r="D2073" t="str">
            <v>m</v>
          </cell>
          <cell r="E2073">
            <v>2</v>
          </cell>
          <cell r="F2073">
            <v>15000</v>
          </cell>
          <cell r="G2073">
            <v>30000</v>
          </cell>
        </row>
        <row r="2074">
          <cell r="B2074">
            <v>8</v>
          </cell>
          <cell r="C2074" t="str">
            <v>Mỡ YOC</v>
          </cell>
          <cell r="D2074" t="str">
            <v>kg</v>
          </cell>
          <cell r="E2074">
            <v>0.3</v>
          </cell>
          <cell r="F2074">
            <v>35000</v>
          </cell>
          <cell r="G2074">
            <v>10500</v>
          </cell>
        </row>
        <row r="2075">
          <cell r="B2075">
            <v>9</v>
          </cell>
          <cell r="C2075" t="str">
            <v>Giẻ lau</v>
          </cell>
          <cell r="D2075" t="str">
            <v>kg</v>
          </cell>
          <cell r="E2075">
            <v>3</v>
          </cell>
          <cell r="F2075">
            <v>9500</v>
          </cell>
          <cell r="G2075">
            <v>28500</v>
          </cell>
        </row>
        <row r="2076">
          <cell r="B2076">
            <v>3</v>
          </cell>
          <cell r="C2076" t="str">
            <v>Xăng</v>
          </cell>
          <cell r="D2076" t="str">
            <v>kg</v>
          </cell>
          <cell r="E2076">
            <v>1.6</v>
          </cell>
          <cell r="F2076">
            <v>18382</v>
          </cell>
        </row>
        <row r="2077">
          <cell r="C2077" t="str">
            <v>Nhân công</v>
          </cell>
          <cell r="G2077">
            <v>6290125.6796052633</v>
          </cell>
        </row>
        <row r="2078">
          <cell r="B2078" t="str">
            <v>NC1457</v>
          </cell>
          <cell r="C2078" t="str">
            <v>Ngày công bậc 4,5/7</v>
          </cell>
          <cell r="D2078" t="str">
            <v>công</v>
          </cell>
          <cell r="E2078">
            <v>29.7</v>
          </cell>
          <cell r="F2078">
            <v>211788.74342105264</v>
          </cell>
          <cell r="G2078">
            <v>6290125.6796052633</v>
          </cell>
        </row>
        <row r="2079">
          <cell r="C2079" t="str">
            <v>Máy thi công</v>
          </cell>
          <cell r="G2079">
            <v>1163574.0719999999</v>
          </cell>
        </row>
        <row r="2080">
          <cell r="B2080">
            <v>8013</v>
          </cell>
          <cell r="C2080" t="str">
            <v>Cần trục bánh hơi 10 tấn</v>
          </cell>
          <cell r="D2080" t="str">
            <v>ca</v>
          </cell>
          <cell r="E2080">
            <v>0.6</v>
          </cell>
          <cell r="F2080">
            <v>1939290.1199999999</v>
          </cell>
          <cell r="G2080">
            <v>1163574.0719999999</v>
          </cell>
        </row>
        <row r="2081">
          <cell r="A2081" t="str">
            <v>T2.2103</v>
          </cell>
          <cell r="C2081" t="str">
            <v>Lắp đặt máy cắt dầu ngoài trời, loại ít dầu &lt;=35kV</v>
          </cell>
          <cell r="D2081" t="str">
            <v>máy</v>
          </cell>
          <cell r="H2081">
            <v>77050</v>
          </cell>
          <cell r="I2081">
            <v>3028579.0309210531</v>
          </cell>
          <cell r="J2081">
            <v>570573.23680000007</v>
          </cell>
        </row>
        <row r="2082">
          <cell r="C2082" t="str">
            <v>Vật liệu</v>
          </cell>
          <cell r="G2082">
            <v>77050</v>
          </cell>
        </row>
        <row r="2083">
          <cell r="B2083">
            <v>1</v>
          </cell>
          <cell r="C2083" t="str">
            <v>Cồn công nghiệp</v>
          </cell>
          <cell r="D2083" t="str">
            <v>kg</v>
          </cell>
          <cell r="E2083">
            <v>1</v>
          </cell>
          <cell r="F2083">
            <v>9500</v>
          </cell>
          <cell r="G2083">
            <v>9500</v>
          </cell>
        </row>
        <row r="2084">
          <cell r="B2084">
            <v>7</v>
          </cell>
          <cell r="C2084" t="str">
            <v>Sơn chống rỉ</v>
          </cell>
          <cell r="D2084" t="str">
            <v>kg</v>
          </cell>
          <cell r="E2084">
            <v>0.3</v>
          </cell>
          <cell r="F2084">
            <v>36000</v>
          </cell>
          <cell r="G2084">
            <v>10800</v>
          </cell>
        </row>
        <row r="2085">
          <cell r="B2085">
            <v>4</v>
          </cell>
          <cell r="C2085" t="str">
            <v>Giấy ráp</v>
          </cell>
          <cell r="D2085" t="str">
            <v>tờ</v>
          </cell>
          <cell r="E2085">
            <v>1</v>
          </cell>
          <cell r="F2085">
            <v>10000</v>
          </cell>
          <cell r="G2085">
            <v>10000</v>
          </cell>
        </row>
        <row r="2086">
          <cell r="B2086">
            <v>11</v>
          </cell>
          <cell r="C2086" t="str">
            <v>Vazơlin</v>
          </cell>
          <cell r="D2086" t="str">
            <v>kg</v>
          </cell>
          <cell r="E2086">
            <v>0.2</v>
          </cell>
          <cell r="F2086">
            <v>24000</v>
          </cell>
          <cell r="G2086">
            <v>4800</v>
          </cell>
        </row>
        <row r="2087">
          <cell r="B2087">
            <v>6</v>
          </cell>
          <cell r="C2087" t="str">
            <v>Vải trắng</v>
          </cell>
          <cell r="D2087" t="str">
            <v>m</v>
          </cell>
          <cell r="E2087">
            <v>1</v>
          </cell>
          <cell r="F2087">
            <v>15000</v>
          </cell>
          <cell r="G2087">
            <v>15000</v>
          </cell>
        </row>
        <row r="2088">
          <cell r="B2088">
            <v>8</v>
          </cell>
          <cell r="C2088" t="str">
            <v>Mỡ YOC</v>
          </cell>
          <cell r="D2088" t="str">
            <v>kg</v>
          </cell>
          <cell r="E2088">
            <v>0.2</v>
          </cell>
          <cell r="F2088">
            <v>35000</v>
          </cell>
          <cell r="G2088">
            <v>7000</v>
          </cell>
        </row>
        <row r="2089">
          <cell r="B2089">
            <v>9</v>
          </cell>
          <cell r="C2089" t="str">
            <v>Giẻ lau</v>
          </cell>
          <cell r="D2089" t="str">
            <v>kg</v>
          </cell>
          <cell r="E2089">
            <v>2.1</v>
          </cell>
          <cell r="F2089">
            <v>9500</v>
          </cell>
          <cell r="G2089">
            <v>19950</v>
          </cell>
        </row>
        <row r="2090">
          <cell r="B2090">
            <v>3</v>
          </cell>
          <cell r="C2090" t="str">
            <v>Xăng</v>
          </cell>
          <cell r="D2090" t="str">
            <v>kg</v>
          </cell>
          <cell r="E2090">
            <v>0.8</v>
          </cell>
          <cell r="F2090">
            <v>18382</v>
          </cell>
        </row>
        <row r="2091">
          <cell r="C2091" t="str">
            <v>Nhân công</v>
          </cell>
          <cell r="G2091">
            <v>3028579.0309210531</v>
          </cell>
        </row>
        <row r="2092">
          <cell r="B2092" t="str">
            <v>NC1457</v>
          </cell>
          <cell r="C2092" t="str">
            <v>Ngày công bậc 4,5/7</v>
          </cell>
          <cell r="D2092" t="str">
            <v>công</v>
          </cell>
          <cell r="E2092">
            <v>14.3</v>
          </cell>
          <cell r="F2092">
            <v>211788.74342105264</v>
          </cell>
          <cell r="G2092">
            <v>3028579.0309210531</v>
          </cell>
        </row>
        <row r="2093">
          <cell r="C2093" t="str">
            <v>Máy thi công</v>
          </cell>
          <cell r="G2093">
            <v>570573.23680000007</v>
          </cell>
        </row>
        <row r="2094">
          <cell r="B2094">
            <v>8015</v>
          </cell>
          <cell r="C2094" t="str">
            <v>Cần trục bánh hơi 5 tấn</v>
          </cell>
          <cell r="D2094" t="str">
            <v>ca</v>
          </cell>
          <cell r="E2094">
            <v>0.4</v>
          </cell>
          <cell r="F2094">
            <v>1426433.0920000002</v>
          </cell>
          <cell r="G2094">
            <v>570573.23680000007</v>
          </cell>
        </row>
        <row r="2095">
          <cell r="A2095" t="str">
            <v>T2.2201</v>
          </cell>
          <cell r="C2095" t="str">
            <v>Lắp đặt máy cắt dùng khí SF6 3 pha 500KV</v>
          </cell>
          <cell r="D2095" t="str">
            <v>máy</v>
          </cell>
          <cell r="H2095">
            <v>324107</v>
          </cell>
          <cell r="I2095">
            <v>20458792.614473686</v>
          </cell>
          <cell r="J2095">
            <v>1099312.3700000001</v>
          </cell>
        </row>
        <row r="2096">
          <cell r="C2096" t="str">
            <v>Vật liệu</v>
          </cell>
          <cell r="G2096">
            <v>324107</v>
          </cell>
        </row>
        <row r="2097">
          <cell r="B2097">
            <v>1</v>
          </cell>
          <cell r="C2097" t="str">
            <v>Cồn công nghiệp</v>
          </cell>
          <cell r="D2097" t="str">
            <v>kg</v>
          </cell>
          <cell r="E2097">
            <v>4.3</v>
          </cell>
          <cell r="F2097">
            <v>9500</v>
          </cell>
          <cell r="G2097">
            <v>40850</v>
          </cell>
        </row>
        <row r="2098">
          <cell r="B2098">
            <v>7</v>
          </cell>
          <cell r="C2098" t="str">
            <v>Sơn chống rỉ</v>
          </cell>
          <cell r="D2098" t="str">
            <v>kg</v>
          </cell>
          <cell r="E2098">
            <v>1.32</v>
          </cell>
          <cell r="F2098">
            <v>36000</v>
          </cell>
          <cell r="G2098">
            <v>47520</v>
          </cell>
        </row>
        <row r="2099">
          <cell r="B2099">
            <v>4</v>
          </cell>
          <cell r="C2099" t="str">
            <v>Giấy ráp</v>
          </cell>
          <cell r="D2099" t="str">
            <v>tờ</v>
          </cell>
          <cell r="E2099">
            <v>6.5</v>
          </cell>
          <cell r="F2099">
            <v>10000</v>
          </cell>
          <cell r="G2099">
            <v>65000</v>
          </cell>
        </row>
        <row r="2100">
          <cell r="B2100">
            <v>11</v>
          </cell>
          <cell r="C2100" t="str">
            <v>Vazơlin</v>
          </cell>
          <cell r="D2100" t="str">
            <v>kg</v>
          </cell>
          <cell r="E2100">
            <v>0.6</v>
          </cell>
          <cell r="F2100">
            <v>24000</v>
          </cell>
          <cell r="G2100">
            <v>14400</v>
          </cell>
        </row>
        <row r="2101">
          <cell r="B2101">
            <v>6</v>
          </cell>
          <cell r="C2101" t="str">
            <v>Vải trắng</v>
          </cell>
          <cell r="D2101" t="str">
            <v>m</v>
          </cell>
          <cell r="E2101">
            <v>4.3</v>
          </cell>
          <cell r="F2101">
            <v>15000</v>
          </cell>
          <cell r="G2101">
            <v>64500</v>
          </cell>
        </row>
        <row r="2102">
          <cell r="B2102">
            <v>8</v>
          </cell>
          <cell r="C2102" t="str">
            <v>Mỡ YOC</v>
          </cell>
          <cell r="D2102" t="str">
            <v>kg</v>
          </cell>
          <cell r="E2102">
            <v>0.65</v>
          </cell>
          <cell r="F2102">
            <v>35000</v>
          </cell>
          <cell r="G2102">
            <v>22750</v>
          </cell>
        </row>
        <row r="2103">
          <cell r="B2103">
            <v>9</v>
          </cell>
          <cell r="C2103" t="str">
            <v>Giẻ lau</v>
          </cell>
          <cell r="D2103" t="str">
            <v>kg</v>
          </cell>
          <cell r="E2103">
            <v>0.5</v>
          </cell>
          <cell r="F2103">
            <v>9500</v>
          </cell>
          <cell r="G2103">
            <v>4750</v>
          </cell>
        </row>
        <row r="2104">
          <cell r="B2104">
            <v>3</v>
          </cell>
          <cell r="C2104" t="str">
            <v>Xăng</v>
          </cell>
          <cell r="D2104" t="str">
            <v>kg</v>
          </cell>
          <cell r="E2104">
            <v>3.5</v>
          </cell>
          <cell r="F2104">
            <v>18382</v>
          </cell>
          <cell r="G2104">
            <v>64337</v>
          </cell>
        </row>
        <row r="2105">
          <cell r="C2105" t="str">
            <v>Nhân công</v>
          </cell>
          <cell r="G2105">
            <v>20458792.614473686</v>
          </cell>
        </row>
        <row r="2106">
          <cell r="B2106" t="str">
            <v>NC1457</v>
          </cell>
          <cell r="C2106" t="str">
            <v>Ngày công bậc 4,5/7</v>
          </cell>
          <cell r="D2106" t="str">
            <v>công</v>
          </cell>
          <cell r="E2106">
            <v>96.6</v>
          </cell>
          <cell r="F2106">
            <v>211788.74342105264</v>
          </cell>
          <cell r="G2106">
            <v>20458792.614473686</v>
          </cell>
        </row>
        <row r="2107">
          <cell r="C2107" t="str">
            <v>Máy thi công</v>
          </cell>
          <cell r="G2107">
            <v>1099312.3700000001</v>
          </cell>
        </row>
        <row r="2108">
          <cell r="B2108">
            <v>8014</v>
          </cell>
          <cell r="C2108" t="str">
            <v>Cần trục bánh hơi 16 tấn</v>
          </cell>
          <cell r="D2108" t="str">
            <v>ca</v>
          </cell>
          <cell r="E2108">
            <v>0.5</v>
          </cell>
          <cell r="F2108">
            <v>2198624.7400000002</v>
          </cell>
          <cell r="G2108">
            <v>1099312.3700000001</v>
          </cell>
        </row>
        <row r="2109">
          <cell r="A2109" t="str">
            <v>T2.2202</v>
          </cell>
          <cell r="C2109" t="str">
            <v>Lắp đặt máy cắt dùng khí SF6 3 pha 220KV</v>
          </cell>
          <cell r="D2109" t="str">
            <v>máy</v>
          </cell>
          <cell r="H2109">
            <v>255450</v>
          </cell>
          <cell r="I2109">
            <v>11267161.15</v>
          </cell>
          <cell r="J2109">
            <v>879449.89600000018</v>
          </cell>
        </row>
        <row r="2110">
          <cell r="C2110" t="str">
            <v>Vật liệu</v>
          </cell>
          <cell r="G2110">
            <v>255450</v>
          </cell>
        </row>
        <row r="2111">
          <cell r="B2111">
            <v>1</v>
          </cell>
          <cell r="C2111" t="str">
            <v>Cồn công nghiệp</v>
          </cell>
          <cell r="D2111" t="str">
            <v>kg</v>
          </cell>
          <cell r="E2111">
            <v>3.6</v>
          </cell>
          <cell r="F2111">
            <v>9500</v>
          </cell>
          <cell r="G2111">
            <v>34200</v>
          </cell>
        </row>
        <row r="2112">
          <cell r="B2112">
            <v>7</v>
          </cell>
          <cell r="C2112" t="str">
            <v>Sơn chống rỉ</v>
          </cell>
          <cell r="D2112" t="str">
            <v>kg</v>
          </cell>
          <cell r="E2112">
            <v>1.1000000000000001</v>
          </cell>
          <cell r="F2112">
            <v>36000</v>
          </cell>
          <cell r="G2112">
            <v>39600</v>
          </cell>
        </row>
        <row r="2113">
          <cell r="B2113">
            <v>4</v>
          </cell>
          <cell r="C2113" t="str">
            <v>Giấy ráp</v>
          </cell>
          <cell r="D2113" t="str">
            <v>tờ</v>
          </cell>
          <cell r="E2113">
            <v>5.4</v>
          </cell>
          <cell r="F2113">
            <v>10000</v>
          </cell>
          <cell r="G2113">
            <v>54000</v>
          </cell>
        </row>
        <row r="2114">
          <cell r="B2114">
            <v>11</v>
          </cell>
          <cell r="C2114" t="str">
            <v>Vazơlin</v>
          </cell>
          <cell r="D2114" t="str">
            <v>kg</v>
          </cell>
          <cell r="E2114">
            <v>0.5</v>
          </cell>
          <cell r="F2114">
            <v>24000</v>
          </cell>
          <cell r="G2114">
            <v>12000</v>
          </cell>
        </row>
        <row r="2115">
          <cell r="B2115">
            <v>6</v>
          </cell>
          <cell r="C2115" t="str">
            <v>Vải trắng</v>
          </cell>
          <cell r="D2115" t="str">
            <v>m</v>
          </cell>
          <cell r="E2115">
            <v>3.6</v>
          </cell>
          <cell r="F2115">
            <v>15000</v>
          </cell>
          <cell r="G2115">
            <v>54000</v>
          </cell>
        </row>
        <row r="2116">
          <cell r="B2116">
            <v>8</v>
          </cell>
          <cell r="C2116" t="str">
            <v>Mỡ YOC</v>
          </cell>
          <cell r="D2116" t="str">
            <v>kg</v>
          </cell>
          <cell r="E2116">
            <v>0.54</v>
          </cell>
          <cell r="F2116">
            <v>35000</v>
          </cell>
          <cell r="G2116">
            <v>18900</v>
          </cell>
        </row>
        <row r="2117">
          <cell r="B2117">
            <v>9</v>
          </cell>
          <cell r="C2117" t="str">
            <v>Giẻ lau</v>
          </cell>
          <cell r="D2117" t="str">
            <v>kg</v>
          </cell>
          <cell r="E2117">
            <v>4.5</v>
          </cell>
          <cell r="F2117">
            <v>9500</v>
          </cell>
          <cell r="G2117">
            <v>42750</v>
          </cell>
        </row>
        <row r="2118">
          <cell r="B2118">
            <v>3</v>
          </cell>
          <cell r="C2118" t="str">
            <v>Xăng</v>
          </cell>
          <cell r="D2118" t="str">
            <v>kg</v>
          </cell>
          <cell r="E2118">
            <v>2.9</v>
          </cell>
          <cell r="F2118">
            <v>18382</v>
          </cell>
        </row>
        <row r="2119">
          <cell r="C2119" t="str">
            <v>Nhân công</v>
          </cell>
          <cell r="G2119">
            <v>11267161.15</v>
          </cell>
        </row>
        <row r="2120">
          <cell r="B2120" t="str">
            <v>NC1457</v>
          </cell>
          <cell r="C2120" t="str">
            <v>Ngày công bậc 4,5/7</v>
          </cell>
          <cell r="D2120" t="str">
            <v>công</v>
          </cell>
          <cell r="E2120">
            <v>53.2</v>
          </cell>
          <cell r="F2120">
            <v>211788.74342105264</v>
          </cell>
          <cell r="G2120">
            <v>11267161.15</v>
          </cell>
        </row>
        <row r="2121">
          <cell r="C2121" t="str">
            <v>Máy thi công</v>
          </cell>
          <cell r="G2121">
            <v>879449.89600000018</v>
          </cell>
        </row>
        <row r="2122">
          <cell r="B2122">
            <v>8014</v>
          </cell>
          <cell r="C2122" t="str">
            <v>Cần trục bánh hơi 16 tấn</v>
          </cell>
          <cell r="D2122" t="str">
            <v>ca</v>
          </cell>
          <cell r="E2122">
            <v>0.4</v>
          </cell>
          <cell r="F2122">
            <v>2198624.7400000002</v>
          </cell>
          <cell r="G2122">
            <v>879449.89600000018</v>
          </cell>
        </row>
        <row r="2123">
          <cell r="A2123" t="str">
            <v>T2.2203</v>
          </cell>
          <cell r="C2123" t="str">
            <v>Lắp đặt máy cắt dùng khí SF6 3 pha &lt;=110KV</v>
          </cell>
          <cell r="D2123" t="str">
            <v>máy</v>
          </cell>
          <cell r="H2123">
            <v>176211.20000000001</v>
          </cell>
          <cell r="I2123">
            <v>4403087.9757236838</v>
          </cell>
          <cell r="J2123">
            <v>581787.03599999996</v>
          </cell>
        </row>
        <row r="2124">
          <cell r="C2124" t="str">
            <v>Vật liệu</v>
          </cell>
          <cell r="G2124">
            <v>176211.20000000001</v>
          </cell>
        </row>
        <row r="2125">
          <cell r="B2125">
            <v>1</v>
          </cell>
          <cell r="C2125" t="str">
            <v>Cồn công nghiệp</v>
          </cell>
          <cell r="D2125" t="str">
            <v>kg</v>
          </cell>
          <cell r="E2125">
            <v>2</v>
          </cell>
          <cell r="F2125">
            <v>9500</v>
          </cell>
          <cell r="G2125">
            <v>19000</v>
          </cell>
        </row>
        <row r="2126">
          <cell r="B2126">
            <v>7</v>
          </cell>
          <cell r="C2126" t="str">
            <v>Sơn chống rỉ</v>
          </cell>
          <cell r="D2126" t="str">
            <v>kg</v>
          </cell>
          <cell r="E2126">
            <v>0.6</v>
          </cell>
          <cell r="F2126">
            <v>36000</v>
          </cell>
          <cell r="G2126">
            <v>21600</v>
          </cell>
        </row>
        <row r="2127">
          <cell r="B2127">
            <v>4</v>
          </cell>
          <cell r="C2127" t="str">
            <v>Giấy ráp</v>
          </cell>
          <cell r="D2127" t="str">
            <v>tờ</v>
          </cell>
          <cell r="E2127">
            <v>3</v>
          </cell>
          <cell r="F2127">
            <v>10000</v>
          </cell>
          <cell r="G2127">
            <v>30000</v>
          </cell>
        </row>
        <row r="2128">
          <cell r="B2128">
            <v>11</v>
          </cell>
          <cell r="C2128" t="str">
            <v>Vazơlin</v>
          </cell>
          <cell r="D2128" t="str">
            <v>kg</v>
          </cell>
          <cell r="E2128">
            <v>0.3</v>
          </cell>
          <cell r="F2128">
            <v>24000</v>
          </cell>
          <cell r="G2128">
            <v>7200</v>
          </cell>
        </row>
        <row r="2129">
          <cell r="B2129">
            <v>6</v>
          </cell>
          <cell r="C2129" t="str">
            <v>Vải trắng</v>
          </cell>
          <cell r="D2129" t="str">
            <v>m</v>
          </cell>
          <cell r="E2129">
            <v>2</v>
          </cell>
          <cell r="F2129">
            <v>15000</v>
          </cell>
          <cell r="G2129">
            <v>30000</v>
          </cell>
        </row>
        <row r="2130">
          <cell r="B2130">
            <v>8</v>
          </cell>
          <cell r="C2130" t="str">
            <v>Mỡ YOC</v>
          </cell>
          <cell r="D2130" t="str">
            <v>kg</v>
          </cell>
          <cell r="E2130">
            <v>0.3</v>
          </cell>
          <cell r="F2130">
            <v>35000</v>
          </cell>
          <cell r="G2130">
            <v>10500</v>
          </cell>
        </row>
        <row r="2131">
          <cell r="B2131">
            <v>9</v>
          </cell>
          <cell r="C2131" t="str">
            <v>Giẻ lau</v>
          </cell>
          <cell r="D2131" t="str">
            <v>kg</v>
          </cell>
          <cell r="E2131">
            <v>3</v>
          </cell>
          <cell r="F2131">
            <v>9500</v>
          </cell>
          <cell r="G2131">
            <v>28500</v>
          </cell>
        </row>
        <row r="2132">
          <cell r="B2132">
            <v>3</v>
          </cell>
          <cell r="C2132" t="str">
            <v>Xăng</v>
          </cell>
          <cell r="D2132" t="str">
            <v>kg</v>
          </cell>
          <cell r="E2132">
            <v>1.6</v>
          </cell>
          <cell r="F2132">
            <v>18382</v>
          </cell>
          <cell r="G2132">
            <v>29411.200000000001</v>
          </cell>
        </row>
        <row r="2133">
          <cell r="C2133" t="str">
            <v>Nhân công</v>
          </cell>
          <cell r="G2133">
            <v>4403087.9757236838</v>
          </cell>
        </row>
        <row r="2134">
          <cell r="B2134" t="str">
            <v>NC1457</v>
          </cell>
          <cell r="C2134" t="str">
            <v>Ngày công bậc 4,5/7</v>
          </cell>
          <cell r="D2134" t="str">
            <v>công</v>
          </cell>
          <cell r="E2134">
            <v>20.79</v>
          </cell>
          <cell r="F2134">
            <v>211788.74342105264</v>
          </cell>
          <cell r="G2134">
            <v>4403087.9757236838</v>
          </cell>
        </row>
        <row r="2135">
          <cell r="C2135" t="str">
            <v>Máy thi công</v>
          </cell>
          <cell r="G2135">
            <v>581787.03599999996</v>
          </cell>
        </row>
        <row r="2136">
          <cell r="B2136">
            <v>8013</v>
          </cell>
          <cell r="C2136" t="str">
            <v>Cần trục bánh hơi 10 tấn</v>
          </cell>
          <cell r="D2136" t="str">
            <v>ca</v>
          </cell>
          <cell r="E2136">
            <v>0.3</v>
          </cell>
          <cell r="F2136">
            <v>1939290.1199999999</v>
          </cell>
          <cell r="G2136">
            <v>581787.03599999996</v>
          </cell>
        </row>
        <row r="2137">
          <cell r="A2137" t="str">
            <v>T2.2204</v>
          </cell>
          <cell r="C2137" t="str">
            <v>Lắp đặt máy cắt dùng khí SF6 3 pha &lt;=35KV</v>
          </cell>
          <cell r="D2137" t="str">
            <v>máy</v>
          </cell>
          <cell r="H2137">
            <v>77050</v>
          </cell>
          <cell r="I2137">
            <v>2120005.3216447369</v>
          </cell>
          <cell r="J2137">
            <v>387858.02399999998</v>
          </cell>
        </row>
        <row r="2138">
          <cell r="C2138" t="str">
            <v>Vật liệu</v>
          </cell>
          <cell r="G2138">
            <v>77050</v>
          </cell>
        </row>
        <row r="2139">
          <cell r="B2139">
            <v>1</v>
          </cell>
          <cell r="C2139" t="str">
            <v>Cồn công nghiệp</v>
          </cell>
          <cell r="D2139" t="str">
            <v>kg</v>
          </cell>
          <cell r="E2139">
            <v>1</v>
          </cell>
          <cell r="F2139">
            <v>9500</v>
          </cell>
          <cell r="G2139">
            <v>9500</v>
          </cell>
        </row>
        <row r="2140">
          <cell r="B2140">
            <v>7</v>
          </cell>
          <cell r="C2140" t="str">
            <v>Sơn chống rỉ</v>
          </cell>
          <cell r="D2140" t="str">
            <v>kg</v>
          </cell>
          <cell r="E2140">
            <v>0.3</v>
          </cell>
          <cell r="F2140">
            <v>36000</v>
          </cell>
          <cell r="G2140">
            <v>10800</v>
          </cell>
        </row>
        <row r="2141">
          <cell r="B2141">
            <v>4</v>
          </cell>
          <cell r="C2141" t="str">
            <v>Giấy ráp</v>
          </cell>
          <cell r="D2141" t="str">
            <v>tờ</v>
          </cell>
          <cell r="E2141">
            <v>1</v>
          </cell>
          <cell r="F2141">
            <v>10000</v>
          </cell>
          <cell r="G2141">
            <v>10000</v>
          </cell>
        </row>
        <row r="2142">
          <cell r="B2142">
            <v>11</v>
          </cell>
          <cell r="C2142" t="str">
            <v>Vazơlin</v>
          </cell>
          <cell r="D2142" t="str">
            <v>kg</v>
          </cell>
          <cell r="E2142">
            <v>0.2</v>
          </cell>
          <cell r="F2142">
            <v>24000</v>
          </cell>
          <cell r="G2142">
            <v>4800</v>
          </cell>
        </row>
        <row r="2143">
          <cell r="B2143">
            <v>6</v>
          </cell>
          <cell r="C2143" t="str">
            <v>Vải trắng</v>
          </cell>
          <cell r="D2143" t="str">
            <v>m</v>
          </cell>
          <cell r="E2143">
            <v>1</v>
          </cell>
          <cell r="F2143">
            <v>15000</v>
          </cell>
          <cell r="G2143">
            <v>15000</v>
          </cell>
        </row>
        <row r="2144">
          <cell r="B2144">
            <v>8</v>
          </cell>
          <cell r="C2144" t="str">
            <v>Mỡ YOC</v>
          </cell>
          <cell r="D2144" t="str">
            <v>kg</v>
          </cell>
          <cell r="E2144">
            <v>0.2</v>
          </cell>
          <cell r="F2144">
            <v>35000</v>
          </cell>
          <cell r="G2144">
            <v>7000</v>
          </cell>
        </row>
        <row r="2145">
          <cell r="B2145">
            <v>9</v>
          </cell>
          <cell r="C2145" t="str">
            <v>Giẻ lau</v>
          </cell>
          <cell r="D2145" t="str">
            <v>kg</v>
          </cell>
          <cell r="E2145">
            <v>2.1</v>
          </cell>
          <cell r="F2145">
            <v>9500</v>
          </cell>
          <cell r="G2145">
            <v>19950</v>
          </cell>
        </row>
        <row r="2146">
          <cell r="B2146">
            <v>3</v>
          </cell>
          <cell r="C2146" t="str">
            <v>Xăng</v>
          </cell>
          <cell r="D2146" t="str">
            <v>kg</v>
          </cell>
          <cell r="E2146">
            <v>0.8</v>
          </cell>
          <cell r="F2146">
            <v>18382</v>
          </cell>
        </row>
        <row r="2147">
          <cell r="C2147" t="str">
            <v>Nhân công</v>
          </cell>
          <cell r="G2147">
            <v>2120005.3216447369</v>
          </cell>
        </row>
        <row r="2148">
          <cell r="B2148" t="str">
            <v>NC1457</v>
          </cell>
          <cell r="C2148" t="str">
            <v>Ngày công bậc 4,5/7</v>
          </cell>
          <cell r="D2148" t="str">
            <v>công</v>
          </cell>
          <cell r="E2148">
            <v>10.01</v>
          </cell>
          <cell r="F2148">
            <v>211788.74342105264</v>
          </cell>
          <cell r="G2148">
            <v>2120005.3216447369</v>
          </cell>
        </row>
        <row r="2149">
          <cell r="C2149" t="str">
            <v>Máy thi công</v>
          </cell>
          <cell r="G2149">
            <v>387858.02399999998</v>
          </cell>
        </row>
        <row r="2150">
          <cell r="B2150">
            <v>8013</v>
          </cell>
          <cell r="C2150" t="str">
            <v>Cần trục bánh hơi 10 tấn</v>
          </cell>
          <cell r="D2150" t="str">
            <v>ca</v>
          </cell>
          <cell r="E2150">
            <v>0.2</v>
          </cell>
          <cell r="F2150">
            <v>1939290.1199999999</v>
          </cell>
          <cell r="G2150">
            <v>387858.02399999998</v>
          </cell>
        </row>
        <row r="2151">
          <cell r="A2151" t="str">
            <v>T2.3111</v>
          </cell>
          <cell r="C2151" t="str">
            <v>Lắp đặt dao cách ly 1 pha ngoài trời 500KV, loại không tiếp đất</v>
          </cell>
          <cell r="D2151" t="str">
            <v>máy</v>
          </cell>
          <cell r="H2151">
            <v>69050</v>
          </cell>
          <cell r="I2151">
            <v>2393212.8006578949</v>
          </cell>
          <cell r="J2151">
            <v>479392.51766399993</v>
          </cell>
        </row>
        <row r="2152">
          <cell r="C2152" t="str">
            <v>Vật liệu</v>
          </cell>
          <cell r="G2152">
            <v>69050</v>
          </cell>
        </row>
        <row r="2153">
          <cell r="B2153">
            <v>4</v>
          </cell>
          <cell r="C2153" t="str">
            <v>Giấy ráp</v>
          </cell>
          <cell r="D2153" t="str">
            <v>tờ</v>
          </cell>
          <cell r="E2153">
            <v>4</v>
          </cell>
          <cell r="F2153">
            <v>10000</v>
          </cell>
          <cell r="G2153">
            <v>40000</v>
          </cell>
        </row>
        <row r="2154">
          <cell r="B2154">
            <v>11</v>
          </cell>
          <cell r="C2154" t="str">
            <v>Vazơlin</v>
          </cell>
          <cell r="D2154" t="str">
            <v>kg</v>
          </cell>
          <cell r="E2154">
            <v>0.15</v>
          </cell>
          <cell r="F2154">
            <v>24000</v>
          </cell>
          <cell r="G2154">
            <v>3600</v>
          </cell>
        </row>
        <row r="2155">
          <cell r="B2155">
            <v>8</v>
          </cell>
          <cell r="C2155" t="str">
            <v>Mỡ YOC</v>
          </cell>
          <cell r="D2155" t="str">
            <v>kg</v>
          </cell>
          <cell r="E2155">
            <v>0.32</v>
          </cell>
          <cell r="F2155">
            <v>35000</v>
          </cell>
          <cell r="G2155">
            <v>11200</v>
          </cell>
        </row>
        <row r="2156">
          <cell r="B2156">
            <v>9</v>
          </cell>
          <cell r="C2156" t="str">
            <v>Giẻ lau</v>
          </cell>
          <cell r="D2156" t="str">
            <v>kg</v>
          </cell>
          <cell r="E2156">
            <v>1.5</v>
          </cell>
          <cell r="F2156">
            <v>9500</v>
          </cell>
          <cell r="G2156">
            <v>14250</v>
          </cell>
        </row>
        <row r="2157">
          <cell r="C2157" t="str">
            <v>Nhân công</v>
          </cell>
          <cell r="G2157">
            <v>2393212.8006578949</v>
          </cell>
        </row>
        <row r="2158">
          <cell r="B2158" t="str">
            <v>NC1457</v>
          </cell>
          <cell r="C2158" t="str">
            <v>Ngày công bậc 4,5/7</v>
          </cell>
          <cell r="D2158" t="str">
            <v>công</v>
          </cell>
          <cell r="E2158">
            <v>11.3</v>
          </cell>
          <cell r="F2158">
            <v>211788.74342105264</v>
          </cell>
          <cell r="G2158">
            <v>2393212.8006578949</v>
          </cell>
        </row>
        <row r="2159">
          <cell r="C2159" t="str">
            <v>Máy thi công</v>
          </cell>
          <cell r="G2159">
            <v>479392.51766399993</v>
          </cell>
        </row>
        <row r="2160">
          <cell r="B2160">
            <v>8013</v>
          </cell>
          <cell r="C2160" t="str">
            <v>Cần trục bánh hơi 10 tấn</v>
          </cell>
          <cell r="D2160" t="str">
            <v>ca</v>
          </cell>
          <cell r="E2160">
            <v>0.24</v>
          </cell>
          <cell r="F2160">
            <v>1939290.1199999999</v>
          </cell>
          <cell r="G2160">
            <v>465429.62879999995</v>
          </cell>
        </row>
        <row r="2161">
          <cell r="B2161">
            <v>7008</v>
          </cell>
          <cell r="C2161" t="str">
            <v>Máy khác</v>
          </cell>
          <cell r="D2161" t="str">
            <v>%</v>
          </cell>
          <cell r="E2161">
            <v>3</v>
          </cell>
          <cell r="G2161">
            <v>13962.888863999999</v>
          </cell>
        </row>
        <row r="2162">
          <cell r="A2162" t="str">
            <v>T2.3121</v>
          </cell>
          <cell r="C2162" t="str">
            <v>Lắp đặt dao cách ly 1 pha ngoài trời 500KV, tiếp đất 1 đầu</v>
          </cell>
          <cell r="D2162" t="str">
            <v>máy</v>
          </cell>
          <cell r="H2162">
            <v>69050</v>
          </cell>
          <cell r="I2162">
            <v>3325083.2717105262</v>
          </cell>
          <cell r="J2162">
            <v>479392.51766399993</v>
          </cell>
        </row>
        <row r="2163">
          <cell r="C2163" t="str">
            <v>Vật liệu</v>
          </cell>
          <cell r="G2163">
            <v>69050</v>
          </cell>
        </row>
        <row r="2164">
          <cell r="B2164">
            <v>4</v>
          </cell>
          <cell r="C2164" t="str">
            <v>Giấy ráp</v>
          </cell>
          <cell r="D2164" t="str">
            <v>tờ</v>
          </cell>
          <cell r="E2164">
            <v>4</v>
          </cell>
          <cell r="F2164">
            <v>10000</v>
          </cell>
          <cell r="G2164">
            <v>40000</v>
          </cell>
        </row>
        <row r="2165">
          <cell r="B2165">
            <v>11</v>
          </cell>
          <cell r="C2165" t="str">
            <v>Vazơlin</v>
          </cell>
          <cell r="D2165" t="str">
            <v>kg</v>
          </cell>
          <cell r="E2165">
            <v>0.15</v>
          </cell>
          <cell r="F2165">
            <v>24000</v>
          </cell>
          <cell r="G2165">
            <v>3600</v>
          </cell>
        </row>
        <row r="2166">
          <cell r="B2166">
            <v>8</v>
          </cell>
          <cell r="C2166" t="str">
            <v>Mỡ YOC</v>
          </cell>
          <cell r="D2166" t="str">
            <v>kg</v>
          </cell>
          <cell r="E2166">
            <v>0.32</v>
          </cell>
          <cell r="F2166">
            <v>35000</v>
          </cell>
          <cell r="G2166">
            <v>11200</v>
          </cell>
        </row>
        <row r="2167">
          <cell r="B2167">
            <v>9</v>
          </cell>
          <cell r="C2167" t="str">
            <v>Giẻ lau</v>
          </cell>
          <cell r="D2167" t="str">
            <v>kg</v>
          </cell>
          <cell r="E2167">
            <v>1.5</v>
          </cell>
          <cell r="F2167">
            <v>9500</v>
          </cell>
          <cell r="G2167">
            <v>14250</v>
          </cell>
        </row>
        <row r="2168">
          <cell r="C2168" t="str">
            <v>Nhân công</v>
          </cell>
          <cell r="G2168">
            <v>3325083.2717105262</v>
          </cell>
        </row>
        <row r="2169">
          <cell r="B2169" t="str">
            <v>NC1457</v>
          </cell>
          <cell r="C2169" t="str">
            <v>Ngày công bậc 4,5/7</v>
          </cell>
          <cell r="D2169" t="str">
            <v>công</v>
          </cell>
          <cell r="E2169">
            <v>15.7</v>
          </cell>
          <cell r="F2169">
            <v>211788.74342105264</v>
          </cell>
          <cell r="G2169">
            <v>3325083.2717105262</v>
          </cell>
        </row>
        <row r="2170">
          <cell r="C2170" t="str">
            <v>Máy thi công</v>
          </cell>
          <cell r="G2170">
            <v>479392.51766399993</v>
          </cell>
        </row>
        <row r="2171">
          <cell r="B2171">
            <v>8013</v>
          </cell>
          <cell r="C2171" t="str">
            <v>Cần trục bánh hơi 10 tấn</v>
          </cell>
          <cell r="D2171" t="str">
            <v>ca</v>
          </cell>
          <cell r="E2171">
            <v>0.24</v>
          </cell>
          <cell r="F2171">
            <v>1939290.1199999999</v>
          </cell>
          <cell r="G2171">
            <v>465429.62879999995</v>
          </cell>
        </row>
        <row r="2172">
          <cell r="B2172">
            <v>7008</v>
          </cell>
          <cell r="C2172" t="str">
            <v>Máy khác</v>
          </cell>
          <cell r="D2172" t="str">
            <v>%</v>
          </cell>
          <cell r="E2172">
            <v>3</v>
          </cell>
          <cell r="G2172">
            <v>13962.888863999999</v>
          </cell>
        </row>
        <row r="2173">
          <cell r="A2173" t="str">
            <v>T2.3131</v>
          </cell>
          <cell r="C2173" t="str">
            <v>Lắp đặt dao cách ly 1 pha ngoài trời 500KV, tiếp đất 2 đầu</v>
          </cell>
          <cell r="D2173" t="str">
            <v>máy</v>
          </cell>
          <cell r="H2173">
            <v>69050</v>
          </cell>
          <cell r="I2173">
            <v>3990099.9260526318</v>
          </cell>
          <cell r="J2173">
            <v>479392.51766399993</v>
          </cell>
        </row>
        <row r="2174">
          <cell r="C2174" t="str">
            <v>Vật liệu</v>
          </cell>
          <cell r="G2174">
            <v>69050</v>
          </cell>
        </row>
        <row r="2175">
          <cell r="B2175">
            <v>4</v>
          </cell>
          <cell r="C2175" t="str">
            <v>Giấy ráp</v>
          </cell>
          <cell r="D2175" t="str">
            <v>tờ</v>
          </cell>
          <cell r="E2175">
            <v>4</v>
          </cell>
          <cell r="F2175">
            <v>10000</v>
          </cell>
          <cell r="G2175">
            <v>40000</v>
          </cell>
        </row>
        <row r="2176">
          <cell r="B2176">
            <v>11</v>
          </cell>
          <cell r="C2176" t="str">
            <v>Vazơlin</v>
          </cell>
          <cell r="D2176" t="str">
            <v>kg</v>
          </cell>
          <cell r="E2176">
            <v>0.15</v>
          </cell>
          <cell r="F2176">
            <v>24000</v>
          </cell>
          <cell r="G2176">
            <v>3600</v>
          </cell>
        </row>
        <row r="2177">
          <cell r="B2177">
            <v>8</v>
          </cell>
          <cell r="C2177" t="str">
            <v>Mỡ YOC</v>
          </cell>
          <cell r="D2177" t="str">
            <v>kg</v>
          </cell>
          <cell r="E2177">
            <v>0.32</v>
          </cell>
          <cell r="F2177">
            <v>35000</v>
          </cell>
          <cell r="G2177">
            <v>11200</v>
          </cell>
        </row>
        <row r="2178">
          <cell r="B2178">
            <v>9</v>
          </cell>
          <cell r="C2178" t="str">
            <v>Giẻ lau</v>
          </cell>
          <cell r="D2178" t="str">
            <v>kg</v>
          </cell>
          <cell r="E2178">
            <v>1.5</v>
          </cell>
          <cell r="F2178">
            <v>9500</v>
          </cell>
          <cell r="G2178">
            <v>14250</v>
          </cell>
        </row>
        <row r="2179">
          <cell r="C2179" t="str">
            <v>Nhân công</v>
          </cell>
          <cell r="G2179">
            <v>3990099.9260526318</v>
          </cell>
        </row>
        <row r="2180">
          <cell r="B2180" t="str">
            <v>NC1457</v>
          </cell>
          <cell r="C2180" t="str">
            <v>Ngày công bậc 4,5/7</v>
          </cell>
          <cell r="D2180" t="str">
            <v>công</v>
          </cell>
          <cell r="E2180">
            <v>18.84</v>
          </cell>
          <cell r="F2180">
            <v>211788.74342105264</v>
          </cell>
          <cell r="G2180">
            <v>3990099.9260526318</v>
          </cell>
        </row>
        <row r="2181">
          <cell r="C2181" t="str">
            <v>Máy thi công</v>
          </cell>
          <cell r="G2181">
            <v>479392.51766399993</v>
          </cell>
        </row>
        <row r="2182">
          <cell r="B2182">
            <v>8013</v>
          </cell>
          <cell r="C2182" t="str">
            <v>Cần trục bánh hơi 10 tấn</v>
          </cell>
          <cell r="D2182" t="str">
            <v>ca</v>
          </cell>
          <cell r="E2182">
            <v>0.24</v>
          </cell>
          <cell r="F2182">
            <v>1939290.1199999999</v>
          </cell>
          <cell r="G2182">
            <v>465429.62879999995</v>
          </cell>
        </row>
        <row r="2183">
          <cell r="B2183">
            <v>7008</v>
          </cell>
          <cell r="C2183" t="str">
            <v>Máy khác</v>
          </cell>
          <cell r="D2183" t="str">
            <v>%</v>
          </cell>
          <cell r="E2183">
            <v>3</v>
          </cell>
          <cell r="G2183">
            <v>13962.888863999999</v>
          </cell>
        </row>
        <row r="2184">
          <cell r="A2184" t="str">
            <v>T2.3112</v>
          </cell>
          <cell r="C2184" t="str">
            <v>Lắp đặt dao cách ly 1 pha ngoài trời 220KV, loại không tiếp đất</v>
          </cell>
          <cell r="D2184" t="str">
            <v>máy</v>
          </cell>
          <cell r="H2184">
            <v>47630</v>
          </cell>
          <cell r="I2184">
            <v>1609594.45</v>
          </cell>
          <cell r="J2184">
            <v>399493.76471999998</v>
          </cell>
        </row>
        <row r="2185">
          <cell r="C2185" t="str">
            <v>Vật liệu</v>
          </cell>
          <cell r="G2185">
            <v>47630</v>
          </cell>
        </row>
        <row r="2186">
          <cell r="B2186">
            <v>4</v>
          </cell>
          <cell r="C2186" t="str">
            <v>Giấy ráp</v>
          </cell>
          <cell r="D2186" t="str">
            <v>tờ</v>
          </cell>
          <cell r="E2186">
            <v>2</v>
          </cell>
          <cell r="F2186">
            <v>10000</v>
          </cell>
          <cell r="G2186">
            <v>20000</v>
          </cell>
        </row>
        <row r="2187">
          <cell r="B2187">
            <v>11</v>
          </cell>
          <cell r="C2187" t="str">
            <v>Vazơlin</v>
          </cell>
          <cell r="D2187" t="str">
            <v>kg</v>
          </cell>
          <cell r="E2187">
            <v>0.12</v>
          </cell>
          <cell r="F2187">
            <v>24000</v>
          </cell>
          <cell r="G2187">
            <v>2880</v>
          </cell>
        </row>
        <row r="2188">
          <cell r="B2188">
            <v>8</v>
          </cell>
          <cell r="C2188" t="str">
            <v>Mỡ YOC</v>
          </cell>
          <cell r="D2188" t="str">
            <v>kg</v>
          </cell>
          <cell r="E2188">
            <v>0.3</v>
          </cell>
          <cell r="F2188">
            <v>35000</v>
          </cell>
          <cell r="G2188">
            <v>10500</v>
          </cell>
        </row>
        <row r="2189">
          <cell r="B2189">
            <v>9</v>
          </cell>
          <cell r="C2189" t="str">
            <v>Giẻ lau</v>
          </cell>
          <cell r="D2189" t="str">
            <v>kg</v>
          </cell>
          <cell r="E2189">
            <v>1.5</v>
          </cell>
          <cell r="F2189">
            <v>9500</v>
          </cell>
          <cell r="G2189">
            <v>14250</v>
          </cell>
        </row>
        <row r="2190">
          <cell r="C2190" t="str">
            <v>Nhân công</v>
          </cell>
          <cell r="G2190">
            <v>1609594.45</v>
          </cell>
        </row>
        <row r="2191">
          <cell r="B2191" t="str">
            <v>NC1457</v>
          </cell>
          <cell r="C2191" t="str">
            <v>Ngày công bậc 4,5/7</v>
          </cell>
          <cell r="D2191" t="str">
            <v>công</v>
          </cell>
          <cell r="E2191">
            <v>7.6</v>
          </cell>
          <cell r="F2191">
            <v>211788.74342105264</v>
          </cell>
          <cell r="G2191">
            <v>1609594.45</v>
          </cell>
        </row>
        <row r="2192">
          <cell r="C2192" t="str">
            <v>Máy thi công</v>
          </cell>
          <cell r="G2192">
            <v>399493.76471999998</v>
          </cell>
        </row>
        <row r="2193">
          <cell r="B2193">
            <v>8013</v>
          </cell>
          <cell r="C2193" t="str">
            <v>Cần trục bánh hơi 10 tấn</v>
          </cell>
          <cell r="D2193" t="str">
            <v>ca</v>
          </cell>
          <cell r="E2193">
            <v>0.2</v>
          </cell>
          <cell r="F2193">
            <v>1939290.1199999999</v>
          </cell>
          <cell r="G2193">
            <v>387858.02399999998</v>
          </cell>
        </row>
        <row r="2194">
          <cell r="B2194">
            <v>7008</v>
          </cell>
          <cell r="C2194" t="str">
            <v>Máy khác</v>
          </cell>
          <cell r="D2194" t="str">
            <v>%</v>
          </cell>
          <cell r="E2194">
            <v>3</v>
          </cell>
          <cell r="G2194">
            <v>11635.740719999998</v>
          </cell>
        </row>
        <row r="2195">
          <cell r="A2195" t="str">
            <v>T2.3122</v>
          </cell>
          <cell r="C2195" t="str">
            <v>Lắp đặt dao cách ly 1 pha ngoài trời 220KV, tiếp đất 1 đầu</v>
          </cell>
          <cell r="D2195" t="str">
            <v>máy</v>
          </cell>
          <cell r="H2195">
            <v>47630</v>
          </cell>
          <cell r="I2195">
            <v>2213192.3687499999</v>
          </cell>
          <cell r="J2195">
            <v>399493.76471999998</v>
          </cell>
        </row>
        <row r="2196">
          <cell r="C2196" t="str">
            <v>Vật liệu</v>
          </cell>
          <cell r="G2196">
            <v>47630</v>
          </cell>
        </row>
        <row r="2197">
          <cell r="B2197">
            <v>4</v>
          </cell>
          <cell r="C2197" t="str">
            <v>Giấy ráp</v>
          </cell>
          <cell r="D2197" t="str">
            <v>tờ</v>
          </cell>
          <cell r="E2197">
            <v>2</v>
          </cell>
          <cell r="F2197">
            <v>10000</v>
          </cell>
          <cell r="G2197">
            <v>20000</v>
          </cell>
        </row>
        <row r="2198">
          <cell r="B2198">
            <v>11</v>
          </cell>
          <cell r="C2198" t="str">
            <v>Vazơlin</v>
          </cell>
          <cell r="D2198" t="str">
            <v>kg</v>
          </cell>
          <cell r="E2198">
            <v>0.12</v>
          </cell>
          <cell r="F2198">
            <v>24000</v>
          </cell>
          <cell r="G2198">
            <v>2880</v>
          </cell>
        </row>
        <row r="2199">
          <cell r="B2199">
            <v>8</v>
          </cell>
          <cell r="C2199" t="str">
            <v>Mỡ YOC</v>
          </cell>
          <cell r="D2199" t="str">
            <v>kg</v>
          </cell>
          <cell r="E2199">
            <v>0.3</v>
          </cell>
          <cell r="F2199">
            <v>35000</v>
          </cell>
          <cell r="G2199">
            <v>10500</v>
          </cell>
        </row>
        <row r="2200">
          <cell r="B2200">
            <v>9</v>
          </cell>
          <cell r="C2200" t="str">
            <v>Giẻ lau</v>
          </cell>
          <cell r="D2200" t="str">
            <v>kg</v>
          </cell>
          <cell r="E2200">
            <v>1.5</v>
          </cell>
          <cell r="F2200">
            <v>9500</v>
          </cell>
          <cell r="G2200">
            <v>14250</v>
          </cell>
        </row>
        <row r="2201">
          <cell r="C2201" t="str">
            <v>Nhân công</v>
          </cell>
          <cell r="G2201">
            <v>2213192.3687499999</v>
          </cell>
        </row>
        <row r="2202">
          <cell r="B2202" t="str">
            <v>NC1457</v>
          </cell>
          <cell r="C2202" t="str">
            <v>Ngày công bậc 4,5/7</v>
          </cell>
          <cell r="D2202" t="str">
            <v>công</v>
          </cell>
          <cell r="E2202">
            <v>10.45</v>
          </cell>
          <cell r="F2202">
            <v>211788.74342105264</v>
          </cell>
          <cell r="G2202">
            <v>2213192.3687499999</v>
          </cell>
        </row>
        <row r="2203">
          <cell r="C2203" t="str">
            <v>Máy thi công</v>
          </cell>
          <cell r="G2203">
            <v>399493.76471999998</v>
          </cell>
        </row>
        <row r="2204">
          <cell r="B2204">
            <v>8013</v>
          </cell>
          <cell r="C2204" t="str">
            <v>Cần trục bánh hơi 10 tấn</v>
          </cell>
          <cell r="D2204" t="str">
            <v>ca</v>
          </cell>
          <cell r="E2204">
            <v>0.2</v>
          </cell>
          <cell r="F2204">
            <v>1939290.1199999999</v>
          </cell>
          <cell r="G2204">
            <v>387858.02399999998</v>
          </cell>
        </row>
        <row r="2205">
          <cell r="B2205">
            <v>7008</v>
          </cell>
          <cell r="C2205" t="str">
            <v>Máy khác</v>
          </cell>
          <cell r="D2205" t="str">
            <v>%</v>
          </cell>
          <cell r="E2205">
            <v>3</v>
          </cell>
          <cell r="G2205">
            <v>11635.740719999998</v>
          </cell>
        </row>
        <row r="2206">
          <cell r="A2206" t="str">
            <v>T2.3132</v>
          </cell>
          <cell r="C2206" t="str">
            <v>Lắp đặt dao cách ly 1 pha ngoài trời 220KV, tiếp đất 2 đầu</v>
          </cell>
          <cell r="D2206" t="str">
            <v>máy</v>
          </cell>
          <cell r="H2206">
            <v>47630</v>
          </cell>
          <cell r="I2206">
            <v>2655830.8424999998</v>
          </cell>
          <cell r="J2206">
            <v>399493.76471999998</v>
          </cell>
        </row>
        <row r="2207">
          <cell r="C2207" t="str">
            <v>Vật liệu</v>
          </cell>
          <cell r="G2207">
            <v>47630</v>
          </cell>
        </row>
        <row r="2208">
          <cell r="B2208">
            <v>4</v>
          </cell>
          <cell r="C2208" t="str">
            <v>Giấy ráp</v>
          </cell>
          <cell r="D2208" t="str">
            <v>tờ</v>
          </cell>
          <cell r="E2208">
            <v>2</v>
          </cell>
          <cell r="F2208">
            <v>10000</v>
          </cell>
          <cell r="G2208">
            <v>20000</v>
          </cell>
        </row>
        <row r="2209">
          <cell r="B2209">
            <v>11</v>
          </cell>
          <cell r="C2209" t="str">
            <v>Vazơlin</v>
          </cell>
          <cell r="D2209" t="str">
            <v>kg</v>
          </cell>
          <cell r="E2209">
            <v>0.12</v>
          </cell>
          <cell r="F2209">
            <v>24000</v>
          </cell>
          <cell r="G2209">
            <v>2880</v>
          </cell>
        </row>
        <row r="2210">
          <cell r="B2210">
            <v>8</v>
          </cell>
          <cell r="C2210" t="str">
            <v>Mỡ YOC</v>
          </cell>
          <cell r="D2210" t="str">
            <v>kg</v>
          </cell>
          <cell r="E2210">
            <v>0.3</v>
          </cell>
          <cell r="F2210">
            <v>35000</v>
          </cell>
          <cell r="G2210">
            <v>10500</v>
          </cell>
        </row>
        <row r="2211">
          <cell r="B2211">
            <v>9</v>
          </cell>
          <cell r="C2211" t="str">
            <v>Giẻ lau</v>
          </cell>
          <cell r="D2211" t="str">
            <v>kg</v>
          </cell>
          <cell r="E2211">
            <v>1.5</v>
          </cell>
          <cell r="F2211">
            <v>9500</v>
          </cell>
          <cell r="G2211">
            <v>14250</v>
          </cell>
        </row>
        <row r="2212">
          <cell r="C2212" t="str">
            <v>Nhân công</v>
          </cell>
          <cell r="G2212">
            <v>2655830.8424999998</v>
          </cell>
        </row>
        <row r="2213">
          <cell r="B2213" t="str">
            <v>NC1457</v>
          </cell>
          <cell r="C2213" t="str">
            <v>Ngày công bậc 4,5/7</v>
          </cell>
          <cell r="D2213" t="str">
            <v>công</v>
          </cell>
          <cell r="E2213">
            <v>12.54</v>
          </cell>
          <cell r="F2213">
            <v>211788.74342105264</v>
          </cell>
          <cell r="G2213">
            <v>2655830.8424999998</v>
          </cell>
        </row>
        <row r="2214">
          <cell r="C2214" t="str">
            <v>Máy thi công</v>
          </cell>
          <cell r="G2214">
            <v>399493.76471999998</v>
          </cell>
        </row>
        <row r="2215">
          <cell r="B2215">
            <v>8013</v>
          </cell>
          <cell r="C2215" t="str">
            <v>Cần trục bánh hơi 10 tấn</v>
          </cell>
          <cell r="D2215" t="str">
            <v>ca</v>
          </cell>
          <cell r="E2215">
            <v>0.2</v>
          </cell>
          <cell r="F2215">
            <v>1939290.1199999999</v>
          </cell>
          <cell r="G2215">
            <v>387858.02399999998</v>
          </cell>
        </row>
        <row r="2216">
          <cell r="B2216">
            <v>7008</v>
          </cell>
          <cell r="C2216" t="str">
            <v>Máy khác</v>
          </cell>
          <cell r="D2216" t="str">
            <v>%</v>
          </cell>
          <cell r="E2216">
            <v>3</v>
          </cell>
          <cell r="G2216">
            <v>11635.740719999998</v>
          </cell>
        </row>
        <row r="2217">
          <cell r="A2217" t="str">
            <v>T2.3113</v>
          </cell>
          <cell r="C2217" t="str">
            <v>Lắp đặt dao cách ly 1 pha ngoài trời &lt;=110KV, loại không tiếp đất</v>
          </cell>
          <cell r="D2217" t="str">
            <v>bộ</v>
          </cell>
          <cell r="H2217">
            <v>28900</v>
          </cell>
          <cell r="I2217">
            <v>965756.66999999993</v>
          </cell>
          <cell r="J2217">
            <v>264460.69525680004</v>
          </cell>
        </row>
        <row r="2218">
          <cell r="C2218" t="str">
            <v>Vật liệu</v>
          </cell>
          <cell r="G2218">
            <v>28900</v>
          </cell>
        </row>
        <row r="2219">
          <cell r="B2219">
            <v>4</v>
          </cell>
          <cell r="C2219" t="str">
            <v>Giấy ráp</v>
          </cell>
          <cell r="D2219" t="str">
            <v>tờ</v>
          </cell>
          <cell r="E2219">
            <v>1</v>
          </cell>
          <cell r="F2219">
            <v>10000</v>
          </cell>
          <cell r="G2219">
            <v>10000</v>
          </cell>
        </row>
        <row r="2220">
          <cell r="B2220">
            <v>11</v>
          </cell>
          <cell r="C2220" t="str">
            <v>Vazơlin</v>
          </cell>
          <cell r="D2220" t="str">
            <v>kg</v>
          </cell>
          <cell r="E2220">
            <v>0.1</v>
          </cell>
          <cell r="F2220">
            <v>24000</v>
          </cell>
          <cell r="G2220">
            <v>2400</v>
          </cell>
        </row>
        <row r="2221">
          <cell r="B2221">
            <v>8</v>
          </cell>
          <cell r="C2221" t="str">
            <v>Mỡ YOC</v>
          </cell>
          <cell r="D2221" t="str">
            <v>kg</v>
          </cell>
          <cell r="E2221">
            <v>0.2</v>
          </cell>
          <cell r="F2221">
            <v>35000</v>
          </cell>
          <cell r="G2221">
            <v>7000</v>
          </cell>
        </row>
        <row r="2222">
          <cell r="B2222">
            <v>9</v>
          </cell>
          <cell r="C2222" t="str">
            <v>Giẻ lau</v>
          </cell>
          <cell r="D2222" t="str">
            <v>kg</v>
          </cell>
          <cell r="E2222">
            <v>1</v>
          </cell>
          <cell r="F2222">
            <v>9500</v>
          </cell>
          <cell r="G2222">
            <v>9500</v>
          </cell>
        </row>
        <row r="2223">
          <cell r="C2223" t="str">
            <v>Nhân công</v>
          </cell>
          <cell r="G2223">
            <v>965756.66999999993</v>
          </cell>
        </row>
        <row r="2224">
          <cell r="B2224" t="str">
            <v>NC1457</v>
          </cell>
          <cell r="C2224" t="str">
            <v>Ngày công bậc 4,5/7</v>
          </cell>
          <cell r="D2224" t="str">
            <v>công</v>
          </cell>
          <cell r="E2224">
            <v>4.5599999999999996</v>
          </cell>
          <cell r="F2224">
            <v>211788.74342105264</v>
          </cell>
          <cell r="G2224">
            <v>965756.66999999993</v>
          </cell>
        </row>
        <row r="2225">
          <cell r="C2225" t="str">
            <v>Máy thi công</v>
          </cell>
          <cell r="G2225">
            <v>264460.69525680004</v>
          </cell>
        </row>
        <row r="2226">
          <cell r="B2226">
            <v>8015</v>
          </cell>
          <cell r="C2226" t="str">
            <v>Cần trục bánh hơi 5 tấn</v>
          </cell>
          <cell r="D2226" t="str">
            <v>ca</v>
          </cell>
          <cell r="E2226">
            <v>0.18</v>
          </cell>
          <cell r="F2226">
            <v>1426433.0920000002</v>
          </cell>
          <cell r="G2226">
            <v>256757.95656000002</v>
          </cell>
        </row>
        <row r="2227">
          <cell r="B2227">
            <v>7008</v>
          </cell>
          <cell r="C2227" t="str">
            <v>Máy khác</v>
          </cell>
          <cell r="D2227" t="str">
            <v>%</v>
          </cell>
          <cell r="E2227">
            <v>3</v>
          </cell>
          <cell r="G2227">
            <v>7702.7386968000001</v>
          </cell>
        </row>
        <row r="2228">
          <cell r="A2228" t="str">
            <v>T2.3123</v>
          </cell>
          <cell r="C2228" t="str">
            <v>Lắp đặt dao cách ly 1 pha ngoài trời &lt;=110KV, tiếp đất 1 đầu</v>
          </cell>
          <cell r="D2228" t="str">
            <v>bộ</v>
          </cell>
          <cell r="H2228">
            <v>28900</v>
          </cell>
          <cell r="I2228">
            <v>1389334.1568421053</v>
          </cell>
          <cell r="J2228">
            <v>264460.69525680004</v>
          </cell>
        </row>
        <row r="2229">
          <cell r="C2229" t="str">
            <v>Vật liệu</v>
          </cell>
          <cell r="G2229">
            <v>28900</v>
          </cell>
        </row>
        <row r="2230">
          <cell r="B2230">
            <v>4</v>
          </cell>
          <cell r="C2230" t="str">
            <v>Giấy ráp</v>
          </cell>
          <cell r="D2230" t="str">
            <v>tờ</v>
          </cell>
          <cell r="E2230">
            <v>1</v>
          </cell>
          <cell r="F2230">
            <v>10000</v>
          </cell>
          <cell r="G2230">
            <v>10000</v>
          </cell>
        </row>
        <row r="2231">
          <cell r="B2231">
            <v>11</v>
          </cell>
          <cell r="C2231" t="str">
            <v>Vazơlin</v>
          </cell>
          <cell r="D2231" t="str">
            <v>kg</v>
          </cell>
          <cell r="E2231">
            <v>0.1</v>
          </cell>
          <cell r="F2231">
            <v>24000</v>
          </cell>
          <cell r="G2231">
            <v>2400</v>
          </cell>
        </row>
        <row r="2232">
          <cell r="B2232">
            <v>8</v>
          </cell>
          <cell r="C2232" t="str">
            <v>Mỡ YOC</v>
          </cell>
          <cell r="D2232" t="str">
            <v>kg</v>
          </cell>
          <cell r="E2232">
            <v>0.2</v>
          </cell>
          <cell r="F2232">
            <v>35000</v>
          </cell>
          <cell r="G2232">
            <v>7000</v>
          </cell>
        </row>
        <row r="2233">
          <cell r="B2233">
            <v>9</v>
          </cell>
          <cell r="C2233" t="str">
            <v>Giẻ lau</v>
          </cell>
          <cell r="D2233" t="str">
            <v>kg</v>
          </cell>
          <cell r="E2233">
            <v>1</v>
          </cell>
          <cell r="F2233">
            <v>9500</v>
          </cell>
          <cell r="G2233">
            <v>9500</v>
          </cell>
        </row>
        <row r="2234">
          <cell r="C2234" t="str">
            <v>Nhân công</v>
          </cell>
          <cell r="G2234">
            <v>1389334.1568421053</v>
          </cell>
        </row>
        <row r="2235">
          <cell r="B2235" t="str">
            <v>NC1457</v>
          </cell>
          <cell r="C2235" t="str">
            <v>Ngày công bậc 4,5/7</v>
          </cell>
          <cell r="D2235" t="str">
            <v>công</v>
          </cell>
          <cell r="E2235">
            <v>6.56</v>
          </cell>
          <cell r="F2235">
            <v>211788.74342105264</v>
          </cell>
          <cell r="G2235">
            <v>1389334.1568421053</v>
          </cell>
        </row>
        <row r="2236">
          <cell r="C2236" t="str">
            <v>Máy thi công</v>
          </cell>
          <cell r="G2236">
            <v>264460.69525680004</v>
          </cell>
        </row>
        <row r="2237">
          <cell r="B2237">
            <v>8015</v>
          </cell>
          <cell r="C2237" t="str">
            <v>Cần trục bánh hơi 5 tấn</v>
          </cell>
          <cell r="D2237" t="str">
            <v>ca</v>
          </cell>
          <cell r="E2237">
            <v>0.18</v>
          </cell>
          <cell r="F2237">
            <v>1426433.0920000002</v>
          </cell>
          <cell r="G2237">
            <v>256757.95656000002</v>
          </cell>
        </row>
        <row r="2238">
          <cell r="B2238">
            <v>7008</v>
          </cell>
          <cell r="C2238" t="str">
            <v>Máy khác</v>
          </cell>
          <cell r="D2238" t="str">
            <v>%</v>
          </cell>
          <cell r="E2238">
            <v>3</v>
          </cell>
          <cell r="G2238">
            <v>7702.7386968000001</v>
          </cell>
        </row>
        <row r="2239">
          <cell r="A2239" t="str">
            <v>T2.3133</v>
          </cell>
          <cell r="C2239" t="str">
            <v>Lắp đặt dao cách ly 1 pha ngoài trời 110KV, tiếp đất 2 đầu</v>
          </cell>
          <cell r="D2239" t="str">
            <v>bộ</v>
          </cell>
          <cell r="H2239">
            <v>28900</v>
          </cell>
          <cell r="I2239">
            <v>1666777.4107236844</v>
          </cell>
          <cell r="J2239">
            <v>264460.69525680004</v>
          </cell>
        </row>
        <row r="2240">
          <cell r="C2240" t="str">
            <v>Vật liệu</v>
          </cell>
          <cell r="G2240">
            <v>28900</v>
          </cell>
        </row>
        <row r="2241">
          <cell r="B2241">
            <v>4</v>
          </cell>
          <cell r="C2241" t="str">
            <v>Giấy ráp</v>
          </cell>
          <cell r="D2241" t="str">
            <v>tờ</v>
          </cell>
          <cell r="E2241">
            <v>1</v>
          </cell>
          <cell r="F2241">
            <v>10000</v>
          </cell>
          <cell r="G2241">
            <v>10000</v>
          </cell>
        </row>
        <row r="2242">
          <cell r="B2242">
            <v>11</v>
          </cell>
          <cell r="C2242" t="str">
            <v>Vazơlin</v>
          </cell>
          <cell r="D2242" t="str">
            <v>kg</v>
          </cell>
          <cell r="E2242">
            <v>0.1</v>
          </cell>
          <cell r="F2242">
            <v>24000</v>
          </cell>
          <cell r="G2242">
            <v>2400</v>
          </cell>
        </row>
        <row r="2243">
          <cell r="B2243">
            <v>8</v>
          </cell>
          <cell r="C2243" t="str">
            <v>Mỡ YOC</v>
          </cell>
          <cell r="D2243" t="str">
            <v>kg</v>
          </cell>
          <cell r="E2243">
            <v>0.2</v>
          </cell>
          <cell r="F2243">
            <v>35000</v>
          </cell>
          <cell r="G2243">
            <v>7000</v>
          </cell>
        </row>
        <row r="2244">
          <cell r="B2244">
            <v>9</v>
          </cell>
          <cell r="C2244" t="str">
            <v>Giẻ lau</v>
          </cell>
          <cell r="D2244" t="str">
            <v>kg</v>
          </cell>
          <cell r="E2244">
            <v>1</v>
          </cell>
          <cell r="F2244">
            <v>9500</v>
          </cell>
          <cell r="G2244">
            <v>9500</v>
          </cell>
        </row>
        <row r="2245">
          <cell r="C2245" t="str">
            <v>Nhân công</v>
          </cell>
          <cell r="G2245">
            <v>1666777.4107236844</v>
          </cell>
        </row>
        <row r="2246">
          <cell r="B2246" t="str">
            <v>NC1457</v>
          </cell>
          <cell r="C2246" t="str">
            <v>Ngày công bậc 4,5/7</v>
          </cell>
          <cell r="D2246" t="str">
            <v>công</v>
          </cell>
          <cell r="E2246">
            <v>7.87</v>
          </cell>
          <cell r="F2246">
            <v>211788.74342105264</v>
          </cell>
          <cell r="G2246">
            <v>1666777.4107236844</v>
          </cell>
        </row>
        <row r="2247">
          <cell r="C2247" t="str">
            <v>Máy thi công</v>
          </cell>
          <cell r="G2247">
            <v>264460.69525680004</v>
          </cell>
        </row>
        <row r="2248">
          <cell r="B2248">
            <v>8015</v>
          </cell>
          <cell r="C2248" t="str">
            <v>Cần trục bánh hơi 5 tấn</v>
          </cell>
          <cell r="D2248" t="str">
            <v>ca</v>
          </cell>
          <cell r="E2248">
            <v>0.18</v>
          </cell>
          <cell r="F2248">
            <v>1426433.0920000002</v>
          </cell>
          <cell r="G2248">
            <v>256757.95656000002</v>
          </cell>
        </row>
        <row r="2249">
          <cell r="B2249">
            <v>7008</v>
          </cell>
          <cell r="C2249" t="str">
            <v>Máy khác</v>
          </cell>
          <cell r="D2249" t="str">
            <v>%</v>
          </cell>
          <cell r="E2249">
            <v>3</v>
          </cell>
          <cell r="G2249">
            <v>7702.7386968000001</v>
          </cell>
        </row>
        <row r="2250">
          <cell r="A2250" t="str">
            <v>T2.3114</v>
          </cell>
          <cell r="C2250" t="str">
            <v>Lắp đặt dao cách ly 1 pha ngoài trời &lt;=35KV, loại không tiếp đất</v>
          </cell>
          <cell r="D2250" t="str">
            <v>bộ</v>
          </cell>
          <cell r="H2250">
            <v>17050</v>
          </cell>
          <cell r="I2250">
            <v>482878.33499999996</v>
          </cell>
          <cell r="J2250">
            <v>176307.1301712</v>
          </cell>
        </row>
        <row r="2251">
          <cell r="C2251" t="str">
            <v>Vật liệu</v>
          </cell>
          <cell r="G2251">
            <v>17050</v>
          </cell>
        </row>
        <row r="2252">
          <cell r="B2252">
            <v>4</v>
          </cell>
          <cell r="C2252" t="str">
            <v>Giấy ráp</v>
          </cell>
          <cell r="D2252" t="str">
            <v>tờ</v>
          </cell>
          <cell r="E2252">
            <v>0.5</v>
          </cell>
          <cell r="F2252">
            <v>10000</v>
          </cell>
          <cell r="G2252">
            <v>5000</v>
          </cell>
        </row>
        <row r="2253">
          <cell r="B2253">
            <v>11</v>
          </cell>
          <cell r="C2253" t="str">
            <v>Vazơlin</v>
          </cell>
          <cell r="D2253" t="str">
            <v>kg</v>
          </cell>
          <cell r="E2253">
            <v>0.05</v>
          </cell>
          <cell r="F2253">
            <v>24000</v>
          </cell>
          <cell r="G2253">
            <v>1200</v>
          </cell>
        </row>
        <row r="2254">
          <cell r="B2254">
            <v>8</v>
          </cell>
          <cell r="C2254" t="str">
            <v>Mỡ YOC</v>
          </cell>
          <cell r="D2254" t="str">
            <v>kg</v>
          </cell>
          <cell r="E2254">
            <v>0.12</v>
          </cell>
          <cell r="F2254">
            <v>35000</v>
          </cell>
          <cell r="G2254">
            <v>4200</v>
          </cell>
        </row>
        <row r="2255">
          <cell r="B2255">
            <v>9</v>
          </cell>
          <cell r="C2255" t="str">
            <v>Giẻ lau</v>
          </cell>
          <cell r="D2255" t="str">
            <v>kg</v>
          </cell>
          <cell r="E2255">
            <v>0.7</v>
          </cell>
          <cell r="F2255">
            <v>9500</v>
          </cell>
          <cell r="G2255">
            <v>6650</v>
          </cell>
        </row>
        <row r="2256">
          <cell r="C2256" t="str">
            <v>Nhân công</v>
          </cell>
          <cell r="G2256">
            <v>482878.33499999996</v>
          </cell>
        </row>
        <row r="2257">
          <cell r="B2257" t="str">
            <v>NC1457</v>
          </cell>
          <cell r="C2257" t="str">
            <v>Ngày công bậc 4,5/7</v>
          </cell>
          <cell r="D2257" t="str">
            <v>công</v>
          </cell>
          <cell r="E2257">
            <v>2.2799999999999998</v>
          </cell>
          <cell r="F2257">
            <v>211788.74342105264</v>
          </cell>
          <cell r="G2257">
            <v>482878.33499999996</v>
          </cell>
        </row>
        <row r="2258">
          <cell r="C2258" t="str">
            <v>Máy thi công</v>
          </cell>
          <cell r="G2258">
            <v>176307.1301712</v>
          </cell>
        </row>
        <row r="2259">
          <cell r="B2259">
            <v>8015</v>
          </cell>
          <cell r="C2259" t="str">
            <v>Cần trục bánh hơi 5 tấn</v>
          </cell>
          <cell r="D2259" t="str">
            <v>ca</v>
          </cell>
          <cell r="E2259">
            <v>0.12</v>
          </cell>
          <cell r="F2259">
            <v>1426433.0920000002</v>
          </cell>
          <cell r="G2259">
            <v>171171.97104</v>
          </cell>
        </row>
        <row r="2260">
          <cell r="B2260">
            <v>7008</v>
          </cell>
          <cell r="C2260" t="str">
            <v>Máy khác</v>
          </cell>
          <cell r="D2260" t="str">
            <v>%</v>
          </cell>
          <cell r="E2260">
            <v>3</v>
          </cell>
          <cell r="G2260">
            <v>5135.1591312</v>
          </cell>
        </row>
        <row r="2261">
          <cell r="A2261" t="str">
            <v>T2.3124</v>
          </cell>
          <cell r="C2261" t="str">
            <v>Lắp đặt dao cách ly 1 pha ngoài trời &lt;=35KV, tiếp đất 1 đầu</v>
          </cell>
          <cell r="D2261" t="str">
            <v>bộ</v>
          </cell>
          <cell r="H2261">
            <v>17050</v>
          </cell>
          <cell r="I2261">
            <v>906455.82184210536</v>
          </cell>
          <cell r="J2261">
            <v>239696.25883199996</v>
          </cell>
        </row>
        <row r="2262">
          <cell r="C2262" t="str">
            <v>Vật liệu</v>
          </cell>
          <cell r="G2262">
            <v>17050</v>
          </cell>
        </row>
        <row r="2263">
          <cell r="B2263">
            <v>4</v>
          </cell>
          <cell r="C2263" t="str">
            <v>Giấy ráp</v>
          </cell>
          <cell r="D2263" t="str">
            <v>tờ</v>
          </cell>
          <cell r="E2263">
            <v>0.5</v>
          </cell>
          <cell r="F2263">
            <v>10000</v>
          </cell>
          <cell r="G2263">
            <v>5000</v>
          </cell>
        </row>
        <row r="2264">
          <cell r="B2264">
            <v>11</v>
          </cell>
          <cell r="C2264" t="str">
            <v>Vazơlin</v>
          </cell>
          <cell r="D2264" t="str">
            <v>kg</v>
          </cell>
          <cell r="E2264">
            <v>0.05</v>
          </cell>
          <cell r="F2264">
            <v>24000</v>
          </cell>
          <cell r="G2264">
            <v>1200</v>
          </cell>
        </row>
        <row r="2265">
          <cell r="B2265">
            <v>8</v>
          </cell>
          <cell r="C2265" t="str">
            <v>Mỡ YOC</v>
          </cell>
          <cell r="D2265" t="str">
            <v>kg</v>
          </cell>
          <cell r="E2265">
            <v>0.12</v>
          </cell>
          <cell r="F2265">
            <v>35000</v>
          </cell>
          <cell r="G2265">
            <v>4200</v>
          </cell>
        </row>
        <row r="2266">
          <cell r="B2266">
            <v>9</v>
          </cell>
          <cell r="C2266" t="str">
            <v>Giẻ lau</v>
          </cell>
          <cell r="D2266" t="str">
            <v>kg</v>
          </cell>
          <cell r="E2266">
            <v>0.7</v>
          </cell>
          <cell r="F2266">
            <v>9500</v>
          </cell>
          <cell r="G2266">
            <v>6650</v>
          </cell>
        </row>
        <row r="2267">
          <cell r="C2267" t="str">
            <v>Nhân công</v>
          </cell>
          <cell r="G2267">
            <v>906455.82184210536</v>
          </cell>
        </row>
        <row r="2268">
          <cell r="B2268" t="str">
            <v>NC1457</v>
          </cell>
          <cell r="C2268" t="str">
            <v>Ngày công bậc 4,5/7</v>
          </cell>
          <cell r="D2268" t="str">
            <v>công</v>
          </cell>
          <cell r="E2268">
            <v>4.28</v>
          </cell>
          <cell r="F2268">
            <v>211788.74342105264</v>
          </cell>
          <cell r="G2268">
            <v>906455.82184210536</v>
          </cell>
        </row>
        <row r="2269">
          <cell r="C2269" t="str">
            <v>Máy thi công</v>
          </cell>
          <cell r="G2269">
            <v>239696.25883199996</v>
          </cell>
        </row>
        <row r="2270">
          <cell r="B2270">
            <v>8013</v>
          </cell>
          <cell r="C2270" t="str">
            <v>Cần trục bánh hơi 10 tấn</v>
          </cell>
          <cell r="D2270" t="str">
            <v>ca</v>
          </cell>
          <cell r="E2270">
            <v>0.12</v>
          </cell>
          <cell r="F2270">
            <v>1939290.1199999999</v>
          </cell>
          <cell r="G2270">
            <v>232714.81439999997</v>
          </cell>
        </row>
        <row r="2271">
          <cell r="B2271">
            <v>7008</v>
          </cell>
          <cell r="C2271" t="str">
            <v>Máy khác</v>
          </cell>
          <cell r="D2271" t="str">
            <v>%</v>
          </cell>
          <cell r="E2271">
            <v>3</v>
          </cell>
          <cell r="G2271">
            <v>6981.4444319999993</v>
          </cell>
        </row>
        <row r="2272">
          <cell r="A2272" t="str">
            <v>T2.3134</v>
          </cell>
          <cell r="C2272" t="str">
            <v>Lắp đặt dao cách ly 1 pha &lt;=35KV, tiếp đất 2 đầu</v>
          </cell>
          <cell r="D2272" t="str">
            <v>bộ</v>
          </cell>
          <cell r="H2272">
            <v>17050</v>
          </cell>
          <cell r="I2272">
            <v>1088594.1411842105</v>
          </cell>
          <cell r="J2272">
            <v>239696.25883199996</v>
          </cell>
        </row>
        <row r="2273">
          <cell r="C2273" t="str">
            <v>Vật liệu</v>
          </cell>
          <cell r="G2273">
            <v>17050</v>
          </cell>
        </row>
        <row r="2274">
          <cell r="B2274">
            <v>4</v>
          </cell>
          <cell r="C2274" t="str">
            <v>Giấy ráp</v>
          </cell>
          <cell r="D2274" t="str">
            <v>tờ</v>
          </cell>
          <cell r="E2274">
            <v>0.5</v>
          </cell>
          <cell r="F2274">
            <v>10000</v>
          </cell>
          <cell r="G2274">
            <v>5000</v>
          </cell>
        </row>
        <row r="2275">
          <cell r="B2275">
            <v>11</v>
          </cell>
          <cell r="C2275" t="str">
            <v>Vazơlin</v>
          </cell>
          <cell r="D2275" t="str">
            <v>kg</v>
          </cell>
          <cell r="E2275">
            <v>0.05</v>
          </cell>
          <cell r="F2275">
            <v>24000</v>
          </cell>
          <cell r="G2275">
            <v>1200</v>
          </cell>
        </row>
        <row r="2276">
          <cell r="B2276">
            <v>8</v>
          </cell>
          <cell r="C2276" t="str">
            <v>Mỡ YOC</v>
          </cell>
          <cell r="D2276" t="str">
            <v>kg</v>
          </cell>
          <cell r="E2276">
            <v>0.12</v>
          </cell>
          <cell r="F2276">
            <v>35000</v>
          </cell>
          <cell r="G2276">
            <v>4200</v>
          </cell>
        </row>
        <row r="2277">
          <cell r="B2277">
            <v>9</v>
          </cell>
          <cell r="C2277" t="str">
            <v>Giẻ lau</v>
          </cell>
          <cell r="D2277" t="str">
            <v>kg</v>
          </cell>
          <cell r="E2277">
            <v>0.7</v>
          </cell>
          <cell r="F2277">
            <v>9500</v>
          </cell>
          <cell r="G2277">
            <v>6650</v>
          </cell>
        </row>
        <row r="2278">
          <cell r="C2278" t="str">
            <v>Nhân công</v>
          </cell>
          <cell r="G2278">
            <v>1088594.1411842105</v>
          </cell>
        </row>
        <row r="2279">
          <cell r="B2279" t="str">
            <v>NC1457</v>
          </cell>
          <cell r="C2279" t="str">
            <v>Ngày công bậc 4,5/7</v>
          </cell>
          <cell r="D2279" t="str">
            <v>công</v>
          </cell>
          <cell r="E2279">
            <v>5.14</v>
          </cell>
          <cell r="F2279">
            <v>211788.74342105264</v>
          </cell>
          <cell r="G2279">
            <v>1088594.1411842105</v>
          </cell>
        </row>
        <row r="2280">
          <cell r="C2280" t="str">
            <v>Máy thi công</v>
          </cell>
          <cell r="G2280">
            <v>239696.25883199996</v>
          </cell>
        </row>
        <row r="2281">
          <cell r="B2281">
            <v>8013</v>
          </cell>
          <cell r="C2281" t="str">
            <v>Cần trục bánh hơi 10 tấn</v>
          </cell>
          <cell r="D2281" t="str">
            <v>ca</v>
          </cell>
          <cell r="E2281">
            <v>0.12</v>
          </cell>
          <cell r="F2281">
            <v>1939290.1199999999</v>
          </cell>
          <cell r="G2281">
            <v>232714.81439999997</v>
          </cell>
        </row>
        <row r="2282">
          <cell r="B2282">
            <v>7008</v>
          </cell>
          <cell r="C2282" t="str">
            <v>Máy khác</v>
          </cell>
          <cell r="D2282" t="str">
            <v>%</v>
          </cell>
          <cell r="E2282">
            <v>3</v>
          </cell>
          <cell r="G2282">
            <v>6981.4444319999993</v>
          </cell>
        </row>
        <row r="2283">
          <cell r="A2283" t="str">
            <v>T2.3115</v>
          </cell>
          <cell r="C2283" t="str">
            <v>Lắp đặt dao cách ly 1 pha ngoài trời &lt;=10KV, không tiếp đất</v>
          </cell>
          <cell r="D2283" t="str">
            <v>bộ</v>
          </cell>
          <cell r="H2283">
            <v>17050</v>
          </cell>
          <cell r="I2283">
            <v>402398.61249999999</v>
          </cell>
        </row>
        <row r="2284">
          <cell r="C2284" t="str">
            <v>Vật liệu</v>
          </cell>
          <cell r="G2284">
            <v>17050</v>
          </cell>
        </row>
        <row r="2285">
          <cell r="B2285">
            <v>4</v>
          </cell>
          <cell r="C2285" t="str">
            <v>Giấy ráp</v>
          </cell>
          <cell r="D2285" t="str">
            <v>tờ</v>
          </cell>
          <cell r="E2285">
            <v>0.5</v>
          </cell>
          <cell r="F2285">
            <v>10000</v>
          </cell>
          <cell r="G2285">
            <v>5000</v>
          </cell>
        </row>
        <row r="2286">
          <cell r="B2286">
            <v>11</v>
          </cell>
          <cell r="C2286" t="str">
            <v>Vazơlin</v>
          </cell>
          <cell r="D2286" t="str">
            <v>kg</v>
          </cell>
          <cell r="E2286">
            <v>0.05</v>
          </cell>
          <cell r="F2286">
            <v>24000</v>
          </cell>
          <cell r="G2286">
            <v>1200</v>
          </cell>
        </row>
        <row r="2287">
          <cell r="B2287">
            <v>8</v>
          </cell>
          <cell r="C2287" t="str">
            <v>Mỡ YOC</v>
          </cell>
          <cell r="D2287" t="str">
            <v>kg</v>
          </cell>
          <cell r="E2287">
            <v>0.12</v>
          </cell>
          <cell r="F2287">
            <v>35000</v>
          </cell>
          <cell r="G2287">
            <v>4200</v>
          </cell>
        </row>
        <row r="2288">
          <cell r="B2288">
            <v>9</v>
          </cell>
          <cell r="C2288" t="str">
            <v>Giẻ lau</v>
          </cell>
          <cell r="D2288" t="str">
            <v>kg</v>
          </cell>
          <cell r="E2288">
            <v>0.7</v>
          </cell>
          <cell r="F2288">
            <v>9500</v>
          </cell>
          <cell r="G2288">
            <v>6650</v>
          </cell>
        </row>
        <row r="2289">
          <cell r="C2289" t="str">
            <v>Nhân công</v>
          </cell>
          <cell r="G2289">
            <v>402398.61249999999</v>
          </cell>
        </row>
        <row r="2290">
          <cell r="B2290" t="str">
            <v>NC1457</v>
          </cell>
          <cell r="C2290" t="str">
            <v>Ngày công bậc 4,5/7</v>
          </cell>
          <cell r="D2290" t="str">
            <v>công</v>
          </cell>
          <cell r="E2290">
            <v>1.9</v>
          </cell>
          <cell r="F2290">
            <v>211788.74342105264</v>
          </cell>
          <cell r="G2290">
            <v>402398.61249999999</v>
          </cell>
        </row>
        <row r="2291">
          <cell r="A2291" t="str">
            <v>T2.3125</v>
          </cell>
          <cell r="C2291" t="str">
            <v>Lắp đặt dao cách ly 1 pha ngoài trời &lt;=10KV, tiếp đất 1 đầu</v>
          </cell>
          <cell r="D2291" t="str">
            <v>bộ</v>
          </cell>
          <cell r="H2291">
            <v>17050</v>
          </cell>
          <cell r="I2291">
            <v>741260.60197368427</v>
          </cell>
        </row>
        <row r="2292">
          <cell r="C2292" t="str">
            <v>Vật liệu</v>
          </cell>
          <cell r="G2292">
            <v>17050</v>
          </cell>
        </row>
        <row r="2293">
          <cell r="B2293">
            <v>4</v>
          </cell>
          <cell r="C2293" t="str">
            <v>Giấy ráp</v>
          </cell>
          <cell r="D2293" t="str">
            <v>tờ</v>
          </cell>
          <cell r="E2293">
            <v>0.5</v>
          </cell>
          <cell r="F2293">
            <v>10000</v>
          </cell>
          <cell r="G2293">
            <v>5000</v>
          </cell>
        </row>
        <row r="2294">
          <cell r="B2294">
            <v>11</v>
          </cell>
          <cell r="C2294" t="str">
            <v>Vazơlin</v>
          </cell>
          <cell r="D2294" t="str">
            <v>kg</v>
          </cell>
          <cell r="E2294">
            <v>0.05</v>
          </cell>
          <cell r="F2294">
            <v>24000</v>
          </cell>
          <cell r="G2294">
            <v>1200</v>
          </cell>
        </row>
        <row r="2295">
          <cell r="B2295">
            <v>8</v>
          </cell>
          <cell r="C2295" t="str">
            <v>Mỡ YOC</v>
          </cell>
          <cell r="D2295" t="str">
            <v>kg</v>
          </cell>
          <cell r="E2295">
            <v>0.12</v>
          </cell>
          <cell r="F2295">
            <v>35000</v>
          </cell>
          <cell r="G2295">
            <v>4200</v>
          </cell>
        </row>
        <row r="2296">
          <cell r="B2296">
            <v>9</v>
          </cell>
          <cell r="C2296" t="str">
            <v>Giẻ lau</v>
          </cell>
          <cell r="D2296" t="str">
            <v>kg</v>
          </cell>
          <cell r="E2296">
            <v>0.7</v>
          </cell>
          <cell r="F2296">
            <v>9500</v>
          </cell>
          <cell r="G2296">
            <v>6650</v>
          </cell>
        </row>
        <row r="2297">
          <cell r="C2297" t="str">
            <v>Nhân công</v>
          </cell>
          <cell r="G2297">
            <v>741260.60197368427</v>
          </cell>
        </row>
        <row r="2298">
          <cell r="B2298" t="str">
            <v>NC1457</v>
          </cell>
          <cell r="C2298" t="str">
            <v>Ngày công bậc 4,5/7</v>
          </cell>
          <cell r="D2298" t="str">
            <v>công</v>
          </cell>
          <cell r="E2298">
            <v>3.5</v>
          </cell>
          <cell r="F2298">
            <v>211788.74342105264</v>
          </cell>
          <cell r="G2298">
            <v>741260.60197368427</v>
          </cell>
        </row>
        <row r="2299">
          <cell r="A2299" t="str">
            <v>T2.3135</v>
          </cell>
          <cell r="C2299" t="str">
            <v>Lắp đặt dao cách ly 1 pha ngoài trời &lt;=10KV, tiếp đất 2 đầu</v>
          </cell>
          <cell r="D2299" t="str">
            <v>bộ</v>
          </cell>
          <cell r="H2299">
            <v>17050</v>
          </cell>
          <cell r="I2299">
            <v>889512.72236842115</v>
          </cell>
        </row>
        <row r="2300">
          <cell r="C2300" t="str">
            <v>Vật liệu</v>
          </cell>
          <cell r="G2300">
            <v>17050</v>
          </cell>
        </row>
        <row r="2301">
          <cell r="B2301">
            <v>4</v>
          </cell>
          <cell r="C2301" t="str">
            <v>Giấy ráp</v>
          </cell>
          <cell r="D2301" t="str">
            <v>tờ</v>
          </cell>
          <cell r="E2301">
            <v>0.5</v>
          </cell>
          <cell r="F2301">
            <v>10000</v>
          </cell>
          <cell r="G2301">
            <v>5000</v>
          </cell>
        </row>
        <row r="2302">
          <cell r="B2302">
            <v>11</v>
          </cell>
          <cell r="C2302" t="str">
            <v>Vazơlin</v>
          </cell>
          <cell r="D2302" t="str">
            <v>kg</v>
          </cell>
          <cell r="E2302">
            <v>0.05</v>
          </cell>
          <cell r="F2302">
            <v>24000</v>
          </cell>
          <cell r="G2302">
            <v>1200</v>
          </cell>
        </row>
        <row r="2303">
          <cell r="B2303">
            <v>8</v>
          </cell>
          <cell r="C2303" t="str">
            <v>Mỡ YOC</v>
          </cell>
          <cell r="D2303" t="str">
            <v>kg</v>
          </cell>
          <cell r="E2303">
            <v>0.12</v>
          </cell>
          <cell r="F2303">
            <v>35000</v>
          </cell>
          <cell r="G2303">
            <v>4200</v>
          </cell>
        </row>
        <row r="2304">
          <cell r="B2304">
            <v>9</v>
          </cell>
          <cell r="C2304" t="str">
            <v>Giẻ lau</v>
          </cell>
          <cell r="D2304" t="str">
            <v>kg</v>
          </cell>
          <cell r="E2304">
            <v>0.7</v>
          </cell>
          <cell r="F2304">
            <v>9500</v>
          </cell>
          <cell r="G2304">
            <v>6650</v>
          </cell>
        </row>
        <row r="2305">
          <cell r="C2305" t="str">
            <v>Nhân công</v>
          </cell>
          <cell r="G2305">
            <v>889512.72236842115</v>
          </cell>
        </row>
        <row r="2306">
          <cell r="B2306" t="str">
            <v>NC1457</v>
          </cell>
          <cell r="C2306" t="str">
            <v>Ngày công bậc 4,5/7</v>
          </cell>
          <cell r="D2306" t="str">
            <v>công</v>
          </cell>
          <cell r="E2306">
            <v>4.2</v>
          </cell>
          <cell r="F2306">
            <v>211788.74342105264</v>
          </cell>
          <cell r="G2306">
            <v>889512.72236842115</v>
          </cell>
        </row>
        <row r="2307">
          <cell r="A2307" t="str">
            <v>T2.3211</v>
          </cell>
          <cell r="C2307" t="str">
            <v>Lắp đặt dao cách ly 3 pha ngoài trời 220KV, loại không tiếp đất</v>
          </cell>
          <cell r="D2307" t="str">
            <v>bộ</v>
          </cell>
          <cell r="H2307">
            <v>119400</v>
          </cell>
          <cell r="I2307">
            <v>3282725.523026316</v>
          </cell>
          <cell r="J2307">
            <v>798987.52943999995</v>
          </cell>
        </row>
        <row r="2308">
          <cell r="C2308" t="str">
            <v>Vật liệu</v>
          </cell>
          <cell r="G2308">
            <v>119400</v>
          </cell>
        </row>
        <row r="2309">
          <cell r="B2309">
            <v>4</v>
          </cell>
          <cell r="C2309" t="str">
            <v>Giấy ráp</v>
          </cell>
          <cell r="D2309" t="str">
            <v>tờ</v>
          </cell>
          <cell r="E2309">
            <v>5</v>
          </cell>
          <cell r="F2309">
            <v>10000</v>
          </cell>
          <cell r="G2309">
            <v>50000</v>
          </cell>
        </row>
        <row r="2310">
          <cell r="B2310">
            <v>11</v>
          </cell>
          <cell r="C2310" t="str">
            <v>Vazơlin</v>
          </cell>
          <cell r="D2310" t="str">
            <v>kg</v>
          </cell>
          <cell r="E2310">
            <v>0.3</v>
          </cell>
          <cell r="F2310">
            <v>24000</v>
          </cell>
          <cell r="G2310">
            <v>7200</v>
          </cell>
        </row>
        <row r="2311">
          <cell r="B2311">
            <v>8</v>
          </cell>
          <cell r="C2311" t="str">
            <v>Mỡ YOC</v>
          </cell>
          <cell r="D2311" t="str">
            <v>kg</v>
          </cell>
          <cell r="E2311">
            <v>0.8</v>
          </cell>
          <cell r="F2311">
            <v>35000</v>
          </cell>
          <cell r="G2311">
            <v>28000</v>
          </cell>
        </row>
        <row r="2312">
          <cell r="B2312">
            <v>9</v>
          </cell>
          <cell r="C2312" t="str">
            <v>Giẻ lau</v>
          </cell>
          <cell r="D2312" t="str">
            <v>kg</v>
          </cell>
          <cell r="E2312">
            <v>3.6</v>
          </cell>
          <cell r="F2312">
            <v>9500</v>
          </cell>
          <cell r="G2312">
            <v>34200</v>
          </cell>
        </row>
        <row r="2313">
          <cell r="C2313" t="str">
            <v>Nhân công</v>
          </cell>
          <cell r="G2313">
            <v>3282725.523026316</v>
          </cell>
        </row>
        <row r="2314">
          <cell r="B2314" t="str">
            <v>NC1457</v>
          </cell>
          <cell r="C2314" t="str">
            <v>Ngày công bậc 4,5/7</v>
          </cell>
          <cell r="D2314" t="str">
            <v>công</v>
          </cell>
          <cell r="E2314">
            <v>15.5</v>
          </cell>
          <cell r="F2314">
            <v>211788.74342105264</v>
          </cell>
          <cell r="G2314">
            <v>3282725.523026316</v>
          </cell>
        </row>
        <row r="2315">
          <cell r="C2315" t="str">
            <v>Máy thi công</v>
          </cell>
          <cell r="G2315">
            <v>798987.52943999995</v>
          </cell>
        </row>
        <row r="2316">
          <cell r="B2316">
            <v>8013</v>
          </cell>
          <cell r="C2316" t="str">
            <v>Cần trục bánh hơi 10 tấn</v>
          </cell>
          <cell r="D2316" t="str">
            <v>ca</v>
          </cell>
          <cell r="E2316">
            <v>0.4</v>
          </cell>
          <cell r="F2316">
            <v>1939290.1199999999</v>
          </cell>
          <cell r="G2316">
            <v>775716.04799999995</v>
          </cell>
        </row>
        <row r="2317">
          <cell r="B2317">
            <v>7008</v>
          </cell>
          <cell r="C2317" t="str">
            <v>Máy khác</v>
          </cell>
          <cell r="D2317" t="str">
            <v>%</v>
          </cell>
          <cell r="E2317">
            <v>3</v>
          </cell>
          <cell r="G2317">
            <v>23271.481439999996</v>
          </cell>
        </row>
        <row r="2318">
          <cell r="A2318" t="str">
            <v>T2.3221</v>
          </cell>
          <cell r="C2318" t="str">
            <v>Lắp đặt dao cách ly 3 pha ngoài trời 220KV, tiếp đất 1 đầu</v>
          </cell>
          <cell r="D2318" t="str">
            <v>bộ</v>
          </cell>
          <cell r="H2318">
            <v>119400</v>
          </cell>
          <cell r="I2318">
            <v>4468742.4861842114</v>
          </cell>
          <cell r="J2318">
            <v>798987.52943999995</v>
          </cell>
        </row>
        <row r="2319">
          <cell r="C2319" t="str">
            <v>Vật liệu</v>
          </cell>
          <cell r="G2319">
            <v>119400</v>
          </cell>
        </row>
        <row r="2320">
          <cell r="B2320">
            <v>4</v>
          </cell>
          <cell r="C2320" t="str">
            <v>Giấy ráp</v>
          </cell>
          <cell r="D2320" t="str">
            <v>tờ</v>
          </cell>
          <cell r="E2320">
            <v>5</v>
          </cell>
          <cell r="F2320">
            <v>10000</v>
          </cell>
          <cell r="G2320">
            <v>50000</v>
          </cell>
        </row>
        <row r="2321">
          <cell r="B2321">
            <v>11</v>
          </cell>
          <cell r="C2321" t="str">
            <v>Vazơlin</v>
          </cell>
          <cell r="D2321" t="str">
            <v>kg</v>
          </cell>
          <cell r="E2321">
            <v>0.3</v>
          </cell>
          <cell r="F2321">
            <v>24000</v>
          </cell>
          <cell r="G2321">
            <v>7200</v>
          </cell>
        </row>
        <row r="2322">
          <cell r="B2322">
            <v>8</v>
          </cell>
          <cell r="C2322" t="str">
            <v>Mỡ YOC</v>
          </cell>
          <cell r="D2322" t="str">
            <v>kg</v>
          </cell>
          <cell r="E2322">
            <v>0.8</v>
          </cell>
          <cell r="F2322">
            <v>35000</v>
          </cell>
          <cell r="G2322">
            <v>28000</v>
          </cell>
        </row>
        <row r="2323">
          <cell r="B2323">
            <v>9</v>
          </cell>
          <cell r="C2323" t="str">
            <v>Giẻ lau</v>
          </cell>
          <cell r="D2323" t="str">
            <v>kg</v>
          </cell>
          <cell r="E2323">
            <v>3.6</v>
          </cell>
          <cell r="F2323">
            <v>9500</v>
          </cell>
          <cell r="G2323">
            <v>34200</v>
          </cell>
        </row>
        <row r="2324">
          <cell r="C2324" t="str">
            <v>Nhân công</v>
          </cell>
          <cell r="G2324">
            <v>4468742.4861842114</v>
          </cell>
        </row>
        <row r="2325">
          <cell r="B2325" t="str">
            <v>NC1457</v>
          </cell>
          <cell r="C2325" t="str">
            <v>Ngày công bậc 4,5/7</v>
          </cell>
          <cell r="D2325" t="str">
            <v>công</v>
          </cell>
          <cell r="E2325">
            <v>21.1</v>
          </cell>
          <cell r="F2325">
            <v>211788.74342105264</v>
          </cell>
          <cell r="G2325">
            <v>4468742.4861842114</v>
          </cell>
        </row>
        <row r="2326">
          <cell r="C2326" t="str">
            <v>Máy thi công</v>
          </cell>
          <cell r="G2326">
            <v>798987.52943999995</v>
          </cell>
        </row>
        <row r="2327">
          <cell r="B2327">
            <v>8013</v>
          </cell>
          <cell r="C2327" t="str">
            <v>Cần trục bánh hơi 10 tấn</v>
          </cell>
          <cell r="D2327" t="str">
            <v>ca</v>
          </cell>
          <cell r="E2327">
            <v>0.4</v>
          </cell>
          <cell r="F2327">
            <v>1939290.1199999999</v>
          </cell>
          <cell r="G2327">
            <v>775716.04799999995</v>
          </cell>
        </row>
        <row r="2328">
          <cell r="B2328">
            <v>7008</v>
          </cell>
          <cell r="C2328" t="str">
            <v>Máy khác</v>
          </cell>
          <cell r="D2328" t="str">
            <v>%</v>
          </cell>
          <cell r="E2328">
            <v>3</v>
          </cell>
          <cell r="G2328">
            <v>23271.481439999996</v>
          </cell>
        </row>
        <row r="2329">
          <cell r="A2329" t="str">
            <v>T2.3231</v>
          </cell>
          <cell r="C2329" t="str">
            <v>Lắp đặt dao cách ly 3 pha ngoài trời 220KV, tiếp đất 2 đầu</v>
          </cell>
          <cell r="D2329" t="str">
            <v>bộ</v>
          </cell>
          <cell r="H2329">
            <v>119400</v>
          </cell>
          <cell r="I2329">
            <v>5362490.9834210528</v>
          </cell>
          <cell r="J2329">
            <v>798987.52943999995</v>
          </cell>
        </row>
        <row r="2330">
          <cell r="C2330" t="str">
            <v>Vật liệu</v>
          </cell>
          <cell r="G2330">
            <v>119400</v>
          </cell>
        </row>
        <row r="2331">
          <cell r="B2331">
            <v>4</v>
          </cell>
          <cell r="C2331" t="str">
            <v>Giấy ráp</v>
          </cell>
          <cell r="D2331" t="str">
            <v>tờ</v>
          </cell>
          <cell r="E2331">
            <v>5</v>
          </cell>
          <cell r="F2331">
            <v>10000</v>
          </cell>
          <cell r="G2331">
            <v>50000</v>
          </cell>
        </row>
        <row r="2332">
          <cell r="B2332">
            <v>11</v>
          </cell>
          <cell r="C2332" t="str">
            <v>Vazơlin</v>
          </cell>
          <cell r="D2332" t="str">
            <v>kg</v>
          </cell>
          <cell r="E2332">
            <v>0.3</v>
          </cell>
          <cell r="F2332">
            <v>24000</v>
          </cell>
          <cell r="G2332">
            <v>7200</v>
          </cell>
        </row>
        <row r="2333">
          <cell r="B2333">
            <v>8</v>
          </cell>
          <cell r="C2333" t="str">
            <v>Mỡ YOC</v>
          </cell>
          <cell r="D2333" t="str">
            <v>kg</v>
          </cell>
          <cell r="E2333">
            <v>0.8</v>
          </cell>
          <cell r="F2333">
            <v>35000</v>
          </cell>
          <cell r="G2333">
            <v>28000</v>
          </cell>
        </row>
        <row r="2334">
          <cell r="B2334">
            <v>9</v>
          </cell>
          <cell r="C2334" t="str">
            <v>Giẻ lau</v>
          </cell>
          <cell r="D2334" t="str">
            <v>kg</v>
          </cell>
          <cell r="E2334">
            <v>3.6</v>
          </cell>
          <cell r="F2334">
            <v>9500</v>
          </cell>
          <cell r="G2334">
            <v>34200</v>
          </cell>
        </row>
        <row r="2335">
          <cell r="C2335" t="str">
            <v>Nhân công</v>
          </cell>
          <cell r="G2335">
            <v>5362490.9834210528</v>
          </cell>
        </row>
        <row r="2336">
          <cell r="B2336" t="str">
            <v>NC1457</v>
          </cell>
          <cell r="C2336" t="str">
            <v>Ngày công bậc 4,5/7</v>
          </cell>
          <cell r="D2336" t="str">
            <v>công</v>
          </cell>
          <cell r="E2336">
            <v>25.32</v>
          </cell>
          <cell r="F2336">
            <v>211788.74342105264</v>
          </cell>
          <cell r="G2336">
            <v>5362490.9834210528</v>
          </cell>
        </row>
        <row r="2337">
          <cell r="C2337" t="str">
            <v>Máy thi công</v>
          </cell>
          <cell r="G2337">
            <v>798987.52943999995</v>
          </cell>
        </row>
        <row r="2338">
          <cell r="B2338">
            <v>8013</v>
          </cell>
          <cell r="C2338" t="str">
            <v>Cần trục bánh hơi 10 tấn</v>
          </cell>
          <cell r="D2338" t="str">
            <v>ca</v>
          </cell>
          <cell r="E2338">
            <v>0.4</v>
          </cell>
          <cell r="F2338">
            <v>1939290.1199999999</v>
          </cell>
          <cell r="G2338">
            <v>775716.04799999995</v>
          </cell>
        </row>
        <row r="2339">
          <cell r="B2339">
            <v>7008</v>
          </cell>
          <cell r="C2339" t="str">
            <v>Máy khác</v>
          </cell>
          <cell r="D2339" t="str">
            <v>%</v>
          </cell>
          <cell r="E2339">
            <v>3</v>
          </cell>
          <cell r="G2339">
            <v>23271.481439999996</v>
          </cell>
        </row>
        <row r="2340">
          <cell r="A2340" t="str">
            <v>T2.3212</v>
          </cell>
          <cell r="C2340" t="str">
            <v>Lắp đặt dao cách ly 3 pha ngoài trời 110KV, loại không tiếp đất</v>
          </cell>
          <cell r="D2340" t="str">
            <v>bộ</v>
          </cell>
          <cell r="H2340">
            <v>77000</v>
          </cell>
          <cell r="I2340">
            <v>1931513.3399999999</v>
          </cell>
          <cell r="J2340">
            <v>528921.39051360008</v>
          </cell>
        </row>
        <row r="2341">
          <cell r="C2341" t="str">
            <v>Vật liệu</v>
          </cell>
          <cell r="G2341">
            <v>77000</v>
          </cell>
        </row>
        <row r="2342">
          <cell r="B2342">
            <v>4</v>
          </cell>
          <cell r="C2342" t="str">
            <v>Giấy ráp</v>
          </cell>
          <cell r="D2342" t="str">
            <v>tờ</v>
          </cell>
          <cell r="E2342">
            <v>2.5</v>
          </cell>
          <cell r="F2342">
            <v>10000</v>
          </cell>
          <cell r="G2342">
            <v>25000</v>
          </cell>
        </row>
        <row r="2343">
          <cell r="B2343">
            <v>11</v>
          </cell>
          <cell r="C2343" t="str">
            <v>Vazơlin</v>
          </cell>
          <cell r="D2343" t="str">
            <v>kg</v>
          </cell>
          <cell r="E2343">
            <v>0.25</v>
          </cell>
          <cell r="F2343">
            <v>24000</v>
          </cell>
          <cell r="G2343">
            <v>6000</v>
          </cell>
        </row>
        <row r="2344">
          <cell r="B2344">
            <v>8</v>
          </cell>
          <cell r="C2344" t="str">
            <v>Mỡ YOC</v>
          </cell>
          <cell r="D2344" t="str">
            <v>kg</v>
          </cell>
          <cell r="E2344">
            <v>0.5</v>
          </cell>
          <cell r="F2344">
            <v>35000</v>
          </cell>
          <cell r="G2344">
            <v>17500</v>
          </cell>
        </row>
        <row r="2345">
          <cell r="B2345">
            <v>9</v>
          </cell>
          <cell r="C2345" t="str">
            <v>Giẻ lau</v>
          </cell>
          <cell r="D2345" t="str">
            <v>kg</v>
          </cell>
          <cell r="E2345">
            <v>3</v>
          </cell>
          <cell r="F2345">
            <v>9500</v>
          </cell>
          <cell r="G2345">
            <v>28500</v>
          </cell>
        </row>
        <row r="2346">
          <cell r="C2346" t="str">
            <v>Nhân công</v>
          </cell>
          <cell r="G2346">
            <v>1931513.3399999999</v>
          </cell>
        </row>
        <row r="2347">
          <cell r="B2347" t="str">
            <v>NC1457</v>
          </cell>
          <cell r="C2347" t="str">
            <v>Ngày công bậc 4,5/7</v>
          </cell>
          <cell r="D2347" t="str">
            <v>công</v>
          </cell>
          <cell r="E2347">
            <v>9.1199999999999992</v>
          </cell>
          <cell r="F2347">
            <v>211788.74342105264</v>
          </cell>
          <cell r="G2347">
            <v>1931513.3399999999</v>
          </cell>
        </row>
        <row r="2348">
          <cell r="C2348" t="str">
            <v>Máy thi công</v>
          </cell>
          <cell r="G2348">
            <v>528921.39051360008</v>
          </cell>
        </row>
        <row r="2349">
          <cell r="B2349">
            <v>8015</v>
          </cell>
          <cell r="C2349" t="str">
            <v>Cần trục bánh hơi 5 tấn</v>
          </cell>
          <cell r="D2349" t="str">
            <v>ca</v>
          </cell>
          <cell r="E2349">
            <v>0.36</v>
          </cell>
          <cell r="F2349">
            <v>1426433.0920000002</v>
          </cell>
          <cell r="G2349">
            <v>513515.91312000004</v>
          </cell>
        </row>
        <row r="2350">
          <cell r="B2350">
            <v>7008</v>
          </cell>
          <cell r="C2350" t="str">
            <v>Máy khác</v>
          </cell>
          <cell r="D2350" t="str">
            <v>%</v>
          </cell>
          <cell r="E2350">
            <v>3</v>
          </cell>
          <cell r="G2350">
            <v>15405.4773936</v>
          </cell>
        </row>
        <row r="2351">
          <cell r="A2351" t="str">
            <v>T2.3222</v>
          </cell>
          <cell r="C2351" t="str">
            <v>Lắp đặt dao cách ly 3 pha ngoài trời 110KV, tiếp đất 1 đầu</v>
          </cell>
          <cell r="D2351" t="str">
            <v>bộ</v>
          </cell>
          <cell r="H2351">
            <v>77000</v>
          </cell>
          <cell r="I2351">
            <v>2778668.3136842106</v>
          </cell>
          <cell r="J2351">
            <v>528921.39051360008</v>
          </cell>
        </row>
        <row r="2352">
          <cell r="C2352" t="str">
            <v>Vật liệu</v>
          </cell>
          <cell r="G2352">
            <v>77000</v>
          </cell>
        </row>
        <row r="2353">
          <cell r="B2353">
            <v>4</v>
          </cell>
          <cell r="C2353" t="str">
            <v>Giấy ráp</v>
          </cell>
          <cell r="D2353" t="str">
            <v>tờ</v>
          </cell>
          <cell r="E2353">
            <v>2.5</v>
          </cell>
          <cell r="F2353">
            <v>10000</v>
          </cell>
          <cell r="G2353">
            <v>25000</v>
          </cell>
        </row>
        <row r="2354">
          <cell r="B2354">
            <v>11</v>
          </cell>
          <cell r="C2354" t="str">
            <v>Vazơlin</v>
          </cell>
          <cell r="D2354" t="str">
            <v>kg</v>
          </cell>
          <cell r="E2354">
            <v>0.25</v>
          </cell>
          <cell r="F2354">
            <v>24000</v>
          </cell>
          <cell r="G2354">
            <v>6000</v>
          </cell>
        </row>
        <row r="2355">
          <cell r="B2355">
            <v>8</v>
          </cell>
          <cell r="C2355" t="str">
            <v>Mỡ YOC</v>
          </cell>
          <cell r="D2355" t="str">
            <v>kg</v>
          </cell>
          <cell r="E2355">
            <v>0.5</v>
          </cell>
          <cell r="F2355">
            <v>35000</v>
          </cell>
          <cell r="G2355">
            <v>17500</v>
          </cell>
        </row>
        <row r="2356">
          <cell r="B2356">
            <v>9</v>
          </cell>
          <cell r="C2356" t="str">
            <v>Giẻ lau</v>
          </cell>
          <cell r="D2356" t="str">
            <v>kg</v>
          </cell>
          <cell r="E2356">
            <v>3</v>
          </cell>
          <cell r="F2356">
            <v>9500</v>
          </cell>
          <cell r="G2356">
            <v>28500</v>
          </cell>
        </row>
        <row r="2357">
          <cell r="C2357" t="str">
            <v>Nhân công</v>
          </cell>
          <cell r="G2357">
            <v>2778668.3136842106</v>
          </cell>
        </row>
        <row r="2358">
          <cell r="B2358" t="str">
            <v>NC1457</v>
          </cell>
          <cell r="C2358" t="str">
            <v>Ngày công bậc 4,5/7</v>
          </cell>
          <cell r="D2358" t="str">
            <v>công</v>
          </cell>
          <cell r="E2358">
            <v>13.12</v>
          </cell>
          <cell r="F2358">
            <v>211788.74342105264</v>
          </cell>
          <cell r="G2358">
            <v>2778668.3136842106</v>
          </cell>
        </row>
        <row r="2359">
          <cell r="C2359" t="str">
            <v>Máy thi công</v>
          </cell>
          <cell r="G2359">
            <v>528921.39051360008</v>
          </cell>
        </row>
        <row r="2360">
          <cell r="B2360">
            <v>8015</v>
          </cell>
          <cell r="C2360" t="str">
            <v>Cần trục bánh hơi 5 tấn</v>
          </cell>
          <cell r="D2360" t="str">
            <v>ca</v>
          </cell>
          <cell r="E2360">
            <v>0.36</v>
          </cell>
          <cell r="F2360">
            <v>1426433.0920000002</v>
          </cell>
          <cell r="G2360">
            <v>513515.91312000004</v>
          </cell>
        </row>
        <row r="2361">
          <cell r="B2361">
            <v>7008</v>
          </cell>
          <cell r="C2361" t="str">
            <v>Máy khác</v>
          </cell>
          <cell r="D2361" t="str">
            <v>%</v>
          </cell>
          <cell r="E2361">
            <v>3</v>
          </cell>
          <cell r="G2361">
            <v>15405.4773936</v>
          </cell>
        </row>
        <row r="2362">
          <cell r="A2362" t="str">
            <v>T2.3232</v>
          </cell>
          <cell r="C2362" t="str">
            <v>Lắp đặt dao cách ly 3 pha ngoài trời 110KV, tiếp đất 2 đầu</v>
          </cell>
          <cell r="D2362" t="str">
            <v>bộ</v>
          </cell>
          <cell r="H2362">
            <v>77000</v>
          </cell>
          <cell r="I2362">
            <v>3270018.1984210527</v>
          </cell>
          <cell r="J2362">
            <v>528921.39051360008</v>
          </cell>
        </row>
        <row r="2363">
          <cell r="C2363" t="str">
            <v>Vật liệu</v>
          </cell>
          <cell r="G2363">
            <v>77000</v>
          </cell>
        </row>
        <row r="2364">
          <cell r="B2364">
            <v>4</v>
          </cell>
          <cell r="C2364" t="str">
            <v>Giấy ráp</v>
          </cell>
          <cell r="D2364" t="str">
            <v>tờ</v>
          </cell>
          <cell r="E2364">
            <v>2.5</v>
          </cell>
          <cell r="F2364">
            <v>10000</v>
          </cell>
          <cell r="G2364">
            <v>25000</v>
          </cell>
        </row>
        <row r="2365">
          <cell r="B2365">
            <v>11</v>
          </cell>
          <cell r="C2365" t="str">
            <v>Vazơlin</v>
          </cell>
          <cell r="D2365" t="str">
            <v>kg</v>
          </cell>
          <cell r="E2365">
            <v>0.25</v>
          </cell>
          <cell r="F2365">
            <v>24000</v>
          </cell>
          <cell r="G2365">
            <v>6000</v>
          </cell>
        </row>
        <row r="2366">
          <cell r="B2366">
            <v>8</v>
          </cell>
          <cell r="C2366" t="str">
            <v>Mỡ YOC</v>
          </cell>
          <cell r="D2366" t="str">
            <v>kg</v>
          </cell>
          <cell r="E2366">
            <v>0.5</v>
          </cell>
          <cell r="F2366">
            <v>35000</v>
          </cell>
          <cell r="G2366">
            <v>17500</v>
          </cell>
        </row>
        <row r="2367">
          <cell r="B2367">
            <v>9</v>
          </cell>
          <cell r="C2367" t="str">
            <v>Giẻ lau</v>
          </cell>
          <cell r="D2367" t="str">
            <v>kg</v>
          </cell>
          <cell r="E2367">
            <v>3</v>
          </cell>
          <cell r="F2367">
            <v>9500</v>
          </cell>
          <cell r="G2367">
            <v>28500</v>
          </cell>
        </row>
        <row r="2368">
          <cell r="C2368" t="str">
            <v>Nhân công</v>
          </cell>
          <cell r="G2368">
            <v>3270018.1984210527</v>
          </cell>
        </row>
        <row r="2369">
          <cell r="B2369" t="str">
            <v>NC1457</v>
          </cell>
          <cell r="C2369" t="str">
            <v>Ngày công bậc 4,5/7</v>
          </cell>
          <cell r="D2369" t="str">
            <v>công</v>
          </cell>
          <cell r="E2369">
            <v>15.44</v>
          </cell>
          <cell r="F2369">
            <v>211788.74342105264</v>
          </cell>
          <cell r="G2369">
            <v>3270018.1984210527</v>
          </cell>
        </row>
        <row r="2370">
          <cell r="C2370" t="str">
            <v>Máy thi công</v>
          </cell>
          <cell r="G2370">
            <v>528921.39051360008</v>
          </cell>
        </row>
        <row r="2371">
          <cell r="B2371">
            <v>8015</v>
          </cell>
          <cell r="C2371" t="str">
            <v>Cần trục bánh hơi 5 tấn</v>
          </cell>
          <cell r="D2371" t="str">
            <v>ca</v>
          </cell>
          <cell r="E2371">
            <v>0.36</v>
          </cell>
          <cell r="F2371">
            <v>1426433.0920000002</v>
          </cell>
          <cell r="G2371">
            <v>513515.91312000004</v>
          </cell>
        </row>
        <row r="2372">
          <cell r="B2372">
            <v>7008</v>
          </cell>
          <cell r="C2372" t="str">
            <v>Máy khác</v>
          </cell>
          <cell r="D2372" t="str">
            <v>%</v>
          </cell>
          <cell r="E2372">
            <v>3</v>
          </cell>
          <cell r="G2372">
            <v>15405.4773936</v>
          </cell>
        </row>
        <row r="2373">
          <cell r="A2373" t="str">
            <v>T2.3213</v>
          </cell>
          <cell r="C2373" t="str">
            <v>Lắp đặt dao cách ly 3 pha ngoài trời &lt;=35KV, loại không tiếp đất</v>
          </cell>
          <cell r="D2373" t="str">
            <v>bộ</v>
          </cell>
          <cell r="H2373">
            <v>47380</v>
          </cell>
          <cell r="I2373">
            <v>965756.66999999993</v>
          </cell>
          <cell r="J2373">
            <v>352614.2603424</v>
          </cell>
        </row>
        <row r="2374">
          <cell r="C2374" t="str">
            <v>Vật liệu</v>
          </cell>
          <cell r="G2374">
            <v>47380</v>
          </cell>
        </row>
        <row r="2375">
          <cell r="B2375">
            <v>4</v>
          </cell>
          <cell r="C2375" t="str">
            <v>Giấy ráp</v>
          </cell>
          <cell r="D2375" t="str">
            <v>tờ</v>
          </cell>
          <cell r="E2375">
            <v>1.5</v>
          </cell>
          <cell r="F2375">
            <v>10000</v>
          </cell>
          <cell r="G2375">
            <v>15000</v>
          </cell>
        </row>
        <row r="2376">
          <cell r="B2376">
            <v>11</v>
          </cell>
          <cell r="C2376" t="str">
            <v>Vazơlin</v>
          </cell>
          <cell r="D2376" t="str">
            <v>kg</v>
          </cell>
          <cell r="E2376">
            <v>0.12</v>
          </cell>
          <cell r="F2376">
            <v>24000</v>
          </cell>
          <cell r="G2376">
            <v>2880</v>
          </cell>
        </row>
        <row r="2377">
          <cell r="B2377">
            <v>8</v>
          </cell>
          <cell r="C2377" t="str">
            <v>Mỡ YOC</v>
          </cell>
          <cell r="D2377" t="str">
            <v>kg</v>
          </cell>
          <cell r="E2377">
            <v>0.3</v>
          </cell>
          <cell r="F2377">
            <v>35000</v>
          </cell>
          <cell r="G2377">
            <v>10500</v>
          </cell>
        </row>
        <row r="2378">
          <cell r="B2378">
            <v>9</v>
          </cell>
          <cell r="C2378" t="str">
            <v>Giẻ lau</v>
          </cell>
          <cell r="D2378" t="str">
            <v>kg</v>
          </cell>
          <cell r="E2378">
            <v>2</v>
          </cell>
          <cell r="F2378">
            <v>9500</v>
          </cell>
          <cell r="G2378">
            <v>19000</v>
          </cell>
        </row>
        <row r="2379">
          <cell r="C2379" t="str">
            <v>Nhân công</v>
          </cell>
          <cell r="G2379">
            <v>965756.66999999993</v>
          </cell>
        </row>
        <row r="2380">
          <cell r="B2380" t="str">
            <v>NC1457</v>
          </cell>
          <cell r="C2380" t="str">
            <v>Ngày công bậc 4,5/7</v>
          </cell>
          <cell r="D2380" t="str">
            <v>công</v>
          </cell>
          <cell r="E2380">
            <v>4.5599999999999996</v>
          </cell>
          <cell r="F2380">
            <v>211788.74342105264</v>
          </cell>
          <cell r="G2380">
            <v>965756.66999999993</v>
          </cell>
        </row>
        <row r="2381">
          <cell r="C2381" t="str">
            <v>Máy thi công</v>
          </cell>
          <cell r="G2381">
            <v>352614.2603424</v>
          </cell>
        </row>
        <row r="2382">
          <cell r="B2382">
            <v>8015</v>
          </cell>
          <cell r="C2382" t="str">
            <v>Cần trục bánh hơi 5 tấn</v>
          </cell>
          <cell r="D2382" t="str">
            <v>ca</v>
          </cell>
          <cell r="E2382">
            <v>0.24</v>
          </cell>
          <cell r="F2382">
            <v>1426433.0920000002</v>
          </cell>
          <cell r="G2382">
            <v>342343.94208000001</v>
          </cell>
        </row>
        <row r="2383">
          <cell r="B2383">
            <v>7008</v>
          </cell>
          <cell r="C2383" t="str">
            <v>Máy khác</v>
          </cell>
          <cell r="D2383" t="str">
            <v>%</v>
          </cell>
          <cell r="E2383">
            <v>3</v>
          </cell>
          <cell r="G2383">
            <v>10270.3182624</v>
          </cell>
        </row>
        <row r="2384">
          <cell r="A2384" t="str">
            <v>T2.3223</v>
          </cell>
          <cell r="C2384" t="str">
            <v>Lắp đặt dao cách ly 3 pha ngoài trời &lt;=35KV, tiếp đất 1 đầu</v>
          </cell>
          <cell r="D2384" t="str">
            <v>bộ</v>
          </cell>
          <cell r="H2384">
            <v>47380</v>
          </cell>
          <cell r="I2384">
            <v>1812911.6436842107</v>
          </cell>
          <cell r="J2384">
            <v>479392.51766399993</v>
          </cell>
        </row>
        <row r="2385">
          <cell r="C2385" t="str">
            <v>Vật liệu</v>
          </cell>
          <cell r="G2385">
            <v>47380</v>
          </cell>
        </row>
        <row r="2386">
          <cell r="B2386">
            <v>4</v>
          </cell>
          <cell r="C2386" t="str">
            <v>Giấy ráp</v>
          </cell>
          <cell r="D2386" t="str">
            <v>tờ</v>
          </cell>
          <cell r="E2386">
            <v>1.5</v>
          </cell>
          <cell r="F2386">
            <v>10000</v>
          </cell>
          <cell r="G2386">
            <v>15000</v>
          </cell>
        </row>
        <row r="2387">
          <cell r="B2387">
            <v>11</v>
          </cell>
          <cell r="C2387" t="str">
            <v>Vazơlin</v>
          </cell>
          <cell r="D2387" t="str">
            <v>kg</v>
          </cell>
          <cell r="E2387">
            <v>0.12</v>
          </cell>
          <cell r="F2387">
            <v>24000</v>
          </cell>
          <cell r="G2387">
            <v>2880</v>
          </cell>
        </row>
        <row r="2388">
          <cell r="B2388">
            <v>8</v>
          </cell>
          <cell r="C2388" t="str">
            <v>Mỡ YOC</v>
          </cell>
          <cell r="D2388" t="str">
            <v>kg</v>
          </cell>
          <cell r="E2388">
            <v>0.3</v>
          </cell>
          <cell r="F2388">
            <v>35000</v>
          </cell>
          <cell r="G2388">
            <v>10500</v>
          </cell>
        </row>
        <row r="2389">
          <cell r="B2389">
            <v>9</v>
          </cell>
          <cell r="C2389" t="str">
            <v>Giẻ lau</v>
          </cell>
          <cell r="D2389" t="str">
            <v>kg</v>
          </cell>
          <cell r="E2389">
            <v>2</v>
          </cell>
          <cell r="F2389">
            <v>9500</v>
          </cell>
          <cell r="G2389">
            <v>19000</v>
          </cell>
        </row>
        <row r="2390">
          <cell r="C2390" t="str">
            <v>Nhân công</v>
          </cell>
          <cell r="G2390">
            <v>1812911.6436842107</v>
          </cell>
        </row>
        <row r="2391">
          <cell r="B2391" t="str">
            <v>NC1457</v>
          </cell>
          <cell r="C2391" t="str">
            <v>Ngày công bậc 4,5/7</v>
          </cell>
          <cell r="D2391" t="str">
            <v>công</v>
          </cell>
          <cell r="E2391">
            <v>8.56</v>
          </cell>
          <cell r="F2391">
            <v>211788.74342105264</v>
          </cell>
          <cell r="G2391">
            <v>1812911.6436842107</v>
          </cell>
        </row>
        <row r="2392">
          <cell r="C2392" t="str">
            <v>Máy thi công</v>
          </cell>
          <cell r="G2392">
            <v>479392.51766399993</v>
          </cell>
        </row>
        <row r="2393">
          <cell r="B2393">
            <v>8013</v>
          </cell>
          <cell r="C2393" t="str">
            <v>Cần trục bánh hơi 10 tấn</v>
          </cell>
          <cell r="D2393" t="str">
            <v>ca</v>
          </cell>
          <cell r="E2393">
            <v>0.24</v>
          </cell>
          <cell r="F2393">
            <v>1939290.1199999999</v>
          </cell>
          <cell r="G2393">
            <v>465429.62879999995</v>
          </cell>
        </row>
        <row r="2394">
          <cell r="B2394">
            <v>7008</v>
          </cell>
          <cell r="C2394" t="str">
            <v>Máy khác</v>
          </cell>
          <cell r="D2394" t="str">
            <v>%</v>
          </cell>
          <cell r="E2394">
            <v>3</v>
          </cell>
          <cell r="G2394">
            <v>13962.888863999999</v>
          </cell>
        </row>
        <row r="2395">
          <cell r="A2395" t="str">
            <v>T2.3233</v>
          </cell>
          <cell r="C2395" t="str">
            <v>Lắp đặt dao cách ly 3 pha ngoài trời &lt;=35KV, tiếp đất 2 đầu</v>
          </cell>
          <cell r="D2395" t="str">
            <v>bộ</v>
          </cell>
          <cell r="H2395">
            <v>47380</v>
          </cell>
          <cell r="I2395">
            <v>2143302.0834210524</v>
          </cell>
          <cell r="J2395">
            <v>479392.51766399993</v>
          </cell>
        </row>
        <row r="2396">
          <cell r="C2396" t="str">
            <v>Vật liệu</v>
          </cell>
          <cell r="G2396">
            <v>47380</v>
          </cell>
        </row>
        <row r="2397">
          <cell r="B2397">
            <v>4</v>
          </cell>
          <cell r="C2397" t="str">
            <v>Giấy ráp</v>
          </cell>
          <cell r="D2397" t="str">
            <v>tờ</v>
          </cell>
          <cell r="E2397">
            <v>1.5</v>
          </cell>
          <cell r="F2397">
            <v>10000</v>
          </cell>
          <cell r="G2397">
            <v>15000</v>
          </cell>
        </row>
        <row r="2398">
          <cell r="B2398">
            <v>11</v>
          </cell>
          <cell r="C2398" t="str">
            <v>Vazơlin</v>
          </cell>
          <cell r="D2398" t="str">
            <v>kg</v>
          </cell>
          <cell r="E2398">
            <v>0.12</v>
          </cell>
          <cell r="F2398">
            <v>24000</v>
          </cell>
          <cell r="G2398">
            <v>2880</v>
          </cell>
        </row>
        <row r="2399">
          <cell r="B2399">
            <v>8</v>
          </cell>
          <cell r="C2399" t="str">
            <v>Mỡ YOC</v>
          </cell>
          <cell r="D2399" t="str">
            <v>kg</v>
          </cell>
          <cell r="E2399">
            <v>0.3</v>
          </cell>
          <cell r="F2399">
            <v>35000</v>
          </cell>
          <cell r="G2399">
            <v>10500</v>
          </cell>
        </row>
        <row r="2400">
          <cell r="B2400">
            <v>9</v>
          </cell>
          <cell r="C2400" t="str">
            <v>Giẻ lau</v>
          </cell>
          <cell r="D2400" t="str">
            <v>kg</v>
          </cell>
          <cell r="E2400">
            <v>2</v>
          </cell>
          <cell r="F2400">
            <v>9500</v>
          </cell>
          <cell r="G2400">
            <v>19000</v>
          </cell>
        </row>
        <row r="2401">
          <cell r="C2401" t="str">
            <v>Nhân công</v>
          </cell>
          <cell r="G2401">
            <v>2143302.0834210524</v>
          </cell>
        </row>
        <row r="2402">
          <cell r="B2402" t="str">
            <v>NC1457</v>
          </cell>
          <cell r="C2402" t="str">
            <v>Ngày công bậc 4,5/7</v>
          </cell>
          <cell r="D2402" t="str">
            <v>công</v>
          </cell>
          <cell r="E2402">
            <v>10.119999999999999</v>
          </cell>
          <cell r="F2402">
            <v>211788.74342105264</v>
          </cell>
          <cell r="G2402">
            <v>2143302.0834210524</v>
          </cell>
        </row>
        <row r="2403">
          <cell r="C2403" t="str">
            <v>Máy thi công</v>
          </cell>
          <cell r="G2403">
            <v>479392.51766399993</v>
          </cell>
        </row>
        <row r="2404">
          <cell r="B2404">
            <v>8013</v>
          </cell>
          <cell r="C2404" t="str">
            <v>Cần trục bánh hơi 10 tấn</v>
          </cell>
          <cell r="D2404" t="str">
            <v>ca</v>
          </cell>
          <cell r="E2404">
            <v>0.24</v>
          </cell>
          <cell r="F2404">
            <v>1939290.1199999999</v>
          </cell>
          <cell r="G2404">
            <v>465429.62879999995</v>
          </cell>
        </row>
        <row r="2405">
          <cell r="B2405">
            <v>7008</v>
          </cell>
          <cell r="C2405" t="str">
            <v>Máy khác</v>
          </cell>
          <cell r="D2405" t="str">
            <v>%</v>
          </cell>
          <cell r="E2405">
            <v>3</v>
          </cell>
          <cell r="G2405">
            <v>13962.888863999999</v>
          </cell>
        </row>
        <row r="2406">
          <cell r="A2406" t="str">
            <v>T2.3214</v>
          </cell>
          <cell r="C2406" t="str">
            <v>Lắp đặt dao cách ly 3 pha ngoài trời &lt;=10KV, không tiếp đất</v>
          </cell>
          <cell r="D2406" t="str">
            <v>bộ</v>
          </cell>
          <cell r="H2406">
            <v>42380</v>
          </cell>
          <cell r="I2406">
            <v>804797.22499999998</v>
          </cell>
        </row>
        <row r="2407">
          <cell r="C2407" t="str">
            <v>Vật liệu</v>
          </cell>
          <cell r="G2407">
            <v>42380</v>
          </cell>
        </row>
        <row r="2408">
          <cell r="B2408">
            <v>4</v>
          </cell>
          <cell r="C2408" t="str">
            <v>Giấy ráp</v>
          </cell>
          <cell r="D2408" t="str">
            <v>tờ</v>
          </cell>
          <cell r="E2408">
            <v>1</v>
          </cell>
          <cell r="F2408">
            <v>10000</v>
          </cell>
          <cell r="G2408">
            <v>10000</v>
          </cell>
        </row>
        <row r="2409">
          <cell r="B2409">
            <v>11</v>
          </cell>
          <cell r="C2409" t="str">
            <v>Vazơlin</v>
          </cell>
          <cell r="D2409" t="str">
            <v>kg</v>
          </cell>
          <cell r="E2409">
            <v>0.12</v>
          </cell>
          <cell r="F2409">
            <v>24000</v>
          </cell>
          <cell r="G2409">
            <v>2880</v>
          </cell>
        </row>
        <row r="2410">
          <cell r="B2410">
            <v>8</v>
          </cell>
          <cell r="C2410" t="str">
            <v>Mỡ YOC</v>
          </cell>
          <cell r="D2410" t="str">
            <v>kg</v>
          </cell>
          <cell r="E2410">
            <v>0.3</v>
          </cell>
          <cell r="F2410">
            <v>35000</v>
          </cell>
          <cell r="G2410">
            <v>10500</v>
          </cell>
        </row>
        <row r="2411">
          <cell r="B2411">
            <v>9</v>
          </cell>
          <cell r="C2411" t="str">
            <v>Giẻ lau</v>
          </cell>
          <cell r="D2411" t="str">
            <v>kg</v>
          </cell>
          <cell r="E2411">
            <v>2</v>
          </cell>
          <cell r="F2411">
            <v>9500</v>
          </cell>
          <cell r="G2411">
            <v>19000</v>
          </cell>
        </row>
        <row r="2412">
          <cell r="C2412" t="str">
            <v>Nhân công</v>
          </cell>
          <cell r="G2412">
            <v>804797.22499999998</v>
          </cell>
        </row>
        <row r="2413">
          <cell r="B2413" t="str">
            <v>NC1457</v>
          </cell>
          <cell r="C2413" t="str">
            <v>Ngày công bậc 4,5/7</v>
          </cell>
          <cell r="D2413" t="str">
            <v>công</v>
          </cell>
          <cell r="E2413">
            <v>3.8</v>
          </cell>
          <cell r="F2413">
            <v>211788.74342105264</v>
          </cell>
          <cell r="G2413">
            <v>804797.22499999998</v>
          </cell>
        </row>
        <row r="2414">
          <cell r="A2414" t="str">
            <v>T2.3224</v>
          </cell>
          <cell r="C2414" t="str">
            <v>Lắp đặt dao cách ly 3 pha ngoài trời &lt;=10KV, tiếp đất 1 đầu</v>
          </cell>
          <cell r="D2414" t="str">
            <v>bộ</v>
          </cell>
          <cell r="H2414">
            <v>42380</v>
          </cell>
          <cell r="I2414">
            <v>1482521.2039473685</v>
          </cell>
        </row>
        <row r="2415">
          <cell r="C2415" t="str">
            <v>Vật liệu</v>
          </cell>
          <cell r="G2415">
            <v>42380</v>
          </cell>
        </row>
        <row r="2416">
          <cell r="B2416">
            <v>4</v>
          </cell>
          <cell r="C2416" t="str">
            <v>Giấy ráp</v>
          </cell>
          <cell r="D2416" t="str">
            <v>tờ</v>
          </cell>
          <cell r="E2416">
            <v>1</v>
          </cell>
          <cell r="F2416">
            <v>10000</v>
          </cell>
          <cell r="G2416">
            <v>10000</v>
          </cell>
        </row>
        <row r="2417">
          <cell r="B2417">
            <v>11</v>
          </cell>
          <cell r="C2417" t="str">
            <v>Vazơlin</v>
          </cell>
          <cell r="D2417" t="str">
            <v>kg</v>
          </cell>
          <cell r="E2417">
            <v>0.12</v>
          </cell>
          <cell r="F2417">
            <v>24000</v>
          </cell>
          <cell r="G2417">
            <v>2880</v>
          </cell>
        </row>
        <row r="2418">
          <cell r="B2418">
            <v>8</v>
          </cell>
          <cell r="C2418" t="str">
            <v>Mỡ YOC</v>
          </cell>
          <cell r="D2418" t="str">
            <v>kg</v>
          </cell>
          <cell r="E2418">
            <v>0.3</v>
          </cell>
          <cell r="F2418">
            <v>35000</v>
          </cell>
          <cell r="G2418">
            <v>10500</v>
          </cell>
        </row>
        <row r="2419">
          <cell r="B2419">
            <v>9</v>
          </cell>
          <cell r="C2419" t="str">
            <v>Giẻ lau</v>
          </cell>
          <cell r="D2419" t="str">
            <v>kg</v>
          </cell>
          <cell r="E2419">
            <v>2</v>
          </cell>
          <cell r="F2419">
            <v>9500</v>
          </cell>
          <cell r="G2419">
            <v>19000</v>
          </cell>
        </row>
        <row r="2420">
          <cell r="C2420" t="str">
            <v>Nhân công</v>
          </cell>
          <cell r="G2420">
            <v>1482521.2039473685</v>
          </cell>
        </row>
        <row r="2421">
          <cell r="B2421" t="str">
            <v>NC1457</v>
          </cell>
          <cell r="C2421" t="str">
            <v>Ngày công bậc 4,5/7</v>
          </cell>
          <cell r="D2421" t="str">
            <v>công</v>
          </cell>
          <cell r="E2421">
            <v>7</v>
          </cell>
          <cell r="F2421">
            <v>211788.74342105264</v>
          </cell>
          <cell r="G2421">
            <v>1482521.2039473685</v>
          </cell>
        </row>
        <row r="2422">
          <cell r="A2422" t="str">
            <v>T2.3234</v>
          </cell>
          <cell r="C2422" t="str">
            <v>Lắp đặt dao cách ly 3 pha ngoài trời &lt;=10KV, tiếp đất 2 đầu</v>
          </cell>
          <cell r="D2422" t="str">
            <v>bộ</v>
          </cell>
          <cell r="H2422">
            <v>42380</v>
          </cell>
          <cell r="I2422">
            <v>1779025.4447368423</v>
          </cell>
        </row>
        <row r="2423">
          <cell r="C2423" t="str">
            <v>Vật liệu</v>
          </cell>
          <cell r="G2423">
            <v>42380</v>
          </cell>
        </row>
        <row r="2424">
          <cell r="B2424">
            <v>4</v>
          </cell>
          <cell r="C2424" t="str">
            <v>Giấy ráp</v>
          </cell>
          <cell r="D2424" t="str">
            <v>tờ</v>
          </cell>
          <cell r="E2424">
            <v>1</v>
          </cell>
          <cell r="F2424">
            <v>10000</v>
          </cell>
          <cell r="G2424">
            <v>10000</v>
          </cell>
        </row>
        <row r="2425">
          <cell r="B2425">
            <v>11</v>
          </cell>
          <cell r="C2425" t="str">
            <v>Vazơlin</v>
          </cell>
          <cell r="D2425" t="str">
            <v>kg</v>
          </cell>
          <cell r="E2425">
            <v>0.12</v>
          </cell>
          <cell r="F2425">
            <v>24000</v>
          </cell>
          <cell r="G2425">
            <v>2880</v>
          </cell>
        </row>
        <row r="2426">
          <cell r="B2426">
            <v>8</v>
          </cell>
          <cell r="C2426" t="str">
            <v>Mỡ YOC</v>
          </cell>
          <cell r="D2426" t="str">
            <v>kg</v>
          </cell>
          <cell r="E2426">
            <v>0.3</v>
          </cell>
          <cell r="F2426">
            <v>35000</v>
          </cell>
          <cell r="G2426">
            <v>10500</v>
          </cell>
        </row>
        <row r="2427">
          <cell r="B2427">
            <v>9</v>
          </cell>
          <cell r="C2427" t="str">
            <v>Giẻ lau</v>
          </cell>
          <cell r="D2427" t="str">
            <v>kg</v>
          </cell>
          <cell r="E2427">
            <v>2</v>
          </cell>
          <cell r="F2427">
            <v>9500</v>
          </cell>
          <cell r="G2427">
            <v>19000</v>
          </cell>
        </row>
        <row r="2428">
          <cell r="C2428" t="str">
            <v>Nhân công</v>
          </cell>
          <cell r="G2428">
            <v>1779025.4447368423</v>
          </cell>
        </row>
        <row r="2429">
          <cell r="B2429" t="str">
            <v>NC1457</v>
          </cell>
          <cell r="C2429" t="str">
            <v>Ngày công bậc 4,5/7</v>
          </cell>
          <cell r="D2429" t="str">
            <v>công</v>
          </cell>
          <cell r="E2429">
            <v>8.4</v>
          </cell>
          <cell r="F2429">
            <v>211788.74342105264</v>
          </cell>
          <cell r="G2429">
            <v>1779025.4447368423</v>
          </cell>
        </row>
        <row r="2430">
          <cell r="A2430" t="str">
            <v>T2.3311</v>
          </cell>
          <cell r="C2430" t="str">
            <v>Lắp đặt dao cách ly 3 pha trong nhà &lt;=35KV, loại không tiếp đất</v>
          </cell>
          <cell r="D2430" t="str">
            <v>bộ</v>
          </cell>
          <cell r="H2430">
            <v>37200</v>
          </cell>
          <cell r="I2430">
            <v>1158484.4265131578</v>
          </cell>
        </row>
        <row r="2431">
          <cell r="C2431" t="str">
            <v>Vật liệu</v>
          </cell>
          <cell r="G2431">
            <v>37200</v>
          </cell>
        </row>
        <row r="2432">
          <cell r="B2432">
            <v>4</v>
          </cell>
          <cell r="C2432" t="str">
            <v>Giấy ráp</v>
          </cell>
          <cell r="D2432" t="str">
            <v>tờ</v>
          </cell>
          <cell r="E2432">
            <v>0.75</v>
          </cell>
          <cell r="F2432">
            <v>10000</v>
          </cell>
          <cell r="G2432">
            <v>7500</v>
          </cell>
        </row>
        <row r="2433">
          <cell r="B2433">
            <v>11</v>
          </cell>
          <cell r="C2433" t="str">
            <v>Vazơlin</v>
          </cell>
          <cell r="D2433" t="str">
            <v>kg</v>
          </cell>
          <cell r="E2433">
            <v>0.9</v>
          </cell>
          <cell r="F2433">
            <v>24000</v>
          </cell>
          <cell r="G2433">
            <v>21600</v>
          </cell>
        </row>
        <row r="2434">
          <cell r="B2434">
            <v>8</v>
          </cell>
          <cell r="C2434" t="str">
            <v>Mỡ YOC</v>
          </cell>
          <cell r="D2434" t="str">
            <v>kg</v>
          </cell>
          <cell r="E2434">
            <v>0.15</v>
          </cell>
          <cell r="F2434">
            <v>35000</v>
          </cell>
          <cell r="G2434">
            <v>5250</v>
          </cell>
        </row>
        <row r="2435">
          <cell r="B2435">
            <v>9</v>
          </cell>
          <cell r="C2435" t="str">
            <v>Giẻ lau</v>
          </cell>
          <cell r="D2435" t="str">
            <v>kg</v>
          </cell>
          <cell r="E2435">
            <v>0.3</v>
          </cell>
          <cell r="F2435">
            <v>9500</v>
          </cell>
          <cell r="G2435">
            <v>2850</v>
          </cell>
        </row>
        <row r="2436">
          <cell r="C2436" t="str">
            <v>Nhân công</v>
          </cell>
          <cell r="G2436">
            <v>1158484.4265131578</v>
          </cell>
        </row>
        <row r="2437">
          <cell r="B2437" t="str">
            <v>NC1457</v>
          </cell>
          <cell r="C2437" t="str">
            <v>Ngày công bậc 4,5/7</v>
          </cell>
          <cell r="D2437" t="str">
            <v>công</v>
          </cell>
          <cell r="E2437">
            <v>5.47</v>
          </cell>
          <cell r="F2437">
            <v>211788.74342105264</v>
          </cell>
          <cell r="G2437">
            <v>1158484.4265131578</v>
          </cell>
        </row>
        <row r="2438">
          <cell r="A2438" t="str">
            <v>T2.3321</v>
          </cell>
          <cell r="C2438" t="str">
            <v>Lắp đặt dao cách ly 3 pha trong nhà &lt;=35KV, tiếp đất 1 đầu</v>
          </cell>
          <cell r="D2438" t="str">
            <v>bộ</v>
          </cell>
          <cell r="H2438">
            <v>37200</v>
          </cell>
          <cell r="I2438">
            <v>2160245.182894737</v>
          </cell>
        </row>
        <row r="2439">
          <cell r="C2439" t="str">
            <v>Vật liệu</v>
          </cell>
          <cell r="G2439">
            <v>37200</v>
          </cell>
        </row>
        <row r="2440">
          <cell r="B2440">
            <v>4</v>
          </cell>
          <cell r="C2440" t="str">
            <v>Giấy ráp</v>
          </cell>
          <cell r="D2440" t="str">
            <v>tờ</v>
          </cell>
          <cell r="E2440">
            <v>0.75</v>
          </cell>
          <cell r="F2440">
            <v>10000</v>
          </cell>
          <cell r="G2440">
            <v>7500</v>
          </cell>
        </row>
        <row r="2441">
          <cell r="B2441">
            <v>11</v>
          </cell>
          <cell r="C2441" t="str">
            <v>Vazơlin</v>
          </cell>
          <cell r="D2441" t="str">
            <v>kg</v>
          </cell>
          <cell r="E2441">
            <v>0.9</v>
          </cell>
          <cell r="F2441">
            <v>24000</v>
          </cell>
          <cell r="G2441">
            <v>21600</v>
          </cell>
        </row>
        <row r="2442">
          <cell r="B2442">
            <v>8</v>
          </cell>
          <cell r="C2442" t="str">
            <v>Mỡ YOC</v>
          </cell>
          <cell r="D2442" t="str">
            <v>kg</v>
          </cell>
          <cell r="E2442">
            <v>0.15</v>
          </cell>
          <cell r="F2442">
            <v>35000</v>
          </cell>
          <cell r="G2442">
            <v>5250</v>
          </cell>
        </row>
        <row r="2443">
          <cell r="B2443">
            <v>9</v>
          </cell>
          <cell r="C2443" t="str">
            <v>Giẻ lau</v>
          </cell>
          <cell r="D2443" t="str">
            <v>kg</v>
          </cell>
          <cell r="E2443">
            <v>0.3</v>
          </cell>
          <cell r="F2443">
            <v>9500</v>
          </cell>
          <cell r="G2443">
            <v>2850</v>
          </cell>
        </row>
        <row r="2444">
          <cell r="C2444" t="str">
            <v>Nhân công</v>
          </cell>
          <cell r="G2444">
            <v>2160245.182894737</v>
          </cell>
        </row>
        <row r="2445">
          <cell r="B2445" t="str">
            <v>NC1457</v>
          </cell>
          <cell r="C2445" t="str">
            <v>Ngày công bậc 4,5/7</v>
          </cell>
          <cell r="D2445" t="str">
            <v>công</v>
          </cell>
          <cell r="E2445">
            <v>10.199999999999999</v>
          </cell>
          <cell r="F2445">
            <v>211788.74342105264</v>
          </cell>
          <cell r="G2445">
            <v>2160245.182894737</v>
          </cell>
        </row>
        <row r="2446">
          <cell r="A2446" t="str">
            <v>T2.3331</v>
          </cell>
          <cell r="C2446" t="str">
            <v>Lắp đặt dao cách ly 3 pha trong nhà &lt;=35KV, tiếp đất 2 đầu</v>
          </cell>
          <cell r="D2446" t="str">
            <v>bộ</v>
          </cell>
          <cell r="H2446">
            <v>37200</v>
          </cell>
          <cell r="I2446">
            <v>2571115.3451315793</v>
          </cell>
        </row>
        <row r="2447">
          <cell r="C2447" t="str">
            <v>Vật liệu</v>
          </cell>
          <cell r="G2447">
            <v>37200</v>
          </cell>
        </row>
        <row r="2448">
          <cell r="B2448">
            <v>4</v>
          </cell>
          <cell r="C2448" t="str">
            <v>Giấy ráp</v>
          </cell>
          <cell r="D2448" t="str">
            <v>tờ</v>
          </cell>
          <cell r="E2448">
            <v>0.75</v>
          </cell>
          <cell r="F2448">
            <v>10000</v>
          </cell>
          <cell r="G2448">
            <v>7500</v>
          </cell>
        </row>
        <row r="2449">
          <cell r="B2449">
            <v>11</v>
          </cell>
          <cell r="C2449" t="str">
            <v>Vazơlin</v>
          </cell>
          <cell r="D2449" t="str">
            <v>kg</v>
          </cell>
          <cell r="E2449">
            <v>0.9</v>
          </cell>
          <cell r="F2449">
            <v>24000</v>
          </cell>
          <cell r="G2449">
            <v>21600</v>
          </cell>
        </row>
        <row r="2450">
          <cell r="B2450">
            <v>8</v>
          </cell>
          <cell r="C2450" t="str">
            <v>Mỡ YOC</v>
          </cell>
          <cell r="D2450" t="str">
            <v>kg</v>
          </cell>
          <cell r="E2450">
            <v>0.15</v>
          </cell>
          <cell r="F2450">
            <v>35000</v>
          </cell>
          <cell r="G2450">
            <v>5250</v>
          </cell>
        </row>
        <row r="2451">
          <cell r="B2451">
            <v>9</v>
          </cell>
          <cell r="C2451" t="str">
            <v>Giẻ lau</v>
          </cell>
          <cell r="D2451" t="str">
            <v>kg</v>
          </cell>
          <cell r="E2451">
            <v>0.3</v>
          </cell>
          <cell r="F2451">
            <v>9500</v>
          </cell>
          <cell r="G2451">
            <v>2850</v>
          </cell>
        </row>
        <row r="2452">
          <cell r="C2452" t="str">
            <v>Nhân công</v>
          </cell>
          <cell r="G2452">
            <v>2571115.3451315793</v>
          </cell>
        </row>
        <row r="2453">
          <cell r="B2453" t="str">
            <v>NC1457</v>
          </cell>
          <cell r="C2453" t="str">
            <v>Ngày công bậc 4,5/7</v>
          </cell>
          <cell r="D2453" t="str">
            <v>công</v>
          </cell>
          <cell r="E2453">
            <v>12.14</v>
          </cell>
          <cell r="F2453">
            <v>211788.74342105264</v>
          </cell>
          <cell r="G2453">
            <v>2571115.3451315793</v>
          </cell>
        </row>
        <row r="2454">
          <cell r="A2454" t="str">
            <v>T2.3312</v>
          </cell>
          <cell r="C2454" t="str">
            <v>Lắp đặt dao cách ly 3 pha trong nhà &lt;=10KV, không tiếp đất</v>
          </cell>
          <cell r="D2454" t="str">
            <v>bộ</v>
          </cell>
          <cell r="H2454">
            <v>24800</v>
          </cell>
          <cell r="I2454">
            <v>965756.66999999993</v>
          </cell>
        </row>
        <row r="2455">
          <cell r="C2455" t="str">
            <v>Vật liệu</v>
          </cell>
          <cell r="G2455">
            <v>24800</v>
          </cell>
        </row>
        <row r="2456">
          <cell r="B2456">
            <v>4</v>
          </cell>
          <cell r="C2456" t="str">
            <v>Giấy ráp</v>
          </cell>
          <cell r="D2456" t="str">
            <v>tờ</v>
          </cell>
          <cell r="E2456">
            <v>0.5</v>
          </cell>
          <cell r="F2456">
            <v>10000</v>
          </cell>
          <cell r="G2456">
            <v>5000</v>
          </cell>
        </row>
        <row r="2457">
          <cell r="B2457">
            <v>11</v>
          </cell>
          <cell r="C2457" t="str">
            <v>Vazơlin</v>
          </cell>
          <cell r="D2457" t="str">
            <v>kg</v>
          </cell>
          <cell r="E2457">
            <v>0.6</v>
          </cell>
          <cell r="F2457">
            <v>24000</v>
          </cell>
          <cell r="G2457">
            <v>14400</v>
          </cell>
        </row>
        <row r="2458">
          <cell r="B2458">
            <v>8</v>
          </cell>
          <cell r="C2458" t="str">
            <v>Mỡ YOC</v>
          </cell>
          <cell r="D2458" t="str">
            <v>kg</v>
          </cell>
          <cell r="E2458">
            <v>0.1</v>
          </cell>
          <cell r="F2458">
            <v>35000</v>
          </cell>
          <cell r="G2458">
            <v>3500</v>
          </cell>
        </row>
        <row r="2459">
          <cell r="B2459">
            <v>9</v>
          </cell>
          <cell r="C2459" t="str">
            <v>Giẻ lau</v>
          </cell>
          <cell r="D2459" t="str">
            <v>kg</v>
          </cell>
          <cell r="E2459">
            <v>0.2</v>
          </cell>
          <cell r="F2459">
            <v>9500</v>
          </cell>
          <cell r="G2459">
            <v>1900</v>
          </cell>
        </row>
        <row r="2460">
          <cell r="C2460" t="str">
            <v>Nhân công</v>
          </cell>
          <cell r="G2460">
            <v>965756.66999999993</v>
          </cell>
        </row>
        <row r="2461">
          <cell r="B2461" t="str">
            <v>NC1457</v>
          </cell>
          <cell r="C2461" t="str">
            <v>Ngày công bậc 4,5/7</v>
          </cell>
          <cell r="D2461" t="str">
            <v>công</v>
          </cell>
          <cell r="E2461">
            <v>4.5599999999999996</v>
          </cell>
          <cell r="F2461">
            <v>211788.74342105264</v>
          </cell>
          <cell r="G2461">
            <v>965756.66999999993</v>
          </cell>
        </row>
        <row r="2462">
          <cell r="A2462" t="str">
            <v>T2.3322</v>
          </cell>
          <cell r="C2462" t="str">
            <v>Lắp đặt dao cách ly 3 pha trong nhà &lt;=10KV, tiếp đất 1 đầu</v>
          </cell>
          <cell r="D2462" t="str">
            <v>bộ</v>
          </cell>
          <cell r="H2462">
            <v>24800</v>
          </cell>
          <cell r="I2462">
            <v>1779025.4447368423</v>
          </cell>
        </row>
        <row r="2463">
          <cell r="C2463" t="str">
            <v>Vật liệu</v>
          </cell>
          <cell r="G2463">
            <v>24800</v>
          </cell>
        </row>
        <row r="2464">
          <cell r="B2464">
            <v>4</v>
          </cell>
          <cell r="C2464" t="str">
            <v>Giấy ráp</v>
          </cell>
          <cell r="D2464" t="str">
            <v>tờ</v>
          </cell>
          <cell r="E2464">
            <v>0.5</v>
          </cell>
          <cell r="F2464">
            <v>10000</v>
          </cell>
          <cell r="G2464">
            <v>5000</v>
          </cell>
        </row>
        <row r="2465">
          <cell r="B2465">
            <v>11</v>
          </cell>
          <cell r="C2465" t="str">
            <v>Vazơlin</v>
          </cell>
          <cell r="D2465" t="str">
            <v>kg</v>
          </cell>
          <cell r="E2465">
            <v>0.6</v>
          </cell>
          <cell r="F2465">
            <v>24000</v>
          </cell>
          <cell r="G2465">
            <v>14400</v>
          </cell>
        </row>
        <row r="2466">
          <cell r="B2466">
            <v>8</v>
          </cell>
          <cell r="C2466" t="str">
            <v>Mỡ YOC</v>
          </cell>
          <cell r="D2466" t="str">
            <v>kg</v>
          </cell>
          <cell r="E2466">
            <v>0.1</v>
          </cell>
          <cell r="F2466">
            <v>35000</v>
          </cell>
          <cell r="G2466">
            <v>3500</v>
          </cell>
        </row>
        <row r="2467">
          <cell r="B2467">
            <v>9</v>
          </cell>
          <cell r="C2467" t="str">
            <v>Giẻ lau</v>
          </cell>
          <cell r="D2467" t="str">
            <v>kg</v>
          </cell>
          <cell r="E2467">
            <v>0.2</v>
          </cell>
          <cell r="F2467">
            <v>9500</v>
          </cell>
          <cell r="G2467">
            <v>1900</v>
          </cell>
        </row>
        <row r="2468">
          <cell r="C2468" t="str">
            <v>Nhân công</v>
          </cell>
          <cell r="G2468">
            <v>1779025.4447368423</v>
          </cell>
        </row>
        <row r="2469">
          <cell r="B2469" t="str">
            <v>NC1457</v>
          </cell>
          <cell r="C2469" t="str">
            <v>Ngày công bậc 4,5/7</v>
          </cell>
          <cell r="D2469" t="str">
            <v>công</v>
          </cell>
          <cell r="E2469">
            <v>8.4</v>
          </cell>
          <cell r="F2469">
            <v>211788.74342105264</v>
          </cell>
          <cell r="G2469">
            <v>1779025.4447368423</v>
          </cell>
        </row>
        <row r="2470">
          <cell r="A2470" t="str">
            <v>T2.3332</v>
          </cell>
          <cell r="C2470" t="str">
            <v>Lắp đặt dao cách ly 3 pha trong nhà &lt;=10KV, tiếp đất 2 đầu</v>
          </cell>
          <cell r="D2470" t="str">
            <v>bộ</v>
          </cell>
          <cell r="H2470">
            <v>24800</v>
          </cell>
          <cell r="I2470">
            <v>2287318.4289473686</v>
          </cell>
        </row>
        <row r="2471">
          <cell r="C2471" t="str">
            <v>Vật liệu</v>
          </cell>
          <cell r="G2471">
            <v>24800</v>
          </cell>
        </row>
        <row r="2472">
          <cell r="B2472">
            <v>4</v>
          </cell>
          <cell r="C2472" t="str">
            <v>Giấy ráp</v>
          </cell>
          <cell r="D2472" t="str">
            <v>tờ</v>
          </cell>
          <cell r="E2472">
            <v>0.5</v>
          </cell>
          <cell r="F2472">
            <v>10000</v>
          </cell>
          <cell r="G2472">
            <v>5000</v>
          </cell>
        </row>
        <row r="2473">
          <cell r="B2473">
            <v>11</v>
          </cell>
          <cell r="C2473" t="str">
            <v>Vazơlin</v>
          </cell>
          <cell r="D2473" t="str">
            <v>kg</v>
          </cell>
          <cell r="E2473">
            <v>0.6</v>
          </cell>
          <cell r="F2473">
            <v>24000</v>
          </cell>
          <cell r="G2473">
            <v>14400</v>
          </cell>
        </row>
        <row r="2474">
          <cell r="B2474">
            <v>8</v>
          </cell>
          <cell r="C2474" t="str">
            <v>Mỡ YOC</v>
          </cell>
          <cell r="D2474" t="str">
            <v>kg</v>
          </cell>
          <cell r="E2474">
            <v>0.1</v>
          </cell>
          <cell r="F2474">
            <v>35000</v>
          </cell>
          <cell r="G2474">
            <v>3500</v>
          </cell>
        </row>
        <row r="2475">
          <cell r="B2475">
            <v>9</v>
          </cell>
          <cell r="C2475" t="str">
            <v>Giẻ lau</v>
          </cell>
          <cell r="D2475" t="str">
            <v>kg</v>
          </cell>
          <cell r="E2475">
            <v>0.2</v>
          </cell>
          <cell r="F2475">
            <v>9500</v>
          </cell>
          <cell r="G2475">
            <v>1900</v>
          </cell>
        </row>
        <row r="2476">
          <cell r="C2476" t="str">
            <v>Nhân công</v>
          </cell>
          <cell r="G2476">
            <v>2287318.4289473686</v>
          </cell>
        </row>
        <row r="2477">
          <cell r="B2477" t="str">
            <v>NC1457</v>
          </cell>
          <cell r="C2477" t="str">
            <v>Ngày công bậc 4,5/7</v>
          </cell>
          <cell r="D2477" t="str">
            <v>công</v>
          </cell>
          <cell r="E2477">
            <v>10.8</v>
          </cell>
          <cell r="F2477">
            <v>211788.74342105264</v>
          </cell>
          <cell r="G2477">
            <v>2287318.4289473686</v>
          </cell>
        </row>
        <row r="2478">
          <cell r="A2478" t="str">
            <v>T2.3401</v>
          </cell>
          <cell r="C2478" t="str">
            <v>Lắp đặt cầu dao hạ thế  &lt;=100A</v>
          </cell>
          <cell r="D2478" t="str">
            <v>bộ</v>
          </cell>
          <cell r="H2478">
            <v>800</v>
          </cell>
          <cell r="I2478">
            <v>97340.230263157893</v>
          </cell>
        </row>
        <row r="2479">
          <cell r="C2479" t="str">
            <v>Vật liệu</v>
          </cell>
          <cell r="G2479">
            <v>800</v>
          </cell>
        </row>
        <row r="2480">
          <cell r="B2480">
            <v>25</v>
          </cell>
          <cell r="C2480" t="str">
            <v>Băng nilông các loại</v>
          </cell>
          <cell r="D2480" t="str">
            <v>cuộn</v>
          </cell>
          <cell r="E2480">
            <v>0.1</v>
          </cell>
          <cell r="F2480">
            <v>8000</v>
          </cell>
          <cell r="G2480">
            <v>800</v>
          </cell>
        </row>
        <row r="2481">
          <cell r="C2481" t="str">
            <v>Nhân công</v>
          </cell>
          <cell r="G2481">
            <v>97340.230263157893</v>
          </cell>
        </row>
        <row r="2482">
          <cell r="B2482" t="str">
            <v>NC1407</v>
          </cell>
          <cell r="C2482" t="str">
            <v>Ngày công bậc 4,0/7</v>
          </cell>
          <cell r="D2482" t="str">
            <v>công</v>
          </cell>
          <cell r="E2482">
            <v>0.5</v>
          </cell>
          <cell r="F2482">
            <v>194680.46052631579</v>
          </cell>
          <cell r="G2482">
            <v>97340.230263157893</v>
          </cell>
        </row>
        <row r="2483">
          <cell r="A2483" t="str">
            <v>T2.3402</v>
          </cell>
          <cell r="C2483" t="str">
            <v>Lắp đặt cầu dao hạ thế  &lt;=200A</v>
          </cell>
          <cell r="D2483" t="str">
            <v>bộ</v>
          </cell>
          <cell r="H2483">
            <v>800</v>
          </cell>
          <cell r="I2483">
            <v>136276.32236842104</v>
          </cell>
        </row>
        <row r="2484">
          <cell r="C2484" t="str">
            <v>Vật liệu</v>
          </cell>
          <cell r="G2484">
            <v>800</v>
          </cell>
        </row>
        <row r="2485">
          <cell r="B2485">
            <v>25</v>
          </cell>
          <cell r="C2485" t="str">
            <v>Băng nilông các loại</v>
          </cell>
          <cell r="D2485" t="str">
            <v>cuộn</v>
          </cell>
          <cell r="E2485">
            <v>0.1</v>
          </cell>
          <cell r="F2485">
            <v>8000</v>
          </cell>
          <cell r="G2485">
            <v>800</v>
          </cell>
        </row>
        <row r="2486">
          <cell r="C2486" t="str">
            <v>Nhân công</v>
          </cell>
          <cell r="G2486">
            <v>136276.32236842104</v>
          </cell>
        </row>
        <row r="2487">
          <cell r="B2487" t="str">
            <v>NC1407</v>
          </cell>
          <cell r="C2487" t="str">
            <v>Ngày công bậc 4,0/7</v>
          </cell>
          <cell r="D2487" t="str">
            <v>công</v>
          </cell>
          <cell r="E2487">
            <v>0.7</v>
          </cell>
          <cell r="F2487">
            <v>194680.46052631579</v>
          </cell>
          <cell r="G2487">
            <v>136276.32236842104</v>
          </cell>
        </row>
        <row r="2488">
          <cell r="A2488" t="str">
            <v>T2.3403</v>
          </cell>
          <cell r="C2488" t="str">
            <v>Lắp đặt cầu dao hạ thế  &lt;=400A</v>
          </cell>
          <cell r="D2488" t="str">
            <v>bộ</v>
          </cell>
          <cell r="H2488">
            <v>1600</v>
          </cell>
          <cell r="I2488">
            <v>194680.46052631579</v>
          </cell>
        </row>
        <row r="2489">
          <cell r="C2489" t="str">
            <v>Vật liệu</v>
          </cell>
          <cell r="G2489">
            <v>1600</v>
          </cell>
        </row>
        <row r="2490">
          <cell r="B2490">
            <v>25</v>
          </cell>
          <cell r="C2490" t="str">
            <v>Băng nilông các loại</v>
          </cell>
          <cell r="D2490" t="str">
            <v>cuộn</v>
          </cell>
          <cell r="E2490">
            <v>0.2</v>
          </cell>
          <cell r="F2490">
            <v>8000</v>
          </cell>
          <cell r="G2490">
            <v>1600</v>
          </cell>
        </row>
        <row r="2491">
          <cell r="C2491" t="str">
            <v>Nhân công</v>
          </cell>
          <cell r="G2491">
            <v>194680.46052631579</v>
          </cell>
        </row>
        <row r="2492">
          <cell r="B2492" t="str">
            <v>NC1407</v>
          </cell>
          <cell r="C2492" t="str">
            <v>Ngày công bậc 4,0/7</v>
          </cell>
          <cell r="D2492" t="str">
            <v>công</v>
          </cell>
          <cell r="E2492">
            <v>1</v>
          </cell>
          <cell r="F2492">
            <v>194680.46052631579</v>
          </cell>
          <cell r="G2492">
            <v>194680.46052631579</v>
          </cell>
        </row>
        <row r="2493">
          <cell r="A2493" t="str">
            <v>T2.3404</v>
          </cell>
          <cell r="C2493" t="str">
            <v>Lắp đặt cầu dao hạ thế  &lt;=600A</v>
          </cell>
          <cell r="D2493" t="str">
            <v>bộ</v>
          </cell>
          <cell r="H2493">
            <v>1600</v>
          </cell>
          <cell r="I2493">
            <v>233616.55263157893</v>
          </cell>
        </row>
        <row r="2494">
          <cell r="C2494" t="str">
            <v>Vật liệu</v>
          </cell>
          <cell r="G2494">
            <v>1600</v>
          </cell>
        </row>
        <row r="2495">
          <cell r="B2495">
            <v>25</v>
          </cell>
          <cell r="C2495" t="str">
            <v>Băng nilông các loại</v>
          </cell>
          <cell r="D2495" t="str">
            <v>cuộn</v>
          </cell>
          <cell r="E2495">
            <v>0.2</v>
          </cell>
          <cell r="F2495">
            <v>8000</v>
          </cell>
          <cell r="G2495">
            <v>1600</v>
          </cell>
        </row>
        <row r="2496">
          <cell r="C2496" t="str">
            <v>Nhân công</v>
          </cell>
          <cell r="G2496">
            <v>233616.55263157893</v>
          </cell>
        </row>
        <row r="2497">
          <cell r="B2497" t="str">
            <v>NC1407</v>
          </cell>
          <cell r="C2497" t="str">
            <v>Ngày công bậc 4,0/7</v>
          </cell>
          <cell r="D2497" t="str">
            <v>công</v>
          </cell>
          <cell r="E2497">
            <v>1.2</v>
          </cell>
          <cell r="F2497">
            <v>194680.46052631579</v>
          </cell>
          <cell r="G2497">
            <v>233616.55263157893</v>
          </cell>
        </row>
        <row r="2498">
          <cell r="A2498" t="str">
            <v>T2.3405</v>
          </cell>
          <cell r="C2498" t="str">
            <v>Lắp đặt cầu dao hạ thế  &gt;600A</v>
          </cell>
          <cell r="D2498" t="str">
            <v>bộ</v>
          </cell>
          <cell r="H2498">
            <v>1600</v>
          </cell>
          <cell r="I2498">
            <v>272552.64473684208</v>
          </cell>
        </row>
        <row r="2499">
          <cell r="C2499" t="str">
            <v>Vật liệu</v>
          </cell>
          <cell r="G2499">
            <v>1600</v>
          </cell>
        </row>
        <row r="2500">
          <cell r="B2500">
            <v>25</v>
          </cell>
          <cell r="C2500" t="str">
            <v>Băng nilông các loại</v>
          </cell>
          <cell r="D2500" t="str">
            <v>cuộn</v>
          </cell>
          <cell r="E2500">
            <v>0.2</v>
          </cell>
          <cell r="F2500">
            <v>8000</v>
          </cell>
          <cell r="G2500">
            <v>1600</v>
          </cell>
        </row>
        <row r="2501">
          <cell r="C2501" t="str">
            <v>Nhân công</v>
          </cell>
          <cell r="G2501">
            <v>272552.64473684208</v>
          </cell>
        </row>
        <row r="2502">
          <cell r="B2502" t="str">
            <v>NC1407</v>
          </cell>
          <cell r="C2502" t="str">
            <v>Ngày công bậc 4,0/7</v>
          </cell>
          <cell r="D2502" t="str">
            <v>công</v>
          </cell>
          <cell r="E2502">
            <v>1.4</v>
          </cell>
          <cell r="F2502">
            <v>194680.46052631579</v>
          </cell>
          <cell r="G2502">
            <v>272552.64473684208</v>
          </cell>
        </row>
        <row r="2503">
          <cell r="A2503" t="str">
            <v>T2.3501</v>
          </cell>
          <cell r="C2503" t="str">
            <v>Lắp đặt cầu chì loại 35(22)KV</v>
          </cell>
          <cell r="D2503" t="str">
            <v>bộ 3 pha</v>
          </cell>
          <cell r="H2503">
            <v>37800</v>
          </cell>
          <cell r="I2503">
            <v>467233.10526315786</v>
          </cell>
        </row>
        <row r="2504">
          <cell r="C2504" t="str">
            <v>Vật liệu</v>
          </cell>
          <cell r="G2504">
            <v>37800</v>
          </cell>
        </row>
        <row r="2505">
          <cell r="B2505">
            <v>136</v>
          </cell>
          <cell r="C2505" t="str">
            <v>Bulông fi 10 L = 56 - 110</v>
          </cell>
          <cell r="D2505" t="str">
            <v>cái</v>
          </cell>
          <cell r="E2505">
            <v>4</v>
          </cell>
          <cell r="F2505">
            <v>9000</v>
          </cell>
          <cell r="G2505">
            <v>36000</v>
          </cell>
        </row>
        <row r="2506">
          <cell r="B2506">
            <v>5</v>
          </cell>
          <cell r="C2506" t="str">
            <v>Vải nhựa</v>
          </cell>
          <cell r="D2506" t="str">
            <v>m2</v>
          </cell>
          <cell r="E2506">
            <v>0.1</v>
          </cell>
          <cell r="F2506">
            <v>10000</v>
          </cell>
          <cell r="G2506">
            <v>1000</v>
          </cell>
        </row>
        <row r="2507">
          <cell r="B2507">
            <v>25</v>
          </cell>
          <cell r="C2507" t="str">
            <v>Băng nilông các loại</v>
          </cell>
          <cell r="D2507" t="str">
            <v>cuộn</v>
          </cell>
          <cell r="E2507">
            <v>0.1</v>
          </cell>
          <cell r="F2507">
            <v>8000</v>
          </cell>
          <cell r="G2507">
            <v>800</v>
          </cell>
        </row>
        <row r="2508">
          <cell r="C2508" t="str">
            <v>Xăng</v>
          </cell>
          <cell r="D2508" t="str">
            <v>kg</v>
          </cell>
          <cell r="E2508">
            <v>3</v>
          </cell>
        </row>
        <row r="2509">
          <cell r="C2509" t="str">
            <v>Nhân công</v>
          </cell>
          <cell r="G2509">
            <v>467233.10526315786</v>
          </cell>
        </row>
        <row r="2510">
          <cell r="B2510" t="str">
            <v>NC1407</v>
          </cell>
          <cell r="C2510" t="str">
            <v>Ngày công bậc 4,0/7</v>
          </cell>
          <cell r="D2510" t="str">
            <v>công</v>
          </cell>
          <cell r="E2510">
            <v>2.4</v>
          </cell>
          <cell r="F2510">
            <v>194680.46052631579</v>
          </cell>
          <cell r="G2510">
            <v>467233.10526315786</v>
          </cell>
        </row>
        <row r="2511">
          <cell r="A2511" t="str">
            <v>T2.3502</v>
          </cell>
          <cell r="C2511" t="str">
            <v>Lắp đặt cầu chì loại 6-10(15)KV</v>
          </cell>
          <cell r="D2511" t="str">
            <v>bộ 3 pha</v>
          </cell>
          <cell r="H2511">
            <v>37800</v>
          </cell>
          <cell r="I2511">
            <v>350424.82894736843</v>
          </cell>
        </row>
        <row r="2512">
          <cell r="C2512" t="str">
            <v>Vật liệu</v>
          </cell>
          <cell r="G2512">
            <v>37800</v>
          </cell>
        </row>
        <row r="2513">
          <cell r="B2513">
            <v>136</v>
          </cell>
          <cell r="C2513" t="str">
            <v>Bulông fi 10 L = 56 - 110</v>
          </cell>
          <cell r="D2513" t="str">
            <v>cái</v>
          </cell>
          <cell r="E2513">
            <v>4</v>
          </cell>
          <cell r="F2513">
            <v>9000</v>
          </cell>
          <cell r="G2513">
            <v>36000</v>
          </cell>
        </row>
        <row r="2514">
          <cell r="B2514">
            <v>5</v>
          </cell>
          <cell r="C2514" t="str">
            <v>Vải nhựa</v>
          </cell>
          <cell r="D2514" t="str">
            <v>m2</v>
          </cell>
          <cell r="E2514">
            <v>0.1</v>
          </cell>
          <cell r="F2514">
            <v>10000</v>
          </cell>
          <cell r="G2514">
            <v>1000</v>
          </cell>
        </row>
        <row r="2515">
          <cell r="B2515">
            <v>25</v>
          </cell>
          <cell r="C2515" t="str">
            <v>Băng nilông các loại</v>
          </cell>
          <cell r="D2515" t="str">
            <v>cuộn</v>
          </cell>
          <cell r="E2515">
            <v>0.1</v>
          </cell>
          <cell r="F2515">
            <v>8000</v>
          </cell>
          <cell r="G2515">
            <v>800</v>
          </cell>
        </row>
        <row r="2516">
          <cell r="C2516" t="str">
            <v>Xăng</v>
          </cell>
          <cell r="D2516" t="str">
            <v>kg</v>
          </cell>
          <cell r="E2516">
            <v>3</v>
          </cell>
        </row>
        <row r="2517">
          <cell r="C2517" t="str">
            <v>Nhân công</v>
          </cell>
          <cell r="G2517">
            <v>350424.82894736843</v>
          </cell>
        </row>
        <row r="2518">
          <cell r="B2518" t="str">
            <v>NC1407</v>
          </cell>
          <cell r="C2518" t="str">
            <v>Ngày công bậc 4,0/7</v>
          </cell>
          <cell r="D2518" t="str">
            <v>công</v>
          </cell>
          <cell r="E2518">
            <v>1.8</v>
          </cell>
          <cell r="F2518">
            <v>194680.46052631579</v>
          </cell>
          <cell r="G2518">
            <v>350424.82894736843</v>
          </cell>
        </row>
        <row r="2519">
          <cell r="A2519" t="str">
            <v>T2.3503</v>
          </cell>
          <cell r="C2519" t="str">
            <v>Lắp đặt  điện trở phụ</v>
          </cell>
          <cell r="D2519" t="str">
            <v>bộ 3 pha</v>
          </cell>
          <cell r="H2519">
            <v>37800</v>
          </cell>
          <cell r="I2519">
            <v>700849.65789473685</v>
          </cell>
        </row>
        <row r="2520">
          <cell r="C2520" t="str">
            <v>Vật liệu</v>
          </cell>
          <cell r="G2520">
            <v>37800</v>
          </cell>
        </row>
        <row r="2521">
          <cell r="B2521">
            <v>136</v>
          </cell>
          <cell r="C2521" t="str">
            <v>Bulông fi 10 L = 56 - 110</v>
          </cell>
          <cell r="D2521" t="str">
            <v>cái</v>
          </cell>
          <cell r="E2521">
            <v>4</v>
          </cell>
          <cell r="F2521">
            <v>9000</v>
          </cell>
          <cell r="G2521">
            <v>36000</v>
          </cell>
        </row>
        <row r="2522">
          <cell r="B2522">
            <v>5</v>
          </cell>
          <cell r="C2522" t="str">
            <v>Vải nhựa</v>
          </cell>
          <cell r="D2522" t="str">
            <v>m2</v>
          </cell>
          <cell r="E2522">
            <v>0.1</v>
          </cell>
          <cell r="F2522">
            <v>10000</v>
          </cell>
          <cell r="G2522">
            <v>1000</v>
          </cell>
        </row>
        <row r="2523">
          <cell r="B2523">
            <v>25</v>
          </cell>
          <cell r="C2523" t="str">
            <v>Băng nilông các loại</v>
          </cell>
          <cell r="D2523" t="str">
            <v>cuộn</v>
          </cell>
          <cell r="E2523">
            <v>0.1</v>
          </cell>
          <cell r="F2523">
            <v>8000</v>
          </cell>
          <cell r="G2523">
            <v>800</v>
          </cell>
        </row>
        <row r="2524">
          <cell r="C2524" t="str">
            <v>Xăng</v>
          </cell>
          <cell r="D2524" t="str">
            <v>kg</v>
          </cell>
          <cell r="E2524">
            <v>0</v>
          </cell>
          <cell r="G2524">
            <v>0</v>
          </cell>
        </row>
        <row r="2525">
          <cell r="C2525" t="str">
            <v>Nhân công</v>
          </cell>
          <cell r="G2525">
            <v>700849.65789473685</v>
          </cell>
        </row>
        <row r="2526">
          <cell r="B2526" t="str">
            <v>NC1407</v>
          </cell>
          <cell r="C2526" t="str">
            <v>Ngày công bậc 4,0/7</v>
          </cell>
          <cell r="D2526" t="str">
            <v>công</v>
          </cell>
          <cell r="E2526">
            <v>3.6</v>
          </cell>
          <cell r="F2526">
            <v>194680.46052631579</v>
          </cell>
          <cell r="G2526">
            <v>700849.65789473685</v>
          </cell>
        </row>
        <row r="2527">
          <cell r="A2527" t="str">
            <v>T2.3504</v>
          </cell>
          <cell r="C2527" t="str">
            <v>Lắp đặt cầu chì tự rơi loại 6-10(15)KV</v>
          </cell>
          <cell r="D2527" t="str">
            <v>bộ 3 pha</v>
          </cell>
          <cell r="H2527">
            <v>66000</v>
          </cell>
          <cell r="I2527">
            <v>350424.82894736843</v>
          </cell>
        </row>
        <row r="2528">
          <cell r="C2528" t="str">
            <v>Vật liệu</v>
          </cell>
          <cell r="G2528">
            <v>66000</v>
          </cell>
        </row>
        <row r="2529">
          <cell r="B2529">
            <v>136</v>
          </cell>
          <cell r="C2529" t="str">
            <v>Bulông fi 10 L = 56 - 110</v>
          </cell>
          <cell r="D2529" t="str">
            <v>cái</v>
          </cell>
          <cell r="E2529">
            <v>4</v>
          </cell>
          <cell r="F2529">
            <v>9000</v>
          </cell>
          <cell r="G2529">
            <v>36000</v>
          </cell>
        </row>
        <row r="2530">
          <cell r="B2530">
            <v>5</v>
          </cell>
          <cell r="C2530" t="str">
            <v>Vải nhựa</v>
          </cell>
          <cell r="D2530" t="str">
            <v>m2</v>
          </cell>
          <cell r="E2530">
            <v>0.1</v>
          </cell>
          <cell r="F2530">
            <v>10000</v>
          </cell>
          <cell r="G2530">
            <v>1000</v>
          </cell>
        </row>
        <row r="2531">
          <cell r="B2531">
            <v>25</v>
          </cell>
          <cell r="C2531" t="str">
            <v>Băng nilông các loại</v>
          </cell>
          <cell r="D2531" t="str">
            <v>cuộn</v>
          </cell>
          <cell r="E2531">
            <v>0.1</v>
          </cell>
          <cell r="F2531">
            <v>8000</v>
          </cell>
          <cell r="G2531">
            <v>800</v>
          </cell>
        </row>
        <row r="2532">
          <cell r="B2532">
            <v>14</v>
          </cell>
          <cell r="C2532" t="str">
            <v>Sơn màu ghi</v>
          </cell>
          <cell r="D2532" t="str">
            <v>kg</v>
          </cell>
          <cell r="E2532">
            <v>0.6</v>
          </cell>
          <cell r="F2532">
            <v>47000</v>
          </cell>
          <cell r="G2532">
            <v>28200</v>
          </cell>
        </row>
        <row r="2533">
          <cell r="C2533" t="str">
            <v>Xăng</v>
          </cell>
          <cell r="D2533" t="str">
            <v>kg</v>
          </cell>
          <cell r="E2533" t="str">
            <v>-</v>
          </cell>
        </row>
        <row r="2534">
          <cell r="C2534" t="str">
            <v>Nhân công</v>
          </cell>
          <cell r="G2534">
            <v>350424.82894736843</v>
          </cell>
        </row>
        <row r="2535">
          <cell r="B2535" t="str">
            <v>NC1407</v>
          </cell>
          <cell r="C2535" t="str">
            <v>Ngày công bậc 4,0/7</v>
          </cell>
          <cell r="D2535" t="str">
            <v>công</v>
          </cell>
          <cell r="E2535">
            <v>1.8</v>
          </cell>
          <cell r="F2535">
            <v>194680.46052631579</v>
          </cell>
          <cell r="G2535">
            <v>350424.82894736843</v>
          </cell>
        </row>
        <row r="2536">
          <cell r="A2536" t="str">
            <v>T2.3505</v>
          </cell>
          <cell r="C2536" t="str">
            <v>Lắp đặt cầu chì tự rơi loại 35(22)KV</v>
          </cell>
          <cell r="D2536" t="str">
            <v>bộ 3 pha</v>
          </cell>
          <cell r="H2536">
            <v>1800</v>
          </cell>
          <cell r="I2536">
            <v>467233.10526315786</v>
          </cell>
        </row>
        <row r="2537">
          <cell r="C2537" t="str">
            <v>Vật liệu</v>
          </cell>
          <cell r="G2537">
            <v>1800</v>
          </cell>
        </row>
        <row r="2538">
          <cell r="B2538">
            <v>136</v>
          </cell>
          <cell r="C2538" t="str">
            <v>Bulông fi 10 L = 56 - 110</v>
          </cell>
          <cell r="D2538" t="str">
            <v>cái</v>
          </cell>
          <cell r="E2538">
            <v>0</v>
          </cell>
          <cell r="F2538">
            <v>9000</v>
          </cell>
          <cell r="G2538">
            <v>0</v>
          </cell>
        </row>
        <row r="2539">
          <cell r="B2539">
            <v>5</v>
          </cell>
          <cell r="C2539" t="str">
            <v>Vải nhựa</v>
          </cell>
          <cell r="D2539" t="str">
            <v>m2</v>
          </cell>
          <cell r="E2539">
            <v>0.1</v>
          </cell>
          <cell r="F2539">
            <v>10000</v>
          </cell>
          <cell r="G2539">
            <v>1000</v>
          </cell>
        </row>
        <row r="2540">
          <cell r="B2540">
            <v>25</v>
          </cell>
          <cell r="C2540" t="str">
            <v>Băng nilông các loại</v>
          </cell>
          <cell r="D2540" t="str">
            <v>cuộn</v>
          </cell>
          <cell r="E2540">
            <v>0.1</v>
          </cell>
          <cell r="F2540">
            <v>8000</v>
          </cell>
          <cell r="G2540">
            <v>800</v>
          </cell>
        </row>
        <row r="2541">
          <cell r="B2541">
            <v>14</v>
          </cell>
          <cell r="C2541" t="str">
            <v>Sơn màu ghi</v>
          </cell>
          <cell r="D2541" t="str">
            <v>kg</v>
          </cell>
          <cell r="E2541">
            <v>0</v>
          </cell>
          <cell r="F2541">
            <v>47000</v>
          </cell>
          <cell r="G2541">
            <v>0</v>
          </cell>
        </row>
        <row r="2542">
          <cell r="C2542" t="str">
            <v>Xăng</v>
          </cell>
          <cell r="D2542" t="str">
            <v>kg</v>
          </cell>
          <cell r="E2542" t="str">
            <v>-</v>
          </cell>
        </row>
        <row r="2543">
          <cell r="C2543" t="str">
            <v>Nhân công</v>
          </cell>
          <cell r="G2543">
            <v>467233.10526315786</v>
          </cell>
        </row>
        <row r="2544">
          <cell r="B2544" t="str">
            <v>NC1407</v>
          </cell>
          <cell r="C2544" t="str">
            <v>Ngày công bậc 4,0/7</v>
          </cell>
          <cell r="D2544" t="str">
            <v>công</v>
          </cell>
          <cell r="E2544">
            <v>2.4</v>
          </cell>
          <cell r="F2544">
            <v>194680.46052631579</v>
          </cell>
          <cell r="G2544">
            <v>467233.10526315786</v>
          </cell>
        </row>
        <row r="2545">
          <cell r="A2545" t="str">
            <v>T2.4101</v>
          </cell>
          <cell r="C2545" t="str">
            <v>Lắp đặt điện kháng bê tông loại 1500kg</v>
          </cell>
          <cell r="D2545" t="str">
            <v>bộ 3 pha</v>
          </cell>
          <cell r="H2545">
            <v>47604.1</v>
          </cell>
          <cell r="I2545">
            <v>1294625.0625</v>
          </cell>
          <cell r="J2545">
            <v>387858.02399999998</v>
          </cell>
        </row>
        <row r="2546">
          <cell r="C2546" t="str">
            <v>Vật liệu</v>
          </cell>
          <cell r="G2546">
            <v>47604.1</v>
          </cell>
        </row>
        <row r="2547">
          <cell r="B2547">
            <v>9</v>
          </cell>
          <cell r="C2547" t="str">
            <v>Giẻ lau</v>
          </cell>
          <cell r="D2547" t="str">
            <v>kg</v>
          </cell>
          <cell r="E2547">
            <v>0.7</v>
          </cell>
          <cell r="F2547">
            <v>9500</v>
          </cell>
          <cell r="G2547">
            <v>6650</v>
          </cell>
        </row>
        <row r="2548">
          <cell r="B2548">
            <v>12</v>
          </cell>
          <cell r="C2548" t="str">
            <v>Ximăng PC30</v>
          </cell>
          <cell r="D2548" t="str">
            <v>kg</v>
          </cell>
          <cell r="E2548">
            <v>16</v>
          </cell>
          <cell r="F2548">
            <v>1240</v>
          </cell>
          <cell r="G2548">
            <v>19840</v>
          </cell>
        </row>
        <row r="2549">
          <cell r="B2549">
            <v>13</v>
          </cell>
          <cell r="C2549" t="str">
            <v>Cát vàng</v>
          </cell>
          <cell r="D2549" t="str">
            <v>m3</v>
          </cell>
          <cell r="E2549">
            <v>0.02</v>
          </cell>
          <cell r="F2549">
            <v>410000</v>
          </cell>
          <cell r="G2549">
            <v>8200</v>
          </cell>
        </row>
        <row r="2550">
          <cell r="B2550">
            <v>3</v>
          </cell>
          <cell r="C2550" t="str">
            <v>Xăng</v>
          </cell>
          <cell r="D2550" t="str">
            <v>kg</v>
          </cell>
          <cell r="E2550">
            <v>0.5</v>
          </cell>
          <cell r="F2550">
            <v>18382</v>
          </cell>
          <cell r="G2550">
            <v>9191</v>
          </cell>
        </row>
        <row r="2551">
          <cell r="B2551">
            <v>117</v>
          </cell>
          <cell r="C2551" t="str">
            <v>Vật liệu khác</v>
          </cell>
          <cell r="D2551" t="str">
            <v>%</v>
          </cell>
          <cell r="E2551">
            <v>10</v>
          </cell>
          <cell r="G2551">
            <v>3723.1000000000004</v>
          </cell>
        </row>
        <row r="2552">
          <cell r="C2552" t="str">
            <v>Nhân công</v>
          </cell>
          <cell r="G2552">
            <v>1294625.0625</v>
          </cell>
        </row>
        <row r="2553">
          <cell r="B2553" t="str">
            <v>NC1407</v>
          </cell>
          <cell r="C2553" t="str">
            <v>Ngày công bậc 4,0/7</v>
          </cell>
          <cell r="D2553" t="str">
            <v>công</v>
          </cell>
          <cell r="E2553">
            <v>6.65</v>
          </cell>
          <cell r="F2553">
            <v>194680.46052631579</v>
          </cell>
          <cell r="G2553">
            <v>1294625.0625</v>
          </cell>
        </row>
        <row r="2554">
          <cell r="C2554" t="str">
            <v>Máy thi công</v>
          </cell>
          <cell r="G2554">
            <v>387858.02399999998</v>
          </cell>
        </row>
        <row r="2555">
          <cell r="B2555">
            <v>8013</v>
          </cell>
          <cell r="C2555" t="str">
            <v>Cần trục bánh hơi 10 tấn</v>
          </cell>
          <cell r="D2555" t="str">
            <v>ca</v>
          </cell>
          <cell r="E2555">
            <v>0.2</v>
          </cell>
          <cell r="F2555">
            <v>1939290.1199999999</v>
          </cell>
          <cell r="G2555">
            <v>387858.02399999998</v>
          </cell>
        </row>
        <row r="2556">
          <cell r="A2556" t="str">
            <v>T2.4102</v>
          </cell>
          <cell r="C2556" t="str">
            <v>Lắp đặt điện kháng bê tông loại 3000kg</v>
          </cell>
          <cell r="D2556" t="str">
            <v>bộ 3 pha</v>
          </cell>
          <cell r="H2556">
            <v>53000</v>
          </cell>
          <cell r="I2556">
            <v>1534082.0289473683</v>
          </cell>
          <cell r="J2556">
            <v>387858.02399999998</v>
          </cell>
        </row>
        <row r="2557">
          <cell r="C2557" t="str">
            <v>Vật liệu</v>
          </cell>
          <cell r="G2557">
            <v>53000</v>
          </cell>
        </row>
        <row r="2558">
          <cell r="B2558">
            <v>9</v>
          </cell>
          <cell r="C2558" t="str">
            <v>Giẻ lau</v>
          </cell>
          <cell r="D2558" t="str">
            <v>kg</v>
          </cell>
          <cell r="E2558">
            <v>0.8</v>
          </cell>
          <cell r="F2558">
            <v>9500</v>
          </cell>
          <cell r="G2558">
            <v>7600</v>
          </cell>
        </row>
        <row r="2559">
          <cell r="B2559">
            <v>12</v>
          </cell>
          <cell r="C2559" t="str">
            <v>Ximăng PC30</v>
          </cell>
          <cell r="D2559" t="str">
            <v>kg</v>
          </cell>
          <cell r="E2559">
            <v>30</v>
          </cell>
          <cell r="F2559">
            <v>1240</v>
          </cell>
          <cell r="G2559">
            <v>37200</v>
          </cell>
        </row>
        <row r="2560">
          <cell r="B2560">
            <v>13</v>
          </cell>
          <cell r="C2560" t="str">
            <v>Cát vàng</v>
          </cell>
          <cell r="D2560" t="str">
            <v>m3</v>
          </cell>
          <cell r="E2560">
            <v>0.02</v>
          </cell>
          <cell r="F2560">
            <v>410000</v>
          </cell>
          <cell r="G2560">
            <v>8200</v>
          </cell>
        </row>
        <row r="2561">
          <cell r="B2561">
            <v>3</v>
          </cell>
          <cell r="C2561" t="str">
            <v>Xăng</v>
          </cell>
          <cell r="D2561" t="str">
            <v>kg</v>
          </cell>
          <cell r="E2561">
            <v>0.5</v>
          </cell>
          <cell r="F2561">
            <v>18382</v>
          </cell>
        </row>
        <row r="2562">
          <cell r="B2562">
            <v>117</v>
          </cell>
          <cell r="C2562" t="str">
            <v>Vật liệu khác</v>
          </cell>
          <cell r="D2562" t="str">
            <v>%</v>
          </cell>
          <cell r="E2562">
            <v>10</v>
          </cell>
          <cell r="G2562">
            <v>4540</v>
          </cell>
        </row>
        <row r="2563">
          <cell r="C2563" t="str">
            <v>Nhân công</v>
          </cell>
          <cell r="G2563">
            <v>1534082.0289473683</v>
          </cell>
        </row>
        <row r="2564">
          <cell r="B2564" t="str">
            <v>NC1407</v>
          </cell>
          <cell r="C2564" t="str">
            <v>Ngày công bậc 4,0/7</v>
          </cell>
          <cell r="D2564" t="str">
            <v>công</v>
          </cell>
          <cell r="E2564">
            <v>7.88</v>
          </cell>
          <cell r="F2564">
            <v>194680.46052631579</v>
          </cell>
          <cell r="G2564">
            <v>1534082.0289473683</v>
          </cell>
        </row>
        <row r="2565">
          <cell r="C2565" t="str">
            <v>Máy thi công</v>
          </cell>
          <cell r="G2565">
            <v>387858.02399999998</v>
          </cell>
        </row>
        <row r="2566">
          <cell r="B2566">
            <v>8013</v>
          </cell>
          <cell r="C2566" t="str">
            <v>Cần trục bánh hơi 10 tấn</v>
          </cell>
          <cell r="D2566" t="str">
            <v>ca</v>
          </cell>
          <cell r="E2566">
            <v>0.2</v>
          </cell>
          <cell r="F2566">
            <v>1939290.1199999999</v>
          </cell>
          <cell r="G2566">
            <v>387858.02399999998</v>
          </cell>
        </row>
        <row r="2567">
          <cell r="A2567" t="str">
            <v>T2.4103</v>
          </cell>
          <cell r="C2567" t="str">
            <v>Lắp đặt điện kháng bê tông loại 4500kg</v>
          </cell>
          <cell r="D2567" t="str">
            <v>bộ 3 pha</v>
          </cell>
          <cell r="H2567">
            <v>62150</v>
          </cell>
          <cell r="I2567">
            <v>1703454.0296052631</v>
          </cell>
          <cell r="J2567">
            <v>387858.02399999998</v>
          </cell>
        </row>
        <row r="2568">
          <cell r="C2568" t="str">
            <v>Vật liệu</v>
          </cell>
          <cell r="G2568">
            <v>62150</v>
          </cell>
        </row>
        <row r="2569">
          <cell r="B2569">
            <v>9</v>
          </cell>
          <cell r="C2569" t="str">
            <v>Giẻ lau</v>
          </cell>
          <cell r="D2569" t="str">
            <v>kg</v>
          </cell>
          <cell r="E2569">
            <v>0.9</v>
          </cell>
          <cell r="F2569">
            <v>9500</v>
          </cell>
          <cell r="G2569">
            <v>8550</v>
          </cell>
        </row>
        <row r="2570">
          <cell r="B2570">
            <v>12</v>
          </cell>
          <cell r="C2570" t="str">
            <v>Ximăng PC30</v>
          </cell>
          <cell r="D2570" t="str">
            <v>kg</v>
          </cell>
          <cell r="E2570">
            <v>30</v>
          </cell>
          <cell r="F2570">
            <v>1240</v>
          </cell>
          <cell r="G2570">
            <v>37200</v>
          </cell>
        </row>
        <row r="2571">
          <cell r="B2571">
            <v>13</v>
          </cell>
          <cell r="C2571" t="str">
            <v>Cát vàng</v>
          </cell>
          <cell r="D2571" t="str">
            <v>m3</v>
          </cell>
          <cell r="E2571">
            <v>0.04</v>
          </cell>
          <cell r="F2571">
            <v>410000</v>
          </cell>
          <cell r="G2571">
            <v>16400</v>
          </cell>
        </row>
        <row r="2572">
          <cell r="B2572">
            <v>3</v>
          </cell>
          <cell r="C2572" t="str">
            <v>Xăng</v>
          </cell>
          <cell r="D2572" t="str">
            <v>kg</v>
          </cell>
          <cell r="E2572">
            <v>0.5</v>
          </cell>
          <cell r="F2572">
            <v>18382</v>
          </cell>
        </row>
        <row r="2573">
          <cell r="B2573">
            <v>117</v>
          </cell>
          <cell r="C2573" t="str">
            <v>Vật liệu khác</v>
          </cell>
          <cell r="D2573" t="str">
            <v>%</v>
          </cell>
          <cell r="E2573">
            <v>10</v>
          </cell>
          <cell r="G2573">
            <v>5360</v>
          </cell>
        </row>
        <row r="2574">
          <cell r="C2574" t="str">
            <v>Nhân công</v>
          </cell>
          <cell r="G2574">
            <v>1703454.0296052631</v>
          </cell>
        </row>
        <row r="2575">
          <cell r="B2575" t="str">
            <v>NC1407</v>
          </cell>
          <cell r="C2575" t="str">
            <v>Ngày công bậc 4,0/7</v>
          </cell>
          <cell r="D2575" t="str">
            <v>công</v>
          </cell>
          <cell r="E2575">
            <v>8.75</v>
          </cell>
          <cell r="F2575">
            <v>194680.46052631579</v>
          </cell>
          <cell r="G2575">
            <v>1703454.0296052631</v>
          </cell>
        </row>
        <row r="2576">
          <cell r="C2576" t="str">
            <v>Máy thi công</v>
          </cell>
          <cell r="G2576">
            <v>387858.02399999998</v>
          </cell>
        </row>
        <row r="2577">
          <cell r="B2577">
            <v>8013</v>
          </cell>
          <cell r="C2577" t="str">
            <v>Cần trục bánh hơi 10 tấn</v>
          </cell>
          <cell r="D2577" t="str">
            <v>ca</v>
          </cell>
          <cell r="E2577">
            <v>0.2</v>
          </cell>
          <cell r="F2577">
            <v>1939290.1199999999</v>
          </cell>
          <cell r="G2577">
            <v>387858.02399999998</v>
          </cell>
        </row>
        <row r="2578">
          <cell r="A2578" t="str">
            <v>T2.4104</v>
          </cell>
          <cell r="C2578" t="str">
            <v>Lắp đặt điện kháng bê tông loại 7500kg</v>
          </cell>
          <cell r="D2578" t="str">
            <v>bộ 3 pha</v>
          </cell>
          <cell r="H2578">
            <v>94650</v>
          </cell>
          <cell r="I2578">
            <v>2195995.594736842</v>
          </cell>
          <cell r="J2578">
            <v>387858.02399999998</v>
          </cell>
        </row>
        <row r="2579">
          <cell r="C2579" t="str">
            <v>Vật liệu</v>
          </cell>
          <cell r="G2579">
            <v>94650</v>
          </cell>
        </row>
        <row r="2580">
          <cell r="B2580">
            <v>9</v>
          </cell>
          <cell r="C2580" t="str">
            <v>Giẻ lau</v>
          </cell>
          <cell r="D2580" t="str">
            <v>kg</v>
          </cell>
          <cell r="E2580">
            <v>1.5</v>
          </cell>
          <cell r="F2580">
            <v>9500</v>
          </cell>
          <cell r="G2580">
            <v>14250</v>
          </cell>
        </row>
        <row r="2581">
          <cell r="B2581">
            <v>12</v>
          </cell>
          <cell r="C2581" t="str">
            <v>Ximăng PC30</v>
          </cell>
          <cell r="D2581" t="str">
            <v>kg</v>
          </cell>
          <cell r="E2581">
            <v>45</v>
          </cell>
          <cell r="F2581">
            <v>1240</v>
          </cell>
          <cell r="G2581">
            <v>55800</v>
          </cell>
        </row>
        <row r="2582">
          <cell r="B2582">
            <v>13</v>
          </cell>
          <cell r="C2582" t="str">
            <v>Cát vàng</v>
          </cell>
          <cell r="D2582" t="str">
            <v>m3</v>
          </cell>
          <cell r="E2582">
            <v>0.06</v>
          </cell>
          <cell r="F2582">
            <v>410000</v>
          </cell>
          <cell r="G2582">
            <v>24600</v>
          </cell>
        </row>
        <row r="2583">
          <cell r="B2583">
            <v>3</v>
          </cell>
          <cell r="C2583" t="str">
            <v>Xăng</v>
          </cell>
          <cell r="D2583" t="str">
            <v>kg</v>
          </cell>
          <cell r="E2583">
            <v>0.5</v>
          </cell>
          <cell r="F2583">
            <v>18382</v>
          </cell>
        </row>
        <row r="2584">
          <cell r="B2584">
            <v>117</v>
          </cell>
          <cell r="C2584" t="str">
            <v>Vật liệu khác</v>
          </cell>
          <cell r="D2584" t="str">
            <v>%</v>
          </cell>
          <cell r="E2584">
            <v>10</v>
          </cell>
          <cell r="G2584">
            <v>8040</v>
          </cell>
        </row>
        <row r="2585">
          <cell r="C2585" t="str">
            <v>Nhân công</v>
          </cell>
          <cell r="G2585">
            <v>2195995.594736842</v>
          </cell>
        </row>
        <row r="2586">
          <cell r="B2586" t="str">
            <v>NC1407</v>
          </cell>
          <cell r="C2586" t="str">
            <v>Ngày công bậc 4,0/7</v>
          </cell>
          <cell r="D2586" t="str">
            <v>công</v>
          </cell>
          <cell r="E2586">
            <v>11.28</v>
          </cell>
          <cell r="F2586">
            <v>194680.46052631579</v>
          </cell>
          <cell r="G2586">
            <v>2195995.594736842</v>
          </cell>
        </row>
        <row r="2587">
          <cell r="C2587" t="str">
            <v>Máy thi công</v>
          </cell>
          <cell r="G2587">
            <v>387858.02399999998</v>
          </cell>
        </row>
        <row r="2588">
          <cell r="B2588">
            <v>8013</v>
          </cell>
          <cell r="C2588" t="str">
            <v>Cần trục bánh hơi 10 tấn</v>
          </cell>
          <cell r="D2588" t="str">
            <v>ca</v>
          </cell>
          <cell r="E2588">
            <v>0.2</v>
          </cell>
          <cell r="F2588">
            <v>1939290.1199999999</v>
          </cell>
          <cell r="G2588">
            <v>387858.02399999998</v>
          </cell>
        </row>
        <row r="2589">
          <cell r="A2589" t="str">
            <v>T2.4201</v>
          </cell>
          <cell r="C2589" t="str">
            <v>Lắp đặt điện kháng điện dầu 500KV loại 128MVAR</v>
          </cell>
          <cell r="D2589" t="str">
            <v>bộ</v>
          </cell>
          <cell r="H2589">
            <v>1351016.6</v>
          </cell>
          <cell r="I2589">
            <v>90137053.223684207</v>
          </cell>
          <cell r="J2589">
            <v>5042154.3119999999</v>
          </cell>
        </row>
        <row r="2590">
          <cell r="C2590" t="str">
            <v>Vật liệu</v>
          </cell>
          <cell r="G2590">
            <v>1351016.6</v>
          </cell>
        </row>
        <row r="2591">
          <cell r="B2591">
            <v>9</v>
          </cell>
          <cell r="C2591" t="str">
            <v>Giẻ lau</v>
          </cell>
          <cell r="D2591" t="str">
            <v>kg</v>
          </cell>
          <cell r="E2591">
            <v>9</v>
          </cell>
          <cell r="F2591">
            <v>9500</v>
          </cell>
          <cell r="G2591">
            <v>85500</v>
          </cell>
        </row>
        <row r="2592">
          <cell r="B2592">
            <v>30</v>
          </cell>
          <cell r="C2592" t="str">
            <v>Dây thép fi 2-4</v>
          </cell>
          <cell r="D2592" t="str">
            <v>kg</v>
          </cell>
          <cell r="E2592">
            <v>4.7</v>
          </cell>
          <cell r="F2592">
            <v>1000</v>
          </cell>
          <cell r="G2592">
            <v>4700</v>
          </cell>
        </row>
        <row r="2593">
          <cell r="B2593">
            <v>3</v>
          </cell>
          <cell r="C2593" t="str">
            <v>Xăng</v>
          </cell>
          <cell r="D2593" t="str">
            <v>kg</v>
          </cell>
          <cell r="E2593">
            <v>11.3</v>
          </cell>
          <cell r="F2593">
            <v>18382</v>
          </cell>
          <cell r="G2593">
            <v>207716.6</v>
          </cell>
        </row>
        <row r="2594">
          <cell r="B2594">
            <v>1</v>
          </cell>
          <cell r="C2594" t="str">
            <v>Cồn công nghiệp</v>
          </cell>
          <cell r="D2594" t="str">
            <v>kg</v>
          </cell>
          <cell r="E2594">
            <v>1.8</v>
          </cell>
          <cell r="F2594">
            <v>9500</v>
          </cell>
          <cell r="G2594">
            <v>17100</v>
          </cell>
        </row>
        <row r="2595">
          <cell r="B2595">
            <v>6</v>
          </cell>
          <cell r="C2595" t="str">
            <v>Vải trắng</v>
          </cell>
          <cell r="D2595" t="str">
            <v>m</v>
          </cell>
          <cell r="E2595">
            <v>13</v>
          </cell>
          <cell r="F2595">
            <v>15000</v>
          </cell>
          <cell r="G2595">
            <v>195000</v>
          </cell>
        </row>
        <row r="2596">
          <cell r="B2596">
            <v>44</v>
          </cell>
          <cell r="C2596" t="str">
            <v>Gỗ ván nhóm 4</v>
          </cell>
          <cell r="D2596" t="str">
            <v>m3</v>
          </cell>
          <cell r="E2596">
            <v>0.25</v>
          </cell>
          <cell r="F2596">
            <v>2300000</v>
          </cell>
          <cell r="G2596">
            <v>575000</v>
          </cell>
        </row>
        <row r="2597">
          <cell r="B2597">
            <v>5</v>
          </cell>
          <cell r="C2597" t="str">
            <v>Vải nhựa</v>
          </cell>
          <cell r="D2597" t="str">
            <v>m2</v>
          </cell>
          <cell r="E2597">
            <v>26.6</v>
          </cell>
          <cell r="F2597">
            <v>10000</v>
          </cell>
          <cell r="G2597">
            <v>266000</v>
          </cell>
        </row>
        <row r="2598">
          <cell r="B2598">
            <v>117</v>
          </cell>
          <cell r="C2598" t="str">
            <v>Vật liệu khác</v>
          </cell>
          <cell r="D2598" t="str">
            <v>%</v>
          </cell>
          <cell r="E2598">
            <v>5</v>
          </cell>
          <cell r="G2598">
            <v>63275.830000000009</v>
          </cell>
        </row>
        <row r="2599">
          <cell r="C2599" t="str">
            <v>Nhân công</v>
          </cell>
          <cell r="G2599">
            <v>90137053.223684207</v>
          </cell>
        </row>
        <row r="2600">
          <cell r="B2600" t="str">
            <v>NC1407</v>
          </cell>
          <cell r="C2600" t="str">
            <v>Ngày công bậc 4,0/7</v>
          </cell>
          <cell r="D2600" t="str">
            <v>công</v>
          </cell>
          <cell r="E2600">
            <v>463</v>
          </cell>
          <cell r="F2600">
            <v>194680.46052631579</v>
          </cell>
          <cell r="G2600">
            <v>90137053.223684207</v>
          </cell>
        </row>
        <row r="2601">
          <cell r="C2601" t="str">
            <v>Máy thi công</v>
          </cell>
          <cell r="G2601">
            <v>5042154.3119999999</v>
          </cell>
        </row>
        <row r="2602">
          <cell r="B2602">
            <v>8013</v>
          </cell>
          <cell r="C2602" t="str">
            <v>Cần trục bánh hơi 10 tấn</v>
          </cell>
          <cell r="D2602" t="str">
            <v>ca</v>
          </cell>
          <cell r="E2602">
            <v>2.6</v>
          </cell>
          <cell r="F2602">
            <v>1939290.1199999999</v>
          </cell>
          <cell r="G2602">
            <v>5042154.3119999999</v>
          </cell>
        </row>
        <row r="2603">
          <cell r="A2603" t="str">
            <v>T2.4202</v>
          </cell>
          <cell r="C2603" t="str">
            <v>Lắp đặt điện kháng điện dầu 500KV loại 91MVAR</v>
          </cell>
          <cell r="D2603" t="str">
            <v>bộ</v>
          </cell>
          <cell r="H2603">
            <v>876950</v>
          </cell>
          <cell r="I2603">
            <v>55678611.710526317</v>
          </cell>
          <cell r="J2603">
            <v>2715006.1679999996</v>
          </cell>
        </row>
        <row r="2604">
          <cell r="C2604" t="str">
            <v>Vật liệu</v>
          </cell>
          <cell r="G2604">
            <v>876950</v>
          </cell>
        </row>
        <row r="2605">
          <cell r="B2605">
            <v>9</v>
          </cell>
          <cell r="C2605" t="str">
            <v>Giẻ lau</v>
          </cell>
          <cell r="D2605" t="str">
            <v>kg</v>
          </cell>
          <cell r="E2605">
            <v>6.7</v>
          </cell>
          <cell r="F2605">
            <v>9500</v>
          </cell>
          <cell r="G2605">
            <v>63650</v>
          </cell>
        </row>
        <row r="2606">
          <cell r="B2606">
            <v>30</v>
          </cell>
          <cell r="C2606" t="str">
            <v>Dây thép fi 2-4</v>
          </cell>
          <cell r="D2606" t="str">
            <v>kg</v>
          </cell>
          <cell r="E2606">
            <v>3.4</v>
          </cell>
          <cell r="F2606">
            <v>1000</v>
          </cell>
          <cell r="G2606">
            <v>3400</v>
          </cell>
        </row>
        <row r="2607">
          <cell r="B2607">
            <v>3</v>
          </cell>
          <cell r="C2607" t="str">
            <v>Xăng</v>
          </cell>
          <cell r="D2607" t="str">
            <v>kg</v>
          </cell>
          <cell r="E2607">
            <v>8.1999999999999993</v>
          </cell>
          <cell r="F2607">
            <v>18382</v>
          </cell>
        </row>
        <row r="2608">
          <cell r="B2608">
            <v>1</v>
          </cell>
          <cell r="C2608" t="str">
            <v>Cồn công nghiệp</v>
          </cell>
          <cell r="D2608" t="str">
            <v>kg</v>
          </cell>
          <cell r="E2608">
            <v>1.4</v>
          </cell>
          <cell r="F2608">
            <v>9500</v>
          </cell>
          <cell r="G2608">
            <v>13300</v>
          </cell>
        </row>
        <row r="2609">
          <cell r="B2609">
            <v>6</v>
          </cell>
          <cell r="C2609" t="str">
            <v>Vải trắng</v>
          </cell>
          <cell r="D2609" t="str">
            <v>m</v>
          </cell>
          <cell r="E2609">
            <v>9</v>
          </cell>
          <cell r="F2609">
            <v>15000</v>
          </cell>
          <cell r="G2609">
            <v>135000</v>
          </cell>
        </row>
        <row r="2610">
          <cell r="B2610">
            <v>44</v>
          </cell>
          <cell r="C2610" t="str">
            <v>Gỗ ván nhóm 4</v>
          </cell>
          <cell r="D2610" t="str">
            <v>m3</v>
          </cell>
          <cell r="E2610">
            <v>0.2</v>
          </cell>
          <cell r="F2610">
            <v>2300000</v>
          </cell>
          <cell r="G2610">
            <v>460000</v>
          </cell>
        </row>
        <row r="2611">
          <cell r="B2611">
            <v>5</v>
          </cell>
          <cell r="C2611" t="str">
            <v>Vải nhựa</v>
          </cell>
          <cell r="D2611" t="str">
            <v>m2</v>
          </cell>
          <cell r="E2611">
            <v>20.16</v>
          </cell>
          <cell r="F2611">
            <v>10000</v>
          </cell>
          <cell r="G2611">
            <v>201600</v>
          </cell>
        </row>
        <row r="2612">
          <cell r="B2612">
            <v>117</v>
          </cell>
          <cell r="C2612" t="str">
            <v>Vật liệu khác</v>
          </cell>
          <cell r="D2612" t="str">
            <v>%</v>
          </cell>
          <cell r="E2612">
            <v>5</v>
          </cell>
          <cell r="G2612">
            <v>40665</v>
          </cell>
        </row>
        <row r="2613">
          <cell r="C2613" t="str">
            <v>Nhân công</v>
          </cell>
          <cell r="G2613">
            <v>55678611.710526317</v>
          </cell>
        </row>
        <row r="2614">
          <cell r="B2614" t="str">
            <v>NC1407</v>
          </cell>
          <cell r="C2614" t="str">
            <v>Ngày công bậc 4,0/7</v>
          </cell>
          <cell r="D2614" t="str">
            <v>công</v>
          </cell>
          <cell r="E2614">
            <v>286</v>
          </cell>
          <cell r="F2614">
            <v>194680.46052631579</v>
          </cell>
          <cell r="G2614">
            <v>55678611.710526317</v>
          </cell>
        </row>
        <row r="2615">
          <cell r="C2615" t="str">
            <v>Máy thi công</v>
          </cell>
          <cell r="G2615">
            <v>2715006.1679999996</v>
          </cell>
        </row>
        <row r="2616">
          <cell r="B2616">
            <v>8013</v>
          </cell>
          <cell r="C2616" t="str">
            <v>Cần trục bánh hơi 10 tấn</v>
          </cell>
          <cell r="D2616" t="str">
            <v>ca</v>
          </cell>
          <cell r="E2616">
            <v>1.4</v>
          </cell>
          <cell r="F2616">
            <v>1939290.1199999999</v>
          </cell>
          <cell r="G2616">
            <v>2715006.1679999996</v>
          </cell>
        </row>
        <row r="2617">
          <cell r="A2617" t="str">
            <v>T2.4203</v>
          </cell>
          <cell r="C2617" t="str">
            <v>Lắp đặt điện kháng điện dầu 500KV loại 58MVAR</v>
          </cell>
          <cell r="D2617" t="str">
            <v>bộ</v>
          </cell>
          <cell r="H2617">
            <v>847000</v>
          </cell>
          <cell r="I2617">
            <v>21025489.736842103</v>
          </cell>
          <cell r="J2617">
            <v>698144.44319999998</v>
          </cell>
        </row>
        <row r="2618">
          <cell r="C2618" t="str">
            <v>Vật liệu</v>
          </cell>
          <cell r="G2618">
            <v>847000</v>
          </cell>
        </row>
        <row r="2619">
          <cell r="B2619">
            <v>9</v>
          </cell>
          <cell r="C2619" t="str">
            <v>Giẻ lau</v>
          </cell>
          <cell r="D2619" t="str">
            <v>kg</v>
          </cell>
          <cell r="E2619">
            <v>5.4</v>
          </cell>
          <cell r="F2619">
            <v>9500</v>
          </cell>
          <cell r="G2619">
            <v>51300</v>
          </cell>
        </row>
        <row r="2620">
          <cell r="B2620">
            <v>30</v>
          </cell>
          <cell r="C2620" t="str">
            <v>Dây thép fi 2-4</v>
          </cell>
          <cell r="D2620" t="str">
            <v>kg</v>
          </cell>
          <cell r="E2620">
            <v>2.7</v>
          </cell>
          <cell r="F2620">
            <v>1000</v>
          </cell>
          <cell r="G2620">
            <v>2700</v>
          </cell>
        </row>
        <row r="2621">
          <cell r="B2621">
            <v>3</v>
          </cell>
          <cell r="C2621" t="str">
            <v>Xăng</v>
          </cell>
          <cell r="D2621" t="str">
            <v>kg</v>
          </cell>
          <cell r="E2621">
            <v>6.8</v>
          </cell>
          <cell r="F2621">
            <v>18382</v>
          </cell>
        </row>
        <row r="2622">
          <cell r="B2622">
            <v>1</v>
          </cell>
          <cell r="C2622" t="str">
            <v>Cồn công nghiệp</v>
          </cell>
          <cell r="D2622" t="str">
            <v>kg</v>
          </cell>
          <cell r="E2622">
            <v>1.2</v>
          </cell>
          <cell r="F2622">
            <v>9500</v>
          </cell>
          <cell r="G2622">
            <v>11400</v>
          </cell>
        </row>
        <row r="2623">
          <cell r="B2623">
            <v>6</v>
          </cell>
          <cell r="C2623" t="str">
            <v>Vải trắng</v>
          </cell>
          <cell r="D2623" t="str">
            <v>m</v>
          </cell>
          <cell r="E2623">
            <v>8</v>
          </cell>
          <cell r="F2623">
            <v>15000</v>
          </cell>
          <cell r="G2623">
            <v>120000</v>
          </cell>
        </row>
        <row r="2624">
          <cell r="B2624">
            <v>44</v>
          </cell>
          <cell r="C2624" t="str">
            <v>Gỗ ván nhóm 4</v>
          </cell>
          <cell r="D2624" t="str">
            <v>m3</v>
          </cell>
          <cell r="E2624">
            <v>0.2</v>
          </cell>
          <cell r="F2624">
            <v>2300000</v>
          </cell>
          <cell r="G2624">
            <v>460000</v>
          </cell>
        </row>
        <row r="2625">
          <cell r="B2625">
            <v>5</v>
          </cell>
          <cell r="C2625" t="str">
            <v>Vải nhựa</v>
          </cell>
          <cell r="D2625" t="str">
            <v>m2</v>
          </cell>
          <cell r="E2625">
            <v>20.16</v>
          </cell>
          <cell r="F2625">
            <v>10000</v>
          </cell>
          <cell r="G2625">
            <v>201600</v>
          </cell>
        </row>
        <row r="2626">
          <cell r="B2626">
            <v>117</v>
          </cell>
          <cell r="C2626" t="str">
            <v>Vật liệu khác</v>
          </cell>
          <cell r="D2626" t="str">
            <v>%</v>
          </cell>
          <cell r="E2626">
            <v>5</v>
          </cell>
          <cell r="G2626">
            <v>39785</v>
          </cell>
        </row>
        <row r="2627">
          <cell r="C2627" t="str">
            <v>Nhân công</v>
          </cell>
          <cell r="G2627">
            <v>21025489.736842103</v>
          </cell>
        </row>
        <row r="2628">
          <cell r="B2628" t="str">
            <v>NC1407</v>
          </cell>
          <cell r="C2628" t="str">
            <v>Ngày công bậc 4,0/7</v>
          </cell>
          <cell r="D2628" t="str">
            <v>công</v>
          </cell>
          <cell r="E2628">
            <v>108</v>
          </cell>
          <cell r="F2628">
            <v>194680.46052631579</v>
          </cell>
          <cell r="G2628">
            <v>21025489.736842103</v>
          </cell>
        </row>
        <row r="2629">
          <cell r="C2629" t="str">
            <v>Máy thi công</v>
          </cell>
          <cell r="G2629">
            <v>698144.44319999998</v>
          </cell>
        </row>
        <row r="2630">
          <cell r="B2630">
            <v>8013</v>
          </cell>
          <cell r="C2630" t="str">
            <v>Cần trục bánh hơi 10 tấn</v>
          </cell>
          <cell r="D2630" t="str">
            <v>ca</v>
          </cell>
          <cell r="E2630">
            <v>0.36</v>
          </cell>
          <cell r="F2630">
            <v>1939290.1199999999</v>
          </cell>
          <cell r="G2630">
            <v>698144.44319999998</v>
          </cell>
        </row>
        <row r="2631">
          <cell r="A2631" t="str">
            <v>T2.4204</v>
          </cell>
          <cell r="C2631" t="str">
            <v>Lắp đặt điện kháng điện dầu 500KV loại 50MVAR</v>
          </cell>
          <cell r="D2631" t="str">
            <v>bộ</v>
          </cell>
          <cell r="H2631">
            <v>762260</v>
          </cell>
          <cell r="I2631">
            <v>15769117.302631579</v>
          </cell>
          <cell r="J2631">
            <v>290893.51799999998</v>
          </cell>
        </row>
        <row r="2632">
          <cell r="C2632" t="str">
            <v>Vật liệu</v>
          </cell>
          <cell r="G2632">
            <v>762260</v>
          </cell>
        </row>
        <row r="2633">
          <cell r="B2633">
            <v>9</v>
          </cell>
          <cell r="C2633" t="str">
            <v>Giẻ lau</v>
          </cell>
          <cell r="D2633" t="str">
            <v>kg</v>
          </cell>
          <cell r="E2633">
            <v>4.8600000000000003</v>
          </cell>
          <cell r="F2633">
            <v>9500</v>
          </cell>
          <cell r="G2633">
            <v>46170</v>
          </cell>
        </row>
        <row r="2634">
          <cell r="B2634">
            <v>30</v>
          </cell>
          <cell r="C2634" t="str">
            <v>Dây thép fi 2-4</v>
          </cell>
          <cell r="D2634" t="str">
            <v>kg</v>
          </cell>
          <cell r="E2634">
            <v>2.4300000000000002</v>
          </cell>
          <cell r="F2634">
            <v>1000</v>
          </cell>
          <cell r="G2634">
            <v>2430</v>
          </cell>
        </row>
        <row r="2635">
          <cell r="B2635">
            <v>3</v>
          </cell>
          <cell r="C2635" t="str">
            <v>Xăng</v>
          </cell>
          <cell r="D2635" t="str">
            <v>kg</v>
          </cell>
          <cell r="E2635">
            <v>6.12</v>
          </cell>
          <cell r="F2635">
            <v>18382</v>
          </cell>
        </row>
        <row r="2636">
          <cell r="B2636">
            <v>1</v>
          </cell>
          <cell r="C2636" t="str">
            <v>Cồn công nghiệp</v>
          </cell>
          <cell r="D2636" t="str">
            <v>kg</v>
          </cell>
          <cell r="E2636">
            <v>1.08</v>
          </cell>
          <cell r="F2636">
            <v>9500</v>
          </cell>
          <cell r="G2636">
            <v>10260</v>
          </cell>
        </row>
        <row r="2637">
          <cell r="B2637">
            <v>6</v>
          </cell>
          <cell r="C2637" t="str">
            <v>Vải trắng</v>
          </cell>
          <cell r="D2637" t="str">
            <v>m</v>
          </cell>
          <cell r="E2637">
            <v>7.2</v>
          </cell>
          <cell r="F2637">
            <v>15000</v>
          </cell>
          <cell r="G2637">
            <v>108000</v>
          </cell>
        </row>
        <row r="2638">
          <cell r="B2638">
            <v>44</v>
          </cell>
          <cell r="C2638" t="str">
            <v>Gỗ ván nhóm 4</v>
          </cell>
          <cell r="D2638" t="str">
            <v>m3</v>
          </cell>
          <cell r="E2638">
            <v>0.18</v>
          </cell>
          <cell r="F2638">
            <v>2300000</v>
          </cell>
          <cell r="G2638">
            <v>414000</v>
          </cell>
        </row>
        <row r="2639">
          <cell r="B2639">
            <v>5</v>
          </cell>
          <cell r="C2639" t="str">
            <v>Vải nhựa</v>
          </cell>
          <cell r="D2639" t="str">
            <v>m2</v>
          </cell>
          <cell r="E2639">
            <v>18.14</v>
          </cell>
          <cell r="F2639">
            <v>10000</v>
          </cell>
          <cell r="G2639">
            <v>181400</v>
          </cell>
        </row>
        <row r="2640">
          <cell r="B2640">
            <v>117</v>
          </cell>
          <cell r="C2640" t="str">
            <v>Vật liệu khác</v>
          </cell>
          <cell r="D2640" t="str">
            <v>%</v>
          </cell>
          <cell r="E2640">
            <v>5</v>
          </cell>
          <cell r="G2640">
            <v>35804.5</v>
          </cell>
        </row>
        <row r="2641">
          <cell r="C2641" t="str">
            <v>Nhân công</v>
          </cell>
          <cell r="G2641">
            <v>15769117.302631579</v>
          </cell>
        </row>
        <row r="2642">
          <cell r="B2642" t="str">
            <v>NC1407</v>
          </cell>
          <cell r="C2642" t="str">
            <v>Ngày công bậc 4,0/7</v>
          </cell>
          <cell r="D2642" t="str">
            <v>công</v>
          </cell>
          <cell r="E2642">
            <v>81</v>
          </cell>
          <cell r="F2642">
            <v>194680.46052631579</v>
          </cell>
          <cell r="G2642">
            <v>15769117.302631579</v>
          </cell>
        </row>
        <row r="2643">
          <cell r="C2643" t="str">
            <v>Máy thi công</v>
          </cell>
          <cell r="G2643">
            <v>290893.51799999998</v>
          </cell>
        </row>
        <row r="2644">
          <cell r="B2644">
            <v>8013</v>
          </cell>
          <cell r="C2644" t="str">
            <v>Cần trục bánh hơi 10 tấn</v>
          </cell>
          <cell r="D2644" t="str">
            <v>ca</v>
          </cell>
          <cell r="E2644">
            <v>0.15</v>
          </cell>
          <cell r="F2644">
            <v>1939290.1199999999</v>
          </cell>
          <cell r="G2644">
            <v>290893.51799999998</v>
          </cell>
        </row>
        <row r="2645">
          <cell r="A2645" t="str">
            <v>T2.4205</v>
          </cell>
          <cell r="C2645" t="str">
            <v>Lắp đặt trung tính nối đất</v>
          </cell>
          <cell r="D2645" t="str">
            <v>bộ</v>
          </cell>
          <cell r="H2645">
            <v>598200</v>
          </cell>
          <cell r="I2645">
            <v>1839730.351973684</v>
          </cell>
          <cell r="J2645">
            <v>232714.81439999997</v>
          </cell>
        </row>
        <row r="2646">
          <cell r="C2646" t="str">
            <v>Vật liệu</v>
          </cell>
          <cell r="G2646">
            <v>598200</v>
          </cell>
        </row>
        <row r="2647">
          <cell r="B2647">
            <v>9</v>
          </cell>
          <cell r="C2647" t="str">
            <v>Giẻ lau</v>
          </cell>
          <cell r="D2647" t="str">
            <v>kg</v>
          </cell>
          <cell r="E2647">
            <v>2</v>
          </cell>
          <cell r="F2647">
            <v>9500</v>
          </cell>
          <cell r="G2647">
            <v>19000</v>
          </cell>
        </row>
        <row r="2648">
          <cell r="B2648">
            <v>30</v>
          </cell>
          <cell r="C2648" t="str">
            <v>Dây thép fi 2-4</v>
          </cell>
          <cell r="D2648" t="str">
            <v>kg</v>
          </cell>
          <cell r="E2648">
            <v>1</v>
          </cell>
          <cell r="F2648">
            <v>1000</v>
          </cell>
          <cell r="G2648">
            <v>1000</v>
          </cell>
        </row>
        <row r="2649">
          <cell r="B2649">
            <v>3</v>
          </cell>
          <cell r="C2649" t="str">
            <v>Xăng</v>
          </cell>
          <cell r="D2649" t="str">
            <v>kg</v>
          </cell>
          <cell r="E2649">
            <v>1.5</v>
          </cell>
          <cell r="F2649">
            <v>18382</v>
          </cell>
        </row>
        <row r="2650">
          <cell r="B2650">
            <v>1</v>
          </cell>
          <cell r="C2650" t="str">
            <v>Cồn công nghiệp</v>
          </cell>
          <cell r="D2650" t="str">
            <v>kg</v>
          </cell>
          <cell r="E2650">
            <v>0.4</v>
          </cell>
          <cell r="F2650">
            <v>9500</v>
          </cell>
          <cell r="G2650">
            <v>3800</v>
          </cell>
        </row>
        <row r="2651">
          <cell r="B2651">
            <v>6</v>
          </cell>
          <cell r="C2651" t="str">
            <v>Vải trắng</v>
          </cell>
          <cell r="D2651" t="str">
            <v>m</v>
          </cell>
          <cell r="E2651">
            <v>4</v>
          </cell>
          <cell r="F2651">
            <v>15000</v>
          </cell>
          <cell r="G2651">
            <v>60000</v>
          </cell>
        </row>
        <row r="2652">
          <cell r="B2652">
            <v>44</v>
          </cell>
          <cell r="C2652" t="str">
            <v>Gỗ ván nhóm 4</v>
          </cell>
          <cell r="D2652" t="str">
            <v>m3</v>
          </cell>
          <cell r="E2652">
            <v>0.2</v>
          </cell>
          <cell r="F2652">
            <v>2300000</v>
          </cell>
          <cell r="G2652">
            <v>460000</v>
          </cell>
        </row>
        <row r="2653">
          <cell r="B2653">
            <v>5</v>
          </cell>
          <cell r="C2653" t="str">
            <v>Vải nhựa</v>
          </cell>
          <cell r="D2653" t="str">
            <v>m2</v>
          </cell>
          <cell r="E2653">
            <v>5.44</v>
          </cell>
          <cell r="F2653">
            <v>10000</v>
          </cell>
          <cell r="G2653">
            <v>54400.000000000007</v>
          </cell>
        </row>
        <row r="2654">
          <cell r="B2654">
            <v>117</v>
          </cell>
          <cell r="C2654" t="str">
            <v>Vật liệu khác</v>
          </cell>
          <cell r="D2654" t="str">
            <v>%</v>
          </cell>
          <cell r="E2654">
            <v>5</v>
          </cell>
          <cell r="G2654">
            <v>28960</v>
          </cell>
        </row>
        <row r="2655">
          <cell r="C2655" t="str">
            <v>Nhân công</v>
          </cell>
          <cell r="G2655">
            <v>1839730.351973684</v>
          </cell>
        </row>
        <row r="2656">
          <cell r="B2656" t="str">
            <v>NC1407</v>
          </cell>
          <cell r="C2656" t="str">
            <v>Ngày công bậc 4,0/7</v>
          </cell>
          <cell r="D2656" t="str">
            <v>công</v>
          </cell>
          <cell r="E2656">
            <v>9.4499999999999993</v>
          </cell>
          <cell r="F2656">
            <v>194680.46052631579</v>
          </cell>
          <cell r="G2656">
            <v>1839730.351973684</v>
          </cell>
        </row>
        <row r="2657">
          <cell r="C2657" t="str">
            <v>Máy thi công</v>
          </cell>
          <cell r="G2657">
            <v>232714.81439999997</v>
          </cell>
        </row>
        <row r="2658">
          <cell r="B2658">
            <v>8013</v>
          </cell>
          <cell r="C2658" t="str">
            <v>Cần trục bánh hơi 10 tấn</v>
          </cell>
          <cell r="D2658" t="str">
            <v>ca</v>
          </cell>
          <cell r="E2658">
            <v>0.12</v>
          </cell>
          <cell r="F2658">
            <v>1939290.1199999999</v>
          </cell>
          <cell r="G2658">
            <v>232714.81439999997</v>
          </cell>
        </row>
        <row r="2659">
          <cell r="A2659" t="str">
            <v>T2.4301</v>
          </cell>
          <cell r="C2659" t="str">
            <v>Lắp đặt cuộn dập hồ quang 6-10-15KV có công suất =&lt;175KVA</v>
          </cell>
          <cell r="D2659" t="str">
            <v>bộ</v>
          </cell>
          <cell r="H2659">
            <v>23000</v>
          </cell>
          <cell r="I2659">
            <v>817657.93421052629</v>
          </cell>
          <cell r="J2659">
            <v>213964.96380000003</v>
          </cell>
        </row>
        <row r="2660">
          <cell r="C2660" t="str">
            <v>Vật liệu</v>
          </cell>
          <cell r="G2660">
            <v>23000</v>
          </cell>
        </row>
        <row r="2661">
          <cell r="B2661">
            <v>4</v>
          </cell>
          <cell r="C2661" t="str">
            <v>Giấy ráp</v>
          </cell>
          <cell r="D2661" t="str">
            <v>tờ</v>
          </cell>
          <cell r="E2661">
            <v>1</v>
          </cell>
          <cell r="F2661">
            <v>10000</v>
          </cell>
          <cell r="G2661">
            <v>10000</v>
          </cell>
        </row>
        <row r="2662">
          <cell r="B2662">
            <v>1</v>
          </cell>
          <cell r="C2662" t="str">
            <v>Cồn công nghiệp</v>
          </cell>
          <cell r="D2662" t="str">
            <v>kg</v>
          </cell>
          <cell r="E2662">
            <v>0.2</v>
          </cell>
          <cell r="F2662">
            <v>9500</v>
          </cell>
          <cell r="G2662">
            <v>1900</v>
          </cell>
        </row>
        <row r="2663">
          <cell r="B2663">
            <v>8</v>
          </cell>
          <cell r="C2663" t="str">
            <v>Mỡ YOC</v>
          </cell>
          <cell r="D2663" t="str">
            <v>kg</v>
          </cell>
          <cell r="E2663">
            <v>0.1</v>
          </cell>
          <cell r="F2663">
            <v>35000</v>
          </cell>
          <cell r="G2663">
            <v>3500</v>
          </cell>
        </row>
        <row r="2664">
          <cell r="B2664">
            <v>9</v>
          </cell>
          <cell r="C2664" t="str">
            <v>Giẻ lau</v>
          </cell>
          <cell r="D2664" t="str">
            <v>kg</v>
          </cell>
          <cell r="E2664">
            <v>0.8</v>
          </cell>
          <cell r="F2664">
            <v>9500</v>
          </cell>
          <cell r="G2664">
            <v>7600</v>
          </cell>
        </row>
        <row r="2665">
          <cell r="C2665" t="str">
            <v>Nhân công</v>
          </cell>
          <cell r="G2665">
            <v>817657.93421052629</v>
          </cell>
        </row>
        <row r="2666">
          <cell r="B2666" t="str">
            <v>NC1407</v>
          </cell>
          <cell r="C2666" t="str">
            <v>Ngày công bậc 4,0/7</v>
          </cell>
          <cell r="D2666" t="str">
            <v>công</v>
          </cell>
          <cell r="E2666">
            <v>4.2</v>
          </cell>
          <cell r="F2666">
            <v>194680.46052631579</v>
          </cell>
          <cell r="G2666">
            <v>817657.93421052629</v>
          </cell>
        </row>
        <row r="2667">
          <cell r="C2667" t="str">
            <v>Máy thi công</v>
          </cell>
          <cell r="G2667">
            <v>213964.96380000003</v>
          </cell>
        </row>
        <row r="2668">
          <cell r="B2668">
            <v>8015</v>
          </cell>
          <cell r="C2668" t="str">
            <v>Cần trục bánh hơi 5 tấn</v>
          </cell>
          <cell r="D2668" t="str">
            <v>ca</v>
          </cell>
          <cell r="E2668">
            <v>0.15</v>
          </cell>
          <cell r="F2668">
            <v>1426433.0920000002</v>
          </cell>
          <cell r="G2668">
            <v>213964.96380000003</v>
          </cell>
        </row>
        <row r="2669">
          <cell r="A2669" t="str">
            <v>T2.4302</v>
          </cell>
          <cell r="C2669" t="str">
            <v>Lắp đặt cuộn dập hồ quang 6-10-15KV có công suất =&lt;350KVA</v>
          </cell>
          <cell r="D2669" t="str">
            <v>bộ</v>
          </cell>
          <cell r="H2669">
            <v>25850</v>
          </cell>
          <cell r="I2669">
            <v>963668.27960526315</v>
          </cell>
          <cell r="J2669">
            <v>213964.96380000003</v>
          </cell>
        </row>
        <row r="2670">
          <cell r="C2670" t="str">
            <v>Vật liệu</v>
          </cell>
          <cell r="G2670">
            <v>25850</v>
          </cell>
        </row>
        <row r="2671">
          <cell r="B2671">
            <v>4</v>
          </cell>
          <cell r="C2671" t="str">
            <v>Giấy ráp</v>
          </cell>
          <cell r="D2671" t="str">
            <v>tờ</v>
          </cell>
          <cell r="E2671">
            <v>1</v>
          </cell>
          <cell r="F2671">
            <v>10000</v>
          </cell>
          <cell r="G2671">
            <v>10000</v>
          </cell>
        </row>
        <row r="2672">
          <cell r="B2672">
            <v>1</v>
          </cell>
          <cell r="C2672" t="str">
            <v>Cồn công nghiệp</v>
          </cell>
          <cell r="D2672" t="str">
            <v>kg</v>
          </cell>
          <cell r="E2672">
            <v>0.3</v>
          </cell>
          <cell r="F2672">
            <v>9500</v>
          </cell>
          <cell r="G2672">
            <v>2850</v>
          </cell>
        </row>
        <row r="2673">
          <cell r="B2673">
            <v>8</v>
          </cell>
          <cell r="C2673" t="str">
            <v>Mỡ YOC</v>
          </cell>
          <cell r="D2673" t="str">
            <v>kg</v>
          </cell>
          <cell r="E2673">
            <v>0.1</v>
          </cell>
          <cell r="F2673">
            <v>35000</v>
          </cell>
          <cell r="G2673">
            <v>3500</v>
          </cell>
        </row>
        <row r="2674">
          <cell r="B2674">
            <v>9</v>
          </cell>
          <cell r="C2674" t="str">
            <v>Giẻ lau</v>
          </cell>
          <cell r="D2674" t="str">
            <v>kg</v>
          </cell>
          <cell r="E2674">
            <v>1</v>
          </cell>
          <cell r="F2674">
            <v>9500</v>
          </cell>
          <cell r="G2674">
            <v>9500</v>
          </cell>
        </row>
        <row r="2675">
          <cell r="C2675" t="str">
            <v>Nhân công</v>
          </cell>
          <cell r="G2675">
            <v>963668.27960526315</v>
          </cell>
        </row>
        <row r="2676">
          <cell r="B2676" t="str">
            <v>NC1407</v>
          </cell>
          <cell r="C2676" t="str">
            <v>Ngày công bậc 4,0/7</v>
          </cell>
          <cell r="D2676" t="str">
            <v>công</v>
          </cell>
          <cell r="E2676">
            <v>4.95</v>
          </cell>
          <cell r="F2676">
            <v>194680.46052631579</v>
          </cell>
          <cell r="G2676">
            <v>963668.27960526315</v>
          </cell>
        </row>
        <row r="2677">
          <cell r="C2677" t="str">
            <v>Máy thi công</v>
          </cell>
          <cell r="G2677">
            <v>213964.96380000003</v>
          </cell>
        </row>
        <row r="2678">
          <cell r="B2678">
            <v>8015</v>
          </cell>
          <cell r="C2678" t="str">
            <v>Cần trục bánh hơi 5 tấn</v>
          </cell>
          <cell r="D2678" t="str">
            <v>ca</v>
          </cell>
          <cell r="E2678">
            <v>0.15</v>
          </cell>
          <cell r="F2678">
            <v>1426433.0920000002</v>
          </cell>
          <cell r="G2678">
            <v>213964.96380000003</v>
          </cell>
        </row>
        <row r="2679">
          <cell r="A2679" t="str">
            <v>T2.4303</v>
          </cell>
          <cell r="C2679" t="str">
            <v>Lắp đặt cuộn dập hồ quang 6-10-15KV có công suất =&lt;700KVA</v>
          </cell>
          <cell r="D2679" t="str">
            <v>bộ</v>
          </cell>
          <cell r="H2679">
            <v>28700</v>
          </cell>
          <cell r="I2679">
            <v>1242061.3381578948</v>
          </cell>
          <cell r="J2679">
            <v>387858.02399999998</v>
          </cell>
        </row>
        <row r="2680">
          <cell r="C2680" t="str">
            <v>Vật liệu</v>
          </cell>
          <cell r="G2680">
            <v>28700</v>
          </cell>
        </row>
        <row r="2681">
          <cell r="B2681">
            <v>4</v>
          </cell>
          <cell r="C2681" t="str">
            <v>Giấy ráp</v>
          </cell>
          <cell r="D2681" t="str">
            <v>tờ</v>
          </cell>
          <cell r="E2681">
            <v>1</v>
          </cell>
          <cell r="F2681">
            <v>10000</v>
          </cell>
          <cell r="G2681">
            <v>10000</v>
          </cell>
        </row>
        <row r="2682">
          <cell r="B2682">
            <v>1</v>
          </cell>
          <cell r="C2682" t="str">
            <v>Cồn công nghiệp</v>
          </cell>
          <cell r="D2682" t="str">
            <v>kg</v>
          </cell>
          <cell r="E2682">
            <v>0.4</v>
          </cell>
          <cell r="F2682">
            <v>9500</v>
          </cell>
          <cell r="G2682">
            <v>3800</v>
          </cell>
        </row>
        <row r="2683">
          <cell r="B2683">
            <v>8</v>
          </cell>
          <cell r="C2683" t="str">
            <v>Mỡ YOC</v>
          </cell>
          <cell r="D2683" t="str">
            <v>kg</v>
          </cell>
          <cell r="E2683">
            <v>0.1</v>
          </cell>
          <cell r="F2683">
            <v>35000</v>
          </cell>
          <cell r="G2683">
            <v>3500</v>
          </cell>
        </row>
        <row r="2684">
          <cell r="B2684">
            <v>9</v>
          </cell>
          <cell r="C2684" t="str">
            <v>Giẻ lau</v>
          </cell>
          <cell r="D2684" t="str">
            <v>kg</v>
          </cell>
          <cell r="E2684">
            <v>1.2</v>
          </cell>
          <cell r="F2684">
            <v>9500</v>
          </cell>
          <cell r="G2684">
            <v>11400</v>
          </cell>
        </row>
        <row r="2685">
          <cell r="C2685" t="str">
            <v>Nhân công</v>
          </cell>
          <cell r="G2685">
            <v>1242061.3381578948</v>
          </cell>
        </row>
        <row r="2686">
          <cell r="B2686" t="str">
            <v>NC1407</v>
          </cell>
          <cell r="C2686" t="str">
            <v>Ngày công bậc 4,0/7</v>
          </cell>
          <cell r="D2686" t="str">
            <v>công</v>
          </cell>
          <cell r="E2686">
            <v>6.38</v>
          </cell>
          <cell r="F2686">
            <v>194680.46052631579</v>
          </cell>
          <cell r="G2686">
            <v>1242061.3381578948</v>
          </cell>
        </row>
        <row r="2687">
          <cell r="C2687" t="str">
            <v>Máy thi công</v>
          </cell>
          <cell r="G2687">
            <v>387858.02399999998</v>
          </cell>
        </row>
        <row r="2688">
          <cell r="B2688">
            <v>8013</v>
          </cell>
          <cell r="C2688" t="str">
            <v>Cần trục bánh hơi 10 tấn</v>
          </cell>
          <cell r="D2688" t="str">
            <v>ca</v>
          </cell>
          <cell r="E2688">
            <v>0.2</v>
          </cell>
          <cell r="F2688">
            <v>1939290.1199999999</v>
          </cell>
          <cell r="G2688">
            <v>387858.02399999998</v>
          </cell>
        </row>
        <row r="2689">
          <cell r="A2689" t="str">
            <v>T2.4304</v>
          </cell>
          <cell r="C2689" t="str">
            <v>Lắp đặt cuộn dập hồ quang 6-10-15KV có công suất =&lt;1400KVA</v>
          </cell>
          <cell r="D2689" t="str">
            <v>bộ</v>
          </cell>
          <cell r="H2689">
            <v>31550</v>
          </cell>
          <cell r="I2689">
            <v>1547709.6611842106</v>
          </cell>
          <cell r="J2689">
            <v>387858.02399999998</v>
          </cell>
        </row>
        <row r="2690">
          <cell r="C2690" t="str">
            <v>Vật liệu</v>
          </cell>
          <cell r="G2690">
            <v>31550</v>
          </cell>
        </row>
        <row r="2691">
          <cell r="B2691">
            <v>4</v>
          </cell>
          <cell r="C2691" t="str">
            <v>Giấy ráp</v>
          </cell>
          <cell r="D2691" t="str">
            <v>tờ</v>
          </cell>
          <cell r="E2691">
            <v>1</v>
          </cell>
          <cell r="F2691">
            <v>10000</v>
          </cell>
          <cell r="G2691">
            <v>10000</v>
          </cell>
        </row>
        <row r="2692">
          <cell r="B2692">
            <v>1</v>
          </cell>
          <cell r="C2692" t="str">
            <v>Cồn công nghiệp</v>
          </cell>
          <cell r="D2692" t="str">
            <v>kg</v>
          </cell>
          <cell r="E2692">
            <v>0.5</v>
          </cell>
          <cell r="F2692">
            <v>9500</v>
          </cell>
          <cell r="G2692">
            <v>4750</v>
          </cell>
        </row>
        <row r="2693">
          <cell r="B2693">
            <v>8</v>
          </cell>
          <cell r="C2693" t="str">
            <v>Mỡ YOC</v>
          </cell>
          <cell r="D2693" t="str">
            <v>kg</v>
          </cell>
          <cell r="E2693">
            <v>0.1</v>
          </cell>
          <cell r="F2693">
            <v>35000</v>
          </cell>
          <cell r="G2693">
            <v>3500</v>
          </cell>
        </row>
        <row r="2694">
          <cell r="B2694">
            <v>9</v>
          </cell>
          <cell r="C2694" t="str">
            <v>Giẻ lau</v>
          </cell>
          <cell r="D2694" t="str">
            <v>kg</v>
          </cell>
          <cell r="E2694">
            <v>1.4</v>
          </cell>
          <cell r="F2694">
            <v>9500</v>
          </cell>
          <cell r="G2694">
            <v>13300</v>
          </cell>
        </row>
        <row r="2695">
          <cell r="C2695" t="str">
            <v>Nhân công</v>
          </cell>
          <cell r="G2695">
            <v>1547709.6611842106</v>
          </cell>
        </row>
        <row r="2696">
          <cell r="B2696" t="str">
            <v>NC1407</v>
          </cell>
          <cell r="C2696" t="str">
            <v>Ngày công bậc 4,0/7</v>
          </cell>
          <cell r="D2696" t="str">
            <v>công</v>
          </cell>
          <cell r="E2696">
            <v>7.95</v>
          </cell>
          <cell r="F2696">
            <v>194680.46052631579</v>
          </cell>
          <cell r="G2696">
            <v>1547709.6611842106</v>
          </cell>
        </row>
        <row r="2697">
          <cell r="C2697" t="str">
            <v>Máy thi công</v>
          </cell>
          <cell r="G2697">
            <v>387858.02399999998</v>
          </cell>
        </row>
        <row r="2698">
          <cell r="B2698">
            <v>8013</v>
          </cell>
          <cell r="C2698" t="str">
            <v>Cần trục bánh hơi 10 tấn</v>
          </cell>
          <cell r="D2698" t="str">
            <v>ca</v>
          </cell>
          <cell r="E2698">
            <v>0.2</v>
          </cell>
          <cell r="F2698">
            <v>1939290.1199999999</v>
          </cell>
          <cell r="G2698">
            <v>387858.02399999998</v>
          </cell>
        </row>
        <row r="2699">
          <cell r="A2699" t="str">
            <v>T2.4305</v>
          </cell>
          <cell r="C2699" t="str">
            <v>Lắp đặt cuộn dập hồ quang 22-35KV có công suất =&lt;275KVA</v>
          </cell>
          <cell r="D2699" t="str">
            <v>bộ</v>
          </cell>
          <cell r="H2699">
            <v>25850</v>
          </cell>
          <cell r="I2699">
            <v>899423.72763157892</v>
          </cell>
          <cell r="J2699">
            <v>213964.96380000003</v>
          </cell>
        </row>
        <row r="2700">
          <cell r="C2700" t="str">
            <v>Vật liệu</v>
          </cell>
          <cell r="G2700">
            <v>25850</v>
          </cell>
        </row>
        <row r="2701">
          <cell r="B2701">
            <v>4</v>
          </cell>
          <cell r="C2701" t="str">
            <v>Giấy ráp</v>
          </cell>
          <cell r="D2701" t="str">
            <v>tờ</v>
          </cell>
          <cell r="E2701">
            <v>1</v>
          </cell>
          <cell r="F2701">
            <v>10000</v>
          </cell>
          <cell r="G2701">
            <v>10000</v>
          </cell>
        </row>
        <row r="2702">
          <cell r="B2702">
            <v>1</v>
          </cell>
          <cell r="C2702" t="str">
            <v>Cồn công nghiệp</v>
          </cell>
          <cell r="D2702" t="str">
            <v>kg</v>
          </cell>
          <cell r="E2702">
            <v>0.3</v>
          </cell>
          <cell r="F2702">
            <v>9500</v>
          </cell>
          <cell r="G2702">
            <v>2850</v>
          </cell>
        </row>
        <row r="2703">
          <cell r="B2703">
            <v>8</v>
          </cell>
          <cell r="C2703" t="str">
            <v>Mỡ YOC</v>
          </cell>
          <cell r="D2703" t="str">
            <v>kg</v>
          </cell>
          <cell r="E2703">
            <v>0.1</v>
          </cell>
          <cell r="F2703">
            <v>35000</v>
          </cell>
          <cell r="G2703">
            <v>3500</v>
          </cell>
        </row>
        <row r="2704">
          <cell r="B2704">
            <v>9</v>
          </cell>
          <cell r="C2704" t="str">
            <v>Giẻ lau</v>
          </cell>
          <cell r="D2704" t="str">
            <v>kg</v>
          </cell>
          <cell r="E2704">
            <v>1</v>
          </cell>
          <cell r="F2704">
            <v>9500</v>
          </cell>
          <cell r="G2704">
            <v>9500</v>
          </cell>
        </row>
        <row r="2705">
          <cell r="C2705" t="str">
            <v>Nhân công</v>
          </cell>
          <cell r="G2705">
            <v>899423.72763157892</v>
          </cell>
        </row>
        <row r="2706">
          <cell r="B2706" t="str">
            <v>NC1407</v>
          </cell>
          <cell r="C2706" t="str">
            <v>Ngày công bậc 4,0/7</v>
          </cell>
          <cell r="D2706" t="str">
            <v>công</v>
          </cell>
          <cell r="E2706">
            <v>4.62</v>
          </cell>
          <cell r="F2706">
            <v>194680.46052631579</v>
          </cell>
          <cell r="G2706">
            <v>899423.72763157892</v>
          </cell>
        </row>
        <row r="2707">
          <cell r="C2707" t="str">
            <v>Máy thi công</v>
          </cell>
          <cell r="G2707">
            <v>213964.96380000003</v>
          </cell>
        </row>
        <row r="2708">
          <cell r="B2708">
            <v>8015</v>
          </cell>
          <cell r="C2708" t="str">
            <v>Cần trục bánh hơi 5 tấn</v>
          </cell>
          <cell r="D2708" t="str">
            <v>ca</v>
          </cell>
          <cell r="E2708">
            <v>0.15</v>
          </cell>
          <cell r="F2708">
            <v>1426433.0920000002</v>
          </cell>
          <cell r="G2708">
            <v>213964.96380000003</v>
          </cell>
        </row>
        <row r="2709">
          <cell r="A2709" t="str">
            <v>T2.4306</v>
          </cell>
          <cell r="C2709" t="str">
            <v>Lắp đặt cuộn dập hồ quang 22-35KV có công suất =&lt;550KVA</v>
          </cell>
          <cell r="D2709" t="str">
            <v>bộ</v>
          </cell>
          <cell r="H2709">
            <v>28700</v>
          </cell>
          <cell r="I2709">
            <v>1423114.1664473682</v>
          </cell>
          <cell r="J2709">
            <v>213964.96380000003</v>
          </cell>
        </row>
        <row r="2710">
          <cell r="C2710" t="str">
            <v>Vật liệu</v>
          </cell>
          <cell r="G2710">
            <v>28700</v>
          </cell>
        </row>
        <row r="2711">
          <cell r="B2711">
            <v>4</v>
          </cell>
          <cell r="C2711" t="str">
            <v>Giấy ráp</v>
          </cell>
          <cell r="D2711" t="str">
            <v>tờ</v>
          </cell>
          <cell r="E2711">
            <v>1</v>
          </cell>
          <cell r="F2711">
            <v>10000</v>
          </cell>
          <cell r="G2711">
            <v>10000</v>
          </cell>
        </row>
        <row r="2712">
          <cell r="B2712">
            <v>1</v>
          </cell>
          <cell r="C2712" t="str">
            <v>Cồn công nghiệp</v>
          </cell>
          <cell r="D2712" t="str">
            <v>kg</v>
          </cell>
          <cell r="E2712">
            <v>0.4</v>
          </cell>
          <cell r="F2712">
            <v>9500</v>
          </cell>
          <cell r="G2712">
            <v>3800</v>
          </cell>
        </row>
        <row r="2713">
          <cell r="B2713">
            <v>8</v>
          </cell>
          <cell r="C2713" t="str">
            <v>Mỡ YOC</v>
          </cell>
          <cell r="D2713" t="str">
            <v>kg</v>
          </cell>
          <cell r="E2713">
            <v>0.1</v>
          </cell>
          <cell r="F2713">
            <v>35000</v>
          </cell>
          <cell r="G2713">
            <v>3500</v>
          </cell>
        </row>
        <row r="2714">
          <cell r="B2714">
            <v>9</v>
          </cell>
          <cell r="C2714" t="str">
            <v>Giẻ lau</v>
          </cell>
          <cell r="D2714" t="str">
            <v>kg</v>
          </cell>
          <cell r="E2714">
            <v>1.2</v>
          </cell>
          <cell r="F2714">
            <v>9500</v>
          </cell>
          <cell r="G2714">
            <v>11400</v>
          </cell>
        </row>
        <row r="2715">
          <cell r="C2715" t="str">
            <v>Nhân công</v>
          </cell>
          <cell r="G2715">
            <v>1423114.1664473682</v>
          </cell>
        </row>
        <row r="2716">
          <cell r="B2716" t="str">
            <v>NC1407</v>
          </cell>
          <cell r="C2716" t="str">
            <v>Ngày công bậc 4,0/7</v>
          </cell>
          <cell r="D2716" t="str">
            <v>công</v>
          </cell>
          <cell r="E2716">
            <v>7.31</v>
          </cell>
          <cell r="F2716">
            <v>194680.46052631579</v>
          </cell>
          <cell r="G2716">
            <v>1423114.1664473682</v>
          </cell>
        </row>
        <row r="2717">
          <cell r="C2717" t="str">
            <v>Máy thi công</v>
          </cell>
          <cell r="G2717">
            <v>213964.96380000003</v>
          </cell>
        </row>
        <row r="2718">
          <cell r="B2718">
            <v>8015</v>
          </cell>
          <cell r="C2718" t="str">
            <v>Cần trục bánh hơi 5 tấn</v>
          </cell>
          <cell r="D2718" t="str">
            <v>ca</v>
          </cell>
          <cell r="E2718">
            <v>0.15</v>
          </cell>
          <cell r="F2718">
            <v>1426433.0920000002</v>
          </cell>
          <cell r="G2718">
            <v>213964.96380000003</v>
          </cell>
        </row>
        <row r="2719">
          <cell r="A2719" t="str">
            <v>T2.4307</v>
          </cell>
          <cell r="C2719" t="str">
            <v>Lắp đặt cuộn dập hồ quang 22-35KV có công suất =&lt;1100KVA</v>
          </cell>
          <cell r="D2719" t="str">
            <v>bộ</v>
          </cell>
          <cell r="H2719">
            <v>31550</v>
          </cell>
          <cell r="I2719">
            <v>1460103.4539473683</v>
          </cell>
          <cell r="J2719">
            <v>387858.02399999998</v>
          </cell>
        </row>
        <row r="2720">
          <cell r="C2720" t="str">
            <v>Vật liệu</v>
          </cell>
          <cell r="G2720">
            <v>31550</v>
          </cell>
        </row>
        <row r="2721">
          <cell r="B2721">
            <v>4</v>
          </cell>
          <cell r="C2721" t="str">
            <v>Giấy ráp</v>
          </cell>
          <cell r="D2721" t="str">
            <v>tờ</v>
          </cell>
          <cell r="E2721">
            <v>1</v>
          </cell>
          <cell r="F2721">
            <v>10000</v>
          </cell>
          <cell r="G2721">
            <v>10000</v>
          </cell>
        </row>
        <row r="2722">
          <cell r="B2722">
            <v>1</v>
          </cell>
          <cell r="C2722" t="str">
            <v>Cồn công nghiệp</v>
          </cell>
          <cell r="D2722" t="str">
            <v>kg</v>
          </cell>
          <cell r="E2722">
            <v>0.5</v>
          </cell>
          <cell r="F2722">
            <v>9500</v>
          </cell>
          <cell r="G2722">
            <v>4750</v>
          </cell>
        </row>
        <row r="2723">
          <cell r="B2723">
            <v>8</v>
          </cell>
          <cell r="C2723" t="str">
            <v>Mỡ YOC</v>
          </cell>
          <cell r="D2723" t="str">
            <v>kg</v>
          </cell>
          <cell r="E2723">
            <v>0.1</v>
          </cell>
          <cell r="F2723">
            <v>35000</v>
          </cell>
          <cell r="G2723">
            <v>3500</v>
          </cell>
        </row>
        <row r="2724">
          <cell r="B2724">
            <v>9</v>
          </cell>
          <cell r="C2724" t="str">
            <v>Giẻ lau</v>
          </cell>
          <cell r="D2724" t="str">
            <v>kg</v>
          </cell>
          <cell r="E2724">
            <v>1.4</v>
          </cell>
          <cell r="F2724">
            <v>9500</v>
          </cell>
          <cell r="G2724">
            <v>13300</v>
          </cell>
        </row>
        <row r="2725">
          <cell r="C2725" t="str">
            <v>Nhân công</v>
          </cell>
          <cell r="G2725">
            <v>1460103.4539473683</v>
          </cell>
        </row>
        <row r="2726">
          <cell r="B2726" t="str">
            <v>NC1407</v>
          </cell>
          <cell r="C2726" t="str">
            <v>Ngày công bậc 4,0/7</v>
          </cell>
          <cell r="D2726" t="str">
            <v>công</v>
          </cell>
          <cell r="E2726">
            <v>7.5</v>
          </cell>
          <cell r="F2726">
            <v>194680.46052631579</v>
          </cell>
          <cell r="G2726">
            <v>1460103.4539473683</v>
          </cell>
        </row>
        <row r="2727">
          <cell r="C2727" t="str">
            <v>Máy thi công</v>
          </cell>
          <cell r="G2727">
            <v>387858.02399999998</v>
          </cell>
        </row>
        <row r="2728">
          <cell r="B2728">
            <v>8013</v>
          </cell>
          <cell r="C2728" t="str">
            <v>Cần trục bánh hơi 10 tấn</v>
          </cell>
          <cell r="D2728" t="str">
            <v>ca</v>
          </cell>
          <cell r="E2728">
            <v>0.2</v>
          </cell>
          <cell r="F2728">
            <v>1939290.1199999999</v>
          </cell>
          <cell r="G2728">
            <v>387858.02399999998</v>
          </cell>
        </row>
        <row r="2729">
          <cell r="A2729" t="str">
            <v>T2.4308</v>
          </cell>
          <cell r="C2729" t="str">
            <v>Lắp đặt cuộn dập hồ quang 22-35KV có công suất =&lt;2200KVA</v>
          </cell>
          <cell r="D2729" t="str">
            <v>bộ</v>
          </cell>
          <cell r="H2729">
            <v>35350</v>
          </cell>
          <cell r="I2729">
            <v>1734602.9032894736</v>
          </cell>
          <cell r="J2729">
            <v>387858.02399999998</v>
          </cell>
        </row>
        <row r="2730">
          <cell r="C2730" t="str">
            <v>Vật liệu</v>
          </cell>
          <cell r="G2730">
            <v>35350</v>
          </cell>
        </row>
        <row r="2731">
          <cell r="B2731">
            <v>4</v>
          </cell>
          <cell r="C2731" t="str">
            <v>Giấy ráp</v>
          </cell>
          <cell r="D2731" t="str">
            <v>tờ</v>
          </cell>
          <cell r="E2731">
            <v>1</v>
          </cell>
          <cell r="F2731">
            <v>10000</v>
          </cell>
          <cell r="G2731">
            <v>10000</v>
          </cell>
        </row>
        <row r="2732">
          <cell r="B2732">
            <v>1</v>
          </cell>
          <cell r="C2732" t="str">
            <v>Cồn công nghiệp</v>
          </cell>
          <cell r="D2732" t="str">
            <v>kg</v>
          </cell>
          <cell r="E2732">
            <v>0.6</v>
          </cell>
          <cell r="F2732">
            <v>9500</v>
          </cell>
          <cell r="G2732">
            <v>5700</v>
          </cell>
        </row>
        <row r="2733">
          <cell r="B2733">
            <v>8</v>
          </cell>
          <cell r="C2733" t="str">
            <v>Mỡ YOC</v>
          </cell>
          <cell r="D2733" t="str">
            <v>kg</v>
          </cell>
          <cell r="E2733">
            <v>0.1</v>
          </cell>
          <cell r="F2733">
            <v>35000</v>
          </cell>
          <cell r="G2733">
            <v>3500</v>
          </cell>
        </row>
        <row r="2734">
          <cell r="B2734">
            <v>9</v>
          </cell>
          <cell r="C2734" t="str">
            <v>Giẻ lau</v>
          </cell>
          <cell r="D2734" t="str">
            <v>kg</v>
          </cell>
          <cell r="E2734">
            <v>1.7</v>
          </cell>
          <cell r="F2734">
            <v>9500</v>
          </cell>
          <cell r="G2734">
            <v>16150</v>
          </cell>
        </row>
        <row r="2735">
          <cell r="C2735" t="str">
            <v>Nhân công</v>
          </cell>
          <cell r="G2735">
            <v>1734602.9032894736</v>
          </cell>
        </row>
        <row r="2736">
          <cell r="B2736" t="str">
            <v>NC1407</v>
          </cell>
          <cell r="C2736" t="str">
            <v>Ngày công bậc 4,0/7</v>
          </cell>
          <cell r="D2736" t="str">
            <v>công</v>
          </cell>
          <cell r="E2736">
            <v>8.91</v>
          </cell>
          <cell r="F2736">
            <v>194680.46052631579</v>
          </cell>
          <cell r="G2736">
            <v>1734602.9032894736</v>
          </cell>
        </row>
        <row r="2737">
          <cell r="C2737" t="str">
            <v>Máy thi công</v>
          </cell>
          <cell r="G2737">
            <v>387858.02399999998</v>
          </cell>
        </row>
        <row r="2738">
          <cell r="B2738">
            <v>8013</v>
          </cell>
          <cell r="C2738" t="str">
            <v>Cần trục bánh hơi 10 tấn</v>
          </cell>
          <cell r="D2738" t="str">
            <v>ca</v>
          </cell>
          <cell r="E2738">
            <v>0.2</v>
          </cell>
          <cell r="F2738">
            <v>1939290.1199999999</v>
          </cell>
          <cell r="G2738">
            <v>387858.02399999998</v>
          </cell>
        </row>
        <row r="2739">
          <cell r="A2739" t="str">
            <v>T2.5001</v>
          </cell>
          <cell r="C2739" t="str">
            <v>Lắp đặt chống sét van 500KV</v>
          </cell>
          <cell r="D2739" t="str">
            <v>bộ</v>
          </cell>
          <cell r="H2739">
            <v>69200</v>
          </cell>
          <cell r="I2739">
            <v>2336165.5263157897</v>
          </cell>
          <cell r="J2739">
            <v>581787.03599999996</v>
          </cell>
        </row>
        <row r="2740">
          <cell r="C2740" t="str">
            <v>Vật liệu</v>
          </cell>
          <cell r="G2740">
            <v>69200</v>
          </cell>
        </row>
        <row r="2741">
          <cell r="B2741">
            <v>3</v>
          </cell>
          <cell r="C2741" t="str">
            <v>Xăng</v>
          </cell>
          <cell r="D2741" t="str">
            <v>kg</v>
          </cell>
          <cell r="E2741">
            <v>0.6</v>
          </cell>
          <cell r="F2741">
            <v>18382</v>
          </cell>
        </row>
        <row r="2742">
          <cell r="B2742">
            <v>11</v>
          </cell>
          <cell r="C2742" t="str">
            <v>Vazơlin</v>
          </cell>
          <cell r="D2742" t="str">
            <v>kg</v>
          </cell>
          <cell r="E2742">
            <v>0.8</v>
          </cell>
          <cell r="F2742">
            <v>24000</v>
          </cell>
          <cell r="G2742">
            <v>19200</v>
          </cell>
        </row>
        <row r="2743">
          <cell r="B2743">
            <v>4</v>
          </cell>
          <cell r="C2743" t="str">
            <v>Giấy ráp</v>
          </cell>
          <cell r="D2743" t="str">
            <v>tờ</v>
          </cell>
          <cell r="E2743">
            <v>5</v>
          </cell>
          <cell r="F2743">
            <v>10000</v>
          </cell>
          <cell r="G2743">
            <v>50000</v>
          </cell>
        </row>
        <row r="2744">
          <cell r="B2744">
            <v>117</v>
          </cell>
          <cell r="C2744" t="str">
            <v>Vật liệu khác</v>
          </cell>
          <cell r="D2744" t="str">
            <v>%</v>
          </cell>
          <cell r="E2744">
            <v>5</v>
          </cell>
          <cell r="G2744">
            <v>3460</v>
          </cell>
        </row>
        <row r="2745">
          <cell r="C2745" t="str">
            <v>Nhân công</v>
          </cell>
          <cell r="G2745">
            <v>2336165.5263157897</v>
          </cell>
        </row>
        <row r="2746">
          <cell r="B2746" t="str">
            <v>NC1407</v>
          </cell>
          <cell r="C2746" t="str">
            <v>Ngày công bậc 4,0/7</v>
          </cell>
          <cell r="D2746" t="str">
            <v>công</v>
          </cell>
          <cell r="E2746">
            <v>12</v>
          </cell>
          <cell r="F2746">
            <v>194680.46052631579</v>
          </cell>
          <cell r="G2746">
            <v>2336165.5263157897</v>
          </cell>
        </row>
        <row r="2747">
          <cell r="C2747" t="str">
            <v>Máy thi công</v>
          </cell>
          <cell r="G2747">
            <v>581787.03599999996</v>
          </cell>
        </row>
        <row r="2748">
          <cell r="B2748">
            <v>8013</v>
          </cell>
          <cell r="C2748" t="str">
            <v>Cần trục bánh hơi 10 tấn</v>
          </cell>
          <cell r="D2748" t="str">
            <v>ca</v>
          </cell>
          <cell r="E2748">
            <v>0.3</v>
          </cell>
          <cell r="F2748">
            <v>1939290.1199999999</v>
          </cell>
          <cell r="G2748">
            <v>581787.03599999996</v>
          </cell>
        </row>
        <row r="2749">
          <cell r="A2749" t="str">
            <v>T2.5002</v>
          </cell>
          <cell r="C2749" t="str">
            <v>Lắp đặt chống sét van 220KV</v>
          </cell>
          <cell r="D2749" t="str">
            <v>bộ</v>
          </cell>
          <cell r="H2749">
            <v>69290.55</v>
          </cell>
          <cell r="I2749">
            <v>1752124.144736842</v>
          </cell>
          <cell r="J2749">
            <v>387858.02399999998</v>
          </cell>
        </row>
        <row r="2750">
          <cell r="C2750" t="str">
            <v>Vật liệu</v>
          </cell>
          <cell r="G2750">
            <v>69290.55</v>
          </cell>
        </row>
        <row r="2751">
          <cell r="B2751">
            <v>3</v>
          </cell>
          <cell r="C2751" t="str">
            <v>Xăng</v>
          </cell>
          <cell r="D2751" t="str">
            <v>kg</v>
          </cell>
          <cell r="E2751">
            <v>0.5</v>
          </cell>
          <cell r="F2751">
            <v>18382</v>
          </cell>
          <cell r="G2751">
            <v>9191</v>
          </cell>
        </row>
        <row r="2752">
          <cell r="B2752">
            <v>11</v>
          </cell>
          <cell r="C2752" t="str">
            <v>Vazơlin</v>
          </cell>
          <cell r="D2752" t="str">
            <v>kg</v>
          </cell>
          <cell r="E2752">
            <v>0.7</v>
          </cell>
          <cell r="F2752">
            <v>24000</v>
          </cell>
          <cell r="G2752">
            <v>16800</v>
          </cell>
        </row>
        <row r="2753">
          <cell r="B2753">
            <v>4</v>
          </cell>
          <cell r="C2753" t="str">
            <v>Giấy ráp</v>
          </cell>
          <cell r="D2753" t="str">
            <v>tờ</v>
          </cell>
          <cell r="E2753">
            <v>4</v>
          </cell>
          <cell r="F2753">
            <v>10000</v>
          </cell>
          <cell r="G2753">
            <v>40000</v>
          </cell>
        </row>
        <row r="2754">
          <cell r="B2754">
            <v>117</v>
          </cell>
          <cell r="C2754" t="str">
            <v>Vật liệu khác</v>
          </cell>
          <cell r="D2754" t="str">
            <v>%</v>
          </cell>
          <cell r="E2754">
            <v>5</v>
          </cell>
          <cell r="G2754">
            <v>3299.55</v>
          </cell>
        </row>
        <row r="2755">
          <cell r="C2755" t="str">
            <v>Nhân công</v>
          </cell>
          <cell r="G2755">
            <v>1752124.144736842</v>
          </cell>
        </row>
        <row r="2756">
          <cell r="B2756" t="str">
            <v>NC1407</v>
          </cell>
          <cell r="C2756" t="str">
            <v>Ngày công bậc 4,0/7</v>
          </cell>
          <cell r="D2756" t="str">
            <v>công</v>
          </cell>
          <cell r="E2756">
            <v>9</v>
          </cell>
          <cell r="F2756">
            <v>194680.46052631579</v>
          </cell>
          <cell r="G2756">
            <v>1752124.144736842</v>
          </cell>
        </row>
        <row r="2757">
          <cell r="C2757" t="str">
            <v>Máy thi công</v>
          </cell>
          <cell r="G2757">
            <v>387858.02399999998</v>
          </cell>
        </row>
        <row r="2758">
          <cell r="B2758">
            <v>8013</v>
          </cell>
          <cell r="C2758" t="str">
            <v>Cần trục bánh hơi 10 tấn</v>
          </cell>
          <cell r="D2758" t="str">
            <v>ca</v>
          </cell>
          <cell r="E2758">
            <v>0.2</v>
          </cell>
          <cell r="F2758">
            <v>1939290.1199999999</v>
          </cell>
          <cell r="G2758">
            <v>387858.02399999998</v>
          </cell>
        </row>
        <row r="2759">
          <cell r="A2759" t="str">
            <v>T2.5003</v>
          </cell>
          <cell r="C2759" t="str">
            <v>Lắp đặt chống sét van &lt;=110KV</v>
          </cell>
          <cell r="D2759" t="str">
            <v>bộ</v>
          </cell>
          <cell r="H2759">
            <v>29600</v>
          </cell>
          <cell r="I2759">
            <v>1051274.4868421054</v>
          </cell>
          <cell r="J2759">
            <v>387858.02399999998</v>
          </cell>
        </row>
        <row r="2760">
          <cell r="C2760" t="str">
            <v>Vật liệu</v>
          </cell>
          <cell r="G2760">
            <v>29600</v>
          </cell>
        </row>
        <row r="2761">
          <cell r="B2761">
            <v>3</v>
          </cell>
          <cell r="C2761" t="str">
            <v>Xăng</v>
          </cell>
          <cell r="D2761" t="str">
            <v>kg</v>
          </cell>
          <cell r="E2761">
            <v>0.3</v>
          </cell>
          <cell r="F2761">
            <v>18382</v>
          </cell>
        </row>
        <row r="2762">
          <cell r="B2762">
            <v>11</v>
          </cell>
          <cell r="C2762" t="str">
            <v>Vazơlin</v>
          </cell>
          <cell r="D2762" t="str">
            <v>kg</v>
          </cell>
          <cell r="E2762">
            <v>0.4</v>
          </cell>
          <cell r="F2762">
            <v>24000</v>
          </cell>
          <cell r="G2762">
            <v>9600</v>
          </cell>
        </row>
        <row r="2763">
          <cell r="B2763">
            <v>4</v>
          </cell>
          <cell r="C2763" t="str">
            <v>Giấy ráp</v>
          </cell>
          <cell r="D2763" t="str">
            <v>tờ</v>
          </cell>
          <cell r="E2763">
            <v>2</v>
          </cell>
          <cell r="F2763">
            <v>10000</v>
          </cell>
          <cell r="G2763">
            <v>20000</v>
          </cell>
        </row>
        <row r="2764">
          <cell r="B2764">
            <v>117</v>
          </cell>
          <cell r="C2764" t="str">
            <v>Vật liệu khác</v>
          </cell>
          <cell r="D2764" t="str">
            <v>%</v>
          </cell>
          <cell r="E2764">
            <v>5</v>
          </cell>
          <cell r="G2764">
            <v>1480</v>
          </cell>
        </row>
        <row r="2765">
          <cell r="C2765" t="str">
            <v>Nhân công</v>
          </cell>
          <cell r="G2765">
            <v>1051274.4868421054</v>
          </cell>
        </row>
        <row r="2766">
          <cell r="B2766" t="str">
            <v>NC1407</v>
          </cell>
          <cell r="C2766" t="str">
            <v>Ngày công bậc 4,0/7</v>
          </cell>
          <cell r="D2766" t="str">
            <v>công</v>
          </cell>
          <cell r="E2766">
            <v>5.4</v>
          </cell>
          <cell r="F2766">
            <v>194680.46052631579</v>
          </cell>
          <cell r="G2766">
            <v>1051274.4868421054</v>
          </cell>
        </row>
        <row r="2767">
          <cell r="C2767" t="str">
            <v>Máy thi công</v>
          </cell>
          <cell r="G2767">
            <v>387858.02399999998</v>
          </cell>
        </row>
        <row r="2768">
          <cell r="B2768">
            <v>8013</v>
          </cell>
          <cell r="C2768" t="str">
            <v>Cần trục bánh hơi 10 tấn</v>
          </cell>
          <cell r="D2768" t="str">
            <v>ca</v>
          </cell>
          <cell r="E2768">
            <v>0.2</v>
          </cell>
          <cell r="F2768">
            <v>1939290.1199999999</v>
          </cell>
          <cell r="G2768">
            <v>387858.02399999998</v>
          </cell>
        </row>
        <row r="2769">
          <cell r="A2769" t="str">
            <v>T2.5004</v>
          </cell>
          <cell r="C2769" t="str">
            <v>Lắp đặt chống sét van &lt;=35KV</v>
          </cell>
          <cell r="D2769" t="str">
            <v>bộ</v>
          </cell>
          <cell r="H2769">
            <v>21920.22</v>
          </cell>
          <cell r="I2769">
            <v>292020.69078947371</v>
          </cell>
        </row>
        <row r="2770">
          <cell r="C2770" t="str">
            <v>Vật liệu</v>
          </cell>
          <cell r="G2770">
            <v>21920.22</v>
          </cell>
        </row>
        <row r="2771">
          <cell r="B2771">
            <v>3</v>
          </cell>
          <cell r="C2771" t="str">
            <v>Xăng</v>
          </cell>
          <cell r="D2771" t="str">
            <v>kg</v>
          </cell>
          <cell r="E2771">
            <v>0.2</v>
          </cell>
          <cell r="F2771">
            <v>18382</v>
          </cell>
          <cell r="G2771">
            <v>3676.4</v>
          </cell>
        </row>
        <row r="2772">
          <cell r="B2772">
            <v>11</v>
          </cell>
          <cell r="C2772" t="str">
            <v>Vazơlin</v>
          </cell>
          <cell r="D2772" t="str">
            <v>kg</v>
          </cell>
          <cell r="E2772">
            <v>0.3</v>
          </cell>
          <cell r="F2772">
            <v>24000</v>
          </cell>
          <cell r="G2772">
            <v>7200</v>
          </cell>
        </row>
        <row r="2773">
          <cell r="B2773">
            <v>4</v>
          </cell>
          <cell r="C2773" t="str">
            <v>Giấy ráp</v>
          </cell>
          <cell r="D2773" t="str">
            <v>tờ</v>
          </cell>
          <cell r="E2773">
            <v>1</v>
          </cell>
          <cell r="F2773">
            <v>10000</v>
          </cell>
          <cell r="G2773">
            <v>10000</v>
          </cell>
        </row>
        <row r="2774">
          <cell r="B2774">
            <v>117</v>
          </cell>
          <cell r="C2774" t="str">
            <v>Vật liệu khác</v>
          </cell>
          <cell r="D2774" t="str">
            <v>%</v>
          </cell>
          <cell r="E2774">
            <v>5</v>
          </cell>
          <cell r="G2774">
            <v>1043.8200000000002</v>
          </cell>
        </row>
        <row r="2775">
          <cell r="C2775" t="str">
            <v>Nhân công</v>
          </cell>
          <cell r="G2775">
            <v>292020.69078947371</v>
          </cell>
        </row>
        <row r="2776">
          <cell r="B2776" t="str">
            <v>NC1407</v>
          </cell>
          <cell r="C2776" t="str">
            <v>Ngày công bậc 4,0/7</v>
          </cell>
          <cell r="D2776" t="str">
            <v>công</v>
          </cell>
          <cell r="E2776">
            <v>1.5</v>
          </cell>
          <cell r="F2776">
            <v>194680.46052631579</v>
          </cell>
          <cell r="G2776">
            <v>292020.69078947371</v>
          </cell>
        </row>
        <row r="2777">
          <cell r="A2777" t="str">
            <v>T2.5005</v>
          </cell>
          <cell r="C2777" t="str">
            <v>Lắp đặt chống sét van &lt;=11KV</v>
          </cell>
          <cell r="D2777" t="str">
            <v>bộ</v>
          </cell>
          <cell r="H2777">
            <v>18476.400000000001</v>
          </cell>
          <cell r="I2777">
            <v>87606.207236842107</v>
          </cell>
        </row>
        <row r="2778">
          <cell r="C2778" t="str">
            <v>Vật liệu</v>
          </cell>
          <cell r="G2778">
            <v>18476.400000000001</v>
          </cell>
        </row>
        <row r="2779">
          <cell r="B2779">
            <v>3</v>
          </cell>
          <cell r="C2779" t="str">
            <v>Xăng</v>
          </cell>
          <cell r="D2779" t="str">
            <v>kg</v>
          </cell>
          <cell r="E2779">
            <v>0.2</v>
          </cell>
          <cell r="F2779">
            <v>18382</v>
          </cell>
          <cell r="G2779">
            <v>3676.4</v>
          </cell>
        </row>
        <row r="2780">
          <cell r="B2780">
            <v>11</v>
          </cell>
          <cell r="C2780" t="str">
            <v>Vazơlin</v>
          </cell>
          <cell r="D2780" t="str">
            <v>kg</v>
          </cell>
          <cell r="E2780">
            <v>0.2</v>
          </cell>
          <cell r="F2780">
            <v>24000</v>
          </cell>
          <cell r="G2780">
            <v>4800</v>
          </cell>
        </row>
        <row r="2781">
          <cell r="B2781">
            <v>4</v>
          </cell>
          <cell r="C2781" t="str">
            <v>Giấy ráp</v>
          </cell>
          <cell r="D2781" t="str">
            <v>tờ</v>
          </cell>
          <cell r="E2781">
            <v>1</v>
          </cell>
          <cell r="F2781">
            <v>10000</v>
          </cell>
          <cell r="G2781">
            <v>10000</v>
          </cell>
        </row>
        <row r="2782">
          <cell r="B2782">
            <v>117</v>
          </cell>
          <cell r="C2782" t="str">
            <v>Vật liệu khác</v>
          </cell>
          <cell r="D2782" t="str">
            <v>%</v>
          </cell>
          <cell r="E2782">
            <v>5</v>
          </cell>
          <cell r="G2782">
            <v>740</v>
          </cell>
        </row>
        <row r="2783">
          <cell r="C2783" t="str">
            <v>Nhân công</v>
          </cell>
          <cell r="G2783">
            <v>87606.207236842107</v>
          </cell>
        </row>
        <row r="2784">
          <cell r="B2784" t="str">
            <v>NC1407</v>
          </cell>
          <cell r="C2784" t="str">
            <v>Ngày công bậc 4,0/7</v>
          </cell>
          <cell r="D2784" t="str">
            <v>công</v>
          </cell>
          <cell r="E2784">
            <v>0.45</v>
          </cell>
          <cell r="F2784">
            <v>194680.46052631579</v>
          </cell>
          <cell r="G2784">
            <v>87606.207236842107</v>
          </cell>
        </row>
        <row r="2785">
          <cell r="A2785" t="str">
            <v>T2.5006</v>
          </cell>
          <cell r="C2785" t="str">
            <v>Lắp đặt thiết bị triệt nhiễu</v>
          </cell>
          <cell r="D2785" t="str">
            <v>bộ</v>
          </cell>
          <cell r="H2785">
            <v>56800</v>
          </cell>
          <cell r="I2785">
            <v>1946804.6052631577</v>
          </cell>
          <cell r="J2785">
            <v>193929.01199999999</v>
          </cell>
        </row>
        <row r="2786">
          <cell r="C2786" t="str">
            <v>Vật liệu</v>
          </cell>
          <cell r="G2786">
            <v>56800</v>
          </cell>
        </row>
        <row r="2787">
          <cell r="B2787">
            <v>3</v>
          </cell>
          <cell r="C2787" t="str">
            <v>Xăng</v>
          </cell>
          <cell r="D2787" t="str">
            <v>kg</v>
          </cell>
          <cell r="E2787">
            <v>2.2000000000000002</v>
          </cell>
          <cell r="F2787">
            <v>18382</v>
          </cell>
        </row>
        <row r="2788">
          <cell r="B2788">
            <v>11</v>
          </cell>
          <cell r="C2788" t="str">
            <v>Vazơlin</v>
          </cell>
          <cell r="D2788" t="str">
            <v>kg</v>
          </cell>
          <cell r="E2788">
            <v>0.7</v>
          </cell>
          <cell r="F2788">
            <v>24000</v>
          </cell>
          <cell r="G2788">
            <v>16800</v>
          </cell>
        </row>
        <row r="2789">
          <cell r="B2789">
            <v>4</v>
          </cell>
          <cell r="C2789" t="str">
            <v>Giấy ráp</v>
          </cell>
          <cell r="D2789" t="str">
            <v>tờ</v>
          </cell>
          <cell r="E2789">
            <v>4</v>
          </cell>
          <cell r="F2789">
            <v>10000</v>
          </cell>
          <cell r="G2789">
            <v>40000</v>
          </cell>
        </row>
        <row r="2790">
          <cell r="B2790">
            <v>117</v>
          </cell>
          <cell r="C2790" t="str">
            <v>Vật liệu khác</v>
          </cell>
          <cell r="D2790" t="str">
            <v>%</v>
          </cell>
          <cell r="E2790">
            <v>5</v>
          </cell>
          <cell r="G2790">
            <v>2840</v>
          </cell>
        </row>
        <row r="2791">
          <cell r="C2791" t="str">
            <v>Nhân công</v>
          </cell>
          <cell r="G2791">
            <v>1946804.6052631577</v>
          </cell>
        </row>
        <row r="2792">
          <cell r="B2792" t="str">
            <v>NC1407</v>
          </cell>
          <cell r="C2792" t="str">
            <v>Ngày công bậc 4,0/7</v>
          </cell>
          <cell r="D2792" t="str">
            <v>công</v>
          </cell>
          <cell r="E2792">
            <v>10</v>
          </cell>
          <cell r="F2792">
            <v>194680.46052631579</v>
          </cell>
          <cell r="G2792">
            <v>1946804.6052631577</v>
          </cell>
        </row>
        <row r="2793">
          <cell r="C2793" t="str">
            <v>Máy thi công</v>
          </cell>
          <cell r="G2793">
            <v>193929.01199999999</v>
          </cell>
        </row>
        <row r="2794">
          <cell r="B2794">
            <v>8013</v>
          </cell>
          <cell r="C2794" t="str">
            <v>Cần trục bánh hơi 10 tấn</v>
          </cell>
          <cell r="D2794" t="str">
            <v>ca</v>
          </cell>
          <cell r="E2794">
            <v>0.1</v>
          </cell>
          <cell r="F2794">
            <v>1939290.1199999999</v>
          </cell>
          <cell r="G2794">
            <v>193929.01199999999</v>
          </cell>
        </row>
        <row r="2795">
          <cell r="A2795" t="str">
            <v>T2.5007</v>
          </cell>
          <cell r="C2795" t="str">
            <v>Lắp đặt thiết bị đếm sét</v>
          </cell>
          <cell r="D2795" t="str">
            <v>bộ</v>
          </cell>
          <cell r="H2795">
            <v>27714.6</v>
          </cell>
          <cell r="I2795">
            <v>175212.41447368421</v>
          </cell>
        </row>
        <row r="2796">
          <cell r="C2796" t="str">
            <v>Vật liệu</v>
          </cell>
          <cell r="G2796">
            <v>27714.6</v>
          </cell>
        </row>
        <row r="2797">
          <cell r="B2797">
            <v>3</v>
          </cell>
          <cell r="C2797" t="str">
            <v>Xăng</v>
          </cell>
          <cell r="D2797" t="str">
            <v>kg</v>
          </cell>
          <cell r="E2797">
            <v>0.3</v>
          </cell>
          <cell r="F2797">
            <v>18382</v>
          </cell>
          <cell r="G2797">
            <v>5514.5999999999995</v>
          </cell>
        </row>
        <row r="2798">
          <cell r="B2798">
            <v>11</v>
          </cell>
          <cell r="C2798" t="str">
            <v>Vazơlin</v>
          </cell>
          <cell r="D2798" t="str">
            <v>kg</v>
          </cell>
          <cell r="E2798">
            <v>0.3</v>
          </cell>
          <cell r="F2798">
            <v>24000</v>
          </cell>
          <cell r="G2798">
            <v>7200</v>
          </cell>
        </row>
        <row r="2799">
          <cell r="B2799">
            <v>4</v>
          </cell>
          <cell r="C2799" t="str">
            <v>Giấy ráp</v>
          </cell>
          <cell r="D2799" t="str">
            <v>tờ</v>
          </cell>
          <cell r="E2799">
            <v>1.5</v>
          </cell>
          <cell r="F2799">
            <v>10000</v>
          </cell>
          <cell r="G2799">
            <v>15000</v>
          </cell>
        </row>
        <row r="2800">
          <cell r="B2800">
            <v>117</v>
          </cell>
          <cell r="C2800" t="str">
            <v>Vật liệu khác</v>
          </cell>
          <cell r="D2800" t="str">
            <v>%</v>
          </cell>
          <cell r="E2800">
            <v>5</v>
          </cell>
          <cell r="G2800">
            <v>1110</v>
          </cell>
        </row>
        <row r="2801">
          <cell r="C2801" t="str">
            <v>Nhân công</v>
          </cell>
          <cell r="G2801">
            <v>175212.41447368421</v>
          </cell>
        </row>
        <row r="2802">
          <cell r="B2802" t="str">
            <v>NC1407</v>
          </cell>
          <cell r="C2802" t="str">
            <v>Ngày công bậc 4,0/7</v>
          </cell>
          <cell r="D2802" t="str">
            <v>công</v>
          </cell>
          <cell r="E2802">
            <v>0.9</v>
          </cell>
          <cell r="F2802">
            <v>194680.46052631579</v>
          </cell>
          <cell r="G2802">
            <v>175212.41447368421</v>
          </cell>
        </row>
        <row r="2803">
          <cell r="A2803" t="str">
            <v>T2.5008</v>
          </cell>
          <cell r="C2803" t="str">
            <v>Lắp đặt thiết bị chống sét hạ thế =&lt;1000v</v>
          </cell>
          <cell r="D2803" t="str">
            <v>bộ</v>
          </cell>
          <cell r="H2803">
            <v>29100.329999999998</v>
          </cell>
          <cell r="I2803">
            <v>175212.41447368421</v>
          </cell>
        </row>
        <row r="2804">
          <cell r="C2804" t="str">
            <v>Vật liệu</v>
          </cell>
          <cell r="G2804">
            <v>29100.329999999998</v>
          </cell>
        </row>
        <row r="2805">
          <cell r="B2805">
            <v>3</v>
          </cell>
          <cell r="C2805" t="str">
            <v>Xăng</v>
          </cell>
          <cell r="D2805" t="str">
            <v>kg</v>
          </cell>
          <cell r="E2805">
            <v>0.3</v>
          </cell>
          <cell r="F2805">
            <v>18382</v>
          </cell>
          <cell r="G2805">
            <v>5514.5999999999995</v>
          </cell>
        </row>
        <row r="2806">
          <cell r="B2806">
            <v>11</v>
          </cell>
          <cell r="C2806" t="str">
            <v>Vazơlin</v>
          </cell>
          <cell r="D2806" t="str">
            <v>kg</v>
          </cell>
          <cell r="E2806">
            <v>0.3</v>
          </cell>
          <cell r="F2806">
            <v>24000</v>
          </cell>
          <cell r="G2806">
            <v>7200</v>
          </cell>
        </row>
        <row r="2807">
          <cell r="B2807">
            <v>4</v>
          </cell>
          <cell r="C2807" t="str">
            <v>Giấy ráp</v>
          </cell>
          <cell r="D2807" t="str">
            <v>tờ</v>
          </cell>
          <cell r="E2807">
            <v>1.5</v>
          </cell>
          <cell r="F2807">
            <v>10000</v>
          </cell>
          <cell r="G2807">
            <v>15000</v>
          </cell>
        </row>
        <row r="2808">
          <cell r="B2808">
            <v>117</v>
          </cell>
          <cell r="C2808" t="str">
            <v>Vật liệu khác</v>
          </cell>
          <cell r="D2808" t="str">
            <v>%</v>
          </cell>
          <cell r="E2808">
            <v>5</v>
          </cell>
          <cell r="G2808">
            <v>1385.73</v>
          </cell>
        </row>
        <row r="2809">
          <cell r="C2809" t="str">
            <v>Nhân công</v>
          </cell>
          <cell r="G2809">
            <v>175212.41447368421</v>
          </cell>
        </row>
        <row r="2810">
          <cell r="B2810" t="str">
            <v>NC1407</v>
          </cell>
          <cell r="C2810" t="str">
            <v>Ngày công bậc 4,0/7</v>
          </cell>
          <cell r="D2810" t="str">
            <v>công</v>
          </cell>
          <cell r="E2810">
            <v>0.9</v>
          </cell>
          <cell r="F2810">
            <v>194680.46052631579</v>
          </cell>
          <cell r="G2810">
            <v>175212.41447368421</v>
          </cell>
        </row>
        <row r="2811">
          <cell r="A2811" t="str">
            <v>T2.6011</v>
          </cell>
          <cell r="C2811" t="str">
            <v>Lắp đặt bộ lọc PZ</v>
          </cell>
          <cell r="D2811" t="str">
            <v>bộ</v>
          </cell>
          <cell r="H2811">
            <v>16600</v>
          </cell>
          <cell r="I2811">
            <v>292020.69078947371</v>
          </cell>
          <cell r="J2811">
            <v>219862.47400000005</v>
          </cell>
        </row>
        <row r="2812">
          <cell r="C2812" t="str">
            <v>Vật liệu</v>
          </cell>
          <cell r="G2812">
            <v>16600</v>
          </cell>
        </row>
        <row r="2813">
          <cell r="B2813">
            <v>1</v>
          </cell>
          <cell r="C2813" t="str">
            <v>Cồn công nghiệp</v>
          </cell>
          <cell r="D2813" t="str">
            <v>kg</v>
          </cell>
          <cell r="E2813">
            <v>0.1</v>
          </cell>
          <cell r="F2813">
            <v>9500</v>
          </cell>
          <cell r="G2813">
            <v>950</v>
          </cell>
        </row>
        <row r="2814">
          <cell r="B2814">
            <v>11</v>
          </cell>
          <cell r="C2814" t="str">
            <v>Vazơlin</v>
          </cell>
          <cell r="D2814" t="str">
            <v>kg</v>
          </cell>
          <cell r="E2814">
            <v>0.1</v>
          </cell>
          <cell r="F2814">
            <v>24000</v>
          </cell>
          <cell r="G2814">
            <v>2400</v>
          </cell>
        </row>
        <row r="2815">
          <cell r="B2815">
            <v>8</v>
          </cell>
          <cell r="C2815" t="str">
            <v>Mỡ YOC</v>
          </cell>
          <cell r="D2815" t="str">
            <v>kg</v>
          </cell>
          <cell r="E2815">
            <v>0.1</v>
          </cell>
          <cell r="F2815">
            <v>35000</v>
          </cell>
          <cell r="G2815">
            <v>3500</v>
          </cell>
        </row>
        <row r="2816">
          <cell r="B2816">
            <v>4</v>
          </cell>
          <cell r="C2816" t="str">
            <v>Giấy ráp</v>
          </cell>
          <cell r="D2816" t="str">
            <v>tờ</v>
          </cell>
          <cell r="E2816">
            <v>0.5</v>
          </cell>
          <cell r="F2816">
            <v>10000</v>
          </cell>
          <cell r="G2816">
            <v>5000</v>
          </cell>
        </row>
        <row r="2817">
          <cell r="B2817">
            <v>9</v>
          </cell>
          <cell r="C2817" t="str">
            <v>Giẻ lau</v>
          </cell>
          <cell r="D2817" t="str">
            <v>kg</v>
          </cell>
          <cell r="E2817">
            <v>0.5</v>
          </cell>
          <cell r="F2817">
            <v>9500</v>
          </cell>
          <cell r="G2817">
            <v>4750</v>
          </cell>
        </row>
        <row r="2818">
          <cell r="C2818" t="str">
            <v>Nhân công</v>
          </cell>
          <cell r="G2818">
            <v>292020.69078947371</v>
          </cell>
        </row>
        <row r="2819">
          <cell r="B2819" t="str">
            <v>NC1407</v>
          </cell>
          <cell r="C2819" t="str">
            <v>Ngày công bậc 4,0/7</v>
          </cell>
          <cell r="D2819" t="str">
            <v>công</v>
          </cell>
          <cell r="E2819">
            <v>1.5</v>
          </cell>
          <cell r="F2819">
            <v>194680.46052631579</v>
          </cell>
          <cell r="G2819">
            <v>292020.69078947371</v>
          </cell>
        </row>
        <row r="2820">
          <cell r="C2820" t="str">
            <v>Máy thi công</v>
          </cell>
          <cell r="G2820">
            <v>219862.47400000005</v>
          </cell>
        </row>
        <row r="2821">
          <cell r="B2821">
            <v>8014</v>
          </cell>
          <cell r="C2821" t="str">
            <v>Cần trục bánh hơi 16 tấn</v>
          </cell>
          <cell r="D2821" t="str">
            <v>ca</v>
          </cell>
          <cell r="E2821">
            <v>0.1</v>
          </cell>
          <cell r="F2821">
            <v>2198624.7400000002</v>
          </cell>
          <cell r="G2821">
            <v>219862.47400000005</v>
          </cell>
        </row>
        <row r="2822">
          <cell r="A2822" t="str">
            <v>T2.6012</v>
          </cell>
          <cell r="C2822" t="str">
            <v>Lắp đặt tụ đện liên lạc CMP, tụ các loại</v>
          </cell>
          <cell r="D2822" t="str">
            <v>bộ</v>
          </cell>
          <cell r="H2822">
            <v>25400</v>
          </cell>
          <cell r="I2822">
            <v>584041.38157894742</v>
          </cell>
          <cell r="J2822">
            <v>219862.47400000005</v>
          </cell>
        </row>
        <row r="2823">
          <cell r="C2823" t="str">
            <v>Vật liệu</v>
          </cell>
          <cell r="G2823">
            <v>25400</v>
          </cell>
        </row>
        <row r="2824">
          <cell r="B2824">
            <v>1</v>
          </cell>
          <cell r="C2824" t="str">
            <v>Cồn công nghiệp</v>
          </cell>
          <cell r="D2824" t="str">
            <v>kg</v>
          </cell>
          <cell r="E2824">
            <v>0.2</v>
          </cell>
          <cell r="F2824">
            <v>9500</v>
          </cell>
          <cell r="G2824">
            <v>1900</v>
          </cell>
        </row>
        <row r="2825">
          <cell r="B2825">
            <v>11</v>
          </cell>
          <cell r="C2825" t="str">
            <v>Vazơlin</v>
          </cell>
          <cell r="D2825" t="str">
            <v>kg</v>
          </cell>
          <cell r="E2825">
            <v>0.1</v>
          </cell>
          <cell r="F2825">
            <v>24000</v>
          </cell>
          <cell r="G2825">
            <v>2400</v>
          </cell>
        </row>
        <row r="2826">
          <cell r="B2826">
            <v>8</v>
          </cell>
          <cell r="C2826" t="str">
            <v>Mỡ YOC</v>
          </cell>
          <cell r="D2826" t="str">
            <v>kg</v>
          </cell>
          <cell r="E2826">
            <v>0.1</v>
          </cell>
          <cell r="F2826">
            <v>35000</v>
          </cell>
          <cell r="G2826">
            <v>3500</v>
          </cell>
        </row>
        <row r="2827">
          <cell r="B2827">
            <v>4</v>
          </cell>
          <cell r="C2827" t="str">
            <v>Giấy ráp</v>
          </cell>
          <cell r="D2827" t="str">
            <v>tờ</v>
          </cell>
          <cell r="E2827">
            <v>1</v>
          </cell>
          <cell r="F2827">
            <v>10000</v>
          </cell>
          <cell r="G2827">
            <v>10000</v>
          </cell>
        </row>
        <row r="2828">
          <cell r="B2828">
            <v>9</v>
          </cell>
          <cell r="C2828" t="str">
            <v>Giẻ lau</v>
          </cell>
          <cell r="D2828" t="str">
            <v>kg</v>
          </cell>
          <cell r="E2828">
            <v>0.8</v>
          </cell>
          <cell r="F2828">
            <v>9500</v>
          </cell>
          <cell r="G2828">
            <v>7600</v>
          </cell>
        </row>
        <row r="2829">
          <cell r="C2829" t="str">
            <v>Nhân công</v>
          </cell>
          <cell r="G2829">
            <v>584041.38157894742</v>
          </cell>
        </row>
        <row r="2830">
          <cell r="B2830" t="str">
            <v>NC1407</v>
          </cell>
          <cell r="C2830" t="str">
            <v>Ngày công bậc 4,0/7</v>
          </cell>
          <cell r="D2830" t="str">
            <v>công</v>
          </cell>
          <cell r="E2830">
            <v>3</v>
          </cell>
          <cell r="F2830">
            <v>194680.46052631579</v>
          </cell>
          <cell r="G2830">
            <v>584041.38157894742</v>
          </cell>
        </row>
        <row r="2831">
          <cell r="C2831" t="str">
            <v>Máy thi công</v>
          </cell>
          <cell r="G2831">
            <v>219862.47400000005</v>
          </cell>
        </row>
        <row r="2832">
          <cell r="B2832">
            <v>8014</v>
          </cell>
          <cell r="C2832" t="str">
            <v>Cần trục bánh hơi 16 tấn</v>
          </cell>
          <cell r="D2832" t="str">
            <v>ca</v>
          </cell>
          <cell r="E2832">
            <v>0.1</v>
          </cell>
          <cell r="F2832">
            <v>2198624.7400000002</v>
          </cell>
          <cell r="G2832">
            <v>219862.47400000005</v>
          </cell>
        </row>
        <row r="2833">
          <cell r="A2833" t="str">
            <v>T2.6013</v>
          </cell>
          <cell r="C2833" t="str">
            <v>Lắp đặt cuộn cản cao tần</v>
          </cell>
          <cell r="D2833" t="str">
            <v>bộ</v>
          </cell>
          <cell r="H2833">
            <v>40250</v>
          </cell>
          <cell r="I2833">
            <v>545105.28947368416</v>
          </cell>
          <cell r="J2833">
            <v>395752.45320000005</v>
          </cell>
        </row>
        <row r="2834">
          <cell r="C2834" t="str">
            <v>Vật liệu</v>
          </cell>
          <cell r="G2834">
            <v>40250</v>
          </cell>
        </row>
        <row r="2835">
          <cell r="B2835">
            <v>1</v>
          </cell>
          <cell r="C2835" t="str">
            <v>Cồn công nghiệp</v>
          </cell>
          <cell r="D2835" t="str">
            <v>kg</v>
          </cell>
          <cell r="E2835">
            <v>0.5</v>
          </cell>
          <cell r="F2835">
            <v>9500</v>
          </cell>
          <cell r="G2835">
            <v>4750</v>
          </cell>
        </row>
        <row r="2836">
          <cell r="B2836">
            <v>11</v>
          </cell>
          <cell r="C2836" t="str">
            <v>Vazơlin</v>
          </cell>
          <cell r="D2836" t="str">
            <v>kg</v>
          </cell>
          <cell r="E2836">
            <v>0.1</v>
          </cell>
          <cell r="F2836">
            <v>24000</v>
          </cell>
          <cell r="G2836">
            <v>2400</v>
          </cell>
        </row>
        <row r="2837">
          <cell r="B2837">
            <v>8</v>
          </cell>
          <cell r="C2837" t="str">
            <v>Mỡ YOC</v>
          </cell>
          <cell r="D2837" t="str">
            <v>kg</v>
          </cell>
          <cell r="E2837">
            <v>0.16</v>
          </cell>
          <cell r="F2837">
            <v>35000</v>
          </cell>
          <cell r="G2837">
            <v>5600</v>
          </cell>
        </row>
        <row r="2838">
          <cell r="B2838">
            <v>4</v>
          </cell>
          <cell r="C2838" t="str">
            <v>Giấy ráp</v>
          </cell>
          <cell r="D2838" t="str">
            <v>tờ</v>
          </cell>
          <cell r="E2838">
            <v>1.8</v>
          </cell>
          <cell r="F2838">
            <v>10000</v>
          </cell>
          <cell r="G2838">
            <v>18000</v>
          </cell>
        </row>
        <row r="2839">
          <cell r="B2839">
            <v>9</v>
          </cell>
          <cell r="C2839" t="str">
            <v>Giẻ lau</v>
          </cell>
          <cell r="D2839" t="str">
            <v>kg</v>
          </cell>
          <cell r="E2839">
            <v>1</v>
          </cell>
          <cell r="F2839">
            <v>9500</v>
          </cell>
          <cell r="G2839">
            <v>9500</v>
          </cell>
        </row>
        <row r="2840">
          <cell r="C2840" t="str">
            <v>Nhân công</v>
          </cell>
          <cell r="G2840">
            <v>545105.28947368416</v>
          </cell>
        </row>
        <row r="2841">
          <cell r="B2841" t="str">
            <v>NC1407</v>
          </cell>
          <cell r="C2841" t="str">
            <v>Ngày công bậc 4,0/7</v>
          </cell>
          <cell r="D2841" t="str">
            <v>công</v>
          </cell>
          <cell r="E2841">
            <v>2.8</v>
          </cell>
          <cell r="F2841">
            <v>194680.46052631579</v>
          </cell>
          <cell r="G2841">
            <v>545105.28947368416</v>
          </cell>
        </row>
        <row r="2842">
          <cell r="C2842" t="str">
            <v>Máy thi công</v>
          </cell>
          <cell r="G2842">
            <v>395752.45320000005</v>
          </cell>
        </row>
        <row r="2843">
          <cell r="B2843">
            <v>8014</v>
          </cell>
          <cell r="C2843" t="str">
            <v>Cần trục bánh hơi 16 tấn</v>
          </cell>
          <cell r="D2843" t="str">
            <v>ca</v>
          </cell>
          <cell r="E2843">
            <v>0.18</v>
          </cell>
          <cell r="F2843">
            <v>2198624.7400000002</v>
          </cell>
          <cell r="G2843">
            <v>395752.45320000005</v>
          </cell>
        </row>
        <row r="2844">
          <cell r="A2844" t="str">
            <v>T2.7011</v>
          </cell>
          <cell r="C2844" t="str">
            <v>Lắp đặt giá đỡ ắc qui</v>
          </cell>
          <cell r="D2844" t="str">
            <v>10kg</v>
          </cell>
          <cell r="H2844">
            <v>15350</v>
          </cell>
          <cell r="I2844">
            <v>224177.5</v>
          </cell>
          <cell r="J2844">
            <v>774.62923076923084</v>
          </cell>
        </row>
        <row r="2845">
          <cell r="C2845" t="str">
            <v>Vật liệu</v>
          </cell>
          <cell r="G2845">
            <v>15350</v>
          </cell>
        </row>
        <row r="2846">
          <cell r="B2846">
            <v>14</v>
          </cell>
          <cell r="C2846" t="str">
            <v>Sơn màu ghi</v>
          </cell>
          <cell r="D2846" t="str">
            <v>kg</v>
          </cell>
          <cell r="E2846">
            <v>0.2</v>
          </cell>
          <cell r="F2846">
            <v>47000</v>
          </cell>
          <cell r="G2846">
            <v>9400</v>
          </cell>
        </row>
        <row r="2847">
          <cell r="B2847">
            <v>4</v>
          </cell>
          <cell r="C2847" t="str">
            <v>Giấy ráp</v>
          </cell>
          <cell r="D2847" t="str">
            <v>tờ</v>
          </cell>
          <cell r="E2847">
            <v>0.5</v>
          </cell>
          <cell r="F2847">
            <v>10000</v>
          </cell>
          <cell r="G2847">
            <v>5000</v>
          </cell>
        </row>
        <row r="2848">
          <cell r="B2848">
            <v>9</v>
          </cell>
          <cell r="C2848" t="str">
            <v>Giẻ lau</v>
          </cell>
          <cell r="D2848" t="str">
            <v>kg</v>
          </cell>
          <cell r="E2848">
            <v>0.1</v>
          </cell>
          <cell r="F2848">
            <v>9500</v>
          </cell>
          <cell r="G2848">
            <v>950</v>
          </cell>
        </row>
        <row r="2849">
          <cell r="C2849" t="str">
            <v>Nhân công</v>
          </cell>
          <cell r="G2849">
            <v>224177.5</v>
          </cell>
        </row>
        <row r="2850">
          <cell r="B2850" t="str">
            <v>NC1357</v>
          </cell>
          <cell r="C2850" t="str">
            <v>Ngày công bậc 3,5/7</v>
          </cell>
          <cell r="D2850" t="str">
            <v>công</v>
          </cell>
          <cell r="E2850">
            <v>1.25</v>
          </cell>
          <cell r="F2850">
            <v>179342</v>
          </cell>
          <cell r="G2850">
            <v>224177.5</v>
          </cell>
        </row>
        <row r="2851">
          <cell r="C2851" t="str">
            <v>Máy thi công</v>
          </cell>
          <cell r="G2851">
            <v>774.62923076923084</v>
          </cell>
        </row>
        <row r="2852">
          <cell r="B2852">
            <v>8001</v>
          </cell>
          <cell r="C2852" t="str">
            <v>Máy khoan điện cầm tay 0,6kw</v>
          </cell>
          <cell r="D2852" t="str">
            <v>ca</v>
          </cell>
          <cell r="E2852">
            <v>0.05</v>
          </cell>
          <cell r="F2852">
            <v>15492.584615384616</v>
          </cell>
          <cell r="G2852">
            <v>774.62923076923084</v>
          </cell>
        </row>
        <row r="2853">
          <cell r="A2853" t="str">
            <v>T2.7012</v>
          </cell>
          <cell r="C2853" t="str">
            <v>Lắp đặt giá đỡ dây cái trần</v>
          </cell>
          <cell r="D2853" t="str">
            <v>10kg</v>
          </cell>
          <cell r="H2853">
            <v>15350</v>
          </cell>
          <cell r="I2853">
            <v>236731.44</v>
          </cell>
          <cell r="J2853">
            <v>1549.2584615384617</v>
          </cell>
        </row>
        <row r="2854">
          <cell r="C2854" t="str">
            <v>Vật liệu</v>
          </cell>
          <cell r="G2854">
            <v>15350</v>
          </cell>
        </row>
        <row r="2855">
          <cell r="B2855">
            <v>14</v>
          </cell>
          <cell r="C2855" t="str">
            <v>Sơn màu ghi</v>
          </cell>
          <cell r="D2855" t="str">
            <v>kg</v>
          </cell>
          <cell r="E2855">
            <v>0.2</v>
          </cell>
          <cell r="F2855">
            <v>47000</v>
          </cell>
          <cell r="G2855">
            <v>9400</v>
          </cell>
        </row>
        <row r="2856">
          <cell r="B2856">
            <v>4</v>
          </cell>
          <cell r="C2856" t="str">
            <v>Giấy ráp</v>
          </cell>
          <cell r="D2856" t="str">
            <v>tờ</v>
          </cell>
          <cell r="E2856">
            <v>0.5</v>
          </cell>
          <cell r="F2856">
            <v>10000</v>
          </cell>
          <cell r="G2856">
            <v>5000</v>
          </cell>
        </row>
        <row r="2857">
          <cell r="B2857">
            <v>9</v>
          </cell>
          <cell r="C2857" t="str">
            <v>Giẻ lau</v>
          </cell>
          <cell r="D2857" t="str">
            <v>kg</v>
          </cell>
          <cell r="E2857">
            <v>0.1</v>
          </cell>
          <cell r="F2857">
            <v>9500</v>
          </cell>
          <cell r="G2857">
            <v>950</v>
          </cell>
        </row>
        <row r="2858">
          <cell r="C2858" t="str">
            <v>Nhân công</v>
          </cell>
          <cell r="G2858">
            <v>236731.44</v>
          </cell>
        </row>
        <row r="2859">
          <cell r="B2859" t="str">
            <v>NC1357</v>
          </cell>
          <cell r="C2859" t="str">
            <v>Ngày công bậc 3,5/7</v>
          </cell>
          <cell r="D2859" t="str">
            <v>công</v>
          </cell>
          <cell r="E2859">
            <v>1.32</v>
          </cell>
          <cell r="F2859">
            <v>179342</v>
          </cell>
          <cell r="G2859">
            <v>236731.44</v>
          </cell>
        </row>
        <row r="2860">
          <cell r="C2860" t="str">
            <v>Máy thi công</v>
          </cell>
          <cell r="G2860">
            <v>1549.2584615384617</v>
          </cell>
        </row>
        <row r="2861">
          <cell r="B2861">
            <v>8001</v>
          </cell>
          <cell r="C2861" t="str">
            <v>Máy khoan điện cầm tay 0,6kw</v>
          </cell>
          <cell r="D2861" t="str">
            <v>ca</v>
          </cell>
          <cell r="E2861">
            <v>0.1</v>
          </cell>
          <cell r="F2861">
            <v>15492.584615384616</v>
          </cell>
          <cell r="G2861">
            <v>1549.2584615384617</v>
          </cell>
        </row>
        <row r="2862">
          <cell r="A2862" t="str">
            <v>T2.7013</v>
          </cell>
          <cell r="C2862" t="str">
            <v>Lắp đặt dây cái</v>
          </cell>
          <cell r="D2862" t="str">
            <v>10m</v>
          </cell>
          <cell r="H2862">
            <v>14150</v>
          </cell>
          <cell r="I2862">
            <v>448355</v>
          </cell>
        </row>
        <row r="2863">
          <cell r="C2863" t="str">
            <v>Vật liệu</v>
          </cell>
          <cell r="G2863">
            <v>14150</v>
          </cell>
        </row>
        <row r="2864">
          <cell r="B2864">
            <v>14</v>
          </cell>
          <cell r="C2864" t="str">
            <v>Sơn màu ghi</v>
          </cell>
          <cell r="D2864" t="str">
            <v>kg</v>
          </cell>
          <cell r="E2864">
            <v>0.2</v>
          </cell>
          <cell r="F2864">
            <v>47000</v>
          </cell>
          <cell r="G2864">
            <v>9400</v>
          </cell>
        </row>
        <row r="2865">
          <cell r="B2865">
            <v>4</v>
          </cell>
          <cell r="C2865" t="str">
            <v>Xăng</v>
          </cell>
          <cell r="D2865" t="str">
            <v>kg</v>
          </cell>
          <cell r="E2865">
            <v>0.5</v>
          </cell>
          <cell r="F2865">
            <v>10000</v>
          </cell>
        </row>
        <row r="2866">
          <cell r="B2866">
            <v>9</v>
          </cell>
          <cell r="C2866" t="str">
            <v>Giấy ráp</v>
          </cell>
          <cell r="D2866" t="str">
            <v>tờ</v>
          </cell>
          <cell r="E2866">
            <v>0.5</v>
          </cell>
          <cell r="F2866">
            <v>9500</v>
          </cell>
          <cell r="G2866">
            <v>4750</v>
          </cell>
        </row>
        <row r="2867">
          <cell r="C2867" t="str">
            <v>Giẻ lau</v>
          </cell>
          <cell r="D2867" t="str">
            <v>kg</v>
          </cell>
          <cell r="E2867">
            <v>0.08</v>
          </cell>
          <cell r="G2867">
            <v>0</v>
          </cell>
        </row>
        <row r="2868">
          <cell r="C2868" t="str">
            <v>Nhân công</v>
          </cell>
          <cell r="G2868">
            <v>448355</v>
          </cell>
        </row>
        <row r="2869">
          <cell r="B2869" t="str">
            <v>NC1357</v>
          </cell>
          <cell r="C2869" t="str">
            <v>Ngày công bậc 3,5/7</v>
          </cell>
          <cell r="D2869" t="str">
            <v>công</v>
          </cell>
          <cell r="E2869">
            <v>2.5</v>
          </cell>
          <cell r="F2869">
            <v>179342</v>
          </cell>
          <cell r="G2869">
            <v>448355</v>
          </cell>
        </row>
        <row r="2870">
          <cell r="A2870" t="str">
            <v>T2.7021</v>
          </cell>
          <cell r="C2870" t="str">
            <v>Lắp đặt ắcqui đã tổ hợp</v>
          </cell>
          <cell r="D2870" t="str">
            <v>10 bình</v>
          </cell>
          <cell r="H2870">
            <v>27200</v>
          </cell>
          <cell r="I2870">
            <v>891636.50921052636</v>
          </cell>
        </row>
        <row r="2871">
          <cell r="C2871" t="str">
            <v>Vật liệu</v>
          </cell>
          <cell r="G2871">
            <v>27200</v>
          </cell>
        </row>
        <row r="2872">
          <cell r="B2872">
            <v>7</v>
          </cell>
          <cell r="C2872" t="str">
            <v>Sơn chống axít</v>
          </cell>
          <cell r="D2872" t="str">
            <v>kg</v>
          </cell>
          <cell r="E2872">
            <v>0.2</v>
          </cell>
          <cell r="F2872">
            <v>36000</v>
          </cell>
          <cell r="G2872">
            <v>7200</v>
          </cell>
        </row>
        <row r="2873">
          <cell r="B2873">
            <v>3</v>
          </cell>
          <cell r="C2873" t="str">
            <v>Xăng</v>
          </cell>
          <cell r="D2873" t="str">
            <v>kg</v>
          </cell>
          <cell r="E2873">
            <v>1</v>
          </cell>
          <cell r="F2873">
            <v>18382</v>
          </cell>
        </row>
        <row r="2874">
          <cell r="B2874">
            <v>4</v>
          </cell>
          <cell r="C2874" t="str">
            <v>Giấy ráp</v>
          </cell>
          <cell r="D2874" t="str">
            <v>tờ</v>
          </cell>
          <cell r="E2874">
            <v>2</v>
          </cell>
          <cell r="F2874">
            <v>10000</v>
          </cell>
          <cell r="G2874">
            <v>20000</v>
          </cell>
        </row>
        <row r="2875">
          <cell r="B2875">
            <v>9</v>
          </cell>
          <cell r="C2875" t="str">
            <v>Giẻ lau</v>
          </cell>
          <cell r="D2875" t="str">
            <v>kg</v>
          </cell>
          <cell r="E2875">
            <v>1</v>
          </cell>
          <cell r="F2875">
            <v>9500</v>
          </cell>
          <cell r="G2875">
            <v>9500</v>
          </cell>
        </row>
        <row r="2876">
          <cell r="C2876" t="str">
            <v>Nhân công</v>
          </cell>
          <cell r="G2876">
            <v>891636.50921052636</v>
          </cell>
        </row>
        <row r="2877">
          <cell r="B2877" t="str">
            <v>NC1407</v>
          </cell>
          <cell r="C2877" t="str">
            <v>Ngày công bậc 4,0/7</v>
          </cell>
          <cell r="D2877" t="str">
            <v>công</v>
          </cell>
          <cell r="E2877">
            <v>4.58</v>
          </cell>
          <cell r="F2877">
            <v>194680.46052631579</v>
          </cell>
          <cell r="G2877">
            <v>891636.50921052636</v>
          </cell>
        </row>
        <row r="2878">
          <cell r="A2878" t="str">
            <v>T2.7022</v>
          </cell>
          <cell r="C2878" t="str">
            <v>Nạp điện cho hệ thống ắc qui đã luyện cực</v>
          </cell>
          <cell r="D2878" t="str">
            <v>hệ thống</v>
          </cell>
          <cell r="H2878">
            <v>178500</v>
          </cell>
          <cell r="I2878">
            <v>7787218.421052631</v>
          </cell>
        </row>
        <row r="2879">
          <cell r="C2879" t="str">
            <v>Vật liệu</v>
          </cell>
          <cell r="G2879">
            <v>178500</v>
          </cell>
        </row>
        <row r="2880">
          <cell r="B2880">
            <v>137</v>
          </cell>
          <cell r="C2880" t="str">
            <v>Năng lượng điện</v>
          </cell>
          <cell r="D2880" t="str">
            <v>kwh</v>
          </cell>
          <cell r="E2880">
            <v>100</v>
          </cell>
          <cell r="F2880">
            <v>1500</v>
          </cell>
          <cell r="G2880">
            <v>150000</v>
          </cell>
        </row>
        <row r="2881">
          <cell r="B2881">
            <v>9</v>
          </cell>
          <cell r="C2881" t="str">
            <v>Giẻ lau</v>
          </cell>
          <cell r="D2881" t="str">
            <v>kg</v>
          </cell>
          <cell r="E2881">
            <v>3</v>
          </cell>
          <cell r="F2881">
            <v>9500</v>
          </cell>
          <cell r="G2881">
            <v>28500</v>
          </cell>
        </row>
        <row r="2882">
          <cell r="C2882" t="str">
            <v>Nhân công</v>
          </cell>
          <cell r="G2882">
            <v>7787218.421052631</v>
          </cell>
        </row>
        <row r="2883">
          <cell r="B2883" t="str">
            <v>NC1407</v>
          </cell>
          <cell r="C2883" t="str">
            <v>Ngày công bậc 4,0/7</v>
          </cell>
          <cell r="D2883" t="str">
            <v>công</v>
          </cell>
          <cell r="E2883">
            <v>40</v>
          </cell>
          <cell r="F2883">
            <v>194680.46052631579</v>
          </cell>
          <cell r="G2883">
            <v>7787218.421052631</v>
          </cell>
        </row>
        <row r="2884">
          <cell r="A2884" t="str">
            <v>T2.7023</v>
          </cell>
          <cell r="C2884" t="str">
            <v>Lắp hệ thống nạp ắc qui tự động</v>
          </cell>
          <cell r="D2884" t="str">
            <v>hệ thống</v>
          </cell>
          <cell r="H2884">
            <v>23132</v>
          </cell>
          <cell r="I2884">
            <v>438031.0361842105</v>
          </cell>
          <cell r="J2884">
            <v>3098.5169230769234</v>
          </cell>
        </row>
        <row r="2885">
          <cell r="C2885" t="str">
            <v>Vật liệu</v>
          </cell>
          <cell r="G2885">
            <v>23132</v>
          </cell>
        </row>
        <row r="2886">
          <cell r="B2886">
            <v>3</v>
          </cell>
          <cell r="C2886" t="str">
            <v>Xăng</v>
          </cell>
          <cell r="D2886" t="str">
            <v>kg</v>
          </cell>
          <cell r="E2886">
            <v>1</v>
          </cell>
          <cell r="F2886">
            <v>18382</v>
          </cell>
          <cell r="G2886">
            <v>18382</v>
          </cell>
        </row>
        <row r="2887">
          <cell r="B2887">
            <v>9</v>
          </cell>
          <cell r="C2887" t="str">
            <v>Giẻ lau</v>
          </cell>
          <cell r="D2887" t="str">
            <v>kg</v>
          </cell>
          <cell r="E2887">
            <v>0.5</v>
          </cell>
          <cell r="F2887">
            <v>9500</v>
          </cell>
          <cell r="G2887">
            <v>4750</v>
          </cell>
        </row>
        <row r="2888">
          <cell r="C2888" t="str">
            <v>Nhân công</v>
          </cell>
          <cell r="G2888">
            <v>438031.0361842105</v>
          </cell>
        </row>
        <row r="2889">
          <cell r="B2889" t="str">
            <v>NC1407</v>
          </cell>
          <cell r="C2889" t="str">
            <v>Ngày công bậc 4,0/7</v>
          </cell>
          <cell r="D2889" t="str">
            <v>công</v>
          </cell>
          <cell r="E2889">
            <v>2.25</v>
          </cell>
          <cell r="F2889">
            <v>194680.46052631579</v>
          </cell>
          <cell r="G2889">
            <v>438031.0361842105</v>
          </cell>
        </row>
        <row r="2890">
          <cell r="C2890" t="str">
            <v>Máy thi công</v>
          </cell>
          <cell r="G2890">
            <v>3098.5169230769234</v>
          </cell>
        </row>
        <row r="2891">
          <cell r="B2891">
            <v>8001</v>
          </cell>
          <cell r="C2891" t="str">
            <v>Máy khoan điện cầm tay 0,6kw</v>
          </cell>
          <cell r="D2891" t="str">
            <v>ca</v>
          </cell>
          <cell r="E2891">
            <v>0.2</v>
          </cell>
          <cell r="F2891">
            <v>15492.584615384616</v>
          </cell>
          <cell r="G2891">
            <v>3098.5169230769234</v>
          </cell>
        </row>
        <row r="2892">
          <cell r="A2892" t="str">
            <v>T2.7024</v>
          </cell>
          <cell r="C2892" t="str">
            <v>Lắp hệ thống nạp ắc qui không tự động</v>
          </cell>
          <cell r="D2892" t="str">
            <v>hệ thống</v>
          </cell>
          <cell r="H2892">
            <v>37073</v>
          </cell>
          <cell r="I2892">
            <v>657046.55427631573</v>
          </cell>
          <cell r="J2892">
            <v>3098.5169230769234</v>
          </cell>
        </row>
        <row r="2893">
          <cell r="C2893" t="str">
            <v>Vật liệu</v>
          </cell>
          <cell r="G2893">
            <v>37073</v>
          </cell>
        </row>
        <row r="2894">
          <cell r="B2894">
            <v>3</v>
          </cell>
          <cell r="C2894" t="str">
            <v>Xăng</v>
          </cell>
          <cell r="D2894" t="str">
            <v>kg</v>
          </cell>
          <cell r="E2894">
            <v>1.5</v>
          </cell>
          <cell r="F2894">
            <v>18382</v>
          </cell>
          <cell r="G2894">
            <v>27573</v>
          </cell>
        </row>
        <row r="2895">
          <cell r="B2895">
            <v>9</v>
          </cell>
          <cell r="C2895" t="str">
            <v>Giẻ lau</v>
          </cell>
          <cell r="D2895" t="str">
            <v>kg</v>
          </cell>
          <cell r="E2895">
            <v>1</v>
          </cell>
          <cell r="F2895">
            <v>9500</v>
          </cell>
          <cell r="G2895">
            <v>9500</v>
          </cell>
        </row>
        <row r="2896">
          <cell r="C2896" t="str">
            <v>Nhân công</v>
          </cell>
          <cell r="G2896">
            <v>657046.55427631573</v>
          </cell>
        </row>
        <row r="2897">
          <cell r="B2897" t="str">
            <v>NC1407</v>
          </cell>
          <cell r="C2897" t="str">
            <v>Ngày công bậc 4,0/7</v>
          </cell>
          <cell r="D2897" t="str">
            <v>công</v>
          </cell>
          <cell r="E2897">
            <v>3.375</v>
          </cell>
          <cell r="F2897">
            <v>194680.46052631579</v>
          </cell>
          <cell r="G2897">
            <v>657046.55427631573</v>
          </cell>
        </row>
        <row r="2898">
          <cell r="C2898" t="str">
            <v>Máy thi công</v>
          </cell>
          <cell r="G2898">
            <v>3098.5169230769234</v>
          </cell>
        </row>
        <row r="2899">
          <cell r="B2899">
            <v>8001</v>
          </cell>
          <cell r="C2899" t="str">
            <v>Máy khoan điện cầm tay 0,6kw</v>
          </cell>
          <cell r="D2899" t="str">
            <v>ca</v>
          </cell>
          <cell r="E2899">
            <v>0.2</v>
          </cell>
          <cell r="F2899">
            <v>15492.584615384616</v>
          </cell>
          <cell r="G2899">
            <v>3098.5169230769234</v>
          </cell>
        </row>
        <row r="2900">
          <cell r="A2900" t="str">
            <v>T2.8101</v>
          </cell>
          <cell r="C2900" t="str">
            <v>Lắp đặt tổ máy phát điện</v>
          </cell>
          <cell r="D2900" t="str">
            <v>tấn</v>
          </cell>
          <cell r="H2900">
            <v>243839</v>
          </cell>
          <cell r="I2900">
            <v>1109678.625</v>
          </cell>
          <cell r="J2900">
            <v>13234.140000000003</v>
          </cell>
        </row>
        <row r="2901">
          <cell r="C2901" t="str">
            <v>Vật liệu</v>
          </cell>
          <cell r="G2901">
            <v>243839</v>
          </cell>
        </row>
        <row r="2902">
          <cell r="B2902">
            <v>8</v>
          </cell>
          <cell r="C2902" t="str">
            <v>Mỡ YOC</v>
          </cell>
          <cell r="D2902" t="str">
            <v>kg</v>
          </cell>
          <cell r="E2902">
            <v>0.5</v>
          </cell>
          <cell r="F2902">
            <v>35000</v>
          </cell>
          <cell r="G2902">
            <v>17500</v>
          </cell>
        </row>
        <row r="2903">
          <cell r="B2903">
            <v>16</v>
          </cell>
          <cell r="C2903" t="str">
            <v>Dầu nhờn</v>
          </cell>
          <cell r="D2903" t="str">
            <v>kg</v>
          </cell>
          <cell r="E2903">
            <v>5</v>
          </cell>
          <cell r="F2903">
            <v>12753</v>
          </cell>
          <cell r="G2903">
            <v>63765</v>
          </cell>
        </row>
        <row r="2904">
          <cell r="B2904">
            <v>17</v>
          </cell>
          <cell r="C2904" t="str">
            <v>Dầu Diezen</v>
          </cell>
          <cell r="D2904" t="str">
            <v>kg</v>
          </cell>
          <cell r="E2904">
            <v>2</v>
          </cell>
          <cell r="F2904">
            <v>14644</v>
          </cell>
          <cell r="G2904">
            <v>29288</v>
          </cell>
        </row>
        <row r="2905">
          <cell r="B2905">
            <v>18</v>
          </cell>
          <cell r="C2905" t="str">
            <v>Thép lá 1mm</v>
          </cell>
          <cell r="D2905" t="str">
            <v>kg</v>
          </cell>
          <cell r="E2905">
            <v>10</v>
          </cell>
          <cell r="F2905">
            <v>10300</v>
          </cell>
          <cell r="G2905">
            <v>103000</v>
          </cell>
        </row>
        <row r="2906">
          <cell r="B2906">
            <v>19</v>
          </cell>
          <cell r="C2906" t="str">
            <v>Que hàn d4</v>
          </cell>
          <cell r="D2906" t="str">
            <v>kg</v>
          </cell>
          <cell r="E2906">
            <v>0.2</v>
          </cell>
          <cell r="F2906">
            <v>20000</v>
          </cell>
          <cell r="G2906">
            <v>4000</v>
          </cell>
        </row>
        <row r="2907">
          <cell r="B2907">
            <v>3</v>
          </cell>
          <cell r="C2907" t="str">
            <v>Xăng</v>
          </cell>
          <cell r="D2907" t="str">
            <v>kg</v>
          </cell>
          <cell r="E2907">
            <v>0.5</v>
          </cell>
          <cell r="F2907">
            <v>18382</v>
          </cell>
          <cell r="G2907">
            <v>9191</v>
          </cell>
        </row>
        <row r="2908">
          <cell r="B2908">
            <v>22</v>
          </cell>
          <cell r="C2908" t="str">
            <v>Đồng lá 0,5mm</v>
          </cell>
          <cell r="D2908" t="str">
            <v>kg</v>
          </cell>
          <cell r="E2908">
            <v>0.05</v>
          </cell>
          <cell r="F2908">
            <v>250000</v>
          </cell>
          <cell r="G2908">
            <v>12500</v>
          </cell>
        </row>
        <row r="2909">
          <cell r="B2909">
            <v>1</v>
          </cell>
          <cell r="C2909" t="str">
            <v>Cồn công nghiệp</v>
          </cell>
          <cell r="D2909" t="str">
            <v>kg</v>
          </cell>
          <cell r="E2909">
            <v>0.01</v>
          </cell>
          <cell r="F2909">
            <v>9500</v>
          </cell>
          <cell r="G2909">
            <v>95</v>
          </cell>
        </row>
        <row r="2910">
          <cell r="B2910">
            <v>23</v>
          </cell>
          <cell r="C2910" t="str">
            <v>Amiang tấm</v>
          </cell>
          <cell r="D2910" t="str">
            <v>kg</v>
          </cell>
          <cell r="E2910">
            <v>0.1</v>
          </cell>
          <cell r="F2910">
            <v>45000</v>
          </cell>
          <cell r="G2910">
            <v>4500</v>
          </cell>
        </row>
        <row r="2911">
          <cell r="C2911" t="str">
            <v>Nhân công</v>
          </cell>
          <cell r="G2911">
            <v>1109678.625</v>
          </cell>
        </row>
        <row r="2912">
          <cell r="B2912" t="str">
            <v>NC1407</v>
          </cell>
          <cell r="C2912" t="str">
            <v>Ngày công bậc 4,0/7</v>
          </cell>
          <cell r="D2912" t="str">
            <v>công</v>
          </cell>
          <cell r="E2912">
            <v>5.7</v>
          </cell>
          <cell r="F2912">
            <v>194680.46052631579</v>
          </cell>
          <cell r="G2912">
            <v>1109678.625</v>
          </cell>
        </row>
        <row r="2913">
          <cell r="C2913" t="str">
            <v>Máy thi công</v>
          </cell>
          <cell r="G2913">
            <v>13234.140000000003</v>
          </cell>
        </row>
        <row r="2914">
          <cell r="B2914">
            <v>8006</v>
          </cell>
          <cell r="C2914" t="str">
            <v>Máy hàn điện 14KW</v>
          </cell>
          <cell r="D2914" t="str">
            <v>ca</v>
          </cell>
          <cell r="E2914">
            <v>0.05</v>
          </cell>
          <cell r="F2914">
            <v>264682.80000000005</v>
          </cell>
          <cell r="G2914">
            <v>13234.140000000003</v>
          </cell>
        </row>
        <row r="2915">
          <cell r="A2915" t="str">
            <v>T2.8201</v>
          </cell>
          <cell r="C2915" t="str">
            <v>Lắp đặt động cơ không đồng bộ công suất 1,7KW</v>
          </cell>
          <cell r="D2915" t="str">
            <v>cái</v>
          </cell>
          <cell r="H2915">
            <v>33754.6</v>
          </cell>
          <cell r="I2915">
            <v>194680.46052631579</v>
          </cell>
        </row>
        <row r="2916">
          <cell r="C2916" t="str">
            <v>Vật liệu</v>
          </cell>
          <cell r="G2916">
            <v>33754.6</v>
          </cell>
        </row>
        <row r="2917">
          <cell r="B2917">
            <v>8</v>
          </cell>
          <cell r="C2917" t="str">
            <v>Mỡ YOC</v>
          </cell>
          <cell r="D2917" t="str">
            <v>kg</v>
          </cell>
          <cell r="E2917">
            <v>0.2</v>
          </cell>
          <cell r="F2917">
            <v>35000</v>
          </cell>
          <cell r="G2917">
            <v>7000</v>
          </cell>
        </row>
        <row r="2918">
          <cell r="B2918">
            <v>3</v>
          </cell>
          <cell r="C2918" t="str">
            <v>Xăng</v>
          </cell>
          <cell r="D2918" t="str">
            <v>kg</v>
          </cell>
          <cell r="E2918">
            <v>0.3</v>
          </cell>
          <cell r="F2918">
            <v>18382</v>
          </cell>
          <cell r="G2918">
            <v>5514.5999999999995</v>
          </cell>
        </row>
        <row r="2919">
          <cell r="B2919">
            <v>20</v>
          </cell>
          <cell r="C2919" t="str">
            <v>Thiếc hàn</v>
          </cell>
          <cell r="D2919" t="str">
            <v>kg</v>
          </cell>
          <cell r="E2919">
            <v>0.2</v>
          </cell>
          <cell r="F2919">
            <v>80000</v>
          </cell>
          <cell r="G2919">
            <v>16000</v>
          </cell>
        </row>
        <row r="2920">
          <cell r="B2920">
            <v>21</v>
          </cell>
          <cell r="C2920" t="str">
            <v>Nhựa thông</v>
          </cell>
          <cell r="D2920" t="str">
            <v>kg</v>
          </cell>
          <cell r="E2920">
            <v>0.02</v>
          </cell>
          <cell r="F2920">
            <v>27000</v>
          </cell>
          <cell r="G2920">
            <v>540</v>
          </cell>
        </row>
        <row r="2921">
          <cell r="B2921">
            <v>14</v>
          </cell>
          <cell r="C2921" t="str">
            <v>Sơn màu ghi</v>
          </cell>
          <cell r="D2921" t="str">
            <v>kg</v>
          </cell>
          <cell r="E2921">
            <v>0.1</v>
          </cell>
          <cell r="F2921">
            <v>47000</v>
          </cell>
          <cell r="G2921">
            <v>4700</v>
          </cell>
        </row>
        <row r="2922">
          <cell r="C2922" t="str">
            <v>Nhân công</v>
          </cell>
          <cell r="G2922">
            <v>194680.46052631579</v>
          </cell>
        </row>
        <row r="2923">
          <cell r="B2923" t="str">
            <v>NC1407</v>
          </cell>
          <cell r="C2923" t="str">
            <v>Ngày công bậc 4,0/7</v>
          </cell>
          <cell r="D2923" t="str">
            <v>công</v>
          </cell>
          <cell r="E2923">
            <v>1</v>
          </cell>
          <cell r="F2923">
            <v>194680.46052631579</v>
          </cell>
          <cell r="G2923">
            <v>194680.46052631579</v>
          </cell>
        </row>
        <row r="2924">
          <cell r="A2924" t="str">
            <v>T2.8202</v>
          </cell>
          <cell r="C2924" t="str">
            <v>Lắp đặt động cơ không đồng bộ công suất 4,5KW</v>
          </cell>
          <cell r="D2924" t="str">
            <v>cái</v>
          </cell>
          <cell r="H2924">
            <v>32054.6</v>
          </cell>
          <cell r="I2924">
            <v>389360.92105263157</v>
          </cell>
        </row>
        <row r="2925">
          <cell r="C2925" t="str">
            <v>Vật liệu</v>
          </cell>
          <cell r="G2925">
            <v>32054.6</v>
          </cell>
        </row>
        <row r="2926">
          <cell r="B2926">
            <v>24</v>
          </cell>
          <cell r="C2926" t="str">
            <v>Mỡ các loại</v>
          </cell>
          <cell r="D2926" t="str">
            <v>kg</v>
          </cell>
          <cell r="E2926">
            <v>0.4</v>
          </cell>
          <cell r="F2926">
            <v>25000</v>
          </cell>
          <cell r="G2926">
            <v>10000</v>
          </cell>
        </row>
        <row r="2927">
          <cell r="B2927">
            <v>3</v>
          </cell>
          <cell r="C2927" t="str">
            <v>Xăng</v>
          </cell>
          <cell r="D2927" t="str">
            <v>kg</v>
          </cell>
          <cell r="E2927">
            <v>0.3</v>
          </cell>
          <cell r="F2927">
            <v>18382</v>
          </cell>
          <cell r="G2927">
            <v>5514.5999999999995</v>
          </cell>
        </row>
        <row r="2928">
          <cell r="B2928">
            <v>20</v>
          </cell>
          <cell r="C2928" t="str">
            <v>Thiếc hàn</v>
          </cell>
          <cell r="D2928" t="str">
            <v>kg</v>
          </cell>
          <cell r="E2928">
            <v>0.2</v>
          </cell>
          <cell r="F2928">
            <v>80000</v>
          </cell>
          <cell r="G2928">
            <v>16000</v>
          </cell>
        </row>
        <row r="2929">
          <cell r="B2929">
            <v>21</v>
          </cell>
          <cell r="C2929" t="str">
            <v>Nhựa thông</v>
          </cell>
          <cell r="D2929" t="str">
            <v>kg</v>
          </cell>
          <cell r="E2929">
            <v>0.02</v>
          </cell>
          <cell r="F2929">
            <v>27000</v>
          </cell>
          <cell r="G2929">
            <v>540</v>
          </cell>
        </row>
        <row r="2930">
          <cell r="B2930">
            <v>14</v>
          </cell>
          <cell r="C2930" t="str">
            <v>Sơn màu ghi</v>
          </cell>
          <cell r="D2930" t="str">
            <v>kg</v>
          </cell>
          <cell r="E2930">
            <v>0.1</v>
          </cell>
          <cell r="F2930">
            <v>47000</v>
          </cell>
          <cell r="G2930">
            <v>4700</v>
          </cell>
        </row>
        <row r="2931">
          <cell r="C2931" t="str">
            <v>Nhân công</v>
          </cell>
          <cell r="G2931">
            <v>389360.92105263157</v>
          </cell>
        </row>
        <row r="2932">
          <cell r="B2932" t="str">
            <v>NC1407</v>
          </cell>
          <cell r="C2932" t="str">
            <v>Ngày công bậc 4,0/7</v>
          </cell>
          <cell r="D2932" t="str">
            <v>công</v>
          </cell>
          <cell r="E2932">
            <v>2</v>
          </cell>
          <cell r="F2932">
            <v>194680.46052631579</v>
          </cell>
          <cell r="G2932">
            <v>389360.92105263157</v>
          </cell>
        </row>
        <row r="2933">
          <cell r="A2933" t="str">
            <v>T2.8203</v>
          </cell>
          <cell r="C2933" t="str">
            <v>Lắp đặt động cơ không đồng bộ công suất 7KW</v>
          </cell>
          <cell r="D2933" t="str">
            <v>cái</v>
          </cell>
          <cell r="H2933">
            <v>32054.6</v>
          </cell>
          <cell r="I2933">
            <v>506169.19736842107</v>
          </cell>
        </row>
        <row r="2934">
          <cell r="C2934" t="str">
            <v>Vật liệu</v>
          </cell>
          <cell r="G2934">
            <v>32054.6</v>
          </cell>
        </row>
        <row r="2935">
          <cell r="B2935">
            <v>24</v>
          </cell>
          <cell r="C2935" t="str">
            <v>Mỡ các loại</v>
          </cell>
          <cell r="D2935" t="str">
            <v>kg</v>
          </cell>
          <cell r="E2935">
            <v>0.4</v>
          </cell>
          <cell r="F2935">
            <v>25000</v>
          </cell>
          <cell r="G2935">
            <v>10000</v>
          </cell>
        </row>
        <row r="2936">
          <cell r="B2936">
            <v>3</v>
          </cell>
          <cell r="C2936" t="str">
            <v>Xăng</v>
          </cell>
          <cell r="D2936" t="str">
            <v>kg</v>
          </cell>
          <cell r="E2936">
            <v>0.3</v>
          </cell>
          <cell r="F2936">
            <v>18382</v>
          </cell>
          <cell r="G2936">
            <v>5514.5999999999995</v>
          </cell>
        </row>
        <row r="2937">
          <cell r="B2937">
            <v>20</v>
          </cell>
          <cell r="C2937" t="str">
            <v>Thiếc hàn</v>
          </cell>
          <cell r="D2937" t="str">
            <v>kg</v>
          </cell>
          <cell r="E2937">
            <v>0.2</v>
          </cell>
          <cell r="F2937">
            <v>80000</v>
          </cell>
          <cell r="G2937">
            <v>16000</v>
          </cell>
        </row>
        <row r="2938">
          <cell r="B2938">
            <v>21</v>
          </cell>
          <cell r="C2938" t="str">
            <v>Nhựa thông</v>
          </cell>
          <cell r="D2938" t="str">
            <v>kg</v>
          </cell>
          <cell r="E2938">
            <v>0.02</v>
          </cell>
          <cell r="F2938">
            <v>27000</v>
          </cell>
          <cell r="G2938">
            <v>540</v>
          </cell>
        </row>
        <row r="2939">
          <cell r="B2939">
            <v>14</v>
          </cell>
          <cell r="C2939" t="str">
            <v>Sơn màu ghi</v>
          </cell>
          <cell r="D2939" t="str">
            <v>kg</v>
          </cell>
          <cell r="E2939">
            <v>0.1</v>
          </cell>
          <cell r="F2939">
            <v>47000</v>
          </cell>
          <cell r="G2939">
            <v>4700</v>
          </cell>
        </row>
        <row r="2940">
          <cell r="C2940" t="str">
            <v>Nhân công</v>
          </cell>
          <cell r="G2940">
            <v>506169.19736842107</v>
          </cell>
        </row>
        <row r="2941">
          <cell r="B2941" t="str">
            <v>NC1407</v>
          </cell>
          <cell r="C2941" t="str">
            <v>Ngày công bậc 4,0/7</v>
          </cell>
          <cell r="D2941" t="str">
            <v>công</v>
          </cell>
          <cell r="E2941">
            <v>2.6</v>
          </cell>
          <cell r="F2941">
            <v>194680.46052631579</v>
          </cell>
          <cell r="G2941">
            <v>506169.19736842107</v>
          </cell>
        </row>
        <row r="2942">
          <cell r="A2942" t="str">
            <v>T2.8204</v>
          </cell>
          <cell r="C2942" t="str">
            <v>Lắp đặt động cơ không đồng bộ công suất 14KW</v>
          </cell>
          <cell r="D2942" t="str">
            <v>cái</v>
          </cell>
          <cell r="H2942">
            <v>22614.6</v>
          </cell>
          <cell r="I2942">
            <v>545105.28947368416</v>
          </cell>
        </row>
        <row r="2943">
          <cell r="C2943" t="str">
            <v>Vật liệu</v>
          </cell>
          <cell r="G2943">
            <v>22614.6</v>
          </cell>
        </row>
        <row r="2944">
          <cell r="B2944">
            <v>3</v>
          </cell>
          <cell r="C2944" t="str">
            <v>Xăng</v>
          </cell>
          <cell r="D2944" t="str">
            <v>kg</v>
          </cell>
          <cell r="E2944">
            <v>0.3</v>
          </cell>
          <cell r="F2944">
            <v>18382</v>
          </cell>
          <cell r="G2944">
            <v>5514.5999999999995</v>
          </cell>
        </row>
        <row r="2945">
          <cell r="B2945">
            <v>24</v>
          </cell>
          <cell r="C2945" t="str">
            <v>Mỡ các loại</v>
          </cell>
          <cell r="D2945" t="str">
            <v>kg</v>
          </cell>
          <cell r="E2945">
            <v>0.4</v>
          </cell>
          <cell r="F2945">
            <v>25000</v>
          </cell>
          <cell r="G2945">
            <v>10000</v>
          </cell>
        </row>
        <row r="2946">
          <cell r="B2946">
            <v>14</v>
          </cell>
          <cell r="C2946" t="str">
            <v>Sơn màu ghi</v>
          </cell>
          <cell r="D2946" t="str">
            <v>kg</v>
          </cell>
          <cell r="E2946">
            <v>0.1</v>
          </cell>
          <cell r="F2946">
            <v>47000</v>
          </cell>
          <cell r="G2946">
            <v>4700</v>
          </cell>
        </row>
        <row r="2947">
          <cell r="B2947">
            <v>25</v>
          </cell>
          <cell r="C2947" t="str">
            <v>Băng nilông các loại</v>
          </cell>
          <cell r="D2947" t="str">
            <v>cuộn</v>
          </cell>
          <cell r="E2947">
            <v>0.3</v>
          </cell>
          <cell r="F2947">
            <v>8000</v>
          </cell>
          <cell r="G2947">
            <v>2400</v>
          </cell>
        </row>
        <row r="2948">
          <cell r="B2948">
            <v>6</v>
          </cell>
          <cell r="C2948" t="str">
            <v>Vải trắng</v>
          </cell>
          <cell r="D2948" t="str">
            <v>m</v>
          </cell>
          <cell r="E2948">
            <v>0.5</v>
          </cell>
          <cell r="F2948">
            <v>15000</v>
          </cell>
          <cell r="G2948">
            <v>7500</v>
          </cell>
        </row>
        <row r="2949">
          <cell r="C2949" t="str">
            <v>Nhân công</v>
          </cell>
          <cell r="G2949">
            <v>545105.28947368416</v>
          </cell>
        </row>
        <row r="2950">
          <cell r="B2950" t="str">
            <v>NC1407</v>
          </cell>
          <cell r="C2950" t="str">
            <v>Ngày công bậc 4,0/7</v>
          </cell>
          <cell r="D2950" t="str">
            <v>công</v>
          </cell>
          <cell r="E2950">
            <v>2.8</v>
          </cell>
          <cell r="F2950">
            <v>194680.46052631579</v>
          </cell>
          <cell r="G2950">
            <v>545105.28947368416</v>
          </cell>
        </row>
        <row r="2951">
          <cell r="A2951" t="str">
            <v>T2.8205</v>
          </cell>
          <cell r="C2951" t="str">
            <v>Lắp đặt động cơ không đồng bộ công suất 20KW</v>
          </cell>
          <cell r="D2951" t="str">
            <v>cái</v>
          </cell>
          <cell r="H2951">
            <v>30252.799999999999</v>
          </cell>
          <cell r="I2951">
            <v>681381.61184210528</v>
          </cell>
        </row>
        <row r="2952">
          <cell r="C2952" t="str">
            <v>Vật liệu</v>
          </cell>
          <cell r="G2952">
            <v>30252.799999999999</v>
          </cell>
        </row>
        <row r="2953">
          <cell r="B2953">
            <v>3</v>
          </cell>
          <cell r="C2953" t="str">
            <v>Xăng</v>
          </cell>
          <cell r="D2953" t="str">
            <v>kg</v>
          </cell>
          <cell r="E2953">
            <v>0.4</v>
          </cell>
          <cell r="F2953">
            <v>18382</v>
          </cell>
          <cell r="G2953">
            <v>7352.8</v>
          </cell>
        </row>
        <row r="2954">
          <cell r="B2954">
            <v>24</v>
          </cell>
          <cell r="C2954" t="str">
            <v>Mỡ các loại</v>
          </cell>
          <cell r="D2954" t="str">
            <v>kg</v>
          </cell>
          <cell r="E2954">
            <v>0.6</v>
          </cell>
          <cell r="F2954">
            <v>25000</v>
          </cell>
          <cell r="G2954">
            <v>15000</v>
          </cell>
        </row>
        <row r="2955">
          <cell r="B2955">
            <v>14</v>
          </cell>
          <cell r="C2955" t="str">
            <v>Sơn màu ghi</v>
          </cell>
          <cell r="D2955" t="str">
            <v>kg</v>
          </cell>
          <cell r="E2955">
            <v>0.1</v>
          </cell>
          <cell r="F2955">
            <v>47000</v>
          </cell>
          <cell r="G2955">
            <v>4700</v>
          </cell>
        </row>
        <row r="2956">
          <cell r="B2956">
            <v>25</v>
          </cell>
          <cell r="C2956" t="str">
            <v>Băng nilông các loại</v>
          </cell>
          <cell r="D2956" t="str">
            <v>cuộn</v>
          </cell>
          <cell r="E2956">
            <v>0.4</v>
          </cell>
          <cell r="F2956">
            <v>8000</v>
          </cell>
          <cell r="G2956">
            <v>3200</v>
          </cell>
        </row>
        <row r="2957">
          <cell r="B2957">
            <v>6</v>
          </cell>
          <cell r="C2957" t="str">
            <v>Vải trắng</v>
          </cell>
          <cell r="D2957" t="str">
            <v>m</v>
          </cell>
          <cell r="E2957">
            <v>0.5</v>
          </cell>
          <cell r="F2957">
            <v>15000</v>
          </cell>
          <cell r="G2957">
            <v>7500</v>
          </cell>
        </row>
        <row r="2958">
          <cell r="C2958" t="str">
            <v>Nhân công</v>
          </cell>
          <cell r="G2958">
            <v>681381.61184210528</v>
          </cell>
        </row>
        <row r="2959">
          <cell r="B2959" t="str">
            <v>NC1407</v>
          </cell>
          <cell r="C2959" t="str">
            <v>Ngày công bậc 4,0/7</v>
          </cell>
          <cell r="D2959" t="str">
            <v>công</v>
          </cell>
          <cell r="E2959">
            <v>3.5</v>
          </cell>
          <cell r="F2959">
            <v>194680.46052631579</v>
          </cell>
          <cell r="G2959">
            <v>681381.61184210528</v>
          </cell>
        </row>
        <row r="2960">
          <cell r="A2960" t="str">
            <v>T2.8206</v>
          </cell>
          <cell r="C2960" t="str">
            <v>Lắp đặt động cơ không đồng bộ công suất 40KW</v>
          </cell>
          <cell r="D2960" t="str">
            <v>cái</v>
          </cell>
          <cell r="H2960">
            <v>30252.799999999999</v>
          </cell>
          <cell r="I2960">
            <v>876062.07236842101</v>
          </cell>
        </row>
        <row r="2961">
          <cell r="C2961" t="str">
            <v>Vật liệu</v>
          </cell>
          <cell r="G2961">
            <v>30252.799999999999</v>
          </cell>
        </row>
        <row r="2962">
          <cell r="B2962">
            <v>3</v>
          </cell>
          <cell r="C2962" t="str">
            <v>Xăng</v>
          </cell>
          <cell r="D2962" t="str">
            <v>kg</v>
          </cell>
          <cell r="E2962">
            <v>0.4</v>
          </cell>
          <cell r="F2962">
            <v>18382</v>
          </cell>
          <cell r="G2962">
            <v>7352.8</v>
          </cell>
        </row>
        <row r="2963">
          <cell r="B2963">
            <v>24</v>
          </cell>
          <cell r="C2963" t="str">
            <v>Mỡ các loại</v>
          </cell>
          <cell r="D2963" t="str">
            <v>kg</v>
          </cell>
          <cell r="E2963">
            <v>0.6</v>
          </cell>
          <cell r="F2963">
            <v>25000</v>
          </cell>
          <cell r="G2963">
            <v>15000</v>
          </cell>
        </row>
        <row r="2964">
          <cell r="B2964">
            <v>14</v>
          </cell>
          <cell r="C2964" t="str">
            <v>Sơn màu ghi</v>
          </cell>
          <cell r="D2964" t="str">
            <v>kg</v>
          </cell>
          <cell r="E2964">
            <v>0.1</v>
          </cell>
          <cell r="F2964">
            <v>47000</v>
          </cell>
          <cell r="G2964">
            <v>4700</v>
          </cell>
        </row>
        <row r="2965">
          <cell r="B2965">
            <v>25</v>
          </cell>
          <cell r="C2965" t="str">
            <v>Băng nilông các loại</v>
          </cell>
          <cell r="D2965" t="str">
            <v>cuộn</v>
          </cell>
          <cell r="E2965">
            <v>0.4</v>
          </cell>
          <cell r="F2965">
            <v>8000</v>
          </cell>
          <cell r="G2965">
            <v>3200</v>
          </cell>
        </row>
        <row r="2966">
          <cell r="B2966">
            <v>6</v>
          </cell>
          <cell r="C2966" t="str">
            <v>Vải trắng</v>
          </cell>
          <cell r="D2966" t="str">
            <v>m</v>
          </cell>
          <cell r="E2966">
            <v>0.5</v>
          </cell>
          <cell r="F2966">
            <v>15000</v>
          </cell>
          <cell r="G2966">
            <v>7500</v>
          </cell>
        </row>
        <row r="2967">
          <cell r="C2967" t="str">
            <v>Nhân công</v>
          </cell>
          <cell r="G2967">
            <v>876062.07236842101</v>
          </cell>
        </row>
        <row r="2968">
          <cell r="B2968" t="str">
            <v>NC1407</v>
          </cell>
          <cell r="C2968" t="str">
            <v>Ngày công bậc 4,0/7</v>
          </cell>
          <cell r="D2968" t="str">
            <v>công</v>
          </cell>
          <cell r="E2968">
            <v>4.5</v>
          </cell>
          <cell r="F2968">
            <v>194680.46052631579</v>
          </cell>
          <cell r="G2968">
            <v>876062.07236842101</v>
          </cell>
        </row>
        <row r="2969">
          <cell r="A2969" t="str">
            <v>T2.8207</v>
          </cell>
          <cell r="C2969" t="str">
            <v>Lắp đặt động cơ không đồng bộ công suất 75KW</v>
          </cell>
          <cell r="D2969" t="str">
            <v>cái</v>
          </cell>
          <cell r="H2969">
            <v>32091</v>
          </cell>
          <cell r="I2969">
            <v>1031806.4407894736</v>
          </cell>
        </row>
        <row r="2970">
          <cell r="C2970" t="str">
            <v>Vật liệu</v>
          </cell>
          <cell r="G2970">
            <v>32091</v>
          </cell>
        </row>
        <row r="2971">
          <cell r="B2971">
            <v>3</v>
          </cell>
          <cell r="C2971" t="str">
            <v>Xăng</v>
          </cell>
          <cell r="D2971" t="str">
            <v>kg</v>
          </cell>
          <cell r="E2971">
            <v>0.5</v>
          </cell>
          <cell r="F2971">
            <v>18382</v>
          </cell>
          <cell r="G2971">
            <v>9191</v>
          </cell>
        </row>
        <row r="2972">
          <cell r="B2972">
            <v>24</v>
          </cell>
          <cell r="C2972" t="str">
            <v>Mỡ các loại</v>
          </cell>
          <cell r="D2972" t="str">
            <v>kg</v>
          </cell>
          <cell r="E2972">
            <v>0.6</v>
          </cell>
          <cell r="F2972">
            <v>25000</v>
          </cell>
          <cell r="G2972">
            <v>15000</v>
          </cell>
        </row>
        <row r="2973">
          <cell r="B2973">
            <v>14</v>
          </cell>
          <cell r="C2973" t="str">
            <v>Sơn màu ghi</v>
          </cell>
          <cell r="D2973" t="str">
            <v>kg</v>
          </cell>
          <cell r="E2973">
            <v>0.1</v>
          </cell>
          <cell r="F2973">
            <v>47000</v>
          </cell>
          <cell r="G2973">
            <v>4700</v>
          </cell>
        </row>
        <row r="2974">
          <cell r="B2974">
            <v>25</v>
          </cell>
          <cell r="C2974" t="str">
            <v>Băng nilông các loại</v>
          </cell>
          <cell r="D2974" t="str">
            <v>cuộn</v>
          </cell>
          <cell r="E2974">
            <v>0.4</v>
          </cell>
          <cell r="F2974">
            <v>8000</v>
          </cell>
          <cell r="G2974">
            <v>3200</v>
          </cell>
        </row>
        <row r="2975">
          <cell r="B2975">
            <v>6</v>
          </cell>
          <cell r="C2975" t="str">
            <v>Vải trắng</v>
          </cell>
          <cell r="D2975" t="str">
            <v>m</v>
          </cell>
          <cell r="E2975">
            <v>0.5</v>
          </cell>
          <cell r="F2975">
            <v>15000</v>
          </cell>
          <cell r="G2975">
            <v>7500</v>
          </cell>
        </row>
        <row r="2976">
          <cell r="C2976" t="str">
            <v>Nhân công</v>
          </cell>
          <cell r="G2976">
            <v>1031806.4407894736</v>
          </cell>
        </row>
        <row r="2977">
          <cell r="B2977" t="str">
            <v>NC1407</v>
          </cell>
          <cell r="C2977" t="str">
            <v>Ngày công bậc 4,0/7</v>
          </cell>
          <cell r="D2977" t="str">
            <v>công</v>
          </cell>
          <cell r="E2977">
            <v>5.3</v>
          </cell>
          <cell r="F2977">
            <v>194680.46052631579</v>
          </cell>
          <cell r="G2977">
            <v>1031806.4407894736</v>
          </cell>
        </row>
        <row r="2978">
          <cell r="A2978" t="str">
            <v>T2.8208</v>
          </cell>
          <cell r="C2978" t="str">
            <v>Lắp đặt động cơ không đồng bộ công suất 100KW</v>
          </cell>
          <cell r="D2978" t="str">
            <v>cái</v>
          </cell>
          <cell r="H2978">
            <v>32891</v>
          </cell>
          <cell r="I2978">
            <v>1362763.2236842106</v>
          </cell>
        </row>
        <row r="2979">
          <cell r="C2979" t="str">
            <v>Vật liệu</v>
          </cell>
          <cell r="G2979">
            <v>32891</v>
          </cell>
        </row>
        <row r="2980">
          <cell r="B2980">
            <v>3</v>
          </cell>
          <cell r="C2980" t="str">
            <v>Xăng</v>
          </cell>
          <cell r="D2980" t="str">
            <v>kg</v>
          </cell>
          <cell r="E2980">
            <v>0.5</v>
          </cell>
          <cell r="F2980">
            <v>18382</v>
          </cell>
          <cell r="G2980">
            <v>9191</v>
          </cell>
        </row>
        <row r="2981">
          <cell r="B2981">
            <v>24</v>
          </cell>
          <cell r="C2981" t="str">
            <v>Mỡ các loại</v>
          </cell>
          <cell r="D2981" t="str">
            <v>kg</v>
          </cell>
          <cell r="E2981">
            <v>0.6</v>
          </cell>
          <cell r="F2981">
            <v>25000</v>
          </cell>
          <cell r="G2981">
            <v>15000</v>
          </cell>
        </row>
        <row r="2982">
          <cell r="B2982">
            <v>14</v>
          </cell>
          <cell r="C2982" t="str">
            <v>Sơn màu ghi</v>
          </cell>
          <cell r="D2982" t="str">
            <v>kg</v>
          </cell>
          <cell r="E2982">
            <v>0.1</v>
          </cell>
          <cell r="F2982">
            <v>47000</v>
          </cell>
          <cell r="G2982">
            <v>4700</v>
          </cell>
        </row>
        <row r="2983">
          <cell r="B2983">
            <v>25</v>
          </cell>
          <cell r="C2983" t="str">
            <v>Băng nilông các loại</v>
          </cell>
          <cell r="D2983" t="str">
            <v>cuộn</v>
          </cell>
          <cell r="E2983">
            <v>0.5</v>
          </cell>
          <cell r="F2983">
            <v>8000</v>
          </cell>
          <cell r="G2983">
            <v>4000</v>
          </cell>
        </row>
        <row r="2984">
          <cell r="B2984">
            <v>6</v>
          </cell>
          <cell r="C2984" t="str">
            <v>Vải trắng</v>
          </cell>
          <cell r="D2984" t="str">
            <v>m</v>
          </cell>
          <cell r="E2984">
            <v>0.5</v>
          </cell>
          <cell r="F2984">
            <v>15000</v>
          </cell>
          <cell r="G2984">
            <v>7500</v>
          </cell>
        </row>
        <row r="2985">
          <cell r="C2985" t="str">
            <v>Nhân công</v>
          </cell>
          <cell r="G2985">
            <v>1362763.2236842106</v>
          </cell>
        </row>
        <row r="2986">
          <cell r="B2986" t="str">
            <v>NC1407</v>
          </cell>
          <cell r="C2986" t="str">
            <v>Ngày công bậc 4,0/7</v>
          </cell>
          <cell r="D2986" t="str">
            <v>công</v>
          </cell>
          <cell r="E2986">
            <v>7</v>
          </cell>
          <cell r="F2986">
            <v>194680.46052631579</v>
          </cell>
          <cell r="G2986">
            <v>1362763.2236842106</v>
          </cell>
        </row>
        <row r="2987">
          <cell r="A2987" t="str">
            <v>T2.8209</v>
          </cell>
          <cell r="C2987" t="str">
            <v>Lắp đặt động cơ không đồng bộ công suất 160KW</v>
          </cell>
          <cell r="D2987" t="str">
            <v>cái</v>
          </cell>
          <cell r="H2987">
            <v>32891</v>
          </cell>
          <cell r="I2987">
            <v>1752124.144736842</v>
          </cell>
        </row>
        <row r="2988">
          <cell r="C2988" t="str">
            <v>Vật liệu</v>
          </cell>
          <cell r="G2988">
            <v>32891</v>
          </cell>
        </row>
        <row r="2989">
          <cell r="B2989">
            <v>3</v>
          </cell>
          <cell r="C2989" t="str">
            <v>Xăng</v>
          </cell>
          <cell r="D2989" t="str">
            <v>kg</v>
          </cell>
          <cell r="E2989">
            <v>0.5</v>
          </cell>
          <cell r="F2989">
            <v>18382</v>
          </cell>
          <cell r="G2989">
            <v>9191</v>
          </cell>
        </row>
        <row r="2990">
          <cell r="B2990">
            <v>24</v>
          </cell>
          <cell r="C2990" t="str">
            <v>Mỡ các loại</v>
          </cell>
          <cell r="D2990" t="str">
            <v>kg</v>
          </cell>
          <cell r="E2990">
            <v>0.6</v>
          </cell>
          <cell r="F2990">
            <v>25000</v>
          </cell>
          <cell r="G2990">
            <v>15000</v>
          </cell>
        </row>
        <row r="2991">
          <cell r="B2991">
            <v>14</v>
          </cell>
          <cell r="C2991" t="str">
            <v>Sơn màu ghi</v>
          </cell>
          <cell r="D2991" t="str">
            <v>kg</v>
          </cell>
          <cell r="E2991">
            <v>0.1</v>
          </cell>
          <cell r="F2991">
            <v>47000</v>
          </cell>
          <cell r="G2991">
            <v>4700</v>
          </cell>
        </row>
        <row r="2992">
          <cell r="B2992">
            <v>25</v>
          </cell>
          <cell r="C2992" t="str">
            <v>Băng nilông các loại</v>
          </cell>
          <cell r="D2992" t="str">
            <v>cuộn</v>
          </cell>
          <cell r="E2992">
            <v>0.5</v>
          </cell>
          <cell r="F2992">
            <v>8000</v>
          </cell>
          <cell r="G2992">
            <v>4000</v>
          </cell>
        </row>
        <row r="2993">
          <cell r="B2993">
            <v>6</v>
          </cell>
          <cell r="C2993" t="str">
            <v>Vải trắng</v>
          </cell>
          <cell r="D2993" t="str">
            <v>m</v>
          </cell>
          <cell r="E2993">
            <v>0.5</v>
          </cell>
          <cell r="F2993">
            <v>15000</v>
          </cell>
          <cell r="G2993">
            <v>7500</v>
          </cell>
        </row>
        <row r="2994">
          <cell r="C2994" t="str">
            <v>Nhân công</v>
          </cell>
          <cell r="G2994">
            <v>1752124.144736842</v>
          </cell>
        </row>
        <row r="2995">
          <cell r="B2995" t="str">
            <v>NC1407</v>
          </cell>
          <cell r="C2995" t="str">
            <v>Ngày công bậc 4,0/7</v>
          </cell>
          <cell r="D2995" t="str">
            <v>công</v>
          </cell>
          <cell r="E2995">
            <v>9</v>
          </cell>
          <cell r="F2995">
            <v>194680.46052631579</v>
          </cell>
          <cell r="G2995">
            <v>1752124.144736842</v>
          </cell>
        </row>
        <row r="2996">
          <cell r="A2996" t="str">
            <v>T2.8210</v>
          </cell>
          <cell r="C2996" t="str">
            <v>Lắp đặt động cơ không đồng bộ công suất 200KW</v>
          </cell>
          <cell r="D2996" t="str">
            <v>cái</v>
          </cell>
          <cell r="H2996">
            <v>39729.199999999997</v>
          </cell>
          <cell r="I2996">
            <v>1946804.6052631577</v>
          </cell>
        </row>
        <row r="2997">
          <cell r="C2997" t="str">
            <v>Vật liệu</v>
          </cell>
          <cell r="G2997">
            <v>39729.199999999997</v>
          </cell>
        </row>
        <row r="2998">
          <cell r="B2998">
            <v>3</v>
          </cell>
          <cell r="C2998" t="str">
            <v>Xăng</v>
          </cell>
          <cell r="D2998" t="str">
            <v>kg</v>
          </cell>
          <cell r="E2998">
            <v>0.6</v>
          </cell>
          <cell r="F2998">
            <v>18382</v>
          </cell>
          <cell r="G2998">
            <v>11029.199999999999</v>
          </cell>
        </row>
        <row r="2999">
          <cell r="B2999">
            <v>24</v>
          </cell>
          <cell r="C2999" t="str">
            <v>Mỡ các loại</v>
          </cell>
          <cell r="D2999" t="str">
            <v>kg</v>
          </cell>
          <cell r="E2999">
            <v>0.8</v>
          </cell>
          <cell r="F2999">
            <v>25000</v>
          </cell>
          <cell r="G2999">
            <v>20000</v>
          </cell>
        </row>
        <row r="3000">
          <cell r="B3000">
            <v>14</v>
          </cell>
          <cell r="C3000" t="str">
            <v>Sơn màu ghi</v>
          </cell>
          <cell r="D3000" t="str">
            <v>kg</v>
          </cell>
          <cell r="E3000">
            <v>0.1</v>
          </cell>
          <cell r="F3000">
            <v>47000</v>
          </cell>
          <cell r="G3000">
            <v>4700</v>
          </cell>
        </row>
        <row r="3001">
          <cell r="B3001">
            <v>25</v>
          </cell>
          <cell r="C3001" t="str">
            <v>Băng nilông các loại</v>
          </cell>
          <cell r="D3001" t="str">
            <v>cuộn</v>
          </cell>
          <cell r="E3001">
            <v>0.5</v>
          </cell>
          <cell r="F3001">
            <v>8000</v>
          </cell>
          <cell r="G3001">
            <v>4000</v>
          </cell>
        </row>
        <row r="3002">
          <cell r="B3002">
            <v>6</v>
          </cell>
          <cell r="C3002" t="str">
            <v>Vải trắng</v>
          </cell>
          <cell r="D3002" t="str">
            <v>m</v>
          </cell>
          <cell r="E3002">
            <v>0.5</v>
          </cell>
          <cell r="F3002">
            <v>15000</v>
          </cell>
          <cell r="G3002">
            <v>7500</v>
          </cell>
        </row>
        <row r="3003">
          <cell r="C3003" t="str">
            <v>Nhân công</v>
          </cell>
          <cell r="G3003">
            <v>1946804.6052631577</v>
          </cell>
        </row>
        <row r="3004">
          <cell r="B3004" t="str">
            <v>NC1407</v>
          </cell>
          <cell r="C3004" t="str">
            <v>Ngày công bậc 4,0/7</v>
          </cell>
          <cell r="D3004" t="str">
            <v>công</v>
          </cell>
          <cell r="E3004">
            <v>10</v>
          </cell>
          <cell r="F3004">
            <v>194680.46052631579</v>
          </cell>
          <cell r="G3004">
            <v>1946804.6052631577</v>
          </cell>
        </row>
        <row r="3005">
          <cell r="A3005" t="str">
            <v>T2.8211</v>
          </cell>
          <cell r="C3005" t="str">
            <v>Lắp đặt động cơ không đồng bộ công suất 320KW</v>
          </cell>
          <cell r="D3005" t="str">
            <v>cái</v>
          </cell>
          <cell r="H3005">
            <v>41567.4</v>
          </cell>
          <cell r="I3005">
            <v>2530845.9868421052</v>
          </cell>
        </row>
        <row r="3006">
          <cell r="C3006" t="str">
            <v>Vật liệu</v>
          </cell>
          <cell r="G3006">
            <v>41567.4</v>
          </cell>
        </row>
        <row r="3007">
          <cell r="B3007">
            <v>3</v>
          </cell>
          <cell r="C3007" t="str">
            <v>Xăng</v>
          </cell>
          <cell r="D3007" t="str">
            <v>kg</v>
          </cell>
          <cell r="E3007">
            <v>0.7</v>
          </cell>
          <cell r="F3007">
            <v>18382</v>
          </cell>
          <cell r="G3007">
            <v>12867.4</v>
          </cell>
        </row>
        <row r="3008">
          <cell r="B3008">
            <v>24</v>
          </cell>
          <cell r="C3008" t="str">
            <v>Mỡ các loại</v>
          </cell>
          <cell r="D3008" t="str">
            <v>kg</v>
          </cell>
          <cell r="E3008">
            <v>0.8</v>
          </cell>
          <cell r="F3008">
            <v>25000</v>
          </cell>
          <cell r="G3008">
            <v>20000</v>
          </cell>
        </row>
        <row r="3009">
          <cell r="B3009">
            <v>14</v>
          </cell>
          <cell r="C3009" t="str">
            <v>Sơn màu ghi</v>
          </cell>
          <cell r="D3009" t="str">
            <v>kg</v>
          </cell>
          <cell r="E3009">
            <v>0.1</v>
          </cell>
          <cell r="F3009">
            <v>47000</v>
          </cell>
          <cell r="G3009">
            <v>4700</v>
          </cell>
        </row>
        <row r="3010">
          <cell r="B3010">
            <v>25</v>
          </cell>
          <cell r="C3010" t="str">
            <v>Băng nilông các loại</v>
          </cell>
          <cell r="D3010" t="str">
            <v>cuộn</v>
          </cell>
          <cell r="E3010">
            <v>0.5</v>
          </cell>
          <cell r="F3010">
            <v>8000</v>
          </cell>
          <cell r="G3010">
            <v>4000</v>
          </cell>
        </row>
        <row r="3011">
          <cell r="B3011">
            <v>6</v>
          </cell>
          <cell r="C3011" t="str">
            <v>Vải trắng</v>
          </cell>
          <cell r="D3011" t="str">
            <v>m</v>
          </cell>
          <cell r="E3011">
            <v>0.5</v>
          </cell>
          <cell r="F3011">
            <v>15000</v>
          </cell>
          <cell r="G3011">
            <v>7500</v>
          </cell>
        </row>
        <row r="3012">
          <cell r="C3012" t="str">
            <v>Nhân công</v>
          </cell>
          <cell r="G3012">
            <v>2530845.9868421052</v>
          </cell>
        </row>
        <row r="3013">
          <cell r="B3013" t="str">
            <v>NC1407</v>
          </cell>
          <cell r="C3013" t="str">
            <v>Ngày công bậc 4,0/7</v>
          </cell>
          <cell r="D3013" t="str">
            <v>công</v>
          </cell>
          <cell r="E3013">
            <v>13</v>
          </cell>
          <cell r="F3013">
            <v>194680.46052631579</v>
          </cell>
          <cell r="G3013">
            <v>2530845.9868421052</v>
          </cell>
        </row>
        <row r="3014">
          <cell r="A3014" t="str">
            <v>T2.8212</v>
          </cell>
          <cell r="C3014" t="str">
            <v>Lắp đặt động cơ không đồng bộ công suất 570KW</v>
          </cell>
          <cell r="D3014" t="str">
            <v>cái</v>
          </cell>
          <cell r="H3014">
            <v>41567.4</v>
          </cell>
          <cell r="I3014">
            <v>3212227.5986842103</v>
          </cell>
        </row>
        <row r="3015">
          <cell r="C3015" t="str">
            <v>Vật liệu</v>
          </cell>
          <cell r="G3015">
            <v>41567.4</v>
          </cell>
        </row>
        <row r="3016">
          <cell r="B3016">
            <v>3</v>
          </cell>
          <cell r="C3016" t="str">
            <v>Xăng</v>
          </cell>
          <cell r="D3016" t="str">
            <v>kg</v>
          </cell>
          <cell r="E3016">
            <v>0.7</v>
          </cell>
          <cell r="F3016">
            <v>18382</v>
          </cell>
          <cell r="G3016">
            <v>12867.4</v>
          </cell>
        </row>
        <row r="3017">
          <cell r="B3017">
            <v>24</v>
          </cell>
          <cell r="C3017" t="str">
            <v>Mỡ các loại</v>
          </cell>
          <cell r="D3017" t="str">
            <v>kg</v>
          </cell>
          <cell r="E3017">
            <v>0.8</v>
          </cell>
          <cell r="F3017">
            <v>25000</v>
          </cell>
          <cell r="G3017">
            <v>20000</v>
          </cell>
        </row>
        <row r="3018">
          <cell r="B3018">
            <v>14</v>
          </cell>
          <cell r="C3018" t="str">
            <v>Sơn màu ghi</v>
          </cell>
          <cell r="D3018" t="str">
            <v>kg</v>
          </cell>
          <cell r="E3018">
            <v>0.1</v>
          </cell>
          <cell r="F3018">
            <v>47000</v>
          </cell>
          <cell r="G3018">
            <v>4700</v>
          </cell>
        </row>
        <row r="3019">
          <cell r="B3019">
            <v>25</v>
          </cell>
          <cell r="C3019" t="str">
            <v>Băng nilông các loại</v>
          </cell>
          <cell r="D3019" t="str">
            <v>cuộn</v>
          </cell>
          <cell r="E3019">
            <v>0.5</v>
          </cell>
          <cell r="F3019">
            <v>8000</v>
          </cell>
          <cell r="G3019">
            <v>4000</v>
          </cell>
        </row>
        <row r="3020">
          <cell r="B3020">
            <v>6</v>
          </cell>
          <cell r="C3020" t="str">
            <v>Vải trắng</v>
          </cell>
          <cell r="D3020" t="str">
            <v>m</v>
          </cell>
          <cell r="E3020">
            <v>0.5</v>
          </cell>
          <cell r="F3020">
            <v>15000</v>
          </cell>
          <cell r="G3020">
            <v>7500</v>
          </cell>
        </row>
        <row r="3021">
          <cell r="C3021" t="str">
            <v>Nhân công</v>
          </cell>
          <cell r="G3021">
            <v>3212227.5986842103</v>
          </cell>
        </row>
        <row r="3022">
          <cell r="B3022" t="str">
            <v>NC1407</v>
          </cell>
          <cell r="C3022" t="str">
            <v>Ngày công bậc 4,0/7</v>
          </cell>
          <cell r="D3022" t="str">
            <v>công</v>
          </cell>
          <cell r="E3022">
            <v>16.5</v>
          </cell>
          <cell r="F3022">
            <v>194680.46052631579</v>
          </cell>
          <cell r="G3022">
            <v>3212227.5986842103</v>
          </cell>
        </row>
        <row r="3023">
          <cell r="A3023" t="str">
            <v>T2.8301</v>
          </cell>
          <cell r="C3023" t="str">
            <v>Lắp đặt động cơ đồng bộ công suất 1,7KW</v>
          </cell>
          <cell r="D3023" t="str">
            <v>cái</v>
          </cell>
          <cell r="H3023">
            <v>26776.400000000001</v>
          </cell>
          <cell r="I3023">
            <v>194680.46052631579</v>
          </cell>
        </row>
        <row r="3024">
          <cell r="C3024" t="str">
            <v>Vật liệu</v>
          </cell>
          <cell r="G3024">
            <v>26776.400000000001</v>
          </cell>
        </row>
        <row r="3025">
          <cell r="B3025">
            <v>3</v>
          </cell>
          <cell r="C3025" t="str">
            <v>Xăng</v>
          </cell>
          <cell r="D3025" t="str">
            <v>kg</v>
          </cell>
          <cell r="E3025">
            <v>0.2</v>
          </cell>
          <cell r="F3025">
            <v>18382</v>
          </cell>
          <cell r="G3025">
            <v>3676.4</v>
          </cell>
        </row>
        <row r="3026">
          <cell r="B3026">
            <v>24</v>
          </cell>
          <cell r="C3026" t="str">
            <v>Mỡ các loại</v>
          </cell>
          <cell r="D3026" t="str">
            <v>kg</v>
          </cell>
          <cell r="E3026">
            <v>0.2</v>
          </cell>
          <cell r="F3026">
            <v>25000</v>
          </cell>
          <cell r="G3026">
            <v>5000</v>
          </cell>
        </row>
        <row r="3027">
          <cell r="B3027">
            <v>14</v>
          </cell>
          <cell r="C3027" t="str">
            <v>Sơn màu ghi</v>
          </cell>
          <cell r="D3027" t="str">
            <v>kg</v>
          </cell>
          <cell r="E3027">
            <v>0.1</v>
          </cell>
          <cell r="F3027">
            <v>47000</v>
          </cell>
          <cell r="G3027">
            <v>4700</v>
          </cell>
        </row>
        <row r="3028">
          <cell r="B3028">
            <v>26</v>
          </cell>
          <cell r="C3028" t="str">
            <v>Sơn cách điện</v>
          </cell>
          <cell r="D3028" t="str">
            <v>kg</v>
          </cell>
          <cell r="E3028">
            <v>0.1</v>
          </cell>
          <cell r="F3028">
            <v>35000</v>
          </cell>
          <cell r="G3028">
            <v>3500</v>
          </cell>
        </row>
        <row r="3029">
          <cell r="B3029">
            <v>25</v>
          </cell>
          <cell r="C3029" t="str">
            <v>Băng nilông các loại</v>
          </cell>
          <cell r="D3029" t="str">
            <v>cuộn</v>
          </cell>
          <cell r="E3029">
            <v>0.3</v>
          </cell>
          <cell r="F3029">
            <v>8000</v>
          </cell>
          <cell r="G3029">
            <v>2400</v>
          </cell>
        </row>
        <row r="3030">
          <cell r="B3030">
            <v>6</v>
          </cell>
          <cell r="C3030" t="str">
            <v>Vải trắng</v>
          </cell>
          <cell r="D3030" t="str">
            <v>m</v>
          </cell>
          <cell r="E3030">
            <v>0.5</v>
          </cell>
          <cell r="F3030">
            <v>15000</v>
          </cell>
          <cell r="G3030">
            <v>7500</v>
          </cell>
        </row>
        <row r="3031">
          <cell r="C3031" t="str">
            <v>Nhân công</v>
          </cell>
          <cell r="G3031">
            <v>194680.46052631579</v>
          </cell>
        </row>
        <row r="3032">
          <cell r="B3032" t="str">
            <v>NC1407</v>
          </cell>
          <cell r="C3032" t="str">
            <v>Ngày công bậc 4,0/7</v>
          </cell>
          <cell r="D3032" t="str">
            <v>công</v>
          </cell>
          <cell r="E3032">
            <v>1</v>
          </cell>
          <cell r="F3032">
            <v>194680.46052631579</v>
          </cell>
          <cell r="G3032">
            <v>194680.46052631579</v>
          </cell>
        </row>
        <row r="3033">
          <cell r="A3033" t="str">
            <v>T2.8302</v>
          </cell>
          <cell r="C3033" t="str">
            <v>Lắp đặt động cơ đồng bộ công suất 4,5KW</v>
          </cell>
          <cell r="D3033" t="str">
            <v>cái</v>
          </cell>
          <cell r="H3033">
            <v>26776.400000000001</v>
          </cell>
          <cell r="I3033">
            <v>389360.92105263157</v>
          </cell>
        </row>
        <row r="3034">
          <cell r="C3034" t="str">
            <v>Vật liệu</v>
          </cell>
          <cell r="G3034">
            <v>26776.400000000001</v>
          </cell>
        </row>
        <row r="3035">
          <cell r="B3035">
            <v>3</v>
          </cell>
          <cell r="C3035" t="str">
            <v>Xăng</v>
          </cell>
          <cell r="D3035" t="str">
            <v>kg</v>
          </cell>
          <cell r="E3035">
            <v>0.2</v>
          </cell>
          <cell r="F3035">
            <v>18382</v>
          </cell>
          <cell r="G3035">
            <v>3676.4</v>
          </cell>
        </row>
        <row r="3036">
          <cell r="B3036">
            <v>24</v>
          </cell>
          <cell r="C3036" t="str">
            <v>Mỡ các loại</v>
          </cell>
          <cell r="D3036" t="str">
            <v>kg</v>
          </cell>
          <cell r="E3036">
            <v>0.2</v>
          </cell>
          <cell r="F3036">
            <v>25000</v>
          </cell>
          <cell r="G3036">
            <v>5000</v>
          </cell>
        </row>
        <row r="3037">
          <cell r="B3037">
            <v>14</v>
          </cell>
          <cell r="C3037" t="str">
            <v>Sơn màu ghi</v>
          </cell>
          <cell r="D3037" t="str">
            <v>kg</v>
          </cell>
          <cell r="E3037">
            <v>0.1</v>
          </cell>
          <cell r="F3037">
            <v>47000</v>
          </cell>
          <cell r="G3037">
            <v>4700</v>
          </cell>
        </row>
        <row r="3038">
          <cell r="B3038">
            <v>26</v>
          </cell>
          <cell r="C3038" t="str">
            <v>Sơn cách điện</v>
          </cell>
          <cell r="D3038" t="str">
            <v>kg</v>
          </cell>
          <cell r="E3038">
            <v>0.1</v>
          </cell>
          <cell r="F3038">
            <v>35000</v>
          </cell>
          <cell r="G3038">
            <v>3500</v>
          </cell>
        </row>
        <row r="3039">
          <cell r="B3039">
            <v>25</v>
          </cell>
          <cell r="C3039" t="str">
            <v>Băng nilông các loại</v>
          </cell>
          <cell r="D3039" t="str">
            <v>cuộn</v>
          </cell>
          <cell r="E3039">
            <v>0.3</v>
          </cell>
          <cell r="F3039">
            <v>8000</v>
          </cell>
          <cell r="G3039">
            <v>2400</v>
          </cell>
        </row>
        <row r="3040">
          <cell r="B3040">
            <v>6</v>
          </cell>
          <cell r="C3040" t="str">
            <v>Vải trắng</v>
          </cell>
          <cell r="D3040" t="str">
            <v>m</v>
          </cell>
          <cell r="E3040">
            <v>0.5</v>
          </cell>
          <cell r="F3040">
            <v>15000</v>
          </cell>
          <cell r="G3040">
            <v>7500</v>
          </cell>
        </row>
        <row r="3041">
          <cell r="C3041" t="str">
            <v>Nhân công</v>
          </cell>
          <cell r="G3041">
            <v>389360.92105263157</v>
          </cell>
        </row>
        <row r="3042">
          <cell r="B3042" t="str">
            <v>NC1407</v>
          </cell>
          <cell r="C3042" t="str">
            <v>Ngày công bậc 4,0/7</v>
          </cell>
          <cell r="D3042" t="str">
            <v>công</v>
          </cell>
          <cell r="E3042">
            <v>2</v>
          </cell>
          <cell r="F3042">
            <v>194680.46052631579</v>
          </cell>
          <cell r="G3042">
            <v>389360.92105263157</v>
          </cell>
        </row>
        <row r="3043">
          <cell r="A3043" t="str">
            <v>T2.8303</v>
          </cell>
          <cell r="C3043" t="str">
            <v>Lắp đặt động cơ đồng bộ công suất 7KW</v>
          </cell>
          <cell r="D3043" t="str">
            <v>cái</v>
          </cell>
          <cell r="H3043">
            <v>28614.6</v>
          </cell>
          <cell r="I3043">
            <v>486701.15131578944</v>
          </cell>
        </row>
        <row r="3044">
          <cell r="C3044" t="str">
            <v>Vật liệu</v>
          </cell>
          <cell r="G3044">
            <v>28614.6</v>
          </cell>
        </row>
        <row r="3045">
          <cell r="B3045">
            <v>3</v>
          </cell>
          <cell r="C3045" t="str">
            <v>Xăng</v>
          </cell>
          <cell r="D3045" t="str">
            <v>kg</v>
          </cell>
          <cell r="E3045">
            <v>0.3</v>
          </cell>
          <cell r="F3045">
            <v>18382</v>
          </cell>
          <cell r="G3045">
            <v>5514.5999999999995</v>
          </cell>
        </row>
        <row r="3046">
          <cell r="B3046">
            <v>24</v>
          </cell>
          <cell r="C3046" t="str">
            <v>Mỡ các loại</v>
          </cell>
          <cell r="D3046" t="str">
            <v>kg</v>
          </cell>
          <cell r="E3046">
            <v>0.2</v>
          </cell>
          <cell r="F3046">
            <v>25000</v>
          </cell>
          <cell r="G3046">
            <v>5000</v>
          </cell>
        </row>
        <row r="3047">
          <cell r="B3047">
            <v>14</v>
          </cell>
          <cell r="C3047" t="str">
            <v>Sơn màu ghi</v>
          </cell>
          <cell r="D3047" t="str">
            <v>kg</v>
          </cell>
          <cell r="E3047">
            <v>0.1</v>
          </cell>
          <cell r="F3047">
            <v>47000</v>
          </cell>
          <cell r="G3047">
            <v>4700</v>
          </cell>
        </row>
        <row r="3048">
          <cell r="B3048">
            <v>26</v>
          </cell>
          <cell r="C3048" t="str">
            <v>Sơn cách điện</v>
          </cell>
          <cell r="D3048" t="str">
            <v>kg</v>
          </cell>
          <cell r="E3048">
            <v>0.1</v>
          </cell>
          <cell r="F3048">
            <v>35000</v>
          </cell>
          <cell r="G3048">
            <v>3500</v>
          </cell>
        </row>
        <row r="3049">
          <cell r="B3049">
            <v>25</v>
          </cell>
          <cell r="C3049" t="str">
            <v>Băng nilông các loại</v>
          </cell>
          <cell r="D3049" t="str">
            <v>cuộn</v>
          </cell>
          <cell r="E3049">
            <v>0.3</v>
          </cell>
          <cell r="F3049">
            <v>8000</v>
          </cell>
          <cell r="G3049">
            <v>2400</v>
          </cell>
        </row>
        <row r="3050">
          <cell r="B3050">
            <v>6</v>
          </cell>
          <cell r="C3050" t="str">
            <v>Vải trắng</v>
          </cell>
          <cell r="D3050" t="str">
            <v>m</v>
          </cell>
          <cell r="E3050">
            <v>0.5</v>
          </cell>
          <cell r="F3050">
            <v>15000</v>
          </cell>
          <cell r="G3050">
            <v>7500</v>
          </cell>
        </row>
        <row r="3051">
          <cell r="C3051" t="str">
            <v>Nhân công</v>
          </cell>
          <cell r="G3051">
            <v>486701.15131578944</v>
          </cell>
        </row>
        <row r="3052">
          <cell r="B3052" t="str">
            <v>NC1407</v>
          </cell>
          <cell r="C3052" t="str">
            <v>Ngày công bậc 4,0/7</v>
          </cell>
          <cell r="D3052" t="str">
            <v>công</v>
          </cell>
          <cell r="E3052">
            <v>2.5</v>
          </cell>
          <cell r="F3052">
            <v>194680.46052631579</v>
          </cell>
          <cell r="G3052">
            <v>486701.15131578944</v>
          </cell>
        </row>
        <row r="3053">
          <cell r="A3053" t="str">
            <v>T2.8304</v>
          </cell>
          <cell r="C3053" t="str">
            <v>Lắp đặt động cơ đồng bộ công suất 14KW</v>
          </cell>
          <cell r="D3053" t="str">
            <v>cái</v>
          </cell>
          <cell r="H3053">
            <v>33614.6</v>
          </cell>
          <cell r="I3053">
            <v>681381.61184210528</v>
          </cell>
        </row>
        <row r="3054">
          <cell r="C3054" t="str">
            <v>Vật liệu</v>
          </cell>
          <cell r="G3054">
            <v>33614.6</v>
          </cell>
        </row>
        <row r="3055">
          <cell r="B3055">
            <v>3</v>
          </cell>
          <cell r="C3055" t="str">
            <v>Xăng</v>
          </cell>
          <cell r="D3055" t="str">
            <v>kg</v>
          </cell>
          <cell r="E3055">
            <v>0.3</v>
          </cell>
          <cell r="F3055">
            <v>18382</v>
          </cell>
          <cell r="G3055">
            <v>5514.5999999999995</v>
          </cell>
        </row>
        <row r="3056">
          <cell r="B3056">
            <v>24</v>
          </cell>
          <cell r="C3056" t="str">
            <v>Mỡ các loại</v>
          </cell>
          <cell r="D3056" t="str">
            <v>kg</v>
          </cell>
          <cell r="E3056">
            <v>0.4</v>
          </cell>
          <cell r="F3056">
            <v>25000</v>
          </cell>
          <cell r="G3056">
            <v>10000</v>
          </cell>
        </row>
        <row r="3057">
          <cell r="B3057">
            <v>14</v>
          </cell>
          <cell r="C3057" t="str">
            <v>Sơn màu ghi</v>
          </cell>
          <cell r="D3057" t="str">
            <v>kg</v>
          </cell>
          <cell r="E3057">
            <v>0.1</v>
          </cell>
          <cell r="F3057">
            <v>47000</v>
          </cell>
          <cell r="G3057">
            <v>4700</v>
          </cell>
        </row>
        <row r="3058">
          <cell r="B3058">
            <v>26</v>
          </cell>
          <cell r="C3058" t="str">
            <v>Sơn cách điện</v>
          </cell>
          <cell r="D3058" t="str">
            <v>kg</v>
          </cell>
          <cell r="E3058">
            <v>0.1</v>
          </cell>
          <cell r="F3058">
            <v>35000</v>
          </cell>
          <cell r="G3058">
            <v>3500</v>
          </cell>
        </row>
        <row r="3059">
          <cell r="B3059">
            <v>25</v>
          </cell>
          <cell r="C3059" t="str">
            <v>Băng nilông các loại</v>
          </cell>
          <cell r="D3059" t="str">
            <v>cuộn</v>
          </cell>
          <cell r="E3059">
            <v>0.3</v>
          </cell>
          <cell r="F3059">
            <v>8000</v>
          </cell>
          <cell r="G3059">
            <v>2400</v>
          </cell>
        </row>
        <row r="3060">
          <cell r="B3060">
            <v>6</v>
          </cell>
          <cell r="C3060" t="str">
            <v>Vải trắng</v>
          </cell>
          <cell r="D3060" t="str">
            <v>m</v>
          </cell>
          <cell r="E3060">
            <v>0.5</v>
          </cell>
          <cell r="F3060">
            <v>15000</v>
          </cell>
          <cell r="G3060">
            <v>7500</v>
          </cell>
        </row>
        <row r="3061">
          <cell r="C3061" t="str">
            <v>Nhân công</v>
          </cell>
          <cell r="G3061">
            <v>681381.61184210528</v>
          </cell>
        </row>
        <row r="3062">
          <cell r="B3062" t="str">
            <v>NC1407</v>
          </cell>
          <cell r="C3062" t="str">
            <v>Ngày công bậc 4,0/7</v>
          </cell>
          <cell r="D3062" t="str">
            <v>công</v>
          </cell>
          <cell r="E3062">
            <v>3.5</v>
          </cell>
          <cell r="F3062">
            <v>194680.46052631579</v>
          </cell>
          <cell r="G3062">
            <v>681381.61184210528</v>
          </cell>
        </row>
        <row r="3063">
          <cell r="A3063" t="str">
            <v>T2.8305</v>
          </cell>
          <cell r="C3063" t="str">
            <v>Lắp đặt động cơ đồng bộ công suất 20KW</v>
          </cell>
          <cell r="D3063" t="str">
            <v>cái</v>
          </cell>
          <cell r="H3063">
            <v>41252.800000000003</v>
          </cell>
          <cell r="I3063">
            <v>778721.84210526315</v>
          </cell>
        </row>
        <row r="3064">
          <cell r="C3064" t="str">
            <v>Vật liệu</v>
          </cell>
          <cell r="G3064">
            <v>41252.800000000003</v>
          </cell>
        </row>
        <row r="3065">
          <cell r="B3065">
            <v>3</v>
          </cell>
          <cell r="C3065" t="str">
            <v>Xăng</v>
          </cell>
          <cell r="D3065" t="str">
            <v>kg</v>
          </cell>
          <cell r="E3065">
            <v>0.4</v>
          </cell>
          <cell r="F3065">
            <v>18382</v>
          </cell>
          <cell r="G3065">
            <v>7352.8</v>
          </cell>
        </row>
        <row r="3066">
          <cell r="B3066">
            <v>24</v>
          </cell>
          <cell r="C3066" t="str">
            <v>Mỡ các loại</v>
          </cell>
          <cell r="D3066" t="str">
            <v>kg</v>
          </cell>
          <cell r="E3066">
            <v>0.6</v>
          </cell>
          <cell r="F3066">
            <v>25000</v>
          </cell>
          <cell r="G3066">
            <v>15000</v>
          </cell>
        </row>
        <row r="3067">
          <cell r="B3067">
            <v>14</v>
          </cell>
          <cell r="C3067" t="str">
            <v>Sơn màu ghi</v>
          </cell>
          <cell r="D3067" t="str">
            <v>kg</v>
          </cell>
          <cell r="E3067">
            <v>0.1</v>
          </cell>
          <cell r="F3067">
            <v>47000</v>
          </cell>
          <cell r="G3067">
            <v>4700</v>
          </cell>
        </row>
        <row r="3068">
          <cell r="B3068">
            <v>26</v>
          </cell>
          <cell r="C3068" t="str">
            <v>Sơn cách điện</v>
          </cell>
          <cell r="D3068" t="str">
            <v>kg</v>
          </cell>
          <cell r="E3068">
            <v>0.1</v>
          </cell>
          <cell r="F3068">
            <v>35000</v>
          </cell>
          <cell r="G3068">
            <v>3500</v>
          </cell>
        </row>
        <row r="3069">
          <cell r="B3069">
            <v>25</v>
          </cell>
          <cell r="C3069" t="str">
            <v>Băng nilông các loại</v>
          </cell>
          <cell r="D3069" t="str">
            <v>cuộn</v>
          </cell>
          <cell r="E3069">
            <v>0.4</v>
          </cell>
          <cell r="F3069">
            <v>8000</v>
          </cell>
          <cell r="G3069">
            <v>3200</v>
          </cell>
        </row>
        <row r="3070">
          <cell r="B3070">
            <v>6</v>
          </cell>
          <cell r="C3070" t="str">
            <v>Vải trắng</v>
          </cell>
          <cell r="D3070" t="str">
            <v>m</v>
          </cell>
          <cell r="E3070">
            <v>0.5</v>
          </cell>
          <cell r="F3070">
            <v>15000</v>
          </cell>
          <cell r="G3070">
            <v>7500</v>
          </cell>
        </row>
        <row r="3071">
          <cell r="C3071" t="str">
            <v>Nhân công</v>
          </cell>
          <cell r="G3071">
            <v>778721.84210526315</v>
          </cell>
        </row>
        <row r="3072">
          <cell r="B3072" t="str">
            <v>NC1407</v>
          </cell>
          <cell r="C3072" t="str">
            <v>Ngày công bậc 4,0/7</v>
          </cell>
          <cell r="D3072" t="str">
            <v>công</v>
          </cell>
          <cell r="E3072">
            <v>4</v>
          </cell>
          <cell r="F3072">
            <v>194680.46052631579</v>
          </cell>
          <cell r="G3072">
            <v>778721.84210526315</v>
          </cell>
        </row>
        <row r="3073">
          <cell r="A3073" t="str">
            <v>T2.8306</v>
          </cell>
          <cell r="C3073" t="str">
            <v>Lắp đặt động cơ đồng bộ công suất 40KW</v>
          </cell>
          <cell r="D3073" t="str">
            <v>cái</v>
          </cell>
          <cell r="H3073">
            <v>41252.800000000003</v>
          </cell>
          <cell r="I3073">
            <v>1070742.5328947369</v>
          </cell>
        </row>
        <row r="3074">
          <cell r="C3074" t="str">
            <v>Vật liệu</v>
          </cell>
          <cell r="G3074">
            <v>41252.800000000003</v>
          </cell>
        </row>
        <row r="3075">
          <cell r="B3075">
            <v>3</v>
          </cell>
          <cell r="C3075" t="str">
            <v>Xăng</v>
          </cell>
          <cell r="D3075" t="str">
            <v>kg</v>
          </cell>
          <cell r="E3075">
            <v>0.4</v>
          </cell>
          <cell r="F3075">
            <v>18382</v>
          </cell>
          <cell r="G3075">
            <v>7352.8</v>
          </cell>
        </row>
        <row r="3076">
          <cell r="B3076">
            <v>24</v>
          </cell>
          <cell r="C3076" t="str">
            <v>Mỡ các loại</v>
          </cell>
          <cell r="D3076" t="str">
            <v>kg</v>
          </cell>
          <cell r="E3076">
            <v>0.6</v>
          </cell>
          <cell r="F3076">
            <v>25000</v>
          </cell>
          <cell r="G3076">
            <v>15000</v>
          </cell>
        </row>
        <row r="3077">
          <cell r="B3077">
            <v>14</v>
          </cell>
          <cell r="C3077" t="str">
            <v>Sơn màu ghi</v>
          </cell>
          <cell r="D3077" t="str">
            <v>kg</v>
          </cell>
          <cell r="E3077">
            <v>0.1</v>
          </cell>
          <cell r="F3077">
            <v>47000</v>
          </cell>
          <cell r="G3077">
            <v>4700</v>
          </cell>
        </row>
        <row r="3078">
          <cell r="B3078">
            <v>26</v>
          </cell>
          <cell r="C3078" t="str">
            <v>Sơn cách điện</v>
          </cell>
          <cell r="D3078" t="str">
            <v>kg</v>
          </cell>
          <cell r="E3078">
            <v>0.1</v>
          </cell>
          <cell r="F3078">
            <v>35000</v>
          </cell>
          <cell r="G3078">
            <v>3500</v>
          </cell>
        </row>
        <row r="3079">
          <cell r="B3079">
            <v>25</v>
          </cell>
          <cell r="C3079" t="str">
            <v>Băng nilông các loại</v>
          </cell>
          <cell r="D3079" t="str">
            <v>cuộn</v>
          </cell>
          <cell r="E3079">
            <v>0.4</v>
          </cell>
          <cell r="F3079">
            <v>8000</v>
          </cell>
          <cell r="G3079">
            <v>3200</v>
          </cell>
        </row>
        <row r="3080">
          <cell r="B3080">
            <v>6</v>
          </cell>
          <cell r="C3080" t="str">
            <v>Vải trắng</v>
          </cell>
          <cell r="D3080" t="str">
            <v>m</v>
          </cell>
          <cell r="E3080">
            <v>0.5</v>
          </cell>
          <cell r="F3080">
            <v>15000</v>
          </cell>
          <cell r="G3080">
            <v>7500</v>
          </cell>
        </row>
        <row r="3081">
          <cell r="C3081" t="str">
            <v>Nhân công</v>
          </cell>
          <cell r="G3081">
            <v>1070742.5328947369</v>
          </cell>
        </row>
        <row r="3082">
          <cell r="B3082" t="str">
            <v>NC1407</v>
          </cell>
          <cell r="C3082" t="str">
            <v>Ngày công bậc 4,0/7</v>
          </cell>
          <cell r="D3082" t="str">
            <v>công</v>
          </cell>
          <cell r="E3082">
            <v>5.5</v>
          </cell>
          <cell r="F3082">
            <v>194680.46052631579</v>
          </cell>
          <cell r="G3082">
            <v>1070742.5328947369</v>
          </cell>
        </row>
        <row r="3083">
          <cell r="A3083" t="str">
            <v>T2.8307</v>
          </cell>
          <cell r="C3083" t="str">
            <v>Lắp đặt động cơ đồng bộ công suất 75KW</v>
          </cell>
          <cell r="D3083" t="str">
            <v>cái</v>
          </cell>
          <cell r="H3083">
            <v>43091</v>
          </cell>
          <cell r="I3083">
            <v>1362763.2236842106</v>
          </cell>
        </row>
        <row r="3084">
          <cell r="C3084" t="str">
            <v>Vật liệu</v>
          </cell>
          <cell r="G3084">
            <v>43091</v>
          </cell>
        </row>
        <row r="3085">
          <cell r="B3085">
            <v>3</v>
          </cell>
          <cell r="C3085" t="str">
            <v>Xăng</v>
          </cell>
          <cell r="D3085" t="str">
            <v>kg</v>
          </cell>
          <cell r="E3085">
            <v>0.5</v>
          </cell>
          <cell r="F3085">
            <v>18382</v>
          </cell>
          <cell r="G3085">
            <v>9191</v>
          </cell>
        </row>
        <row r="3086">
          <cell r="B3086">
            <v>24</v>
          </cell>
          <cell r="C3086" t="str">
            <v>Mỡ các loại</v>
          </cell>
          <cell r="D3086" t="str">
            <v>kg</v>
          </cell>
          <cell r="E3086">
            <v>0.6</v>
          </cell>
          <cell r="F3086">
            <v>25000</v>
          </cell>
          <cell r="G3086">
            <v>15000</v>
          </cell>
        </row>
        <row r="3087">
          <cell r="B3087">
            <v>14</v>
          </cell>
          <cell r="C3087" t="str">
            <v>Sơn màu ghi</v>
          </cell>
          <cell r="D3087" t="str">
            <v>kg</v>
          </cell>
          <cell r="E3087">
            <v>0.1</v>
          </cell>
          <cell r="F3087">
            <v>47000</v>
          </cell>
          <cell r="G3087">
            <v>4700</v>
          </cell>
        </row>
        <row r="3088">
          <cell r="B3088">
            <v>26</v>
          </cell>
          <cell r="C3088" t="str">
            <v>Sơn cách điện</v>
          </cell>
          <cell r="D3088" t="str">
            <v>kg</v>
          </cell>
          <cell r="E3088">
            <v>0.1</v>
          </cell>
          <cell r="F3088">
            <v>35000</v>
          </cell>
          <cell r="G3088">
            <v>3500</v>
          </cell>
        </row>
        <row r="3089">
          <cell r="B3089">
            <v>25</v>
          </cell>
          <cell r="C3089" t="str">
            <v>Băng nilông các loại</v>
          </cell>
          <cell r="D3089" t="str">
            <v>cuộn</v>
          </cell>
          <cell r="E3089">
            <v>0.4</v>
          </cell>
          <cell r="F3089">
            <v>8000</v>
          </cell>
          <cell r="G3089">
            <v>3200</v>
          </cell>
        </row>
        <row r="3090">
          <cell r="B3090">
            <v>6</v>
          </cell>
          <cell r="C3090" t="str">
            <v>Vải trắng</v>
          </cell>
          <cell r="D3090" t="str">
            <v>m</v>
          </cell>
          <cell r="E3090">
            <v>0.5</v>
          </cell>
          <cell r="F3090">
            <v>15000</v>
          </cell>
          <cell r="G3090">
            <v>7500</v>
          </cell>
        </row>
        <row r="3091">
          <cell r="C3091" t="str">
            <v>Nhân công</v>
          </cell>
          <cell r="G3091">
            <v>1362763.2236842106</v>
          </cell>
        </row>
        <row r="3092">
          <cell r="B3092" t="str">
            <v>NC1407</v>
          </cell>
          <cell r="C3092" t="str">
            <v>Ngày công bậc 4,0/7</v>
          </cell>
          <cell r="D3092" t="str">
            <v>công</v>
          </cell>
          <cell r="E3092">
            <v>7</v>
          </cell>
          <cell r="F3092">
            <v>194680.46052631579</v>
          </cell>
          <cell r="G3092">
            <v>1362763.2236842106</v>
          </cell>
        </row>
        <row r="3093">
          <cell r="A3093" t="str">
            <v>T2.8308</v>
          </cell>
          <cell r="C3093" t="str">
            <v>Lắp đặt động cơ đồng bộ công suất 100KW</v>
          </cell>
          <cell r="D3093" t="str">
            <v>cái</v>
          </cell>
          <cell r="H3093">
            <v>43891</v>
          </cell>
          <cell r="I3093">
            <v>1557443.6842105263</v>
          </cell>
        </row>
        <row r="3094">
          <cell r="C3094" t="str">
            <v>Vật liệu</v>
          </cell>
          <cell r="G3094">
            <v>43891</v>
          </cell>
        </row>
        <row r="3095">
          <cell r="B3095">
            <v>3</v>
          </cell>
          <cell r="C3095" t="str">
            <v>Xăng</v>
          </cell>
          <cell r="D3095" t="str">
            <v>kg</v>
          </cell>
          <cell r="E3095">
            <v>0.5</v>
          </cell>
          <cell r="F3095">
            <v>18382</v>
          </cell>
          <cell r="G3095">
            <v>9191</v>
          </cell>
        </row>
        <row r="3096">
          <cell r="B3096">
            <v>24</v>
          </cell>
          <cell r="C3096" t="str">
            <v>Mỡ các loại</v>
          </cell>
          <cell r="D3096" t="str">
            <v>kg</v>
          </cell>
          <cell r="E3096">
            <v>0.6</v>
          </cell>
          <cell r="F3096">
            <v>25000</v>
          </cell>
          <cell r="G3096">
            <v>15000</v>
          </cell>
        </row>
        <row r="3097">
          <cell r="B3097">
            <v>14</v>
          </cell>
          <cell r="C3097" t="str">
            <v>Sơn màu ghi</v>
          </cell>
          <cell r="D3097" t="str">
            <v>kg</v>
          </cell>
          <cell r="E3097">
            <v>0.1</v>
          </cell>
          <cell r="F3097">
            <v>47000</v>
          </cell>
          <cell r="G3097">
            <v>4700</v>
          </cell>
        </row>
        <row r="3098">
          <cell r="B3098">
            <v>26</v>
          </cell>
          <cell r="C3098" t="str">
            <v>Sơn cách điện</v>
          </cell>
          <cell r="D3098" t="str">
            <v>kg</v>
          </cell>
          <cell r="E3098">
            <v>0.1</v>
          </cell>
          <cell r="F3098">
            <v>35000</v>
          </cell>
          <cell r="G3098">
            <v>3500</v>
          </cell>
        </row>
        <row r="3099">
          <cell r="B3099">
            <v>25</v>
          </cell>
          <cell r="C3099" t="str">
            <v>Băng nilông các loại</v>
          </cell>
          <cell r="D3099" t="str">
            <v>cuộn</v>
          </cell>
          <cell r="E3099">
            <v>0.5</v>
          </cell>
          <cell r="F3099">
            <v>8000</v>
          </cell>
          <cell r="G3099">
            <v>4000</v>
          </cell>
        </row>
        <row r="3100">
          <cell r="B3100">
            <v>6</v>
          </cell>
          <cell r="C3100" t="str">
            <v>Vải trắng</v>
          </cell>
          <cell r="D3100" t="str">
            <v>m</v>
          </cell>
          <cell r="E3100">
            <v>0.5</v>
          </cell>
          <cell r="F3100">
            <v>15000</v>
          </cell>
          <cell r="G3100">
            <v>7500</v>
          </cell>
        </row>
        <row r="3101">
          <cell r="C3101" t="str">
            <v>Nhân công</v>
          </cell>
          <cell r="G3101">
            <v>1557443.6842105263</v>
          </cell>
        </row>
        <row r="3102">
          <cell r="B3102" t="str">
            <v>NC1407</v>
          </cell>
          <cell r="C3102" t="str">
            <v>Ngày công bậc 4,0/7</v>
          </cell>
          <cell r="D3102" t="str">
            <v>công</v>
          </cell>
          <cell r="E3102">
            <v>8</v>
          </cell>
          <cell r="F3102">
            <v>194680.46052631579</v>
          </cell>
          <cell r="G3102">
            <v>1557443.6842105263</v>
          </cell>
        </row>
        <row r="3103">
          <cell r="A3103" t="str">
            <v>T2.8309</v>
          </cell>
          <cell r="C3103" t="str">
            <v>Lắp đặt động cơ đồng bộ công suất 160KW</v>
          </cell>
          <cell r="D3103" t="str">
            <v>cái</v>
          </cell>
          <cell r="H3103">
            <v>43891</v>
          </cell>
          <cell r="I3103">
            <v>1946804.6052631577</v>
          </cell>
        </row>
        <row r="3104">
          <cell r="C3104" t="str">
            <v>Vật liệu</v>
          </cell>
          <cell r="G3104">
            <v>43891</v>
          </cell>
        </row>
        <row r="3105">
          <cell r="B3105">
            <v>3</v>
          </cell>
          <cell r="C3105" t="str">
            <v>Xăng</v>
          </cell>
          <cell r="D3105" t="str">
            <v>kg</v>
          </cell>
          <cell r="E3105">
            <v>0.5</v>
          </cell>
          <cell r="F3105">
            <v>18382</v>
          </cell>
          <cell r="G3105">
            <v>9191</v>
          </cell>
        </row>
        <row r="3106">
          <cell r="B3106">
            <v>24</v>
          </cell>
          <cell r="C3106" t="str">
            <v>Mỡ các loại</v>
          </cell>
          <cell r="D3106" t="str">
            <v>kg</v>
          </cell>
          <cell r="E3106">
            <v>0.6</v>
          </cell>
          <cell r="F3106">
            <v>25000</v>
          </cell>
          <cell r="G3106">
            <v>15000</v>
          </cell>
        </row>
        <row r="3107">
          <cell r="B3107">
            <v>14</v>
          </cell>
          <cell r="C3107" t="str">
            <v>Sơn màu ghi</v>
          </cell>
          <cell r="D3107" t="str">
            <v>kg</v>
          </cell>
          <cell r="E3107">
            <v>0.1</v>
          </cell>
          <cell r="F3107">
            <v>47000</v>
          </cell>
          <cell r="G3107">
            <v>4700</v>
          </cell>
        </row>
        <row r="3108">
          <cell r="B3108">
            <v>26</v>
          </cell>
          <cell r="C3108" t="str">
            <v>Sơn cách điện</v>
          </cell>
          <cell r="D3108" t="str">
            <v>kg</v>
          </cell>
          <cell r="E3108">
            <v>0.1</v>
          </cell>
          <cell r="F3108">
            <v>35000</v>
          </cell>
          <cell r="G3108">
            <v>3500</v>
          </cell>
        </row>
        <row r="3109">
          <cell r="B3109">
            <v>25</v>
          </cell>
          <cell r="C3109" t="str">
            <v>Băng nilông các loại</v>
          </cell>
          <cell r="D3109" t="str">
            <v>cuộn</v>
          </cell>
          <cell r="E3109">
            <v>0.5</v>
          </cell>
          <cell r="F3109">
            <v>8000</v>
          </cell>
          <cell r="G3109">
            <v>4000</v>
          </cell>
        </row>
        <row r="3110">
          <cell r="B3110">
            <v>6</v>
          </cell>
          <cell r="C3110" t="str">
            <v>Vải trắng</v>
          </cell>
          <cell r="D3110" t="str">
            <v>m</v>
          </cell>
          <cell r="E3110">
            <v>0.5</v>
          </cell>
          <cell r="F3110">
            <v>15000</v>
          </cell>
          <cell r="G3110">
            <v>7500</v>
          </cell>
        </row>
        <row r="3111">
          <cell r="C3111" t="str">
            <v>Nhân công</v>
          </cell>
          <cell r="G3111">
            <v>1946804.6052631577</v>
          </cell>
        </row>
        <row r="3112">
          <cell r="B3112" t="str">
            <v>NC1407</v>
          </cell>
          <cell r="C3112" t="str">
            <v>Ngày công bậc 4,0/7</v>
          </cell>
          <cell r="D3112" t="str">
            <v>công</v>
          </cell>
          <cell r="E3112">
            <v>10</v>
          </cell>
          <cell r="F3112">
            <v>194680.46052631579</v>
          </cell>
          <cell r="G3112">
            <v>1946804.6052631577</v>
          </cell>
        </row>
        <row r="3113">
          <cell r="A3113" t="str">
            <v>T2.8310</v>
          </cell>
          <cell r="C3113" t="str">
            <v>Lắp đặt động cơ đồng bộ công suất 200KW</v>
          </cell>
          <cell r="D3113" t="str">
            <v>cái</v>
          </cell>
          <cell r="H3113">
            <v>50729.2</v>
          </cell>
          <cell r="I3113">
            <v>2336165.5263157897</v>
          </cell>
        </row>
        <row r="3114">
          <cell r="C3114" t="str">
            <v>Vật liệu</v>
          </cell>
          <cell r="G3114">
            <v>50729.2</v>
          </cell>
        </row>
        <row r="3115">
          <cell r="B3115">
            <v>3</v>
          </cell>
          <cell r="C3115" t="str">
            <v>Xăng</v>
          </cell>
          <cell r="D3115" t="str">
            <v>kg</v>
          </cell>
          <cell r="E3115">
            <v>0.6</v>
          </cell>
          <cell r="F3115">
            <v>18382</v>
          </cell>
          <cell r="G3115">
            <v>11029.199999999999</v>
          </cell>
        </row>
        <row r="3116">
          <cell r="B3116">
            <v>24</v>
          </cell>
          <cell r="C3116" t="str">
            <v>Mỡ các loại</v>
          </cell>
          <cell r="D3116" t="str">
            <v>kg</v>
          </cell>
          <cell r="E3116">
            <v>0.8</v>
          </cell>
          <cell r="F3116">
            <v>25000</v>
          </cell>
          <cell r="G3116">
            <v>20000</v>
          </cell>
        </row>
        <row r="3117">
          <cell r="B3117">
            <v>14</v>
          </cell>
          <cell r="C3117" t="str">
            <v>Sơn màu ghi</v>
          </cell>
          <cell r="D3117" t="str">
            <v>kg</v>
          </cell>
          <cell r="E3117">
            <v>0.1</v>
          </cell>
          <cell r="F3117">
            <v>47000</v>
          </cell>
          <cell r="G3117">
            <v>4700</v>
          </cell>
        </row>
        <row r="3118">
          <cell r="B3118">
            <v>26</v>
          </cell>
          <cell r="C3118" t="str">
            <v>Sơn cách điện</v>
          </cell>
          <cell r="D3118" t="str">
            <v>kg</v>
          </cell>
          <cell r="E3118">
            <v>0.1</v>
          </cell>
          <cell r="F3118">
            <v>35000</v>
          </cell>
          <cell r="G3118">
            <v>3500</v>
          </cell>
        </row>
        <row r="3119">
          <cell r="B3119">
            <v>25</v>
          </cell>
          <cell r="C3119" t="str">
            <v>Băng nilông các loại</v>
          </cell>
          <cell r="D3119" t="str">
            <v>cuộn</v>
          </cell>
          <cell r="E3119">
            <v>0.5</v>
          </cell>
          <cell r="F3119">
            <v>8000</v>
          </cell>
          <cell r="G3119">
            <v>4000</v>
          </cell>
        </row>
        <row r="3120">
          <cell r="B3120">
            <v>6</v>
          </cell>
          <cell r="C3120" t="str">
            <v>Vải trắng</v>
          </cell>
          <cell r="D3120" t="str">
            <v>m</v>
          </cell>
          <cell r="E3120">
            <v>0.5</v>
          </cell>
          <cell r="F3120">
            <v>15000</v>
          </cell>
          <cell r="G3120">
            <v>7500</v>
          </cell>
        </row>
        <row r="3121">
          <cell r="C3121" t="str">
            <v>Nhân công</v>
          </cell>
          <cell r="G3121">
            <v>2336165.5263157897</v>
          </cell>
        </row>
        <row r="3122">
          <cell r="B3122" t="str">
            <v>NC1407</v>
          </cell>
          <cell r="C3122" t="str">
            <v>Ngày công bậc 4,0/7</v>
          </cell>
          <cell r="D3122" t="str">
            <v>công</v>
          </cell>
          <cell r="E3122">
            <v>12</v>
          </cell>
          <cell r="F3122">
            <v>194680.46052631579</v>
          </cell>
          <cell r="G3122">
            <v>2336165.5263157897</v>
          </cell>
        </row>
        <row r="3123">
          <cell r="A3123" t="str">
            <v>T2.8311</v>
          </cell>
          <cell r="C3123" t="str">
            <v>Lắp đặt động cơ đồng bộ công suất 320KW</v>
          </cell>
          <cell r="D3123" t="str">
            <v>cái</v>
          </cell>
          <cell r="H3123">
            <v>52567.4</v>
          </cell>
          <cell r="I3123">
            <v>2920206.9078947366</v>
          </cell>
        </row>
        <row r="3124">
          <cell r="C3124" t="str">
            <v>Vật liệu</v>
          </cell>
          <cell r="G3124">
            <v>52567.4</v>
          </cell>
        </row>
        <row r="3125">
          <cell r="B3125">
            <v>3</v>
          </cell>
          <cell r="C3125" t="str">
            <v>Xăng</v>
          </cell>
          <cell r="D3125" t="str">
            <v>kg</v>
          </cell>
          <cell r="E3125">
            <v>0.7</v>
          </cell>
          <cell r="F3125">
            <v>18382</v>
          </cell>
          <cell r="G3125">
            <v>12867.4</v>
          </cell>
        </row>
        <row r="3126">
          <cell r="B3126">
            <v>24</v>
          </cell>
          <cell r="C3126" t="str">
            <v>Mỡ các loại</v>
          </cell>
          <cell r="D3126" t="str">
            <v>kg</v>
          </cell>
          <cell r="E3126">
            <v>0.8</v>
          </cell>
          <cell r="F3126">
            <v>25000</v>
          </cell>
          <cell r="G3126">
            <v>20000</v>
          </cell>
        </row>
        <row r="3127">
          <cell r="B3127">
            <v>14</v>
          </cell>
          <cell r="C3127" t="str">
            <v>Sơn màu ghi</v>
          </cell>
          <cell r="D3127" t="str">
            <v>kg</v>
          </cell>
          <cell r="E3127">
            <v>0.1</v>
          </cell>
          <cell r="F3127">
            <v>47000</v>
          </cell>
          <cell r="G3127">
            <v>4700</v>
          </cell>
        </row>
        <row r="3128">
          <cell r="B3128">
            <v>26</v>
          </cell>
          <cell r="C3128" t="str">
            <v>Sơn cách điện</v>
          </cell>
          <cell r="D3128" t="str">
            <v>kg</v>
          </cell>
          <cell r="E3128">
            <v>0.1</v>
          </cell>
          <cell r="F3128">
            <v>35000</v>
          </cell>
          <cell r="G3128">
            <v>3500</v>
          </cell>
        </row>
        <row r="3129">
          <cell r="B3129">
            <v>25</v>
          </cell>
          <cell r="C3129" t="str">
            <v>Băng nilông các loại</v>
          </cell>
          <cell r="D3129" t="str">
            <v>cuộn</v>
          </cell>
          <cell r="E3129">
            <v>0.5</v>
          </cell>
          <cell r="F3129">
            <v>8000</v>
          </cell>
          <cell r="G3129">
            <v>4000</v>
          </cell>
        </row>
        <row r="3130">
          <cell r="B3130">
            <v>6</v>
          </cell>
          <cell r="C3130" t="str">
            <v>Vải trắng</v>
          </cell>
          <cell r="D3130" t="str">
            <v>m</v>
          </cell>
          <cell r="E3130">
            <v>0.5</v>
          </cell>
          <cell r="F3130">
            <v>15000</v>
          </cell>
          <cell r="G3130">
            <v>7500</v>
          </cell>
        </row>
        <row r="3131">
          <cell r="C3131" t="str">
            <v>Nhân công</v>
          </cell>
          <cell r="G3131">
            <v>2920206.9078947366</v>
          </cell>
        </row>
        <row r="3132">
          <cell r="B3132" t="str">
            <v>NC1407</v>
          </cell>
          <cell r="C3132" t="str">
            <v>Ngày công bậc 4,0/7</v>
          </cell>
          <cell r="D3132" t="str">
            <v>công</v>
          </cell>
          <cell r="E3132">
            <v>15</v>
          </cell>
          <cell r="F3132">
            <v>194680.46052631579</v>
          </cell>
          <cell r="G3132">
            <v>2920206.9078947366</v>
          </cell>
        </row>
        <row r="3133">
          <cell r="A3133" t="str">
            <v>T2.8312</v>
          </cell>
          <cell r="C3133" t="str">
            <v>Lắp đặt động cơ đồng bộ công suất 570KW</v>
          </cell>
          <cell r="D3133" t="str">
            <v>cái</v>
          </cell>
          <cell r="H3133">
            <v>52567.4</v>
          </cell>
          <cell r="I3133">
            <v>3893609.2105263155</v>
          </cell>
        </row>
        <row r="3134">
          <cell r="C3134" t="str">
            <v>Vật liệu</v>
          </cell>
          <cell r="G3134">
            <v>52567.4</v>
          </cell>
        </row>
        <row r="3135">
          <cell r="B3135">
            <v>3</v>
          </cell>
          <cell r="C3135" t="str">
            <v>Xăng</v>
          </cell>
          <cell r="D3135" t="str">
            <v>kg</v>
          </cell>
          <cell r="E3135">
            <v>0.7</v>
          </cell>
          <cell r="F3135">
            <v>18382</v>
          </cell>
          <cell r="G3135">
            <v>12867.4</v>
          </cell>
        </row>
        <row r="3136">
          <cell r="B3136">
            <v>24</v>
          </cell>
          <cell r="C3136" t="str">
            <v>Mỡ các loại</v>
          </cell>
          <cell r="D3136" t="str">
            <v>kg</v>
          </cell>
          <cell r="E3136">
            <v>0.8</v>
          </cell>
          <cell r="F3136">
            <v>25000</v>
          </cell>
          <cell r="G3136">
            <v>20000</v>
          </cell>
        </row>
        <row r="3137">
          <cell r="B3137">
            <v>14</v>
          </cell>
          <cell r="C3137" t="str">
            <v>Sơn màu ghi</v>
          </cell>
          <cell r="D3137" t="str">
            <v>kg</v>
          </cell>
          <cell r="E3137">
            <v>0.1</v>
          </cell>
          <cell r="F3137">
            <v>47000</v>
          </cell>
          <cell r="G3137">
            <v>4700</v>
          </cell>
        </row>
        <row r="3138">
          <cell r="B3138">
            <v>26</v>
          </cell>
          <cell r="C3138" t="str">
            <v>Sơn cách điện</v>
          </cell>
          <cell r="D3138" t="str">
            <v>kg</v>
          </cell>
          <cell r="E3138">
            <v>0.1</v>
          </cell>
          <cell r="F3138">
            <v>35000</v>
          </cell>
          <cell r="G3138">
            <v>3500</v>
          </cell>
        </row>
        <row r="3139">
          <cell r="B3139">
            <v>25</v>
          </cell>
          <cell r="C3139" t="str">
            <v>Băng nilông các loại</v>
          </cell>
          <cell r="D3139" t="str">
            <v>cuộn</v>
          </cell>
          <cell r="E3139">
            <v>0.5</v>
          </cell>
          <cell r="F3139">
            <v>8000</v>
          </cell>
          <cell r="G3139">
            <v>4000</v>
          </cell>
        </row>
        <row r="3140">
          <cell r="B3140">
            <v>6</v>
          </cell>
          <cell r="C3140" t="str">
            <v>Vải trắng</v>
          </cell>
          <cell r="D3140" t="str">
            <v>m</v>
          </cell>
          <cell r="E3140">
            <v>0.5</v>
          </cell>
          <cell r="F3140">
            <v>15000</v>
          </cell>
          <cell r="G3140">
            <v>7500</v>
          </cell>
        </row>
        <row r="3141">
          <cell r="C3141" t="str">
            <v>Nhân công</v>
          </cell>
          <cell r="G3141">
            <v>3893609.2105263155</v>
          </cell>
        </row>
        <row r="3142">
          <cell r="B3142" t="str">
            <v>NC1407</v>
          </cell>
          <cell r="C3142" t="str">
            <v>Ngày công bậc 4,0/7</v>
          </cell>
          <cell r="D3142" t="str">
            <v>công</v>
          </cell>
          <cell r="E3142">
            <v>20</v>
          </cell>
          <cell r="F3142">
            <v>194680.46052631579</v>
          </cell>
          <cell r="G3142">
            <v>3893609.2105263155</v>
          </cell>
        </row>
        <row r="3143">
          <cell r="A3143" t="str">
            <v>T2.8404</v>
          </cell>
          <cell r="C3143" t="str">
            <v>Lắp đặt aptômát và khởi động từ dòng điện &lt;=300A</v>
          </cell>
          <cell r="D3143" t="str">
            <v>cái</v>
          </cell>
          <cell r="H3143">
            <v>31992</v>
          </cell>
          <cell r="I3143">
            <v>486701.15131578944</v>
          </cell>
        </row>
        <row r="3144">
          <cell r="C3144" t="str">
            <v>Vật liệu</v>
          </cell>
          <cell r="G3144">
            <v>31992</v>
          </cell>
        </row>
        <row r="3145">
          <cell r="B3145">
            <v>27</v>
          </cell>
          <cell r="C3145" t="str">
            <v>Bulông d=6 L =&gt;60</v>
          </cell>
          <cell r="D3145" t="str">
            <v>cái</v>
          </cell>
          <cell r="E3145">
            <v>4</v>
          </cell>
          <cell r="F3145">
            <v>3500</v>
          </cell>
          <cell r="G3145">
            <v>14000</v>
          </cell>
        </row>
        <row r="3146">
          <cell r="B3146">
            <v>12</v>
          </cell>
          <cell r="C3146" t="str">
            <v>Ximăng PC30 PC30</v>
          </cell>
          <cell r="D3146" t="str">
            <v>kg</v>
          </cell>
          <cell r="E3146">
            <v>0.3</v>
          </cell>
          <cell r="F3146">
            <v>1240</v>
          </cell>
          <cell r="G3146">
            <v>372</v>
          </cell>
        </row>
        <row r="3147">
          <cell r="B3147">
            <v>18</v>
          </cell>
          <cell r="C3147" t="str">
            <v>Thép lá 1mm</v>
          </cell>
          <cell r="D3147" t="str">
            <v>kg</v>
          </cell>
          <cell r="E3147">
            <v>1.4</v>
          </cell>
          <cell r="F3147">
            <v>10300</v>
          </cell>
          <cell r="G3147">
            <v>14419.999999999998</v>
          </cell>
        </row>
        <row r="3148">
          <cell r="B3148">
            <v>25</v>
          </cell>
          <cell r="C3148" t="str">
            <v>Băng nilông các loại</v>
          </cell>
          <cell r="D3148" t="str">
            <v>cuộn</v>
          </cell>
          <cell r="E3148">
            <v>0.4</v>
          </cell>
          <cell r="F3148">
            <v>8000</v>
          </cell>
          <cell r="G3148">
            <v>3200</v>
          </cell>
        </row>
        <row r="3149">
          <cell r="B3149">
            <v>6</v>
          </cell>
          <cell r="C3149" t="str">
            <v>Vải trắng</v>
          </cell>
          <cell r="D3149" t="str">
            <v>m</v>
          </cell>
          <cell r="E3149">
            <v>0.5</v>
          </cell>
          <cell r="F3149">
            <v>15000</v>
          </cell>
          <cell r="G3149">
            <v>7500</v>
          </cell>
        </row>
        <row r="3150">
          <cell r="C3150" t="str">
            <v>Nhân công</v>
          </cell>
          <cell r="G3150">
            <v>486701.15131578944</v>
          </cell>
        </row>
        <row r="3151">
          <cell r="B3151" t="str">
            <v>NC1407</v>
          </cell>
          <cell r="C3151" t="str">
            <v>Ngày công bậc 4,0/7</v>
          </cell>
          <cell r="D3151" t="str">
            <v>công</v>
          </cell>
          <cell r="E3151">
            <v>2.5</v>
          </cell>
          <cell r="F3151">
            <v>194680.46052631579</v>
          </cell>
          <cell r="G3151">
            <v>486701.15131578944</v>
          </cell>
        </row>
        <row r="3152">
          <cell r="A3152" t="str">
            <v>T2.8405</v>
          </cell>
          <cell r="C3152" t="str">
            <v>Lắp đặt aptômát và khởi động từ dòng điện &lt;=400A</v>
          </cell>
          <cell r="D3152" t="str">
            <v>cái</v>
          </cell>
          <cell r="H3152">
            <v>33022</v>
          </cell>
          <cell r="I3152">
            <v>681381.61184210528</v>
          </cell>
        </row>
        <row r="3153">
          <cell r="C3153" t="str">
            <v>Vật liệu</v>
          </cell>
          <cell r="G3153">
            <v>33022</v>
          </cell>
        </row>
        <row r="3154">
          <cell r="B3154">
            <v>27</v>
          </cell>
          <cell r="C3154" t="str">
            <v>Bulông d=6 L =&gt;60</v>
          </cell>
          <cell r="D3154" t="str">
            <v>cái</v>
          </cell>
          <cell r="E3154">
            <v>4</v>
          </cell>
          <cell r="F3154">
            <v>3500</v>
          </cell>
          <cell r="G3154">
            <v>14000</v>
          </cell>
        </row>
        <row r="3155">
          <cell r="B3155">
            <v>12</v>
          </cell>
          <cell r="C3155" t="str">
            <v>Ximăng PC30 PC30</v>
          </cell>
          <cell r="D3155" t="str">
            <v>kg</v>
          </cell>
          <cell r="E3155">
            <v>0.3</v>
          </cell>
          <cell r="F3155">
            <v>1240</v>
          </cell>
          <cell r="G3155">
            <v>372</v>
          </cell>
        </row>
        <row r="3156">
          <cell r="B3156">
            <v>18</v>
          </cell>
          <cell r="C3156" t="str">
            <v>Thép lá 1mm</v>
          </cell>
          <cell r="D3156" t="str">
            <v>kg</v>
          </cell>
          <cell r="E3156">
            <v>1.5</v>
          </cell>
          <cell r="F3156">
            <v>10300</v>
          </cell>
          <cell r="G3156">
            <v>15450</v>
          </cell>
        </row>
        <row r="3157">
          <cell r="B3157">
            <v>25</v>
          </cell>
          <cell r="C3157" t="str">
            <v>Băng nilông các loại</v>
          </cell>
          <cell r="D3157" t="str">
            <v>cuộn</v>
          </cell>
          <cell r="E3157">
            <v>0.4</v>
          </cell>
          <cell r="F3157">
            <v>8000</v>
          </cell>
          <cell r="G3157">
            <v>3200</v>
          </cell>
        </row>
        <row r="3158">
          <cell r="B3158">
            <v>6</v>
          </cell>
          <cell r="C3158" t="str">
            <v>Vải trắng</v>
          </cell>
          <cell r="D3158" t="str">
            <v>m</v>
          </cell>
          <cell r="E3158">
            <v>0.5</v>
          </cell>
          <cell r="F3158">
            <v>15000</v>
          </cell>
          <cell r="G3158">
            <v>7500</v>
          </cell>
        </row>
        <row r="3159">
          <cell r="C3159" t="str">
            <v>Nhân công</v>
          </cell>
          <cell r="G3159">
            <v>681381.61184210528</v>
          </cell>
        </row>
        <row r="3160">
          <cell r="B3160" t="str">
            <v>NC1407</v>
          </cell>
          <cell r="C3160" t="str">
            <v>Ngày công bậc 4,0/7</v>
          </cell>
          <cell r="D3160" t="str">
            <v>công</v>
          </cell>
          <cell r="E3160">
            <v>3.5</v>
          </cell>
          <cell r="F3160">
            <v>194680.46052631579</v>
          </cell>
          <cell r="G3160">
            <v>681381.61184210528</v>
          </cell>
        </row>
        <row r="3161">
          <cell r="A3161" t="str">
            <v>T2.8406</v>
          </cell>
          <cell r="C3161" t="str">
            <v>Lắp đặt aptômát và khởi động từ dòng điện &lt;=600A</v>
          </cell>
          <cell r="D3161" t="str">
            <v>cái</v>
          </cell>
          <cell r="H3161">
            <v>38420</v>
          </cell>
          <cell r="I3161">
            <v>778721.84210526315</v>
          </cell>
        </row>
        <row r="3162">
          <cell r="C3162" t="str">
            <v>Vật liệu</v>
          </cell>
          <cell r="G3162">
            <v>38420</v>
          </cell>
        </row>
        <row r="3163">
          <cell r="B3163">
            <v>27</v>
          </cell>
          <cell r="C3163" t="str">
            <v>Bulông d=6 L =&gt;60</v>
          </cell>
          <cell r="D3163" t="str">
            <v>cái</v>
          </cell>
          <cell r="E3163">
            <v>4</v>
          </cell>
          <cell r="F3163">
            <v>3500</v>
          </cell>
          <cell r="G3163">
            <v>14000</v>
          </cell>
        </row>
        <row r="3164">
          <cell r="B3164">
            <v>12</v>
          </cell>
          <cell r="C3164" t="str">
            <v>Ximăng PC30 PC30</v>
          </cell>
          <cell r="D3164" t="str">
            <v>kg</v>
          </cell>
          <cell r="E3164">
            <v>0.5</v>
          </cell>
          <cell r="F3164">
            <v>1240</v>
          </cell>
          <cell r="G3164">
            <v>620</v>
          </cell>
        </row>
        <row r="3165">
          <cell r="B3165">
            <v>18</v>
          </cell>
          <cell r="C3165" t="str">
            <v>Thép lá 1mm</v>
          </cell>
          <cell r="D3165" t="str">
            <v>kg</v>
          </cell>
          <cell r="E3165">
            <v>2</v>
          </cell>
          <cell r="F3165">
            <v>10300</v>
          </cell>
          <cell r="G3165">
            <v>20600</v>
          </cell>
        </row>
        <row r="3166">
          <cell r="B3166">
            <v>25</v>
          </cell>
          <cell r="C3166" t="str">
            <v>Băng nilông các loại</v>
          </cell>
          <cell r="D3166" t="str">
            <v>cuộn</v>
          </cell>
          <cell r="E3166">
            <v>0.4</v>
          </cell>
          <cell r="F3166">
            <v>8000</v>
          </cell>
          <cell r="G3166">
            <v>3200</v>
          </cell>
        </row>
        <row r="3167">
          <cell r="B3167">
            <v>6</v>
          </cell>
          <cell r="C3167" t="str">
            <v>Vải trắng</v>
          </cell>
          <cell r="D3167" t="str">
            <v>m</v>
          </cell>
          <cell r="E3167">
            <v>0.5</v>
          </cell>
          <cell r="F3167">
            <v>15000</v>
          </cell>
          <cell r="G3167">
            <v>7500</v>
          </cell>
        </row>
        <row r="3168">
          <cell r="C3168" t="str">
            <v>Nhân công</v>
          </cell>
          <cell r="G3168">
            <v>778721.84210526315</v>
          </cell>
        </row>
        <row r="3169">
          <cell r="B3169" t="str">
            <v>NC1407</v>
          </cell>
          <cell r="C3169" t="str">
            <v>Ngày công bậc 4,0/7</v>
          </cell>
          <cell r="D3169" t="str">
            <v>công</v>
          </cell>
          <cell r="E3169">
            <v>4</v>
          </cell>
          <cell r="F3169">
            <v>194680.46052631579</v>
          </cell>
          <cell r="G3169">
            <v>778721.84210526315</v>
          </cell>
        </row>
        <row r="3170">
          <cell r="A3170" t="str">
            <v>T2.8407</v>
          </cell>
          <cell r="C3170" t="str">
            <v>Lắp đặt aptômát và khởi động từ dòng điện &lt;=1000A</v>
          </cell>
          <cell r="D3170" t="str">
            <v>cái</v>
          </cell>
          <cell r="H3170">
            <v>55042</v>
          </cell>
          <cell r="I3170">
            <v>973402.30263157887</v>
          </cell>
        </row>
        <row r="3171">
          <cell r="C3171" t="str">
            <v>Vật liệu</v>
          </cell>
          <cell r="G3171">
            <v>55042</v>
          </cell>
        </row>
        <row r="3172">
          <cell r="B3172">
            <v>27</v>
          </cell>
          <cell r="C3172" t="str">
            <v>Bulông d=6 L =&gt;60</v>
          </cell>
          <cell r="D3172" t="str">
            <v>cái</v>
          </cell>
          <cell r="E3172">
            <v>4</v>
          </cell>
          <cell r="F3172">
            <v>3500</v>
          </cell>
          <cell r="G3172">
            <v>14000</v>
          </cell>
        </row>
        <row r="3173">
          <cell r="B3173">
            <v>12</v>
          </cell>
          <cell r="C3173" t="str">
            <v>Ximăng PC30 PC30</v>
          </cell>
          <cell r="D3173" t="str">
            <v>kg</v>
          </cell>
          <cell r="E3173">
            <v>0.8</v>
          </cell>
          <cell r="F3173">
            <v>1240</v>
          </cell>
          <cell r="G3173">
            <v>992</v>
          </cell>
        </row>
        <row r="3174">
          <cell r="B3174">
            <v>18</v>
          </cell>
          <cell r="C3174" t="str">
            <v>Thép lá 1mm</v>
          </cell>
          <cell r="D3174" t="str">
            <v>kg</v>
          </cell>
          <cell r="E3174">
            <v>3.5</v>
          </cell>
          <cell r="F3174">
            <v>10300</v>
          </cell>
          <cell r="G3174">
            <v>36050</v>
          </cell>
        </row>
        <row r="3175">
          <cell r="B3175">
            <v>25</v>
          </cell>
          <cell r="C3175" t="str">
            <v>Băng nilông các loại</v>
          </cell>
          <cell r="D3175" t="str">
            <v>cuộn</v>
          </cell>
          <cell r="E3175">
            <v>0.5</v>
          </cell>
          <cell r="F3175">
            <v>8000</v>
          </cell>
          <cell r="G3175">
            <v>4000</v>
          </cell>
        </row>
        <row r="3176">
          <cell r="B3176">
            <v>6</v>
          </cell>
          <cell r="C3176" t="str">
            <v>Vải trắng</v>
          </cell>
          <cell r="D3176" t="str">
            <v>m</v>
          </cell>
          <cell r="E3176">
            <v>0.5</v>
          </cell>
          <cell r="F3176">
            <v>15000</v>
          </cell>
          <cell r="G3176">
            <v>7500</v>
          </cell>
        </row>
        <row r="3177">
          <cell r="C3177" t="str">
            <v>Nhân công</v>
          </cell>
          <cell r="G3177">
            <v>973402.30263157887</v>
          </cell>
        </row>
        <row r="3178">
          <cell r="B3178" t="str">
            <v>NC1407</v>
          </cell>
          <cell r="C3178" t="str">
            <v>Ngày công bậc 4,0/7</v>
          </cell>
          <cell r="D3178" t="str">
            <v>công</v>
          </cell>
          <cell r="E3178">
            <v>5</v>
          </cell>
          <cell r="F3178">
            <v>194680.46052631579</v>
          </cell>
          <cell r="G3178">
            <v>973402.30263157887</v>
          </cell>
        </row>
        <row r="3179">
          <cell r="A3179" t="str">
            <v>T2.8501</v>
          </cell>
          <cell r="C3179" t="str">
            <v>Lắp đặt hệ thống tụ bù cấp điện áp 500KV dung lượng 1MVAR, trên dàn</v>
          </cell>
          <cell r="D3179" t="str">
            <v>bộ</v>
          </cell>
          <cell r="H3179">
            <v>52567.595000000001</v>
          </cell>
          <cell r="I3179">
            <v>1944220.6646052632</v>
          </cell>
          <cell r="J3179">
            <v>469592.82984142861</v>
          </cell>
        </row>
        <row r="3180">
          <cell r="C3180" t="str">
            <v>Vật liệu</v>
          </cell>
          <cell r="G3180">
            <v>52567.595000000001</v>
          </cell>
        </row>
        <row r="3181">
          <cell r="B3181">
            <v>44</v>
          </cell>
          <cell r="C3181" t="str">
            <v>Gỗ ván nhóm 4</v>
          </cell>
          <cell r="D3181" t="str">
            <v>m3</v>
          </cell>
          <cell r="E3181">
            <v>6.0000000000000001E-3</v>
          </cell>
          <cell r="F3181">
            <v>2300000</v>
          </cell>
          <cell r="G3181">
            <v>13800</v>
          </cell>
        </row>
        <row r="3182">
          <cell r="B3182">
            <v>9</v>
          </cell>
          <cell r="C3182" t="str">
            <v>Giẻ lau</v>
          </cell>
          <cell r="D3182" t="str">
            <v>kg</v>
          </cell>
          <cell r="E3182">
            <v>1.0329999999999999</v>
          </cell>
          <cell r="F3182">
            <v>9500</v>
          </cell>
          <cell r="G3182">
            <v>9813.5</v>
          </cell>
        </row>
        <row r="3183">
          <cell r="B3183">
            <v>8</v>
          </cell>
          <cell r="C3183" t="str">
            <v>Mỡ YOC</v>
          </cell>
          <cell r="D3183" t="str">
            <v>kg</v>
          </cell>
          <cell r="E3183">
            <v>0.14799999999999999</v>
          </cell>
          <cell r="F3183">
            <v>35000</v>
          </cell>
          <cell r="G3183">
            <v>5180</v>
          </cell>
        </row>
        <row r="3184">
          <cell r="B3184">
            <v>6</v>
          </cell>
          <cell r="C3184" t="str">
            <v>Vải trắng</v>
          </cell>
          <cell r="D3184" t="str">
            <v>m</v>
          </cell>
          <cell r="E3184">
            <v>0.88500000000000001</v>
          </cell>
          <cell r="F3184">
            <v>15000</v>
          </cell>
          <cell r="G3184">
            <v>13275</v>
          </cell>
        </row>
        <row r="3185">
          <cell r="B3185">
            <v>1</v>
          </cell>
          <cell r="C3185" t="str">
            <v>Cồn công nghiệp</v>
          </cell>
          <cell r="D3185" t="str">
            <v>kg</v>
          </cell>
          <cell r="E3185">
            <v>0.94399999999999995</v>
          </cell>
          <cell r="F3185">
            <v>9500</v>
          </cell>
          <cell r="G3185">
            <v>8968</v>
          </cell>
        </row>
        <row r="3186">
          <cell r="B3186">
            <v>117</v>
          </cell>
          <cell r="C3186" t="str">
            <v>Vật liệu khác</v>
          </cell>
          <cell r="D3186" t="str">
            <v>%</v>
          </cell>
          <cell r="E3186">
            <v>3</v>
          </cell>
          <cell r="G3186">
            <v>1531.095</v>
          </cell>
        </row>
        <row r="3187">
          <cell r="C3187" t="str">
            <v>Nhân công</v>
          </cell>
          <cell r="G3187">
            <v>1944220.6646052632</v>
          </cell>
        </row>
        <row r="3188">
          <cell r="B3188" t="str">
            <v>NC1457</v>
          </cell>
          <cell r="C3188" t="str">
            <v>Ngày công bậc 4,5/7</v>
          </cell>
          <cell r="D3188" t="str">
            <v>công</v>
          </cell>
          <cell r="E3188">
            <v>9.18</v>
          </cell>
          <cell r="F3188">
            <v>211788.74342105264</v>
          </cell>
          <cell r="G3188">
            <v>1944220.6646052632</v>
          </cell>
        </row>
        <row r="3189">
          <cell r="C3189" t="str">
            <v>Máy thi công</v>
          </cell>
          <cell r="G3189">
            <v>469592.82984142861</v>
          </cell>
        </row>
        <row r="3190">
          <cell r="B3190">
            <v>8014</v>
          </cell>
          <cell r="C3190" t="str">
            <v>Cần trục bánh hơi 16 tấn</v>
          </cell>
          <cell r="D3190" t="str">
            <v>ca</v>
          </cell>
          <cell r="E3190">
            <v>0.14799999999999999</v>
          </cell>
          <cell r="F3190">
            <v>2198624.7400000002</v>
          </cell>
          <cell r="G3190">
            <v>325396.46152000001</v>
          </cell>
        </row>
        <row r="3191">
          <cell r="B3191">
            <v>8016</v>
          </cell>
          <cell r="C3191" t="str">
            <v>Xe nâng thang</v>
          </cell>
          <cell r="D3191" t="str">
            <v>ca</v>
          </cell>
          <cell r="E3191">
            <v>7.4999999999999997E-2</v>
          </cell>
          <cell r="F3191">
            <v>1922618.2442857146</v>
          </cell>
          <cell r="G3191">
            <v>144196.3683214286</v>
          </cell>
        </row>
        <row r="3192">
          <cell r="A3192" t="str">
            <v>T2.8502</v>
          </cell>
          <cell r="C3192" t="str">
            <v>Lắp đặt hệ thống tụ bù cấp điện áp 220KV dung lượng 1MVAR, trên dàn</v>
          </cell>
          <cell r="D3192" t="str">
            <v>bộ</v>
          </cell>
          <cell r="H3192">
            <v>42507.584999999999</v>
          </cell>
          <cell r="I3192">
            <v>1554529.3767105264</v>
          </cell>
          <cell r="J3192">
            <v>374794.81397714285</v>
          </cell>
        </row>
        <row r="3193">
          <cell r="C3193" t="str">
            <v>Vật liệu</v>
          </cell>
          <cell r="G3193">
            <v>42507.584999999999</v>
          </cell>
        </row>
        <row r="3194">
          <cell r="B3194">
            <v>44</v>
          </cell>
          <cell r="C3194" t="str">
            <v>Gỗ ván nhóm 4</v>
          </cell>
          <cell r="D3194" t="str">
            <v>m3</v>
          </cell>
          <cell r="E3194">
            <v>5.0000000000000001E-3</v>
          </cell>
          <cell r="F3194">
            <v>2300000</v>
          </cell>
          <cell r="G3194">
            <v>11500</v>
          </cell>
        </row>
        <row r="3195">
          <cell r="B3195">
            <v>9</v>
          </cell>
          <cell r="C3195" t="str">
            <v>Giẻ lau</v>
          </cell>
          <cell r="D3195" t="str">
            <v>kg</v>
          </cell>
          <cell r="E3195">
            <v>0.82599999999999996</v>
          </cell>
          <cell r="F3195">
            <v>9500</v>
          </cell>
          <cell r="G3195">
            <v>7847</v>
          </cell>
        </row>
        <row r="3196">
          <cell r="B3196">
            <v>8</v>
          </cell>
          <cell r="C3196" t="str">
            <v>Mỡ YOC</v>
          </cell>
          <cell r="D3196" t="str">
            <v>kg</v>
          </cell>
          <cell r="E3196">
            <v>0.11799999999999999</v>
          </cell>
          <cell r="F3196">
            <v>35000</v>
          </cell>
          <cell r="G3196">
            <v>4130</v>
          </cell>
        </row>
        <row r="3197">
          <cell r="B3197">
            <v>6</v>
          </cell>
          <cell r="C3197" t="str">
            <v>Vải trắng</v>
          </cell>
          <cell r="D3197" t="str">
            <v>m</v>
          </cell>
          <cell r="E3197">
            <v>0.70799999999999996</v>
          </cell>
          <cell r="F3197">
            <v>15000</v>
          </cell>
          <cell r="G3197">
            <v>10620</v>
          </cell>
        </row>
        <row r="3198">
          <cell r="B3198">
            <v>1</v>
          </cell>
          <cell r="C3198" t="str">
            <v>Cồn công nghiệp</v>
          </cell>
          <cell r="D3198" t="str">
            <v>kg</v>
          </cell>
          <cell r="E3198">
            <v>0.755</v>
          </cell>
          <cell r="F3198">
            <v>9500</v>
          </cell>
          <cell r="G3198">
            <v>7172.5</v>
          </cell>
        </row>
        <row r="3199">
          <cell r="B3199">
            <v>117</v>
          </cell>
          <cell r="C3199" t="str">
            <v>Vật liệu khác</v>
          </cell>
          <cell r="D3199" t="str">
            <v>%</v>
          </cell>
          <cell r="E3199">
            <v>3</v>
          </cell>
          <cell r="G3199">
            <v>1238.085</v>
          </cell>
        </row>
        <row r="3200">
          <cell r="C3200" t="str">
            <v>Nhân công</v>
          </cell>
          <cell r="G3200">
            <v>1554529.3767105264</v>
          </cell>
        </row>
        <row r="3201">
          <cell r="B3201" t="str">
            <v>NC1457</v>
          </cell>
          <cell r="C3201" t="str">
            <v>Ngày công bậc 4,5/7</v>
          </cell>
          <cell r="D3201" t="str">
            <v>công</v>
          </cell>
          <cell r="E3201">
            <v>7.34</v>
          </cell>
          <cell r="F3201">
            <v>211788.74342105264</v>
          </cell>
          <cell r="G3201">
            <v>1554529.3767105264</v>
          </cell>
        </row>
        <row r="3202">
          <cell r="C3202" t="str">
            <v>Máy thi công</v>
          </cell>
          <cell r="G3202">
            <v>374794.81397714285</v>
          </cell>
        </row>
        <row r="3203">
          <cell r="B3203">
            <v>8014</v>
          </cell>
          <cell r="C3203" t="str">
            <v>Cần trục bánh hơi 16 tấn</v>
          </cell>
          <cell r="D3203" t="str">
            <v>ca</v>
          </cell>
          <cell r="E3203">
            <v>0.11799999999999999</v>
          </cell>
          <cell r="F3203">
            <v>2198624.7400000002</v>
          </cell>
          <cell r="G3203">
            <v>259437.71932</v>
          </cell>
        </row>
        <row r="3204">
          <cell r="B3204">
            <v>8016</v>
          </cell>
          <cell r="C3204" t="str">
            <v>Xe nâng thang</v>
          </cell>
          <cell r="D3204" t="str">
            <v>ca</v>
          </cell>
          <cell r="E3204">
            <v>0.06</v>
          </cell>
          <cell r="F3204">
            <v>1922618.2442857146</v>
          </cell>
          <cell r="G3204">
            <v>115357.09465714286</v>
          </cell>
        </row>
        <row r="3205">
          <cell r="A3205" t="str">
            <v>T2.8503</v>
          </cell>
          <cell r="C3205" t="str">
            <v>Lắp đặt hệ thống tụ bù cấp điện áp 110KV dung lượng 1MVAR, trên dàn</v>
          </cell>
          <cell r="D3205" t="str">
            <v>bộ</v>
          </cell>
          <cell r="H3205">
            <v>33987.425000000003</v>
          </cell>
          <cell r="I3205">
            <v>1245317.8113157896</v>
          </cell>
          <cell r="J3205">
            <v>301155.02602571435</v>
          </cell>
        </row>
        <row r="3206">
          <cell r="C3206" t="str">
            <v>Vật liệu</v>
          </cell>
          <cell r="G3206">
            <v>33987.425000000003</v>
          </cell>
        </row>
        <row r="3207">
          <cell r="B3207">
            <v>44</v>
          </cell>
          <cell r="C3207" t="str">
            <v>Gỗ ván nhóm 4</v>
          </cell>
          <cell r="D3207" t="str">
            <v>m3</v>
          </cell>
          <cell r="E3207">
            <v>4.0000000000000001E-3</v>
          </cell>
          <cell r="F3207">
            <v>2300000</v>
          </cell>
          <cell r="G3207">
            <v>9200</v>
          </cell>
        </row>
        <row r="3208">
          <cell r="B3208">
            <v>9</v>
          </cell>
          <cell r="C3208" t="str">
            <v>Giẻ lau</v>
          </cell>
          <cell r="D3208" t="str">
            <v>kg</v>
          </cell>
          <cell r="E3208">
            <v>0.66100000000000003</v>
          </cell>
          <cell r="F3208">
            <v>9500</v>
          </cell>
          <cell r="G3208">
            <v>6279.5</v>
          </cell>
        </row>
        <row r="3209">
          <cell r="B3209">
            <v>8</v>
          </cell>
          <cell r="C3209" t="str">
            <v>Mỡ YOC</v>
          </cell>
          <cell r="D3209" t="str">
            <v>kg</v>
          </cell>
          <cell r="E3209">
            <v>9.4E-2</v>
          </cell>
          <cell r="F3209">
            <v>35000</v>
          </cell>
          <cell r="G3209">
            <v>3290</v>
          </cell>
        </row>
        <row r="3210">
          <cell r="B3210">
            <v>6</v>
          </cell>
          <cell r="C3210" t="str">
            <v>Vải trắng</v>
          </cell>
          <cell r="D3210" t="str">
            <v>m</v>
          </cell>
          <cell r="E3210">
            <v>0.56599999999999995</v>
          </cell>
          <cell r="F3210">
            <v>15000</v>
          </cell>
          <cell r="G3210">
            <v>8490</v>
          </cell>
        </row>
        <row r="3211">
          <cell r="B3211">
            <v>1</v>
          </cell>
          <cell r="C3211" t="str">
            <v>Cồn công nghiệp</v>
          </cell>
          <cell r="D3211" t="str">
            <v>kg</v>
          </cell>
          <cell r="E3211">
            <v>0.60399999999999998</v>
          </cell>
          <cell r="F3211">
            <v>9500</v>
          </cell>
          <cell r="G3211">
            <v>5738</v>
          </cell>
        </row>
        <row r="3212">
          <cell r="B3212">
            <v>117</v>
          </cell>
          <cell r="C3212" t="str">
            <v>Vật liệu khác</v>
          </cell>
          <cell r="D3212" t="str">
            <v>%</v>
          </cell>
          <cell r="E3212">
            <v>3</v>
          </cell>
          <cell r="G3212">
            <v>989.92499999999995</v>
          </cell>
        </row>
        <row r="3213">
          <cell r="C3213" t="str">
            <v>Nhân công</v>
          </cell>
          <cell r="G3213">
            <v>1245317.8113157896</v>
          </cell>
        </row>
        <row r="3214">
          <cell r="B3214" t="str">
            <v>NC1457</v>
          </cell>
          <cell r="C3214" t="str">
            <v>Ngày công bậc 4,5/7</v>
          </cell>
          <cell r="D3214" t="str">
            <v>công</v>
          </cell>
          <cell r="E3214">
            <v>5.88</v>
          </cell>
          <cell r="F3214">
            <v>211788.74342105264</v>
          </cell>
          <cell r="G3214">
            <v>1245317.8113157896</v>
          </cell>
        </row>
        <row r="3215">
          <cell r="C3215" t="str">
            <v>Máy thi công</v>
          </cell>
          <cell r="G3215">
            <v>301155.02602571435</v>
          </cell>
        </row>
        <row r="3216">
          <cell r="B3216">
            <v>8014</v>
          </cell>
          <cell r="C3216" t="str">
            <v>Cần trục bánh hơi 16 tấn</v>
          </cell>
          <cell r="D3216" t="str">
            <v>ca</v>
          </cell>
          <cell r="E3216">
            <v>9.5000000000000001E-2</v>
          </cell>
          <cell r="F3216">
            <v>2198624.7400000002</v>
          </cell>
          <cell r="G3216">
            <v>208869.35030000002</v>
          </cell>
        </row>
        <row r="3217">
          <cell r="B3217">
            <v>8016</v>
          </cell>
          <cell r="C3217" t="str">
            <v>Xe nâng thang</v>
          </cell>
          <cell r="D3217" t="str">
            <v>ca</v>
          </cell>
          <cell r="E3217">
            <v>4.8000000000000001E-2</v>
          </cell>
          <cell r="F3217">
            <v>1922618.2442857146</v>
          </cell>
          <cell r="G3217">
            <v>92285.675725714304</v>
          </cell>
        </row>
        <row r="3218">
          <cell r="A3218" t="str">
            <v>T2.8504a</v>
          </cell>
          <cell r="C3218" t="str">
            <v>Lắp đặt hệ thống tụ bù cấp điện áp 6-35KV dung lượng 1MVAR, trên dàn</v>
          </cell>
          <cell r="D3218" t="str">
            <v>bộ</v>
          </cell>
          <cell r="H3218">
            <v>7344.415</v>
          </cell>
          <cell r="I3218">
            <v>372748.18842105265</v>
          </cell>
          <cell r="J3218">
            <v>204167.09301714288</v>
          </cell>
        </row>
        <row r="3219">
          <cell r="C3219" t="str">
            <v>Vật liệu</v>
          </cell>
          <cell r="G3219">
            <v>7344.415</v>
          </cell>
        </row>
        <row r="3220">
          <cell r="B3220">
            <v>9</v>
          </cell>
          <cell r="C3220" t="str">
            <v>Giẻ lau</v>
          </cell>
          <cell r="D3220" t="str">
            <v>kg</v>
          </cell>
          <cell r="E3220">
            <v>0.19800000000000001</v>
          </cell>
          <cell r="F3220">
            <v>9500</v>
          </cell>
          <cell r="G3220">
            <v>1881</v>
          </cell>
        </row>
        <row r="3221">
          <cell r="B3221">
            <v>8</v>
          </cell>
          <cell r="C3221" t="str">
            <v>Mỡ YOC</v>
          </cell>
          <cell r="D3221" t="str">
            <v>kg</v>
          </cell>
          <cell r="E3221">
            <v>2.8000000000000001E-2</v>
          </cell>
          <cell r="F3221">
            <v>35000</v>
          </cell>
          <cell r="G3221">
            <v>980</v>
          </cell>
        </row>
        <row r="3222">
          <cell r="B3222">
            <v>6</v>
          </cell>
          <cell r="C3222" t="str">
            <v>Vải trắng</v>
          </cell>
          <cell r="D3222" t="str">
            <v>m</v>
          </cell>
          <cell r="E3222">
            <v>0.17</v>
          </cell>
          <cell r="F3222">
            <v>15000</v>
          </cell>
          <cell r="G3222">
            <v>2550</v>
          </cell>
        </row>
        <row r="3223">
          <cell r="B3223">
            <v>1</v>
          </cell>
          <cell r="C3223" t="str">
            <v>Cồn công nghiệp</v>
          </cell>
          <cell r="D3223" t="str">
            <v>kg</v>
          </cell>
          <cell r="E3223">
            <v>0.18099999999999999</v>
          </cell>
          <cell r="F3223">
            <v>9500</v>
          </cell>
          <cell r="G3223">
            <v>1719.5</v>
          </cell>
        </row>
        <row r="3224">
          <cell r="B3224">
            <v>117</v>
          </cell>
          <cell r="C3224" t="str">
            <v>Vật liệu khác</v>
          </cell>
          <cell r="D3224" t="str">
            <v>%</v>
          </cell>
          <cell r="E3224">
            <v>3</v>
          </cell>
          <cell r="G3224">
            <v>213.91499999999999</v>
          </cell>
        </row>
        <row r="3225">
          <cell r="C3225" t="str">
            <v>Nhân công</v>
          </cell>
          <cell r="G3225">
            <v>372748.18842105265</v>
          </cell>
        </row>
        <row r="3226">
          <cell r="B3226" t="str">
            <v>NC1457</v>
          </cell>
          <cell r="C3226" t="str">
            <v>Ngày công bậc 4,5/7</v>
          </cell>
          <cell r="D3226" t="str">
            <v>công</v>
          </cell>
          <cell r="E3226">
            <v>1.76</v>
          </cell>
          <cell r="F3226">
            <v>211788.74342105264</v>
          </cell>
          <cell r="G3226">
            <v>372748.18842105265</v>
          </cell>
        </row>
        <row r="3227">
          <cell r="C3227" t="str">
            <v>Máy thi công</v>
          </cell>
          <cell r="G3227">
            <v>204167.09301714288</v>
          </cell>
        </row>
        <row r="3228">
          <cell r="B3228">
            <v>8015</v>
          </cell>
          <cell r="C3228" t="str">
            <v>Cần trục bánh hơi 5 tấn</v>
          </cell>
          <cell r="D3228" t="str">
            <v>ca</v>
          </cell>
          <cell r="E3228">
            <v>0.1</v>
          </cell>
          <cell r="F3228">
            <v>1426433.0920000002</v>
          </cell>
          <cell r="G3228">
            <v>142643.30920000002</v>
          </cell>
        </row>
        <row r="3229">
          <cell r="B3229">
            <v>8016</v>
          </cell>
          <cell r="C3229" t="str">
            <v>Xe nâng thang</v>
          </cell>
          <cell r="D3229" t="str">
            <v>ca</v>
          </cell>
          <cell r="E3229">
            <v>3.2000000000000001E-2</v>
          </cell>
          <cell r="F3229">
            <v>1922618.2442857146</v>
          </cell>
          <cell r="G3229">
            <v>61523.783817142867</v>
          </cell>
        </row>
        <row r="3230">
          <cell r="A3230" t="str">
            <v>T2.8504b</v>
          </cell>
          <cell r="C3230" t="str">
            <v>Lắp đặt hệ thống tụ bù cấp điện áp 6-35KV dung lượng 1MVAR, trên cột</v>
          </cell>
          <cell r="D3230" t="str">
            <v>bộ</v>
          </cell>
          <cell r="H3230">
            <v>7344.415</v>
          </cell>
          <cell r="I3230">
            <v>448992.1360526316</v>
          </cell>
          <cell r="J3230">
            <v>204167.09301714288</v>
          </cell>
        </row>
        <row r="3231">
          <cell r="C3231" t="str">
            <v>Vật liệu</v>
          </cell>
          <cell r="G3231">
            <v>7344.415</v>
          </cell>
        </row>
        <row r="3232">
          <cell r="B3232">
            <v>9</v>
          </cell>
          <cell r="C3232" t="str">
            <v>Giẻ lau</v>
          </cell>
          <cell r="D3232" t="str">
            <v>kg</v>
          </cell>
          <cell r="E3232">
            <v>0.19800000000000001</v>
          </cell>
          <cell r="F3232">
            <v>9500</v>
          </cell>
          <cell r="G3232">
            <v>1881</v>
          </cell>
        </row>
        <row r="3233">
          <cell r="B3233">
            <v>8</v>
          </cell>
          <cell r="C3233" t="str">
            <v>Mỡ YOC</v>
          </cell>
          <cell r="D3233" t="str">
            <v>kg</v>
          </cell>
          <cell r="E3233">
            <v>2.8000000000000001E-2</v>
          </cell>
          <cell r="F3233">
            <v>35000</v>
          </cell>
          <cell r="G3233">
            <v>980</v>
          </cell>
        </row>
        <row r="3234">
          <cell r="B3234">
            <v>6</v>
          </cell>
          <cell r="C3234" t="str">
            <v>Vải trắng</v>
          </cell>
          <cell r="D3234" t="str">
            <v>m</v>
          </cell>
          <cell r="E3234">
            <v>0.17</v>
          </cell>
          <cell r="F3234">
            <v>15000</v>
          </cell>
          <cell r="G3234">
            <v>2550</v>
          </cell>
        </row>
        <row r="3235">
          <cell r="B3235">
            <v>1</v>
          </cell>
          <cell r="C3235" t="str">
            <v>Cồn công nghiệp</v>
          </cell>
          <cell r="D3235" t="str">
            <v>kg</v>
          </cell>
          <cell r="E3235">
            <v>0.18099999999999999</v>
          </cell>
          <cell r="F3235">
            <v>9500</v>
          </cell>
          <cell r="G3235">
            <v>1719.5</v>
          </cell>
        </row>
        <row r="3236">
          <cell r="B3236">
            <v>117</v>
          </cell>
          <cell r="C3236" t="str">
            <v>Vật liệu khác</v>
          </cell>
          <cell r="D3236" t="str">
            <v>%</v>
          </cell>
          <cell r="E3236">
            <v>3</v>
          </cell>
          <cell r="G3236">
            <v>213.91499999999999</v>
          </cell>
        </row>
        <row r="3237">
          <cell r="C3237" t="str">
            <v>Nhân công</v>
          </cell>
          <cell r="G3237">
            <v>448992.1360526316</v>
          </cell>
        </row>
        <row r="3238">
          <cell r="B3238" t="str">
            <v>NC1457</v>
          </cell>
          <cell r="C3238" t="str">
            <v>Ngày công bậc 4,5/7</v>
          </cell>
          <cell r="D3238" t="str">
            <v>công</v>
          </cell>
          <cell r="E3238">
            <v>2.12</v>
          </cell>
          <cell r="F3238">
            <v>211788.74342105264</v>
          </cell>
          <cell r="G3238">
            <v>448992.1360526316</v>
          </cell>
        </row>
        <row r="3239">
          <cell r="C3239" t="str">
            <v>Máy thi công</v>
          </cell>
          <cell r="G3239">
            <v>204167.09301714288</v>
          </cell>
        </row>
        <row r="3240">
          <cell r="B3240">
            <v>8015</v>
          </cell>
          <cell r="C3240" t="str">
            <v>Cần trục bánh hơi 5 tấn</v>
          </cell>
          <cell r="D3240" t="str">
            <v>ca</v>
          </cell>
          <cell r="E3240">
            <v>0.1</v>
          </cell>
          <cell r="F3240">
            <v>1426433.0920000002</v>
          </cell>
          <cell r="G3240">
            <v>142643.30920000002</v>
          </cell>
        </row>
        <row r="3241">
          <cell r="B3241">
            <v>8016</v>
          </cell>
          <cell r="C3241" t="str">
            <v>Xe nâng thang</v>
          </cell>
          <cell r="D3241" t="str">
            <v>ca</v>
          </cell>
          <cell r="E3241">
            <v>3.2000000000000001E-2</v>
          </cell>
          <cell r="F3241">
            <v>1922618.2442857146</v>
          </cell>
          <cell r="G3241">
            <v>61523.783817142867</v>
          </cell>
        </row>
        <row r="3242">
          <cell r="A3242" t="str">
            <v>T2.8504c</v>
          </cell>
          <cell r="C3242" t="str">
            <v>Lắp đặt hệ thống tụ bù cấp điện áp 6-35KV dung lượng 1MVAR, trong tủ (thủ công)</v>
          </cell>
          <cell r="D3242" t="str">
            <v>bộ</v>
          </cell>
          <cell r="H3242">
            <v>7344.415</v>
          </cell>
          <cell r="I3242">
            <v>506175.09677631583</v>
          </cell>
          <cell r="J3242">
            <v>204167.09301714288</v>
          </cell>
        </row>
        <row r="3243">
          <cell r="C3243" t="str">
            <v>Vật liệu</v>
          </cell>
          <cell r="G3243">
            <v>7344.415</v>
          </cell>
        </row>
        <row r="3244">
          <cell r="B3244">
            <v>9</v>
          </cell>
          <cell r="C3244" t="str">
            <v>Giẻ lau</v>
          </cell>
          <cell r="D3244" t="str">
            <v>kg</v>
          </cell>
          <cell r="E3244">
            <v>0.19800000000000001</v>
          </cell>
          <cell r="F3244">
            <v>9500</v>
          </cell>
          <cell r="G3244">
            <v>1881</v>
          </cell>
        </row>
        <row r="3245">
          <cell r="B3245">
            <v>8</v>
          </cell>
          <cell r="C3245" t="str">
            <v>Mỡ YOC</v>
          </cell>
          <cell r="D3245" t="str">
            <v>kg</v>
          </cell>
          <cell r="E3245">
            <v>2.8000000000000001E-2</v>
          </cell>
          <cell r="F3245">
            <v>35000</v>
          </cell>
          <cell r="G3245">
            <v>980</v>
          </cell>
        </row>
        <row r="3246">
          <cell r="B3246">
            <v>6</v>
          </cell>
          <cell r="C3246" t="str">
            <v>Vải trắng</v>
          </cell>
          <cell r="D3246" t="str">
            <v>m</v>
          </cell>
          <cell r="E3246">
            <v>0.17</v>
          </cell>
          <cell r="F3246">
            <v>15000</v>
          </cell>
          <cell r="G3246">
            <v>2550</v>
          </cell>
        </row>
        <row r="3247">
          <cell r="B3247">
            <v>1</v>
          </cell>
          <cell r="C3247" t="str">
            <v>Cồn công nghiệp</v>
          </cell>
          <cell r="D3247" t="str">
            <v>kg</v>
          </cell>
          <cell r="E3247">
            <v>0.18099999999999999</v>
          </cell>
          <cell r="F3247">
            <v>9500</v>
          </cell>
          <cell r="G3247">
            <v>1719.5</v>
          </cell>
        </row>
        <row r="3248">
          <cell r="B3248">
            <v>117</v>
          </cell>
          <cell r="C3248" t="str">
            <v>Vật liệu khác</v>
          </cell>
          <cell r="D3248" t="str">
            <v>%</v>
          </cell>
          <cell r="E3248">
            <v>3</v>
          </cell>
          <cell r="G3248">
            <v>213.91499999999999</v>
          </cell>
        </row>
        <row r="3249">
          <cell r="C3249" t="str">
            <v>Nhân công</v>
          </cell>
          <cell r="G3249">
            <v>506175.09677631583</v>
          </cell>
        </row>
        <row r="3250">
          <cell r="B3250" t="str">
            <v>NC1457</v>
          </cell>
          <cell r="C3250" t="str">
            <v>Ngày công bậc 4,5/7</v>
          </cell>
          <cell r="D3250" t="str">
            <v>công</v>
          </cell>
          <cell r="E3250">
            <v>2.39</v>
          </cell>
          <cell r="F3250">
            <v>211788.74342105264</v>
          </cell>
          <cell r="G3250">
            <v>506175.09677631583</v>
          </cell>
        </row>
        <row r="3251">
          <cell r="C3251" t="str">
            <v>Máy thi công</v>
          </cell>
          <cell r="G3251">
            <v>204167.09301714288</v>
          </cell>
        </row>
        <row r="3252">
          <cell r="B3252">
            <v>8015</v>
          </cell>
          <cell r="C3252" t="str">
            <v>Cần trục bánh hơi 5 tấn</v>
          </cell>
          <cell r="D3252" t="str">
            <v>ca</v>
          </cell>
          <cell r="E3252">
            <v>0.1</v>
          </cell>
          <cell r="F3252">
            <v>1426433.0920000002</v>
          </cell>
          <cell r="G3252">
            <v>142643.30920000002</v>
          </cell>
        </row>
        <row r="3253">
          <cell r="B3253">
            <v>8016</v>
          </cell>
          <cell r="C3253" t="str">
            <v>Xe nâng thang</v>
          </cell>
          <cell r="D3253" t="str">
            <v>ca</v>
          </cell>
          <cell r="E3253">
            <v>3.2000000000000001E-2</v>
          </cell>
          <cell r="F3253">
            <v>1922618.2442857146</v>
          </cell>
          <cell r="G3253">
            <v>61523.783817142867</v>
          </cell>
        </row>
        <row r="3254">
          <cell r="A3254" t="str">
            <v>T2.8505a</v>
          </cell>
          <cell r="C3254" t="str">
            <v>Lắp đặt hệ thống tụ bù cấp điện áp 0,4KV dung lượng 1MVAR, trên dàn</v>
          </cell>
          <cell r="D3254" t="str">
            <v>bộ</v>
          </cell>
          <cell r="H3254">
            <v>5904.99</v>
          </cell>
          <cell r="I3254">
            <v>298622.12822368421</v>
          </cell>
          <cell r="J3254">
            <v>142643.30920000002</v>
          </cell>
        </row>
        <row r="3255">
          <cell r="C3255" t="str">
            <v>Vật liệu</v>
          </cell>
          <cell r="G3255">
            <v>5904.99</v>
          </cell>
        </row>
        <row r="3256">
          <cell r="B3256">
            <v>9</v>
          </cell>
          <cell r="C3256" t="str">
            <v>Giẻ lau</v>
          </cell>
          <cell r="D3256" t="str">
            <v>kg</v>
          </cell>
          <cell r="E3256">
            <v>0.159</v>
          </cell>
          <cell r="F3256">
            <v>9500</v>
          </cell>
          <cell r="G3256">
            <v>1510.5</v>
          </cell>
        </row>
        <row r="3257">
          <cell r="B3257">
            <v>8</v>
          </cell>
          <cell r="C3257" t="str">
            <v>Mỡ YOC</v>
          </cell>
          <cell r="D3257" t="str">
            <v>kg</v>
          </cell>
          <cell r="E3257">
            <v>2.3E-2</v>
          </cell>
          <cell r="F3257">
            <v>35000</v>
          </cell>
          <cell r="G3257">
            <v>805</v>
          </cell>
        </row>
        <row r="3258">
          <cell r="B3258">
            <v>6</v>
          </cell>
          <cell r="C3258" t="str">
            <v>Vải trắng</v>
          </cell>
          <cell r="D3258" t="str">
            <v>m</v>
          </cell>
          <cell r="E3258">
            <v>0.13600000000000001</v>
          </cell>
          <cell r="F3258">
            <v>15000</v>
          </cell>
          <cell r="G3258">
            <v>2040.0000000000002</v>
          </cell>
        </row>
        <row r="3259">
          <cell r="B3259">
            <v>1</v>
          </cell>
          <cell r="C3259" t="str">
            <v>Cồn công nghiệp</v>
          </cell>
          <cell r="D3259" t="str">
            <v>kg</v>
          </cell>
          <cell r="E3259">
            <v>0.14499999999999999</v>
          </cell>
          <cell r="F3259">
            <v>9500</v>
          </cell>
          <cell r="G3259">
            <v>1377.5</v>
          </cell>
        </row>
        <row r="3260">
          <cell r="B3260">
            <v>117</v>
          </cell>
          <cell r="C3260" t="str">
            <v>Vật liệu khác</v>
          </cell>
          <cell r="D3260" t="str">
            <v>%</v>
          </cell>
          <cell r="E3260">
            <v>3</v>
          </cell>
          <cell r="G3260">
            <v>171.98999999999998</v>
          </cell>
        </row>
        <row r="3261">
          <cell r="C3261" t="str">
            <v>Nhân công</v>
          </cell>
          <cell r="G3261">
            <v>298622.12822368421</v>
          </cell>
        </row>
        <row r="3262">
          <cell r="B3262" t="str">
            <v>NC1457</v>
          </cell>
          <cell r="C3262" t="str">
            <v>Ngày công bậc 4,5/7</v>
          </cell>
          <cell r="D3262" t="str">
            <v>công</v>
          </cell>
          <cell r="E3262">
            <v>1.41</v>
          </cell>
          <cell r="F3262">
            <v>211788.74342105264</v>
          </cell>
          <cell r="G3262">
            <v>298622.12822368421</v>
          </cell>
        </row>
        <row r="3263">
          <cell r="C3263" t="str">
            <v>Máy thi công</v>
          </cell>
          <cell r="G3263">
            <v>142643.30920000002</v>
          </cell>
        </row>
        <row r="3264">
          <cell r="B3264">
            <v>8015</v>
          </cell>
          <cell r="C3264" t="str">
            <v>Cần trục bánh hơi 5 tấn</v>
          </cell>
          <cell r="D3264" t="str">
            <v>ca</v>
          </cell>
          <cell r="E3264">
            <v>0.1</v>
          </cell>
          <cell r="F3264">
            <v>1426433.0920000002</v>
          </cell>
          <cell r="G3264">
            <v>142643.30920000002</v>
          </cell>
        </row>
        <row r="3265">
          <cell r="A3265" t="str">
            <v>T2.8505b</v>
          </cell>
          <cell r="C3265" t="str">
            <v>Lắp đặt hệ thống tụ bù cấp điện áp 0,4KV dung lượng 1MVAR, trên cột</v>
          </cell>
          <cell r="D3265" t="str">
            <v>bộ</v>
          </cell>
          <cell r="H3265">
            <v>5904.99</v>
          </cell>
          <cell r="I3265">
            <v>357922.97638157895</v>
          </cell>
          <cell r="J3265">
            <v>142643.30920000002</v>
          </cell>
        </row>
        <row r="3266">
          <cell r="C3266" t="str">
            <v>Vật liệu</v>
          </cell>
          <cell r="G3266">
            <v>5904.99</v>
          </cell>
        </row>
        <row r="3267">
          <cell r="B3267">
            <v>9</v>
          </cell>
          <cell r="C3267" t="str">
            <v>Giẻ lau</v>
          </cell>
          <cell r="D3267" t="str">
            <v>kg</v>
          </cell>
          <cell r="E3267">
            <v>0.159</v>
          </cell>
          <cell r="F3267">
            <v>9500</v>
          </cell>
          <cell r="G3267">
            <v>1510.5</v>
          </cell>
        </row>
        <row r="3268">
          <cell r="B3268">
            <v>8</v>
          </cell>
          <cell r="C3268" t="str">
            <v>Mỡ YOC</v>
          </cell>
          <cell r="D3268" t="str">
            <v>kg</v>
          </cell>
          <cell r="E3268">
            <v>2.3E-2</v>
          </cell>
          <cell r="F3268">
            <v>35000</v>
          </cell>
          <cell r="G3268">
            <v>805</v>
          </cell>
        </row>
        <row r="3269">
          <cell r="B3269">
            <v>6</v>
          </cell>
          <cell r="C3269" t="str">
            <v>Vải trắng</v>
          </cell>
          <cell r="D3269" t="str">
            <v>m</v>
          </cell>
          <cell r="E3269">
            <v>0.13600000000000001</v>
          </cell>
          <cell r="F3269">
            <v>15000</v>
          </cell>
          <cell r="G3269">
            <v>2040.0000000000002</v>
          </cell>
        </row>
        <row r="3270">
          <cell r="B3270">
            <v>1</v>
          </cell>
          <cell r="C3270" t="str">
            <v>Cồn công nghiệp</v>
          </cell>
          <cell r="D3270" t="str">
            <v>kg</v>
          </cell>
          <cell r="E3270">
            <v>0.14499999999999999</v>
          </cell>
          <cell r="F3270">
            <v>9500</v>
          </cell>
          <cell r="G3270">
            <v>1377.5</v>
          </cell>
        </row>
        <row r="3271">
          <cell r="B3271">
            <v>117</v>
          </cell>
          <cell r="C3271" t="str">
            <v>Vật liệu khác</v>
          </cell>
          <cell r="D3271" t="str">
            <v>%</v>
          </cell>
          <cell r="E3271">
            <v>3</v>
          </cell>
          <cell r="G3271">
            <v>171.98999999999998</v>
          </cell>
        </row>
        <row r="3272">
          <cell r="C3272" t="str">
            <v>Nhân công</v>
          </cell>
          <cell r="G3272">
            <v>357922.97638157895</v>
          </cell>
        </row>
        <row r="3273">
          <cell r="B3273" t="str">
            <v>NC1457</v>
          </cell>
          <cell r="C3273" t="str">
            <v>Ngày công bậc 4,5/7</v>
          </cell>
          <cell r="D3273" t="str">
            <v>công</v>
          </cell>
          <cell r="E3273">
            <v>1.69</v>
          </cell>
          <cell r="F3273">
            <v>211788.74342105264</v>
          </cell>
          <cell r="G3273">
            <v>357922.97638157895</v>
          </cell>
        </row>
        <row r="3274">
          <cell r="C3274" t="str">
            <v>Máy thi công</v>
          </cell>
          <cell r="G3274">
            <v>142643.30920000002</v>
          </cell>
        </row>
        <row r="3275">
          <cell r="B3275">
            <v>8015</v>
          </cell>
          <cell r="C3275" t="str">
            <v>Cần trục bánh hơi 5 tấn</v>
          </cell>
          <cell r="D3275" t="str">
            <v>ca</v>
          </cell>
          <cell r="E3275">
            <v>0.1</v>
          </cell>
          <cell r="F3275">
            <v>1426433.0920000002</v>
          </cell>
          <cell r="G3275">
            <v>142643.30920000002</v>
          </cell>
        </row>
        <row r="3276">
          <cell r="A3276" t="str">
            <v>T2.8505c</v>
          </cell>
          <cell r="C3276" t="str">
            <v>Lắp đặt hệ thống tụ bù cấp điện áp 0,4KV dung lượng 1MVAR, trong tủ (thủ công)</v>
          </cell>
          <cell r="D3276" t="str">
            <v>bộ</v>
          </cell>
          <cell r="H3276">
            <v>5904.99</v>
          </cell>
          <cell r="I3276">
            <v>404516.4999342105</v>
          </cell>
          <cell r="J3276">
            <v>142643.30920000002</v>
          </cell>
        </row>
        <row r="3277">
          <cell r="C3277" t="str">
            <v>Vật liệu</v>
          </cell>
          <cell r="G3277">
            <v>5904.99</v>
          </cell>
        </row>
        <row r="3278">
          <cell r="B3278">
            <v>9</v>
          </cell>
          <cell r="C3278" t="str">
            <v>Giẻ lau</v>
          </cell>
          <cell r="D3278" t="str">
            <v>kg</v>
          </cell>
          <cell r="E3278">
            <v>0.159</v>
          </cell>
          <cell r="F3278">
            <v>9500</v>
          </cell>
          <cell r="G3278">
            <v>1510.5</v>
          </cell>
        </row>
        <row r="3279">
          <cell r="B3279">
            <v>8</v>
          </cell>
          <cell r="C3279" t="str">
            <v>Mỡ YOC</v>
          </cell>
          <cell r="D3279" t="str">
            <v>kg</v>
          </cell>
          <cell r="E3279">
            <v>2.3E-2</v>
          </cell>
          <cell r="F3279">
            <v>35000</v>
          </cell>
          <cell r="G3279">
            <v>805</v>
          </cell>
        </row>
        <row r="3280">
          <cell r="B3280">
            <v>6</v>
          </cell>
          <cell r="C3280" t="str">
            <v>Vải trắng</v>
          </cell>
          <cell r="D3280" t="str">
            <v>m</v>
          </cell>
          <cell r="E3280">
            <v>0.13600000000000001</v>
          </cell>
          <cell r="F3280">
            <v>15000</v>
          </cell>
          <cell r="G3280">
            <v>2040.0000000000002</v>
          </cell>
        </row>
        <row r="3281">
          <cell r="B3281">
            <v>1</v>
          </cell>
          <cell r="C3281" t="str">
            <v>Cồn công nghiệp</v>
          </cell>
          <cell r="D3281" t="str">
            <v>kg</v>
          </cell>
          <cell r="E3281">
            <v>0.14499999999999999</v>
          </cell>
          <cell r="F3281">
            <v>9500</v>
          </cell>
          <cell r="G3281">
            <v>1377.5</v>
          </cell>
        </row>
        <row r="3282">
          <cell r="B3282">
            <v>117</v>
          </cell>
          <cell r="C3282" t="str">
            <v>Vật liệu khác</v>
          </cell>
          <cell r="D3282" t="str">
            <v>%</v>
          </cell>
          <cell r="E3282">
            <v>3</v>
          </cell>
          <cell r="G3282">
            <v>171.98999999999998</v>
          </cell>
        </row>
        <row r="3283">
          <cell r="C3283" t="str">
            <v>Nhân công</v>
          </cell>
          <cell r="G3283">
            <v>404516.4999342105</v>
          </cell>
        </row>
        <row r="3284">
          <cell r="B3284" t="str">
            <v>NC1457</v>
          </cell>
          <cell r="C3284" t="str">
            <v>Ngày công bậc 4,5/7</v>
          </cell>
          <cell r="D3284" t="str">
            <v>công</v>
          </cell>
          <cell r="E3284">
            <v>1.91</v>
          </cell>
          <cell r="F3284">
            <v>211788.74342105264</v>
          </cell>
          <cell r="G3284">
            <v>404516.4999342105</v>
          </cell>
        </row>
        <row r="3285">
          <cell r="C3285" t="str">
            <v>Máy thi công</v>
          </cell>
          <cell r="G3285">
            <v>142643.30920000002</v>
          </cell>
        </row>
        <row r="3286">
          <cell r="B3286">
            <v>8015</v>
          </cell>
          <cell r="C3286" t="str">
            <v>Cần trục bánh hơi 5 tấn</v>
          </cell>
          <cell r="D3286" t="str">
            <v>ca</v>
          </cell>
          <cell r="E3286">
            <v>0.1</v>
          </cell>
          <cell r="F3286">
            <v>1426433.0920000002</v>
          </cell>
          <cell r="G3286">
            <v>142643.30920000002</v>
          </cell>
        </row>
        <row r="3287">
          <cell r="A3287" t="str">
            <v>T3.2501</v>
          </cell>
          <cell r="C3287" t="str">
            <v>Làm đầu cáp kiểm tra, số ruột cáp &lt;=6</v>
          </cell>
          <cell r="D3287" t="str">
            <v>đầu</v>
          </cell>
          <cell r="H3287">
            <v>5034.75</v>
          </cell>
          <cell r="I3287">
            <v>57224.256578947367</v>
          </cell>
        </row>
        <row r="3288">
          <cell r="C3288" t="str">
            <v>Vật liệu</v>
          </cell>
          <cell r="G3288">
            <v>5034.75</v>
          </cell>
        </row>
        <row r="3289">
          <cell r="B3289">
            <v>25</v>
          </cell>
          <cell r="C3289" t="str">
            <v>Băng dính cách điện</v>
          </cell>
          <cell r="D3289" t="str">
            <v>cuộn</v>
          </cell>
          <cell r="E3289">
            <v>0.35</v>
          </cell>
          <cell r="F3289">
            <v>8000</v>
          </cell>
          <cell r="G3289">
            <v>2800</v>
          </cell>
        </row>
        <row r="3290">
          <cell r="B3290">
            <v>1</v>
          </cell>
          <cell r="C3290" t="str">
            <v>Cồn công nghiệp</v>
          </cell>
          <cell r="D3290" t="str">
            <v>kg</v>
          </cell>
          <cell r="E3290">
            <v>0.13</v>
          </cell>
          <cell r="F3290">
            <v>9500</v>
          </cell>
          <cell r="G3290">
            <v>1235</v>
          </cell>
        </row>
        <row r="3291">
          <cell r="B3291">
            <v>9</v>
          </cell>
          <cell r="C3291" t="str">
            <v>Giẻ lau</v>
          </cell>
          <cell r="D3291" t="str">
            <v>kg</v>
          </cell>
          <cell r="E3291">
            <v>0.08</v>
          </cell>
          <cell r="F3291">
            <v>9500</v>
          </cell>
          <cell r="G3291">
            <v>760</v>
          </cell>
        </row>
        <row r="3292">
          <cell r="B3292">
            <v>117</v>
          </cell>
          <cell r="C3292" t="str">
            <v>Vật liệu khác</v>
          </cell>
          <cell r="D3292" t="str">
            <v>%</v>
          </cell>
          <cell r="E3292">
            <v>5</v>
          </cell>
          <cell r="G3292">
            <v>239.75</v>
          </cell>
        </row>
        <row r="3293">
          <cell r="C3293" t="str">
            <v>Nhân công</v>
          </cell>
          <cell r="G3293">
            <v>57224.256578947367</v>
          </cell>
        </row>
        <row r="3294">
          <cell r="B3294" t="str">
            <v>NC1507</v>
          </cell>
          <cell r="C3294" t="str">
            <v>Ngày công bậc 5,0/7</v>
          </cell>
          <cell r="D3294" t="str">
            <v>công</v>
          </cell>
          <cell r="E3294">
            <v>0.25</v>
          </cell>
          <cell r="F3294">
            <v>228897.02631578947</v>
          </cell>
          <cell r="G3294">
            <v>57224.256578947367</v>
          </cell>
        </row>
        <row r="3295">
          <cell r="A3295" t="str">
            <v>T3.2502</v>
          </cell>
          <cell r="C3295" t="str">
            <v>Làm đầu cáp kiểm tra, số ruột cáp &lt;=14</v>
          </cell>
          <cell r="D3295" t="str">
            <v>đầu</v>
          </cell>
          <cell r="H3295">
            <v>6693.75</v>
          </cell>
          <cell r="I3295">
            <v>114448.51315789473</v>
          </cell>
        </row>
        <row r="3296">
          <cell r="C3296" t="str">
            <v>Vật liệu</v>
          </cell>
          <cell r="G3296">
            <v>6693.75</v>
          </cell>
        </row>
        <row r="3297">
          <cell r="B3297">
            <v>25</v>
          </cell>
          <cell r="C3297" t="str">
            <v>Băng dính cách điện</v>
          </cell>
          <cell r="D3297" t="str">
            <v>cuộn</v>
          </cell>
          <cell r="E3297">
            <v>0.5</v>
          </cell>
          <cell r="F3297">
            <v>8000</v>
          </cell>
          <cell r="G3297">
            <v>4000</v>
          </cell>
        </row>
        <row r="3298">
          <cell r="B3298">
            <v>1</v>
          </cell>
          <cell r="C3298" t="str">
            <v>Cồn công nghiệp</v>
          </cell>
          <cell r="D3298" t="str">
            <v>kg</v>
          </cell>
          <cell r="E3298">
            <v>0.15</v>
          </cell>
          <cell r="F3298">
            <v>9500</v>
          </cell>
          <cell r="G3298">
            <v>1425</v>
          </cell>
        </row>
        <row r="3299">
          <cell r="B3299">
            <v>9</v>
          </cell>
          <cell r="C3299" t="str">
            <v>Giẻ lau</v>
          </cell>
          <cell r="D3299" t="str">
            <v>kg</v>
          </cell>
          <cell r="E3299">
            <v>0.1</v>
          </cell>
          <cell r="F3299">
            <v>9500</v>
          </cell>
          <cell r="G3299">
            <v>950</v>
          </cell>
        </row>
        <row r="3300">
          <cell r="B3300">
            <v>117</v>
          </cell>
          <cell r="C3300" t="str">
            <v>Vật liệu khác</v>
          </cell>
          <cell r="D3300" t="str">
            <v>%</v>
          </cell>
          <cell r="E3300">
            <v>5</v>
          </cell>
          <cell r="G3300">
            <v>318.75</v>
          </cell>
        </row>
        <row r="3301">
          <cell r="C3301" t="str">
            <v>Nhân công</v>
          </cell>
          <cell r="G3301">
            <v>114448.51315789473</v>
          </cell>
        </row>
        <row r="3302">
          <cell r="B3302" t="str">
            <v>NC1507</v>
          </cell>
          <cell r="C3302" t="str">
            <v>Ngày công bậc 5,0/7</v>
          </cell>
          <cell r="D3302" t="str">
            <v>công</v>
          </cell>
          <cell r="E3302">
            <v>0.5</v>
          </cell>
          <cell r="F3302">
            <v>228897.02631578947</v>
          </cell>
          <cell r="G3302">
            <v>114448.51315789473</v>
          </cell>
        </row>
        <row r="3303">
          <cell r="A3303" t="str">
            <v>T3.2503</v>
          </cell>
          <cell r="C3303" t="str">
            <v>Làm đầu cáp kiểm tra, số ruột cáp &lt;=19</v>
          </cell>
          <cell r="D3303" t="str">
            <v>đầu</v>
          </cell>
          <cell r="H3303">
            <v>7833</v>
          </cell>
          <cell r="I3303">
            <v>171672.76973684211</v>
          </cell>
        </row>
        <row r="3304">
          <cell r="C3304" t="str">
            <v>Vật liệu</v>
          </cell>
          <cell r="G3304">
            <v>7833</v>
          </cell>
        </row>
        <row r="3305">
          <cell r="B3305">
            <v>25</v>
          </cell>
          <cell r="C3305" t="str">
            <v>Băng dính cách điện</v>
          </cell>
          <cell r="D3305" t="str">
            <v>cuộn</v>
          </cell>
          <cell r="E3305">
            <v>0.6</v>
          </cell>
          <cell r="F3305">
            <v>8000</v>
          </cell>
          <cell r="G3305">
            <v>4800</v>
          </cell>
        </row>
        <row r="3306">
          <cell r="B3306">
            <v>1</v>
          </cell>
          <cell r="C3306" t="str">
            <v>Cồn công nghiệp</v>
          </cell>
          <cell r="D3306" t="str">
            <v>kg</v>
          </cell>
          <cell r="E3306">
            <v>0.15</v>
          </cell>
          <cell r="F3306">
            <v>9500</v>
          </cell>
          <cell r="G3306">
            <v>1425</v>
          </cell>
        </row>
        <row r="3307">
          <cell r="B3307">
            <v>9</v>
          </cell>
          <cell r="C3307" t="str">
            <v>Giẻ lau</v>
          </cell>
          <cell r="D3307" t="str">
            <v>kg</v>
          </cell>
          <cell r="E3307">
            <v>0.13</v>
          </cell>
          <cell r="F3307">
            <v>9500</v>
          </cell>
          <cell r="G3307">
            <v>1235</v>
          </cell>
        </row>
        <row r="3308">
          <cell r="B3308">
            <v>117</v>
          </cell>
          <cell r="C3308" t="str">
            <v>Vật liệu khác</v>
          </cell>
          <cell r="D3308" t="str">
            <v>%</v>
          </cell>
          <cell r="E3308">
            <v>5</v>
          </cell>
          <cell r="G3308">
            <v>373</v>
          </cell>
        </row>
        <row r="3309">
          <cell r="C3309" t="str">
            <v>Nhân công</v>
          </cell>
          <cell r="G3309">
            <v>171672.76973684211</v>
          </cell>
        </row>
        <row r="3310">
          <cell r="B3310" t="str">
            <v>NC1507</v>
          </cell>
          <cell r="C3310" t="str">
            <v>Ngày công bậc 5,0/7</v>
          </cell>
          <cell r="D3310" t="str">
            <v>công</v>
          </cell>
          <cell r="E3310">
            <v>0.75</v>
          </cell>
          <cell r="F3310">
            <v>228897.02631578947</v>
          </cell>
          <cell r="G3310">
            <v>171672.76973684211</v>
          </cell>
        </row>
        <row r="3311">
          <cell r="A3311" t="str">
            <v>T3.2504</v>
          </cell>
          <cell r="C3311" t="str">
            <v>Làm đầu cáp kiểm tra, số ruột cáp &lt;=27</v>
          </cell>
          <cell r="D3311" t="str">
            <v>đầu</v>
          </cell>
          <cell r="H3311">
            <v>9591.75</v>
          </cell>
          <cell r="I3311">
            <v>228897.02631578947</v>
          </cell>
        </row>
        <row r="3312">
          <cell r="C3312" t="str">
            <v>Vật liệu</v>
          </cell>
          <cell r="G3312">
            <v>9591.75</v>
          </cell>
        </row>
        <row r="3313">
          <cell r="B3313">
            <v>25</v>
          </cell>
          <cell r="C3313" t="str">
            <v>Băng dính cách điện</v>
          </cell>
          <cell r="D3313" t="str">
            <v>cuộn</v>
          </cell>
          <cell r="E3313">
            <v>0.75</v>
          </cell>
          <cell r="F3313">
            <v>8000</v>
          </cell>
          <cell r="G3313">
            <v>6000</v>
          </cell>
        </row>
        <row r="3314">
          <cell r="B3314">
            <v>1</v>
          </cell>
          <cell r="C3314" t="str">
            <v>Cồn công nghiệp</v>
          </cell>
          <cell r="D3314" t="str">
            <v>kg</v>
          </cell>
          <cell r="E3314">
            <v>0.18</v>
          </cell>
          <cell r="F3314">
            <v>9500</v>
          </cell>
          <cell r="G3314">
            <v>1710</v>
          </cell>
        </row>
        <row r="3315">
          <cell r="B3315">
            <v>9</v>
          </cell>
          <cell r="C3315" t="str">
            <v>Giẻ lau</v>
          </cell>
          <cell r="D3315" t="str">
            <v>kg</v>
          </cell>
          <cell r="E3315">
            <v>0.15</v>
          </cell>
          <cell r="F3315">
            <v>9500</v>
          </cell>
          <cell r="G3315">
            <v>1425</v>
          </cell>
        </row>
        <row r="3316">
          <cell r="B3316">
            <v>117</v>
          </cell>
          <cell r="C3316" t="str">
            <v>Vật liệu khác</v>
          </cell>
          <cell r="D3316" t="str">
            <v>%</v>
          </cell>
          <cell r="E3316">
            <v>5</v>
          </cell>
          <cell r="G3316">
            <v>456.75</v>
          </cell>
        </row>
        <row r="3317">
          <cell r="C3317" t="str">
            <v>Nhân công</v>
          </cell>
          <cell r="G3317">
            <v>228897.02631578947</v>
          </cell>
        </row>
        <row r="3318">
          <cell r="B3318" t="str">
            <v>NC1507</v>
          </cell>
          <cell r="C3318" t="str">
            <v>Ngày công bậc 5,0/7</v>
          </cell>
          <cell r="D3318" t="str">
            <v>công</v>
          </cell>
          <cell r="E3318">
            <v>1</v>
          </cell>
          <cell r="F3318">
            <v>228897.02631578947</v>
          </cell>
          <cell r="G3318">
            <v>228897.02631578947</v>
          </cell>
        </row>
        <row r="3319">
          <cell r="A3319" t="str">
            <v>T3.2505</v>
          </cell>
          <cell r="C3319" t="str">
            <v>Làm đầu cáp kiểm tra, số ruột cáp &lt;=36</v>
          </cell>
          <cell r="D3319" t="str">
            <v>đầu</v>
          </cell>
          <cell r="H3319">
            <v>12390</v>
          </cell>
          <cell r="I3319">
            <v>286121.28289473685</v>
          </cell>
        </row>
        <row r="3320">
          <cell r="C3320" t="str">
            <v>Vật liệu</v>
          </cell>
          <cell r="G3320">
            <v>12390</v>
          </cell>
        </row>
        <row r="3321">
          <cell r="B3321">
            <v>25</v>
          </cell>
          <cell r="C3321" t="str">
            <v>Băng dính cách điện</v>
          </cell>
          <cell r="D3321" t="str">
            <v>cuộn</v>
          </cell>
          <cell r="E3321">
            <v>1</v>
          </cell>
          <cell r="F3321">
            <v>8000</v>
          </cell>
          <cell r="G3321">
            <v>8000</v>
          </cell>
        </row>
        <row r="3322">
          <cell r="B3322">
            <v>1</v>
          </cell>
          <cell r="C3322" t="str">
            <v>Cồn công nghiệp</v>
          </cell>
          <cell r="D3322" t="str">
            <v>kg</v>
          </cell>
          <cell r="E3322">
            <v>0.2</v>
          </cell>
          <cell r="F3322">
            <v>9500</v>
          </cell>
          <cell r="G3322">
            <v>1900</v>
          </cell>
        </row>
        <row r="3323">
          <cell r="B3323">
            <v>9</v>
          </cell>
          <cell r="C3323" t="str">
            <v>Giẻ lau</v>
          </cell>
          <cell r="D3323" t="str">
            <v>kg</v>
          </cell>
          <cell r="E3323">
            <v>0.2</v>
          </cell>
          <cell r="F3323">
            <v>9500</v>
          </cell>
          <cell r="G3323">
            <v>1900</v>
          </cell>
        </row>
        <row r="3324">
          <cell r="B3324">
            <v>117</v>
          </cell>
          <cell r="C3324" t="str">
            <v>Vật liệu khác</v>
          </cell>
          <cell r="D3324" t="str">
            <v>%</v>
          </cell>
          <cell r="E3324">
            <v>5</v>
          </cell>
          <cell r="G3324">
            <v>590</v>
          </cell>
        </row>
        <row r="3325">
          <cell r="C3325" t="str">
            <v>Nhân công</v>
          </cell>
          <cell r="G3325">
            <v>286121.28289473685</v>
          </cell>
        </row>
        <row r="3326">
          <cell r="B3326" t="str">
            <v>NC1507</v>
          </cell>
          <cell r="C3326" t="str">
            <v>Ngày công bậc 5,0/7</v>
          </cell>
          <cell r="D3326" t="str">
            <v>công</v>
          </cell>
          <cell r="E3326">
            <v>1.25</v>
          </cell>
          <cell r="F3326">
            <v>228897.02631578947</v>
          </cell>
          <cell r="G3326">
            <v>286121.28289473685</v>
          </cell>
        </row>
        <row r="3327">
          <cell r="A3327" t="str">
            <v>T3.3501</v>
          </cell>
          <cell r="C3327" t="str">
            <v>Lắp đặt hộp nối cáp khô kiểm tra, số ruột cáp &lt;=3</v>
          </cell>
          <cell r="D3327" t="str">
            <v>hộp</v>
          </cell>
          <cell r="H3327">
            <v>1453.5</v>
          </cell>
          <cell r="I3327">
            <v>42357.748684210528</v>
          </cell>
        </row>
        <row r="3328">
          <cell r="C3328" t="str">
            <v>Vật liệu</v>
          </cell>
          <cell r="G3328">
            <v>1453.5</v>
          </cell>
        </row>
        <row r="3329">
          <cell r="B3329">
            <v>129</v>
          </cell>
          <cell r="C3329" t="str">
            <v>Hộp nối cáp</v>
          </cell>
          <cell r="D3329" t="str">
            <v>cái</v>
          </cell>
          <cell r="E3329">
            <v>1</v>
          </cell>
          <cell r="G3329">
            <v>0</v>
          </cell>
        </row>
        <row r="3330">
          <cell r="B3330">
            <v>1</v>
          </cell>
          <cell r="C3330" t="str">
            <v>Cồn công nghiệp</v>
          </cell>
          <cell r="D3330" t="str">
            <v>kg</v>
          </cell>
          <cell r="E3330">
            <v>0.1</v>
          </cell>
          <cell r="F3330">
            <v>9500</v>
          </cell>
          <cell r="G3330">
            <v>950</v>
          </cell>
        </row>
        <row r="3331">
          <cell r="B3331">
            <v>9</v>
          </cell>
          <cell r="C3331" t="str">
            <v>Giẻ lau</v>
          </cell>
          <cell r="D3331" t="str">
            <v>kg</v>
          </cell>
          <cell r="E3331">
            <v>0.05</v>
          </cell>
          <cell r="F3331">
            <v>9500</v>
          </cell>
          <cell r="G3331">
            <v>475</v>
          </cell>
        </row>
        <row r="3332">
          <cell r="B3332">
            <v>117</v>
          </cell>
          <cell r="C3332" t="str">
            <v>Vật liệu khác</v>
          </cell>
          <cell r="D3332" t="str">
            <v>%</v>
          </cell>
          <cell r="E3332">
            <v>2</v>
          </cell>
          <cell r="G3332">
            <v>28.5</v>
          </cell>
        </row>
        <row r="3333">
          <cell r="C3333" t="str">
            <v>Nhân công</v>
          </cell>
          <cell r="G3333">
            <v>42357.748684210528</v>
          </cell>
        </row>
        <row r="3334">
          <cell r="B3334" t="str">
            <v>NC1457</v>
          </cell>
          <cell r="C3334" t="str">
            <v>Ngày công bậc 4,5/7</v>
          </cell>
          <cell r="D3334" t="str">
            <v>công</v>
          </cell>
          <cell r="E3334">
            <v>0.2</v>
          </cell>
          <cell r="F3334">
            <v>211788.74342105264</v>
          </cell>
          <cell r="G3334">
            <v>42357.748684210528</v>
          </cell>
        </row>
        <row r="3335">
          <cell r="A3335" t="str">
            <v>T3.3502</v>
          </cell>
          <cell r="C3335" t="str">
            <v>Lắp đặt hộp nối cáp khô kiểm tra, số ruột cáp &lt;=6</v>
          </cell>
          <cell r="D3335" t="str">
            <v>hộp</v>
          </cell>
          <cell r="H3335">
            <v>2907</v>
          </cell>
          <cell r="I3335">
            <v>80479.722500000003</v>
          </cell>
        </row>
        <row r="3336">
          <cell r="C3336" t="str">
            <v>Vật liệu</v>
          </cell>
          <cell r="G3336">
            <v>2907</v>
          </cell>
        </row>
        <row r="3337">
          <cell r="B3337">
            <v>129</v>
          </cell>
          <cell r="C3337" t="str">
            <v>Hộp nối cáp</v>
          </cell>
          <cell r="D3337" t="str">
            <v>cái</v>
          </cell>
          <cell r="E3337">
            <v>1</v>
          </cell>
          <cell r="G3337">
            <v>0</v>
          </cell>
        </row>
        <row r="3338">
          <cell r="B3338">
            <v>1</v>
          </cell>
          <cell r="C3338" t="str">
            <v>Cồn công nghiệp</v>
          </cell>
          <cell r="D3338" t="str">
            <v>kg</v>
          </cell>
          <cell r="E3338">
            <v>0.2</v>
          </cell>
          <cell r="F3338">
            <v>9500</v>
          </cell>
          <cell r="G3338">
            <v>1900</v>
          </cell>
        </row>
        <row r="3339">
          <cell r="B3339">
            <v>9</v>
          </cell>
          <cell r="C3339" t="str">
            <v>Giẻ lau</v>
          </cell>
          <cell r="D3339" t="str">
            <v>kg</v>
          </cell>
          <cell r="E3339">
            <v>0.1</v>
          </cell>
          <cell r="F3339">
            <v>9500</v>
          </cell>
          <cell r="G3339">
            <v>950</v>
          </cell>
        </row>
        <row r="3340">
          <cell r="B3340">
            <v>117</v>
          </cell>
          <cell r="C3340" t="str">
            <v>Vật liệu khác</v>
          </cell>
          <cell r="D3340" t="str">
            <v>%</v>
          </cell>
          <cell r="E3340">
            <v>2</v>
          </cell>
          <cell r="G3340">
            <v>57</v>
          </cell>
        </row>
        <row r="3341">
          <cell r="C3341" t="str">
            <v>Nhân công</v>
          </cell>
          <cell r="G3341">
            <v>80479.722500000003</v>
          </cell>
        </row>
        <row r="3342">
          <cell r="B3342" t="str">
            <v>NC1457</v>
          </cell>
          <cell r="C3342" t="str">
            <v>Ngày công bậc 4,5/7</v>
          </cell>
          <cell r="D3342" t="str">
            <v>công</v>
          </cell>
          <cell r="E3342">
            <v>0.38</v>
          </cell>
          <cell r="F3342">
            <v>211788.74342105264</v>
          </cell>
          <cell r="G3342">
            <v>80479.722500000003</v>
          </cell>
        </row>
        <row r="3343">
          <cell r="A3343" t="str">
            <v>T3.3503</v>
          </cell>
          <cell r="C3343" t="str">
            <v>Lắp đặt hộp nối cáp khô kiểm tra, số ruột cáp &lt;=14</v>
          </cell>
          <cell r="D3343" t="str">
            <v>hộp</v>
          </cell>
          <cell r="H3343">
            <v>5329.5</v>
          </cell>
          <cell r="I3343">
            <v>160959.44500000001</v>
          </cell>
        </row>
        <row r="3344">
          <cell r="C3344" t="str">
            <v>Vật liệu</v>
          </cell>
          <cell r="G3344">
            <v>5329.5</v>
          </cell>
        </row>
        <row r="3345">
          <cell r="B3345">
            <v>129</v>
          </cell>
          <cell r="C3345" t="str">
            <v>Hộp nối cáp</v>
          </cell>
          <cell r="D3345" t="str">
            <v>cái</v>
          </cell>
          <cell r="E3345">
            <v>1</v>
          </cell>
          <cell r="G3345">
            <v>0</v>
          </cell>
        </row>
        <row r="3346">
          <cell r="B3346">
            <v>1</v>
          </cell>
          <cell r="C3346" t="str">
            <v>Cồn công nghiệp</v>
          </cell>
          <cell r="D3346" t="str">
            <v>kg</v>
          </cell>
          <cell r="E3346">
            <v>0.4</v>
          </cell>
          <cell r="F3346">
            <v>9500</v>
          </cell>
          <cell r="G3346">
            <v>3800</v>
          </cell>
        </row>
        <row r="3347">
          <cell r="B3347">
            <v>9</v>
          </cell>
          <cell r="C3347" t="str">
            <v>Giẻ lau</v>
          </cell>
          <cell r="D3347" t="str">
            <v>kg</v>
          </cell>
          <cell r="E3347">
            <v>0.15</v>
          </cell>
          <cell r="F3347">
            <v>9500</v>
          </cell>
          <cell r="G3347">
            <v>1425</v>
          </cell>
        </row>
        <row r="3348">
          <cell r="B3348">
            <v>117</v>
          </cell>
          <cell r="C3348" t="str">
            <v>Vật liệu khác</v>
          </cell>
          <cell r="D3348" t="str">
            <v>%</v>
          </cell>
          <cell r="E3348">
            <v>2</v>
          </cell>
          <cell r="G3348">
            <v>104.5</v>
          </cell>
        </row>
        <row r="3349">
          <cell r="C3349" t="str">
            <v>Nhân công</v>
          </cell>
          <cell r="G3349">
            <v>160959.44500000001</v>
          </cell>
        </row>
        <row r="3350">
          <cell r="B3350" t="str">
            <v>NC1457</v>
          </cell>
          <cell r="C3350" t="str">
            <v>Ngày công bậc 4,5/7</v>
          </cell>
          <cell r="D3350" t="str">
            <v>công</v>
          </cell>
          <cell r="E3350">
            <v>0.76</v>
          </cell>
          <cell r="F3350">
            <v>211788.74342105264</v>
          </cell>
          <cell r="G3350">
            <v>160959.44500000001</v>
          </cell>
        </row>
        <row r="3351">
          <cell r="A3351" t="str">
            <v>T3.3504</v>
          </cell>
          <cell r="C3351" t="str">
            <v>Lắp đặt hộp nối cáp khô kiểm tra, số ruột cáp &lt;=19</v>
          </cell>
          <cell r="D3351" t="str">
            <v>hộp</v>
          </cell>
          <cell r="H3351">
            <v>6589.2</v>
          </cell>
          <cell r="I3351">
            <v>241439.16749999998</v>
          </cell>
        </row>
        <row r="3352">
          <cell r="C3352" t="str">
            <v>Vật liệu</v>
          </cell>
          <cell r="G3352">
            <v>6589.2</v>
          </cell>
        </row>
        <row r="3353">
          <cell r="B3353">
            <v>129</v>
          </cell>
          <cell r="C3353" t="str">
            <v>Hộp nối cáp</v>
          </cell>
          <cell r="D3353" t="str">
            <v>cái</v>
          </cell>
          <cell r="E3353">
            <v>1</v>
          </cell>
          <cell r="G3353">
            <v>0</v>
          </cell>
        </row>
        <row r="3354">
          <cell r="B3354">
            <v>1</v>
          </cell>
          <cell r="C3354" t="str">
            <v>Cồn công nghiệp</v>
          </cell>
          <cell r="D3354" t="str">
            <v>kg</v>
          </cell>
          <cell r="E3354">
            <v>0.5</v>
          </cell>
          <cell r="F3354">
            <v>9500</v>
          </cell>
          <cell r="G3354">
            <v>4750</v>
          </cell>
        </row>
        <row r="3355">
          <cell r="B3355">
            <v>9</v>
          </cell>
          <cell r="C3355" t="str">
            <v>Giẻ lau</v>
          </cell>
          <cell r="D3355" t="str">
            <v>kg</v>
          </cell>
          <cell r="E3355">
            <v>0.18</v>
          </cell>
          <cell r="F3355">
            <v>9500</v>
          </cell>
          <cell r="G3355">
            <v>1710</v>
          </cell>
        </row>
        <row r="3356">
          <cell r="B3356">
            <v>117</v>
          </cell>
          <cell r="C3356" t="str">
            <v>Vật liệu khác</v>
          </cell>
          <cell r="D3356" t="str">
            <v>%</v>
          </cell>
          <cell r="E3356">
            <v>2</v>
          </cell>
          <cell r="G3356">
            <v>129.19999999999999</v>
          </cell>
        </row>
        <row r="3357">
          <cell r="C3357" t="str">
            <v>Nhân công</v>
          </cell>
          <cell r="G3357">
            <v>241439.16749999998</v>
          </cell>
        </row>
        <row r="3358">
          <cell r="B3358" t="str">
            <v>NC1457</v>
          </cell>
          <cell r="C3358" t="str">
            <v>Ngày công bậc 4,5/7</v>
          </cell>
          <cell r="D3358" t="str">
            <v>công</v>
          </cell>
          <cell r="E3358">
            <v>1.1399999999999999</v>
          </cell>
          <cell r="F3358">
            <v>211788.74342105264</v>
          </cell>
          <cell r="G3358">
            <v>241439.16749999998</v>
          </cell>
        </row>
        <row r="3359">
          <cell r="A3359" t="str">
            <v>T3.3505</v>
          </cell>
          <cell r="C3359" t="str">
            <v>Lắp đặt hộp nối cáp khô kiểm tra, số ruột cáp &lt;=27</v>
          </cell>
          <cell r="D3359" t="str">
            <v>hộp</v>
          </cell>
          <cell r="H3359">
            <v>8914.7999999999993</v>
          </cell>
          <cell r="I3359">
            <v>321918.89</v>
          </cell>
        </row>
        <row r="3360">
          <cell r="C3360" t="str">
            <v>Vật liệu</v>
          </cell>
          <cell r="G3360">
            <v>8914.7999999999993</v>
          </cell>
        </row>
        <row r="3361">
          <cell r="B3361">
            <v>129</v>
          </cell>
          <cell r="C3361" t="str">
            <v>Hộp nối cáp</v>
          </cell>
          <cell r="D3361" t="str">
            <v>cái</v>
          </cell>
          <cell r="E3361">
            <v>1</v>
          </cell>
          <cell r="G3361">
            <v>0</v>
          </cell>
        </row>
        <row r="3362">
          <cell r="B3362">
            <v>1</v>
          </cell>
          <cell r="C3362" t="str">
            <v>Cồn công nghiệp</v>
          </cell>
          <cell r="D3362" t="str">
            <v>kg</v>
          </cell>
          <cell r="E3362">
            <v>0.7</v>
          </cell>
          <cell r="F3362">
            <v>9500</v>
          </cell>
          <cell r="G3362">
            <v>6650</v>
          </cell>
        </row>
        <row r="3363">
          <cell r="B3363">
            <v>9</v>
          </cell>
          <cell r="C3363" t="str">
            <v>Giẻ lau</v>
          </cell>
          <cell r="D3363" t="str">
            <v>kg</v>
          </cell>
          <cell r="E3363">
            <v>0.22</v>
          </cell>
          <cell r="F3363">
            <v>9500</v>
          </cell>
          <cell r="G3363">
            <v>2090</v>
          </cell>
        </row>
        <row r="3364">
          <cell r="B3364">
            <v>117</v>
          </cell>
          <cell r="C3364" t="str">
            <v>Vật liệu khác</v>
          </cell>
          <cell r="D3364" t="str">
            <v>%</v>
          </cell>
          <cell r="E3364">
            <v>2</v>
          </cell>
          <cell r="G3364">
            <v>174.8</v>
          </cell>
        </row>
        <row r="3365">
          <cell r="C3365" t="str">
            <v>Nhân công</v>
          </cell>
          <cell r="G3365">
            <v>321918.89</v>
          </cell>
        </row>
        <row r="3366">
          <cell r="B3366" t="str">
            <v>NC1457</v>
          </cell>
          <cell r="C3366" t="str">
            <v>Ngày công bậc 4,5/7</v>
          </cell>
          <cell r="D3366" t="str">
            <v>công</v>
          </cell>
          <cell r="E3366">
            <v>1.52</v>
          </cell>
          <cell r="F3366">
            <v>211788.74342105264</v>
          </cell>
          <cell r="G3366">
            <v>321918.89</v>
          </cell>
        </row>
        <row r="3367">
          <cell r="A3367" t="str">
            <v>T3.3506</v>
          </cell>
          <cell r="C3367" t="str">
            <v>Lắp đặt hộp nối cáp khô kiểm tra, số ruột cáp &lt;=36</v>
          </cell>
          <cell r="D3367" t="str">
            <v>hộp</v>
          </cell>
          <cell r="H3367">
            <v>11337.3</v>
          </cell>
          <cell r="I3367">
            <v>402398.61249999999</v>
          </cell>
        </row>
        <row r="3368">
          <cell r="C3368" t="str">
            <v>Vật liệu</v>
          </cell>
          <cell r="G3368">
            <v>11337.3</v>
          </cell>
        </row>
        <row r="3369">
          <cell r="B3369">
            <v>129</v>
          </cell>
          <cell r="C3369" t="str">
            <v>Hộp nối cáp</v>
          </cell>
          <cell r="D3369" t="str">
            <v>cái</v>
          </cell>
          <cell r="E3369">
            <v>1</v>
          </cell>
          <cell r="G3369">
            <v>0</v>
          </cell>
        </row>
        <row r="3370">
          <cell r="B3370">
            <v>1</v>
          </cell>
          <cell r="C3370" t="str">
            <v>Cồn công nghiệp</v>
          </cell>
          <cell r="D3370" t="str">
            <v>kg</v>
          </cell>
          <cell r="E3370">
            <v>0.9</v>
          </cell>
          <cell r="F3370">
            <v>9500</v>
          </cell>
          <cell r="G3370">
            <v>8550</v>
          </cell>
        </row>
        <row r="3371">
          <cell r="B3371">
            <v>9</v>
          </cell>
          <cell r="C3371" t="str">
            <v>Giẻ lau</v>
          </cell>
          <cell r="D3371" t="str">
            <v>kg</v>
          </cell>
          <cell r="E3371">
            <v>0.27</v>
          </cell>
          <cell r="F3371">
            <v>9500</v>
          </cell>
          <cell r="G3371">
            <v>2565</v>
          </cell>
        </row>
        <row r="3372">
          <cell r="B3372">
            <v>117</v>
          </cell>
          <cell r="C3372" t="str">
            <v>Vật liệu khác</v>
          </cell>
          <cell r="D3372" t="str">
            <v>%</v>
          </cell>
          <cell r="E3372">
            <v>2</v>
          </cell>
          <cell r="G3372">
            <v>222.3</v>
          </cell>
        </row>
        <row r="3373">
          <cell r="C3373" t="str">
            <v>Nhân công</v>
          </cell>
          <cell r="G3373">
            <v>402398.61249999999</v>
          </cell>
        </row>
        <row r="3374">
          <cell r="B3374" t="str">
            <v>NC1457</v>
          </cell>
          <cell r="C3374" t="str">
            <v>Ngày công bậc 4,5/7</v>
          </cell>
          <cell r="D3374" t="str">
            <v>công</v>
          </cell>
          <cell r="E3374">
            <v>1.9</v>
          </cell>
          <cell r="F3374">
            <v>211788.74342105264</v>
          </cell>
          <cell r="G3374">
            <v>402398.61249999999</v>
          </cell>
        </row>
        <row r="3375">
          <cell r="A3375" t="str">
            <v>T4.1101</v>
          </cell>
          <cell r="C3375" t="str">
            <v>Kéo rải dây cáp trần lấy độ võng, tiết diện AC-35mm2</v>
          </cell>
          <cell r="D3375" t="str">
            <v>100m</v>
          </cell>
          <cell r="H3375">
            <v>31.5</v>
          </cell>
          <cell r="I3375">
            <v>237510.16184210524</v>
          </cell>
        </row>
        <row r="3376">
          <cell r="C3376" t="str">
            <v>Vật liệu</v>
          </cell>
          <cell r="G3376">
            <v>31.5</v>
          </cell>
        </row>
        <row r="3377">
          <cell r="B3377">
            <v>30</v>
          </cell>
          <cell r="C3377" t="str">
            <v>Dây thép mạ kẽm fi 2-4</v>
          </cell>
          <cell r="D3377" t="str">
            <v>kg</v>
          </cell>
          <cell r="E3377">
            <v>0.03</v>
          </cell>
          <cell r="F3377">
            <v>1000</v>
          </cell>
          <cell r="G3377">
            <v>30</v>
          </cell>
        </row>
        <row r="3378">
          <cell r="B3378">
            <v>117</v>
          </cell>
          <cell r="C3378" t="str">
            <v>Vật liệu khác</v>
          </cell>
          <cell r="D3378" t="str">
            <v>%</v>
          </cell>
          <cell r="E3378">
            <v>5</v>
          </cell>
          <cell r="G3378">
            <v>1.5</v>
          </cell>
        </row>
        <row r="3379">
          <cell r="C3379" t="str">
            <v>Nhân công</v>
          </cell>
          <cell r="G3379">
            <v>237510.16184210524</v>
          </cell>
        </row>
        <row r="3380">
          <cell r="B3380" t="str">
            <v>NC1407</v>
          </cell>
          <cell r="C3380" t="str">
            <v>Ngày công bậc 4,0/7</v>
          </cell>
          <cell r="D3380" t="str">
            <v>công</v>
          </cell>
          <cell r="E3380">
            <v>1.22</v>
          </cell>
          <cell r="F3380">
            <v>194680.46052631579</v>
          </cell>
          <cell r="G3380">
            <v>237510.16184210524</v>
          </cell>
        </row>
        <row r="3381">
          <cell r="A3381" t="str">
            <v>T4.1102</v>
          </cell>
          <cell r="C3381" t="str">
            <v>Kéo rải dây cáp trần lấy độ võng, tiết diện AC-50mm2</v>
          </cell>
          <cell r="D3381" t="str">
            <v>100m</v>
          </cell>
          <cell r="H3381">
            <v>31.5</v>
          </cell>
          <cell r="I3381">
            <v>312851.50006578944</v>
          </cell>
        </row>
        <row r="3382">
          <cell r="C3382" t="str">
            <v>Vật liệu</v>
          </cell>
          <cell r="G3382">
            <v>31.5</v>
          </cell>
        </row>
        <row r="3383">
          <cell r="B3383">
            <v>30</v>
          </cell>
          <cell r="C3383" t="str">
            <v>Dây thép mạ kẽm fi 2-4</v>
          </cell>
          <cell r="D3383" t="str">
            <v>kg</v>
          </cell>
          <cell r="E3383">
            <v>0.03</v>
          </cell>
          <cell r="F3383">
            <v>1000</v>
          </cell>
          <cell r="G3383">
            <v>30</v>
          </cell>
        </row>
        <row r="3384">
          <cell r="B3384">
            <v>117</v>
          </cell>
          <cell r="C3384" t="str">
            <v>Vật liệu khác</v>
          </cell>
          <cell r="D3384" t="str">
            <v>%</v>
          </cell>
          <cell r="E3384">
            <v>5</v>
          </cell>
          <cell r="G3384">
            <v>1.5</v>
          </cell>
        </row>
        <row r="3385">
          <cell r="C3385" t="str">
            <v>Nhân công</v>
          </cell>
          <cell r="G3385">
            <v>312851.50006578944</v>
          </cell>
        </row>
        <row r="3386">
          <cell r="B3386" t="str">
            <v>NC1407</v>
          </cell>
          <cell r="C3386" t="str">
            <v>Ngày công bậc 4,0/7</v>
          </cell>
          <cell r="D3386" t="str">
            <v>công</v>
          </cell>
          <cell r="E3386">
            <v>1.607</v>
          </cell>
          <cell r="F3386">
            <v>194680.46052631579</v>
          </cell>
          <cell r="G3386">
            <v>312851.50006578944</v>
          </cell>
        </row>
        <row r="3387">
          <cell r="A3387" t="str">
            <v>T4.1103</v>
          </cell>
          <cell r="C3387" t="str">
            <v>Kéo rải dây cáp trần lấy độ võng, tiết diện AC-70mm2</v>
          </cell>
          <cell r="D3387" t="str">
            <v>100m</v>
          </cell>
          <cell r="H3387">
            <v>31.5</v>
          </cell>
          <cell r="I3387">
            <v>417978.94874999998</v>
          </cell>
        </row>
        <row r="3388">
          <cell r="C3388" t="str">
            <v>Vật liệu</v>
          </cell>
          <cell r="G3388">
            <v>31.5</v>
          </cell>
        </row>
        <row r="3389">
          <cell r="B3389">
            <v>30</v>
          </cell>
          <cell r="C3389" t="str">
            <v>Dây thép mạ kẽm fi 2-4</v>
          </cell>
          <cell r="D3389" t="str">
            <v>kg</v>
          </cell>
          <cell r="E3389">
            <v>0.03</v>
          </cell>
          <cell r="F3389">
            <v>1000</v>
          </cell>
          <cell r="G3389">
            <v>30</v>
          </cell>
        </row>
        <row r="3390">
          <cell r="B3390">
            <v>117</v>
          </cell>
          <cell r="C3390" t="str">
            <v>Vật liệu khác</v>
          </cell>
          <cell r="D3390" t="str">
            <v>%</v>
          </cell>
          <cell r="E3390">
            <v>5</v>
          </cell>
          <cell r="G3390">
            <v>1.5</v>
          </cell>
        </row>
        <row r="3391">
          <cell r="C3391" t="str">
            <v>Nhân công</v>
          </cell>
          <cell r="G3391">
            <v>417978.94874999998</v>
          </cell>
        </row>
        <row r="3392">
          <cell r="B3392" t="str">
            <v>NC1407</v>
          </cell>
          <cell r="C3392" t="str">
            <v>Ngày công bậc 4,0/7</v>
          </cell>
          <cell r="D3392" t="str">
            <v>công</v>
          </cell>
          <cell r="E3392">
            <v>2.1469999999999998</v>
          </cell>
          <cell r="F3392">
            <v>194680.46052631579</v>
          </cell>
          <cell r="G3392">
            <v>417978.94874999998</v>
          </cell>
        </row>
        <row r="3393">
          <cell r="A3393" t="str">
            <v>T4.1104</v>
          </cell>
          <cell r="C3393" t="str">
            <v>Kéo rải dây cáp trần lấy độ võng, tiết diện AC-95mm2</v>
          </cell>
          <cell r="D3393" t="str">
            <v>100m</v>
          </cell>
          <cell r="H3393">
            <v>31.5</v>
          </cell>
          <cell r="I3393">
            <v>569245.66657894733</v>
          </cell>
        </row>
        <row r="3394">
          <cell r="C3394" t="str">
            <v>Vật liệu</v>
          </cell>
          <cell r="G3394">
            <v>31.5</v>
          </cell>
        </row>
        <row r="3395">
          <cell r="B3395">
            <v>30</v>
          </cell>
          <cell r="C3395" t="str">
            <v>Dây thép mạ kẽm fi 2-4</v>
          </cell>
          <cell r="D3395" t="str">
            <v>kg</v>
          </cell>
          <cell r="E3395">
            <v>0.03</v>
          </cell>
          <cell r="F3395">
            <v>1000</v>
          </cell>
          <cell r="G3395">
            <v>30</v>
          </cell>
        </row>
        <row r="3396">
          <cell r="B3396">
            <v>117</v>
          </cell>
          <cell r="C3396" t="str">
            <v>Vật liệu khác</v>
          </cell>
          <cell r="D3396" t="str">
            <v>%</v>
          </cell>
          <cell r="E3396">
            <v>5</v>
          </cell>
          <cell r="G3396">
            <v>1.5</v>
          </cell>
        </row>
        <row r="3397">
          <cell r="C3397" t="str">
            <v>Nhân công</v>
          </cell>
          <cell r="G3397">
            <v>569245.66657894733</v>
          </cell>
        </row>
        <row r="3398">
          <cell r="B3398" t="str">
            <v>NC1407</v>
          </cell>
          <cell r="C3398" t="str">
            <v>Ngày công bậc 4,0/7</v>
          </cell>
          <cell r="D3398" t="str">
            <v>công</v>
          </cell>
          <cell r="E3398">
            <v>2.9239999999999999</v>
          </cell>
          <cell r="F3398">
            <v>194680.46052631579</v>
          </cell>
          <cell r="G3398">
            <v>569245.66657894733</v>
          </cell>
        </row>
        <row r="3399">
          <cell r="A3399" t="str">
            <v>T4.1105</v>
          </cell>
          <cell r="C3399" t="str">
            <v>Kéo rải dây cáp trần lấy độ võng, tiết diện AC-120mm2</v>
          </cell>
          <cell r="D3399" t="str">
            <v>100m</v>
          </cell>
          <cell r="H3399">
            <v>31.5</v>
          </cell>
          <cell r="I3399">
            <v>639525.31282894744</v>
          </cell>
        </row>
        <row r="3400">
          <cell r="C3400" t="str">
            <v>Vật liệu</v>
          </cell>
          <cell r="G3400">
            <v>31.5</v>
          </cell>
        </row>
        <row r="3401">
          <cell r="B3401">
            <v>30</v>
          </cell>
          <cell r="C3401" t="str">
            <v>Dây thép mạ kẽm fi 2-4</v>
          </cell>
          <cell r="D3401" t="str">
            <v>kg</v>
          </cell>
          <cell r="E3401">
            <v>0.03</v>
          </cell>
          <cell r="F3401">
            <v>1000</v>
          </cell>
          <cell r="G3401">
            <v>30</v>
          </cell>
        </row>
        <row r="3402">
          <cell r="B3402">
            <v>117</v>
          </cell>
          <cell r="C3402" t="str">
            <v>Vật liệu khác</v>
          </cell>
          <cell r="D3402" t="str">
            <v>%</v>
          </cell>
          <cell r="E3402">
            <v>5</v>
          </cell>
          <cell r="G3402">
            <v>1.5</v>
          </cell>
        </row>
        <row r="3403">
          <cell r="C3403" t="str">
            <v>Nhân công</v>
          </cell>
          <cell r="G3403">
            <v>639525.31282894744</v>
          </cell>
        </row>
        <row r="3404">
          <cell r="B3404" t="str">
            <v>NC1407</v>
          </cell>
          <cell r="C3404" t="str">
            <v>Ngày công bậc 4,0/7</v>
          </cell>
          <cell r="D3404" t="str">
            <v>công</v>
          </cell>
          <cell r="E3404">
            <v>3.2850000000000001</v>
          </cell>
          <cell r="F3404">
            <v>194680.46052631579</v>
          </cell>
          <cell r="G3404">
            <v>639525.31282894744</v>
          </cell>
        </row>
        <row r="3405">
          <cell r="A3405" t="str">
            <v>T4.1106</v>
          </cell>
          <cell r="C3405" t="str">
            <v>Kéo rải dây cáp trần lấy độ võng, tiết diện AC-150mm2</v>
          </cell>
          <cell r="D3405" t="str">
            <v>100m</v>
          </cell>
          <cell r="H3405">
            <v>37.799999999999997</v>
          </cell>
          <cell r="I3405">
            <v>773854.83059210528</v>
          </cell>
        </row>
        <row r="3406">
          <cell r="C3406" t="str">
            <v>Vật liệu</v>
          </cell>
          <cell r="G3406">
            <v>37.799999999999997</v>
          </cell>
        </row>
        <row r="3407">
          <cell r="B3407">
            <v>30</v>
          </cell>
          <cell r="C3407" t="str">
            <v>Dây thép mạ kẽm fi 2-4</v>
          </cell>
          <cell r="D3407" t="str">
            <v>kg</v>
          </cell>
          <cell r="E3407">
            <v>3.5999999999999997E-2</v>
          </cell>
          <cell r="F3407">
            <v>1000</v>
          </cell>
          <cell r="G3407">
            <v>36</v>
          </cell>
        </row>
        <row r="3408">
          <cell r="B3408">
            <v>117</v>
          </cell>
          <cell r="C3408" t="str">
            <v>Vật liệu khác</v>
          </cell>
          <cell r="D3408" t="str">
            <v>%</v>
          </cell>
          <cell r="E3408">
            <v>5</v>
          </cell>
          <cell r="G3408">
            <v>1.8</v>
          </cell>
        </row>
        <row r="3409">
          <cell r="C3409" t="str">
            <v>Nhân công</v>
          </cell>
          <cell r="G3409">
            <v>773854.83059210528</v>
          </cell>
        </row>
        <row r="3410">
          <cell r="B3410" t="str">
            <v>NC1407</v>
          </cell>
          <cell r="C3410" t="str">
            <v>Ngày công bậc 4,0/7</v>
          </cell>
          <cell r="D3410" t="str">
            <v>công</v>
          </cell>
          <cell r="E3410">
            <v>3.9750000000000001</v>
          </cell>
          <cell r="F3410">
            <v>194680.46052631579</v>
          </cell>
          <cell r="G3410">
            <v>773854.83059210528</v>
          </cell>
        </row>
        <row r="3411">
          <cell r="A3411" t="str">
            <v>T4.1107</v>
          </cell>
          <cell r="C3411" t="str">
            <v>Kéo rải dây cáp trần lấy độ võng, tiết diện AC-185mm2</v>
          </cell>
          <cell r="D3411" t="str">
            <v>100m</v>
          </cell>
          <cell r="H3411">
            <v>37.799999999999997</v>
          </cell>
          <cell r="I3411">
            <v>913246.04032894736</v>
          </cell>
        </row>
        <row r="3412">
          <cell r="C3412" t="str">
            <v>Vật liệu</v>
          </cell>
          <cell r="G3412">
            <v>37.799999999999997</v>
          </cell>
        </row>
        <row r="3413">
          <cell r="B3413">
            <v>30</v>
          </cell>
          <cell r="C3413" t="str">
            <v>Dây thép mạ kẽm fi 2-4</v>
          </cell>
          <cell r="D3413" t="str">
            <v>kg</v>
          </cell>
          <cell r="E3413">
            <v>3.5999999999999997E-2</v>
          </cell>
          <cell r="F3413">
            <v>1000</v>
          </cell>
          <cell r="G3413">
            <v>36</v>
          </cell>
        </row>
        <row r="3414">
          <cell r="B3414">
            <v>117</v>
          </cell>
          <cell r="C3414" t="str">
            <v>Vật liệu khác</v>
          </cell>
          <cell r="D3414" t="str">
            <v>%</v>
          </cell>
          <cell r="E3414">
            <v>5</v>
          </cell>
          <cell r="G3414">
            <v>1.8</v>
          </cell>
        </row>
        <row r="3415">
          <cell r="C3415" t="str">
            <v>Nhân công</v>
          </cell>
          <cell r="G3415">
            <v>913246.04032894736</v>
          </cell>
        </row>
        <row r="3416">
          <cell r="B3416" t="str">
            <v>NC1407</v>
          </cell>
          <cell r="C3416" t="str">
            <v>Ngày công bậc 4,0/7</v>
          </cell>
          <cell r="D3416" t="str">
            <v>công</v>
          </cell>
          <cell r="E3416">
            <v>4.6909999999999998</v>
          </cell>
          <cell r="F3416">
            <v>194680.46052631579</v>
          </cell>
          <cell r="G3416">
            <v>913246.04032894736</v>
          </cell>
        </row>
        <row r="3417">
          <cell r="A3417" t="str">
            <v>T4.1108</v>
          </cell>
          <cell r="C3417" t="str">
            <v>Kéo rải dây cáp trần lấy độ võng, tiết diện AC-240mm2</v>
          </cell>
          <cell r="D3417" t="str">
            <v>100m</v>
          </cell>
          <cell r="H3417">
            <v>37.799999999999997</v>
          </cell>
          <cell r="I3417">
            <v>1004356.4958552631</v>
          </cell>
        </row>
        <row r="3418">
          <cell r="C3418" t="str">
            <v>Vật liệu</v>
          </cell>
          <cell r="G3418">
            <v>37.799999999999997</v>
          </cell>
        </row>
        <row r="3419">
          <cell r="B3419">
            <v>30</v>
          </cell>
          <cell r="C3419" t="str">
            <v>Dây thép mạ kẽm fi 2-4</v>
          </cell>
          <cell r="D3419" t="str">
            <v>kg</v>
          </cell>
          <cell r="E3419">
            <v>3.5999999999999997E-2</v>
          </cell>
          <cell r="F3419">
            <v>1000</v>
          </cell>
          <cell r="G3419">
            <v>36</v>
          </cell>
        </row>
        <row r="3420">
          <cell r="B3420">
            <v>117</v>
          </cell>
          <cell r="C3420" t="str">
            <v>Vật liệu khác</v>
          </cell>
          <cell r="D3420" t="str">
            <v>%</v>
          </cell>
          <cell r="E3420">
            <v>5</v>
          </cell>
          <cell r="G3420">
            <v>1.8</v>
          </cell>
        </row>
        <row r="3421">
          <cell r="C3421" t="str">
            <v>Nhân công</v>
          </cell>
          <cell r="G3421">
            <v>1004356.4958552631</v>
          </cell>
        </row>
        <row r="3422">
          <cell r="B3422" t="str">
            <v>NC1407</v>
          </cell>
          <cell r="C3422" t="str">
            <v>Ngày công bậc 4,0/7</v>
          </cell>
          <cell r="D3422" t="str">
            <v>công</v>
          </cell>
          <cell r="E3422">
            <v>5.1589999999999998</v>
          </cell>
          <cell r="F3422">
            <v>194680.46052631579</v>
          </cell>
          <cell r="G3422">
            <v>1004356.4958552631</v>
          </cell>
        </row>
        <row r="3423">
          <cell r="A3423" t="str">
            <v>T4.1109</v>
          </cell>
          <cell r="C3423" t="str">
            <v>Kéo rải dây cáp trần lấy độ võng, tiết diện AC-300mm2</v>
          </cell>
          <cell r="D3423" t="str">
            <v>100m</v>
          </cell>
          <cell r="H3423">
            <v>56.7</v>
          </cell>
          <cell r="I3423">
            <v>1266591.0761842106</v>
          </cell>
        </row>
        <row r="3424">
          <cell r="C3424" t="str">
            <v>Vật liệu</v>
          </cell>
          <cell r="G3424">
            <v>56.7</v>
          </cell>
        </row>
        <row r="3425">
          <cell r="B3425">
            <v>30</v>
          </cell>
          <cell r="C3425" t="str">
            <v>Dây thép mạ kẽm fi 2-4</v>
          </cell>
          <cell r="D3425" t="str">
            <v>kg</v>
          </cell>
          <cell r="E3425">
            <v>5.3999999999999999E-2</v>
          </cell>
          <cell r="F3425">
            <v>1000</v>
          </cell>
          <cell r="G3425">
            <v>54</v>
          </cell>
        </row>
        <row r="3426">
          <cell r="B3426">
            <v>117</v>
          </cell>
          <cell r="C3426" t="str">
            <v>Vật liệu khác</v>
          </cell>
          <cell r="D3426" t="str">
            <v>%</v>
          </cell>
          <cell r="E3426">
            <v>5</v>
          </cell>
          <cell r="G3426">
            <v>2.7</v>
          </cell>
        </row>
        <row r="3427">
          <cell r="C3427" t="str">
            <v>Nhân công</v>
          </cell>
          <cell r="G3427">
            <v>1266591.0761842106</v>
          </cell>
        </row>
        <row r="3428">
          <cell r="B3428" t="str">
            <v>NC1407</v>
          </cell>
          <cell r="C3428" t="str">
            <v>Ngày công bậc 4,0/7</v>
          </cell>
          <cell r="D3428" t="str">
            <v>công</v>
          </cell>
          <cell r="E3428">
            <v>6.5060000000000002</v>
          </cell>
          <cell r="F3428">
            <v>194680.46052631579</v>
          </cell>
          <cell r="G3428">
            <v>1266591.0761842106</v>
          </cell>
        </row>
        <row r="3429">
          <cell r="A3429" t="str">
            <v>T4.1110</v>
          </cell>
          <cell r="C3429" t="str">
            <v>Kéo rải dây cáp trần lấy độ võng, tiết diện AC-400mm2</v>
          </cell>
          <cell r="D3429" t="str">
            <v>100m</v>
          </cell>
          <cell r="H3429">
            <v>56.7</v>
          </cell>
          <cell r="I3429">
            <v>1673083.8777631577</v>
          </cell>
        </row>
        <row r="3430">
          <cell r="C3430" t="str">
            <v>Vật liệu</v>
          </cell>
          <cell r="G3430">
            <v>56.7</v>
          </cell>
        </row>
        <row r="3431">
          <cell r="B3431">
            <v>30</v>
          </cell>
          <cell r="C3431" t="str">
            <v>Dây thép mạ kẽm fi 2-4</v>
          </cell>
          <cell r="D3431" t="str">
            <v>kg</v>
          </cell>
          <cell r="E3431">
            <v>5.3999999999999999E-2</v>
          </cell>
          <cell r="F3431">
            <v>1000</v>
          </cell>
          <cell r="G3431">
            <v>54</v>
          </cell>
        </row>
        <row r="3432">
          <cell r="B3432">
            <v>117</v>
          </cell>
          <cell r="C3432" t="str">
            <v>Vật liệu khác</v>
          </cell>
          <cell r="D3432" t="str">
            <v>%</v>
          </cell>
          <cell r="E3432">
            <v>5</v>
          </cell>
          <cell r="G3432">
            <v>2.7</v>
          </cell>
        </row>
        <row r="3433">
          <cell r="C3433" t="str">
            <v>Nhân công</v>
          </cell>
          <cell r="G3433">
            <v>1673083.8777631577</v>
          </cell>
        </row>
        <row r="3434">
          <cell r="B3434" t="str">
            <v>NC1407</v>
          </cell>
          <cell r="C3434" t="str">
            <v>Ngày công bậc 4,0/7</v>
          </cell>
          <cell r="D3434" t="str">
            <v>công</v>
          </cell>
          <cell r="E3434">
            <v>8.5939999999999994</v>
          </cell>
          <cell r="F3434">
            <v>194680.46052631579</v>
          </cell>
          <cell r="G3434">
            <v>1673083.8777631577</v>
          </cell>
        </row>
        <row r="3435">
          <cell r="A3435" t="str">
            <v>T4.1111</v>
          </cell>
          <cell r="C3435" t="str">
            <v>Kéo rải dây cáp trần lấy độ võng, tiết diện AC-500mm2</v>
          </cell>
          <cell r="D3435" t="str">
            <v>100m</v>
          </cell>
          <cell r="H3435">
            <v>56.7</v>
          </cell>
          <cell r="I3435">
            <v>1960432.2375</v>
          </cell>
        </row>
        <row r="3436">
          <cell r="C3436" t="str">
            <v>Vật liệu</v>
          </cell>
          <cell r="G3436">
            <v>56.7</v>
          </cell>
        </row>
        <row r="3437">
          <cell r="B3437">
            <v>30</v>
          </cell>
          <cell r="C3437" t="str">
            <v>Dây thép mạ kẽm fi 2-4</v>
          </cell>
          <cell r="D3437" t="str">
            <v>kg</v>
          </cell>
          <cell r="E3437">
            <v>5.3999999999999999E-2</v>
          </cell>
          <cell r="F3437">
            <v>1000</v>
          </cell>
          <cell r="G3437">
            <v>54</v>
          </cell>
        </row>
        <row r="3438">
          <cell r="B3438">
            <v>117</v>
          </cell>
          <cell r="C3438" t="str">
            <v>Vật liệu khác</v>
          </cell>
          <cell r="D3438" t="str">
            <v>%</v>
          </cell>
          <cell r="E3438">
            <v>5</v>
          </cell>
          <cell r="G3438">
            <v>2.7</v>
          </cell>
        </row>
        <row r="3439">
          <cell r="C3439" t="str">
            <v>Nhân công</v>
          </cell>
          <cell r="G3439">
            <v>1960432.2375</v>
          </cell>
        </row>
        <row r="3440">
          <cell r="B3440" t="str">
            <v>NC1407</v>
          </cell>
          <cell r="C3440" t="str">
            <v>Ngày công bậc 4,0/7</v>
          </cell>
          <cell r="D3440" t="str">
            <v>công</v>
          </cell>
          <cell r="E3440">
            <v>10.07</v>
          </cell>
          <cell r="F3440">
            <v>194680.46052631579</v>
          </cell>
          <cell r="G3440">
            <v>1960432.2375</v>
          </cell>
        </row>
        <row r="3441">
          <cell r="A3441" t="str">
            <v>T4.1112</v>
          </cell>
          <cell r="C3441" t="str">
            <v>Kéo rải dây cáp trần lấy độ võng, tiết diện AC-800mm2</v>
          </cell>
          <cell r="D3441" t="str">
            <v>100m</v>
          </cell>
          <cell r="H3441">
            <v>56.7</v>
          </cell>
          <cell r="I3441">
            <v>2548367.2282894738</v>
          </cell>
        </row>
        <row r="3442">
          <cell r="C3442" t="str">
            <v>Vật liệu</v>
          </cell>
          <cell r="G3442">
            <v>56.7</v>
          </cell>
        </row>
        <row r="3443">
          <cell r="B3443">
            <v>30</v>
          </cell>
          <cell r="C3443" t="str">
            <v>Dây thép mạ kẽm fi 2-4</v>
          </cell>
          <cell r="D3443" t="str">
            <v>kg</v>
          </cell>
          <cell r="E3443">
            <v>5.3999999999999999E-2</v>
          </cell>
          <cell r="F3443">
            <v>1000</v>
          </cell>
          <cell r="G3443">
            <v>54</v>
          </cell>
        </row>
        <row r="3444">
          <cell r="B3444">
            <v>117</v>
          </cell>
          <cell r="C3444" t="str">
            <v>Vật liệu khác</v>
          </cell>
          <cell r="D3444" t="str">
            <v>%</v>
          </cell>
          <cell r="E3444">
            <v>5</v>
          </cell>
          <cell r="G3444">
            <v>2.7</v>
          </cell>
        </row>
        <row r="3445">
          <cell r="C3445" t="str">
            <v>Nhân công</v>
          </cell>
          <cell r="G3445">
            <v>2548367.2282894738</v>
          </cell>
        </row>
        <row r="3446">
          <cell r="B3446" t="str">
            <v>NC1407</v>
          </cell>
          <cell r="C3446" t="str">
            <v>Ngày công bậc 4,0/7</v>
          </cell>
          <cell r="D3446" t="str">
            <v>công</v>
          </cell>
          <cell r="E3446">
            <v>13.09</v>
          </cell>
          <cell r="F3446">
            <v>194680.46052631579</v>
          </cell>
          <cell r="G3446">
            <v>2548367.2282894738</v>
          </cell>
        </row>
        <row r="3447">
          <cell r="A3447" t="str">
            <v>T4.1112</v>
          </cell>
          <cell r="C3447" t="str">
            <v>Kéo rải dây cáp trần lấy độ võng, tiết diện AC-&gt;800mm2</v>
          </cell>
          <cell r="D3447" t="str">
            <v>100m</v>
          </cell>
          <cell r="H3447">
            <v>56.7</v>
          </cell>
          <cell r="I3447">
            <v>2887111.2296052631</v>
          </cell>
        </row>
        <row r="3448">
          <cell r="C3448" t="str">
            <v>Vật liệu</v>
          </cell>
          <cell r="G3448">
            <v>56.7</v>
          </cell>
        </row>
        <row r="3449">
          <cell r="B3449">
            <v>30</v>
          </cell>
          <cell r="C3449" t="str">
            <v>Dây thép mạ kẽm fi 2-4</v>
          </cell>
          <cell r="D3449" t="str">
            <v>kg</v>
          </cell>
          <cell r="E3449">
            <v>5.3999999999999999E-2</v>
          </cell>
          <cell r="F3449">
            <v>1000</v>
          </cell>
          <cell r="G3449">
            <v>54</v>
          </cell>
        </row>
        <row r="3450">
          <cell r="B3450">
            <v>117</v>
          </cell>
          <cell r="C3450" t="str">
            <v>Vật liệu khác</v>
          </cell>
          <cell r="D3450" t="str">
            <v>%</v>
          </cell>
          <cell r="E3450">
            <v>5</v>
          </cell>
          <cell r="G3450">
            <v>2.7</v>
          </cell>
        </row>
        <row r="3451">
          <cell r="C3451" t="str">
            <v>Nhân công</v>
          </cell>
          <cell r="G3451">
            <v>2887111.2296052631</v>
          </cell>
        </row>
        <row r="3452">
          <cell r="B3452" t="str">
            <v>NC1407</v>
          </cell>
          <cell r="C3452" t="str">
            <v>Ngày công bậc 4,0/7</v>
          </cell>
          <cell r="D3452" t="str">
            <v>công</v>
          </cell>
          <cell r="E3452">
            <v>14.83</v>
          </cell>
          <cell r="F3452">
            <v>194680.46052631579</v>
          </cell>
          <cell r="G3452">
            <v>2887111.2296052631</v>
          </cell>
        </row>
        <row r="3453">
          <cell r="A3453" t="str">
            <v>T4.1201</v>
          </cell>
          <cell r="C3453" t="str">
            <v>Kéo rải dây chống sét và lấy độ võng trong phạm vi trạm, tiết điện dây 16mm2</v>
          </cell>
          <cell r="D3453" t="str">
            <v>10m</v>
          </cell>
          <cell r="H3453">
            <v>31.5</v>
          </cell>
          <cell r="I3453">
            <v>316745.10927631578</v>
          </cell>
        </row>
        <row r="3454">
          <cell r="C3454" t="str">
            <v>Vật liệu</v>
          </cell>
          <cell r="G3454">
            <v>31.5</v>
          </cell>
        </row>
        <row r="3455">
          <cell r="B3455">
            <v>30</v>
          </cell>
          <cell r="C3455" t="str">
            <v>Dây thép mạ kẽm fi 2-4</v>
          </cell>
          <cell r="D3455" t="str">
            <v>kg</v>
          </cell>
          <cell r="E3455">
            <v>0.03</v>
          </cell>
          <cell r="F3455">
            <v>1000</v>
          </cell>
          <cell r="G3455">
            <v>30</v>
          </cell>
        </row>
        <row r="3456">
          <cell r="B3456">
            <v>117</v>
          </cell>
          <cell r="C3456" t="str">
            <v>Vật liệu khác</v>
          </cell>
          <cell r="D3456" t="str">
            <v>%</v>
          </cell>
          <cell r="E3456">
            <v>5</v>
          </cell>
          <cell r="G3456">
            <v>1.5</v>
          </cell>
        </row>
        <row r="3457">
          <cell r="C3457" t="str">
            <v>Nhân công</v>
          </cell>
          <cell r="G3457">
            <v>316745.10927631578</v>
          </cell>
        </row>
        <row r="3458">
          <cell r="B3458" t="str">
            <v>NC1407</v>
          </cell>
          <cell r="C3458" t="str">
            <v>Ngày công bậc 4,0/7</v>
          </cell>
          <cell r="D3458" t="str">
            <v>công</v>
          </cell>
          <cell r="E3458">
            <v>1.627</v>
          </cell>
          <cell r="F3458">
            <v>194680.46052631579</v>
          </cell>
          <cell r="G3458">
            <v>316745.10927631578</v>
          </cell>
        </row>
        <row r="3459">
          <cell r="A3459" t="str">
            <v>T4.1202</v>
          </cell>
          <cell r="C3459" t="str">
            <v>Kéo rải dây chống sét và lấy độ võng trong phạm vi trạm, tiết điện dây 25mm2</v>
          </cell>
          <cell r="D3459" t="str">
            <v>10m</v>
          </cell>
          <cell r="H3459">
            <v>31.5</v>
          </cell>
          <cell r="I3459">
            <v>389360.92105263157</v>
          </cell>
        </row>
        <row r="3460">
          <cell r="C3460" t="str">
            <v>Vật liệu</v>
          </cell>
          <cell r="G3460">
            <v>31.5</v>
          </cell>
        </row>
        <row r="3461">
          <cell r="B3461">
            <v>30</v>
          </cell>
          <cell r="C3461" t="str">
            <v>Dây thép mạ kẽm fi 2-4</v>
          </cell>
          <cell r="D3461" t="str">
            <v>kg</v>
          </cell>
          <cell r="E3461">
            <v>0.03</v>
          </cell>
          <cell r="F3461">
            <v>1000</v>
          </cell>
          <cell r="G3461">
            <v>30</v>
          </cell>
        </row>
        <row r="3462">
          <cell r="B3462">
            <v>117</v>
          </cell>
          <cell r="C3462" t="str">
            <v>Vật liệu khác</v>
          </cell>
          <cell r="D3462" t="str">
            <v>%</v>
          </cell>
          <cell r="E3462">
            <v>5</v>
          </cell>
          <cell r="G3462">
            <v>1.5</v>
          </cell>
        </row>
        <row r="3463">
          <cell r="C3463" t="str">
            <v>Nhân công</v>
          </cell>
          <cell r="G3463">
            <v>389360.92105263157</v>
          </cell>
        </row>
        <row r="3464">
          <cell r="B3464" t="str">
            <v>NC1407</v>
          </cell>
          <cell r="C3464" t="str">
            <v>Ngày công bậc 4,0/7</v>
          </cell>
          <cell r="D3464" t="str">
            <v>công</v>
          </cell>
          <cell r="E3464">
            <v>2</v>
          </cell>
          <cell r="F3464">
            <v>194680.46052631579</v>
          </cell>
          <cell r="G3464">
            <v>389360.92105263157</v>
          </cell>
        </row>
        <row r="3465">
          <cell r="A3465" t="str">
            <v>T4.1203</v>
          </cell>
          <cell r="C3465" t="str">
            <v>Kéo rải dây chống sét và lấy độ võng trong phạm vi trạm, tiết điện dây 35mm2</v>
          </cell>
          <cell r="D3465" t="str">
            <v>10m</v>
          </cell>
          <cell r="H3465">
            <v>31.5</v>
          </cell>
          <cell r="I3465">
            <v>437836.35572368425</v>
          </cell>
        </row>
        <row r="3466">
          <cell r="C3466" t="str">
            <v>Vật liệu</v>
          </cell>
          <cell r="G3466">
            <v>31.5</v>
          </cell>
        </row>
        <row r="3467">
          <cell r="B3467">
            <v>30</v>
          </cell>
          <cell r="C3467" t="str">
            <v>Dây thép mạ kẽm fi 2-4</v>
          </cell>
          <cell r="D3467" t="str">
            <v>kg</v>
          </cell>
          <cell r="E3467">
            <v>0.03</v>
          </cell>
          <cell r="F3467">
            <v>1000</v>
          </cell>
          <cell r="G3467">
            <v>30</v>
          </cell>
        </row>
        <row r="3468">
          <cell r="B3468">
            <v>117</v>
          </cell>
          <cell r="C3468" t="str">
            <v>Vật liệu khác</v>
          </cell>
          <cell r="D3468" t="str">
            <v>%</v>
          </cell>
          <cell r="E3468">
            <v>5</v>
          </cell>
          <cell r="G3468">
            <v>1.5</v>
          </cell>
        </row>
        <row r="3469">
          <cell r="C3469" t="str">
            <v>Nhân công</v>
          </cell>
          <cell r="G3469">
            <v>437836.35572368425</v>
          </cell>
        </row>
        <row r="3470">
          <cell r="B3470" t="str">
            <v>NC1407</v>
          </cell>
          <cell r="C3470" t="str">
            <v>Ngày công bậc 4,0/7</v>
          </cell>
          <cell r="D3470" t="str">
            <v>công</v>
          </cell>
          <cell r="E3470">
            <v>2.2490000000000001</v>
          </cell>
          <cell r="F3470">
            <v>194680.46052631579</v>
          </cell>
          <cell r="G3470">
            <v>437836.35572368425</v>
          </cell>
        </row>
        <row r="3471">
          <cell r="A3471" t="str">
            <v>T4.1204</v>
          </cell>
          <cell r="C3471" t="str">
            <v>Kéo rải dây chống sét và lấy độ võng trong phạm vi trạm, tiết điện dây 50mm2</v>
          </cell>
          <cell r="D3471" t="str">
            <v>10m</v>
          </cell>
          <cell r="H3471">
            <v>31.5</v>
          </cell>
          <cell r="I3471">
            <v>490594.76052631577</v>
          </cell>
        </row>
        <row r="3472">
          <cell r="C3472" t="str">
            <v>Vật liệu</v>
          </cell>
          <cell r="G3472">
            <v>31.5</v>
          </cell>
        </row>
        <row r="3473">
          <cell r="B3473">
            <v>30</v>
          </cell>
          <cell r="C3473" t="str">
            <v>Dây thép mạ kẽm fi 2-4</v>
          </cell>
          <cell r="D3473" t="str">
            <v>kg</v>
          </cell>
          <cell r="E3473">
            <v>0.03</v>
          </cell>
          <cell r="F3473">
            <v>1000</v>
          </cell>
          <cell r="G3473">
            <v>30</v>
          </cell>
        </row>
        <row r="3474">
          <cell r="B3474">
            <v>117</v>
          </cell>
          <cell r="C3474" t="str">
            <v>Vật liệu khác</v>
          </cell>
          <cell r="D3474" t="str">
            <v>%</v>
          </cell>
          <cell r="E3474">
            <v>5</v>
          </cell>
          <cell r="G3474">
            <v>1.5</v>
          </cell>
        </row>
        <row r="3475">
          <cell r="C3475" t="str">
            <v>Nhân công</v>
          </cell>
          <cell r="G3475">
            <v>490594.76052631577</v>
          </cell>
        </row>
        <row r="3476">
          <cell r="B3476" t="str">
            <v>NC1407</v>
          </cell>
          <cell r="C3476" t="str">
            <v>Ngày công bậc 4,0/7</v>
          </cell>
          <cell r="D3476" t="str">
            <v>công</v>
          </cell>
          <cell r="E3476">
            <v>2.52</v>
          </cell>
          <cell r="F3476">
            <v>194680.46052631579</v>
          </cell>
          <cell r="G3476">
            <v>490594.76052631577</v>
          </cell>
        </row>
        <row r="3477">
          <cell r="A3477" t="str">
            <v>T4.1205</v>
          </cell>
          <cell r="C3477" t="str">
            <v>Kéo rải dây chống sét và lấy độ võng trong phạm vi trạm, tiết điện dây 70mm2</v>
          </cell>
          <cell r="D3477" t="str">
            <v>10m</v>
          </cell>
          <cell r="H3477">
            <v>31.5</v>
          </cell>
          <cell r="I3477">
            <v>588713.71263157891</v>
          </cell>
        </row>
        <row r="3478">
          <cell r="C3478" t="str">
            <v>Vật liệu</v>
          </cell>
          <cell r="G3478">
            <v>31.5</v>
          </cell>
        </row>
        <row r="3479">
          <cell r="B3479">
            <v>30</v>
          </cell>
          <cell r="C3479" t="str">
            <v>Dây thép mạ kẽm fi 2-4</v>
          </cell>
          <cell r="D3479" t="str">
            <v>kg</v>
          </cell>
          <cell r="E3479">
            <v>0.03</v>
          </cell>
          <cell r="F3479">
            <v>1000</v>
          </cell>
          <cell r="G3479">
            <v>30</v>
          </cell>
        </row>
        <row r="3480">
          <cell r="B3480">
            <v>117</v>
          </cell>
          <cell r="C3480" t="str">
            <v>Vật liệu khác</v>
          </cell>
          <cell r="D3480" t="str">
            <v>%</v>
          </cell>
          <cell r="E3480">
            <v>5</v>
          </cell>
          <cell r="G3480">
            <v>1.5</v>
          </cell>
        </row>
        <row r="3481">
          <cell r="C3481" t="str">
            <v>Nhân công</v>
          </cell>
          <cell r="G3481">
            <v>588713.71263157891</v>
          </cell>
        </row>
        <row r="3482">
          <cell r="B3482" t="str">
            <v>NC1407</v>
          </cell>
          <cell r="C3482" t="str">
            <v>Ngày công bậc 4,0/7</v>
          </cell>
          <cell r="D3482" t="str">
            <v>công</v>
          </cell>
          <cell r="E3482">
            <v>3.024</v>
          </cell>
          <cell r="F3482">
            <v>194680.46052631579</v>
          </cell>
          <cell r="G3482">
            <v>588713.71263157891</v>
          </cell>
        </row>
        <row r="3483">
          <cell r="A3483" t="str">
            <v>T4.2101</v>
          </cell>
          <cell r="C3483" t="str">
            <v>Lắp sứ chuỗi loại &lt;=2 bát/chuỗi</v>
          </cell>
          <cell r="D3483" t="str">
            <v>chuỗi</v>
          </cell>
          <cell r="H3483">
            <v>823.65</v>
          </cell>
          <cell r="I3483">
            <v>35042.482894736837</v>
          </cell>
        </row>
        <row r="3484">
          <cell r="C3484" t="str">
            <v>Vật liệu</v>
          </cell>
          <cell r="G3484">
            <v>823.65</v>
          </cell>
        </row>
        <row r="3485">
          <cell r="B3485">
            <v>1</v>
          </cell>
          <cell r="C3485" t="str">
            <v>Cồn công nghiệp</v>
          </cell>
          <cell r="D3485" t="str">
            <v>kg</v>
          </cell>
          <cell r="E3485">
            <v>7.4999999999999997E-2</v>
          </cell>
          <cell r="F3485">
            <v>9500</v>
          </cell>
          <cell r="G3485">
            <v>712.5</v>
          </cell>
        </row>
        <row r="3486">
          <cell r="B3486">
            <v>9</v>
          </cell>
          <cell r="C3486" t="str">
            <v>Giẻ lau</v>
          </cell>
          <cell r="D3486" t="str">
            <v>kg</v>
          </cell>
          <cell r="E3486">
            <v>0.01</v>
          </cell>
          <cell r="F3486">
            <v>9500</v>
          </cell>
          <cell r="G3486">
            <v>95</v>
          </cell>
        </row>
        <row r="3487">
          <cell r="B3487">
            <v>117</v>
          </cell>
          <cell r="C3487" t="str">
            <v>Vật liệu khác</v>
          </cell>
          <cell r="D3487" t="str">
            <v>%</v>
          </cell>
          <cell r="E3487">
            <v>2</v>
          </cell>
          <cell r="G3487">
            <v>16.149999999999999</v>
          </cell>
        </row>
        <row r="3488">
          <cell r="C3488" t="str">
            <v>Nhân công</v>
          </cell>
          <cell r="G3488">
            <v>35042.482894736837</v>
          </cell>
        </row>
        <row r="3489">
          <cell r="B3489" t="str">
            <v>NC1407</v>
          </cell>
          <cell r="C3489" t="str">
            <v>Ngày công bậc 4,0/7</v>
          </cell>
          <cell r="D3489" t="str">
            <v>công</v>
          </cell>
          <cell r="E3489">
            <v>0.18</v>
          </cell>
          <cell r="F3489">
            <v>194680.46052631579</v>
          </cell>
          <cell r="G3489">
            <v>35042.482894736837</v>
          </cell>
        </row>
        <row r="3490">
          <cell r="A3490" t="str">
            <v>T4.2102</v>
          </cell>
          <cell r="C3490" t="str">
            <v>Lắp sứ chuỗi loại &lt;=5 bát/chuỗi</v>
          </cell>
          <cell r="D3490" t="str">
            <v>chuỗi</v>
          </cell>
          <cell r="H3490">
            <v>1501.9500000000003</v>
          </cell>
          <cell r="I3490">
            <v>87606.207236842107</v>
          </cell>
        </row>
        <row r="3491">
          <cell r="C3491" t="str">
            <v>Vật liệu</v>
          </cell>
          <cell r="G3491">
            <v>1501.9500000000003</v>
          </cell>
        </row>
        <row r="3492">
          <cell r="B3492">
            <v>1</v>
          </cell>
          <cell r="C3492" t="str">
            <v>Cồn công nghiệp</v>
          </cell>
          <cell r="D3492" t="str">
            <v>kg</v>
          </cell>
          <cell r="E3492">
            <v>0.14000000000000001</v>
          </cell>
          <cell r="F3492">
            <v>9500</v>
          </cell>
          <cell r="G3492">
            <v>1330.0000000000002</v>
          </cell>
        </row>
        <row r="3493">
          <cell r="B3493">
            <v>9</v>
          </cell>
          <cell r="C3493" t="str">
            <v>Giẻ lau</v>
          </cell>
          <cell r="D3493" t="str">
            <v>kg</v>
          </cell>
          <cell r="E3493">
            <v>1.4999999999999999E-2</v>
          </cell>
          <cell r="F3493">
            <v>9500</v>
          </cell>
          <cell r="G3493">
            <v>142.5</v>
          </cell>
        </row>
        <row r="3494">
          <cell r="B3494">
            <v>117</v>
          </cell>
          <cell r="C3494" t="str">
            <v>Vật liệu khác</v>
          </cell>
          <cell r="D3494" t="str">
            <v>%</v>
          </cell>
          <cell r="E3494">
            <v>2</v>
          </cell>
          <cell r="G3494">
            <v>29.450000000000006</v>
          </cell>
        </row>
        <row r="3495">
          <cell r="C3495" t="str">
            <v>Nhân công</v>
          </cell>
          <cell r="G3495">
            <v>87606.207236842107</v>
          </cell>
        </row>
        <row r="3496">
          <cell r="B3496" t="str">
            <v>NC1407</v>
          </cell>
          <cell r="C3496" t="str">
            <v>Ngày công bậc 4,0/7</v>
          </cell>
          <cell r="D3496" t="str">
            <v>công</v>
          </cell>
          <cell r="E3496">
            <v>0.45</v>
          </cell>
          <cell r="F3496">
            <v>194680.46052631579</v>
          </cell>
          <cell r="G3496">
            <v>87606.207236842107</v>
          </cell>
        </row>
        <row r="3497">
          <cell r="A3497" t="str">
            <v>T4.2103</v>
          </cell>
          <cell r="C3497" t="str">
            <v>Lắp sứ chuỗi loại &lt;=8 bát/chuỗi</v>
          </cell>
          <cell r="D3497" t="str">
            <v>chuỗi</v>
          </cell>
          <cell r="H3497">
            <v>2364.36</v>
          </cell>
          <cell r="I3497">
            <v>138223.12697368421</v>
          </cell>
        </row>
        <row r="3498">
          <cell r="C3498" t="str">
            <v>Vật liệu</v>
          </cell>
          <cell r="G3498">
            <v>2364.36</v>
          </cell>
        </row>
        <row r="3499">
          <cell r="B3499">
            <v>1</v>
          </cell>
          <cell r="C3499" t="str">
            <v>Cồn công nghiệp</v>
          </cell>
          <cell r="D3499" t="str">
            <v>kg</v>
          </cell>
          <cell r="E3499">
            <v>0.224</v>
          </cell>
          <cell r="F3499">
            <v>9500</v>
          </cell>
          <cell r="G3499">
            <v>2128</v>
          </cell>
        </row>
        <row r="3500">
          <cell r="B3500">
            <v>9</v>
          </cell>
          <cell r="C3500" t="str">
            <v>Giẻ lau</v>
          </cell>
          <cell r="D3500" t="str">
            <v>kg</v>
          </cell>
          <cell r="E3500">
            <v>0.02</v>
          </cell>
          <cell r="F3500">
            <v>9500</v>
          </cell>
          <cell r="G3500">
            <v>190</v>
          </cell>
        </row>
        <row r="3501">
          <cell r="B3501">
            <v>117</v>
          </cell>
          <cell r="C3501" t="str">
            <v>Vật liệu khác</v>
          </cell>
          <cell r="D3501" t="str">
            <v>%</v>
          </cell>
          <cell r="E3501">
            <v>2</v>
          </cell>
          <cell r="G3501">
            <v>46.36</v>
          </cell>
        </row>
        <row r="3502">
          <cell r="C3502" t="str">
            <v>Nhân công</v>
          </cell>
          <cell r="G3502">
            <v>138223.12697368421</v>
          </cell>
        </row>
        <row r="3503">
          <cell r="B3503" t="str">
            <v>NC1407</v>
          </cell>
          <cell r="C3503" t="str">
            <v>Ngày công bậc 4,0/7</v>
          </cell>
          <cell r="D3503" t="str">
            <v>công</v>
          </cell>
          <cell r="E3503">
            <v>0.71</v>
          </cell>
          <cell r="F3503">
            <v>194680.46052631579</v>
          </cell>
          <cell r="G3503">
            <v>138223.12697368421</v>
          </cell>
        </row>
        <row r="3504">
          <cell r="A3504" t="str">
            <v>T4.2104</v>
          </cell>
          <cell r="C3504" t="str">
            <v>Lắp sứ chuỗi loại &lt;=11 bát/chuỗi</v>
          </cell>
          <cell r="D3504" t="str">
            <v>chuỗi</v>
          </cell>
          <cell r="H3504">
            <v>3226.77</v>
          </cell>
          <cell r="I3504">
            <v>196627.26513157896</v>
          </cell>
        </row>
        <row r="3505">
          <cell r="C3505" t="str">
            <v>Vật liệu</v>
          </cell>
          <cell r="G3505">
            <v>3226.77</v>
          </cell>
        </row>
        <row r="3506">
          <cell r="B3506">
            <v>1</v>
          </cell>
          <cell r="C3506" t="str">
            <v>Cồn công nghiệp</v>
          </cell>
          <cell r="D3506" t="str">
            <v>kg</v>
          </cell>
          <cell r="E3506">
            <v>0.308</v>
          </cell>
          <cell r="F3506">
            <v>9500</v>
          </cell>
          <cell r="G3506">
            <v>2926</v>
          </cell>
        </row>
        <row r="3507">
          <cell r="B3507">
            <v>9</v>
          </cell>
          <cell r="C3507" t="str">
            <v>Giẻ lau</v>
          </cell>
          <cell r="D3507" t="str">
            <v>kg</v>
          </cell>
          <cell r="E3507">
            <v>2.5000000000000001E-2</v>
          </cell>
          <cell r="F3507">
            <v>9500</v>
          </cell>
          <cell r="G3507">
            <v>237.5</v>
          </cell>
        </row>
        <row r="3508">
          <cell r="B3508">
            <v>117</v>
          </cell>
          <cell r="C3508" t="str">
            <v>Vật liệu khác</v>
          </cell>
          <cell r="D3508" t="str">
            <v>%</v>
          </cell>
          <cell r="E3508">
            <v>2</v>
          </cell>
          <cell r="G3508">
            <v>63.27</v>
          </cell>
        </row>
        <row r="3509">
          <cell r="C3509" t="str">
            <v>Nhân công</v>
          </cell>
          <cell r="G3509">
            <v>196627.26513157896</v>
          </cell>
        </row>
        <row r="3510">
          <cell r="B3510" t="str">
            <v>NC1407</v>
          </cell>
          <cell r="C3510" t="str">
            <v>Ngày công bậc 4,0/7</v>
          </cell>
          <cell r="D3510" t="str">
            <v>công</v>
          </cell>
          <cell r="E3510">
            <v>1.01</v>
          </cell>
          <cell r="F3510">
            <v>194680.46052631579</v>
          </cell>
          <cell r="G3510">
            <v>196627.26513157896</v>
          </cell>
        </row>
        <row r="3511">
          <cell r="A3511" t="str">
            <v>T4.2105</v>
          </cell>
          <cell r="C3511" t="str">
            <v>Lắp sứ chuỗi loại &lt;=14 bát/chuỗi</v>
          </cell>
          <cell r="D3511" t="str">
            <v>chuỗi</v>
          </cell>
          <cell r="H3511">
            <v>4089.18</v>
          </cell>
          <cell r="I3511">
            <v>249190.98947368423</v>
          </cell>
        </row>
        <row r="3512">
          <cell r="C3512" t="str">
            <v>Vật liệu</v>
          </cell>
          <cell r="G3512">
            <v>4089.18</v>
          </cell>
        </row>
        <row r="3513">
          <cell r="B3513">
            <v>1</v>
          </cell>
          <cell r="C3513" t="str">
            <v>Cồn công nghiệp</v>
          </cell>
          <cell r="D3513" t="str">
            <v>kg</v>
          </cell>
          <cell r="E3513">
            <v>0.39200000000000002</v>
          </cell>
          <cell r="F3513">
            <v>9500</v>
          </cell>
          <cell r="G3513">
            <v>3724</v>
          </cell>
        </row>
        <row r="3514">
          <cell r="B3514">
            <v>9</v>
          </cell>
          <cell r="C3514" t="str">
            <v>Giẻ lau</v>
          </cell>
          <cell r="D3514" t="str">
            <v>kg</v>
          </cell>
          <cell r="E3514">
            <v>0.03</v>
          </cell>
          <cell r="F3514">
            <v>9500</v>
          </cell>
          <cell r="G3514">
            <v>285</v>
          </cell>
        </row>
        <row r="3515">
          <cell r="B3515">
            <v>117</v>
          </cell>
          <cell r="C3515" t="str">
            <v>Vật liệu khác</v>
          </cell>
          <cell r="D3515" t="str">
            <v>%</v>
          </cell>
          <cell r="E3515">
            <v>2</v>
          </cell>
          <cell r="G3515">
            <v>80.180000000000007</v>
          </cell>
        </row>
        <row r="3516">
          <cell r="C3516" t="str">
            <v>Nhân công</v>
          </cell>
          <cell r="G3516">
            <v>249190.98947368423</v>
          </cell>
        </row>
        <row r="3517">
          <cell r="B3517" t="str">
            <v>NC1407</v>
          </cell>
          <cell r="C3517" t="str">
            <v>Ngày công bậc 4,0/7</v>
          </cell>
          <cell r="D3517" t="str">
            <v>công</v>
          </cell>
          <cell r="E3517">
            <v>1.28</v>
          </cell>
          <cell r="F3517">
            <v>194680.46052631579</v>
          </cell>
          <cell r="G3517">
            <v>249190.98947368423</v>
          </cell>
        </row>
        <row r="3518">
          <cell r="A3518" t="str">
            <v>T4.2106</v>
          </cell>
          <cell r="C3518" t="str">
            <v>Lắp sứ chuỗi loại &lt;=29 bát/chuỗi</v>
          </cell>
          <cell r="D3518" t="str">
            <v>chuỗi</v>
          </cell>
          <cell r="H3518">
            <v>8449.68</v>
          </cell>
          <cell r="I3518">
            <v>360158.85197368421</v>
          </cell>
        </row>
        <row r="3519">
          <cell r="C3519" t="str">
            <v>Vật liệu</v>
          </cell>
          <cell r="G3519">
            <v>8449.68</v>
          </cell>
        </row>
        <row r="3520">
          <cell r="B3520">
            <v>1</v>
          </cell>
          <cell r="C3520" t="str">
            <v>Cồn công nghiệp</v>
          </cell>
          <cell r="D3520" t="str">
            <v>kg</v>
          </cell>
          <cell r="E3520">
            <v>0.81200000000000006</v>
          </cell>
          <cell r="F3520">
            <v>9500</v>
          </cell>
          <cell r="G3520">
            <v>7714.0000000000009</v>
          </cell>
        </row>
        <row r="3521">
          <cell r="B3521">
            <v>9</v>
          </cell>
          <cell r="C3521" t="str">
            <v>Giẻ lau</v>
          </cell>
          <cell r="D3521" t="str">
            <v>kg</v>
          </cell>
          <cell r="E3521">
            <v>0.06</v>
          </cell>
          <cell r="F3521">
            <v>9500</v>
          </cell>
          <cell r="G3521">
            <v>570</v>
          </cell>
        </row>
        <row r="3522">
          <cell r="B3522">
            <v>117</v>
          </cell>
          <cell r="C3522" t="str">
            <v>Vật liệu khác</v>
          </cell>
          <cell r="D3522" t="str">
            <v>%</v>
          </cell>
          <cell r="E3522">
            <v>2</v>
          </cell>
          <cell r="G3522">
            <v>165.68</v>
          </cell>
        </row>
        <row r="3523">
          <cell r="C3523" t="str">
            <v>Nhân công</v>
          </cell>
          <cell r="G3523">
            <v>360158.85197368421</v>
          </cell>
        </row>
        <row r="3524">
          <cell r="B3524" t="str">
            <v>NC1407</v>
          </cell>
          <cell r="C3524" t="str">
            <v>Ngày công bậc 4,0/7</v>
          </cell>
          <cell r="D3524" t="str">
            <v>công</v>
          </cell>
          <cell r="E3524">
            <v>1.85</v>
          </cell>
          <cell r="F3524">
            <v>194680.46052631579</v>
          </cell>
          <cell r="G3524">
            <v>360158.85197368421</v>
          </cell>
        </row>
        <row r="3525">
          <cell r="A3525" t="str">
            <v>T4.2201</v>
          </cell>
          <cell r="C3525" t="str">
            <v>Lắp sứ đứng cấp điện áp 10-35KV</v>
          </cell>
          <cell r="D3525" t="str">
            <v>quả sứ</v>
          </cell>
          <cell r="H3525">
            <v>3003.9000000000005</v>
          </cell>
          <cell r="I3525">
            <v>44776.505921052631</v>
          </cell>
        </row>
        <row r="3526">
          <cell r="C3526" t="str">
            <v>Vật liệu</v>
          </cell>
          <cell r="G3526">
            <v>3003.9000000000005</v>
          </cell>
        </row>
        <row r="3527">
          <cell r="B3527">
            <v>1</v>
          </cell>
          <cell r="C3527" t="str">
            <v>Cồn công nghiệp</v>
          </cell>
          <cell r="D3527" t="str">
            <v>kg</v>
          </cell>
          <cell r="E3527">
            <v>0.28000000000000003</v>
          </cell>
          <cell r="F3527">
            <v>9500</v>
          </cell>
          <cell r="G3527">
            <v>2660.0000000000005</v>
          </cell>
        </row>
        <row r="3528">
          <cell r="B3528">
            <v>9</v>
          </cell>
          <cell r="C3528" t="str">
            <v>Giẻ lau</v>
          </cell>
          <cell r="D3528" t="str">
            <v>kg</v>
          </cell>
          <cell r="E3528">
            <v>0.03</v>
          </cell>
          <cell r="F3528">
            <v>9500</v>
          </cell>
          <cell r="G3528">
            <v>285</v>
          </cell>
        </row>
        <row r="3529">
          <cell r="B3529">
            <v>117</v>
          </cell>
          <cell r="C3529" t="str">
            <v>Vật liệu khác</v>
          </cell>
          <cell r="D3529" t="str">
            <v>%</v>
          </cell>
          <cell r="E3529">
            <v>2</v>
          </cell>
          <cell r="G3529">
            <v>58.900000000000013</v>
          </cell>
        </row>
        <row r="3530">
          <cell r="C3530" t="str">
            <v>Nhân công</v>
          </cell>
          <cell r="G3530">
            <v>44776.505921052631</v>
          </cell>
        </row>
        <row r="3531">
          <cell r="B3531" t="str">
            <v>NC1407</v>
          </cell>
          <cell r="C3531" t="str">
            <v>Ngày công bậc 4,0/7</v>
          </cell>
          <cell r="D3531" t="str">
            <v>công</v>
          </cell>
          <cell r="E3531">
            <v>0.23</v>
          </cell>
          <cell r="F3531">
            <v>194680.46052631579</v>
          </cell>
          <cell r="G3531">
            <v>44776.505921052631</v>
          </cell>
        </row>
        <row r="3532">
          <cell r="A3532" t="str">
            <v>T4.2202</v>
          </cell>
          <cell r="C3532" t="str">
            <v>Lắp sứ đứng cấp điện áp 110KV</v>
          </cell>
          <cell r="D3532" t="str">
            <v>quả sứ</v>
          </cell>
          <cell r="H3532">
            <v>6453.54</v>
          </cell>
          <cell r="I3532">
            <v>428297.01315789478</v>
          </cell>
          <cell r="J3532">
            <v>213964.96380000003</v>
          </cell>
        </row>
        <row r="3533">
          <cell r="C3533" t="str">
            <v>Vật liệu</v>
          </cell>
          <cell r="G3533">
            <v>6453.54</v>
          </cell>
        </row>
        <row r="3534">
          <cell r="B3534">
            <v>1</v>
          </cell>
          <cell r="C3534" t="str">
            <v>Cồn công nghiệp</v>
          </cell>
          <cell r="D3534" t="str">
            <v>kg</v>
          </cell>
          <cell r="E3534">
            <v>0.61599999999999999</v>
          </cell>
          <cell r="F3534">
            <v>9500</v>
          </cell>
          <cell r="G3534">
            <v>5852</v>
          </cell>
        </row>
        <row r="3535">
          <cell r="B3535">
            <v>9</v>
          </cell>
          <cell r="C3535" t="str">
            <v>Giẻ lau</v>
          </cell>
          <cell r="D3535" t="str">
            <v>kg</v>
          </cell>
          <cell r="E3535">
            <v>0.05</v>
          </cell>
          <cell r="F3535">
            <v>9500</v>
          </cell>
          <cell r="G3535">
            <v>475</v>
          </cell>
        </row>
        <row r="3536">
          <cell r="B3536">
            <v>117</v>
          </cell>
          <cell r="C3536" t="str">
            <v>Vật liệu khác</v>
          </cell>
          <cell r="D3536" t="str">
            <v>%</v>
          </cell>
          <cell r="E3536">
            <v>2</v>
          </cell>
          <cell r="G3536">
            <v>126.54</v>
          </cell>
        </row>
        <row r="3537">
          <cell r="C3537" t="str">
            <v>Nhân công</v>
          </cell>
          <cell r="G3537">
            <v>428297.01315789478</v>
          </cell>
        </row>
        <row r="3538">
          <cell r="B3538" t="str">
            <v>NC1407</v>
          </cell>
          <cell r="C3538" t="str">
            <v>Ngày công bậc 4,0/7</v>
          </cell>
          <cell r="D3538" t="str">
            <v>công</v>
          </cell>
          <cell r="E3538">
            <v>2.2000000000000002</v>
          </cell>
          <cell r="F3538">
            <v>194680.46052631579</v>
          </cell>
          <cell r="G3538">
            <v>428297.01315789478</v>
          </cell>
        </row>
        <row r="3539">
          <cell r="C3539" t="str">
            <v>Máy thi công</v>
          </cell>
          <cell r="G3539">
            <v>213964.96380000003</v>
          </cell>
        </row>
        <row r="3540">
          <cell r="B3540">
            <v>8015</v>
          </cell>
          <cell r="C3540" t="str">
            <v>Cần trục bánh hơi 5 tấn</v>
          </cell>
          <cell r="D3540" t="str">
            <v>công</v>
          </cell>
          <cell r="E3540">
            <v>0.15</v>
          </cell>
          <cell r="F3540">
            <v>1426433.0920000002</v>
          </cell>
          <cell r="G3540">
            <v>213964.96380000003</v>
          </cell>
        </row>
        <row r="3541">
          <cell r="A3541" t="str">
            <v>T4.2203</v>
          </cell>
          <cell r="C3541" t="str">
            <v>Lắp sứ đứng cấp điện áp 220KV</v>
          </cell>
          <cell r="D3541" t="str">
            <v>quả sứ</v>
          </cell>
          <cell r="H3541">
            <v>16899.36</v>
          </cell>
          <cell r="I3541">
            <v>622977.47368421056</v>
          </cell>
          <cell r="J3541">
            <v>427929.92760000005</v>
          </cell>
        </row>
        <row r="3542">
          <cell r="C3542" t="str">
            <v>Vật liệu</v>
          </cell>
          <cell r="G3542">
            <v>16899.36</v>
          </cell>
        </row>
        <row r="3543">
          <cell r="B3543">
            <v>1</v>
          </cell>
          <cell r="C3543" t="str">
            <v>Cồn công nghiệp</v>
          </cell>
          <cell r="D3543" t="str">
            <v>kg</v>
          </cell>
          <cell r="E3543">
            <v>1.6240000000000001</v>
          </cell>
          <cell r="F3543">
            <v>9500</v>
          </cell>
          <cell r="G3543">
            <v>15428.000000000002</v>
          </cell>
        </row>
        <row r="3544">
          <cell r="B3544">
            <v>9</v>
          </cell>
          <cell r="C3544" t="str">
            <v>Giẻ lau</v>
          </cell>
          <cell r="D3544" t="str">
            <v>kg</v>
          </cell>
          <cell r="E3544">
            <v>0.12</v>
          </cell>
          <cell r="F3544">
            <v>9500</v>
          </cell>
          <cell r="G3544">
            <v>1140</v>
          </cell>
        </row>
        <row r="3545">
          <cell r="B3545">
            <v>117</v>
          </cell>
          <cell r="C3545" t="str">
            <v>Vật liệu khác</v>
          </cell>
          <cell r="D3545" t="str">
            <v>%</v>
          </cell>
          <cell r="E3545">
            <v>2</v>
          </cell>
          <cell r="G3545">
            <v>331.36</v>
          </cell>
        </row>
        <row r="3546">
          <cell r="C3546" t="str">
            <v>Nhân công</v>
          </cell>
          <cell r="G3546">
            <v>622977.47368421056</v>
          </cell>
        </row>
        <row r="3547">
          <cell r="B3547" t="str">
            <v>NC1407</v>
          </cell>
          <cell r="C3547" t="str">
            <v>Ngày công bậc 4,0/7</v>
          </cell>
          <cell r="D3547" t="str">
            <v>công</v>
          </cell>
          <cell r="E3547">
            <v>3.2</v>
          </cell>
          <cell r="F3547">
            <v>194680.46052631579</v>
          </cell>
          <cell r="G3547">
            <v>622977.47368421056</v>
          </cell>
        </row>
        <row r="3548">
          <cell r="C3548" t="str">
            <v>Máy thi công</v>
          </cell>
          <cell r="G3548">
            <v>427929.92760000005</v>
          </cell>
        </row>
        <row r="3549">
          <cell r="B3549">
            <v>8015</v>
          </cell>
          <cell r="C3549" t="str">
            <v>Cần trục bánh hơi 5 tấn</v>
          </cell>
          <cell r="D3549" t="str">
            <v>công</v>
          </cell>
          <cell r="E3549">
            <v>0.3</v>
          </cell>
          <cell r="F3549">
            <v>1426433.0920000002</v>
          </cell>
          <cell r="G3549">
            <v>427929.92760000005</v>
          </cell>
        </row>
        <row r="3550">
          <cell r="A3550" t="str">
            <v>T4.2204</v>
          </cell>
          <cell r="C3550" t="str">
            <v>Lắp sứ đứng cấp điện áp 500KV</v>
          </cell>
          <cell r="D3550" t="str">
            <v>quả sứ</v>
          </cell>
          <cell r="H3550">
            <v>17926.5</v>
          </cell>
          <cell r="I3550">
            <v>1460103.4539473683</v>
          </cell>
          <cell r="J3550">
            <v>570573.23680000007</v>
          </cell>
        </row>
        <row r="3551">
          <cell r="C3551" t="str">
            <v>Vật liệu</v>
          </cell>
          <cell r="G3551">
            <v>17926.5</v>
          </cell>
        </row>
        <row r="3552">
          <cell r="B3552">
            <v>1</v>
          </cell>
          <cell r="C3552" t="str">
            <v>Cồn công nghiệp</v>
          </cell>
          <cell r="D3552" t="str">
            <v>kg</v>
          </cell>
          <cell r="E3552">
            <v>1.7</v>
          </cell>
          <cell r="F3552">
            <v>9500</v>
          </cell>
          <cell r="G3552">
            <v>16150</v>
          </cell>
        </row>
        <row r="3553">
          <cell r="B3553">
            <v>9</v>
          </cell>
          <cell r="C3553" t="str">
            <v>Giẻ lau</v>
          </cell>
          <cell r="D3553" t="str">
            <v>kg</v>
          </cell>
          <cell r="E3553">
            <v>0.15</v>
          </cell>
          <cell r="F3553">
            <v>9500</v>
          </cell>
          <cell r="G3553">
            <v>1425</v>
          </cell>
        </row>
        <row r="3554">
          <cell r="B3554">
            <v>117</v>
          </cell>
          <cell r="C3554" t="str">
            <v>Vật liệu khác</v>
          </cell>
          <cell r="D3554" t="str">
            <v>%</v>
          </cell>
          <cell r="E3554">
            <v>2</v>
          </cell>
          <cell r="G3554">
            <v>351.5</v>
          </cell>
        </row>
        <row r="3555">
          <cell r="C3555" t="str">
            <v>Nhân công</v>
          </cell>
          <cell r="G3555">
            <v>1460103.4539473683</v>
          </cell>
        </row>
        <row r="3556">
          <cell r="B3556" t="str">
            <v>NC1407</v>
          </cell>
          <cell r="C3556" t="str">
            <v>Ngày công bậc 4,0/7</v>
          </cell>
          <cell r="D3556" t="str">
            <v>công</v>
          </cell>
          <cell r="E3556">
            <v>7.5</v>
          </cell>
          <cell r="F3556">
            <v>194680.46052631579</v>
          </cell>
          <cell r="G3556">
            <v>1460103.4539473683</v>
          </cell>
        </row>
        <row r="3557">
          <cell r="C3557" t="str">
            <v>Máy thi công</v>
          </cell>
          <cell r="G3557">
            <v>570573.23680000007</v>
          </cell>
        </row>
        <row r="3558">
          <cell r="B3558">
            <v>8015</v>
          </cell>
          <cell r="C3558" t="str">
            <v>Cần trục bánh hơi 5 tấn</v>
          </cell>
          <cell r="D3558" t="str">
            <v>công</v>
          </cell>
          <cell r="E3558">
            <v>0.4</v>
          </cell>
          <cell r="F3558">
            <v>1426433.0920000002</v>
          </cell>
          <cell r="G3558">
            <v>570573.23680000007</v>
          </cell>
        </row>
        <row r="3559">
          <cell r="A3559" t="str">
            <v>T4.2301</v>
          </cell>
          <cell r="C3559" t="str">
            <v>Lắp sứ xuyên cấp điện áp 10-35KV</v>
          </cell>
          <cell r="D3559" t="str">
            <v>quả sứ</v>
          </cell>
          <cell r="H3559">
            <v>5256.8249999999998</v>
          </cell>
          <cell r="I3559">
            <v>111941.26480263157</v>
          </cell>
        </row>
        <row r="3560">
          <cell r="C3560" t="str">
            <v>Vật liệu</v>
          </cell>
          <cell r="G3560">
            <v>5256.8249999999998</v>
          </cell>
        </row>
        <row r="3561">
          <cell r="B3561">
            <v>1</v>
          </cell>
          <cell r="C3561" t="str">
            <v>Cồn công nghiệp</v>
          </cell>
          <cell r="D3561" t="str">
            <v>kg</v>
          </cell>
          <cell r="E3561">
            <v>0.47599999999999998</v>
          </cell>
          <cell r="F3561">
            <v>9500</v>
          </cell>
          <cell r="G3561">
            <v>4522</v>
          </cell>
        </row>
        <row r="3562">
          <cell r="B3562">
            <v>9</v>
          </cell>
          <cell r="C3562" t="str">
            <v>Giẻ lau</v>
          </cell>
          <cell r="D3562" t="str">
            <v>kg</v>
          </cell>
          <cell r="E3562">
            <v>5.0999999999999997E-2</v>
          </cell>
          <cell r="F3562">
            <v>9500</v>
          </cell>
          <cell r="G3562">
            <v>484.49999999999994</v>
          </cell>
        </row>
        <row r="3563">
          <cell r="B3563">
            <v>117</v>
          </cell>
          <cell r="C3563" t="str">
            <v>Vật liệu khác</v>
          </cell>
          <cell r="D3563" t="str">
            <v>%</v>
          </cell>
          <cell r="E3563">
            <v>5</v>
          </cell>
          <cell r="G3563">
            <v>250.32500000000002</v>
          </cell>
        </row>
        <row r="3564">
          <cell r="C3564" t="str">
            <v>Nhân công</v>
          </cell>
          <cell r="G3564">
            <v>111941.26480263157</v>
          </cell>
        </row>
        <row r="3565">
          <cell r="B3565" t="str">
            <v>NC1407</v>
          </cell>
          <cell r="C3565" t="str">
            <v>Ngày công bậc 4,0/7</v>
          </cell>
          <cell r="D3565" t="str">
            <v>công</v>
          </cell>
          <cell r="E3565">
            <v>0.57499999999999996</v>
          </cell>
          <cell r="F3565">
            <v>194680.46052631579</v>
          </cell>
          <cell r="G3565">
            <v>111941.26480263157</v>
          </cell>
        </row>
        <row r="3566">
          <cell r="A3566" t="str">
            <v>T4.2302</v>
          </cell>
          <cell r="C3566" t="str">
            <v>Lắp sứ xuyên cấp điện áp 110KV</v>
          </cell>
          <cell r="D3566" t="str">
            <v>quả sứ</v>
          </cell>
          <cell r="H3566">
            <v>11291.7</v>
          </cell>
          <cell r="I3566">
            <v>1070742.5328947369</v>
          </cell>
          <cell r="J3566">
            <v>534912.40950000007</v>
          </cell>
        </row>
        <row r="3567">
          <cell r="C3567" t="str">
            <v>Vật liệu</v>
          </cell>
          <cell r="G3567">
            <v>11291.7</v>
          </cell>
        </row>
        <row r="3568">
          <cell r="B3568">
            <v>1</v>
          </cell>
          <cell r="C3568" t="str">
            <v>Cồn công nghiệp</v>
          </cell>
          <cell r="D3568" t="str">
            <v>kg</v>
          </cell>
          <cell r="E3568">
            <v>1.0469999999999999</v>
          </cell>
          <cell r="F3568">
            <v>9500</v>
          </cell>
          <cell r="G3568">
            <v>9946.5</v>
          </cell>
        </row>
        <row r="3569">
          <cell r="B3569">
            <v>9</v>
          </cell>
          <cell r="C3569" t="str">
            <v>Giẻ lau</v>
          </cell>
          <cell r="D3569" t="str">
            <v>kg</v>
          </cell>
          <cell r="E3569">
            <v>8.5000000000000006E-2</v>
          </cell>
          <cell r="F3569">
            <v>9500</v>
          </cell>
          <cell r="G3569">
            <v>807.50000000000011</v>
          </cell>
        </row>
        <row r="3570">
          <cell r="B3570">
            <v>117</v>
          </cell>
          <cell r="C3570" t="str">
            <v>Vật liệu khác</v>
          </cell>
          <cell r="D3570" t="str">
            <v>%</v>
          </cell>
          <cell r="E3570">
            <v>5</v>
          </cell>
          <cell r="G3570">
            <v>537.70000000000005</v>
          </cell>
        </row>
        <row r="3571">
          <cell r="C3571" t="str">
            <v>Nhân công</v>
          </cell>
          <cell r="G3571">
            <v>1070742.5328947369</v>
          </cell>
        </row>
        <row r="3572">
          <cell r="B3572" t="str">
            <v>NC1407</v>
          </cell>
          <cell r="C3572" t="str">
            <v>Ngày công bậc 4,0/7</v>
          </cell>
          <cell r="D3572" t="str">
            <v>công</v>
          </cell>
          <cell r="E3572">
            <v>5.5</v>
          </cell>
          <cell r="F3572">
            <v>194680.46052631579</v>
          </cell>
          <cell r="G3572">
            <v>1070742.5328947369</v>
          </cell>
        </row>
        <row r="3573">
          <cell r="C3573" t="str">
            <v>Máy thi công</v>
          </cell>
          <cell r="G3573">
            <v>534912.40950000007</v>
          </cell>
        </row>
        <row r="3574">
          <cell r="B3574">
            <v>8015</v>
          </cell>
          <cell r="C3574" t="str">
            <v>Cần trục bánh hơi 5 tấn</v>
          </cell>
          <cell r="D3574" t="str">
            <v>công</v>
          </cell>
          <cell r="E3574">
            <v>0.375</v>
          </cell>
          <cell r="F3574">
            <v>1426433.0920000002</v>
          </cell>
          <cell r="G3574">
            <v>534912.40950000007</v>
          </cell>
        </row>
        <row r="3575">
          <cell r="A3575" t="str">
            <v>T4.2303</v>
          </cell>
          <cell r="C3575" t="str">
            <v>Lắp sứ xuyên cấp điện áp 220KV</v>
          </cell>
          <cell r="D3575" t="str">
            <v>quả sứ</v>
          </cell>
          <cell r="H3575">
            <v>29575.875</v>
          </cell>
          <cell r="I3575">
            <v>1557443.6842105263</v>
          </cell>
          <cell r="J3575">
            <v>1069824.8190000001</v>
          </cell>
        </row>
        <row r="3576">
          <cell r="C3576" t="str">
            <v>Vật liệu</v>
          </cell>
          <cell r="G3576">
            <v>29575.875</v>
          </cell>
        </row>
        <row r="3577">
          <cell r="B3577">
            <v>1</v>
          </cell>
          <cell r="C3577" t="str">
            <v>Cồn công nghiệp</v>
          </cell>
          <cell r="D3577" t="str">
            <v>kg</v>
          </cell>
          <cell r="E3577">
            <v>2.7610000000000001</v>
          </cell>
          <cell r="F3577">
            <v>9500</v>
          </cell>
          <cell r="G3577">
            <v>26229.5</v>
          </cell>
        </row>
        <row r="3578">
          <cell r="B3578">
            <v>9</v>
          </cell>
          <cell r="C3578" t="str">
            <v>Giẻ lau</v>
          </cell>
          <cell r="D3578" t="str">
            <v>kg</v>
          </cell>
          <cell r="E3578">
            <v>0.20399999999999999</v>
          </cell>
          <cell r="F3578">
            <v>9500</v>
          </cell>
          <cell r="G3578">
            <v>1937.9999999999998</v>
          </cell>
        </row>
        <row r="3579">
          <cell r="B3579">
            <v>117</v>
          </cell>
          <cell r="C3579" t="str">
            <v>Vật liệu khác</v>
          </cell>
          <cell r="D3579" t="str">
            <v>%</v>
          </cell>
          <cell r="E3579">
            <v>5</v>
          </cell>
          <cell r="G3579">
            <v>1408.375</v>
          </cell>
        </row>
        <row r="3580">
          <cell r="C3580" t="str">
            <v>Nhân công</v>
          </cell>
          <cell r="G3580">
            <v>1557443.6842105263</v>
          </cell>
        </row>
        <row r="3581">
          <cell r="B3581" t="str">
            <v>NC1407</v>
          </cell>
          <cell r="C3581" t="str">
            <v>Ngày công bậc 4,0/7</v>
          </cell>
          <cell r="D3581" t="str">
            <v>công</v>
          </cell>
          <cell r="E3581">
            <v>8</v>
          </cell>
          <cell r="F3581">
            <v>194680.46052631579</v>
          </cell>
          <cell r="G3581">
            <v>1557443.6842105263</v>
          </cell>
        </row>
        <row r="3582">
          <cell r="C3582" t="str">
            <v>Máy thi công</v>
          </cell>
          <cell r="G3582">
            <v>1069824.8190000001</v>
          </cell>
        </row>
        <row r="3583">
          <cell r="B3583">
            <v>8015</v>
          </cell>
          <cell r="C3583" t="str">
            <v>Cần trục bánh hơi 5 tấn</v>
          </cell>
          <cell r="D3583" t="str">
            <v>công</v>
          </cell>
          <cell r="E3583">
            <v>0.75</v>
          </cell>
          <cell r="F3583">
            <v>1426433.0920000002</v>
          </cell>
          <cell r="G3583">
            <v>1069824.8190000001</v>
          </cell>
        </row>
        <row r="3584">
          <cell r="A3584" t="str">
            <v>T4.2304</v>
          </cell>
          <cell r="C3584" t="str">
            <v>Lắp sứ xuyên cấp điện áp 500KV</v>
          </cell>
          <cell r="D3584" t="str">
            <v>quả sứ</v>
          </cell>
          <cell r="H3584">
            <v>31371.375</v>
          </cell>
          <cell r="I3584">
            <v>3650258.6348684211</v>
          </cell>
          <cell r="J3584">
            <v>1426433.0920000002</v>
          </cell>
        </row>
        <row r="3585">
          <cell r="C3585" t="str">
            <v>Vật liệu</v>
          </cell>
          <cell r="G3585">
            <v>31371.375</v>
          </cell>
        </row>
        <row r="3586">
          <cell r="B3586">
            <v>1</v>
          </cell>
          <cell r="C3586" t="str">
            <v>Cồn công nghiệp</v>
          </cell>
          <cell r="D3586" t="str">
            <v>kg</v>
          </cell>
          <cell r="E3586">
            <v>2.89</v>
          </cell>
          <cell r="F3586">
            <v>9500</v>
          </cell>
          <cell r="G3586">
            <v>27455</v>
          </cell>
        </row>
        <row r="3587">
          <cell r="B3587">
            <v>9</v>
          </cell>
          <cell r="C3587" t="str">
            <v>Giẻ lau</v>
          </cell>
          <cell r="D3587" t="str">
            <v>kg</v>
          </cell>
          <cell r="E3587">
            <v>0.255</v>
          </cell>
          <cell r="F3587">
            <v>9500</v>
          </cell>
          <cell r="G3587">
            <v>2422.5</v>
          </cell>
        </row>
        <row r="3588">
          <cell r="B3588">
            <v>117</v>
          </cell>
          <cell r="C3588" t="str">
            <v>Vật liệu khác</v>
          </cell>
          <cell r="D3588" t="str">
            <v>%</v>
          </cell>
          <cell r="E3588">
            <v>5</v>
          </cell>
          <cell r="G3588">
            <v>1493.875</v>
          </cell>
        </row>
        <row r="3589">
          <cell r="C3589" t="str">
            <v>Nhân công</v>
          </cell>
          <cell r="G3589">
            <v>3650258.6348684211</v>
          </cell>
        </row>
        <row r="3590">
          <cell r="B3590" t="str">
            <v>NC1407</v>
          </cell>
          <cell r="C3590" t="str">
            <v>Ngày công bậc 4,0/7</v>
          </cell>
          <cell r="D3590" t="str">
            <v>công</v>
          </cell>
          <cell r="E3590">
            <v>18.75</v>
          </cell>
          <cell r="F3590">
            <v>194680.46052631579</v>
          </cell>
          <cell r="G3590">
            <v>3650258.6348684211</v>
          </cell>
        </row>
        <row r="3591">
          <cell r="C3591" t="str">
            <v>Máy thi công</v>
          </cell>
          <cell r="G3591">
            <v>1426433.0920000002</v>
          </cell>
        </row>
        <row r="3592">
          <cell r="B3592">
            <v>8015</v>
          </cell>
          <cell r="C3592" t="str">
            <v>Cần trục bánh hơi 5 tấn</v>
          </cell>
          <cell r="D3592" t="str">
            <v>công</v>
          </cell>
          <cell r="E3592">
            <v>1</v>
          </cell>
          <cell r="F3592">
            <v>1426433.0920000002</v>
          </cell>
          <cell r="G3592">
            <v>1426433.0920000002</v>
          </cell>
        </row>
        <row r="3593">
          <cell r="A3593" t="str">
            <v>T4.3001</v>
          </cell>
          <cell r="C3593" t="str">
            <v>Lắp tạ bù loại 50kg</v>
          </cell>
          <cell r="D3593" t="str">
            <v>bộ</v>
          </cell>
          <cell r="H3593">
            <v>522.5</v>
          </cell>
          <cell r="I3593">
            <v>103180.64407894737</v>
          </cell>
        </row>
        <row r="3594">
          <cell r="C3594" t="str">
            <v>Vật liệu</v>
          </cell>
          <cell r="G3594">
            <v>522.5</v>
          </cell>
        </row>
        <row r="3595">
          <cell r="B3595">
            <v>9</v>
          </cell>
          <cell r="C3595" t="str">
            <v>Giẻ lau</v>
          </cell>
          <cell r="D3595" t="str">
            <v>kg</v>
          </cell>
          <cell r="E3595">
            <v>0.05</v>
          </cell>
          <cell r="F3595">
            <v>9500</v>
          </cell>
          <cell r="G3595">
            <v>475</v>
          </cell>
        </row>
        <row r="3596">
          <cell r="B3596">
            <v>117</v>
          </cell>
          <cell r="C3596" t="str">
            <v>Vật liệu khác</v>
          </cell>
          <cell r="D3596" t="str">
            <v>%</v>
          </cell>
          <cell r="E3596">
            <v>10</v>
          </cell>
          <cell r="G3596">
            <v>47.5</v>
          </cell>
        </row>
        <row r="3597">
          <cell r="C3597" t="str">
            <v>Nhân công</v>
          </cell>
          <cell r="G3597">
            <v>103180.64407894737</v>
          </cell>
        </row>
        <row r="3598">
          <cell r="B3598" t="str">
            <v>NC1407</v>
          </cell>
          <cell r="C3598" t="str">
            <v>Ngày công bậc 4,0/7</v>
          </cell>
          <cell r="D3598" t="str">
            <v>công</v>
          </cell>
          <cell r="E3598">
            <v>0.53</v>
          </cell>
          <cell r="F3598">
            <v>194680.46052631579</v>
          </cell>
          <cell r="G3598">
            <v>103180.64407894737</v>
          </cell>
        </row>
        <row r="3599">
          <cell r="A3599" t="str">
            <v>T4.3002</v>
          </cell>
          <cell r="C3599" t="str">
            <v>Lắp tạ chống rung</v>
          </cell>
          <cell r="D3599" t="str">
            <v>bộ</v>
          </cell>
          <cell r="H3599">
            <v>522.5</v>
          </cell>
          <cell r="I3599">
            <v>81765.793421052629</v>
          </cell>
        </row>
        <row r="3600">
          <cell r="C3600" t="str">
            <v>Vật liệu</v>
          </cell>
          <cell r="G3600">
            <v>522.5</v>
          </cell>
        </row>
        <row r="3601">
          <cell r="B3601">
            <v>9</v>
          </cell>
          <cell r="C3601" t="str">
            <v>Giẻ lau</v>
          </cell>
          <cell r="D3601" t="str">
            <v>kg</v>
          </cell>
          <cell r="E3601">
            <v>0.05</v>
          </cell>
          <cell r="F3601">
            <v>9500</v>
          </cell>
          <cell r="G3601">
            <v>475</v>
          </cell>
        </row>
        <row r="3602">
          <cell r="B3602">
            <v>117</v>
          </cell>
          <cell r="C3602" t="str">
            <v>Vật liệu khác</v>
          </cell>
          <cell r="D3602" t="str">
            <v>%</v>
          </cell>
          <cell r="E3602">
            <v>10</v>
          </cell>
          <cell r="G3602">
            <v>47.5</v>
          </cell>
        </row>
        <row r="3603">
          <cell r="C3603" t="str">
            <v>Nhân công</v>
          </cell>
          <cell r="G3603">
            <v>81765.793421052629</v>
          </cell>
        </row>
        <row r="3604">
          <cell r="B3604" t="str">
            <v>NC1407</v>
          </cell>
          <cell r="C3604" t="str">
            <v>Ngày công bậc 4,0/7</v>
          </cell>
          <cell r="D3604" t="str">
            <v>công</v>
          </cell>
          <cell r="E3604">
            <v>0.42</v>
          </cell>
          <cell r="F3604">
            <v>194680.46052631579</v>
          </cell>
          <cell r="G3604">
            <v>81765.793421052629</v>
          </cell>
        </row>
        <row r="3605">
          <cell r="A3605" t="str">
            <v>T4.3003</v>
          </cell>
          <cell r="C3605" t="str">
            <v>Lắp thu lôi ống</v>
          </cell>
          <cell r="D3605" t="str">
            <v>bộ</v>
          </cell>
          <cell r="H3605">
            <v>1567.5</v>
          </cell>
          <cell r="I3605">
            <v>107074.25328947369</v>
          </cell>
        </row>
        <row r="3606">
          <cell r="C3606" t="str">
            <v>Vật liệu</v>
          </cell>
          <cell r="G3606">
            <v>1567.5</v>
          </cell>
        </row>
        <row r="3607">
          <cell r="B3607">
            <v>9</v>
          </cell>
          <cell r="C3607" t="str">
            <v>Giẻ lau</v>
          </cell>
          <cell r="D3607" t="str">
            <v>kg</v>
          </cell>
          <cell r="E3607">
            <v>0.15</v>
          </cell>
          <cell r="F3607">
            <v>9500</v>
          </cell>
          <cell r="G3607">
            <v>1425</v>
          </cell>
        </row>
        <row r="3608">
          <cell r="B3608">
            <v>117</v>
          </cell>
          <cell r="C3608" t="str">
            <v>Vật liệu khác</v>
          </cell>
          <cell r="D3608" t="str">
            <v>%</v>
          </cell>
          <cell r="E3608">
            <v>10</v>
          </cell>
          <cell r="G3608">
            <v>142.5</v>
          </cell>
        </row>
        <row r="3609">
          <cell r="C3609" t="str">
            <v>Nhân công</v>
          </cell>
          <cell r="G3609">
            <v>107074.25328947369</v>
          </cell>
        </row>
        <row r="3610">
          <cell r="B3610" t="str">
            <v>NC1407</v>
          </cell>
          <cell r="C3610" t="str">
            <v>Ngày công bậc 4,0/7</v>
          </cell>
          <cell r="D3610" t="str">
            <v>công</v>
          </cell>
          <cell r="E3610">
            <v>0.55000000000000004</v>
          </cell>
          <cell r="F3610">
            <v>194680.46052631579</v>
          </cell>
          <cell r="G3610">
            <v>107074.25328947369</v>
          </cell>
        </row>
        <row r="3611">
          <cell r="A3611" t="str">
            <v>T4.3004</v>
          </cell>
          <cell r="C3611" t="str">
            <v>Lắp mỏ phóng</v>
          </cell>
          <cell r="D3611" t="str">
            <v>bộ</v>
          </cell>
          <cell r="H3611">
            <v>1567.5</v>
          </cell>
          <cell r="I3611">
            <v>64244.551973684211</v>
          </cell>
        </row>
        <row r="3612">
          <cell r="C3612" t="str">
            <v>Vật liệu</v>
          </cell>
          <cell r="G3612">
            <v>1567.5</v>
          </cell>
        </row>
        <row r="3613">
          <cell r="B3613">
            <v>9</v>
          </cell>
          <cell r="C3613" t="str">
            <v>Giẻ lau</v>
          </cell>
          <cell r="D3613" t="str">
            <v>kg</v>
          </cell>
          <cell r="E3613">
            <v>0.15</v>
          </cell>
          <cell r="F3613">
            <v>9500</v>
          </cell>
          <cell r="G3613">
            <v>1425</v>
          </cell>
        </row>
        <row r="3614">
          <cell r="B3614">
            <v>117</v>
          </cell>
          <cell r="C3614" t="str">
            <v>Vật liệu khác</v>
          </cell>
          <cell r="D3614" t="str">
            <v>%</v>
          </cell>
          <cell r="E3614">
            <v>10</v>
          </cell>
          <cell r="G3614">
            <v>142.5</v>
          </cell>
        </row>
        <row r="3615">
          <cell r="C3615" t="str">
            <v>Nhân công</v>
          </cell>
          <cell r="G3615">
            <v>64244.551973684211</v>
          </cell>
        </row>
        <row r="3616">
          <cell r="B3616" t="str">
            <v>NC1407</v>
          </cell>
          <cell r="C3616" t="str">
            <v>Ngày công bậc 4,0/7</v>
          </cell>
          <cell r="D3616" t="str">
            <v>công</v>
          </cell>
          <cell r="E3616">
            <v>0.33</v>
          </cell>
          <cell r="F3616">
            <v>194680.46052631579</v>
          </cell>
          <cell r="G3616">
            <v>64244.551973684211</v>
          </cell>
        </row>
        <row r="3617">
          <cell r="A3617" t="str">
            <v>T4.3005</v>
          </cell>
          <cell r="C3617" t="str">
            <v>Lắp khoá các loại</v>
          </cell>
          <cell r="D3617" t="str">
            <v>bộ</v>
          </cell>
          <cell r="H3617">
            <v>2313.1999999999998</v>
          </cell>
          <cell r="I3617">
            <v>107074.25328947369</v>
          </cell>
        </row>
        <row r="3618">
          <cell r="C3618" t="str">
            <v>Vật liệu</v>
          </cell>
          <cell r="G3618">
            <v>2313.1999999999998</v>
          </cell>
        </row>
        <row r="3619">
          <cell r="B3619">
            <v>9</v>
          </cell>
          <cell r="C3619" t="str">
            <v>Giẻ lau</v>
          </cell>
          <cell r="D3619" t="str">
            <v>kg</v>
          </cell>
          <cell r="E3619">
            <v>0.05</v>
          </cell>
          <cell r="F3619">
            <v>9500</v>
          </cell>
          <cell r="G3619">
            <v>475</v>
          </cell>
        </row>
        <row r="3620">
          <cell r="B3620">
            <v>3</v>
          </cell>
          <cell r="C3620" t="str">
            <v>Xăng</v>
          </cell>
          <cell r="D3620" t="str">
            <v>kg</v>
          </cell>
          <cell r="E3620">
            <v>0.1</v>
          </cell>
          <cell r="F3620">
            <v>18382</v>
          </cell>
          <cell r="G3620">
            <v>1838.2</v>
          </cell>
        </row>
        <row r="3621">
          <cell r="B3621">
            <v>117</v>
          </cell>
          <cell r="C3621" t="str">
            <v>Vật liệu khác</v>
          </cell>
          <cell r="D3621" t="str">
            <v>%</v>
          </cell>
          <cell r="E3621">
            <v>10</v>
          </cell>
          <cell r="G3621">
            <v>183.82000000000002</v>
          </cell>
        </row>
        <row r="3622">
          <cell r="C3622" t="str">
            <v>Nhân công</v>
          </cell>
          <cell r="G3622">
            <v>107074.25328947369</v>
          </cell>
        </row>
        <row r="3623">
          <cell r="B3623" t="str">
            <v>NC1407</v>
          </cell>
          <cell r="C3623" t="str">
            <v>Ngày công bậc 4,0/7</v>
          </cell>
          <cell r="D3623" t="str">
            <v>công</v>
          </cell>
          <cell r="E3623">
            <v>0.55000000000000004</v>
          </cell>
          <cell r="F3623">
            <v>194680.46052631579</v>
          </cell>
          <cell r="G3623">
            <v>107074.25328947369</v>
          </cell>
        </row>
        <row r="3624">
          <cell r="A3624" t="str">
            <v>T4.3006</v>
          </cell>
          <cell r="C3624" t="str">
            <v>Đầu cốt ép các loại</v>
          </cell>
          <cell r="D3624" t="str">
            <v>bộ</v>
          </cell>
          <cell r="H3624">
            <v>2313.1999999999998</v>
          </cell>
          <cell r="I3624">
            <v>107074.25328947369</v>
          </cell>
        </row>
        <row r="3625">
          <cell r="C3625" t="str">
            <v>Vật liệu</v>
          </cell>
          <cell r="G3625">
            <v>2313.1999999999998</v>
          </cell>
        </row>
        <row r="3626">
          <cell r="B3626">
            <v>9</v>
          </cell>
          <cell r="C3626" t="str">
            <v>Giẻ lau</v>
          </cell>
          <cell r="D3626" t="str">
            <v>kg</v>
          </cell>
          <cell r="E3626">
            <v>0.05</v>
          </cell>
          <cell r="F3626">
            <v>9500</v>
          </cell>
          <cell r="G3626">
            <v>475</v>
          </cell>
        </row>
        <row r="3627">
          <cell r="B3627">
            <v>3</v>
          </cell>
          <cell r="C3627" t="str">
            <v>Xăng</v>
          </cell>
          <cell r="D3627" t="str">
            <v>kg</v>
          </cell>
          <cell r="E3627">
            <v>0.1</v>
          </cell>
          <cell r="F3627">
            <v>18382</v>
          </cell>
          <cell r="G3627">
            <v>1838.2</v>
          </cell>
        </row>
        <row r="3628">
          <cell r="B3628">
            <v>117</v>
          </cell>
          <cell r="C3628" t="str">
            <v>Vật liệu khác</v>
          </cell>
          <cell r="D3628" t="str">
            <v>%</v>
          </cell>
          <cell r="E3628">
            <v>10</v>
          </cell>
          <cell r="G3628">
            <v>183.82000000000002</v>
          </cell>
        </row>
        <row r="3629">
          <cell r="C3629" t="str">
            <v>Nhân công</v>
          </cell>
          <cell r="G3629">
            <v>107074.25328947369</v>
          </cell>
        </row>
        <row r="3630">
          <cell r="B3630" t="str">
            <v>NC1407</v>
          </cell>
          <cell r="C3630" t="str">
            <v>Ngày công bậc 4,0/7</v>
          </cell>
          <cell r="D3630" t="str">
            <v>công</v>
          </cell>
          <cell r="E3630">
            <v>0.55000000000000004</v>
          </cell>
          <cell r="F3630">
            <v>194680.46052631579</v>
          </cell>
          <cell r="G3630">
            <v>107074.25328947369</v>
          </cell>
        </row>
        <row r="3631">
          <cell r="A3631" t="str">
            <v>T4.3007</v>
          </cell>
          <cell r="C3631" t="str">
            <v>Lắp đặt kẹp các loại</v>
          </cell>
          <cell r="D3631" t="str">
            <v>bộ</v>
          </cell>
          <cell r="H3631">
            <v>2313.1999999999998</v>
          </cell>
          <cell r="I3631">
            <v>81765.793421052629</v>
          </cell>
        </row>
        <row r="3632">
          <cell r="C3632" t="str">
            <v>Vật liệu</v>
          </cell>
          <cell r="G3632">
            <v>2313.1999999999998</v>
          </cell>
        </row>
        <row r="3633">
          <cell r="B3633">
            <v>9</v>
          </cell>
          <cell r="C3633" t="str">
            <v>Giẻ lau</v>
          </cell>
          <cell r="D3633" t="str">
            <v>kg</v>
          </cell>
          <cell r="E3633">
            <v>0.05</v>
          </cell>
          <cell r="F3633">
            <v>9500</v>
          </cell>
          <cell r="G3633">
            <v>475</v>
          </cell>
        </row>
        <row r="3634">
          <cell r="B3634">
            <v>3</v>
          </cell>
          <cell r="C3634" t="str">
            <v>Xăng</v>
          </cell>
          <cell r="D3634" t="str">
            <v>kg</v>
          </cell>
          <cell r="E3634">
            <v>0.1</v>
          </cell>
          <cell r="F3634">
            <v>18382</v>
          </cell>
          <cell r="G3634">
            <v>1838.2</v>
          </cell>
        </row>
        <row r="3635">
          <cell r="B3635">
            <v>117</v>
          </cell>
          <cell r="C3635" t="str">
            <v>Vật liệu khác</v>
          </cell>
          <cell r="D3635" t="str">
            <v>%</v>
          </cell>
          <cell r="E3635">
            <v>10</v>
          </cell>
          <cell r="G3635">
            <v>183.82000000000002</v>
          </cell>
        </row>
        <row r="3636">
          <cell r="C3636" t="str">
            <v>Nhân công</v>
          </cell>
          <cell r="G3636">
            <v>81765.793421052629</v>
          </cell>
        </row>
        <row r="3637">
          <cell r="B3637" t="str">
            <v>NC1407</v>
          </cell>
          <cell r="C3637" t="str">
            <v>Ngày công bậc 4,0/7</v>
          </cell>
          <cell r="D3637" t="str">
            <v>công</v>
          </cell>
          <cell r="E3637">
            <v>0.42</v>
          </cell>
          <cell r="F3637">
            <v>194680.46052631579</v>
          </cell>
          <cell r="G3637">
            <v>81765.793421052629</v>
          </cell>
        </row>
        <row r="3638">
          <cell r="A3638" t="str">
            <v>T4.3008</v>
          </cell>
          <cell r="C3638" t="str">
            <v>Lắp đặt khung định vị</v>
          </cell>
          <cell r="D3638" t="str">
            <v>bộ</v>
          </cell>
          <cell r="H3638">
            <v>2313.1999999999998</v>
          </cell>
          <cell r="I3638">
            <v>107074.25328947369</v>
          </cell>
        </row>
        <row r="3639">
          <cell r="C3639" t="str">
            <v>Vật liệu</v>
          </cell>
          <cell r="G3639">
            <v>2313.1999999999998</v>
          </cell>
        </row>
        <row r="3640">
          <cell r="B3640">
            <v>9</v>
          </cell>
          <cell r="C3640" t="str">
            <v>Giẻ lau</v>
          </cell>
          <cell r="D3640" t="str">
            <v>kg</v>
          </cell>
          <cell r="E3640">
            <v>0.05</v>
          </cell>
          <cell r="F3640">
            <v>9500</v>
          </cell>
          <cell r="G3640">
            <v>475</v>
          </cell>
        </row>
        <row r="3641">
          <cell r="B3641">
            <v>3</v>
          </cell>
          <cell r="C3641" t="str">
            <v>Xăng</v>
          </cell>
          <cell r="D3641" t="str">
            <v>kg</v>
          </cell>
          <cell r="E3641">
            <v>0.1</v>
          </cell>
          <cell r="F3641">
            <v>18382</v>
          </cell>
          <cell r="G3641">
            <v>1838.2</v>
          </cell>
        </row>
        <row r="3642">
          <cell r="B3642">
            <v>117</v>
          </cell>
          <cell r="C3642" t="str">
            <v>Vật liệu khác</v>
          </cell>
          <cell r="D3642" t="str">
            <v>%</v>
          </cell>
          <cell r="E3642">
            <v>10</v>
          </cell>
          <cell r="G3642">
            <v>183.82000000000002</v>
          </cell>
        </row>
        <row r="3643">
          <cell r="C3643" t="str">
            <v>Nhân công</v>
          </cell>
          <cell r="G3643">
            <v>107074.25328947369</v>
          </cell>
        </row>
        <row r="3644">
          <cell r="B3644" t="str">
            <v>NC1407</v>
          </cell>
          <cell r="C3644" t="str">
            <v>Ngày công bậc 4,0/7</v>
          </cell>
          <cell r="D3644" t="str">
            <v>công</v>
          </cell>
          <cell r="E3644">
            <v>0.55000000000000004</v>
          </cell>
          <cell r="F3644">
            <v>194680.46052631579</v>
          </cell>
          <cell r="G3644">
            <v>107074.25328947369</v>
          </cell>
        </row>
        <row r="3645">
          <cell r="A3645" t="str">
            <v>T4.3009</v>
          </cell>
          <cell r="C3645" t="str">
            <v>Lắp đặt phụ kiện thanh cái</v>
          </cell>
          <cell r="D3645" t="str">
            <v>bộ</v>
          </cell>
          <cell r="H3645">
            <v>2313.1999999999998</v>
          </cell>
          <cell r="I3645">
            <v>81765.793421052629</v>
          </cell>
        </row>
        <row r="3646">
          <cell r="C3646" t="str">
            <v>Vật liệu</v>
          </cell>
          <cell r="G3646">
            <v>2313.1999999999998</v>
          </cell>
        </row>
        <row r="3647">
          <cell r="B3647">
            <v>9</v>
          </cell>
          <cell r="C3647" t="str">
            <v>Giẻ lau</v>
          </cell>
          <cell r="D3647" t="str">
            <v>kg</v>
          </cell>
          <cell r="E3647">
            <v>0.05</v>
          </cell>
          <cell r="F3647">
            <v>9500</v>
          </cell>
          <cell r="G3647">
            <v>475</v>
          </cell>
        </row>
        <row r="3648">
          <cell r="B3648">
            <v>3</v>
          </cell>
          <cell r="C3648" t="str">
            <v>Xăng</v>
          </cell>
          <cell r="D3648" t="str">
            <v>kg</v>
          </cell>
          <cell r="E3648">
            <v>0.1</v>
          </cell>
          <cell r="F3648">
            <v>18382</v>
          </cell>
          <cell r="G3648">
            <v>1838.2</v>
          </cell>
        </row>
        <row r="3649">
          <cell r="B3649">
            <v>117</v>
          </cell>
          <cell r="C3649" t="str">
            <v>Vật liệu khác</v>
          </cell>
          <cell r="D3649" t="str">
            <v>%</v>
          </cell>
          <cell r="E3649">
            <v>10</v>
          </cell>
          <cell r="G3649">
            <v>183.82000000000002</v>
          </cell>
        </row>
        <row r="3650">
          <cell r="C3650" t="str">
            <v>Nhân công</v>
          </cell>
          <cell r="G3650">
            <v>81765.793421052629</v>
          </cell>
        </row>
        <row r="3651">
          <cell r="B3651" t="str">
            <v>NC1407</v>
          </cell>
          <cell r="C3651" t="str">
            <v>Ngày công bậc 4,0/7</v>
          </cell>
          <cell r="D3651" t="str">
            <v>công</v>
          </cell>
          <cell r="E3651">
            <v>0.42</v>
          </cell>
          <cell r="F3651">
            <v>194680.46052631579</v>
          </cell>
          <cell r="G3651">
            <v>81765.793421052629</v>
          </cell>
        </row>
        <row r="3652">
          <cell r="A3652" t="str">
            <v>T4.4101</v>
          </cell>
          <cell r="C3652" t="str">
            <v>Lắp đặt dây dẫn xuống thiết bị, dây nhôm lõi thép, tiết diện &lt;=95mm2</v>
          </cell>
          <cell r="D3652" t="str">
            <v>m</v>
          </cell>
          <cell r="H3652">
            <v>10585.1</v>
          </cell>
          <cell r="I3652">
            <v>5840.4138157894731</v>
          </cell>
        </row>
        <row r="3653">
          <cell r="C3653" t="str">
            <v>Vật liệu</v>
          </cell>
          <cell r="G3653">
            <v>10585.1</v>
          </cell>
        </row>
        <row r="3654">
          <cell r="B3654">
            <v>9</v>
          </cell>
          <cell r="C3654" t="str">
            <v>Giẻ lau</v>
          </cell>
          <cell r="D3654" t="str">
            <v>kg</v>
          </cell>
          <cell r="E3654">
            <v>0.05</v>
          </cell>
          <cell r="F3654">
            <v>9500</v>
          </cell>
          <cell r="G3654">
            <v>475</v>
          </cell>
        </row>
        <row r="3655">
          <cell r="B3655">
            <v>3</v>
          </cell>
          <cell r="C3655" t="str">
            <v>Giấy ráp</v>
          </cell>
          <cell r="D3655" t="str">
            <v>tờ</v>
          </cell>
          <cell r="E3655">
            <v>0.5</v>
          </cell>
          <cell r="F3655">
            <v>18382</v>
          </cell>
          <cell r="G3655">
            <v>9191</v>
          </cell>
        </row>
        <row r="3656">
          <cell r="B3656">
            <v>117</v>
          </cell>
          <cell r="C3656" t="str">
            <v>Vật liệu khác</v>
          </cell>
          <cell r="D3656" t="str">
            <v>%</v>
          </cell>
          <cell r="E3656">
            <v>10</v>
          </cell>
          <cell r="G3656">
            <v>919.1</v>
          </cell>
        </row>
        <row r="3657">
          <cell r="C3657" t="str">
            <v>Nhân công</v>
          </cell>
          <cell r="G3657">
            <v>5840.4138157894731</v>
          </cell>
        </row>
        <row r="3658">
          <cell r="B3658" t="str">
            <v>NC1407</v>
          </cell>
          <cell r="C3658" t="str">
            <v>Ngày công bậc 4,0/7</v>
          </cell>
          <cell r="D3658" t="str">
            <v>công</v>
          </cell>
          <cell r="E3658">
            <v>0.03</v>
          </cell>
          <cell r="F3658">
            <v>194680.46052631579</v>
          </cell>
          <cell r="G3658">
            <v>5840.4138157894731</v>
          </cell>
        </row>
        <row r="3659">
          <cell r="A3659" t="str">
            <v>T4.4102</v>
          </cell>
          <cell r="C3659" t="str">
            <v>Lắp đặt dây dẫn xuống thiết bị, dây nhôm lõi thép, tiết diện &lt;=150mm2</v>
          </cell>
          <cell r="D3659" t="str">
            <v>m</v>
          </cell>
          <cell r="H3659">
            <v>6022.5</v>
          </cell>
          <cell r="I3659">
            <v>15574.436842105264</v>
          </cell>
        </row>
        <row r="3660">
          <cell r="C3660" t="str">
            <v>Vật liệu</v>
          </cell>
          <cell r="G3660">
            <v>6022.5</v>
          </cell>
        </row>
        <row r="3661">
          <cell r="B3661">
            <v>9</v>
          </cell>
          <cell r="C3661" t="str">
            <v>Giẻ lau</v>
          </cell>
          <cell r="D3661" t="str">
            <v>kg</v>
          </cell>
          <cell r="E3661">
            <v>0.05</v>
          </cell>
          <cell r="F3661">
            <v>9500</v>
          </cell>
          <cell r="G3661">
            <v>475</v>
          </cell>
        </row>
        <row r="3662">
          <cell r="B3662">
            <v>4</v>
          </cell>
          <cell r="C3662" t="str">
            <v>Giấy ráp</v>
          </cell>
          <cell r="D3662" t="str">
            <v>tờ</v>
          </cell>
          <cell r="E3662">
            <v>0.5</v>
          </cell>
          <cell r="F3662">
            <v>10000</v>
          </cell>
          <cell r="G3662">
            <v>5000</v>
          </cell>
        </row>
        <row r="3663">
          <cell r="B3663">
            <v>117</v>
          </cell>
          <cell r="C3663" t="str">
            <v>Vật liệu khác</v>
          </cell>
          <cell r="D3663" t="str">
            <v>%</v>
          </cell>
          <cell r="E3663">
            <v>10</v>
          </cell>
          <cell r="G3663">
            <v>547.5</v>
          </cell>
        </row>
        <row r="3664">
          <cell r="C3664" t="str">
            <v>Nhân công</v>
          </cell>
          <cell r="G3664">
            <v>15574.436842105264</v>
          </cell>
        </row>
        <row r="3665">
          <cell r="B3665" t="str">
            <v>NC1407</v>
          </cell>
          <cell r="C3665" t="str">
            <v>Ngày công bậc 4,0/7</v>
          </cell>
          <cell r="D3665" t="str">
            <v>công</v>
          </cell>
          <cell r="E3665">
            <v>0.08</v>
          </cell>
          <cell r="F3665">
            <v>194680.46052631579</v>
          </cell>
          <cell r="G3665">
            <v>15574.436842105264</v>
          </cell>
        </row>
        <row r="3666">
          <cell r="A3666" t="str">
            <v>T4.4103</v>
          </cell>
          <cell r="C3666" t="str">
            <v>Lắp đặt dây dẫn xuống thiết bị, dây nhôm lõi thép, tiết diện &lt;=240mm2</v>
          </cell>
          <cell r="D3666" t="str">
            <v>m</v>
          </cell>
          <cell r="H3666">
            <v>6336</v>
          </cell>
          <cell r="I3666">
            <v>25308.459868421054</v>
          </cell>
        </row>
        <row r="3667">
          <cell r="C3667" t="str">
            <v>Vật liệu</v>
          </cell>
          <cell r="G3667">
            <v>6336</v>
          </cell>
        </row>
        <row r="3668">
          <cell r="B3668">
            <v>9</v>
          </cell>
          <cell r="C3668" t="str">
            <v>Giẻ lau</v>
          </cell>
          <cell r="D3668" t="str">
            <v>kg</v>
          </cell>
          <cell r="E3668">
            <v>0.08</v>
          </cell>
          <cell r="F3668">
            <v>9500</v>
          </cell>
          <cell r="G3668">
            <v>760</v>
          </cell>
        </row>
        <row r="3669">
          <cell r="B3669">
            <v>4</v>
          </cell>
          <cell r="C3669" t="str">
            <v>Giấy ráp</v>
          </cell>
          <cell r="D3669" t="str">
            <v>tờ</v>
          </cell>
          <cell r="E3669">
            <v>0.5</v>
          </cell>
          <cell r="F3669">
            <v>10000</v>
          </cell>
          <cell r="G3669">
            <v>5000</v>
          </cell>
        </row>
        <row r="3670">
          <cell r="B3670">
            <v>117</v>
          </cell>
          <cell r="C3670" t="str">
            <v>Vật liệu khác</v>
          </cell>
          <cell r="D3670" t="str">
            <v>%</v>
          </cell>
          <cell r="E3670">
            <v>10</v>
          </cell>
          <cell r="G3670">
            <v>576</v>
          </cell>
        </row>
        <row r="3671">
          <cell r="C3671" t="str">
            <v>Nhân công</v>
          </cell>
          <cell r="G3671">
            <v>25308.459868421054</v>
          </cell>
        </row>
        <row r="3672">
          <cell r="B3672" t="str">
            <v>NC1407</v>
          </cell>
          <cell r="C3672" t="str">
            <v>Ngày công bậc 4,0/7</v>
          </cell>
          <cell r="D3672" t="str">
            <v>công</v>
          </cell>
          <cell r="E3672">
            <v>0.13</v>
          </cell>
          <cell r="F3672">
            <v>194680.46052631579</v>
          </cell>
          <cell r="G3672">
            <v>25308.459868421054</v>
          </cell>
        </row>
        <row r="3673">
          <cell r="A3673" t="str">
            <v>T4.4104</v>
          </cell>
          <cell r="C3673" t="str">
            <v>Lắp đặt dây dẫn xuống thiết bị, dây nhôm lõi thép, tiết diện &lt;=400mm2</v>
          </cell>
          <cell r="D3673" t="str">
            <v>m</v>
          </cell>
          <cell r="H3673">
            <v>6545</v>
          </cell>
          <cell r="I3673">
            <v>48670.115131578947</v>
          </cell>
        </row>
        <row r="3674">
          <cell r="C3674" t="str">
            <v>Vật liệu</v>
          </cell>
          <cell r="G3674">
            <v>6545</v>
          </cell>
        </row>
        <row r="3675">
          <cell r="B3675">
            <v>9</v>
          </cell>
          <cell r="C3675" t="str">
            <v>Giẻ lau</v>
          </cell>
          <cell r="D3675" t="str">
            <v>kg</v>
          </cell>
          <cell r="E3675">
            <v>0.1</v>
          </cell>
          <cell r="F3675">
            <v>9500</v>
          </cell>
          <cell r="G3675">
            <v>950</v>
          </cell>
        </row>
        <row r="3676">
          <cell r="B3676">
            <v>4</v>
          </cell>
          <cell r="C3676" t="str">
            <v>Giấy ráp</v>
          </cell>
          <cell r="D3676" t="str">
            <v>tờ</v>
          </cell>
          <cell r="E3676">
            <v>0.5</v>
          </cell>
          <cell r="F3676">
            <v>10000</v>
          </cell>
          <cell r="G3676">
            <v>5000</v>
          </cell>
        </row>
        <row r="3677">
          <cell r="B3677">
            <v>117</v>
          </cell>
          <cell r="C3677" t="str">
            <v>Vật liệu khác</v>
          </cell>
          <cell r="D3677" t="str">
            <v>%</v>
          </cell>
          <cell r="E3677">
            <v>10</v>
          </cell>
          <cell r="G3677">
            <v>595</v>
          </cell>
        </row>
        <row r="3678">
          <cell r="C3678" t="str">
            <v>Nhân công</v>
          </cell>
          <cell r="G3678">
            <v>48670.115131578947</v>
          </cell>
        </row>
        <row r="3679">
          <cell r="B3679" t="str">
            <v>NC1407</v>
          </cell>
          <cell r="C3679" t="str">
            <v>Ngày công bậc 4,0/7</v>
          </cell>
          <cell r="D3679" t="str">
            <v>công</v>
          </cell>
          <cell r="E3679">
            <v>0.25</v>
          </cell>
          <cell r="F3679">
            <v>194680.46052631579</v>
          </cell>
          <cell r="G3679">
            <v>48670.115131578947</v>
          </cell>
        </row>
        <row r="3680">
          <cell r="A3680" t="str">
            <v>T4.4105</v>
          </cell>
          <cell r="C3680" t="str">
            <v>Lắp đặt dây dẫn xuống thiết bị, dây nhôm lõi thép, tiết diện &lt;=800mm2</v>
          </cell>
          <cell r="D3680" t="str">
            <v>m</v>
          </cell>
          <cell r="H3680">
            <v>7067.5</v>
          </cell>
          <cell r="I3680">
            <v>83712.598026315783</v>
          </cell>
        </row>
        <row r="3681">
          <cell r="C3681" t="str">
            <v>Vật liệu</v>
          </cell>
          <cell r="G3681">
            <v>7067.5</v>
          </cell>
        </row>
        <row r="3682">
          <cell r="B3682">
            <v>9</v>
          </cell>
          <cell r="C3682" t="str">
            <v>Giẻ lau</v>
          </cell>
          <cell r="D3682" t="str">
            <v>kg</v>
          </cell>
          <cell r="E3682">
            <v>0.15</v>
          </cell>
          <cell r="F3682">
            <v>9500</v>
          </cell>
          <cell r="G3682">
            <v>1425</v>
          </cell>
        </row>
        <row r="3683">
          <cell r="B3683">
            <v>4</v>
          </cell>
          <cell r="C3683" t="str">
            <v>Giấy ráp</v>
          </cell>
          <cell r="D3683" t="str">
            <v>tờ</v>
          </cell>
          <cell r="E3683">
            <v>0.5</v>
          </cell>
          <cell r="F3683">
            <v>10000</v>
          </cell>
          <cell r="G3683">
            <v>5000</v>
          </cell>
        </row>
        <row r="3684">
          <cell r="B3684">
            <v>117</v>
          </cell>
          <cell r="C3684" t="str">
            <v>Vật liệu khác</v>
          </cell>
          <cell r="D3684" t="str">
            <v>%</v>
          </cell>
          <cell r="E3684">
            <v>10</v>
          </cell>
          <cell r="G3684">
            <v>642.5</v>
          </cell>
        </row>
        <row r="3685">
          <cell r="C3685" t="str">
            <v>Nhân công</v>
          </cell>
          <cell r="G3685">
            <v>83712.598026315783</v>
          </cell>
        </row>
        <row r="3686">
          <cell r="B3686" t="str">
            <v>NC1407</v>
          </cell>
          <cell r="C3686" t="str">
            <v>Ngày công bậc 4,0/7</v>
          </cell>
          <cell r="D3686" t="str">
            <v>công</v>
          </cell>
          <cell r="E3686">
            <v>0.43</v>
          </cell>
          <cell r="F3686">
            <v>194680.46052631579</v>
          </cell>
          <cell r="G3686">
            <v>83712.598026315783</v>
          </cell>
        </row>
        <row r="3687">
          <cell r="A3687" t="str">
            <v>T4.4106</v>
          </cell>
          <cell r="C3687" t="str">
            <v>Lắp đặt dây dẫn xuống thiết bị, dây nhôm lõi thép, tiết diện &gt;800mm2</v>
          </cell>
          <cell r="D3687" t="str">
            <v>m</v>
          </cell>
          <cell r="H3687">
            <v>7590</v>
          </cell>
          <cell r="I3687">
            <v>97340.230263157893</v>
          </cell>
        </row>
        <row r="3688">
          <cell r="C3688" t="str">
            <v>Vật liệu</v>
          </cell>
          <cell r="G3688">
            <v>7590</v>
          </cell>
        </row>
        <row r="3689">
          <cell r="B3689">
            <v>9</v>
          </cell>
          <cell r="C3689" t="str">
            <v>Giẻ lau</v>
          </cell>
          <cell r="D3689" t="str">
            <v>kg</v>
          </cell>
          <cell r="E3689">
            <v>0.2</v>
          </cell>
          <cell r="F3689">
            <v>9500</v>
          </cell>
          <cell r="G3689">
            <v>1900</v>
          </cell>
        </row>
        <row r="3690">
          <cell r="B3690">
            <v>4</v>
          </cell>
          <cell r="C3690" t="str">
            <v>Giấy ráp</v>
          </cell>
          <cell r="D3690" t="str">
            <v>tờ</v>
          </cell>
          <cell r="E3690">
            <v>0.5</v>
          </cell>
          <cell r="F3690">
            <v>10000</v>
          </cell>
          <cell r="G3690">
            <v>5000</v>
          </cell>
        </row>
        <row r="3691">
          <cell r="B3691">
            <v>117</v>
          </cell>
          <cell r="C3691" t="str">
            <v>Vật liệu khác</v>
          </cell>
          <cell r="D3691" t="str">
            <v>%</v>
          </cell>
          <cell r="E3691">
            <v>10</v>
          </cell>
          <cell r="G3691">
            <v>690</v>
          </cell>
        </row>
        <row r="3692">
          <cell r="C3692" t="str">
            <v>Nhân công</v>
          </cell>
          <cell r="G3692">
            <v>97340.230263157893</v>
          </cell>
        </row>
        <row r="3693">
          <cell r="B3693" t="str">
            <v>NC1407</v>
          </cell>
          <cell r="C3693" t="str">
            <v>Ngày công bậc 4,0/7</v>
          </cell>
          <cell r="D3693" t="str">
            <v>công</v>
          </cell>
          <cell r="E3693">
            <v>0.5</v>
          </cell>
          <cell r="F3693">
            <v>194680.46052631579</v>
          </cell>
          <cell r="G3693">
            <v>97340.230263157893</v>
          </cell>
        </row>
        <row r="3694">
          <cell r="A3694" t="str">
            <v>T4.4201</v>
          </cell>
          <cell r="C3694" t="str">
            <v>Lắp đặt dây dẫn xuống thiết bị, dây đồng, tiết diện &lt;=95mm2</v>
          </cell>
          <cell r="D3694" t="str">
            <v>m</v>
          </cell>
          <cell r="H3694">
            <v>6022.5</v>
          </cell>
          <cell r="I3694">
            <v>9734.02302631579</v>
          </cell>
        </row>
        <row r="3695">
          <cell r="C3695" t="str">
            <v>Vật liệu</v>
          </cell>
          <cell r="G3695">
            <v>6022.5</v>
          </cell>
        </row>
        <row r="3696">
          <cell r="B3696">
            <v>9</v>
          </cell>
          <cell r="C3696" t="str">
            <v>Giẻ lau</v>
          </cell>
          <cell r="D3696" t="str">
            <v>kg</v>
          </cell>
          <cell r="E3696">
            <v>0.05</v>
          </cell>
          <cell r="F3696">
            <v>9500</v>
          </cell>
          <cell r="G3696">
            <v>475</v>
          </cell>
        </row>
        <row r="3697">
          <cell r="B3697">
            <v>4</v>
          </cell>
          <cell r="C3697" t="str">
            <v>Giấy ráp</v>
          </cell>
          <cell r="D3697" t="str">
            <v>tờ</v>
          </cell>
          <cell r="E3697">
            <v>0.5</v>
          </cell>
          <cell r="F3697">
            <v>10000</v>
          </cell>
          <cell r="G3697">
            <v>5000</v>
          </cell>
        </row>
        <row r="3698">
          <cell r="B3698">
            <v>117</v>
          </cell>
          <cell r="C3698" t="str">
            <v>Vật liệu khác</v>
          </cell>
          <cell r="D3698" t="str">
            <v>%</v>
          </cell>
          <cell r="E3698">
            <v>10</v>
          </cell>
          <cell r="G3698">
            <v>547.5</v>
          </cell>
        </row>
        <row r="3699">
          <cell r="C3699" t="str">
            <v>Nhân công</v>
          </cell>
          <cell r="G3699">
            <v>9734.02302631579</v>
          </cell>
        </row>
        <row r="3700">
          <cell r="B3700" t="str">
            <v>NC1407</v>
          </cell>
          <cell r="C3700" t="str">
            <v>Ngày công bậc 4,0/7</v>
          </cell>
          <cell r="D3700" t="str">
            <v>công</v>
          </cell>
          <cell r="E3700">
            <v>0.05</v>
          </cell>
          <cell r="F3700">
            <v>194680.46052631579</v>
          </cell>
          <cell r="G3700">
            <v>9734.02302631579</v>
          </cell>
        </row>
        <row r="3701">
          <cell r="A3701" t="str">
            <v>T4.4202</v>
          </cell>
          <cell r="C3701" t="str">
            <v>Lắp đặt dây dẫn xuống thiết bị, dây đồng, tiết diện &lt;=150mm2</v>
          </cell>
          <cell r="D3701" t="str">
            <v>m</v>
          </cell>
          <cell r="H3701">
            <v>6022.5</v>
          </cell>
          <cell r="I3701">
            <v>31148.873684210528</v>
          </cell>
        </row>
        <row r="3702">
          <cell r="C3702" t="str">
            <v>Vật liệu</v>
          </cell>
          <cell r="G3702">
            <v>6022.5</v>
          </cell>
        </row>
        <row r="3703">
          <cell r="B3703">
            <v>9</v>
          </cell>
          <cell r="C3703" t="str">
            <v>Giẻ lau</v>
          </cell>
          <cell r="D3703" t="str">
            <v>kg</v>
          </cell>
          <cell r="E3703">
            <v>0.05</v>
          </cell>
          <cell r="F3703">
            <v>9500</v>
          </cell>
          <cell r="G3703">
            <v>475</v>
          </cell>
        </row>
        <row r="3704">
          <cell r="B3704">
            <v>4</v>
          </cell>
          <cell r="C3704" t="str">
            <v>Giấy ráp</v>
          </cell>
          <cell r="D3704" t="str">
            <v>tờ</v>
          </cell>
          <cell r="E3704">
            <v>0.5</v>
          </cell>
          <cell r="F3704">
            <v>10000</v>
          </cell>
          <cell r="G3704">
            <v>5000</v>
          </cell>
        </row>
        <row r="3705">
          <cell r="B3705">
            <v>117</v>
          </cell>
          <cell r="C3705" t="str">
            <v>Vật liệu khác</v>
          </cell>
          <cell r="D3705" t="str">
            <v>%</v>
          </cell>
          <cell r="E3705">
            <v>10</v>
          </cell>
          <cell r="G3705">
            <v>547.5</v>
          </cell>
        </row>
        <row r="3706">
          <cell r="C3706" t="str">
            <v>Nhân công</v>
          </cell>
          <cell r="G3706">
            <v>31148.873684210528</v>
          </cell>
        </row>
        <row r="3707">
          <cell r="B3707" t="str">
            <v>NC1407</v>
          </cell>
          <cell r="C3707" t="str">
            <v>Ngày công bậc 4,0/7</v>
          </cell>
          <cell r="D3707" t="str">
            <v>công</v>
          </cell>
          <cell r="E3707">
            <v>0.16</v>
          </cell>
          <cell r="F3707">
            <v>194680.46052631579</v>
          </cell>
          <cell r="G3707">
            <v>31148.873684210528</v>
          </cell>
        </row>
        <row r="3708">
          <cell r="A3708" t="str">
            <v>T4.4203</v>
          </cell>
          <cell r="C3708" t="str">
            <v>Lắp đặt dây dẫn xuống thiết bị, dây đồng, tiết diện &lt;=240mm2</v>
          </cell>
          <cell r="D3708" t="str">
            <v>m</v>
          </cell>
          <cell r="H3708">
            <v>6336</v>
          </cell>
          <cell r="I3708">
            <v>38936.09210526316</v>
          </cell>
        </row>
        <row r="3709">
          <cell r="C3709" t="str">
            <v>Vật liệu</v>
          </cell>
          <cell r="G3709">
            <v>6336</v>
          </cell>
        </row>
        <row r="3710">
          <cell r="B3710">
            <v>9</v>
          </cell>
          <cell r="C3710" t="str">
            <v>Giẻ lau</v>
          </cell>
          <cell r="D3710" t="str">
            <v>kg</v>
          </cell>
          <cell r="E3710">
            <v>0.08</v>
          </cell>
          <cell r="F3710">
            <v>9500</v>
          </cell>
          <cell r="G3710">
            <v>760</v>
          </cell>
        </row>
        <row r="3711">
          <cell r="B3711">
            <v>4</v>
          </cell>
          <cell r="C3711" t="str">
            <v>Giấy ráp</v>
          </cell>
          <cell r="D3711" t="str">
            <v>tờ</v>
          </cell>
          <cell r="E3711">
            <v>0.5</v>
          </cell>
          <cell r="F3711">
            <v>10000</v>
          </cell>
          <cell r="G3711">
            <v>5000</v>
          </cell>
        </row>
        <row r="3712">
          <cell r="B3712">
            <v>117</v>
          </cell>
          <cell r="C3712" t="str">
            <v>Vật liệu khác</v>
          </cell>
          <cell r="D3712" t="str">
            <v>%</v>
          </cell>
          <cell r="E3712">
            <v>10</v>
          </cell>
          <cell r="G3712">
            <v>576</v>
          </cell>
        </row>
        <row r="3713">
          <cell r="C3713" t="str">
            <v>Nhân công</v>
          </cell>
          <cell r="G3713">
            <v>38936.09210526316</v>
          </cell>
        </row>
        <row r="3714">
          <cell r="B3714" t="str">
            <v>NC1407</v>
          </cell>
          <cell r="C3714" t="str">
            <v>Ngày công bậc 4,0/7</v>
          </cell>
          <cell r="D3714" t="str">
            <v>công</v>
          </cell>
          <cell r="E3714">
            <v>0.2</v>
          </cell>
          <cell r="F3714">
            <v>194680.46052631579</v>
          </cell>
          <cell r="G3714">
            <v>38936.09210526316</v>
          </cell>
        </row>
        <row r="3715">
          <cell r="A3715" t="str">
            <v>T4.5101</v>
          </cell>
          <cell r="C3715" t="str">
            <v>Lắp đặt thanh cái dẹt kích thước 25x4</v>
          </cell>
          <cell r="D3715" t="str">
            <v>10m</v>
          </cell>
          <cell r="H3715">
            <v>5692.5</v>
          </cell>
          <cell r="I3715">
            <v>136276.32236842104</v>
          </cell>
          <cell r="J3715">
            <v>19381.10828901099</v>
          </cell>
        </row>
        <row r="3716">
          <cell r="C3716" t="str">
            <v>Vật liệu</v>
          </cell>
          <cell r="G3716">
            <v>5692.5</v>
          </cell>
        </row>
        <row r="3717">
          <cell r="B3717">
            <v>9</v>
          </cell>
          <cell r="C3717" t="str">
            <v>Giẻ lau</v>
          </cell>
          <cell r="D3717" t="str">
            <v>kg</v>
          </cell>
          <cell r="E3717">
            <v>0.05</v>
          </cell>
          <cell r="F3717">
            <v>9500</v>
          </cell>
          <cell r="G3717">
            <v>475</v>
          </cell>
        </row>
        <row r="3718">
          <cell r="B3718">
            <v>14</v>
          </cell>
          <cell r="C3718" t="str">
            <v>Sơn màu Bach Tuyết</v>
          </cell>
          <cell r="D3718" t="str">
            <v>kg</v>
          </cell>
          <cell r="E3718">
            <v>0.1</v>
          </cell>
          <cell r="F3718">
            <v>47000</v>
          </cell>
          <cell r="G3718">
            <v>4700</v>
          </cell>
        </row>
        <row r="3719">
          <cell r="B3719">
            <v>117</v>
          </cell>
          <cell r="C3719" t="str">
            <v>Vật liệu khác</v>
          </cell>
          <cell r="D3719" t="str">
            <v>%</v>
          </cell>
          <cell r="E3719">
            <v>10</v>
          </cell>
          <cell r="G3719">
            <v>517.5</v>
          </cell>
        </row>
        <row r="3720">
          <cell r="C3720" t="str">
            <v>Nhân công</v>
          </cell>
          <cell r="G3720">
            <v>136276.32236842104</v>
          </cell>
        </row>
        <row r="3721">
          <cell r="B3721" t="str">
            <v>NC1407</v>
          </cell>
          <cell r="C3721" t="str">
            <v>Ngày công bậc 4,0/7</v>
          </cell>
          <cell r="D3721" t="str">
            <v>công</v>
          </cell>
          <cell r="E3721">
            <v>0.7</v>
          </cell>
          <cell r="F3721">
            <v>194680.46052631579</v>
          </cell>
          <cell r="G3721">
            <v>136276.32236842104</v>
          </cell>
        </row>
        <row r="3722">
          <cell r="C3722" t="str">
            <v>Máy thi công</v>
          </cell>
          <cell r="G3722">
            <v>19381.10828901099</v>
          </cell>
        </row>
        <row r="3723">
          <cell r="B3723">
            <v>8016</v>
          </cell>
          <cell r="C3723" t="str">
            <v>Xe nâng thang</v>
          </cell>
          <cell r="D3723" t="str">
            <v>ca</v>
          </cell>
          <cell r="E3723">
            <v>0.01</v>
          </cell>
          <cell r="F3723">
            <v>1922618.2442857146</v>
          </cell>
          <cell r="G3723">
            <v>19226.182442857145</v>
          </cell>
        </row>
        <row r="3724">
          <cell r="B3724">
            <v>8001</v>
          </cell>
          <cell r="C3724" t="str">
            <v>Máy khoan điện cầm tay 0,6kw</v>
          </cell>
          <cell r="D3724" t="str">
            <v>ca</v>
          </cell>
          <cell r="E3724">
            <v>0.01</v>
          </cell>
          <cell r="F3724">
            <v>15492.584615384616</v>
          </cell>
          <cell r="G3724">
            <v>154.92584615384615</v>
          </cell>
        </row>
        <row r="3725">
          <cell r="A3725" t="str">
            <v>T4.5102</v>
          </cell>
          <cell r="C3725" t="str">
            <v>Lắp đặt thanh cái dẹt kích thước 40x4</v>
          </cell>
          <cell r="D3725" t="str">
            <v>10m</v>
          </cell>
          <cell r="H3725">
            <v>6215</v>
          </cell>
          <cell r="I3725">
            <v>190786.85131578948</v>
          </cell>
          <cell r="J3725">
            <v>19381.10828901099</v>
          </cell>
        </row>
        <row r="3726">
          <cell r="C3726" t="str">
            <v>Vật liệu</v>
          </cell>
          <cell r="G3726">
            <v>6215</v>
          </cell>
        </row>
        <row r="3727">
          <cell r="B3727">
            <v>9</v>
          </cell>
          <cell r="C3727" t="str">
            <v>Giẻ lau</v>
          </cell>
          <cell r="D3727" t="str">
            <v>kg</v>
          </cell>
          <cell r="E3727">
            <v>0.1</v>
          </cell>
          <cell r="F3727">
            <v>9500</v>
          </cell>
          <cell r="G3727">
            <v>950</v>
          </cell>
        </row>
        <row r="3728">
          <cell r="B3728">
            <v>14</v>
          </cell>
          <cell r="C3728" t="str">
            <v>Sơn màu Bach Tuyết</v>
          </cell>
          <cell r="D3728" t="str">
            <v>kg</v>
          </cell>
          <cell r="E3728">
            <v>0.1</v>
          </cell>
          <cell r="F3728">
            <v>47000</v>
          </cell>
          <cell r="G3728">
            <v>4700</v>
          </cell>
        </row>
        <row r="3729">
          <cell r="B3729">
            <v>117</v>
          </cell>
          <cell r="C3729" t="str">
            <v>Vật liệu khác</v>
          </cell>
          <cell r="D3729" t="str">
            <v>%</v>
          </cell>
          <cell r="E3729">
            <v>10</v>
          </cell>
          <cell r="G3729">
            <v>565</v>
          </cell>
        </row>
        <row r="3730">
          <cell r="C3730" t="str">
            <v>Nhân công</v>
          </cell>
          <cell r="G3730">
            <v>190786.85131578948</v>
          </cell>
        </row>
        <row r="3731">
          <cell r="B3731" t="str">
            <v>NC1407</v>
          </cell>
          <cell r="C3731" t="str">
            <v>Ngày công bậc 4,0/7</v>
          </cell>
          <cell r="D3731" t="str">
            <v>công</v>
          </cell>
          <cell r="E3731">
            <v>0.98</v>
          </cell>
          <cell r="F3731">
            <v>194680.46052631579</v>
          </cell>
          <cell r="G3731">
            <v>190786.85131578948</v>
          </cell>
        </row>
        <row r="3732">
          <cell r="C3732" t="str">
            <v>Máy thi công</v>
          </cell>
          <cell r="G3732">
            <v>19381.10828901099</v>
          </cell>
        </row>
        <row r="3733">
          <cell r="B3733">
            <v>8016</v>
          </cell>
          <cell r="C3733" t="str">
            <v>Xe nâng thang</v>
          </cell>
          <cell r="D3733" t="str">
            <v>ca</v>
          </cell>
          <cell r="E3733">
            <v>0.01</v>
          </cell>
          <cell r="F3733">
            <v>1922618.2442857146</v>
          </cell>
          <cell r="G3733">
            <v>19226.182442857145</v>
          </cell>
        </row>
        <row r="3734">
          <cell r="B3734">
            <v>8001</v>
          </cell>
          <cell r="C3734" t="str">
            <v>Máy khoan điện cầm tay 0,6kw</v>
          </cell>
          <cell r="D3734" t="str">
            <v>ca</v>
          </cell>
          <cell r="E3734">
            <v>0.01</v>
          </cell>
          <cell r="F3734">
            <v>15492.584615384616</v>
          </cell>
          <cell r="G3734">
            <v>154.92584615384615</v>
          </cell>
        </row>
        <row r="3735">
          <cell r="A3735" t="str">
            <v>T4.5103</v>
          </cell>
          <cell r="C3735" t="str">
            <v>Lắp đặt thanh cái dẹt kích thước 60x6</v>
          </cell>
          <cell r="D3735" t="str">
            <v>10m</v>
          </cell>
          <cell r="H3735">
            <v>6737.5</v>
          </cell>
          <cell r="I3735">
            <v>219988.92039473681</v>
          </cell>
          <cell r="J3735">
            <v>19381.10828901099</v>
          </cell>
        </row>
        <row r="3736">
          <cell r="C3736" t="str">
            <v>Vật liệu</v>
          </cell>
          <cell r="G3736">
            <v>6737.5</v>
          </cell>
        </row>
        <row r="3737">
          <cell r="B3737">
            <v>9</v>
          </cell>
          <cell r="C3737" t="str">
            <v>Giẻ lau</v>
          </cell>
          <cell r="D3737" t="str">
            <v>kg</v>
          </cell>
          <cell r="E3737">
            <v>0.15</v>
          </cell>
          <cell r="F3737">
            <v>9500</v>
          </cell>
          <cell r="G3737">
            <v>1425</v>
          </cell>
        </row>
        <row r="3738">
          <cell r="B3738">
            <v>14</v>
          </cell>
          <cell r="C3738" t="str">
            <v>Sơn màu Bach Tuyết</v>
          </cell>
          <cell r="D3738" t="str">
            <v>kg</v>
          </cell>
          <cell r="E3738">
            <v>0.1</v>
          </cell>
          <cell r="F3738">
            <v>47000</v>
          </cell>
          <cell r="G3738">
            <v>4700</v>
          </cell>
        </row>
        <row r="3739">
          <cell r="B3739">
            <v>117</v>
          </cell>
          <cell r="C3739" t="str">
            <v>Vật liệu khác</v>
          </cell>
          <cell r="D3739" t="str">
            <v>%</v>
          </cell>
          <cell r="E3739">
            <v>10</v>
          </cell>
          <cell r="G3739">
            <v>612.5</v>
          </cell>
        </row>
        <row r="3740">
          <cell r="C3740" t="str">
            <v>Nhân công</v>
          </cell>
          <cell r="G3740">
            <v>219988.92039473681</v>
          </cell>
        </row>
        <row r="3741">
          <cell r="B3741" t="str">
            <v>NC1407</v>
          </cell>
          <cell r="C3741" t="str">
            <v>Ngày công bậc 4,0/7</v>
          </cell>
          <cell r="D3741" t="str">
            <v>công</v>
          </cell>
          <cell r="E3741">
            <v>1.1299999999999999</v>
          </cell>
          <cell r="F3741">
            <v>194680.46052631579</v>
          </cell>
          <cell r="G3741">
            <v>219988.92039473681</v>
          </cell>
        </row>
        <row r="3742">
          <cell r="C3742" t="str">
            <v>Máy thi công</v>
          </cell>
          <cell r="G3742">
            <v>19381.10828901099</v>
          </cell>
        </row>
        <row r="3743">
          <cell r="B3743">
            <v>8016</v>
          </cell>
          <cell r="C3743" t="str">
            <v>Xe nâng thang</v>
          </cell>
          <cell r="D3743" t="str">
            <v>ca</v>
          </cell>
          <cell r="E3743">
            <v>0.01</v>
          </cell>
          <cell r="F3743">
            <v>1922618.2442857146</v>
          </cell>
          <cell r="G3743">
            <v>19226.182442857145</v>
          </cell>
        </row>
        <row r="3744">
          <cell r="B3744">
            <v>8001</v>
          </cell>
          <cell r="C3744" t="str">
            <v>Máy khoan điện cầm tay 0,6kw</v>
          </cell>
          <cell r="D3744" t="str">
            <v>ca</v>
          </cell>
          <cell r="E3744">
            <v>0.01</v>
          </cell>
          <cell r="F3744">
            <v>15492.584615384616</v>
          </cell>
          <cell r="G3744">
            <v>154.92584615384615</v>
          </cell>
        </row>
        <row r="3745">
          <cell r="A3745" t="str">
            <v>T4.5104</v>
          </cell>
          <cell r="C3745" t="str">
            <v>Lắp đặt thanh cái dẹt kích thước 80x8</v>
          </cell>
          <cell r="D3745" t="str">
            <v>10m</v>
          </cell>
          <cell r="H3745">
            <v>7051</v>
          </cell>
          <cell r="I3745">
            <v>268659.03552631574</v>
          </cell>
          <cell r="J3745">
            <v>19381.10828901099</v>
          </cell>
        </row>
        <row r="3746">
          <cell r="C3746" t="str">
            <v>Vật liệu</v>
          </cell>
          <cell r="G3746">
            <v>7051</v>
          </cell>
        </row>
        <row r="3747">
          <cell r="B3747">
            <v>9</v>
          </cell>
          <cell r="C3747" t="str">
            <v>Giẻ lau</v>
          </cell>
          <cell r="D3747" t="str">
            <v>kg</v>
          </cell>
          <cell r="E3747">
            <v>0.18</v>
          </cell>
          <cell r="F3747">
            <v>9500</v>
          </cell>
          <cell r="G3747">
            <v>1710</v>
          </cell>
        </row>
        <row r="3748">
          <cell r="B3748">
            <v>14</v>
          </cell>
          <cell r="C3748" t="str">
            <v>Sơn màu Bach Tuyết</v>
          </cell>
          <cell r="D3748" t="str">
            <v>kg</v>
          </cell>
          <cell r="E3748">
            <v>0.1</v>
          </cell>
          <cell r="F3748">
            <v>47000</v>
          </cell>
          <cell r="G3748">
            <v>4700</v>
          </cell>
        </row>
        <row r="3749">
          <cell r="B3749">
            <v>117</v>
          </cell>
          <cell r="C3749" t="str">
            <v>Vật liệu khác</v>
          </cell>
          <cell r="D3749" t="str">
            <v>%</v>
          </cell>
          <cell r="E3749">
            <v>10</v>
          </cell>
          <cell r="G3749">
            <v>641</v>
          </cell>
        </row>
        <row r="3750">
          <cell r="C3750" t="str">
            <v>Nhân công</v>
          </cell>
          <cell r="G3750">
            <v>268659.03552631574</v>
          </cell>
        </row>
        <row r="3751">
          <cell r="B3751" t="str">
            <v>NC1407</v>
          </cell>
          <cell r="C3751" t="str">
            <v>Ngày công bậc 4,0/7</v>
          </cell>
          <cell r="D3751" t="str">
            <v>công</v>
          </cell>
          <cell r="E3751">
            <v>1.38</v>
          </cell>
          <cell r="F3751">
            <v>194680.46052631579</v>
          </cell>
          <cell r="G3751">
            <v>268659.03552631574</v>
          </cell>
        </row>
        <row r="3752">
          <cell r="C3752" t="str">
            <v>Máy thi công</v>
          </cell>
          <cell r="G3752">
            <v>19381.10828901099</v>
          </cell>
        </row>
        <row r="3753">
          <cell r="B3753">
            <v>8016</v>
          </cell>
          <cell r="C3753" t="str">
            <v>Xe nâng thang</v>
          </cell>
          <cell r="D3753" t="str">
            <v>ca</v>
          </cell>
          <cell r="E3753">
            <v>0.01</v>
          </cell>
          <cell r="F3753">
            <v>1922618.2442857146</v>
          </cell>
          <cell r="G3753">
            <v>19226.182442857145</v>
          </cell>
        </row>
        <row r="3754">
          <cell r="B3754">
            <v>8001</v>
          </cell>
          <cell r="C3754" t="str">
            <v>Máy khoan điện cầm tay 0,6kw</v>
          </cell>
          <cell r="D3754" t="str">
            <v>ca</v>
          </cell>
          <cell r="E3754">
            <v>0.01</v>
          </cell>
          <cell r="F3754">
            <v>15492.584615384616</v>
          </cell>
          <cell r="G3754">
            <v>154.92584615384615</v>
          </cell>
        </row>
        <row r="3755">
          <cell r="A3755" t="str">
            <v>T4.5105</v>
          </cell>
          <cell r="C3755" t="str">
            <v>Lắp đặt thanh cái dẹt kích thước 100x10</v>
          </cell>
          <cell r="D3755" t="str">
            <v>10m</v>
          </cell>
          <cell r="H3755">
            <v>7469</v>
          </cell>
          <cell r="I3755">
            <v>389360.92105263157</v>
          </cell>
          <cell r="J3755">
            <v>19381.10828901099</v>
          </cell>
        </row>
        <row r="3756">
          <cell r="C3756" t="str">
            <v>Vật liệu</v>
          </cell>
          <cell r="G3756">
            <v>7469</v>
          </cell>
        </row>
        <row r="3757">
          <cell r="B3757">
            <v>9</v>
          </cell>
          <cell r="C3757" t="str">
            <v>Giẻ lau</v>
          </cell>
          <cell r="D3757" t="str">
            <v>kg</v>
          </cell>
          <cell r="E3757">
            <v>0.22</v>
          </cell>
          <cell r="F3757">
            <v>9500</v>
          </cell>
          <cell r="G3757">
            <v>2090</v>
          </cell>
        </row>
        <row r="3758">
          <cell r="B3758">
            <v>14</v>
          </cell>
          <cell r="C3758" t="str">
            <v>Sơn màu Bach Tuyết</v>
          </cell>
          <cell r="D3758" t="str">
            <v>kg</v>
          </cell>
          <cell r="E3758">
            <v>0.1</v>
          </cell>
          <cell r="F3758">
            <v>47000</v>
          </cell>
          <cell r="G3758">
            <v>4700</v>
          </cell>
        </row>
        <row r="3759">
          <cell r="B3759">
            <v>117</v>
          </cell>
          <cell r="C3759" t="str">
            <v>Vật liệu khác</v>
          </cell>
          <cell r="D3759" t="str">
            <v>%</v>
          </cell>
          <cell r="E3759">
            <v>10</v>
          </cell>
          <cell r="G3759">
            <v>679</v>
          </cell>
        </row>
        <row r="3760">
          <cell r="C3760" t="str">
            <v>Nhân công</v>
          </cell>
          <cell r="G3760">
            <v>389360.92105263157</v>
          </cell>
        </row>
        <row r="3761">
          <cell r="B3761" t="str">
            <v>NC1407</v>
          </cell>
          <cell r="C3761" t="str">
            <v>Ngày công bậc 4,0/7</v>
          </cell>
          <cell r="D3761" t="str">
            <v>công</v>
          </cell>
          <cell r="E3761">
            <v>2</v>
          </cell>
          <cell r="F3761">
            <v>194680.46052631579</v>
          </cell>
          <cell r="G3761">
            <v>389360.92105263157</v>
          </cell>
        </row>
        <row r="3762">
          <cell r="C3762" t="str">
            <v>Máy thi công</v>
          </cell>
          <cell r="G3762">
            <v>19381.10828901099</v>
          </cell>
        </row>
        <row r="3763">
          <cell r="B3763">
            <v>8016</v>
          </cell>
          <cell r="C3763" t="str">
            <v>Xe nâng thang</v>
          </cell>
          <cell r="D3763" t="str">
            <v>ca</v>
          </cell>
          <cell r="E3763">
            <v>0.01</v>
          </cell>
          <cell r="F3763">
            <v>1922618.2442857146</v>
          </cell>
          <cell r="G3763">
            <v>19226.182442857145</v>
          </cell>
        </row>
        <row r="3764">
          <cell r="B3764">
            <v>8001</v>
          </cell>
          <cell r="C3764" t="str">
            <v>Máy khoan điện cầm tay 0,6kw</v>
          </cell>
          <cell r="D3764" t="str">
            <v>ca</v>
          </cell>
          <cell r="E3764">
            <v>0.01</v>
          </cell>
          <cell r="F3764">
            <v>15492.584615384616</v>
          </cell>
          <cell r="G3764">
            <v>154.92584615384615</v>
          </cell>
        </row>
        <row r="3765">
          <cell r="A3765" t="str">
            <v>T4.5106</v>
          </cell>
          <cell r="C3765" t="str">
            <v>Lắp đặt thanh cái dẹt kích thước 120x10</v>
          </cell>
          <cell r="D3765" t="str">
            <v>10m</v>
          </cell>
          <cell r="H3765">
            <v>7782.5</v>
          </cell>
          <cell r="I3765">
            <v>438031.0361842105</v>
          </cell>
          <cell r="J3765">
            <v>19381.10828901099</v>
          </cell>
        </row>
        <row r="3766">
          <cell r="C3766" t="str">
            <v>Vật liệu</v>
          </cell>
          <cell r="G3766">
            <v>7782.5</v>
          </cell>
        </row>
        <row r="3767">
          <cell r="B3767">
            <v>9</v>
          </cell>
          <cell r="C3767" t="str">
            <v>Giẻ lau</v>
          </cell>
          <cell r="D3767" t="str">
            <v>kg</v>
          </cell>
          <cell r="E3767">
            <v>0.25</v>
          </cell>
          <cell r="F3767">
            <v>9500</v>
          </cell>
          <cell r="G3767">
            <v>2375</v>
          </cell>
        </row>
        <row r="3768">
          <cell r="B3768">
            <v>14</v>
          </cell>
          <cell r="C3768" t="str">
            <v>Sơn màu Bach Tuyết</v>
          </cell>
          <cell r="D3768" t="str">
            <v>kg</v>
          </cell>
          <cell r="E3768">
            <v>0.1</v>
          </cell>
          <cell r="F3768">
            <v>47000</v>
          </cell>
          <cell r="G3768">
            <v>4700</v>
          </cell>
        </row>
        <row r="3769">
          <cell r="B3769">
            <v>117</v>
          </cell>
          <cell r="C3769" t="str">
            <v>Vật liệu khác</v>
          </cell>
          <cell r="D3769" t="str">
            <v>%</v>
          </cell>
          <cell r="E3769">
            <v>10</v>
          </cell>
          <cell r="G3769">
            <v>707.5</v>
          </cell>
        </row>
        <row r="3770">
          <cell r="C3770" t="str">
            <v>Nhân công</v>
          </cell>
          <cell r="G3770">
            <v>438031.0361842105</v>
          </cell>
        </row>
        <row r="3771">
          <cell r="B3771" t="str">
            <v>NC1407</v>
          </cell>
          <cell r="C3771" t="str">
            <v>Ngày công bậc 4,0/7</v>
          </cell>
          <cell r="D3771" t="str">
            <v>công</v>
          </cell>
          <cell r="E3771">
            <v>2.25</v>
          </cell>
          <cell r="F3771">
            <v>194680.46052631579</v>
          </cell>
          <cell r="G3771">
            <v>438031.0361842105</v>
          </cell>
        </row>
        <row r="3772">
          <cell r="C3772" t="str">
            <v>Máy thi công</v>
          </cell>
          <cell r="G3772">
            <v>19381.10828901099</v>
          </cell>
        </row>
        <row r="3773">
          <cell r="B3773">
            <v>8016</v>
          </cell>
          <cell r="C3773" t="str">
            <v>Xe nâng thang</v>
          </cell>
          <cell r="D3773" t="str">
            <v>ca</v>
          </cell>
          <cell r="E3773">
            <v>0.01</v>
          </cell>
          <cell r="F3773">
            <v>1922618.2442857146</v>
          </cell>
          <cell r="G3773">
            <v>19226.182442857145</v>
          </cell>
        </row>
        <row r="3774">
          <cell r="B3774">
            <v>8001</v>
          </cell>
          <cell r="C3774" t="str">
            <v>Máy khoan điện cầm tay 0,6kw</v>
          </cell>
          <cell r="D3774" t="str">
            <v>ca</v>
          </cell>
          <cell r="E3774">
            <v>0.01</v>
          </cell>
          <cell r="F3774">
            <v>15492.584615384616</v>
          </cell>
          <cell r="G3774">
            <v>154.92584615384615</v>
          </cell>
        </row>
        <row r="3775">
          <cell r="A3775" t="str">
            <v>T4.5201</v>
          </cell>
          <cell r="C3775" t="str">
            <v>Lắp đặt thanh cái ống kích thước &lt;=80mm</v>
          </cell>
          <cell r="D3775" t="str">
            <v>10m</v>
          </cell>
          <cell r="H3775">
            <v>7469</v>
          </cell>
          <cell r="I3775">
            <v>340690.80592105264</v>
          </cell>
          <cell r="J3775">
            <v>19381.10828901099</v>
          </cell>
        </row>
        <row r="3776">
          <cell r="C3776" t="str">
            <v>Vật liệu</v>
          </cell>
          <cell r="G3776">
            <v>7469</v>
          </cell>
        </row>
        <row r="3777">
          <cell r="B3777">
            <v>9</v>
          </cell>
          <cell r="C3777" t="str">
            <v>Giẻ lau</v>
          </cell>
          <cell r="D3777" t="str">
            <v>kg</v>
          </cell>
          <cell r="E3777">
            <v>0.22</v>
          </cell>
          <cell r="F3777">
            <v>9500</v>
          </cell>
          <cell r="G3777">
            <v>2090</v>
          </cell>
        </row>
        <row r="3778">
          <cell r="B3778">
            <v>14</v>
          </cell>
          <cell r="C3778" t="str">
            <v>Sơn màu Bach Tuyết</v>
          </cell>
          <cell r="D3778" t="str">
            <v>kg</v>
          </cell>
          <cell r="E3778">
            <v>0.1</v>
          </cell>
          <cell r="F3778">
            <v>47000</v>
          </cell>
          <cell r="G3778">
            <v>4700</v>
          </cell>
        </row>
        <row r="3779">
          <cell r="B3779">
            <v>117</v>
          </cell>
          <cell r="C3779" t="str">
            <v>Vật liệu khác</v>
          </cell>
          <cell r="D3779" t="str">
            <v>%</v>
          </cell>
          <cell r="E3779">
            <v>10</v>
          </cell>
          <cell r="G3779">
            <v>679</v>
          </cell>
        </row>
        <row r="3780">
          <cell r="C3780" t="str">
            <v>Nhân công</v>
          </cell>
          <cell r="G3780">
            <v>340690.80592105264</v>
          </cell>
        </row>
        <row r="3781">
          <cell r="B3781" t="str">
            <v>NC1407</v>
          </cell>
          <cell r="C3781" t="str">
            <v>Ngày công bậc 4,0/7</v>
          </cell>
          <cell r="D3781" t="str">
            <v>công</v>
          </cell>
          <cell r="E3781">
            <v>1.75</v>
          </cell>
          <cell r="F3781">
            <v>194680.46052631579</v>
          </cell>
          <cell r="G3781">
            <v>340690.80592105264</v>
          </cell>
        </row>
        <row r="3782">
          <cell r="C3782" t="str">
            <v>Máy thi công</v>
          </cell>
          <cell r="G3782">
            <v>19381.10828901099</v>
          </cell>
        </row>
        <row r="3783">
          <cell r="B3783">
            <v>8016</v>
          </cell>
          <cell r="C3783" t="str">
            <v>Xe nâng thang</v>
          </cell>
          <cell r="D3783" t="str">
            <v>ca</v>
          </cell>
          <cell r="E3783">
            <v>0.01</v>
          </cell>
          <cell r="F3783">
            <v>1922618.2442857146</v>
          </cell>
          <cell r="G3783">
            <v>19226.182442857145</v>
          </cell>
        </row>
        <row r="3784">
          <cell r="B3784">
            <v>8001</v>
          </cell>
          <cell r="C3784" t="str">
            <v>Máy khoan điện cầm tay 0,6kw</v>
          </cell>
          <cell r="D3784" t="str">
            <v>ca</v>
          </cell>
          <cell r="E3784">
            <v>0.01</v>
          </cell>
          <cell r="F3784">
            <v>15492.584615384616</v>
          </cell>
          <cell r="G3784">
            <v>154.92584615384615</v>
          </cell>
        </row>
        <row r="3785">
          <cell r="A3785" t="str">
            <v>T4.5202</v>
          </cell>
          <cell r="C3785" t="str">
            <v>Lắp đặt thanh cái ống kích thước &lt;=100mm</v>
          </cell>
          <cell r="D3785" t="str">
            <v>10m</v>
          </cell>
          <cell r="H3785">
            <v>7782.5</v>
          </cell>
          <cell r="I3785">
            <v>428297.01315789478</v>
          </cell>
          <cell r="J3785">
            <v>19381.10828901099</v>
          </cell>
        </row>
        <row r="3786">
          <cell r="C3786" t="str">
            <v>Vật liệu</v>
          </cell>
          <cell r="G3786">
            <v>7782.5</v>
          </cell>
        </row>
        <row r="3787">
          <cell r="B3787">
            <v>9</v>
          </cell>
          <cell r="C3787" t="str">
            <v>Giẻ lau</v>
          </cell>
          <cell r="D3787" t="str">
            <v>kg</v>
          </cell>
          <cell r="E3787">
            <v>0.25</v>
          </cell>
          <cell r="F3787">
            <v>9500</v>
          </cell>
          <cell r="G3787">
            <v>2375</v>
          </cell>
        </row>
        <row r="3788">
          <cell r="B3788">
            <v>14</v>
          </cell>
          <cell r="C3788" t="str">
            <v>Sơn màu Bach Tuyết</v>
          </cell>
          <cell r="D3788" t="str">
            <v>kg</v>
          </cell>
          <cell r="E3788">
            <v>0.1</v>
          </cell>
          <cell r="F3788">
            <v>47000</v>
          </cell>
          <cell r="G3788">
            <v>4700</v>
          </cell>
        </row>
        <row r="3789">
          <cell r="B3789">
            <v>117</v>
          </cell>
          <cell r="C3789" t="str">
            <v>Vật liệu khác</v>
          </cell>
          <cell r="D3789" t="str">
            <v>%</v>
          </cell>
          <cell r="E3789">
            <v>10</v>
          </cell>
          <cell r="G3789">
            <v>707.5</v>
          </cell>
        </row>
        <row r="3790">
          <cell r="C3790" t="str">
            <v>Nhân công</v>
          </cell>
          <cell r="G3790">
            <v>428297.01315789478</v>
          </cell>
        </row>
        <row r="3791">
          <cell r="B3791" t="str">
            <v>NC1407</v>
          </cell>
          <cell r="C3791" t="str">
            <v>Ngày công bậc 4,0/7</v>
          </cell>
          <cell r="D3791" t="str">
            <v>công</v>
          </cell>
          <cell r="E3791">
            <v>2.2000000000000002</v>
          </cell>
          <cell r="F3791">
            <v>194680.46052631579</v>
          </cell>
          <cell r="G3791">
            <v>428297.01315789478</v>
          </cell>
        </row>
        <row r="3792">
          <cell r="C3792" t="str">
            <v>Máy thi công</v>
          </cell>
          <cell r="G3792">
            <v>19381.10828901099</v>
          </cell>
        </row>
        <row r="3793">
          <cell r="B3793">
            <v>8016</v>
          </cell>
          <cell r="C3793" t="str">
            <v>Xe nâng thang</v>
          </cell>
          <cell r="D3793" t="str">
            <v>ca</v>
          </cell>
          <cell r="E3793">
            <v>0.01</v>
          </cell>
          <cell r="F3793">
            <v>1922618.2442857146</v>
          </cell>
          <cell r="G3793">
            <v>19226.182442857145</v>
          </cell>
        </row>
        <row r="3794">
          <cell r="B3794">
            <v>8001</v>
          </cell>
          <cell r="C3794" t="str">
            <v>Máy khoan điện cầm tay 0,6kw</v>
          </cell>
          <cell r="D3794" t="str">
            <v>ca</v>
          </cell>
          <cell r="E3794">
            <v>0.01</v>
          </cell>
          <cell r="F3794">
            <v>15492.584615384616</v>
          </cell>
          <cell r="G3794">
            <v>154.92584615384615</v>
          </cell>
        </row>
        <row r="3795">
          <cell r="A3795" t="str">
            <v>T4.5203</v>
          </cell>
          <cell r="C3795" t="str">
            <v>Lắp đặt thanh cái ống kích thước &lt;=150mm</v>
          </cell>
          <cell r="D3795" t="str">
            <v>10m</v>
          </cell>
          <cell r="H3795">
            <v>8305</v>
          </cell>
          <cell r="I3795">
            <v>525637.2434210527</v>
          </cell>
          <cell r="J3795">
            <v>19381.10828901099</v>
          </cell>
        </row>
        <row r="3796">
          <cell r="C3796" t="str">
            <v>Vật liệu</v>
          </cell>
          <cell r="G3796">
            <v>8305</v>
          </cell>
        </row>
        <row r="3797">
          <cell r="B3797">
            <v>9</v>
          </cell>
          <cell r="C3797" t="str">
            <v>Giẻ lau</v>
          </cell>
          <cell r="D3797" t="str">
            <v>kg</v>
          </cell>
          <cell r="E3797">
            <v>0.3</v>
          </cell>
          <cell r="F3797">
            <v>9500</v>
          </cell>
          <cell r="G3797">
            <v>2850</v>
          </cell>
        </row>
        <row r="3798">
          <cell r="B3798">
            <v>14</v>
          </cell>
          <cell r="C3798" t="str">
            <v>Sơn màu Bach Tuyết</v>
          </cell>
          <cell r="D3798" t="str">
            <v>kg</v>
          </cell>
          <cell r="E3798">
            <v>0.1</v>
          </cell>
          <cell r="F3798">
            <v>47000</v>
          </cell>
          <cell r="G3798">
            <v>4700</v>
          </cell>
        </row>
        <row r="3799">
          <cell r="B3799">
            <v>117</v>
          </cell>
          <cell r="C3799" t="str">
            <v>Vật liệu khác</v>
          </cell>
          <cell r="D3799" t="str">
            <v>%</v>
          </cell>
          <cell r="E3799">
            <v>10</v>
          </cell>
          <cell r="G3799">
            <v>755</v>
          </cell>
        </row>
        <row r="3800">
          <cell r="C3800" t="str">
            <v>Nhân công</v>
          </cell>
          <cell r="G3800">
            <v>525637.2434210527</v>
          </cell>
        </row>
        <row r="3801">
          <cell r="B3801" t="str">
            <v>NC1407</v>
          </cell>
          <cell r="C3801" t="str">
            <v>Ngày công bậc 4,0/7</v>
          </cell>
          <cell r="D3801" t="str">
            <v>công</v>
          </cell>
          <cell r="E3801">
            <v>2.7</v>
          </cell>
          <cell r="F3801">
            <v>194680.46052631579</v>
          </cell>
          <cell r="G3801">
            <v>525637.2434210527</v>
          </cell>
        </row>
        <row r="3802">
          <cell r="C3802" t="str">
            <v>Máy thi công</v>
          </cell>
          <cell r="G3802">
            <v>19381.10828901099</v>
          </cell>
        </row>
        <row r="3803">
          <cell r="B3803">
            <v>8016</v>
          </cell>
          <cell r="C3803" t="str">
            <v>Xe nâng thang</v>
          </cell>
          <cell r="D3803" t="str">
            <v>ca</v>
          </cell>
          <cell r="E3803">
            <v>0.01</v>
          </cell>
          <cell r="F3803">
            <v>1922618.2442857146</v>
          </cell>
          <cell r="G3803">
            <v>19226.182442857145</v>
          </cell>
        </row>
        <row r="3804">
          <cell r="B3804">
            <v>8001</v>
          </cell>
          <cell r="C3804" t="str">
            <v>Máy khoan điện cầm tay 0,6kw</v>
          </cell>
          <cell r="D3804" t="str">
            <v>ca</v>
          </cell>
          <cell r="E3804">
            <v>0.01</v>
          </cell>
          <cell r="F3804">
            <v>15492.584615384616</v>
          </cell>
          <cell r="G3804">
            <v>154.92584615384615</v>
          </cell>
        </row>
        <row r="3805">
          <cell r="A3805" t="str">
            <v>T4.5204</v>
          </cell>
          <cell r="C3805" t="str">
            <v>Lắp đặt thanh cái ống kích thước &lt;=200mm</v>
          </cell>
          <cell r="D3805" t="str">
            <v>10m</v>
          </cell>
          <cell r="H3805">
            <v>9350</v>
          </cell>
          <cell r="I3805">
            <v>681381.61184210528</v>
          </cell>
          <cell r="J3805">
            <v>19381.10828901099</v>
          </cell>
        </row>
        <row r="3806">
          <cell r="C3806" t="str">
            <v>Vật liệu</v>
          </cell>
          <cell r="G3806">
            <v>9350</v>
          </cell>
        </row>
        <row r="3807">
          <cell r="B3807">
            <v>9</v>
          </cell>
          <cell r="C3807" t="str">
            <v>Giẻ lau</v>
          </cell>
          <cell r="D3807" t="str">
            <v>kg</v>
          </cell>
          <cell r="E3807">
            <v>0.4</v>
          </cell>
          <cell r="F3807">
            <v>9500</v>
          </cell>
          <cell r="G3807">
            <v>3800</v>
          </cell>
        </row>
        <row r="3808">
          <cell r="B3808">
            <v>14</v>
          </cell>
          <cell r="C3808" t="str">
            <v>Sơn màu Bach Tuyết</v>
          </cell>
          <cell r="D3808" t="str">
            <v>kg</v>
          </cell>
          <cell r="E3808">
            <v>0.1</v>
          </cell>
          <cell r="F3808">
            <v>47000</v>
          </cell>
          <cell r="G3808">
            <v>4700</v>
          </cell>
        </row>
        <row r="3809">
          <cell r="B3809">
            <v>117</v>
          </cell>
          <cell r="C3809" t="str">
            <v>Vật liệu khác</v>
          </cell>
          <cell r="D3809" t="str">
            <v>%</v>
          </cell>
          <cell r="E3809">
            <v>10</v>
          </cell>
          <cell r="G3809">
            <v>850</v>
          </cell>
        </row>
        <row r="3810">
          <cell r="C3810" t="str">
            <v>Nhân công</v>
          </cell>
          <cell r="G3810">
            <v>681381.61184210528</v>
          </cell>
        </row>
        <row r="3811">
          <cell r="B3811" t="str">
            <v>NC1407</v>
          </cell>
          <cell r="C3811" t="str">
            <v>Ngày công bậc 4,0/7</v>
          </cell>
          <cell r="D3811" t="str">
            <v>công</v>
          </cell>
          <cell r="E3811">
            <v>3.5</v>
          </cell>
          <cell r="F3811">
            <v>194680.46052631579</v>
          </cell>
          <cell r="G3811">
            <v>681381.61184210528</v>
          </cell>
        </row>
        <row r="3812">
          <cell r="C3812" t="str">
            <v>Máy thi công</v>
          </cell>
          <cell r="G3812">
            <v>19381.10828901099</v>
          </cell>
        </row>
        <row r="3813">
          <cell r="B3813">
            <v>8016</v>
          </cell>
          <cell r="C3813" t="str">
            <v>Xe nâng thang</v>
          </cell>
          <cell r="D3813" t="str">
            <v>ca</v>
          </cell>
          <cell r="E3813">
            <v>0.01</v>
          </cell>
          <cell r="F3813">
            <v>1922618.2442857146</v>
          </cell>
          <cell r="G3813">
            <v>19226.182442857145</v>
          </cell>
        </row>
        <row r="3814">
          <cell r="B3814">
            <v>8001</v>
          </cell>
          <cell r="C3814" t="str">
            <v>Máy khoan điện cầm tay 0,6kw</v>
          </cell>
          <cell r="D3814" t="str">
            <v>ca</v>
          </cell>
          <cell r="E3814">
            <v>0.01</v>
          </cell>
          <cell r="F3814">
            <v>15492.584615384616</v>
          </cell>
          <cell r="G3814">
            <v>154.92584615384615</v>
          </cell>
        </row>
        <row r="3815">
          <cell r="A3815" t="str">
            <v>T4.6101</v>
          </cell>
          <cell r="C3815" t="str">
            <v>Nối  thanh cái dẹt kích thước 25x4</v>
          </cell>
          <cell r="D3815" t="str">
            <v>mối</v>
          </cell>
          <cell r="H3815">
            <v>162526.39999999999</v>
          </cell>
          <cell r="I3815">
            <v>204414.48355263157</v>
          </cell>
          <cell r="J3815">
            <v>5422.4046153846157</v>
          </cell>
        </row>
        <row r="3816">
          <cell r="C3816" t="str">
            <v>Vật liệu</v>
          </cell>
          <cell r="G3816">
            <v>162526.39999999999</v>
          </cell>
        </row>
        <row r="3817">
          <cell r="B3817">
            <v>3</v>
          </cell>
          <cell r="C3817" t="str">
            <v>Xăng</v>
          </cell>
          <cell r="D3817" t="str">
            <v>kg</v>
          </cell>
          <cell r="E3817">
            <v>0.2</v>
          </cell>
          <cell r="F3817">
            <v>18382</v>
          </cell>
          <cell r="G3817">
            <v>3676.4</v>
          </cell>
        </row>
        <row r="3818">
          <cell r="B3818">
            <v>20</v>
          </cell>
          <cell r="C3818" t="str">
            <v>Thiếc hàn</v>
          </cell>
          <cell r="D3818" t="str">
            <v>kg</v>
          </cell>
          <cell r="E3818">
            <v>0.2</v>
          </cell>
          <cell r="F3818">
            <v>80000</v>
          </cell>
          <cell r="G3818">
            <v>16000</v>
          </cell>
        </row>
        <row r="3819">
          <cell r="B3819">
            <v>9</v>
          </cell>
          <cell r="C3819" t="str">
            <v>Giẻ lau</v>
          </cell>
          <cell r="D3819" t="str">
            <v>kg</v>
          </cell>
          <cell r="E3819">
            <v>0.1</v>
          </cell>
          <cell r="F3819">
            <v>9500</v>
          </cell>
          <cell r="G3819">
            <v>950</v>
          </cell>
        </row>
        <row r="3820">
          <cell r="B3820">
            <v>27</v>
          </cell>
          <cell r="C3820" t="str">
            <v>Bulông êcu M 16x50</v>
          </cell>
          <cell r="D3820" t="str">
            <v>bộ</v>
          </cell>
          <cell r="E3820">
            <v>40</v>
          </cell>
          <cell r="F3820">
            <v>3500</v>
          </cell>
          <cell r="G3820">
            <v>140000</v>
          </cell>
        </row>
        <row r="3821">
          <cell r="B3821">
            <v>1</v>
          </cell>
          <cell r="C3821" t="str">
            <v>Cồn công nghiệp</v>
          </cell>
          <cell r="D3821" t="str">
            <v>kg</v>
          </cell>
          <cell r="E3821">
            <v>0.2</v>
          </cell>
          <cell r="F3821">
            <v>9500</v>
          </cell>
          <cell r="G3821">
            <v>1900</v>
          </cell>
        </row>
        <row r="3822">
          <cell r="B3822">
            <v>4</v>
          </cell>
          <cell r="C3822" t="str">
            <v>Giấy ráp</v>
          </cell>
          <cell r="D3822" t="str">
            <v>tờ</v>
          </cell>
          <cell r="E3822">
            <v>0.5</v>
          </cell>
          <cell r="F3822">
            <v>10000</v>
          </cell>
          <cell r="G3822">
            <v>5000</v>
          </cell>
        </row>
        <row r="3823">
          <cell r="C3823" t="str">
            <v>Nhân công</v>
          </cell>
          <cell r="G3823">
            <v>204414.48355263157</v>
          </cell>
        </row>
        <row r="3824">
          <cell r="B3824" t="str">
            <v>NC1407</v>
          </cell>
          <cell r="C3824" t="str">
            <v>Ngày công bậc 4,0/7</v>
          </cell>
          <cell r="D3824" t="str">
            <v>công</v>
          </cell>
          <cell r="E3824">
            <v>1.05</v>
          </cell>
          <cell r="F3824">
            <v>194680.46052631579</v>
          </cell>
          <cell r="G3824">
            <v>204414.48355263157</v>
          </cell>
        </row>
        <row r="3825">
          <cell r="C3825" t="str">
            <v>Máy thi công</v>
          </cell>
          <cell r="G3825">
            <v>5422.4046153846157</v>
          </cell>
        </row>
        <row r="3826">
          <cell r="B3826">
            <v>8012</v>
          </cell>
          <cell r="C3826" t="str">
            <v>Đèn khò</v>
          </cell>
          <cell r="D3826" t="str">
            <v>ca</v>
          </cell>
          <cell r="E3826">
            <v>0.01</v>
          </cell>
          <cell r="G3826">
            <v>0</v>
          </cell>
        </row>
        <row r="3827">
          <cell r="B3827">
            <v>8001</v>
          </cell>
          <cell r="C3827" t="str">
            <v>Máy khoan điện cầm tay 0,6kw</v>
          </cell>
          <cell r="D3827" t="str">
            <v>ca</v>
          </cell>
          <cell r="E3827">
            <v>0.35</v>
          </cell>
          <cell r="F3827">
            <v>15492.584615384616</v>
          </cell>
          <cell r="G3827">
            <v>5422.4046153846157</v>
          </cell>
        </row>
        <row r="3828">
          <cell r="A3828" t="str">
            <v>T4.6102</v>
          </cell>
          <cell r="C3828" t="str">
            <v>Nối  thanh cái dẹt kích thước 40x4</v>
          </cell>
          <cell r="D3828" t="str">
            <v>mối</v>
          </cell>
          <cell r="H3828">
            <v>170526.4</v>
          </cell>
          <cell r="I3828">
            <v>286180.2769736842</v>
          </cell>
          <cell r="J3828">
            <v>7591.3664615384614</v>
          </cell>
        </row>
        <row r="3829">
          <cell r="C3829" t="str">
            <v>Vật liệu</v>
          </cell>
          <cell r="G3829">
            <v>170526.4</v>
          </cell>
        </row>
        <row r="3830">
          <cell r="B3830">
            <v>3</v>
          </cell>
          <cell r="C3830" t="str">
            <v>Xăng</v>
          </cell>
          <cell r="D3830" t="str">
            <v>kg</v>
          </cell>
          <cell r="E3830">
            <v>0.2</v>
          </cell>
          <cell r="F3830">
            <v>18382</v>
          </cell>
          <cell r="G3830">
            <v>3676.4</v>
          </cell>
        </row>
        <row r="3831">
          <cell r="B3831">
            <v>20</v>
          </cell>
          <cell r="C3831" t="str">
            <v>Thiếc hàn</v>
          </cell>
          <cell r="D3831" t="str">
            <v>kg</v>
          </cell>
          <cell r="E3831">
            <v>0.3</v>
          </cell>
          <cell r="F3831">
            <v>80000</v>
          </cell>
          <cell r="G3831">
            <v>24000</v>
          </cell>
        </row>
        <row r="3832">
          <cell r="B3832">
            <v>9</v>
          </cell>
          <cell r="C3832" t="str">
            <v>Giẻ lau</v>
          </cell>
          <cell r="D3832" t="str">
            <v>kg</v>
          </cell>
          <cell r="E3832">
            <v>0.1</v>
          </cell>
          <cell r="F3832">
            <v>9500</v>
          </cell>
          <cell r="G3832">
            <v>950</v>
          </cell>
        </row>
        <row r="3833">
          <cell r="B3833">
            <v>27</v>
          </cell>
          <cell r="C3833" t="str">
            <v>Bulông êcu M 16x50</v>
          </cell>
          <cell r="D3833" t="str">
            <v>bộ</v>
          </cell>
          <cell r="E3833">
            <v>40</v>
          </cell>
          <cell r="F3833">
            <v>3500</v>
          </cell>
          <cell r="G3833">
            <v>140000</v>
          </cell>
        </row>
        <row r="3834">
          <cell r="B3834">
            <v>1</v>
          </cell>
          <cell r="C3834" t="str">
            <v>Cồn công nghiệp</v>
          </cell>
          <cell r="D3834" t="str">
            <v>kg</v>
          </cell>
          <cell r="E3834">
            <v>0.2</v>
          </cell>
          <cell r="F3834">
            <v>9500</v>
          </cell>
          <cell r="G3834">
            <v>1900</v>
          </cell>
        </row>
        <row r="3835">
          <cell r="B3835">
            <v>4</v>
          </cell>
          <cell r="C3835" t="str">
            <v>Giấy ráp</v>
          </cell>
          <cell r="D3835" t="str">
            <v>tờ</v>
          </cell>
          <cell r="E3835">
            <v>0.5</v>
          </cell>
          <cell r="F3835">
            <v>10000</v>
          </cell>
          <cell r="G3835">
            <v>5000</v>
          </cell>
        </row>
        <row r="3836">
          <cell r="C3836" t="str">
            <v>Nhân công</v>
          </cell>
          <cell r="G3836">
            <v>286180.2769736842</v>
          </cell>
        </row>
        <row r="3837">
          <cell r="B3837" t="str">
            <v>NC1407</v>
          </cell>
          <cell r="C3837" t="str">
            <v>Ngày công bậc 4,0/7</v>
          </cell>
          <cell r="D3837" t="str">
            <v>công</v>
          </cell>
          <cell r="E3837">
            <v>1.47</v>
          </cell>
          <cell r="F3837">
            <v>194680.46052631579</v>
          </cell>
          <cell r="G3837">
            <v>286180.2769736842</v>
          </cell>
        </row>
        <row r="3838">
          <cell r="C3838" t="str">
            <v>Máy thi công</v>
          </cell>
          <cell r="G3838">
            <v>7591.3664615384614</v>
          </cell>
        </row>
        <row r="3839">
          <cell r="B3839">
            <v>8012</v>
          </cell>
          <cell r="C3839" t="str">
            <v>Đèn khò</v>
          </cell>
          <cell r="D3839" t="str">
            <v>ca</v>
          </cell>
          <cell r="E3839">
            <v>0.01</v>
          </cell>
          <cell r="G3839">
            <v>0</v>
          </cell>
        </row>
        <row r="3840">
          <cell r="B3840">
            <v>8001</v>
          </cell>
          <cell r="C3840" t="str">
            <v>Máy khoan điện cầm tay 0,6kw</v>
          </cell>
          <cell r="D3840" t="str">
            <v>ca</v>
          </cell>
          <cell r="E3840">
            <v>0.49</v>
          </cell>
          <cell r="F3840">
            <v>15492.584615384616</v>
          </cell>
          <cell r="G3840">
            <v>7591.3664615384614</v>
          </cell>
        </row>
        <row r="3841">
          <cell r="A3841" t="str">
            <v>T4.6103</v>
          </cell>
          <cell r="C3841" t="str">
            <v>Nối  thanh cái dẹt kích thước 60x6</v>
          </cell>
          <cell r="D3841" t="str">
            <v>mối</v>
          </cell>
          <cell r="H3841">
            <v>176426.4</v>
          </cell>
          <cell r="I3841">
            <v>330956.78289473685</v>
          </cell>
          <cell r="J3841">
            <v>8830.7732307692295</v>
          </cell>
        </row>
        <row r="3842">
          <cell r="C3842" t="str">
            <v>Vật liệu</v>
          </cell>
          <cell r="G3842">
            <v>176426.4</v>
          </cell>
        </row>
        <row r="3843">
          <cell r="B3843">
            <v>3</v>
          </cell>
          <cell r="C3843" t="str">
            <v>Xăng</v>
          </cell>
          <cell r="D3843" t="str">
            <v>kg</v>
          </cell>
          <cell r="E3843">
            <v>0.2</v>
          </cell>
          <cell r="F3843">
            <v>18382</v>
          </cell>
          <cell r="G3843">
            <v>3676.4</v>
          </cell>
        </row>
        <row r="3844">
          <cell r="B3844">
            <v>20</v>
          </cell>
          <cell r="C3844" t="str">
            <v>Thiếc hàn</v>
          </cell>
          <cell r="D3844" t="str">
            <v>kg</v>
          </cell>
          <cell r="E3844">
            <v>0.35</v>
          </cell>
          <cell r="F3844">
            <v>80000</v>
          </cell>
          <cell r="G3844">
            <v>28000</v>
          </cell>
        </row>
        <row r="3845">
          <cell r="B3845">
            <v>9</v>
          </cell>
          <cell r="C3845" t="str">
            <v>Giẻ lau</v>
          </cell>
          <cell r="D3845" t="str">
            <v>kg</v>
          </cell>
          <cell r="E3845">
            <v>0.1</v>
          </cell>
          <cell r="F3845">
            <v>9500</v>
          </cell>
          <cell r="G3845">
            <v>950</v>
          </cell>
        </row>
        <row r="3846">
          <cell r="B3846">
            <v>27</v>
          </cell>
          <cell r="C3846" t="str">
            <v>Bulông êcu M 16x50</v>
          </cell>
          <cell r="D3846" t="str">
            <v>bộ</v>
          </cell>
          <cell r="E3846">
            <v>40</v>
          </cell>
          <cell r="F3846">
            <v>3500</v>
          </cell>
          <cell r="G3846">
            <v>140000</v>
          </cell>
        </row>
        <row r="3847">
          <cell r="B3847">
            <v>1</v>
          </cell>
          <cell r="C3847" t="str">
            <v>Cồn công nghiệp</v>
          </cell>
          <cell r="D3847" t="str">
            <v>kg</v>
          </cell>
          <cell r="E3847">
            <v>0.4</v>
          </cell>
          <cell r="F3847">
            <v>9500</v>
          </cell>
          <cell r="G3847">
            <v>3800</v>
          </cell>
        </row>
        <row r="3848">
          <cell r="B3848">
            <v>4</v>
          </cell>
          <cell r="C3848" t="str">
            <v>Giấy ráp</v>
          </cell>
          <cell r="D3848" t="str">
            <v>tờ</v>
          </cell>
          <cell r="E3848">
            <v>0.5</v>
          </cell>
          <cell r="F3848">
            <v>10000</v>
          </cell>
          <cell r="G3848">
            <v>5000</v>
          </cell>
        </row>
        <row r="3849">
          <cell r="C3849" t="str">
            <v>Nhân công</v>
          </cell>
          <cell r="G3849">
            <v>330956.78289473685</v>
          </cell>
        </row>
        <row r="3850">
          <cell r="B3850" t="str">
            <v>NC1407</v>
          </cell>
          <cell r="C3850" t="str">
            <v>Ngày công bậc 4,0/7</v>
          </cell>
          <cell r="D3850" t="str">
            <v>công</v>
          </cell>
          <cell r="E3850">
            <v>1.7</v>
          </cell>
          <cell r="F3850">
            <v>194680.46052631579</v>
          </cell>
          <cell r="G3850">
            <v>330956.78289473685</v>
          </cell>
        </row>
        <row r="3851">
          <cell r="C3851" t="str">
            <v>Máy thi công</v>
          </cell>
          <cell r="G3851">
            <v>8830.7732307692295</v>
          </cell>
        </row>
        <row r="3852">
          <cell r="B3852">
            <v>8012</v>
          </cell>
          <cell r="C3852" t="str">
            <v>Đèn khò</v>
          </cell>
          <cell r="D3852" t="str">
            <v>ca</v>
          </cell>
          <cell r="E3852">
            <v>0.01</v>
          </cell>
          <cell r="G3852">
            <v>0</v>
          </cell>
        </row>
        <row r="3853">
          <cell r="B3853">
            <v>8001</v>
          </cell>
          <cell r="C3853" t="str">
            <v>Máy khoan điện cầm tay 0,6kw</v>
          </cell>
          <cell r="D3853" t="str">
            <v>ca</v>
          </cell>
          <cell r="E3853">
            <v>0.56999999999999995</v>
          </cell>
          <cell r="F3853">
            <v>15492.584615384616</v>
          </cell>
          <cell r="G3853">
            <v>8830.7732307692295</v>
          </cell>
        </row>
        <row r="3854">
          <cell r="A3854" t="str">
            <v>T4.6104</v>
          </cell>
          <cell r="C3854" t="str">
            <v>Nối  thanh cái dẹt kích thước 80x8</v>
          </cell>
          <cell r="D3854" t="str">
            <v>mối</v>
          </cell>
          <cell r="H3854">
            <v>185052.79999999999</v>
          </cell>
          <cell r="I3854">
            <v>402988.55328947364</v>
          </cell>
          <cell r="J3854">
            <v>10689.883384615385</v>
          </cell>
        </row>
        <row r="3855">
          <cell r="C3855" t="str">
            <v>Vật liệu</v>
          </cell>
          <cell r="G3855">
            <v>185052.79999999999</v>
          </cell>
        </row>
        <row r="3856">
          <cell r="B3856">
            <v>3</v>
          </cell>
          <cell r="C3856" t="str">
            <v>Xăng</v>
          </cell>
          <cell r="D3856" t="str">
            <v>kg</v>
          </cell>
          <cell r="E3856">
            <v>0.4</v>
          </cell>
          <cell r="F3856">
            <v>18382</v>
          </cell>
          <cell r="G3856">
            <v>7352.8</v>
          </cell>
        </row>
        <row r="3857">
          <cell r="B3857">
            <v>20</v>
          </cell>
          <cell r="C3857" t="str">
            <v>Thiếc hàn</v>
          </cell>
          <cell r="D3857" t="str">
            <v>kg</v>
          </cell>
          <cell r="E3857">
            <v>0.4</v>
          </cell>
          <cell r="F3857">
            <v>80000</v>
          </cell>
          <cell r="G3857">
            <v>32000</v>
          </cell>
        </row>
        <row r="3858">
          <cell r="B3858">
            <v>9</v>
          </cell>
          <cell r="C3858" t="str">
            <v>Giẻ lau</v>
          </cell>
          <cell r="D3858" t="str">
            <v>kg</v>
          </cell>
          <cell r="E3858">
            <v>0.1</v>
          </cell>
          <cell r="F3858">
            <v>9500</v>
          </cell>
          <cell r="G3858">
            <v>950</v>
          </cell>
        </row>
        <row r="3859">
          <cell r="B3859">
            <v>27</v>
          </cell>
          <cell r="C3859" t="str">
            <v>Bulông êcu M 16x50</v>
          </cell>
          <cell r="D3859" t="str">
            <v>bộ</v>
          </cell>
          <cell r="E3859">
            <v>40</v>
          </cell>
          <cell r="F3859">
            <v>3500</v>
          </cell>
          <cell r="G3859">
            <v>140000</v>
          </cell>
        </row>
        <row r="3860">
          <cell r="B3860">
            <v>1</v>
          </cell>
          <cell r="C3860" t="str">
            <v>Cồn công nghiệp</v>
          </cell>
          <cell r="D3860" t="str">
            <v>kg</v>
          </cell>
          <cell r="E3860">
            <v>0.5</v>
          </cell>
          <cell r="F3860">
            <v>9500</v>
          </cell>
          <cell r="G3860">
            <v>4750</v>
          </cell>
        </row>
        <row r="3861">
          <cell r="B3861">
            <v>4</v>
          </cell>
          <cell r="C3861" t="str">
            <v>Giấy ráp</v>
          </cell>
          <cell r="D3861" t="str">
            <v>tờ</v>
          </cell>
          <cell r="E3861">
            <v>0.7</v>
          </cell>
          <cell r="F3861">
            <v>10000</v>
          </cell>
          <cell r="G3861">
            <v>7000</v>
          </cell>
        </row>
        <row r="3862">
          <cell r="C3862" t="str">
            <v>Nhân công</v>
          </cell>
          <cell r="G3862">
            <v>402988.55328947364</v>
          </cell>
        </row>
        <row r="3863">
          <cell r="B3863" t="str">
            <v>NC1407</v>
          </cell>
          <cell r="C3863" t="str">
            <v>Ngày công bậc 4,0/7</v>
          </cell>
          <cell r="D3863" t="str">
            <v>công</v>
          </cell>
          <cell r="E3863">
            <v>2.0699999999999998</v>
          </cell>
          <cell r="F3863">
            <v>194680.46052631579</v>
          </cell>
          <cell r="G3863">
            <v>402988.55328947364</v>
          </cell>
        </row>
        <row r="3864">
          <cell r="C3864" t="str">
            <v>Máy thi công</v>
          </cell>
          <cell r="G3864">
            <v>10689.883384615385</v>
          </cell>
        </row>
        <row r="3865">
          <cell r="B3865">
            <v>8012</v>
          </cell>
          <cell r="C3865" t="str">
            <v>Đèn khò</v>
          </cell>
          <cell r="D3865" t="str">
            <v>ca</v>
          </cell>
          <cell r="E3865">
            <v>0.02</v>
          </cell>
          <cell r="G3865">
            <v>0</v>
          </cell>
        </row>
        <row r="3866">
          <cell r="B3866">
            <v>8001</v>
          </cell>
          <cell r="C3866" t="str">
            <v>Máy khoan điện cầm tay 0,6kw</v>
          </cell>
          <cell r="D3866" t="str">
            <v>ca</v>
          </cell>
          <cell r="E3866">
            <v>0.69</v>
          </cell>
          <cell r="F3866">
            <v>15492.584615384616</v>
          </cell>
          <cell r="G3866">
            <v>10689.883384615385</v>
          </cell>
        </row>
        <row r="3867">
          <cell r="A3867" t="str">
            <v>T4.6105</v>
          </cell>
          <cell r="C3867" t="str">
            <v>Nối  thanh cái dẹt kích thước 100x10</v>
          </cell>
          <cell r="D3867" t="str">
            <v>mối</v>
          </cell>
          <cell r="H3867">
            <v>201527.8</v>
          </cell>
          <cell r="I3867">
            <v>584041.38157894742</v>
          </cell>
          <cell r="J3867">
            <v>15492.584615384616</v>
          </cell>
        </row>
        <row r="3868">
          <cell r="C3868" t="str">
            <v>Vật liệu</v>
          </cell>
          <cell r="G3868">
            <v>201527.8</v>
          </cell>
        </row>
        <row r="3869">
          <cell r="B3869">
            <v>3</v>
          </cell>
          <cell r="C3869" t="str">
            <v>Xăng</v>
          </cell>
          <cell r="D3869" t="str">
            <v>kg</v>
          </cell>
          <cell r="E3869">
            <v>0.4</v>
          </cell>
          <cell r="F3869">
            <v>18382</v>
          </cell>
          <cell r="G3869">
            <v>7352.8</v>
          </cell>
        </row>
        <row r="3870">
          <cell r="B3870">
            <v>20</v>
          </cell>
          <cell r="C3870" t="str">
            <v>Thiếc hàn</v>
          </cell>
          <cell r="D3870" t="str">
            <v>kg</v>
          </cell>
          <cell r="E3870">
            <v>0.6</v>
          </cell>
          <cell r="F3870">
            <v>80000</v>
          </cell>
          <cell r="G3870">
            <v>48000</v>
          </cell>
        </row>
        <row r="3871">
          <cell r="B3871">
            <v>9</v>
          </cell>
          <cell r="C3871" t="str">
            <v>Giẻ lau</v>
          </cell>
          <cell r="D3871" t="str">
            <v>kg</v>
          </cell>
          <cell r="E3871">
            <v>0.15</v>
          </cell>
          <cell r="F3871">
            <v>9500</v>
          </cell>
          <cell r="G3871">
            <v>1425</v>
          </cell>
        </row>
        <row r="3872">
          <cell r="B3872">
            <v>27</v>
          </cell>
          <cell r="C3872" t="str">
            <v>Bulông êcu M 16x50</v>
          </cell>
          <cell r="D3872" t="str">
            <v>bộ</v>
          </cell>
          <cell r="E3872">
            <v>40</v>
          </cell>
          <cell r="F3872">
            <v>3500</v>
          </cell>
          <cell r="G3872">
            <v>140000</v>
          </cell>
        </row>
        <row r="3873">
          <cell r="B3873">
            <v>1</v>
          </cell>
          <cell r="C3873" t="str">
            <v>Cồn công nghiệp</v>
          </cell>
          <cell r="D3873" t="str">
            <v>kg</v>
          </cell>
          <cell r="E3873">
            <v>0.5</v>
          </cell>
          <cell r="F3873">
            <v>9500</v>
          </cell>
          <cell r="G3873">
            <v>4750</v>
          </cell>
        </row>
        <row r="3874">
          <cell r="B3874">
            <v>4</v>
          </cell>
          <cell r="C3874" t="str">
            <v>Giấy ráp</v>
          </cell>
          <cell r="D3874" t="str">
            <v>tờ</v>
          </cell>
          <cell r="E3874">
            <v>0.7</v>
          </cell>
          <cell r="F3874">
            <v>10000</v>
          </cell>
          <cell r="G3874">
            <v>7000</v>
          </cell>
        </row>
        <row r="3875">
          <cell r="C3875" t="str">
            <v>Nhân công</v>
          </cell>
          <cell r="G3875">
            <v>584041.38157894742</v>
          </cell>
        </row>
        <row r="3876">
          <cell r="B3876" t="str">
            <v>NC1407</v>
          </cell>
          <cell r="C3876" t="str">
            <v>Ngày công bậc 4,0/7</v>
          </cell>
          <cell r="D3876" t="str">
            <v>công</v>
          </cell>
          <cell r="E3876">
            <v>3</v>
          </cell>
          <cell r="F3876">
            <v>194680.46052631579</v>
          </cell>
          <cell r="G3876">
            <v>584041.38157894742</v>
          </cell>
        </row>
        <row r="3877">
          <cell r="C3877" t="str">
            <v>Máy thi công</v>
          </cell>
          <cell r="G3877">
            <v>15492.584615384616</v>
          </cell>
        </row>
        <row r="3878">
          <cell r="B3878">
            <v>8012</v>
          </cell>
          <cell r="C3878" t="str">
            <v>Đèn khò</v>
          </cell>
          <cell r="D3878" t="str">
            <v>ca</v>
          </cell>
          <cell r="E3878">
            <v>0.02</v>
          </cell>
          <cell r="F3878">
            <v>0</v>
          </cell>
          <cell r="G3878">
            <v>0</v>
          </cell>
        </row>
        <row r="3879">
          <cell r="B3879">
            <v>8001</v>
          </cell>
          <cell r="C3879" t="str">
            <v>Máy khoan điện cầm tay 0,6kw</v>
          </cell>
          <cell r="D3879" t="str">
            <v>ca</v>
          </cell>
          <cell r="E3879">
            <v>1</v>
          </cell>
          <cell r="F3879">
            <v>15492.584615384616</v>
          </cell>
          <cell r="G3879">
            <v>15492.584615384616</v>
          </cell>
        </row>
        <row r="3880">
          <cell r="A3880" t="str">
            <v>T4.6106</v>
          </cell>
          <cell r="C3880" t="str">
            <v>Nối  thanh cái dẹt kích thước 120x10</v>
          </cell>
          <cell r="D3880" t="str">
            <v>mối</v>
          </cell>
          <cell r="H3880">
            <v>205527.8</v>
          </cell>
          <cell r="I3880">
            <v>658019.95657894737</v>
          </cell>
          <cell r="J3880">
            <v>17506.620615384614</v>
          </cell>
        </row>
        <row r="3881">
          <cell r="C3881" t="str">
            <v>Vật liệu</v>
          </cell>
          <cell r="G3881">
            <v>205527.8</v>
          </cell>
        </row>
        <row r="3882">
          <cell r="B3882">
            <v>3</v>
          </cell>
          <cell r="C3882" t="str">
            <v>Xăng</v>
          </cell>
          <cell r="D3882" t="str">
            <v>kg</v>
          </cell>
          <cell r="E3882">
            <v>0.4</v>
          </cell>
          <cell r="F3882">
            <v>18382</v>
          </cell>
          <cell r="G3882">
            <v>7352.8</v>
          </cell>
        </row>
        <row r="3883">
          <cell r="B3883">
            <v>20</v>
          </cell>
          <cell r="C3883" t="str">
            <v>Thiếc hàn</v>
          </cell>
          <cell r="D3883" t="str">
            <v>kg</v>
          </cell>
          <cell r="E3883">
            <v>0.65</v>
          </cell>
          <cell r="F3883">
            <v>80000</v>
          </cell>
          <cell r="G3883">
            <v>52000</v>
          </cell>
        </row>
        <row r="3884">
          <cell r="B3884">
            <v>9</v>
          </cell>
          <cell r="C3884" t="str">
            <v>Giẻ lau</v>
          </cell>
          <cell r="D3884" t="str">
            <v>kg</v>
          </cell>
          <cell r="E3884">
            <v>0.15</v>
          </cell>
          <cell r="F3884">
            <v>9500</v>
          </cell>
          <cell r="G3884">
            <v>1425</v>
          </cell>
        </row>
        <row r="3885">
          <cell r="B3885">
            <v>27</v>
          </cell>
          <cell r="C3885" t="str">
            <v>Bulông êcu M 16x50</v>
          </cell>
          <cell r="D3885" t="str">
            <v>bộ</v>
          </cell>
          <cell r="E3885">
            <v>40</v>
          </cell>
          <cell r="F3885">
            <v>3500</v>
          </cell>
          <cell r="G3885">
            <v>140000</v>
          </cell>
        </row>
        <row r="3886">
          <cell r="B3886">
            <v>1</v>
          </cell>
          <cell r="C3886" t="str">
            <v>Cồn công nghiệp</v>
          </cell>
          <cell r="D3886" t="str">
            <v>kg</v>
          </cell>
          <cell r="E3886">
            <v>0.5</v>
          </cell>
          <cell r="F3886">
            <v>9500</v>
          </cell>
          <cell r="G3886">
            <v>4750</v>
          </cell>
        </row>
        <row r="3887">
          <cell r="B3887">
            <v>4</v>
          </cell>
          <cell r="C3887" t="str">
            <v>Giấy ráp</v>
          </cell>
          <cell r="D3887" t="str">
            <v>tờ</v>
          </cell>
          <cell r="E3887">
            <v>0.8</v>
          </cell>
          <cell r="F3887">
            <v>10000</v>
          </cell>
          <cell r="G3887">
            <v>8000</v>
          </cell>
        </row>
        <row r="3888">
          <cell r="C3888" t="str">
            <v>Nhân công</v>
          </cell>
          <cell r="G3888">
            <v>658019.95657894737</v>
          </cell>
        </row>
        <row r="3889">
          <cell r="B3889" t="str">
            <v>NC1407</v>
          </cell>
          <cell r="C3889" t="str">
            <v>Ngày công bậc 4,0/7</v>
          </cell>
          <cell r="D3889" t="str">
            <v>công</v>
          </cell>
          <cell r="E3889">
            <v>3.38</v>
          </cell>
          <cell r="F3889">
            <v>194680.46052631579</v>
          </cell>
          <cell r="G3889">
            <v>658019.95657894737</v>
          </cell>
        </row>
        <row r="3890">
          <cell r="C3890" t="str">
            <v>Máy thi công</v>
          </cell>
          <cell r="G3890">
            <v>17506.620615384614</v>
          </cell>
        </row>
        <row r="3891">
          <cell r="B3891">
            <v>8012</v>
          </cell>
          <cell r="C3891" t="str">
            <v>Đèn khò</v>
          </cell>
          <cell r="D3891" t="str">
            <v>ca</v>
          </cell>
          <cell r="E3891">
            <v>0.02</v>
          </cell>
          <cell r="F3891">
            <v>0</v>
          </cell>
          <cell r="G3891">
            <v>0</v>
          </cell>
        </row>
        <row r="3892">
          <cell r="B3892">
            <v>8001</v>
          </cell>
          <cell r="C3892" t="str">
            <v>Máy khoan điện cầm tay 0,6kw</v>
          </cell>
          <cell r="D3892" t="str">
            <v>ca</v>
          </cell>
          <cell r="E3892">
            <v>1.1299999999999999</v>
          </cell>
          <cell r="F3892">
            <v>15492.584615384616</v>
          </cell>
          <cell r="G3892">
            <v>17506.620615384614</v>
          </cell>
        </row>
        <row r="3893">
          <cell r="A3893" t="str">
            <v>T4.6201</v>
          </cell>
          <cell r="C3893" t="str">
            <v>Nối  thanh cái ống kích thước &lt;=80mm</v>
          </cell>
          <cell r="D3893" t="str">
            <v>mối</v>
          </cell>
          <cell r="H3893">
            <v>201175</v>
          </cell>
          <cell r="I3893">
            <v>512009.61118421052</v>
          </cell>
          <cell r="J3893">
            <v>13633.474461538462</v>
          </cell>
        </row>
        <row r="3894">
          <cell r="C3894" t="str">
            <v>Vật liệu</v>
          </cell>
          <cell r="G3894">
            <v>201175</v>
          </cell>
        </row>
        <row r="3895">
          <cell r="B3895">
            <v>20</v>
          </cell>
          <cell r="C3895" t="str">
            <v>Thiếc hàn</v>
          </cell>
          <cell r="D3895" t="str">
            <v>kg</v>
          </cell>
          <cell r="E3895">
            <v>0.6</v>
          </cell>
          <cell r="F3895">
            <v>80000</v>
          </cell>
          <cell r="G3895">
            <v>48000</v>
          </cell>
        </row>
        <row r="3896">
          <cell r="B3896">
            <v>9</v>
          </cell>
          <cell r="C3896" t="str">
            <v>Giẻ lau</v>
          </cell>
          <cell r="D3896" t="str">
            <v>kg</v>
          </cell>
          <cell r="E3896">
            <v>0.15</v>
          </cell>
          <cell r="F3896">
            <v>9500</v>
          </cell>
          <cell r="G3896">
            <v>1425</v>
          </cell>
        </row>
        <row r="3897">
          <cell r="B3897">
            <v>27</v>
          </cell>
          <cell r="C3897" t="str">
            <v>Bulông êcu M 16x50</v>
          </cell>
          <cell r="D3897" t="str">
            <v>bộ</v>
          </cell>
          <cell r="E3897">
            <v>40</v>
          </cell>
          <cell r="F3897">
            <v>3500</v>
          </cell>
          <cell r="G3897">
            <v>140000</v>
          </cell>
        </row>
        <row r="3898">
          <cell r="B3898">
            <v>1</v>
          </cell>
          <cell r="C3898" t="str">
            <v>Cồn công nghiệp</v>
          </cell>
          <cell r="D3898" t="str">
            <v>kg</v>
          </cell>
          <cell r="E3898">
            <v>0.5</v>
          </cell>
          <cell r="F3898">
            <v>9500</v>
          </cell>
          <cell r="G3898">
            <v>4750</v>
          </cell>
        </row>
        <row r="3899">
          <cell r="B3899">
            <v>4</v>
          </cell>
          <cell r="C3899" t="str">
            <v>Giấy ráp</v>
          </cell>
          <cell r="D3899" t="str">
            <v>tờ</v>
          </cell>
          <cell r="E3899">
            <v>0.7</v>
          </cell>
          <cell r="F3899">
            <v>10000</v>
          </cell>
          <cell r="G3899">
            <v>7000</v>
          </cell>
        </row>
        <row r="3900">
          <cell r="C3900" t="str">
            <v>Nhân công</v>
          </cell>
          <cell r="G3900">
            <v>512009.61118421052</v>
          </cell>
        </row>
        <row r="3901">
          <cell r="B3901" t="str">
            <v>NC1407</v>
          </cell>
          <cell r="C3901" t="str">
            <v>Ngày công bậc 4,0/7</v>
          </cell>
          <cell r="D3901" t="str">
            <v>công</v>
          </cell>
          <cell r="E3901">
            <v>2.63</v>
          </cell>
          <cell r="F3901">
            <v>194680.46052631579</v>
          </cell>
          <cell r="G3901">
            <v>512009.61118421052</v>
          </cell>
        </row>
        <row r="3902">
          <cell r="C3902" t="str">
            <v>Máy thi công</v>
          </cell>
          <cell r="G3902">
            <v>13633.474461538462</v>
          </cell>
        </row>
        <row r="3903">
          <cell r="B3903">
            <v>8001</v>
          </cell>
          <cell r="C3903" t="str">
            <v>Máy khoan điện cầm tay 0,6kw</v>
          </cell>
          <cell r="D3903" t="str">
            <v>ca</v>
          </cell>
          <cell r="E3903">
            <v>0.88</v>
          </cell>
          <cell r="F3903">
            <v>15492.584615384616</v>
          </cell>
          <cell r="G3903">
            <v>13633.474461538462</v>
          </cell>
        </row>
        <row r="3904">
          <cell r="A3904" t="str">
            <v>T4.6202</v>
          </cell>
          <cell r="C3904" t="str">
            <v>Nối  thanh cái ống kích thước &lt;=100mm</v>
          </cell>
          <cell r="D3904" t="str">
            <v>mối</v>
          </cell>
          <cell r="H3904">
            <v>206175</v>
          </cell>
          <cell r="I3904">
            <v>642445.51973684202</v>
          </cell>
          <cell r="J3904">
            <v>17041.84307692308</v>
          </cell>
        </row>
        <row r="3905">
          <cell r="C3905" t="str">
            <v>Vật liệu</v>
          </cell>
          <cell r="G3905">
            <v>206175</v>
          </cell>
        </row>
        <row r="3906">
          <cell r="B3906">
            <v>20</v>
          </cell>
          <cell r="C3906" t="str">
            <v>Thiếc hàn</v>
          </cell>
          <cell r="D3906" t="str">
            <v>kg</v>
          </cell>
          <cell r="E3906">
            <v>0.65</v>
          </cell>
          <cell r="F3906">
            <v>80000</v>
          </cell>
          <cell r="G3906">
            <v>52000</v>
          </cell>
        </row>
        <row r="3907">
          <cell r="B3907">
            <v>9</v>
          </cell>
          <cell r="C3907" t="str">
            <v>Giẻ lau</v>
          </cell>
          <cell r="D3907" t="str">
            <v>kg</v>
          </cell>
          <cell r="E3907">
            <v>0.15</v>
          </cell>
          <cell r="F3907">
            <v>9500</v>
          </cell>
          <cell r="G3907">
            <v>1425</v>
          </cell>
        </row>
        <row r="3908">
          <cell r="B3908">
            <v>27</v>
          </cell>
          <cell r="C3908" t="str">
            <v>Bulông êcu M 16x50</v>
          </cell>
          <cell r="D3908" t="str">
            <v>bộ</v>
          </cell>
          <cell r="E3908">
            <v>40</v>
          </cell>
          <cell r="F3908">
            <v>3500</v>
          </cell>
          <cell r="G3908">
            <v>140000</v>
          </cell>
        </row>
        <row r="3909">
          <cell r="B3909">
            <v>1</v>
          </cell>
          <cell r="C3909" t="str">
            <v>Cồn công nghiệp</v>
          </cell>
          <cell r="D3909" t="str">
            <v>kg</v>
          </cell>
          <cell r="E3909">
            <v>0.5</v>
          </cell>
          <cell r="F3909">
            <v>9500</v>
          </cell>
          <cell r="G3909">
            <v>4750</v>
          </cell>
        </row>
        <row r="3910">
          <cell r="B3910">
            <v>4</v>
          </cell>
          <cell r="C3910" t="str">
            <v>Giấy ráp</v>
          </cell>
          <cell r="D3910" t="str">
            <v>tờ</v>
          </cell>
          <cell r="E3910">
            <v>0.8</v>
          </cell>
          <cell r="F3910">
            <v>10000</v>
          </cell>
          <cell r="G3910">
            <v>8000</v>
          </cell>
        </row>
        <row r="3911">
          <cell r="C3911" t="str">
            <v>Nhân công</v>
          </cell>
          <cell r="G3911">
            <v>642445.51973684202</v>
          </cell>
        </row>
        <row r="3912">
          <cell r="B3912" t="str">
            <v>NC1407</v>
          </cell>
          <cell r="C3912" t="str">
            <v>Ngày công bậc 4,0/7</v>
          </cell>
          <cell r="D3912" t="str">
            <v>công</v>
          </cell>
          <cell r="E3912">
            <v>3.3</v>
          </cell>
          <cell r="F3912">
            <v>194680.46052631579</v>
          </cell>
          <cell r="G3912">
            <v>642445.51973684202</v>
          </cell>
        </row>
        <row r="3913">
          <cell r="C3913" t="str">
            <v>Máy thi công</v>
          </cell>
          <cell r="G3913">
            <v>17041.84307692308</v>
          </cell>
        </row>
        <row r="3914">
          <cell r="B3914">
            <v>8001</v>
          </cell>
          <cell r="C3914" t="str">
            <v>Máy khoan điện cầm tay 0,6kw</v>
          </cell>
          <cell r="D3914" t="str">
            <v>ca</v>
          </cell>
          <cell r="E3914">
            <v>1.1000000000000001</v>
          </cell>
          <cell r="F3914">
            <v>15492.584615384616</v>
          </cell>
          <cell r="G3914">
            <v>17041.84307692308</v>
          </cell>
        </row>
        <row r="3915">
          <cell r="A3915" t="str">
            <v>T4.6203</v>
          </cell>
          <cell r="C3915" t="str">
            <v>Nối  thanh cái ống kích thước &lt;=150mm</v>
          </cell>
          <cell r="D3915" t="str">
            <v>mối</v>
          </cell>
          <cell r="H3915">
            <v>220460</v>
          </cell>
          <cell r="I3915">
            <v>788455.86513157887</v>
          </cell>
          <cell r="J3915">
            <v>20914.989230769232</v>
          </cell>
        </row>
        <row r="3916">
          <cell r="C3916" t="str">
            <v>Vật liệu</v>
          </cell>
          <cell r="G3916">
            <v>220460</v>
          </cell>
        </row>
        <row r="3917">
          <cell r="B3917">
            <v>20</v>
          </cell>
          <cell r="C3917" t="str">
            <v>Thiếc hàn</v>
          </cell>
          <cell r="D3917" t="str">
            <v>kg</v>
          </cell>
          <cell r="E3917">
            <v>0.8</v>
          </cell>
          <cell r="F3917">
            <v>80000</v>
          </cell>
          <cell r="G3917">
            <v>64000</v>
          </cell>
        </row>
        <row r="3918">
          <cell r="B3918">
            <v>9</v>
          </cell>
          <cell r="C3918" t="str">
            <v>Giẻ lau</v>
          </cell>
          <cell r="D3918" t="str">
            <v>kg</v>
          </cell>
          <cell r="E3918">
            <v>0.18</v>
          </cell>
          <cell r="F3918">
            <v>9500</v>
          </cell>
          <cell r="G3918">
            <v>1710</v>
          </cell>
        </row>
        <row r="3919">
          <cell r="B3919">
            <v>27</v>
          </cell>
          <cell r="C3919" t="str">
            <v>Bulông êcu M 16x50</v>
          </cell>
          <cell r="D3919" t="str">
            <v>bộ</v>
          </cell>
          <cell r="E3919">
            <v>40</v>
          </cell>
          <cell r="F3919">
            <v>3500</v>
          </cell>
          <cell r="G3919">
            <v>140000</v>
          </cell>
        </row>
        <row r="3920">
          <cell r="B3920">
            <v>1</v>
          </cell>
          <cell r="C3920" t="str">
            <v>Cồn công nghiệp</v>
          </cell>
          <cell r="D3920" t="str">
            <v>kg</v>
          </cell>
          <cell r="E3920">
            <v>0.5</v>
          </cell>
          <cell r="F3920">
            <v>9500</v>
          </cell>
          <cell r="G3920">
            <v>4750</v>
          </cell>
        </row>
        <row r="3921">
          <cell r="B3921">
            <v>4</v>
          </cell>
          <cell r="C3921" t="str">
            <v>Giấy ráp</v>
          </cell>
          <cell r="D3921" t="str">
            <v>tờ</v>
          </cell>
          <cell r="E3921">
            <v>1</v>
          </cell>
          <cell r="F3921">
            <v>10000</v>
          </cell>
          <cell r="G3921">
            <v>10000</v>
          </cell>
        </row>
        <row r="3922">
          <cell r="C3922" t="str">
            <v>Nhân công</v>
          </cell>
          <cell r="G3922">
            <v>788455.86513157887</v>
          </cell>
        </row>
        <row r="3923">
          <cell r="B3923" t="str">
            <v>NC1407</v>
          </cell>
          <cell r="C3923" t="str">
            <v>Ngày công bậc 4,0/7</v>
          </cell>
          <cell r="D3923" t="str">
            <v>công</v>
          </cell>
          <cell r="E3923">
            <v>4.05</v>
          </cell>
          <cell r="F3923">
            <v>194680.46052631579</v>
          </cell>
          <cell r="G3923">
            <v>788455.86513157887</v>
          </cell>
        </row>
        <row r="3924">
          <cell r="C3924" t="str">
            <v>Máy thi công</v>
          </cell>
          <cell r="G3924">
            <v>20914.989230769232</v>
          </cell>
        </row>
        <row r="3925">
          <cell r="B3925">
            <v>8001</v>
          </cell>
          <cell r="C3925" t="str">
            <v>Máy khoan điện cầm tay 0,6kw</v>
          </cell>
          <cell r="D3925" t="str">
            <v>ca</v>
          </cell>
          <cell r="E3925">
            <v>1.35</v>
          </cell>
          <cell r="F3925">
            <v>15492.584615384616</v>
          </cell>
          <cell r="G3925">
            <v>20914.989230769232</v>
          </cell>
        </row>
        <row r="3926">
          <cell r="A3926" t="str">
            <v>T4.6204</v>
          </cell>
          <cell r="C3926" t="str">
            <v>Nối  thanh cái ống kích thước &lt;=200mm</v>
          </cell>
          <cell r="D3926" t="str">
            <v>mối</v>
          </cell>
          <cell r="H3926">
            <v>228650</v>
          </cell>
          <cell r="I3926">
            <v>1022072.4177631579</v>
          </cell>
          <cell r="J3926">
            <v>27112.023076923077</v>
          </cell>
        </row>
        <row r="3927">
          <cell r="C3927" t="str">
            <v>Vật liệu</v>
          </cell>
          <cell r="G3927">
            <v>228650</v>
          </cell>
        </row>
        <row r="3928">
          <cell r="B3928">
            <v>20</v>
          </cell>
          <cell r="C3928" t="str">
            <v>Thiếc hàn</v>
          </cell>
          <cell r="D3928" t="str">
            <v>kg</v>
          </cell>
          <cell r="E3928">
            <v>0.9</v>
          </cell>
          <cell r="F3928">
            <v>80000</v>
          </cell>
          <cell r="G3928">
            <v>72000</v>
          </cell>
        </row>
        <row r="3929">
          <cell r="B3929">
            <v>9</v>
          </cell>
          <cell r="C3929" t="str">
            <v>Giẻ lau</v>
          </cell>
          <cell r="D3929" t="str">
            <v>kg</v>
          </cell>
          <cell r="E3929">
            <v>0.2</v>
          </cell>
          <cell r="F3929">
            <v>9500</v>
          </cell>
          <cell r="G3929">
            <v>1900</v>
          </cell>
        </row>
        <row r="3930">
          <cell r="B3930">
            <v>27</v>
          </cell>
          <cell r="C3930" t="str">
            <v>Bulông êcu M 16x50</v>
          </cell>
          <cell r="D3930" t="str">
            <v>bộ</v>
          </cell>
          <cell r="E3930">
            <v>40</v>
          </cell>
          <cell r="F3930">
            <v>3500</v>
          </cell>
          <cell r="G3930">
            <v>140000</v>
          </cell>
        </row>
        <row r="3931">
          <cell r="B3931">
            <v>1</v>
          </cell>
          <cell r="C3931" t="str">
            <v>Cồn công nghiệp</v>
          </cell>
          <cell r="D3931" t="str">
            <v>kg</v>
          </cell>
          <cell r="E3931">
            <v>0.5</v>
          </cell>
          <cell r="F3931">
            <v>9500</v>
          </cell>
          <cell r="G3931">
            <v>4750</v>
          </cell>
        </row>
        <row r="3932">
          <cell r="B3932">
            <v>4</v>
          </cell>
          <cell r="C3932" t="str">
            <v>Giấy ráp</v>
          </cell>
          <cell r="D3932" t="str">
            <v>tờ</v>
          </cell>
          <cell r="E3932">
            <v>1</v>
          </cell>
          <cell r="F3932">
            <v>10000</v>
          </cell>
          <cell r="G3932">
            <v>10000</v>
          </cell>
        </row>
        <row r="3933">
          <cell r="C3933" t="str">
            <v>Nhân công</v>
          </cell>
          <cell r="G3933">
            <v>1022072.4177631579</v>
          </cell>
        </row>
        <row r="3934">
          <cell r="B3934" t="str">
            <v>NC1407</v>
          </cell>
          <cell r="C3934" t="str">
            <v>Ngày công bậc 4,0/7</v>
          </cell>
          <cell r="D3934" t="str">
            <v>công</v>
          </cell>
          <cell r="E3934">
            <v>5.25</v>
          </cell>
          <cell r="F3934">
            <v>194680.46052631579</v>
          </cell>
          <cell r="G3934">
            <v>1022072.4177631579</v>
          </cell>
        </row>
        <row r="3935">
          <cell r="C3935" t="str">
            <v>Máy thi công</v>
          </cell>
          <cell r="G3935">
            <v>27112.023076923077</v>
          </cell>
        </row>
        <row r="3936">
          <cell r="B3936">
            <v>8001</v>
          </cell>
          <cell r="C3936" t="str">
            <v>Máy khoan điện cầm tay 0,6kw</v>
          </cell>
          <cell r="D3936" t="str">
            <v>ca</v>
          </cell>
          <cell r="E3936">
            <v>1.75</v>
          </cell>
          <cell r="F3936">
            <v>15492.584615384616</v>
          </cell>
          <cell r="G3936">
            <v>27112.023076923077</v>
          </cell>
        </row>
        <row r="3937">
          <cell r="A3937" t="str">
            <v>04.7001</v>
          </cell>
          <cell r="C3937" t="str">
            <v>Đóng cọc tiếp địa</v>
          </cell>
          <cell r="D3937" t="str">
            <v>cọc</v>
          </cell>
          <cell r="H3937">
            <v>2010</v>
          </cell>
          <cell r="I3937">
            <v>54510.528947368424</v>
          </cell>
          <cell r="J3937">
            <v>0</v>
          </cell>
        </row>
        <row r="3938">
          <cell r="C3938" t="str">
            <v>Vật liệu</v>
          </cell>
          <cell r="G3938">
            <v>2010</v>
          </cell>
        </row>
        <row r="3939">
          <cell r="B3939">
            <v>19</v>
          </cell>
          <cell r="C3939" t="str">
            <v>Que hàn d4</v>
          </cell>
          <cell r="D3939" t="str">
            <v>kg</v>
          </cell>
          <cell r="E3939">
            <v>0.1</v>
          </cell>
          <cell r="F3939">
            <v>20000</v>
          </cell>
          <cell r="G3939">
            <v>2000</v>
          </cell>
        </row>
        <row r="3940">
          <cell r="B3940">
            <v>117</v>
          </cell>
          <cell r="C3940" t="str">
            <v>Vật liệu khác</v>
          </cell>
          <cell r="D3940" t="str">
            <v>%</v>
          </cell>
          <cell r="E3940">
            <v>0.5</v>
          </cell>
          <cell r="F3940">
            <v>0</v>
          </cell>
          <cell r="G3940">
            <v>10</v>
          </cell>
        </row>
        <row r="3941">
          <cell r="C3941" t="str">
            <v>Nhân công</v>
          </cell>
          <cell r="G3941">
            <v>54510.528947368424</v>
          </cell>
        </row>
        <row r="3942">
          <cell r="B3942" t="str">
            <v>NC1407</v>
          </cell>
          <cell r="C3942" t="str">
            <v>Ngày công bậc 4,0/7</v>
          </cell>
          <cell r="D3942" t="str">
            <v>công</v>
          </cell>
          <cell r="E3942">
            <v>0.28000000000000003</v>
          </cell>
          <cell r="F3942">
            <v>194680.46052631579</v>
          </cell>
          <cell r="G3942">
            <v>54510.528947368424</v>
          </cell>
        </row>
        <row r="3943">
          <cell r="C3943" t="str">
            <v>Máy thi công</v>
          </cell>
          <cell r="G3943">
            <v>0</v>
          </cell>
        </row>
        <row r="3944">
          <cell r="B3944">
            <v>7006</v>
          </cell>
          <cell r="C3944" t="str">
            <v>Máy hàn 15kw</v>
          </cell>
          <cell r="D3944" t="str">
            <v>ca</v>
          </cell>
          <cell r="E3944">
            <v>0</v>
          </cell>
          <cell r="F3944">
            <v>313265.60000000003</v>
          </cell>
          <cell r="G3944">
            <v>0</v>
          </cell>
        </row>
        <row r="3945">
          <cell r="A3945" t="str">
            <v>T4.7001</v>
          </cell>
          <cell r="C3945" t="str">
            <v>Kéo rải dây tiếp địa dây đồng trần 100mm2</v>
          </cell>
          <cell r="D3945" t="str">
            <v>10m</v>
          </cell>
          <cell r="H3945">
            <v>2652</v>
          </cell>
          <cell r="I3945">
            <v>56457.333552631571</v>
          </cell>
          <cell r="J3945">
            <v>20362.264000000003</v>
          </cell>
        </row>
        <row r="3946">
          <cell r="C3946" t="str">
            <v>Vật liệu</v>
          </cell>
          <cell r="G3946">
            <v>2652</v>
          </cell>
        </row>
        <row r="3947">
          <cell r="B3947">
            <v>19</v>
          </cell>
          <cell r="C3947" t="str">
            <v>Que hàn d4</v>
          </cell>
          <cell r="D3947" t="str">
            <v>kg</v>
          </cell>
          <cell r="E3947">
            <v>0.13</v>
          </cell>
          <cell r="F3947">
            <v>20000</v>
          </cell>
          <cell r="G3947">
            <v>2600</v>
          </cell>
        </row>
        <row r="3948">
          <cell r="B3948">
            <v>117</v>
          </cell>
          <cell r="C3948" t="str">
            <v>Vật liệu khác</v>
          </cell>
          <cell r="D3948" t="str">
            <v>%</v>
          </cell>
          <cell r="E3948">
            <v>2</v>
          </cell>
          <cell r="F3948">
            <v>0</v>
          </cell>
          <cell r="G3948">
            <v>52</v>
          </cell>
        </row>
        <row r="3949">
          <cell r="C3949" t="str">
            <v>Nhân công</v>
          </cell>
          <cell r="G3949">
            <v>56457.333552631571</v>
          </cell>
        </row>
        <row r="3950">
          <cell r="B3950" t="str">
            <v>NC1407</v>
          </cell>
          <cell r="C3950" t="str">
            <v>Ngày công bậc 4,0/7</v>
          </cell>
          <cell r="D3950" t="str">
            <v>công</v>
          </cell>
          <cell r="E3950">
            <v>0.28999999999999998</v>
          </cell>
          <cell r="F3950">
            <v>194680.46052631579</v>
          </cell>
          <cell r="G3950">
            <v>56457.333552631571</v>
          </cell>
        </row>
        <row r="3951">
          <cell r="C3951" t="str">
            <v>Máy thi công</v>
          </cell>
          <cell r="G3951">
            <v>20362.264000000003</v>
          </cell>
        </row>
        <row r="3952">
          <cell r="B3952">
            <v>8007</v>
          </cell>
          <cell r="C3952" t="str">
            <v>Máy hàn 15kw</v>
          </cell>
          <cell r="D3952" t="str">
            <v>ca</v>
          </cell>
          <cell r="E3952">
            <v>6.5000000000000002E-2</v>
          </cell>
          <cell r="F3952">
            <v>313265.60000000003</v>
          </cell>
          <cell r="G3952">
            <v>20362.264000000003</v>
          </cell>
        </row>
        <row r="3953">
          <cell r="A3953" t="str">
            <v>T4.8001</v>
          </cell>
          <cell r="C3953" t="str">
            <v>Lắp đặt ghế cách điện thang, sàn thao tác</v>
          </cell>
          <cell r="D3953" t="str">
            <v>tấn</v>
          </cell>
          <cell r="I3953">
            <v>2170687.1348684211</v>
          </cell>
        </row>
        <row r="3954">
          <cell r="C3954" t="str">
            <v>Nhân công</v>
          </cell>
          <cell r="G3954">
            <v>2170687.1348684211</v>
          </cell>
        </row>
        <row r="3955">
          <cell r="B3955" t="str">
            <v>NC1407</v>
          </cell>
          <cell r="C3955" t="str">
            <v>Ngày công bậc 4,0/7</v>
          </cell>
          <cell r="D3955" t="str">
            <v>công</v>
          </cell>
          <cell r="E3955">
            <v>11.15</v>
          </cell>
          <cell r="F3955">
            <v>194680.46052631579</v>
          </cell>
          <cell r="G3955">
            <v>2170687.1348684211</v>
          </cell>
        </row>
        <row r="3956">
          <cell r="A3956" t="str">
            <v>T4.8002</v>
          </cell>
          <cell r="C3956" t="str">
            <v>Lắp đặt giá đỡ</v>
          </cell>
          <cell r="D3956" t="str">
            <v>tấn</v>
          </cell>
          <cell r="I3956">
            <v>1974059.8697368421</v>
          </cell>
        </row>
        <row r="3957">
          <cell r="C3957" t="str">
            <v>Nhân công</v>
          </cell>
          <cell r="G3957">
            <v>1974059.8697368421</v>
          </cell>
        </row>
        <row r="3958">
          <cell r="B3958" t="str">
            <v>NC1407</v>
          </cell>
          <cell r="C3958" t="str">
            <v>Ngày công bậc 4,0/7</v>
          </cell>
          <cell r="D3958" t="str">
            <v>công</v>
          </cell>
          <cell r="E3958">
            <v>10.14</v>
          </cell>
          <cell r="F3958">
            <v>194680.46052631579</v>
          </cell>
          <cell r="G3958">
            <v>1974059.8697368421</v>
          </cell>
        </row>
        <row r="3959">
          <cell r="A3959" t="str">
            <v>T4.8003</v>
          </cell>
          <cell r="C3959" t="str">
            <v>Lắp đặt ống bảo vệ PVC</v>
          </cell>
          <cell r="D3959" t="str">
            <v>10m</v>
          </cell>
          <cell r="I3959">
            <v>292020.69078947371</v>
          </cell>
        </row>
        <row r="3960">
          <cell r="C3960" t="str">
            <v>Vật liệu</v>
          </cell>
          <cell r="G3960">
            <v>0</v>
          </cell>
        </row>
        <row r="3961">
          <cell r="B3961">
            <v>116</v>
          </cell>
          <cell r="C3961" t="str">
            <v>Vật liệu cố định ống</v>
          </cell>
          <cell r="D3961" t="str">
            <v>cái</v>
          </cell>
          <cell r="E3961">
            <v>4</v>
          </cell>
          <cell r="F3961">
            <v>0</v>
          </cell>
          <cell r="G3961">
            <v>0</v>
          </cell>
        </row>
        <row r="3962">
          <cell r="C3962" t="str">
            <v>Nhân công</v>
          </cell>
          <cell r="G3962">
            <v>292020.69078947371</v>
          </cell>
        </row>
        <row r="3963">
          <cell r="B3963" t="str">
            <v>NC1407</v>
          </cell>
          <cell r="C3963" t="str">
            <v>Ngày công bậc 4,0/7</v>
          </cell>
          <cell r="D3963" t="str">
            <v>công</v>
          </cell>
          <cell r="E3963">
            <v>1.5</v>
          </cell>
          <cell r="F3963">
            <v>194680.46052631579</v>
          </cell>
          <cell r="G3963">
            <v>292020.69078947371</v>
          </cell>
        </row>
        <row r="3964">
          <cell r="A3964" t="str">
            <v>T4.8004</v>
          </cell>
          <cell r="C3964" t="str">
            <v>Lắp đặt ống bảo vệ Thép</v>
          </cell>
          <cell r="D3964" t="str">
            <v>10m</v>
          </cell>
          <cell r="H3964">
            <v>0</v>
          </cell>
          <cell r="I3964">
            <v>584041.38157894742</v>
          </cell>
        </row>
        <row r="3965">
          <cell r="C3965" t="str">
            <v>Vật liệu</v>
          </cell>
          <cell r="G3965">
            <v>0</v>
          </cell>
        </row>
        <row r="3966">
          <cell r="B3966">
            <v>116</v>
          </cell>
          <cell r="C3966" t="str">
            <v>Vật liệu cố định ống</v>
          </cell>
          <cell r="D3966" t="str">
            <v>cái</v>
          </cell>
          <cell r="E3966">
            <v>4</v>
          </cell>
          <cell r="F3966">
            <v>0</v>
          </cell>
          <cell r="G3966">
            <v>0</v>
          </cell>
        </row>
        <row r="3967">
          <cell r="C3967" t="str">
            <v>Nhân công</v>
          </cell>
          <cell r="G3967">
            <v>584041.38157894742</v>
          </cell>
        </row>
        <row r="3968">
          <cell r="B3968" t="str">
            <v>NC1407</v>
          </cell>
          <cell r="C3968" t="str">
            <v>Ngày công bậc 4,0/7</v>
          </cell>
          <cell r="D3968" t="str">
            <v>công</v>
          </cell>
          <cell r="E3968">
            <v>3</v>
          </cell>
          <cell r="F3968">
            <v>194680.46052631579</v>
          </cell>
          <cell r="G3968">
            <v>584041.38157894742</v>
          </cell>
        </row>
        <row r="3969">
          <cell r="A3969" t="str">
            <v>T4.9301</v>
          </cell>
          <cell r="C3969" t="str">
            <v>Lắp đặt xà Bê tông</v>
          </cell>
          <cell r="D3969" t="str">
            <v>bộ</v>
          </cell>
          <cell r="H3969">
            <v>26418</v>
          </cell>
          <cell r="I3969">
            <v>855461.34</v>
          </cell>
          <cell r="J3969">
            <v>387858.02399999998</v>
          </cell>
        </row>
        <row r="3970">
          <cell r="C3970" t="str">
            <v>Vật liệu</v>
          </cell>
          <cell r="G3970">
            <v>26418</v>
          </cell>
        </row>
        <row r="3971">
          <cell r="B3971">
            <v>7</v>
          </cell>
          <cell r="C3971" t="str">
            <v>Sơn chống rỉ</v>
          </cell>
          <cell r="D3971" t="str">
            <v>kg</v>
          </cell>
          <cell r="E3971">
            <v>0.4</v>
          </cell>
          <cell r="F3971">
            <v>36000</v>
          </cell>
          <cell r="G3971">
            <v>14400</v>
          </cell>
        </row>
        <row r="3972">
          <cell r="B3972">
            <v>47</v>
          </cell>
          <cell r="C3972" t="str">
            <v>Gỗ kê chèn</v>
          </cell>
          <cell r="D3972" t="str">
            <v>m3</v>
          </cell>
          <cell r="E3972">
            <v>5.0000000000000001E-3</v>
          </cell>
          <cell r="F3972">
            <v>2300000</v>
          </cell>
          <cell r="G3972">
            <v>11500</v>
          </cell>
        </row>
        <row r="3973">
          <cell r="B3973">
            <v>117</v>
          </cell>
          <cell r="C3973" t="str">
            <v>Vật liệu khác</v>
          </cell>
          <cell r="D3973" t="str">
            <v>%</v>
          </cell>
          <cell r="E3973">
            <v>2</v>
          </cell>
          <cell r="F3973">
            <v>0</v>
          </cell>
          <cell r="G3973">
            <v>518</v>
          </cell>
        </row>
        <row r="3974">
          <cell r="C3974" t="str">
            <v>Nhân công</v>
          </cell>
          <cell r="G3974">
            <v>855461.34</v>
          </cell>
        </row>
        <row r="3975">
          <cell r="B3975" t="str">
            <v>NC1357</v>
          </cell>
          <cell r="C3975" t="str">
            <v>Ngày công bậc 3,5/7</v>
          </cell>
          <cell r="D3975" t="str">
            <v>công</v>
          </cell>
          <cell r="E3975">
            <v>4.7699999999999996</v>
          </cell>
          <cell r="F3975">
            <v>179342</v>
          </cell>
          <cell r="G3975">
            <v>855461.34</v>
          </cell>
        </row>
        <row r="3976">
          <cell r="C3976" t="str">
            <v>Máy thi công</v>
          </cell>
          <cell r="G3976">
            <v>387858.02399999998</v>
          </cell>
        </row>
        <row r="3977">
          <cell r="B3977">
            <v>8013</v>
          </cell>
          <cell r="C3977" t="str">
            <v>Cần trục bánh hơi 10 tấn</v>
          </cell>
          <cell r="D3977" t="str">
            <v>ca</v>
          </cell>
          <cell r="E3977">
            <v>0.2</v>
          </cell>
          <cell r="F3977">
            <v>1939290.1199999999</v>
          </cell>
          <cell r="G3977">
            <v>387858.02399999998</v>
          </cell>
        </row>
        <row r="3978">
          <cell r="A3978" t="str">
            <v>T4.9302</v>
          </cell>
          <cell r="C3978" t="str">
            <v>Lắp đặt xà Thép trên cột LT nhỏ hơn 20m</v>
          </cell>
          <cell r="D3978" t="str">
            <v>tấn</v>
          </cell>
          <cell r="H3978">
            <v>7938</v>
          </cell>
          <cell r="I3978">
            <v>2227427.64</v>
          </cell>
        </row>
        <row r="3979">
          <cell r="C3979" t="str">
            <v>Vật liệu</v>
          </cell>
          <cell r="G3979">
            <v>7938</v>
          </cell>
        </row>
        <row r="3980">
          <cell r="B3980">
            <v>47</v>
          </cell>
          <cell r="C3980" t="str">
            <v>Gỗ kê chèn</v>
          </cell>
          <cell r="D3980" t="str">
            <v>m3</v>
          </cell>
          <cell r="E3980">
            <v>3.0000000000000001E-3</v>
          </cell>
          <cell r="F3980">
            <v>2300000</v>
          </cell>
          <cell r="G3980">
            <v>6900</v>
          </cell>
        </row>
        <row r="3981">
          <cell r="B3981">
            <v>30</v>
          </cell>
          <cell r="C3981" t="str">
            <v>Dây thép fi 2-4</v>
          </cell>
          <cell r="D3981" t="str">
            <v>KG</v>
          </cell>
          <cell r="E3981">
            <v>0.9</v>
          </cell>
          <cell r="F3981">
            <v>1000</v>
          </cell>
          <cell r="G3981">
            <v>900</v>
          </cell>
        </row>
        <row r="3982">
          <cell r="B3982">
            <v>117</v>
          </cell>
          <cell r="C3982" t="str">
            <v>Vật liệu khác</v>
          </cell>
          <cell r="D3982" t="str">
            <v>%</v>
          </cell>
          <cell r="E3982">
            <v>2</v>
          </cell>
          <cell r="F3982">
            <v>0</v>
          </cell>
          <cell r="G3982">
            <v>138</v>
          </cell>
        </row>
        <row r="3983">
          <cell r="C3983" t="str">
            <v>Nhân công</v>
          </cell>
          <cell r="G3983">
            <v>2227427.64</v>
          </cell>
        </row>
        <row r="3984">
          <cell r="B3984" t="str">
            <v>NC1357</v>
          </cell>
          <cell r="C3984" t="str">
            <v>Ngày công bậc 3,5/7</v>
          </cell>
          <cell r="D3984" t="str">
            <v>công</v>
          </cell>
          <cell r="E3984">
            <v>12.42</v>
          </cell>
          <cell r="F3984">
            <v>179342</v>
          </cell>
          <cell r="G3984">
            <v>2227427.64</v>
          </cell>
        </row>
        <row r="3985">
          <cell r="A3985" t="str">
            <v>T4.9101</v>
          </cell>
          <cell r="C3985" t="str">
            <v>Lắp đặt cột thép liên kết hàn</v>
          </cell>
          <cell r="D3985" t="str">
            <v>tấn</v>
          </cell>
          <cell r="H3985">
            <v>122808</v>
          </cell>
          <cell r="I3985">
            <v>3002185.0799999996</v>
          </cell>
          <cell r="J3985">
            <v>295161.52880000003</v>
          </cell>
        </row>
        <row r="3986">
          <cell r="C3986" t="str">
            <v>Vật liệu</v>
          </cell>
          <cell r="G3986">
            <v>122808</v>
          </cell>
        </row>
        <row r="3987">
          <cell r="B3987">
            <v>30</v>
          </cell>
          <cell r="C3987" t="str">
            <v>Dây thép fi 2-4</v>
          </cell>
          <cell r="D3987" t="str">
            <v>kg</v>
          </cell>
          <cell r="E3987">
            <v>3.2</v>
          </cell>
          <cell r="F3987">
            <v>1000</v>
          </cell>
          <cell r="G3987">
            <v>3200</v>
          </cell>
        </row>
        <row r="3988">
          <cell r="B3988">
            <v>7</v>
          </cell>
          <cell r="C3988" t="str">
            <v>Sơn chống rỉ</v>
          </cell>
          <cell r="D3988" t="str">
            <v>kg</v>
          </cell>
          <cell r="E3988">
            <v>0.4</v>
          </cell>
          <cell r="F3988">
            <v>36000</v>
          </cell>
          <cell r="G3988">
            <v>14400</v>
          </cell>
        </row>
        <row r="3989">
          <cell r="B3989">
            <v>20</v>
          </cell>
          <cell r="C3989" t="str">
            <v>Que hàn d4</v>
          </cell>
          <cell r="D3989" t="str">
            <v>kg</v>
          </cell>
          <cell r="E3989">
            <v>0.3</v>
          </cell>
          <cell r="F3989">
            <v>80000</v>
          </cell>
          <cell r="G3989">
            <v>24000</v>
          </cell>
        </row>
        <row r="3990">
          <cell r="B3990">
            <v>4</v>
          </cell>
          <cell r="C3990" t="str">
            <v>Giấy ráp</v>
          </cell>
          <cell r="D3990" t="str">
            <v>tờ</v>
          </cell>
          <cell r="E3990">
            <v>7</v>
          </cell>
          <cell r="F3990">
            <v>10000</v>
          </cell>
          <cell r="G3990">
            <v>70000</v>
          </cell>
        </row>
        <row r="3991">
          <cell r="B3991">
            <v>9</v>
          </cell>
          <cell r="C3991" t="str">
            <v>Giẻ lau</v>
          </cell>
          <cell r="D3991" t="str">
            <v>kg</v>
          </cell>
          <cell r="E3991">
            <v>0.2</v>
          </cell>
          <cell r="F3991">
            <v>9500</v>
          </cell>
          <cell r="G3991">
            <v>1900</v>
          </cell>
        </row>
        <row r="3992">
          <cell r="C3992" t="str">
            <v>Chổi sơn</v>
          </cell>
          <cell r="D3992" t="str">
            <v>cái</v>
          </cell>
          <cell r="E3992">
            <v>1.5</v>
          </cell>
          <cell r="G3992">
            <v>0</v>
          </cell>
        </row>
        <row r="3993">
          <cell r="B3993">
            <v>47</v>
          </cell>
          <cell r="C3993" t="str">
            <v>Gỗ kê chèn</v>
          </cell>
          <cell r="D3993" t="str">
            <v>m3</v>
          </cell>
          <cell r="E3993">
            <v>3.0000000000000001E-3</v>
          </cell>
          <cell r="F3993">
            <v>2300000</v>
          </cell>
          <cell r="G3993">
            <v>6900</v>
          </cell>
        </row>
        <row r="3994">
          <cell r="B3994">
            <v>117</v>
          </cell>
          <cell r="C3994" t="str">
            <v>Vật liệu khác</v>
          </cell>
          <cell r="D3994" t="str">
            <v>%</v>
          </cell>
          <cell r="E3994">
            <v>2</v>
          </cell>
          <cell r="F3994">
            <v>0</v>
          </cell>
          <cell r="G3994">
            <v>2408</v>
          </cell>
        </row>
        <row r="3995">
          <cell r="C3995" t="str">
            <v>Nhân công</v>
          </cell>
          <cell r="G3995">
            <v>3002185.0799999996</v>
          </cell>
        </row>
        <row r="3996">
          <cell r="B3996" t="str">
            <v>NC1357</v>
          </cell>
          <cell r="C3996" t="str">
            <v>Ngày công bậc 3,5/7</v>
          </cell>
          <cell r="D3996" t="str">
            <v>công</v>
          </cell>
          <cell r="E3996">
            <v>16.739999999999998</v>
          </cell>
          <cell r="F3996">
            <v>179342</v>
          </cell>
          <cell r="G3996">
            <v>3002185.0799999996</v>
          </cell>
        </row>
        <row r="3997">
          <cell r="C3997" t="str">
            <v>Máy thi công</v>
          </cell>
          <cell r="G3997">
            <v>295161.52880000003</v>
          </cell>
        </row>
        <row r="3998">
          <cell r="B3998">
            <v>8014</v>
          </cell>
          <cell r="C3998" t="str">
            <v>Cần trục bánh hơi 10 tấn</v>
          </cell>
          <cell r="D3998" t="str">
            <v>ca</v>
          </cell>
          <cell r="E3998">
            <v>0.12</v>
          </cell>
          <cell r="F3998">
            <v>2198624.7400000002</v>
          </cell>
          <cell r="G3998">
            <v>263834.96880000003</v>
          </cell>
        </row>
        <row r="3999">
          <cell r="B3999">
            <v>8007</v>
          </cell>
          <cell r="C3999" t="str">
            <v>Máy hàn 15kw</v>
          </cell>
          <cell r="D3999" t="str">
            <v>ca</v>
          </cell>
          <cell r="E3999">
            <v>0.1</v>
          </cell>
          <cell r="F3999">
            <v>313265.60000000003</v>
          </cell>
          <cell r="G3999">
            <v>31326.560000000005</v>
          </cell>
        </row>
        <row r="4000">
          <cell r="A4000" t="str">
            <v>T4.9102</v>
          </cell>
          <cell r="C4000" t="str">
            <v>Lắp đặt cột thép liên kết Bulong</v>
          </cell>
          <cell r="D4000" t="str">
            <v>tấn</v>
          </cell>
          <cell r="H4000">
            <v>7956</v>
          </cell>
          <cell r="I4000">
            <v>2227427.64</v>
          </cell>
        </row>
        <row r="4001">
          <cell r="C4001" t="str">
            <v>Vật liệu</v>
          </cell>
          <cell r="G4001">
            <v>7956</v>
          </cell>
        </row>
        <row r="4002">
          <cell r="B4002">
            <v>30</v>
          </cell>
          <cell r="C4002" t="str">
            <v>Dây thép fi 2-4</v>
          </cell>
          <cell r="D4002" t="str">
            <v>kg</v>
          </cell>
          <cell r="E4002">
            <v>0.9</v>
          </cell>
          <cell r="F4002">
            <v>1000</v>
          </cell>
          <cell r="G4002">
            <v>900</v>
          </cell>
        </row>
        <row r="4003">
          <cell r="B4003">
            <v>47</v>
          </cell>
          <cell r="C4003" t="str">
            <v>Gỗ kê chèn</v>
          </cell>
          <cell r="D4003" t="str">
            <v>m3</v>
          </cell>
          <cell r="E4003">
            <v>3.0000000000000001E-3</v>
          </cell>
          <cell r="F4003">
            <v>2300000</v>
          </cell>
          <cell r="G4003">
            <v>6900</v>
          </cell>
        </row>
        <row r="4004">
          <cell r="B4004">
            <v>117</v>
          </cell>
          <cell r="C4004" t="str">
            <v>Vật liệu khác</v>
          </cell>
          <cell r="D4004" t="str">
            <v>%</v>
          </cell>
          <cell r="E4004">
            <v>2</v>
          </cell>
          <cell r="F4004">
            <v>0</v>
          </cell>
          <cell r="G4004">
            <v>156</v>
          </cell>
        </row>
        <row r="4005">
          <cell r="C4005" t="str">
            <v>Nhân công</v>
          </cell>
          <cell r="G4005">
            <v>2227427.64</v>
          </cell>
        </row>
        <row r="4006">
          <cell r="B4006" t="str">
            <v>NC1357</v>
          </cell>
          <cell r="C4006" t="str">
            <v>Ngày công bậc 3,5/7</v>
          </cell>
          <cell r="D4006" t="str">
            <v>công</v>
          </cell>
          <cell r="E4006">
            <v>12.42</v>
          </cell>
          <cell r="F4006">
            <v>179342</v>
          </cell>
          <cell r="G4006">
            <v>2227427.64</v>
          </cell>
        </row>
        <row r="4007">
          <cell r="A4007" t="str">
            <v>T4.9103</v>
          </cell>
          <cell r="C4007" t="str">
            <v>Lắp đặt cột Bê tông</v>
          </cell>
          <cell r="D4007" t="str">
            <v>cột</v>
          </cell>
          <cell r="H4007">
            <v>15402</v>
          </cell>
          <cell r="I4007">
            <v>855461.34</v>
          </cell>
          <cell r="J4007">
            <v>439724.94800000009</v>
          </cell>
        </row>
        <row r="4008">
          <cell r="C4008" t="str">
            <v>Vật liệu</v>
          </cell>
          <cell r="G4008">
            <v>15402</v>
          </cell>
        </row>
        <row r="4009">
          <cell r="B4009">
            <v>7</v>
          </cell>
          <cell r="C4009" t="str">
            <v>Sơn chống rỉ</v>
          </cell>
          <cell r="D4009" t="str">
            <v>kg</v>
          </cell>
          <cell r="E4009">
            <v>0.1</v>
          </cell>
          <cell r="F4009">
            <v>36000</v>
          </cell>
          <cell r="G4009">
            <v>3600</v>
          </cell>
        </row>
        <row r="4010">
          <cell r="B4010">
            <v>47</v>
          </cell>
          <cell r="C4010" t="str">
            <v>Gỗ kê chèn</v>
          </cell>
          <cell r="D4010" t="str">
            <v>m3</v>
          </cell>
          <cell r="E4010">
            <v>5.0000000000000001E-3</v>
          </cell>
          <cell r="F4010">
            <v>2300000</v>
          </cell>
          <cell r="G4010">
            <v>11500</v>
          </cell>
        </row>
        <row r="4011">
          <cell r="B4011">
            <v>117</v>
          </cell>
          <cell r="C4011" t="str">
            <v>Vật liệu khác</v>
          </cell>
          <cell r="D4011" t="str">
            <v>%</v>
          </cell>
          <cell r="E4011">
            <v>2</v>
          </cell>
          <cell r="F4011">
            <v>0</v>
          </cell>
          <cell r="G4011">
            <v>302</v>
          </cell>
        </row>
        <row r="4012">
          <cell r="C4012" t="str">
            <v>Nhân công</v>
          </cell>
          <cell r="G4012">
            <v>855461.34</v>
          </cell>
        </row>
        <row r="4013">
          <cell r="B4013" t="str">
            <v>NC1357</v>
          </cell>
          <cell r="C4013" t="str">
            <v>Ngày công bậc 3,5/7</v>
          </cell>
          <cell r="D4013" t="str">
            <v>công</v>
          </cell>
          <cell r="E4013">
            <v>4.7699999999999996</v>
          </cell>
          <cell r="F4013">
            <v>179342</v>
          </cell>
          <cell r="G4013">
            <v>855461.34</v>
          </cell>
        </row>
        <row r="4014">
          <cell r="C4014" t="str">
            <v>Máy thi công</v>
          </cell>
          <cell r="G4014">
            <v>439724.94800000009</v>
          </cell>
        </row>
        <row r="4015">
          <cell r="B4015">
            <v>8014</v>
          </cell>
          <cell r="C4015" t="str">
            <v>Cần trục bánh hơi 10 tấn</v>
          </cell>
          <cell r="D4015" t="str">
            <v>ca</v>
          </cell>
          <cell r="E4015">
            <v>0.2</v>
          </cell>
          <cell r="F4015">
            <v>2198624.7400000002</v>
          </cell>
          <cell r="G4015">
            <v>439724.94800000009</v>
          </cell>
        </row>
        <row r="4016">
          <cell r="A4016" t="str">
            <v>T4.9201</v>
          </cell>
          <cell r="C4016" t="str">
            <v>Lắp đặt trụ đỡ Bê tông</v>
          </cell>
          <cell r="D4016" t="str">
            <v>cột</v>
          </cell>
          <cell r="H4016">
            <v>15402</v>
          </cell>
          <cell r="I4016">
            <v>331782.7</v>
          </cell>
          <cell r="J4016">
            <v>219862.47400000005</v>
          </cell>
        </row>
        <row r="4017">
          <cell r="C4017" t="str">
            <v>Vật liệu</v>
          </cell>
          <cell r="G4017">
            <v>15402</v>
          </cell>
        </row>
        <row r="4018">
          <cell r="B4018">
            <v>7</v>
          </cell>
          <cell r="C4018" t="str">
            <v>Sơn chống rỉ</v>
          </cell>
          <cell r="D4018" t="str">
            <v>kg</v>
          </cell>
          <cell r="E4018">
            <v>0.1</v>
          </cell>
          <cell r="F4018">
            <v>36000</v>
          </cell>
          <cell r="G4018">
            <v>3600</v>
          </cell>
        </row>
        <row r="4019">
          <cell r="B4019">
            <v>47</v>
          </cell>
          <cell r="C4019" t="str">
            <v>Gỗ kê chèn</v>
          </cell>
          <cell r="D4019" t="str">
            <v>m3</v>
          </cell>
          <cell r="E4019">
            <v>5.0000000000000001E-3</v>
          </cell>
          <cell r="F4019">
            <v>2300000</v>
          </cell>
          <cell r="G4019">
            <v>11500</v>
          </cell>
        </row>
        <row r="4020">
          <cell r="B4020">
            <v>117</v>
          </cell>
          <cell r="C4020" t="str">
            <v>Vật liệu khác</v>
          </cell>
          <cell r="D4020" t="str">
            <v>%</v>
          </cell>
          <cell r="E4020">
            <v>2</v>
          </cell>
          <cell r="F4020">
            <v>0</v>
          </cell>
          <cell r="G4020">
            <v>302</v>
          </cell>
        </row>
        <row r="4021">
          <cell r="C4021" t="str">
            <v>Nhân công</v>
          </cell>
          <cell r="G4021">
            <v>331782.7</v>
          </cell>
        </row>
        <row r="4022">
          <cell r="B4022" t="str">
            <v>NC1357</v>
          </cell>
          <cell r="C4022" t="str">
            <v>Ngày công bậc 3,5/7</v>
          </cell>
          <cell r="D4022" t="str">
            <v>công</v>
          </cell>
          <cell r="E4022">
            <v>1.85</v>
          </cell>
          <cell r="F4022">
            <v>179342</v>
          </cell>
          <cell r="G4022">
            <v>331782.7</v>
          </cell>
        </row>
        <row r="4023">
          <cell r="C4023" t="str">
            <v>Máy thi công</v>
          </cell>
          <cell r="G4023">
            <v>219862.47400000005</v>
          </cell>
        </row>
        <row r="4024">
          <cell r="B4024">
            <v>8014</v>
          </cell>
          <cell r="C4024" t="str">
            <v>Cần trục bánh hơi 10 tấn</v>
          </cell>
          <cell r="D4024" t="str">
            <v>ca</v>
          </cell>
          <cell r="E4024">
            <v>0.1</v>
          </cell>
          <cell r="F4024">
            <v>2198624.7400000002</v>
          </cell>
          <cell r="G4024">
            <v>219862.47400000005</v>
          </cell>
        </row>
        <row r="4025">
          <cell r="A4025" t="str">
            <v>T4.9202</v>
          </cell>
          <cell r="C4025" t="str">
            <v>Lắp đặt trụ đỡ Thép</v>
          </cell>
          <cell r="D4025" t="str">
            <v>tấn</v>
          </cell>
          <cell r="H4025">
            <v>7548</v>
          </cell>
          <cell r="I4025">
            <v>2024771.18</v>
          </cell>
        </row>
        <row r="4026">
          <cell r="C4026" t="str">
            <v>Vật liệu</v>
          </cell>
          <cell r="G4026">
            <v>7548</v>
          </cell>
        </row>
        <row r="4027">
          <cell r="B4027">
            <v>30</v>
          </cell>
          <cell r="C4027" t="str">
            <v>Dây thép fi 2-4</v>
          </cell>
          <cell r="D4027" t="str">
            <v>kg</v>
          </cell>
          <cell r="E4027">
            <v>0.5</v>
          </cell>
          <cell r="F4027">
            <v>1000</v>
          </cell>
          <cell r="G4027">
            <v>500</v>
          </cell>
        </row>
        <row r="4028">
          <cell r="B4028">
            <v>47</v>
          </cell>
          <cell r="C4028" t="str">
            <v>Gỗ kê chèn</v>
          </cell>
          <cell r="D4028" t="str">
            <v>m3</v>
          </cell>
          <cell r="E4028">
            <v>3.0000000000000001E-3</v>
          </cell>
          <cell r="F4028">
            <v>2300000</v>
          </cell>
          <cell r="G4028">
            <v>6900</v>
          </cell>
        </row>
        <row r="4029">
          <cell r="B4029">
            <v>117</v>
          </cell>
          <cell r="C4029" t="str">
            <v>Vật liệu khác</v>
          </cell>
          <cell r="D4029" t="str">
            <v>%</v>
          </cell>
          <cell r="E4029">
            <v>2</v>
          </cell>
          <cell r="F4029">
            <v>0</v>
          </cell>
          <cell r="G4029">
            <v>148</v>
          </cell>
        </row>
        <row r="4030">
          <cell r="C4030" t="str">
            <v>Nhân công</v>
          </cell>
          <cell r="G4030">
            <v>2024771.18</v>
          </cell>
        </row>
        <row r="4031">
          <cell r="B4031" t="str">
            <v>NC1357</v>
          </cell>
          <cell r="C4031" t="str">
            <v>Ngày công bậc 3,5/7</v>
          </cell>
          <cell r="D4031" t="str">
            <v>công</v>
          </cell>
          <cell r="E4031">
            <v>11.29</v>
          </cell>
          <cell r="F4031">
            <v>179342</v>
          </cell>
          <cell r="G4031">
            <v>2024771.18</v>
          </cell>
        </row>
        <row r="4032">
          <cell r="A4032" t="str">
            <v>T5.1001</v>
          </cell>
          <cell r="C4032" t="str">
            <v>Lắp đặt tủ điện cấp nguồn xoay chiều 1 pha &lt;=1000V</v>
          </cell>
          <cell r="D4032" t="str">
            <v>tủ</v>
          </cell>
          <cell r="H4032">
            <v>59065</v>
          </cell>
          <cell r="I4032">
            <v>529471.85855263157</v>
          </cell>
          <cell r="J4032">
            <v>384523.64885714295</v>
          </cell>
        </row>
        <row r="4033">
          <cell r="C4033" t="str">
            <v>Vật liệu</v>
          </cell>
          <cell r="G4033">
            <v>59065</v>
          </cell>
        </row>
        <row r="4034">
          <cell r="B4034">
            <v>12</v>
          </cell>
          <cell r="C4034" t="str">
            <v>Ximăng PC30 PC30</v>
          </cell>
          <cell r="D4034" t="str">
            <v>kg</v>
          </cell>
          <cell r="E4034">
            <v>2</v>
          </cell>
          <cell r="F4034">
            <v>1240</v>
          </cell>
          <cell r="G4034">
            <v>2480</v>
          </cell>
        </row>
        <row r="4035">
          <cell r="B4035">
            <v>1</v>
          </cell>
          <cell r="C4035" t="str">
            <v>Cồn công nghiệp</v>
          </cell>
          <cell r="D4035" t="str">
            <v>kg</v>
          </cell>
          <cell r="E4035">
            <v>0.3</v>
          </cell>
          <cell r="F4035">
            <v>9500</v>
          </cell>
          <cell r="G4035">
            <v>2850</v>
          </cell>
        </row>
        <row r="4036">
          <cell r="B4036">
            <v>9</v>
          </cell>
          <cell r="C4036" t="str">
            <v>Giẻ lau</v>
          </cell>
          <cell r="D4036" t="str">
            <v>kg</v>
          </cell>
          <cell r="E4036">
            <v>0.3</v>
          </cell>
          <cell r="F4036">
            <v>9500</v>
          </cell>
          <cell r="G4036">
            <v>2850</v>
          </cell>
        </row>
        <row r="4037">
          <cell r="B4037">
            <v>47</v>
          </cell>
          <cell r="C4037" t="str">
            <v>Gỗ kê chèn chèn</v>
          </cell>
          <cell r="D4037" t="str">
            <v>m3</v>
          </cell>
          <cell r="E4037">
            <v>0.02</v>
          </cell>
          <cell r="F4037">
            <v>2300000</v>
          </cell>
          <cell r="G4037">
            <v>46000</v>
          </cell>
        </row>
        <row r="4038">
          <cell r="B4038">
            <v>117</v>
          </cell>
          <cell r="C4038" t="str">
            <v>Vật liệu khác</v>
          </cell>
          <cell r="D4038" t="str">
            <v>%</v>
          </cell>
          <cell r="E4038">
            <v>10</v>
          </cell>
          <cell r="F4038">
            <v>0</v>
          </cell>
          <cell r="G4038">
            <v>4885</v>
          </cell>
        </row>
        <row r="4039">
          <cell r="C4039" t="str">
            <v>Nhân công</v>
          </cell>
          <cell r="G4039">
            <v>529471.85855263157</v>
          </cell>
        </row>
        <row r="4040">
          <cell r="B4040" t="str">
            <v>NC1457</v>
          </cell>
          <cell r="C4040" t="str">
            <v>Ngày công bậc 4,5/7</v>
          </cell>
          <cell r="D4040" t="str">
            <v>công</v>
          </cell>
          <cell r="E4040">
            <v>2.5</v>
          </cell>
          <cell r="F4040">
            <v>211788.74342105264</v>
          </cell>
          <cell r="G4040">
            <v>529471.85855263157</v>
          </cell>
        </row>
        <row r="4041">
          <cell r="C4041" t="str">
            <v>Máy thi công</v>
          </cell>
          <cell r="G4041">
            <v>384523.64885714295</v>
          </cell>
        </row>
        <row r="4042">
          <cell r="B4042">
            <v>8016</v>
          </cell>
          <cell r="C4042" t="str">
            <v>Xe nâng thang</v>
          </cell>
          <cell r="D4042" t="str">
            <v>ca</v>
          </cell>
          <cell r="E4042">
            <v>0.2</v>
          </cell>
          <cell r="F4042">
            <v>1922618.2442857146</v>
          </cell>
          <cell r="G4042">
            <v>384523.64885714295</v>
          </cell>
        </row>
        <row r="4043">
          <cell r="A4043" t="str">
            <v>T5.1002</v>
          </cell>
          <cell r="C4043" t="str">
            <v>Lắp đặt tủ điện cấp nguồn xoay chiều 3 pha &lt;=1000V</v>
          </cell>
          <cell r="D4043" t="str">
            <v>tủ</v>
          </cell>
          <cell r="H4043">
            <v>60015</v>
          </cell>
          <cell r="I4043">
            <v>609951.58105263161</v>
          </cell>
          <cell r="J4043">
            <v>384523.64885714295</v>
          </cell>
        </row>
        <row r="4044">
          <cell r="C4044" t="str">
            <v>Vật liệu</v>
          </cell>
          <cell r="G4044">
            <v>60015</v>
          </cell>
        </row>
        <row r="4045">
          <cell r="B4045">
            <v>12</v>
          </cell>
          <cell r="C4045" t="str">
            <v>Ximăng PC30 PC30</v>
          </cell>
          <cell r="D4045" t="str">
            <v>kg</v>
          </cell>
          <cell r="E4045">
            <v>2</v>
          </cell>
          <cell r="F4045">
            <v>1240</v>
          </cell>
          <cell r="G4045">
            <v>2480</v>
          </cell>
        </row>
        <row r="4046">
          <cell r="B4046">
            <v>1</v>
          </cell>
          <cell r="C4046" t="str">
            <v>Cồn công nghiệp</v>
          </cell>
          <cell r="D4046" t="str">
            <v>kg</v>
          </cell>
          <cell r="E4046">
            <v>0.4</v>
          </cell>
          <cell r="F4046">
            <v>9500</v>
          </cell>
          <cell r="G4046">
            <v>3800</v>
          </cell>
        </row>
        <row r="4047">
          <cell r="B4047">
            <v>9</v>
          </cell>
          <cell r="C4047" t="str">
            <v>Giẻ lau</v>
          </cell>
          <cell r="D4047" t="str">
            <v>kg</v>
          </cell>
          <cell r="E4047">
            <v>0.3</v>
          </cell>
          <cell r="F4047">
            <v>9500</v>
          </cell>
          <cell r="G4047">
            <v>2850</v>
          </cell>
        </row>
        <row r="4048">
          <cell r="B4048">
            <v>47</v>
          </cell>
          <cell r="C4048" t="str">
            <v>Gỗ kê chèn chèn</v>
          </cell>
          <cell r="D4048" t="str">
            <v>m3</v>
          </cell>
          <cell r="E4048">
            <v>0.02</v>
          </cell>
          <cell r="F4048">
            <v>2300000</v>
          </cell>
          <cell r="G4048">
            <v>46000</v>
          </cell>
        </row>
        <row r="4049">
          <cell r="B4049">
            <v>117</v>
          </cell>
          <cell r="C4049" t="str">
            <v>Vật liệu khác</v>
          </cell>
          <cell r="D4049" t="str">
            <v>%</v>
          </cell>
          <cell r="E4049">
            <v>10</v>
          </cell>
          <cell r="F4049">
            <v>0</v>
          </cell>
          <cell r="G4049">
            <v>4885</v>
          </cell>
        </row>
        <row r="4050">
          <cell r="C4050" t="str">
            <v>Nhân công</v>
          </cell>
          <cell r="G4050">
            <v>609951.58105263161</v>
          </cell>
        </row>
        <row r="4051">
          <cell r="B4051" t="str">
            <v>NC1457</v>
          </cell>
          <cell r="C4051" t="str">
            <v>Ngày công bậc 4,5/7</v>
          </cell>
          <cell r="D4051" t="str">
            <v>công</v>
          </cell>
          <cell r="E4051">
            <v>2.88</v>
          </cell>
          <cell r="F4051">
            <v>211788.74342105264</v>
          </cell>
          <cell r="G4051">
            <v>609951.58105263161</v>
          </cell>
        </row>
        <row r="4052">
          <cell r="C4052" t="str">
            <v>Máy thi công</v>
          </cell>
          <cell r="G4052">
            <v>384523.64885714295</v>
          </cell>
        </row>
        <row r="4053">
          <cell r="B4053">
            <v>8016</v>
          </cell>
          <cell r="C4053" t="str">
            <v>Xe nâng thang</v>
          </cell>
          <cell r="D4053" t="str">
            <v>ca</v>
          </cell>
          <cell r="E4053">
            <v>0.2</v>
          </cell>
          <cell r="F4053">
            <v>1922618.2442857146</v>
          </cell>
          <cell r="G4053">
            <v>384523.64885714295</v>
          </cell>
        </row>
        <row r="4054">
          <cell r="A4054" t="str">
            <v>T5.1003</v>
          </cell>
          <cell r="C4054" t="str">
            <v>Lắp đặt tủ điện 1 chiều &lt;=1000V</v>
          </cell>
          <cell r="D4054" t="str">
            <v>tủ</v>
          </cell>
          <cell r="H4054">
            <v>59065</v>
          </cell>
          <cell r="I4054">
            <v>529471.85855263157</v>
          </cell>
          <cell r="J4054">
            <v>384523.64885714295</v>
          </cell>
        </row>
        <row r="4055">
          <cell r="C4055" t="str">
            <v>Vật liệu</v>
          </cell>
          <cell r="G4055">
            <v>59065</v>
          </cell>
        </row>
        <row r="4056">
          <cell r="B4056">
            <v>12</v>
          </cell>
          <cell r="C4056" t="str">
            <v>Ximăng PC30 PC30</v>
          </cell>
          <cell r="D4056" t="str">
            <v>kg</v>
          </cell>
          <cell r="E4056">
            <v>2</v>
          </cell>
          <cell r="F4056">
            <v>1240</v>
          </cell>
          <cell r="G4056">
            <v>2480</v>
          </cell>
        </row>
        <row r="4057">
          <cell r="B4057">
            <v>1</v>
          </cell>
          <cell r="C4057" t="str">
            <v>Cồn công nghiệp</v>
          </cell>
          <cell r="D4057" t="str">
            <v>kg</v>
          </cell>
          <cell r="E4057">
            <v>0.3</v>
          </cell>
          <cell r="F4057">
            <v>9500</v>
          </cell>
          <cell r="G4057">
            <v>2850</v>
          </cell>
        </row>
        <row r="4058">
          <cell r="B4058">
            <v>9</v>
          </cell>
          <cell r="C4058" t="str">
            <v>Giẻ lau</v>
          </cell>
          <cell r="D4058" t="str">
            <v>kg</v>
          </cell>
          <cell r="E4058">
            <v>0.3</v>
          </cell>
          <cell r="F4058">
            <v>9500</v>
          </cell>
          <cell r="G4058">
            <v>2850</v>
          </cell>
        </row>
        <row r="4059">
          <cell r="B4059">
            <v>47</v>
          </cell>
          <cell r="C4059" t="str">
            <v>Gỗ kê chèn chèn</v>
          </cell>
          <cell r="D4059" t="str">
            <v>m3</v>
          </cell>
          <cell r="E4059">
            <v>0.02</v>
          </cell>
          <cell r="F4059">
            <v>2300000</v>
          </cell>
          <cell r="G4059">
            <v>46000</v>
          </cell>
        </row>
        <row r="4060">
          <cell r="B4060">
            <v>117</v>
          </cell>
          <cell r="C4060" t="str">
            <v>Vật liệu khác</v>
          </cell>
          <cell r="D4060" t="str">
            <v>%</v>
          </cell>
          <cell r="E4060">
            <v>10</v>
          </cell>
          <cell r="F4060">
            <v>0</v>
          </cell>
          <cell r="G4060">
            <v>4885</v>
          </cell>
        </row>
        <row r="4061">
          <cell r="C4061" t="str">
            <v>Nhân công</v>
          </cell>
          <cell r="G4061">
            <v>529471.85855263157</v>
          </cell>
        </row>
        <row r="4062">
          <cell r="B4062" t="str">
            <v>NC1457</v>
          </cell>
          <cell r="C4062" t="str">
            <v>Ngày công bậc 4,5/7</v>
          </cell>
          <cell r="D4062" t="str">
            <v>công</v>
          </cell>
          <cell r="E4062">
            <v>2.5</v>
          </cell>
          <cell r="F4062">
            <v>211788.74342105264</v>
          </cell>
          <cell r="G4062">
            <v>529471.85855263157</v>
          </cell>
        </row>
        <row r="4063">
          <cell r="C4063" t="str">
            <v>Máy thi công</v>
          </cell>
          <cell r="G4063">
            <v>384523.64885714295</v>
          </cell>
        </row>
        <row r="4064">
          <cell r="B4064">
            <v>8016</v>
          </cell>
          <cell r="C4064" t="str">
            <v>Xe nâng thang</v>
          </cell>
          <cell r="D4064" t="str">
            <v>ca</v>
          </cell>
          <cell r="E4064">
            <v>0.2</v>
          </cell>
          <cell r="F4064">
            <v>1922618.2442857146</v>
          </cell>
          <cell r="G4064">
            <v>384523.64885714295</v>
          </cell>
        </row>
        <row r="4065">
          <cell r="A4065" t="str">
            <v>T5.1004</v>
          </cell>
          <cell r="C4065" t="str">
            <v>Lắp đặt tủ điều khiển dao cách ly, dao tiếp địa</v>
          </cell>
          <cell r="D4065" t="str">
            <v>tủ</v>
          </cell>
          <cell r="H4065">
            <v>57535</v>
          </cell>
          <cell r="I4065">
            <v>529471.85855263157</v>
          </cell>
        </row>
        <row r="4066">
          <cell r="C4066" t="str">
            <v>Vật liệu</v>
          </cell>
          <cell r="G4066">
            <v>57535</v>
          </cell>
        </row>
        <row r="4067">
          <cell r="B4067">
            <v>1</v>
          </cell>
          <cell r="C4067" t="str">
            <v>Cồn công nghiệp</v>
          </cell>
          <cell r="D4067" t="str">
            <v>kg</v>
          </cell>
          <cell r="E4067">
            <v>0.4</v>
          </cell>
          <cell r="F4067">
            <v>9500</v>
          </cell>
          <cell r="G4067">
            <v>3800</v>
          </cell>
        </row>
        <row r="4068">
          <cell r="B4068">
            <v>9</v>
          </cell>
          <cell r="C4068" t="str">
            <v>Giẻ lau</v>
          </cell>
          <cell r="D4068" t="str">
            <v>kg</v>
          </cell>
          <cell r="E4068">
            <v>0.3</v>
          </cell>
          <cell r="F4068">
            <v>9500</v>
          </cell>
          <cell r="G4068">
            <v>2850</v>
          </cell>
        </row>
        <row r="4069">
          <cell r="B4069">
            <v>47</v>
          </cell>
          <cell r="C4069" t="str">
            <v>Gỗ kê chèn chèn</v>
          </cell>
          <cell r="D4069" t="str">
            <v>m3</v>
          </cell>
          <cell r="E4069">
            <v>0.02</v>
          </cell>
          <cell r="F4069">
            <v>2300000</v>
          </cell>
          <cell r="G4069">
            <v>46000</v>
          </cell>
        </row>
        <row r="4070">
          <cell r="B4070">
            <v>117</v>
          </cell>
          <cell r="C4070" t="str">
            <v>Vật liệu khác</v>
          </cell>
          <cell r="D4070" t="str">
            <v>%</v>
          </cell>
          <cell r="E4070">
            <v>10</v>
          </cell>
          <cell r="F4070">
            <v>0</v>
          </cell>
          <cell r="G4070">
            <v>4885</v>
          </cell>
        </row>
        <row r="4071">
          <cell r="C4071" t="str">
            <v>Nhân công</v>
          </cell>
          <cell r="G4071">
            <v>529471.85855263157</v>
          </cell>
        </row>
        <row r="4072">
          <cell r="B4072" t="str">
            <v>NC1457</v>
          </cell>
          <cell r="C4072" t="str">
            <v>Ngày công bậc 4,5/7</v>
          </cell>
          <cell r="D4072" t="str">
            <v>công</v>
          </cell>
          <cell r="E4072">
            <v>2.5</v>
          </cell>
          <cell r="F4072">
            <v>211788.74342105264</v>
          </cell>
          <cell r="G4072">
            <v>529471.85855263157</v>
          </cell>
        </row>
        <row r="4073">
          <cell r="A4073" t="str">
            <v>T5.1005</v>
          </cell>
          <cell r="C4073" t="str">
            <v>Lắp đặt tủ điều khiển máy cắt, tủ đấu dây</v>
          </cell>
          <cell r="D4073" t="str">
            <v>tủ</v>
          </cell>
          <cell r="H4073">
            <v>52650</v>
          </cell>
          <cell r="I4073">
            <v>607833.69361842109</v>
          </cell>
          <cell r="J4073">
            <v>669810.26725714304</v>
          </cell>
        </row>
        <row r="4074">
          <cell r="C4074" t="str">
            <v>Vật liệu</v>
          </cell>
          <cell r="G4074">
            <v>52650</v>
          </cell>
        </row>
        <row r="4075">
          <cell r="B4075">
            <v>1</v>
          </cell>
          <cell r="C4075" t="str">
            <v>Cồn công nghiệp</v>
          </cell>
          <cell r="D4075" t="str">
            <v>kg</v>
          </cell>
          <cell r="E4075">
            <v>0.4</v>
          </cell>
          <cell r="F4075">
            <v>9500</v>
          </cell>
          <cell r="G4075">
            <v>3800</v>
          </cell>
        </row>
        <row r="4076">
          <cell r="B4076">
            <v>9</v>
          </cell>
          <cell r="C4076" t="str">
            <v>Giẻ lau</v>
          </cell>
          <cell r="D4076" t="str">
            <v>kg</v>
          </cell>
          <cell r="E4076">
            <v>0.3</v>
          </cell>
          <cell r="F4076">
            <v>9500</v>
          </cell>
          <cell r="G4076">
            <v>2850</v>
          </cell>
        </row>
        <row r="4077">
          <cell r="B4077">
            <v>47</v>
          </cell>
          <cell r="C4077" t="str">
            <v>Gỗ kê chèn chèn</v>
          </cell>
          <cell r="D4077" t="str">
            <v>m3</v>
          </cell>
          <cell r="E4077">
            <v>0.02</v>
          </cell>
          <cell r="F4077">
            <v>2300000</v>
          </cell>
          <cell r="G4077">
            <v>46000</v>
          </cell>
        </row>
        <row r="4078">
          <cell r="B4078">
            <v>117</v>
          </cell>
          <cell r="C4078" t="str">
            <v>Vật liệu khác</v>
          </cell>
          <cell r="D4078" t="str">
            <v>%</v>
          </cell>
          <cell r="E4078">
            <v>10</v>
          </cell>
          <cell r="F4078">
            <v>0</v>
          </cell>
          <cell r="G4078">
            <v>4885</v>
          </cell>
        </row>
        <row r="4079">
          <cell r="C4079" t="str">
            <v>Nhân công</v>
          </cell>
          <cell r="G4079">
            <v>607833.69361842109</v>
          </cell>
        </row>
        <row r="4080">
          <cell r="B4080" t="str">
            <v>NC1457</v>
          </cell>
          <cell r="C4080" t="str">
            <v>Ngày công bậc 4,5/7</v>
          </cell>
          <cell r="D4080" t="str">
            <v>công</v>
          </cell>
          <cell r="E4080">
            <v>2.87</v>
          </cell>
          <cell r="F4080">
            <v>211788.74342105264</v>
          </cell>
          <cell r="G4080">
            <v>607833.69361842109</v>
          </cell>
        </row>
        <row r="4081">
          <cell r="C4081" t="str">
            <v>Máy thi công</v>
          </cell>
          <cell r="G4081">
            <v>669810.26725714304</v>
          </cell>
        </row>
        <row r="4082">
          <cell r="B4082">
            <v>8015</v>
          </cell>
          <cell r="C4082" t="str">
            <v>Cần trục bánh hơi 5 tấn</v>
          </cell>
          <cell r="D4082" t="str">
            <v>ca</v>
          </cell>
          <cell r="E4082">
            <v>0.2</v>
          </cell>
          <cell r="F4082">
            <v>1426433.0920000002</v>
          </cell>
          <cell r="G4082">
            <v>285286.61840000004</v>
          </cell>
        </row>
        <row r="4083">
          <cell r="B4083">
            <v>8016</v>
          </cell>
          <cell r="C4083" t="str">
            <v>Xe nâng thang</v>
          </cell>
          <cell r="D4083" t="str">
            <v>ca</v>
          </cell>
          <cell r="E4083">
            <v>0.2</v>
          </cell>
          <cell r="F4083">
            <v>1922618.2442857146</v>
          </cell>
          <cell r="G4083">
            <v>384523.64885714295</v>
          </cell>
        </row>
        <row r="4084">
          <cell r="A4084" t="str">
            <v>T5.2001</v>
          </cell>
          <cell r="C4084" t="str">
            <v>Lắp đặt tủ điện, điện áp &lt;=10KV</v>
          </cell>
          <cell r="D4084" t="str">
            <v>tủ</v>
          </cell>
          <cell r="I4084">
            <v>1556647.2641447368</v>
          </cell>
          <cell r="J4084">
            <v>384523.64885714295</v>
          </cell>
        </row>
        <row r="4085">
          <cell r="C4085" t="str">
            <v>Vật liệu</v>
          </cell>
          <cell r="G4085">
            <v>10450</v>
          </cell>
        </row>
        <row r="4086">
          <cell r="B4086">
            <v>1</v>
          </cell>
          <cell r="C4086" t="str">
            <v>Cồn công nghiệp</v>
          </cell>
          <cell r="D4086" t="str">
            <v>kg</v>
          </cell>
          <cell r="E4086">
            <v>0.5</v>
          </cell>
          <cell r="F4086">
            <v>9500</v>
          </cell>
          <cell r="G4086">
            <v>4750</v>
          </cell>
        </row>
        <row r="4087">
          <cell r="B4087">
            <v>9</v>
          </cell>
          <cell r="C4087" t="str">
            <v>Giẻ lau</v>
          </cell>
          <cell r="D4087" t="str">
            <v>kg</v>
          </cell>
          <cell r="E4087">
            <v>0.5</v>
          </cell>
          <cell r="F4087">
            <v>9500</v>
          </cell>
          <cell r="G4087">
            <v>4750</v>
          </cell>
        </row>
        <row r="4088">
          <cell r="B4088">
            <v>117</v>
          </cell>
          <cell r="C4088" t="str">
            <v>Vật liệu khác</v>
          </cell>
          <cell r="D4088" t="str">
            <v>%</v>
          </cell>
          <cell r="E4088">
            <v>10</v>
          </cell>
          <cell r="F4088">
            <v>0</v>
          </cell>
          <cell r="G4088">
            <v>950</v>
          </cell>
        </row>
        <row r="4089">
          <cell r="C4089" t="str">
            <v>Nhân công</v>
          </cell>
          <cell r="G4089">
            <v>1556647.2641447368</v>
          </cell>
        </row>
        <row r="4090">
          <cell r="B4090" t="str">
            <v>NC1457</v>
          </cell>
          <cell r="C4090" t="str">
            <v>Ngày công bậc 4,5/7</v>
          </cell>
          <cell r="D4090" t="str">
            <v>công</v>
          </cell>
          <cell r="E4090">
            <v>7.35</v>
          </cell>
          <cell r="F4090">
            <v>211788.74342105264</v>
          </cell>
          <cell r="G4090">
            <v>1556647.2641447368</v>
          </cell>
        </row>
        <row r="4091">
          <cell r="C4091" t="str">
            <v>Máy thi công</v>
          </cell>
          <cell r="G4091">
            <v>384523.64885714295</v>
          </cell>
        </row>
        <row r="4092">
          <cell r="B4092">
            <v>8016</v>
          </cell>
          <cell r="C4092" t="str">
            <v>Xe nâng thang</v>
          </cell>
          <cell r="D4092" t="str">
            <v>ca</v>
          </cell>
          <cell r="E4092">
            <v>0.2</v>
          </cell>
          <cell r="F4092">
            <v>1922618.2442857146</v>
          </cell>
          <cell r="G4092">
            <v>384523.64885714295</v>
          </cell>
        </row>
        <row r="4093">
          <cell r="A4093" t="str">
            <v>T5.2002</v>
          </cell>
          <cell r="C4093" t="str">
            <v>Lắp đặt tủ điện, điện áp &lt;=35V</v>
          </cell>
          <cell r="D4093" t="str">
            <v>tủ</v>
          </cell>
          <cell r="H4093">
            <v>15675</v>
          </cell>
          <cell r="I4093">
            <v>1779025.4447368423</v>
          </cell>
          <cell r="J4093">
            <v>384523.64885714295</v>
          </cell>
        </row>
        <row r="4094">
          <cell r="C4094" t="str">
            <v>Vật liệu</v>
          </cell>
          <cell r="G4094">
            <v>15675</v>
          </cell>
        </row>
        <row r="4095">
          <cell r="B4095">
            <v>1</v>
          </cell>
          <cell r="C4095" t="str">
            <v>Cồn công nghiệp</v>
          </cell>
          <cell r="D4095" t="str">
            <v>kg</v>
          </cell>
          <cell r="E4095">
            <v>0.8</v>
          </cell>
          <cell r="F4095">
            <v>9500</v>
          </cell>
          <cell r="G4095">
            <v>7600</v>
          </cell>
        </row>
        <row r="4096">
          <cell r="B4096">
            <v>9</v>
          </cell>
          <cell r="C4096" t="str">
            <v>Giẻ lau</v>
          </cell>
          <cell r="D4096" t="str">
            <v>kg</v>
          </cell>
          <cell r="E4096">
            <v>0.7</v>
          </cell>
          <cell r="F4096">
            <v>9500</v>
          </cell>
          <cell r="G4096">
            <v>6650</v>
          </cell>
        </row>
        <row r="4097">
          <cell r="B4097">
            <v>117</v>
          </cell>
          <cell r="C4097" t="str">
            <v>Vật liệu khác</v>
          </cell>
          <cell r="D4097" t="str">
            <v>%</v>
          </cell>
          <cell r="E4097">
            <v>10</v>
          </cell>
          <cell r="F4097">
            <v>0</v>
          </cell>
          <cell r="G4097">
            <v>1425</v>
          </cell>
        </row>
        <row r="4098">
          <cell r="C4098" t="str">
            <v>Nhân công</v>
          </cell>
          <cell r="G4098">
            <v>1779025.4447368423</v>
          </cell>
        </row>
        <row r="4099">
          <cell r="B4099" t="str">
            <v>NC1457</v>
          </cell>
          <cell r="C4099" t="str">
            <v>Ngày công bậc 4,5/7</v>
          </cell>
          <cell r="D4099" t="str">
            <v>công</v>
          </cell>
          <cell r="E4099">
            <v>8.4</v>
          </cell>
          <cell r="F4099">
            <v>211788.74342105264</v>
          </cell>
          <cell r="G4099">
            <v>1779025.4447368423</v>
          </cell>
        </row>
        <row r="4100">
          <cell r="C4100" t="str">
            <v>Máy thi công</v>
          </cell>
          <cell r="G4100">
            <v>384523.64885714295</v>
          </cell>
        </row>
        <row r="4101">
          <cell r="B4101">
            <v>8016</v>
          </cell>
          <cell r="C4101" t="str">
            <v>Xe nâng thang</v>
          </cell>
          <cell r="D4101" t="str">
            <v>ca</v>
          </cell>
          <cell r="E4101">
            <v>0.2</v>
          </cell>
          <cell r="F4101">
            <v>1922618.2442857146</v>
          </cell>
          <cell r="G4101">
            <v>384523.64885714295</v>
          </cell>
        </row>
        <row r="4102">
          <cell r="A4102" t="str">
            <v>T5.3101</v>
          </cell>
          <cell r="C4102" t="str">
            <v>Lắp đặt tủ điện nhị thứ; tủ điều khiển máy biến áp &lt;=35V</v>
          </cell>
          <cell r="D4102" t="str">
            <v>tủ</v>
          </cell>
          <cell r="H4102">
            <v>9405</v>
          </cell>
          <cell r="I4102">
            <v>953049.34539473685</v>
          </cell>
          <cell r="J4102">
            <v>480654.56107142864</v>
          </cell>
        </row>
        <row r="4103">
          <cell r="C4103" t="str">
            <v>Vật liệu</v>
          </cell>
          <cell r="G4103">
            <v>9405</v>
          </cell>
        </row>
        <row r="4104">
          <cell r="B4104">
            <v>1</v>
          </cell>
          <cell r="C4104" t="str">
            <v>Cồn công nghiệp</v>
          </cell>
          <cell r="D4104" t="str">
            <v>kg</v>
          </cell>
          <cell r="E4104">
            <v>0.5</v>
          </cell>
          <cell r="F4104">
            <v>9500</v>
          </cell>
          <cell r="G4104">
            <v>4750</v>
          </cell>
        </row>
        <row r="4105">
          <cell r="B4105">
            <v>9</v>
          </cell>
          <cell r="C4105" t="str">
            <v>Giẻ lau</v>
          </cell>
          <cell r="D4105" t="str">
            <v>kg</v>
          </cell>
          <cell r="E4105">
            <v>0.4</v>
          </cell>
          <cell r="F4105">
            <v>9500</v>
          </cell>
          <cell r="G4105">
            <v>3800</v>
          </cell>
        </row>
        <row r="4106">
          <cell r="B4106">
            <v>117</v>
          </cell>
          <cell r="C4106" t="str">
            <v>Vật liệu khác</v>
          </cell>
          <cell r="D4106" t="str">
            <v>%</v>
          </cell>
          <cell r="E4106">
            <v>10</v>
          </cell>
          <cell r="F4106">
            <v>0</v>
          </cell>
          <cell r="G4106">
            <v>855</v>
          </cell>
        </row>
        <row r="4107">
          <cell r="C4107" t="str">
            <v>Nhân công</v>
          </cell>
          <cell r="G4107">
            <v>953049.34539473685</v>
          </cell>
        </row>
        <row r="4108">
          <cell r="B4108" t="str">
            <v>NC1457</v>
          </cell>
          <cell r="C4108" t="str">
            <v>Ngày công bậc 4,5/7</v>
          </cell>
          <cell r="D4108" t="str">
            <v>công</v>
          </cell>
          <cell r="E4108">
            <v>4.5</v>
          </cell>
          <cell r="F4108">
            <v>211788.74342105264</v>
          </cell>
          <cell r="G4108">
            <v>953049.34539473685</v>
          </cell>
        </row>
        <row r="4109">
          <cell r="C4109" t="str">
            <v>Máy thi công</v>
          </cell>
          <cell r="G4109">
            <v>480654.56107142864</v>
          </cell>
        </row>
        <row r="4110">
          <cell r="B4110">
            <v>8016</v>
          </cell>
          <cell r="C4110" t="str">
            <v>Xe nâng thang</v>
          </cell>
          <cell r="D4110" t="str">
            <v>ca</v>
          </cell>
          <cell r="E4110">
            <v>0.25</v>
          </cell>
          <cell r="F4110">
            <v>1922618.2442857146</v>
          </cell>
          <cell r="G4110">
            <v>480654.56107142864</v>
          </cell>
        </row>
        <row r="4111">
          <cell r="A4111" t="str">
            <v>T5.3102</v>
          </cell>
          <cell r="C4111" t="str">
            <v>Lắp đặt tủ điện nhị thứ;  tủ điều khiển máy biến áp &lt;=110KV</v>
          </cell>
          <cell r="D4111" t="str">
            <v>tủ</v>
          </cell>
          <cell r="H4111">
            <v>11495</v>
          </cell>
          <cell r="I4111">
            <v>1143659.2144736843</v>
          </cell>
          <cell r="J4111">
            <v>480654.56107142864</v>
          </cell>
        </row>
        <row r="4112">
          <cell r="C4112" t="str">
            <v>Vật liệu</v>
          </cell>
          <cell r="G4112">
            <v>11495</v>
          </cell>
        </row>
        <row r="4113">
          <cell r="B4113">
            <v>1</v>
          </cell>
          <cell r="C4113" t="str">
            <v>Cồn công nghiệp</v>
          </cell>
          <cell r="D4113" t="str">
            <v>kg</v>
          </cell>
          <cell r="E4113">
            <v>0.6</v>
          </cell>
          <cell r="F4113">
            <v>9500</v>
          </cell>
          <cell r="G4113">
            <v>5700</v>
          </cell>
        </row>
        <row r="4114">
          <cell r="B4114">
            <v>9</v>
          </cell>
          <cell r="C4114" t="str">
            <v>Giẻ lau</v>
          </cell>
          <cell r="D4114" t="str">
            <v>kg</v>
          </cell>
          <cell r="E4114">
            <v>0.5</v>
          </cell>
          <cell r="F4114">
            <v>9500</v>
          </cell>
          <cell r="G4114">
            <v>4750</v>
          </cell>
        </row>
        <row r="4115">
          <cell r="B4115">
            <v>117</v>
          </cell>
          <cell r="C4115" t="str">
            <v>Vật liệu khác</v>
          </cell>
          <cell r="D4115" t="str">
            <v>%</v>
          </cell>
          <cell r="E4115">
            <v>10</v>
          </cell>
          <cell r="F4115">
            <v>0</v>
          </cell>
          <cell r="G4115">
            <v>1045</v>
          </cell>
        </row>
        <row r="4116">
          <cell r="C4116" t="str">
            <v>Nhân công</v>
          </cell>
          <cell r="G4116">
            <v>1143659.2144736843</v>
          </cell>
        </row>
        <row r="4117">
          <cell r="B4117" t="str">
            <v>NC1457</v>
          </cell>
          <cell r="C4117" t="str">
            <v>Ngày công bậc 4,5/7</v>
          </cell>
          <cell r="D4117" t="str">
            <v>công</v>
          </cell>
          <cell r="E4117">
            <v>5.4</v>
          </cell>
          <cell r="F4117">
            <v>211788.74342105264</v>
          </cell>
          <cell r="G4117">
            <v>1143659.2144736843</v>
          </cell>
        </row>
        <row r="4118">
          <cell r="C4118" t="str">
            <v>Máy thi công</v>
          </cell>
          <cell r="G4118">
            <v>480654.56107142864</v>
          </cell>
        </row>
        <row r="4119">
          <cell r="B4119">
            <v>8016</v>
          </cell>
          <cell r="C4119" t="str">
            <v>Xe nâng thang</v>
          </cell>
          <cell r="D4119" t="str">
            <v>ca</v>
          </cell>
          <cell r="E4119">
            <v>0.25</v>
          </cell>
          <cell r="F4119">
            <v>1922618.2442857146</v>
          </cell>
          <cell r="G4119">
            <v>480654.56107142864</v>
          </cell>
        </row>
        <row r="4120">
          <cell r="A4120" t="str">
            <v>T5.3103</v>
          </cell>
          <cell r="C4120" t="str">
            <v>Lắp đặt tủ điện nhị thứ;  tủ điều khiển máy biến áp &lt;=220KV</v>
          </cell>
          <cell r="D4120" t="str">
            <v>tủ</v>
          </cell>
          <cell r="H4120">
            <v>11495</v>
          </cell>
          <cell r="I4120">
            <v>1334269.0835526315</v>
          </cell>
          <cell r="J4120">
            <v>480654.56107142864</v>
          </cell>
        </row>
        <row r="4121">
          <cell r="C4121" t="str">
            <v>Vật liệu</v>
          </cell>
          <cell r="G4121">
            <v>11495</v>
          </cell>
        </row>
        <row r="4122">
          <cell r="B4122">
            <v>1</v>
          </cell>
          <cell r="C4122" t="str">
            <v>Cồn công nghiệp</v>
          </cell>
          <cell r="D4122" t="str">
            <v>kg</v>
          </cell>
          <cell r="E4122">
            <v>0.6</v>
          </cell>
          <cell r="F4122">
            <v>9500</v>
          </cell>
          <cell r="G4122">
            <v>5700</v>
          </cell>
        </row>
        <row r="4123">
          <cell r="B4123">
            <v>9</v>
          </cell>
          <cell r="C4123" t="str">
            <v>Giẻ lau</v>
          </cell>
          <cell r="D4123" t="str">
            <v>kg</v>
          </cell>
          <cell r="E4123">
            <v>0.5</v>
          </cell>
          <cell r="F4123">
            <v>9500</v>
          </cell>
          <cell r="G4123">
            <v>4750</v>
          </cell>
        </row>
        <row r="4124">
          <cell r="B4124">
            <v>117</v>
          </cell>
          <cell r="C4124" t="str">
            <v>Vật liệu khác</v>
          </cell>
          <cell r="D4124" t="str">
            <v>%</v>
          </cell>
          <cell r="E4124">
            <v>10</v>
          </cell>
          <cell r="F4124">
            <v>0</v>
          </cell>
          <cell r="G4124">
            <v>1045</v>
          </cell>
        </row>
        <row r="4125">
          <cell r="C4125" t="str">
            <v>Nhân công</v>
          </cell>
          <cell r="G4125">
            <v>1334269.0835526315</v>
          </cell>
        </row>
        <row r="4126">
          <cell r="B4126" t="str">
            <v>NC1457</v>
          </cell>
          <cell r="C4126" t="str">
            <v>Ngày công bậc 4,5/7</v>
          </cell>
          <cell r="D4126" t="str">
            <v>công</v>
          </cell>
          <cell r="E4126">
            <v>6.3</v>
          </cell>
          <cell r="F4126">
            <v>211788.74342105264</v>
          </cell>
          <cell r="G4126">
            <v>1334269.0835526315</v>
          </cell>
        </row>
        <row r="4127">
          <cell r="C4127" t="str">
            <v>Máy thi công</v>
          </cell>
          <cell r="G4127">
            <v>480654.56107142864</v>
          </cell>
        </row>
        <row r="4128">
          <cell r="B4128">
            <v>8016</v>
          </cell>
          <cell r="C4128" t="str">
            <v>Xe nâng thang</v>
          </cell>
          <cell r="D4128" t="str">
            <v>ca</v>
          </cell>
          <cell r="E4128">
            <v>0.25</v>
          </cell>
          <cell r="F4128">
            <v>1922618.2442857146</v>
          </cell>
          <cell r="G4128">
            <v>480654.56107142864</v>
          </cell>
        </row>
        <row r="4129">
          <cell r="A4129" t="str">
            <v>T5.3104</v>
          </cell>
          <cell r="C4129" t="str">
            <v>Lắp đặt tủ điện nhị thứ;  tủ điều khiển máy biến áp &lt;=500KV</v>
          </cell>
          <cell r="D4129" t="str">
            <v>tủ</v>
          </cell>
          <cell r="H4129">
            <v>18810</v>
          </cell>
          <cell r="I4129">
            <v>1524878.952631579</v>
          </cell>
          <cell r="J4129">
            <v>480654.56107142864</v>
          </cell>
        </row>
        <row r="4130">
          <cell r="C4130" t="str">
            <v>Vật liệu</v>
          </cell>
          <cell r="G4130">
            <v>18810</v>
          </cell>
        </row>
        <row r="4131">
          <cell r="B4131">
            <v>1</v>
          </cell>
          <cell r="C4131" t="str">
            <v>Cồn công nghiệp</v>
          </cell>
          <cell r="D4131" t="str">
            <v>kg</v>
          </cell>
          <cell r="E4131">
            <v>0.8</v>
          </cell>
          <cell r="F4131">
            <v>9500</v>
          </cell>
          <cell r="G4131">
            <v>7600</v>
          </cell>
        </row>
        <row r="4132">
          <cell r="B4132">
            <v>9</v>
          </cell>
          <cell r="C4132" t="str">
            <v>Giẻ lau</v>
          </cell>
          <cell r="D4132" t="str">
            <v>kg</v>
          </cell>
          <cell r="E4132">
            <v>1</v>
          </cell>
          <cell r="F4132">
            <v>9500</v>
          </cell>
          <cell r="G4132">
            <v>9500</v>
          </cell>
        </row>
        <row r="4133">
          <cell r="B4133">
            <v>117</v>
          </cell>
          <cell r="C4133" t="str">
            <v>Vật liệu khác</v>
          </cell>
          <cell r="D4133" t="str">
            <v>%</v>
          </cell>
          <cell r="E4133">
            <v>10</v>
          </cell>
          <cell r="F4133">
            <v>0</v>
          </cell>
          <cell r="G4133">
            <v>1710</v>
          </cell>
        </row>
        <row r="4134">
          <cell r="C4134" t="str">
            <v>Nhân công</v>
          </cell>
          <cell r="G4134">
            <v>1524878.952631579</v>
          </cell>
        </row>
        <row r="4135">
          <cell r="B4135" t="str">
            <v>NC1457</v>
          </cell>
          <cell r="C4135" t="str">
            <v>Ngày công bậc 4,5/7</v>
          </cell>
          <cell r="D4135" t="str">
            <v>công</v>
          </cell>
          <cell r="E4135">
            <v>7.2</v>
          </cell>
          <cell r="F4135">
            <v>211788.74342105264</v>
          </cell>
          <cell r="G4135">
            <v>1524878.952631579</v>
          </cell>
        </row>
        <row r="4136">
          <cell r="C4136" t="str">
            <v>Máy thi công</v>
          </cell>
          <cell r="G4136">
            <v>480654.56107142864</v>
          </cell>
        </row>
        <row r="4137">
          <cell r="B4137">
            <v>8016</v>
          </cell>
          <cell r="C4137" t="str">
            <v>Xe nâng thang</v>
          </cell>
          <cell r="D4137" t="str">
            <v>ca</v>
          </cell>
          <cell r="E4137">
            <v>0.25</v>
          </cell>
          <cell r="F4137">
            <v>1922618.2442857146</v>
          </cell>
          <cell r="G4137">
            <v>480654.56107142864</v>
          </cell>
        </row>
        <row r="4138">
          <cell r="A4138" t="str">
            <v>T5.3105</v>
          </cell>
          <cell r="C4138" t="str">
            <v>Lắp đặt tủ nhị thứ, tủ điều khiển đường dây, phân đoạn, đường vòng, lộ tổng MBA, tụ bù  &lt;=35V</v>
          </cell>
          <cell r="D4138" t="str">
            <v>tủ</v>
          </cell>
          <cell r="H4138">
            <v>9405</v>
          </cell>
          <cell r="I4138">
            <v>857744.41085526312</v>
          </cell>
          <cell r="J4138">
            <v>480654.56107142864</v>
          </cell>
        </row>
        <row r="4139">
          <cell r="C4139" t="str">
            <v>Vật liệu</v>
          </cell>
          <cell r="G4139">
            <v>9405</v>
          </cell>
        </row>
        <row r="4140">
          <cell r="B4140">
            <v>1</v>
          </cell>
          <cell r="C4140" t="str">
            <v>Cồn công nghiệp</v>
          </cell>
          <cell r="D4140" t="str">
            <v>kg</v>
          </cell>
          <cell r="E4140">
            <v>0.5</v>
          </cell>
          <cell r="F4140">
            <v>9500</v>
          </cell>
          <cell r="G4140">
            <v>4750</v>
          </cell>
        </row>
        <row r="4141">
          <cell r="B4141">
            <v>9</v>
          </cell>
          <cell r="C4141" t="str">
            <v>Giẻ lau</v>
          </cell>
          <cell r="D4141" t="str">
            <v>kg</v>
          </cell>
          <cell r="E4141">
            <v>0.4</v>
          </cell>
          <cell r="F4141">
            <v>9500</v>
          </cell>
          <cell r="G4141">
            <v>3800</v>
          </cell>
        </row>
        <row r="4142">
          <cell r="B4142">
            <v>117</v>
          </cell>
          <cell r="C4142" t="str">
            <v>Vật liệu khác</v>
          </cell>
          <cell r="D4142" t="str">
            <v>%</v>
          </cell>
          <cell r="E4142">
            <v>10</v>
          </cell>
          <cell r="F4142">
            <v>0</v>
          </cell>
          <cell r="G4142">
            <v>855</v>
          </cell>
        </row>
        <row r="4143">
          <cell r="C4143" t="str">
            <v>Nhân công</v>
          </cell>
          <cell r="G4143">
            <v>857744.41085526312</v>
          </cell>
        </row>
        <row r="4144">
          <cell r="B4144" t="str">
            <v>NC1457</v>
          </cell>
          <cell r="C4144" t="str">
            <v>Ngày công bậc 4,5/7</v>
          </cell>
          <cell r="D4144" t="str">
            <v>công</v>
          </cell>
          <cell r="E4144">
            <v>4.05</v>
          </cell>
          <cell r="F4144">
            <v>211788.74342105264</v>
          </cell>
          <cell r="G4144">
            <v>857744.41085526312</v>
          </cell>
        </row>
        <row r="4145">
          <cell r="C4145" t="str">
            <v>Máy thi công</v>
          </cell>
          <cell r="G4145">
            <v>480654.56107142864</v>
          </cell>
        </row>
        <row r="4146">
          <cell r="B4146">
            <v>8016</v>
          </cell>
          <cell r="C4146" t="str">
            <v>Xe nâng thang</v>
          </cell>
          <cell r="D4146" t="str">
            <v>ca</v>
          </cell>
          <cell r="E4146">
            <v>0.25</v>
          </cell>
          <cell r="F4146">
            <v>1922618.2442857146</v>
          </cell>
          <cell r="G4146">
            <v>480654.56107142864</v>
          </cell>
        </row>
        <row r="4147">
          <cell r="A4147" t="str">
            <v>T5.3106</v>
          </cell>
          <cell r="C4147" t="str">
            <v>Lắp đặt tủ nhị thứ, tủ điều khiển đường dây, phân đoạn, đường vòng, lộ tổng MBA, tụ bù &lt;=110KV</v>
          </cell>
          <cell r="D4147" t="str">
            <v>tủ</v>
          </cell>
          <cell r="H4147">
            <v>11495</v>
          </cell>
          <cell r="I4147">
            <v>1029293.2930263159</v>
          </cell>
          <cell r="J4147">
            <v>480654.56107142864</v>
          </cell>
        </row>
        <row r="4148">
          <cell r="C4148" t="str">
            <v>Vật liệu</v>
          </cell>
          <cell r="G4148">
            <v>11495</v>
          </cell>
        </row>
        <row r="4149">
          <cell r="B4149">
            <v>1</v>
          </cell>
          <cell r="C4149" t="str">
            <v>Cồn công nghiệp</v>
          </cell>
          <cell r="D4149" t="str">
            <v>kg</v>
          </cell>
          <cell r="E4149">
            <v>0.6</v>
          </cell>
          <cell r="F4149">
            <v>9500</v>
          </cell>
          <cell r="G4149">
            <v>5700</v>
          </cell>
        </row>
        <row r="4150">
          <cell r="B4150">
            <v>9</v>
          </cell>
          <cell r="C4150" t="str">
            <v>Giẻ lau</v>
          </cell>
          <cell r="D4150" t="str">
            <v>kg</v>
          </cell>
          <cell r="E4150">
            <v>0.5</v>
          </cell>
          <cell r="F4150">
            <v>9500</v>
          </cell>
          <cell r="G4150">
            <v>4750</v>
          </cell>
        </row>
        <row r="4151">
          <cell r="B4151">
            <v>117</v>
          </cell>
          <cell r="C4151" t="str">
            <v>Vật liệu khác</v>
          </cell>
          <cell r="D4151" t="str">
            <v>%</v>
          </cell>
          <cell r="E4151">
            <v>10</v>
          </cell>
          <cell r="F4151">
            <v>0</v>
          </cell>
          <cell r="G4151">
            <v>1045</v>
          </cell>
        </row>
        <row r="4152">
          <cell r="C4152" t="str">
            <v>Nhân công</v>
          </cell>
          <cell r="G4152">
            <v>1029293.2930263159</v>
          </cell>
        </row>
        <row r="4153">
          <cell r="B4153" t="str">
            <v>NC1457</v>
          </cell>
          <cell r="C4153" t="str">
            <v>Ngày công bậc 4,5/7</v>
          </cell>
          <cell r="D4153" t="str">
            <v>công</v>
          </cell>
          <cell r="E4153">
            <v>4.8600000000000003</v>
          </cell>
          <cell r="F4153">
            <v>211788.74342105264</v>
          </cell>
          <cell r="G4153">
            <v>1029293.2930263159</v>
          </cell>
        </row>
        <row r="4154">
          <cell r="C4154" t="str">
            <v>Máy thi công</v>
          </cell>
          <cell r="G4154">
            <v>480654.56107142864</v>
          </cell>
        </row>
        <row r="4155">
          <cell r="B4155">
            <v>8016</v>
          </cell>
          <cell r="C4155" t="str">
            <v>Xe nâng thang</v>
          </cell>
          <cell r="D4155" t="str">
            <v>ca</v>
          </cell>
          <cell r="E4155">
            <v>0.25</v>
          </cell>
          <cell r="F4155">
            <v>1922618.2442857146</v>
          </cell>
          <cell r="G4155">
            <v>480654.56107142864</v>
          </cell>
        </row>
        <row r="4156">
          <cell r="A4156" t="str">
            <v>T5.3107</v>
          </cell>
          <cell r="C4156" t="str">
            <v>Lắp đặt tủ nhị thứ, tủ điều khiển đường dây, phân đoạn, đường vòng, lộ tổng MBA, tụ bù &lt;=220KV</v>
          </cell>
          <cell r="D4156" t="str">
            <v>tủ</v>
          </cell>
          <cell r="H4156">
            <v>11495</v>
          </cell>
          <cell r="I4156">
            <v>1200842.1751973685</v>
          </cell>
          <cell r="J4156">
            <v>480654.56107142864</v>
          </cell>
        </row>
        <row r="4157">
          <cell r="C4157" t="str">
            <v>Vật liệu</v>
          </cell>
          <cell r="G4157">
            <v>11495</v>
          </cell>
        </row>
        <row r="4158">
          <cell r="B4158">
            <v>1</v>
          </cell>
          <cell r="C4158" t="str">
            <v>Cồn công nghiệp</v>
          </cell>
          <cell r="D4158" t="str">
            <v>kg</v>
          </cell>
          <cell r="E4158">
            <v>0.6</v>
          </cell>
          <cell r="F4158">
            <v>9500</v>
          </cell>
          <cell r="G4158">
            <v>5700</v>
          </cell>
        </row>
        <row r="4159">
          <cell r="B4159">
            <v>9</v>
          </cell>
          <cell r="C4159" t="str">
            <v>Giẻ lau</v>
          </cell>
          <cell r="D4159" t="str">
            <v>kg</v>
          </cell>
          <cell r="E4159">
            <v>0.5</v>
          </cell>
          <cell r="F4159">
            <v>9500</v>
          </cell>
          <cell r="G4159">
            <v>4750</v>
          </cell>
        </row>
        <row r="4160">
          <cell r="B4160">
            <v>117</v>
          </cell>
          <cell r="C4160" t="str">
            <v>Vật liệu khác</v>
          </cell>
          <cell r="D4160" t="str">
            <v>%</v>
          </cell>
          <cell r="E4160">
            <v>10</v>
          </cell>
          <cell r="F4160">
            <v>0</v>
          </cell>
          <cell r="G4160">
            <v>1045</v>
          </cell>
        </row>
        <row r="4161">
          <cell r="C4161" t="str">
            <v>Nhân công</v>
          </cell>
          <cell r="G4161">
            <v>1200842.1751973685</v>
          </cell>
        </row>
        <row r="4162">
          <cell r="B4162" t="str">
            <v>NC1457</v>
          </cell>
          <cell r="C4162" t="str">
            <v>Ngày công bậc 4,5/7</v>
          </cell>
          <cell r="D4162" t="str">
            <v>công</v>
          </cell>
          <cell r="E4162">
            <v>5.67</v>
          </cell>
          <cell r="F4162">
            <v>211788.74342105264</v>
          </cell>
          <cell r="G4162">
            <v>1200842.1751973685</v>
          </cell>
        </row>
        <row r="4163">
          <cell r="C4163" t="str">
            <v>Máy thi công</v>
          </cell>
          <cell r="G4163">
            <v>480654.56107142864</v>
          </cell>
        </row>
        <row r="4164">
          <cell r="B4164">
            <v>8016</v>
          </cell>
          <cell r="C4164" t="str">
            <v>Xe nâng thang</v>
          </cell>
          <cell r="D4164" t="str">
            <v>ca</v>
          </cell>
          <cell r="E4164">
            <v>0.25</v>
          </cell>
          <cell r="F4164">
            <v>1922618.2442857146</v>
          </cell>
          <cell r="G4164">
            <v>480654.56107142864</v>
          </cell>
        </row>
        <row r="4165">
          <cell r="A4165" t="str">
            <v>T5.3108</v>
          </cell>
          <cell r="C4165" t="str">
            <v>Lắp đặt tủ nhị thứ, tủ điều khiển đường dây, phân đoạn, đường vòng, lộ tổng MBA, tụ bù &lt;=500KV</v>
          </cell>
          <cell r="D4165" t="str">
            <v>tủ</v>
          </cell>
          <cell r="H4165">
            <v>18810</v>
          </cell>
          <cell r="I4165">
            <v>1372391.0573684212</v>
          </cell>
          <cell r="J4165">
            <v>480654.56107142864</v>
          </cell>
        </row>
        <row r="4166">
          <cell r="C4166" t="str">
            <v>Vật liệu</v>
          </cell>
          <cell r="G4166">
            <v>18810</v>
          </cell>
        </row>
        <row r="4167">
          <cell r="B4167">
            <v>1</v>
          </cell>
          <cell r="C4167" t="str">
            <v>Cồn công nghiệp</v>
          </cell>
          <cell r="D4167" t="str">
            <v>kg</v>
          </cell>
          <cell r="E4167">
            <v>0.8</v>
          </cell>
          <cell r="F4167">
            <v>9500</v>
          </cell>
          <cell r="G4167">
            <v>7600</v>
          </cell>
        </row>
        <row r="4168">
          <cell r="B4168">
            <v>9</v>
          </cell>
          <cell r="C4168" t="str">
            <v>Giẻ lau</v>
          </cell>
          <cell r="D4168" t="str">
            <v>kg</v>
          </cell>
          <cell r="E4168">
            <v>1</v>
          </cell>
          <cell r="F4168">
            <v>9500</v>
          </cell>
          <cell r="G4168">
            <v>9500</v>
          </cell>
        </row>
        <row r="4169">
          <cell r="B4169">
            <v>117</v>
          </cell>
          <cell r="C4169" t="str">
            <v>Vật liệu khác</v>
          </cell>
          <cell r="D4169" t="str">
            <v>%</v>
          </cell>
          <cell r="E4169">
            <v>10</v>
          </cell>
          <cell r="F4169">
            <v>0</v>
          </cell>
          <cell r="G4169">
            <v>1710</v>
          </cell>
        </row>
        <row r="4170">
          <cell r="C4170" t="str">
            <v>Nhân công</v>
          </cell>
          <cell r="G4170">
            <v>1372391.0573684212</v>
          </cell>
        </row>
        <row r="4171">
          <cell r="B4171" t="str">
            <v>NC1457</v>
          </cell>
          <cell r="C4171" t="str">
            <v>Ngày công bậc 4,5/7</v>
          </cell>
          <cell r="D4171" t="str">
            <v>công</v>
          </cell>
          <cell r="E4171">
            <v>6.48</v>
          </cell>
          <cell r="F4171">
            <v>211788.74342105264</v>
          </cell>
          <cell r="G4171">
            <v>1372391.0573684212</v>
          </cell>
        </row>
        <row r="4172">
          <cell r="C4172" t="str">
            <v>Máy thi công</v>
          </cell>
          <cell r="G4172">
            <v>480654.56107142864</v>
          </cell>
        </row>
        <row r="4173">
          <cell r="B4173">
            <v>8016</v>
          </cell>
          <cell r="C4173" t="str">
            <v>Xe nâng thang</v>
          </cell>
          <cell r="D4173" t="str">
            <v>ca</v>
          </cell>
          <cell r="E4173">
            <v>0.25</v>
          </cell>
          <cell r="F4173">
            <v>1922618.2442857146</v>
          </cell>
          <cell r="G4173">
            <v>480654.56107142864</v>
          </cell>
        </row>
        <row r="4174">
          <cell r="A4174" t="str">
            <v>T5.3201</v>
          </cell>
          <cell r="C4174" t="str">
            <v>Lắp đặt tủ bảo vệ máy biến áp &lt;=35V</v>
          </cell>
          <cell r="D4174" t="str">
            <v>tủ</v>
          </cell>
          <cell r="H4174">
            <v>9405</v>
          </cell>
          <cell r="I4174">
            <v>905396.87812500016</v>
          </cell>
          <cell r="J4174">
            <v>480654.56107142864</v>
          </cell>
        </row>
        <row r="4175">
          <cell r="C4175" t="str">
            <v>Vật liệu</v>
          </cell>
          <cell r="G4175">
            <v>9405</v>
          </cell>
        </row>
        <row r="4176">
          <cell r="B4176">
            <v>1</v>
          </cell>
          <cell r="C4176" t="str">
            <v>Cồn công nghiệp</v>
          </cell>
          <cell r="D4176" t="str">
            <v>kg</v>
          </cell>
          <cell r="E4176">
            <v>0.5</v>
          </cell>
          <cell r="F4176">
            <v>9500</v>
          </cell>
          <cell r="G4176">
            <v>4750</v>
          </cell>
        </row>
        <row r="4177">
          <cell r="B4177">
            <v>9</v>
          </cell>
          <cell r="C4177" t="str">
            <v>Giẻ lau</v>
          </cell>
          <cell r="D4177" t="str">
            <v>kg</v>
          </cell>
          <cell r="E4177">
            <v>0.4</v>
          </cell>
          <cell r="F4177">
            <v>9500</v>
          </cell>
          <cell r="G4177">
            <v>3800</v>
          </cell>
        </row>
        <row r="4178">
          <cell r="B4178">
            <v>117</v>
          </cell>
          <cell r="C4178" t="str">
            <v>Vật liệu khác</v>
          </cell>
          <cell r="D4178" t="str">
            <v>%</v>
          </cell>
          <cell r="E4178">
            <v>10</v>
          </cell>
          <cell r="F4178">
            <v>0</v>
          </cell>
          <cell r="G4178">
            <v>855</v>
          </cell>
        </row>
        <row r="4179">
          <cell r="C4179" t="str">
            <v>Nhân công</v>
          </cell>
          <cell r="G4179">
            <v>905396.87812500016</v>
          </cell>
        </row>
        <row r="4180">
          <cell r="B4180" t="str">
            <v>NC1457</v>
          </cell>
          <cell r="C4180" t="str">
            <v>Ngày công bậc 4,5/7</v>
          </cell>
          <cell r="D4180" t="str">
            <v>công</v>
          </cell>
          <cell r="E4180">
            <v>4.2750000000000004</v>
          </cell>
          <cell r="F4180">
            <v>211788.74342105264</v>
          </cell>
          <cell r="G4180">
            <v>905396.87812500016</v>
          </cell>
        </row>
        <row r="4181">
          <cell r="C4181" t="str">
            <v>Máy thi công</v>
          </cell>
          <cell r="G4181">
            <v>480654.56107142864</v>
          </cell>
        </row>
        <row r="4182">
          <cell r="B4182">
            <v>8016</v>
          </cell>
          <cell r="C4182" t="str">
            <v>Xe nâng thang</v>
          </cell>
          <cell r="D4182" t="str">
            <v>ca</v>
          </cell>
          <cell r="E4182">
            <v>0.25</v>
          </cell>
          <cell r="F4182">
            <v>1922618.2442857146</v>
          </cell>
          <cell r="G4182">
            <v>480654.56107142864</v>
          </cell>
        </row>
        <row r="4183">
          <cell r="A4183" t="str">
            <v>T5.3202</v>
          </cell>
          <cell r="C4183" t="str">
            <v>Lắp đặt tủ bảo vệ máy biến áp &lt;=110KV</v>
          </cell>
          <cell r="D4183" t="str">
            <v>tủ</v>
          </cell>
          <cell r="H4183">
            <v>11495</v>
          </cell>
          <cell r="I4183">
            <v>1086476.2537499999</v>
          </cell>
          <cell r="J4183">
            <v>480654.56107142864</v>
          </cell>
        </row>
        <row r="4184">
          <cell r="C4184" t="str">
            <v>Vật liệu</v>
          </cell>
          <cell r="G4184">
            <v>11495</v>
          </cell>
        </row>
        <row r="4185">
          <cell r="B4185">
            <v>1</v>
          </cell>
          <cell r="C4185" t="str">
            <v>Cồn công nghiệp</v>
          </cell>
          <cell r="D4185" t="str">
            <v>kg</v>
          </cell>
          <cell r="E4185">
            <v>0.6</v>
          </cell>
          <cell r="F4185">
            <v>9500</v>
          </cell>
          <cell r="G4185">
            <v>5700</v>
          </cell>
        </row>
        <row r="4186">
          <cell r="B4186">
            <v>9</v>
          </cell>
          <cell r="C4186" t="str">
            <v>Giẻ lau</v>
          </cell>
          <cell r="D4186" t="str">
            <v>kg</v>
          </cell>
          <cell r="E4186">
            <v>0.5</v>
          </cell>
          <cell r="F4186">
            <v>9500</v>
          </cell>
          <cell r="G4186">
            <v>4750</v>
          </cell>
        </row>
        <row r="4187">
          <cell r="B4187">
            <v>117</v>
          </cell>
          <cell r="C4187" t="str">
            <v>Vật liệu khác</v>
          </cell>
          <cell r="D4187" t="str">
            <v>%</v>
          </cell>
          <cell r="E4187">
            <v>10</v>
          </cell>
          <cell r="F4187">
            <v>0</v>
          </cell>
          <cell r="G4187">
            <v>1045</v>
          </cell>
        </row>
        <row r="4188">
          <cell r="C4188" t="str">
            <v>Nhân công</v>
          </cell>
          <cell r="G4188">
            <v>1086476.2537499999</v>
          </cell>
        </row>
        <row r="4189">
          <cell r="B4189" t="str">
            <v>NC1457</v>
          </cell>
          <cell r="C4189" t="str">
            <v>Ngày công bậc 4,5/7</v>
          </cell>
          <cell r="D4189" t="str">
            <v>công</v>
          </cell>
          <cell r="E4189">
            <v>5.13</v>
          </cell>
          <cell r="F4189">
            <v>211788.74342105264</v>
          </cell>
          <cell r="G4189">
            <v>1086476.2537499999</v>
          </cell>
        </row>
        <row r="4190">
          <cell r="C4190" t="str">
            <v>Máy thi công</v>
          </cell>
          <cell r="G4190">
            <v>480654.56107142864</v>
          </cell>
        </row>
        <row r="4191">
          <cell r="B4191">
            <v>8016</v>
          </cell>
          <cell r="C4191" t="str">
            <v>Xe nâng thang</v>
          </cell>
          <cell r="D4191" t="str">
            <v>ca</v>
          </cell>
          <cell r="E4191">
            <v>0.25</v>
          </cell>
          <cell r="F4191">
            <v>1922618.2442857146</v>
          </cell>
          <cell r="G4191">
            <v>480654.56107142864</v>
          </cell>
        </row>
        <row r="4192">
          <cell r="A4192" t="str">
            <v>T5.3203</v>
          </cell>
          <cell r="C4192" t="str">
            <v>Lắp đặt tủ bảo vệ máy biến áp &lt;=220KV</v>
          </cell>
          <cell r="D4192" t="str">
            <v>tủ</v>
          </cell>
          <cell r="H4192">
            <v>11495</v>
          </cell>
          <cell r="I4192">
            <v>1267555.629375</v>
          </cell>
          <cell r="J4192">
            <v>480654.56107142864</v>
          </cell>
        </row>
        <row r="4193">
          <cell r="C4193" t="str">
            <v>Vật liệu</v>
          </cell>
          <cell r="G4193">
            <v>11495</v>
          </cell>
        </row>
        <row r="4194">
          <cell r="B4194">
            <v>1</v>
          </cell>
          <cell r="C4194" t="str">
            <v>Cồn công nghiệp</v>
          </cell>
          <cell r="D4194" t="str">
            <v>kg</v>
          </cell>
          <cell r="E4194">
            <v>0.6</v>
          </cell>
          <cell r="F4194">
            <v>9500</v>
          </cell>
          <cell r="G4194">
            <v>5700</v>
          </cell>
        </row>
        <row r="4195">
          <cell r="B4195">
            <v>9</v>
          </cell>
          <cell r="C4195" t="str">
            <v>Giẻ lau</v>
          </cell>
          <cell r="D4195" t="str">
            <v>kg</v>
          </cell>
          <cell r="E4195">
            <v>0.5</v>
          </cell>
          <cell r="F4195">
            <v>9500</v>
          </cell>
          <cell r="G4195">
            <v>4750</v>
          </cell>
        </row>
        <row r="4196">
          <cell r="B4196">
            <v>117</v>
          </cell>
          <cell r="C4196" t="str">
            <v>Vật liệu khác</v>
          </cell>
          <cell r="D4196" t="str">
            <v>%</v>
          </cell>
          <cell r="E4196">
            <v>10</v>
          </cell>
          <cell r="F4196">
            <v>0</v>
          </cell>
          <cell r="G4196">
            <v>1045</v>
          </cell>
        </row>
        <row r="4197">
          <cell r="C4197" t="str">
            <v>Nhân công</v>
          </cell>
          <cell r="G4197">
            <v>1267555.629375</v>
          </cell>
        </row>
        <row r="4198">
          <cell r="B4198" t="str">
            <v>NC1457</v>
          </cell>
          <cell r="C4198" t="str">
            <v>Ngày công bậc 4,5/7</v>
          </cell>
          <cell r="D4198" t="str">
            <v>công</v>
          </cell>
          <cell r="E4198">
            <v>5.9850000000000003</v>
          </cell>
          <cell r="F4198">
            <v>211788.74342105264</v>
          </cell>
          <cell r="G4198">
            <v>1267555.629375</v>
          </cell>
        </row>
        <row r="4199">
          <cell r="C4199" t="str">
            <v>Máy thi công</v>
          </cell>
          <cell r="G4199">
            <v>480654.56107142864</v>
          </cell>
        </row>
        <row r="4200">
          <cell r="B4200">
            <v>8016</v>
          </cell>
          <cell r="C4200" t="str">
            <v>Xe nâng thang</v>
          </cell>
          <cell r="D4200" t="str">
            <v>ca</v>
          </cell>
          <cell r="E4200">
            <v>0.25</v>
          </cell>
          <cell r="F4200">
            <v>1922618.2442857146</v>
          </cell>
          <cell r="G4200">
            <v>480654.56107142864</v>
          </cell>
        </row>
        <row r="4201">
          <cell r="A4201" t="str">
            <v>T5.3204</v>
          </cell>
          <cell r="C4201" t="str">
            <v>Lắp đặt tủ bảo vệ máy biến áp &lt;=500KV</v>
          </cell>
          <cell r="D4201" t="str">
            <v>tủ</v>
          </cell>
          <cell r="H4201">
            <v>18810</v>
          </cell>
          <cell r="I4201">
            <v>1448635.0050000001</v>
          </cell>
          <cell r="J4201">
            <v>480654.56107142864</v>
          </cell>
        </row>
        <row r="4202">
          <cell r="C4202" t="str">
            <v>Vật liệu</v>
          </cell>
          <cell r="G4202">
            <v>18810</v>
          </cell>
        </row>
        <row r="4203">
          <cell r="B4203">
            <v>1</v>
          </cell>
          <cell r="C4203" t="str">
            <v>Cồn công nghiệp</v>
          </cell>
          <cell r="D4203" t="str">
            <v>kg</v>
          </cell>
          <cell r="E4203">
            <v>0.8</v>
          </cell>
          <cell r="F4203">
            <v>9500</v>
          </cell>
          <cell r="G4203">
            <v>7600</v>
          </cell>
        </row>
        <row r="4204">
          <cell r="B4204">
            <v>9</v>
          </cell>
          <cell r="C4204" t="str">
            <v>Giẻ lau</v>
          </cell>
          <cell r="D4204" t="str">
            <v>kg</v>
          </cell>
          <cell r="E4204">
            <v>1</v>
          </cell>
          <cell r="F4204">
            <v>9500</v>
          </cell>
          <cell r="G4204">
            <v>9500</v>
          </cell>
        </row>
        <row r="4205">
          <cell r="B4205">
            <v>117</v>
          </cell>
          <cell r="C4205" t="str">
            <v>Vật liệu khác</v>
          </cell>
          <cell r="D4205" t="str">
            <v>%</v>
          </cell>
          <cell r="E4205">
            <v>10</v>
          </cell>
          <cell r="F4205">
            <v>0</v>
          </cell>
          <cell r="G4205">
            <v>1710</v>
          </cell>
        </row>
        <row r="4206">
          <cell r="C4206" t="str">
            <v>Nhân công</v>
          </cell>
          <cell r="G4206">
            <v>1448635.0050000001</v>
          </cell>
        </row>
        <row r="4207">
          <cell r="B4207" t="str">
            <v>NC1457</v>
          </cell>
          <cell r="C4207" t="str">
            <v>Ngày công bậc 4,5/7</v>
          </cell>
          <cell r="D4207" t="str">
            <v>công</v>
          </cell>
          <cell r="E4207">
            <v>6.84</v>
          </cell>
          <cell r="F4207">
            <v>211788.74342105264</v>
          </cell>
          <cell r="G4207">
            <v>1448635.0050000001</v>
          </cell>
        </row>
        <row r="4208">
          <cell r="C4208" t="str">
            <v>Máy thi công</v>
          </cell>
          <cell r="G4208">
            <v>480654.56107142864</v>
          </cell>
        </row>
        <row r="4209">
          <cell r="B4209">
            <v>8016</v>
          </cell>
          <cell r="C4209" t="str">
            <v>Xe nâng thang</v>
          </cell>
          <cell r="D4209" t="str">
            <v>ca</v>
          </cell>
          <cell r="E4209">
            <v>0.25</v>
          </cell>
          <cell r="F4209">
            <v>1922618.2442857146</v>
          </cell>
          <cell r="G4209">
            <v>480654.56107142864</v>
          </cell>
        </row>
        <row r="4210">
          <cell r="A4210" t="str">
            <v>T5.3205</v>
          </cell>
          <cell r="C4210" t="str">
            <v>Lắp đặt tủ bảo vệ đường dây, phân đoạn, đường vòng, lộ tổng MBA &lt;=35V</v>
          </cell>
          <cell r="D4210" t="str">
            <v>tủ</v>
          </cell>
          <cell r="H4210">
            <v>9405</v>
          </cell>
          <cell r="I4210">
            <v>814963.08468421048</v>
          </cell>
          <cell r="J4210">
            <v>480654.56107142864</v>
          </cell>
        </row>
        <row r="4211">
          <cell r="C4211" t="str">
            <v>Vật liệu</v>
          </cell>
          <cell r="G4211">
            <v>9405</v>
          </cell>
        </row>
        <row r="4212">
          <cell r="B4212">
            <v>1</v>
          </cell>
          <cell r="C4212" t="str">
            <v>Cồn công nghiệp</v>
          </cell>
          <cell r="D4212" t="str">
            <v>kg</v>
          </cell>
          <cell r="E4212">
            <v>0.5</v>
          </cell>
          <cell r="F4212">
            <v>9500</v>
          </cell>
          <cell r="G4212">
            <v>4750</v>
          </cell>
        </row>
        <row r="4213">
          <cell r="B4213">
            <v>9</v>
          </cell>
          <cell r="C4213" t="str">
            <v>Giẻ lau</v>
          </cell>
          <cell r="D4213" t="str">
            <v>kg</v>
          </cell>
          <cell r="E4213">
            <v>0.4</v>
          </cell>
          <cell r="F4213">
            <v>9500</v>
          </cell>
          <cell r="G4213">
            <v>3800</v>
          </cell>
        </row>
        <row r="4214">
          <cell r="B4214">
            <v>117</v>
          </cell>
          <cell r="C4214" t="str">
            <v>Vật liệu khác</v>
          </cell>
          <cell r="D4214" t="str">
            <v>%</v>
          </cell>
          <cell r="E4214">
            <v>10</v>
          </cell>
          <cell r="F4214">
            <v>0</v>
          </cell>
          <cell r="G4214">
            <v>855</v>
          </cell>
        </row>
        <row r="4215">
          <cell r="C4215" t="str">
            <v>Nhân công</v>
          </cell>
          <cell r="G4215">
            <v>814963.08468421048</v>
          </cell>
        </row>
        <row r="4216">
          <cell r="B4216" t="str">
            <v>NC1457</v>
          </cell>
          <cell r="C4216" t="str">
            <v>Ngày công bậc 4,5/7</v>
          </cell>
          <cell r="D4216" t="str">
            <v>công</v>
          </cell>
          <cell r="E4216">
            <v>3.8479999999999999</v>
          </cell>
          <cell r="F4216">
            <v>211788.74342105264</v>
          </cell>
          <cell r="G4216">
            <v>814963.08468421048</v>
          </cell>
        </row>
        <row r="4217">
          <cell r="C4217" t="str">
            <v>Máy thi công</v>
          </cell>
          <cell r="G4217">
            <v>480654.56107142864</v>
          </cell>
        </row>
        <row r="4218">
          <cell r="B4218">
            <v>8016</v>
          </cell>
          <cell r="C4218" t="str">
            <v>Xe nâng thang</v>
          </cell>
          <cell r="D4218" t="str">
            <v>ca</v>
          </cell>
          <cell r="E4218">
            <v>0.25</v>
          </cell>
          <cell r="F4218">
            <v>1922618.2442857146</v>
          </cell>
          <cell r="G4218">
            <v>480654.56107142864</v>
          </cell>
        </row>
        <row r="4219">
          <cell r="A4219" t="str">
            <v>T5.3206</v>
          </cell>
          <cell r="C4219" t="str">
            <v>Lắp đặt tủ bảo vệ đường dây, phân đoạn, đường vòng, lộ tổng MBA &lt;=110KV</v>
          </cell>
          <cell r="D4219" t="str">
            <v>tủ</v>
          </cell>
          <cell r="H4219">
            <v>11495</v>
          </cell>
          <cell r="I4219">
            <v>977828.62837500009</v>
          </cell>
          <cell r="J4219">
            <v>480654.56107142864</v>
          </cell>
        </row>
        <row r="4220">
          <cell r="C4220" t="str">
            <v>Vật liệu</v>
          </cell>
          <cell r="G4220">
            <v>11495</v>
          </cell>
        </row>
        <row r="4221">
          <cell r="B4221">
            <v>1</v>
          </cell>
          <cell r="C4221" t="str">
            <v>Cồn công nghiệp</v>
          </cell>
          <cell r="D4221" t="str">
            <v>kg</v>
          </cell>
          <cell r="E4221">
            <v>0.6</v>
          </cell>
          <cell r="F4221">
            <v>9500</v>
          </cell>
          <cell r="G4221">
            <v>5700</v>
          </cell>
        </row>
        <row r="4222">
          <cell r="B4222">
            <v>9</v>
          </cell>
          <cell r="C4222" t="str">
            <v>Giẻ lau</v>
          </cell>
          <cell r="D4222" t="str">
            <v>kg</v>
          </cell>
          <cell r="E4222">
            <v>0.5</v>
          </cell>
          <cell r="F4222">
            <v>9500</v>
          </cell>
          <cell r="G4222">
            <v>4750</v>
          </cell>
        </row>
        <row r="4223">
          <cell r="B4223">
            <v>117</v>
          </cell>
          <cell r="C4223" t="str">
            <v>Vật liệu khác</v>
          </cell>
          <cell r="D4223" t="str">
            <v>%</v>
          </cell>
          <cell r="E4223">
            <v>10</v>
          </cell>
          <cell r="F4223">
            <v>0</v>
          </cell>
          <cell r="G4223">
            <v>1045</v>
          </cell>
        </row>
        <row r="4224">
          <cell r="C4224" t="str">
            <v>Nhân công</v>
          </cell>
          <cell r="G4224">
            <v>977828.62837500009</v>
          </cell>
        </row>
        <row r="4225">
          <cell r="B4225" t="str">
            <v>NC1457</v>
          </cell>
          <cell r="C4225" t="str">
            <v>Ngày công bậc 4,5/7</v>
          </cell>
          <cell r="D4225" t="str">
            <v>công</v>
          </cell>
          <cell r="E4225">
            <v>4.617</v>
          </cell>
          <cell r="F4225">
            <v>211788.74342105264</v>
          </cell>
          <cell r="G4225">
            <v>977828.62837500009</v>
          </cell>
        </row>
        <row r="4226">
          <cell r="C4226" t="str">
            <v>Máy thi công</v>
          </cell>
          <cell r="G4226">
            <v>480654.56107142864</v>
          </cell>
        </row>
        <row r="4227">
          <cell r="B4227">
            <v>8016</v>
          </cell>
          <cell r="C4227" t="str">
            <v>Xe nâng thang</v>
          </cell>
          <cell r="D4227" t="str">
            <v>ca</v>
          </cell>
          <cell r="E4227">
            <v>0.25</v>
          </cell>
          <cell r="F4227">
            <v>1922618.2442857146</v>
          </cell>
          <cell r="G4227">
            <v>480654.56107142864</v>
          </cell>
        </row>
        <row r="4228">
          <cell r="A4228" t="str">
            <v>T5.3207</v>
          </cell>
          <cell r="C4228" t="str">
            <v>Lắp đặt tủ bảo vệ đường dây, phân đoạn, đường vòng, lộ tổng MBA &lt;=220KV</v>
          </cell>
          <cell r="D4228" t="str">
            <v>tủ</v>
          </cell>
          <cell r="H4228">
            <v>11495</v>
          </cell>
          <cell r="I4228">
            <v>1140905.9608092105</v>
          </cell>
          <cell r="J4228">
            <v>480654.56107142864</v>
          </cell>
        </row>
        <row r="4229">
          <cell r="C4229" t="str">
            <v>Vật liệu</v>
          </cell>
          <cell r="G4229">
            <v>11495</v>
          </cell>
        </row>
        <row r="4230">
          <cell r="B4230">
            <v>1</v>
          </cell>
          <cell r="C4230" t="str">
            <v>Cồn công nghiệp</v>
          </cell>
          <cell r="D4230" t="str">
            <v>kg</v>
          </cell>
          <cell r="E4230">
            <v>0.6</v>
          </cell>
          <cell r="F4230">
            <v>9500</v>
          </cell>
          <cell r="G4230">
            <v>5700</v>
          </cell>
        </row>
        <row r="4231">
          <cell r="B4231">
            <v>9</v>
          </cell>
          <cell r="C4231" t="str">
            <v>Giẻ lau</v>
          </cell>
          <cell r="D4231" t="str">
            <v>kg</v>
          </cell>
          <cell r="E4231">
            <v>0.5</v>
          </cell>
          <cell r="F4231">
            <v>9500</v>
          </cell>
          <cell r="G4231">
            <v>4750</v>
          </cell>
        </row>
        <row r="4232">
          <cell r="B4232">
            <v>117</v>
          </cell>
          <cell r="C4232" t="str">
            <v>Vật liệu khác</v>
          </cell>
          <cell r="D4232" t="str">
            <v>%</v>
          </cell>
          <cell r="E4232">
            <v>10</v>
          </cell>
          <cell r="F4232">
            <v>0</v>
          </cell>
          <cell r="G4232">
            <v>1045</v>
          </cell>
        </row>
        <row r="4233">
          <cell r="C4233" t="str">
            <v>Nhân công</v>
          </cell>
          <cell r="G4233">
            <v>1140905.9608092105</v>
          </cell>
        </row>
        <row r="4234">
          <cell r="B4234" t="str">
            <v>NC1457</v>
          </cell>
          <cell r="C4234" t="str">
            <v>Ngày công bậc 4,5/7</v>
          </cell>
          <cell r="D4234" t="str">
            <v>công</v>
          </cell>
          <cell r="E4234">
            <v>5.3869999999999996</v>
          </cell>
          <cell r="F4234">
            <v>211788.74342105264</v>
          </cell>
          <cell r="G4234">
            <v>1140905.9608092105</v>
          </cell>
        </row>
        <row r="4235">
          <cell r="C4235" t="str">
            <v>Máy thi công</v>
          </cell>
          <cell r="G4235">
            <v>480654.56107142864</v>
          </cell>
        </row>
        <row r="4236">
          <cell r="B4236">
            <v>8016</v>
          </cell>
          <cell r="C4236" t="str">
            <v>Xe nâng thang</v>
          </cell>
          <cell r="D4236" t="str">
            <v>ca</v>
          </cell>
          <cell r="E4236">
            <v>0.25</v>
          </cell>
          <cell r="F4236">
            <v>1922618.2442857146</v>
          </cell>
          <cell r="G4236">
            <v>480654.56107142864</v>
          </cell>
        </row>
        <row r="4237">
          <cell r="A4237" t="str">
            <v>T5.3208</v>
          </cell>
          <cell r="C4237" t="str">
            <v>Lắp đặt tủ bảo vệ đường dây, phân đoạn, đường vòng, lộ tổng MBA &lt;=500KV</v>
          </cell>
          <cell r="D4237" t="str">
            <v>tủ</v>
          </cell>
          <cell r="H4237">
            <v>18810</v>
          </cell>
          <cell r="I4237">
            <v>1303771.5045</v>
          </cell>
          <cell r="J4237">
            <v>480654.56107142864</v>
          </cell>
        </row>
        <row r="4238">
          <cell r="C4238" t="str">
            <v>Vật liệu</v>
          </cell>
          <cell r="G4238">
            <v>18810</v>
          </cell>
        </row>
        <row r="4239">
          <cell r="B4239">
            <v>1</v>
          </cell>
          <cell r="C4239" t="str">
            <v>Cồn công nghiệp</v>
          </cell>
          <cell r="D4239" t="str">
            <v>kg</v>
          </cell>
          <cell r="E4239">
            <v>0.8</v>
          </cell>
          <cell r="F4239">
            <v>9500</v>
          </cell>
          <cell r="G4239">
            <v>7600</v>
          </cell>
        </row>
        <row r="4240">
          <cell r="B4240">
            <v>9</v>
          </cell>
          <cell r="C4240" t="str">
            <v>Giẻ lau</v>
          </cell>
          <cell r="D4240" t="str">
            <v>kg</v>
          </cell>
          <cell r="E4240">
            <v>1</v>
          </cell>
          <cell r="F4240">
            <v>9500</v>
          </cell>
          <cell r="G4240">
            <v>9500</v>
          </cell>
        </row>
        <row r="4241">
          <cell r="B4241">
            <v>117</v>
          </cell>
          <cell r="C4241" t="str">
            <v>Vật liệu khác</v>
          </cell>
          <cell r="D4241" t="str">
            <v>%</v>
          </cell>
          <cell r="E4241">
            <v>10</v>
          </cell>
          <cell r="F4241">
            <v>0</v>
          </cell>
          <cell r="G4241">
            <v>1710</v>
          </cell>
        </row>
        <row r="4242">
          <cell r="C4242" t="str">
            <v>Nhân công</v>
          </cell>
          <cell r="G4242">
            <v>1303771.5045</v>
          </cell>
        </row>
        <row r="4243">
          <cell r="B4243" t="str">
            <v>NC1457</v>
          </cell>
          <cell r="C4243" t="str">
            <v>Ngày công bậc 4,5/7</v>
          </cell>
          <cell r="D4243" t="str">
            <v>công</v>
          </cell>
          <cell r="E4243">
            <v>6.1559999999999997</v>
          </cell>
          <cell r="F4243">
            <v>211788.74342105264</v>
          </cell>
          <cell r="G4243">
            <v>1303771.5045</v>
          </cell>
        </row>
        <row r="4244">
          <cell r="C4244" t="str">
            <v>Máy thi công</v>
          </cell>
          <cell r="G4244">
            <v>480654.56107142864</v>
          </cell>
        </row>
        <row r="4245">
          <cell r="B4245">
            <v>8016</v>
          </cell>
          <cell r="C4245" t="str">
            <v>Xe nâng thang</v>
          </cell>
          <cell r="D4245" t="str">
            <v>ca</v>
          </cell>
          <cell r="E4245">
            <v>0.25</v>
          </cell>
          <cell r="F4245">
            <v>1922618.2442857146</v>
          </cell>
          <cell r="G4245">
            <v>480654.56107142864</v>
          </cell>
        </row>
        <row r="4246">
          <cell r="A4246" t="str">
            <v>T5.3301</v>
          </cell>
          <cell r="C4246" t="str">
            <v>Lắp đặt tủ đo lường điện áp &lt;=35V</v>
          </cell>
          <cell r="D4246" t="str">
            <v>tủ</v>
          </cell>
          <cell r="H4246">
            <v>9405</v>
          </cell>
          <cell r="I4246">
            <v>905396.87812500016</v>
          </cell>
          <cell r="J4246">
            <v>480654.56107142864</v>
          </cell>
        </row>
        <row r="4247">
          <cell r="C4247" t="str">
            <v>Vật liệu</v>
          </cell>
          <cell r="G4247">
            <v>9405</v>
          </cell>
        </row>
        <row r="4248">
          <cell r="B4248">
            <v>1</v>
          </cell>
          <cell r="C4248" t="str">
            <v>Cồn công nghiệp</v>
          </cell>
          <cell r="D4248" t="str">
            <v>kg</v>
          </cell>
          <cell r="E4248">
            <v>0.5</v>
          </cell>
          <cell r="F4248">
            <v>9500</v>
          </cell>
          <cell r="G4248">
            <v>4750</v>
          </cell>
        </row>
        <row r="4249">
          <cell r="B4249">
            <v>9</v>
          </cell>
          <cell r="C4249" t="str">
            <v>Giẻ lau</v>
          </cell>
          <cell r="D4249" t="str">
            <v>kg</v>
          </cell>
          <cell r="E4249">
            <v>0.4</v>
          </cell>
          <cell r="F4249">
            <v>9500</v>
          </cell>
          <cell r="G4249">
            <v>3800</v>
          </cell>
        </row>
        <row r="4250">
          <cell r="B4250">
            <v>117</v>
          </cell>
          <cell r="C4250" t="str">
            <v>Vật liệu khác</v>
          </cell>
          <cell r="D4250" t="str">
            <v>%</v>
          </cell>
          <cell r="E4250">
            <v>10</v>
          </cell>
          <cell r="F4250">
            <v>0</v>
          </cell>
          <cell r="G4250">
            <v>855</v>
          </cell>
        </row>
        <row r="4251">
          <cell r="C4251" t="str">
            <v>Nhân công</v>
          </cell>
          <cell r="G4251">
            <v>905396.87812500016</v>
          </cell>
        </row>
        <row r="4252">
          <cell r="B4252" t="str">
            <v>NC1457</v>
          </cell>
          <cell r="C4252" t="str">
            <v>Ngày công bậc 4,5/7</v>
          </cell>
          <cell r="D4252" t="str">
            <v>công</v>
          </cell>
          <cell r="E4252">
            <v>4.2750000000000004</v>
          </cell>
          <cell r="F4252">
            <v>211788.74342105264</v>
          </cell>
          <cell r="G4252">
            <v>905396.87812500016</v>
          </cell>
        </row>
        <row r="4253">
          <cell r="C4253" t="str">
            <v>Máy thi công</v>
          </cell>
          <cell r="G4253">
            <v>480654.56107142864</v>
          </cell>
        </row>
        <row r="4254">
          <cell r="B4254">
            <v>8016</v>
          </cell>
          <cell r="C4254" t="str">
            <v>Xe nâng thang</v>
          </cell>
          <cell r="D4254" t="str">
            <v>ca</v>
          </cell>
          <cell r="E4254">
            <v>0.25</v>
          </cell>
          <cell r="F4254">
            <v>1922618.2442857146</v>
          </cell>
          <cell r="G4254">
            <v>480654.56107142864</v>
          </cell>
        </row>
        <row r="4255">
          <cell r="A4255" t="str">
            <v>T5.3302</v>
          </cell>
          <cell r="C4255" t="str">
            <v>Lắp đặt tủ đo lường điện áp &lt;=110KV</v>
          </cell>
          <cell r="D4255" t="str">
            <v>tủ</v>
          </cell>
          <cell r="H4255">
            <v>11495</v>
          </cell>
          <cell r="I4255">
            <v>1086476.2537499999</v>
          </cell>
          <cell r="J4255">
            <v>480654.56107142864</v>
          </cell>
        </row>
        <row r="4256">
          <cell r="C4256" t="str">
            <v>Vật liệu</v>
          </cell>
          <cell r="G4256">
            <v>11495</v>
          </cell>
        </row>
        <row r="4257">
          <cell r="B4257">
            <v>1</v>
          </cell>
          <cell r="C4257" t="str">
            <v>Cồn công nghiệp</v>
          </cell>
          <cell r="D4257" t="str">
            <v>kg</v>
          </cell>
          <cell r="E4257">
            <v>0.6</v>
          </cell>
          <cell r="F4257">
            <v>9500</v>
          </cell>
          <cell r="G4257">
            <v>5700</v>
          </cell>
        </row>
        <row r="4258">
          <cell r="B4258">
            <v>9</v>
          </cell>
          <cell r="C4258" t="str">
            <v>Giẻ lau</v>
          </cell>
          <cell r="D4258" t="str">
            <v>kg</v>
          </cell>
          <cell r="E4258">
            <v>0.5</v>
          </cell>
          <cell r="F4258">
            <v>9500</v>
          </cell>
          <cell r="G4258">
            <v>4750</v>
          </cell>
        </row>
        <row r="4259">
          <cell r="B4259">
            <v>117</v>
          </cell>
          <cell r="C4259" t="str">
            <v>Vật liệu khác</v>
          </cell>
          <cell r="D4259" t="str">
            <v>%</v>
          </cell>
          <cell r="E4259">
            <v>10</v>
          </cell>
          <cell r="F4259">
            <v>0</v>
          </cell>
          <cell r="G4259">
            <v>1045</v>
          </cell>
        </row>
        <row r="4260">
          <cell r="C4260" t="str">
            <v>Nhân công</v>
          </cell>
          <cell r="G4260">
            <v>1086476.2537499999</v>
          </cell>
        </row>
        <row r="4261">
          <cell r="B4261" t="str">
            <v>NC1457</v>
          </cell>
          <cell r="C4261" t="str">
            <v>Ngày công bậc 4,5/7</v>
          </cell>
          <cell r="D4261" t="str">
            <v>công</v>
          </cell>
          <cell r="E4261">
            <v>5.13</v>
          </cell>
          <cell r="F4261">
            <v>211788.74342105264</v>
          </cell>
          <cell r="G4261">
            <v>1086476.2537499999</v>
          </cell>
        </row>
        <row r="4262">
          <cell r="C4262" t="str">
            <v>Máy thi công</v>
          </cell>
          <cell r="G4262">
            <v>480654.56107142864</v>
          </cell>
        </row>
        <row r="4263">
          <cell r="B4263">
            <v>8016</v>
          </cell>
          <cell r="C4263" t="str">
            <v>Xe nâng thang</v>
          </cell>
          <cell r="D4263" t="str">
            <v>ca</v>
          </cell>
          <cell r="E4263">
            <v>0.25</v>
          </cell>
          <cell r="F4263">
            <v>1922618.2442857146</v>
          </cell>
          <cell r="G4263">
            <v>480654.56107142864</v>
          </cell>
        </row>
        <row r="4264">
          <cell r="A4264" t="str">
            <v>T5.3303</v>
          </cell>
          <cell r="C4264" t="str">
            <v>Lắp đặt tủ đo lường điện áp &lt;=220KV</v>
          </cell>
          <cell r="D4264" t="str">
            <v>tủ</v>
          </cell>
          <cell r="H4264">
            <v>11495</v>
          </cell>
          <cell r="I4264">
            <v>1267555.629375</v>
          </cell>
          <cell r="J4264">
            <v>480654.56107142864</v>
          </cell>
        </row>
        <row r="4265">
          <cell r="C4265" t="str">
            <v>Vật liệu</v>
          </cell>
          <cell r="G4265">
            <v>11495</v>
          </cell>
        </row>
        <row r="4266">
          <cell r="B4266">
            <v>1</v>
          </cell>
          <cell r="C4266" t="str">
            <v>Cồn công nghiệp</v>
          </cell>
          <cell r="D4266" t="str">
            <v>kg</v>
          </cell>
          <cell r="E4266">
            <v>0.6</v>
          </cell>
          <cell r="F4266">
            <v>9500</v>
          </cell>
          <cell r="G4266">
            <v>5700</v>
          </cell>
        </row>
        <row r="4267">
          <cell r="B4267">
            <v>9</v>
          </cell>
          <cell r="C4267" t="str">
            <v>Giẻ lau</v>
          </cell>
          <cell r="D4267" t="str">
            <v>kg</v>
          </cell>
          <cell r="E4267">
            <v>0.5</v>
          </cell>
          <cell r="F4267">
            <v>9500</v>
          </cell>
          <cell r="G4267">
            <v>4750</v>
          </cell>
        </row>
        <row r="4268">
          <cell r="B4268">
            <v>117</v>
          </cell>
          <cell r="C4268" t="str">
            <v>Vật liệu khác</v>
          </cell>
          <cell r="D4268" t="str">
            <v>%</v>
          </cell>
          <cell r="E4268">
            <v>10</v>
          </cell>
          <cell r="F4268">
            <v>0</v>
          </cell>
          <cell r="G4268">
            <v>1045</v>
          </cell>
        </row>
        <row r="4269">
          <cell r="C4269" t="str">
            <v>Nhân công</v>
          </cell>
          <cell r="G4269">
            <v>1267555.629375</v>
          </cell>
        </row>
        <row r="4270">
          <cell r="B4270" t="str">
            <v>NC1457</v>
          </cell>
          <cell r="C4270" t="str">
            <v>Ngày công bậc 4,5/7</v>
          </cell>
          <cell r="D4270" t="str">
            <v>công</v>
          </cell>
          <cell r="E4270">
            <v>5.9850000000000003</v>
          </cell>
          <cell r="F4270">
            <v>211788.74342105264</v>
          </cell>
          <cell r="G4270">
            <v>1267555.629375</v>
          </cell>
        </row>
        <row r="4271">
          <cell r="C4271" t="str">
            <v>Máy thi công</v>
          </cell>
          <cell r="G4271">
            <v>480654.56107142864</v>
          </cell>
        </row>
        <row r="4272">
          <cell r="B4272">
            <v>8016</v>
          </cell>
          <cell r="C4272" t="str">
            <v>Xe nâng thang</v>
          </cell>
          <cell r="D4272" t="str">
            <v>ca</v>
          </cell>
          <cell r="E4272">
            <v>0.25</v>
          </cell>
          <cell r="F4272">
            <v>1922618.2442857146</v>
          </cell>
          <cell r="G4272">
            <v>480654.56107142864</v>
          </cell>
        </row>
        <row r="4273">
          <cell r="A4273" t="str">
            <v>T5.3304</v>
          </cell>
          <cell r="C4273" t="str">
            <v>Lắp đặt tủ đo lường điện áp &lt;=500KV</v>
          </cell>
          <cell r="D4273" t="str">
            <v>tủ</v>
          </cell>
          <cell r="H4273">
            <v>18810</v>
          </cell>
          <cell r="I4273">
            <v>1448635.0050000001</v>
          </cell>
          <cell r="J4273">
            <v>480654.56107142864</v>
          </cell>
        </row>
        <row r="4274">
          <cell r="C4274" t="str">
            <v>Vật liệu</v>
          </cell>
          <cell r="G4274">
            <v>18810</v>
          </cell>
        </row>
        <row r="4275">
          <cell r="B4275">
            <v>1</v>
          </cell>
          <cell r="C4275" t="str">
            <v>Cồn công nghiệp</v>
          </cell>
          <cell r="D4275" t="str">
            <v>kg</v>
          </cell>
          <cell r="E4275">
            <v>0.8</v>
          </cell>
          <cell r="F4275">
            <v>9500</v>
          </cell>
          <cell r="G4275">
            <v>7600</v>
          </cell>
        </row>
        <row r="4276">
          <cell r="B4276">
            <v>9</v>
          </cell>
          <cell r="C4276" t="str">
            <v>Giẻ lau</v>
          </cell>
          <cell r="D4276" t="str">
            <v>kg</v>
          </cell>
          <cell r="E4276">
            <v>1</v>
          </cell>
          <cell r="F4276">
            <v>9500</v>
          </cell>
          <cell r="G4276">
            <v>9500</v>
          </cell>
        </row>
        <row r="4277">
          <cell r="B4277">
            <v>117</v>
          </cell>
          <cell r="C4277" t="str">
            <v>Vật liệu khác</v>
          </cell>
          <cell r="D4277" t="str">
            <v>%</v>
          </cell>
          <cell r="E4277">
            <v>10</v>
          </cell>
          <cell r="F4277">
            <v>0</v>
          </cell>
          <cell r="G4277">
            <v>1710</v>
          </cell>
        </row>
        <row r="4278">
          <cell r="C4278" t="str">
            <v>Nhân công</v>
          </cell>
          <cell r="G4278">
            <v>1448635.0050000001</v>
          </cell>
        </row>
        <row r="4279">
          <cell r="B4279" t="str">
            <v>NC1457</v>
          </cell>
          <cell r="C4279" t="str">
            <v>Ngày công bậc 4,5/7</v>
          </cell>
          <cell r="D4279" t="str">
            <v>công</v>
          </cell>
          <cell r="E4279">
            <v>6.84</v>
          </cell>
          <cell r="F4279">
            <v>211788.74342105264</v>
          </cell>
          <cell r="G4279">
            <v>1448635.0050000001</v>
          </cell>
        </row>
        <row r="4280">
          <cell r="C4280" t="str">
            <v>Máy thi công</v>
          </cell>
          <cell r="G4280">
            <v>480654.56107142864</v>
          </cell>
        </row>
        <row r="4281">
          <cell r="B4281">
            <v>8016</v>
          </cell>
          <cell r="C4281" t="str">
            <v>Xe nâng thang</v>
          </cell>
          <cell r="D4281" t="str">
            <v>ca</v>
          </cell>
          <cell r="E4281">
            <v>0.25</v>
          </cell>
          <cell r="F4281">
            <v>1922618.2442857146</v>
          </cell>
          <cell r="G4281">
            <v>480654.56107142864</v>
          </cell>
        </row>
        <row r="4282">
          <cell r="A4282" t="str">
            <v>T5.4101</v>
          </cell>
          <cell r="C4282" t="str">
            <v>Lắp đèn pha trên cột</v>
          </cell>
          <cell r="D4282" t="str">
            <v>bộ</v>
          </cell>
          <cell r="H4282">
            <v>1009.8</v>
          </cell>
          <cell r="I4282">
            <v>254146.49210526317</v>
          </cell>
        </row>
        <row r="4283">
          <cell r="C4283" t="str">
            <v>Vật liệu</v>
          </cell>
          <cell r="G4283">
            <v>1009.8</v>
          </cell>
        </row>
        <row r="4284">
          <cell r="B4284">
            <v>30</v>
          </cell>
          <cell r="C4284" t="str">
            <v>Dây thép mạ kẽm fi 2-4</v>
          </cell>
          <cell r="D4284" t="str">
            <v>kg</v>
          </cell>
          <cell r="E4284">
            <v>0.04</v>
          </cell>
          <cell r="F4284">
            <v>1000</v>
          </cell>
          <cell r="G4284">
            <v>40</v>
          </cell>
        </row>
        <row r="4285">
          <cell r="B4285">
            <v>0</v>
          </cell>
          <cell r="C4285" t="str">
            <v>Ghen nilông</v>
          </cell>
          <cell r="D4285" t="str">
            <v>m</v>
          </cell>
          <cell r="E4285">
            <v>0.5</v>
          </cell>
          <cell r="G4285">
            <v>0</v>
          </cell>
        </row>
        <row r="4286">
          <cell r="B4286">
            <v>9</v>
          </cell>
          <cell r="C4286" t="str">
            <v>Giẻ lau</v>
          </cell>
          <cell r="D4286" t="str">
            <v>kg</v>
          </cell>
          <cell r="E4286">
            <v>0.1</v>
          </cell>
          <cell r="F4286">
            <v>9500</v>
          </cell>
          <cell r="G4286">
            <v>950</v>
          </cell>
        </row>
        <row r="4287">
          <cell r="B4287">
            <v>117</v>
          </cell>
          <cell r="C4287" t="str">
            <v>Vật liệu khác</v>
          </cell>
          <cell r="D4287" t="str">
            <v>%</v>
          </cell>
          <cell r="E4287">
            <v>2</v>
          </cell>
          <cell r="F4287">
            <v>0</v>
          </cell>
          <cell r="G4287">
            <v>19.8</v>
          </cell>
        </row>
        <row r="4288">
          <cell r="C4288" t="str">
            <v>Nhân công</v>
          </cell>
          <cell r="G4288">
            <v>254146.49210526317</v>
          </cell>
        </row>
        <row r="4289">
          <cell r="B4289" t="str">
            <v>NC1457</v>
          </cell>
          <cell r="C4289" t="str">
            <v>Ngày công bậc 4,5/7</v>
          </cell>
          <cell r="D4289" t="str">
            <v>công</v>
          </cell>
          <cell r="E4289">
            <v>1.2</v>
          </cell>
          <cell r="F4289">
            <v>211788.74342105264</v>
          </cell>
          <cell r="G4289">
            <v>254146.49210526317</v>
          </cell>
        </row>
        <row r="4290">
          <cell r="A4290" t="str">
            <v>T5.4102</v>
          </cell>
          <cell r="C4290" t="str">
            <v>Lắp bộ đèn hình cầu</v>
          </cell>
          <cell r="D4290" t="str">
            <v>bộ</v>
          </cell>
          <cell r="H4290">
            <v>1009.8</v>
          </cell>
          <cell r="I4290">
            <v>65601.415789473671</v>
          </cell>
        </row>
        <row r="4291">
          <cell r="C4291" t="str">
            <v>Vật liệu</v>
          </cell>
          <cell r="G4291">
            <v>1009.8</v>
          </cell>
        </row>
        <row r="4292">
          <cell r="B4292">
            <v>30</v>
          </cell>
          <cell r="C4292" t="str">
            <v>Dây thép mạ kẽm fi 2-4</v>
          </cell>
          <cell r="D4292" t="str">
            <v>kg</v>
          </cell>
          <cell r="E4292">
            <v>0.04</v>
          </cell>
          <cell r="F4292">
            <v>1000</v>
          </cell>
          <cell r="G4292">
            <v>40</v>
          </cell>
        </row>
        <row r="4293">
          <cell r="B4293">
            <v>0</v>
          </cell>
          <cell r="C4293" t="str">
            <v>Ghen nilông</v>
          </cell>
          <cell r="D4293" t="str">
            <v>m</v>
          </cell>
          <cell r="E4293">
            <v>0.3</v>
          </cell>
          <cell r="G4293">
            <v>0</v>
          </cell>
        </row>
        <row r="4294">
          <cell r="B4294">
            <v>9</v>
          </cell>
          <cell r="C4294" t="str">
            <v>Giẻ lau</v>
          </cell>
          <cell r="D4294" t="str">
            <v>kg</v>
          </cell>
          <cell r="E4294">
            <v>0.1</v>
          </cell>
          <cell r="F4294">
            <v>9500</v>
          </cell>
          <cell r="G4294">
            <v>950</v>
          </cell>
        </row>
        <row r="4295">
          <cell r="B4295">
            <v>117</v>
          </cell>
          <cell r="C4295" t="str">
            <v>Vật liệu khác</v>
          </cell>
          <cell r="D4295" t="str">
            <v>%</v>
          </cell>
          <cell r="E4295">
            <v>2</v>
          </cell>
          <cell r="F4295">
            <v>0</v>
          </cell>
          <cell r="G4295">
            <v>19.8</v>
          </cell>
        </row>
        <row r="4296">
          <cell r="C4296" t="str">
            <v>Nhân công</v>
          </cell>
          <cell r="G4296">
            <v>65601.415789473671</v>
          </cell>
        </row>
        <row r="4297">
          <cell r="B4297" t="str">
            <v>NC1307</v>
          </cell>
          <cell r="C4297" t="str">
            <v>Ngày công bậc 3,0/7</v>
          </cell>
          <cell r="D4297" t="str">
            <v>công</v>
          </cell>
          <cell r="E4297">
            <v>0.4</v>
          </cell>
          <cell r="F4297">
            <v>164003.53947368418</v>
          </cell>
          <cell r="G4297">
            <v>65601.415789473671</v>
          </cell>
        </row>
        <row r="4298">
          <cell r="A4298" t="str">
            <v>T5.4103</v>
          </cell>
          <cell r="C4298" t="str">
            <v>Lắp đèn chiếu sáng</v>
          </cell>
          <cell r="D4298" t="str">
            <v>bộ</v>
          </cell>
          <cell r="H4298">
            <v>1009.8</v>
          </cell>
          <cell r="I4298">
            <v>25414.649210526317</v>
          </cell>
        </row>
        <row r="4299">
          <cell r="C4299" t="str">
            <v>Vật liệu</v>
          </cell>
          <cell r="G4299">
            <v>1009.8</v>
          </cell>
        </row>
        <row r="4300">
          <cell r="B4300">
            <v>30</v>
          </cell>
          <cell r="C4300" t="str">
            <v>Dây thép mạ kẽm fi 2-4</v>
          </cell>
          <cell r="D4300" t="str">
            <v>kg</v>
          </cell>
          <cell r="E4300">
            <v>0.04</v>
          </cell>
          <cell r="F4300">
            <v>1000</v>
          </cell>
          <cell r="G4300">
            <v>40</v>
          </cell>
        </row>
        <row r="4301">
          <cell r="B4301">
            <v>0</v>
          </cell>
          <cell r="C4301" t="str">
            <v>Ghen nilông</v>
          </cell>
          <cell r="D4301" t="str">
            <v>m</v>
          </cell>
          <cell r="E4301">
            <v>0.2</v>
          </cell>
          <cell r="G4301">
            <v>0</v>
          </cell>
        </row>
        <row r="4302">
          <cell r="B4302">
            <v>9</v>
          </cell>
          <cell r="C4302" t="str">
            <v>Giẻ lau</v>
          </cell>
          <cell r="D4302" t="str">
            <v>kg</v>
          </cell>
          <cell r="E4302">
            <v>0.1</v>
          </cell>
          <cell r="F4302">
            <v>9500</v>
          </cell>
          <cell r="G4302">
            <v>950</v>
          </cell>
        </row>
        <row r="4303">
          <cell r="B4303">
            <v>117</v>
          </cell>
          <cell r="C4303" t="str">
            <v>Vật liệu khác</v>
          </cell>
          <cell r="D4303" t="str">
            <v>%</v>
          </cell>
          <cell r="E4303">
            <v>2</v>
          </cell>
          <cell r="F4303">
            <v>0</v>
          </cell>
          <cell r="G4303">
            <v>19.8</v>
          </cell>
        </row>
        <row r="4304">
          <cell r="C4304" t="str">
            <v>Nhân công</v>
          </cell>
          <cell r="G4304">
            <v>25414.649210526317</v>
          </cell>
        </row>
        <row r="4305">
          <cell r="B4305" t="str">
            <v>NC1457</v>
          </cell>
          <cell r="C4305" t="str">
            <v>Ngày công bậc 4,5/7</v>
          </cell>
          <cell r="D4305" t="str">
            <v>công</v>
          </cell>
          <cell r="E4305">
            <v>0.12</v>
          </cell>
          <cell r="F4305">
            <v>211788.74342105264</v>
          </cell>
          <cell r="G4305">
            <v>25414.649210526317</v>
          </cell>
        </row>
        <row r="4306">
          <cell r="A4306" t="str">
            <v>T5.4104</v>
          </cell>
          <cell r="C4306" t="str">
            <v>Lắp đèn chống nổ</v>
          </cell>
          <cell r="D4306" t="str">
            <v>bộ</v>
          </cell>
          <cell r="H4306">
            <v>1009.8</v>
          </cell>
          <cell r="I4306">
            <v>84715.497368421056</v>
          </cell>
        </row>
        <row r="4307">
          <cell r="C4307" t="str">
            <v>Vật liệu</v>
          </cell>
          <cell r="G4307">
            <v>1009.8</v>
          </cell>
        </row>
        <row r="4308">
          <cell r="B4308">
            <v>30</v>
          </cell>
          <cell r="C4308" t="str">
            <v>Dây thép mạ kẽm fi 2-4</v>
          </cell>
          <cell r="D4308" t="str">
            <v>kg</v>
          </cell>
          <cell r="E4308">
            <v>0.04</v>
          </cell>
          <cell r="F4308">
            <v>1000</v>
          </cell>
          <cell r="G4308">
            <v>40</v>
          </cell>
        </row>
        <row r="4309">
          <cell r="B4309">
            <v>0</v>
          </cell>
          <cell r="C4309" t="str">
            <v>Ghen nilông</v>
          </cell>
          <cell r="D4309" t="str">
            <v>m</v>
          </cell>
          <cell r="E4309">
            <v>0.3</v>
          </cell>
          <cell r="G4309">
            <v>0</v>
          </cell>
        </row>
        <row r="4310">
          <cell r="B4310">
            <v>9</v>
          </cell>
          <cell r="C4310" t="str">
            <v>Giẻ lau</v>
          </cell>
          <cell r="D4310" t="str">
            <v>kg</v>
          </cell>
          <cell r="E4310">
            <v>0.1</v>
          </cell>
          <cell r="F4310">
            <v>9500</v>
          </cell>
          <cell r="G4310">
            <v>950</v>
          </cell>
        </row>
        <row r="4311">
          <cell r="B4311">
            <v>117</v>
          </cell>
          <cell r="C4311" t="str">
            <v>Vật liệu khác</v>
          </cell>
          <cell r="D4311" t="str">
            <v>%</v>
          </cell>
          <cell r="E4311">
            <v>2</v>
          </cell>
          <cell r="F4311">
            <v>0</v>
          </cell>
          <cell r="G4311">
            <v>19.8</v>
          </cell>
        </row>
        <row r="4312">
          <cell r="C4312" t="str">
            <v>Nhân công</v>
          </cell>
          <cell r="G4312">
            <v>84715.497368421056</v>
          </cell>
        </row>
        <row r="4313">
          <cell r="B4313" t="str">
            <v>NC1457</v>
          </cell>
          <cell r="C4313" t="str">
            <v>Ngày công bậc 4,5/7</v>
          </cell>
          <cell r="D4313" t="str">
            <v>công</v>
          </cell>
          <cell r="E4313">
            <v>0.4</v>
          </cell>
          <cell r="F4313">
            <v>211788.74342105264</v>
          </cell>
          <cell r="G4313">
            <v>84715.497368421056</v>
          </cell>
        </row>
        <row r="4314">
          <cell r="A4314" t="str">
            <v>T5.4105</v>
          </cell>
          <cell r="C4314" t="str">
            <v>Lắp đèn chống ẩm</v>
          </cell>
          <cell r="D4314" t="str">
            <v>bộ</v>
          </cell>
          <cell r="H4314">
            <v>1009.8</v>
          </cell>
          <cell r="I4314">
            <v>63536.623026315792</v>
          </cell>
        </row>
        <row r="4315">
          <cell r="C4315" t="str">
            <v>Vật liệu</v>
          </cell>
          <cell r="G4315">
            <v>1009.8</v>
          </cell>
        </row>
        <row r="4316">
          <cell r="B4316">
            <v>30</v>
          </cell>
          <cell r="C4316" t="str">
            <v>Dây thép mạ kẽm fi 2-4</v>
          </cell>
          <cell r="D4316" t="str">
            <v>kg</v>
          </cell>
          <cell r="E4316">
            <v>0.04</v>
          </cell>
          <cell r="F4316">
            <v>1000</v>
          </cell>
          <cell r="G4316">
            <v>40</v>
          </cell>
        </row>
        <row r="4317">
          <cell r="B4317">
            <v>0</v>
          </cell>
          <cell r="C4317" t="str">
            <v>Ghen nilông</v>
          </cell>
          <cell r="D4317" t="str">
            <v>m</v>
          </cell>
          <cell r="E4317">
            <v>0.3</v>
          </cell>
          <cell r="G4317">
            <v>0</v>
          </cell>
        </row>
        <row r="4318">
          <cell r="B4318">
            <v>9</v>
          </cell>
          <cell r="C4318" t="str">
            <v>Giẻ lau</v>
          </cell>
          <cell r="D4318" t="str">
            <v>kg</v>
          </cell>
          <cell r="E4318">
            <v>0.1</v>
          </cell>
          <cell r="F4318">
            <v>9500</v>
          </cell>
          <cell r="G4318">
            <v>950</v>
          </cell>
        </row>
        <row r="4319">
          <cell r="B4319">
            <v>117</v>
          </cell>
          <cell r="C4319" t="str">
            <v>Vật liệu khác</v>
          </cell>
          <cell r="D4319" t="str">
            <v>%</v>
          </cell>
          <cell r="E4319">
            <v>2</v>
          </cell>
          <cell r="F4319">
            <v>0</v>
          </cell>
          <cell r="G4319">
            <v>19.8</v>
          </cell>
        </row>
        <row r="4320">
          <cell r="C4320" t="str">
            <v>Nhân công</v>
          </cell>
          <cell r="G4320">
            <v>63536.623026315792</v>
          </cell>
        </row>
        <row r="4321">
          <cell r="B4321" t="str">
            <v>NC1457</v>
          </cell>
          <cell r="C4321" t="str">
            <v>Ngày công bậc 4,5/7</v>
          </cell>
          <cell r="D4321" t="str">
            <v>công</v>
          </cell>
          <cell r="E4321">
            <v>0.3</v>
          </cell>
          <cell r="F4321">
            <v>211788.74342105264</v>
          </cell>
          <cell r="G4321">
            <v>63536.623026315792</v>
          </cell>
        </row>
        <row r="4322">
          <cell r="A4322" t="str">
            <v>T5.4106</v>
          </cell>
          <cell r="C4322" t="str">
            <v>Lắp thiết bị tự động cho hệ thống chiếu sáng</v>
          </cell>
          <cell r="D4322" t="str">
            <v>bộ</v>
          </cell>
          <cell r="H4322">
            <v>969</v>
          </cell>
          <cell r="I4322">
            <v>36080.77868421052</v>
          </cell>
        </row>
        <row r="4323">
          <cell r="C4323" t="str">
            <v>Vật liệu</v>
          </cell>
          <cell r="G4323">
            <v>969</v>
          </cell>
        </row>
        <row r="4324">
          <cell r="C4324" t="str">
            <v>Ghen nilông</v>
          </cell>
          <cell r="D4324" t="str">
            <v>m</v>
          </cell>
          <cell r="E4324">
            <v>0.3</v>
          </cell>
          <cell r="G4324">
            <v>0</v>
          </cell>
        </row>
        <row r="4325">
          <cell r="B4325">
            <v>9</v>
          </cell>
          <cell r="C4325" t="str">
            <v>Giẻ lau</v>
          </cell>
          <cell r="D4325" t="str">
            <v>kg</v>
          </cell>
          <cell r="E4325">
            <v>0.1</v>
          </cell>
          <cell r="F4325">
            <v>9500</v>
          </cell>
          <cell r="G4325">
            <v>950</v>
          </cell>
        </row>
        <row r="4326">
          <cell r="B4326">
            <v>117</v>
          </cell>
          <cell r="C4326" t="str">
            <v>Vật liệu khác</v>
          </cell>
          <cell r="D4326" t="str">
            <v>%</v>
          </cell>
          <cell r="E4326">
            <v>2</v>
          </cell>
          <cell r="F4326">
            <v>0</v>
          </cell>
          <cell r="G4326">
            <v>19</v>
          </cell>
        </row>
        <row r="4327">
          <cell r="C4327" t="str">
            <v>Nhân công</v>
          </cell>
          <cell r="G4327">
            <v>36080.77868421052</v>
          </cell>
        </row>
        <row r="4328">
          <cell r="B4328" t="str">
            <v>NC1307</v>
          </cell>
          <cell r="C4328" t="str">
            <v>Ngày công bậc 3,0/7</v>
          </cell>
          <cell r="D4328" t="str">
            <v>công</v>
          </cell>
          <cell r="E4328">
            <v>0.22</v>
          </cell>
          <cell r="F4328">
            <v>164003.53947368418</v>
          </cell>
          <cell r="G4328">
            <v>36080.77868421052</v>
          </cell>
        </row>
        <row r="4329">
          <cell r="A4329" t="str">
            <v>T5.4201</v>
          </cell>
          <cell r="C4329" t="str">
            <v>Lắp đèn chuyên dùng các loại</v>
          </cell>
          <cell r="D4329" t="str">
            <v>bộ</v>
          </cell>
          <cell r="H4329">
            <v>4845</v>
          </cell>
          <cell r="I4329">
            <v>317683.11513157899</v>
          </cell>
          <cell r="J4329">
            <v>356608.27300000004</v>
          </cell>
        </row>
        <row r="4330">
          <cell r="C4330" t="str">
            <v>Vật liệu</v>
          </cell>
          <cell r="G4330">
            <v>4845</v>
          </cell>
        </row>
        <row r="4331">
          <cell r="B4331">
            <v>9</v>
          </cell>
          <cell r="C4331" t="str">
            <v>Giẻ lau</v>
          </cell>
          <cell r="D4331" t="str">
            <v>kg</v>
          </cell>
          <cell r="E4331">
            <v>0.5</v>
          </cell>
          <cell r="F4331">
            <v>9500</v>
          </cell>
          <cell r="G4331">
            <v>4750</v>
          </cell>
        </row>
        <row r="4332">
          <cell r="B4332">
            <v>117</v>
          </cell>
          <cell r="C4332" t="str">
            <v>Vật liệu khác</v>
          </cell>
          <cell r="D4332" t="str">
            <v>%</v>
          </cell>
          <cell r="E4332">
            <v>2</v>
          </cell>
          <cell r="F4332">
            <v>0</v>
          </cell>
          <cell r="G4332">
            <v>95</v>
          </cell>
        </row>
        <row r="4333">
          <cell r="C4333" t="str">
            <v>Nhân công</v>
          </cell>
          <cell r="G4333">
            <v>317683.11513157899</v>
          </cell>
        </row>
        <row r="4334">
          <cell r="B4334" t="str">
            <v>NC1457</v>
          </cell>
          <cell r="C4334" t="str">
            <v>Ngày công bậc 4,5/7</v>
          </cell>
          <cell r="D4334" t="str">
            <v>công</v>
          </cell>
          <cell r="E4334">
            <v>1.5</v>
          </cell>
          <cell r="F4334">
            <v>211788.74342105264</v>
          </cell>
          <cell r="G4334">
            <v>317683.11513157899</v>
          </cell>
        </row>
        <row r="4335">
          <cell r="C4335" t="str">
            <v>Máy thi công</v>
          </cell>
          <cell r="G4335">
            <v>356608.27300000004</v>
          </cell>
        </row>
        <row r="4336">
          <cell r="B4336">
            <v>8015</v>
          </cell>
          <cell r="C4336" t="str">
            <v>Cần trục bánh hơi 5 tấn</v>
          </cell>
          <cell r="D4336" t="str">
            <v>ca</v>
          </cell>
          <cell r="E4336">
            <v>0.25</v>
          </cell>
          <cell r="F4336">
            <v>1426433.0920000002</v>
          </cell>
          <cell r="G4336">
            <v>356608.27300000004</v>
          </cell>
        </row>
        <row r="4337">
          <cell r="A4337" t="str">
            <v>T5.4202</v>
          </cell>
          <cell r="C4337" t="str">
            <v>Lắp cần đèn các loại</v>
          </cell>
          <cell r="D4337" t="str">
            <v>bộ</v>
          </cell>
          <cell r="H4337">
            <v>1009.8</v>
          </cell>
          <cell r="I4337">
            <v>42357.748684210528</v>
          </cell>
        </row>
        <row r="4338">
          <cell r="C4338" t="str">
            <v>Vật liệu</v>
          </cell>
          <cell r="G4338">
            <v>1009.8</v>
          </cell>
        </row>
        <row r="4339">
          <cell r="B4339">
            <v>30</v>
          </cell>
          <cell r="C4339" t="str">
            <v>Dây thép fi 2-4</v>
          </cell>
          <cell r="D4339" t="str">
            <v>kg</v>
          </cell>
          <cell r="E4339">
            <v>0.04</v>
          </cell>
          <cell r="F4339">
            <v>1000</v>
          </cell>
          <cell r="G4339">
            <v>40</v>
          </cell>
        </row>
        <row r="4340">
          <cell r="B4340">
            <v>9</v>
          </cell>
          <cell r="C4340" t="str">
            <v>Giẻ lau</v>
          </cell>
          <cell r="D4340" t="str">
            <v>kg</v>
          </cell>
          <cell r="E4340">
            <v>0.1</v>
          </cell>
          <cell r="F4340">
            <v>9500</v>
          </cell>
          <cell r="G4340">
            <v>950</v>
          </cell>
        </row>
        <row r="4341">
          <cell r="B4341">
            <v>117</v>
          </cell>
          <cell r="C4341" t="str">
            <v>Vật liệu khác</v>
          </cell>
          <cell r="D4341" t="str">
            <v>%</v>
          </cell>
          <cell r="E4341">
            <v>2</v>
          </cell>
          <cell r="F4341">
            <v>0</v>
          </cell>
          <cell r="G4341">
            <v>19.8</v>
          </cell>
        </row>
        <row r="4342">
          <cell r="C4342" t="str">
            <v>Nhân công</v>
          </cell>
          <cell r="G4342">
            <v>42357.748684210528</v>
          </cell>
        </row>
        <row r="4343">
          <cell r="B4343" t="str">
            <v>NC1457</v>
          </cell>
          <cell r="C4343" t="str">
            <v>Ngày công bậc 4,5/7</v>
          </cell>
          <cell r="D4343" t="str">
            <v>công</v>
          </cell>
          <cell r="E4343">
            <v>0.2</v>
          </cell>
          <cell r="F4343">
            <v>211788.74342105264</v>
          </cell>
          <cell r="G4343">
            <v>42357.748684210528</v>
          </cell>
        </row>
        <row r="4344">
          <cell r="A4344" t="str">
            <v>T5.4203</v>
          </cell>
          <cell r="C4344" t="str">
            <v>Lắp chao chụp, chóa đèn các loại</v>
          </cell>
          <cell r="D4344" t="str">
            <v>bộ</v>
          </cell>
          <cell r="H4344">
            <v>525.29999999999995</v>
          </cell>
          <cell r="I4344">
            <v>21178.874342105264</v>
          </cell>
        </row>
        <row r="4345">
          <cell r="C4345" t="str">
            <v>Vật liệu</v>
          </cell>
          <cell r="G4345">
            <v>525.29999999999995</v>
          </cell>
        </row>
        <row r="4346">
          <cell r="B4346">
            <v>30</v>
          </cell>
          <cell r="C4346" t="str">
            <v>Dây thép fi 2-4</v>
          </cell>
          <cell r="D4346" t="str">
            <v>kg</v>
          </cell>
          <cell r="E4346">
            <v>0.04</v>
          </cell>
          <cell r="F4346">
            <v>1000</v>
          </cell>
          <cell r="G4346">
            <v>40</v>
          </cell>
        </row>
        <row r="4347">
          <cell r="B4347">
            <v>9</v>
          </cell>
          <cell r="C4347" t="str">
            <v>Giẻ lau</v>
          </cell>
          <cell r="D4347" t="str">
            <v>kg</v>
          </cell>
          <cell r="E4347">
            <v>0.05</v>
          </cell>
          <cell r="F4347">
            <v>9500</v>
          </cell>
          <cell r="G4347">
            <v>475</v>
          </cell>
        </row>
        <row r="4348">
          <cell r="B4348">
            <v>117</v>
          </cell>
          <cell r="C4348" t="str">
            <v>Vật liệu khác</v>
          </cell>
          <cell r="D4348" t="str">
            <v>%</v>
          </cell>
          <cell r="E4348">
            <v>2</v>
          </cell>
          <cell r="F4348">
            <v>0</v>
          </cell>
          <cell r="G4348">
            <v>10.3</v>
          </cell>
        </row>
        <row r="4349">
          <cell r="C4349" t="str">
            <v>Nhân công</v>
          </cell>
          <cell r="G4349">
            <v>21178.874342105264</v>
          </cell>
        </row>
        <row r="4350">
          <cell r="B4350" t="str">
            <v>NC1457</v>
          </cell>
          <cell r="C4350" t="str">
            <v>Ngày công bậc 4,5/7</v>
          </cell>
          <cell r="D4350" t="str">
            <v>công</v>
          </cell>
          <cell r="E4350">
            <v>0.1</v>
          </cell>
          <cell r="F4350">
            <v>211788.74342105264</v>
          </cell>
          <cell r="G4350">
            <v>21178.874342105264</v>
          </cell>
        </row>
        <row r="4351">
          <cell r="A4351" t="str">
            <v>T5.4204</v>
          </cell>
          <cell r="C4351" t="str">
            <v>Lắp tấm giá đỡ &lt;20kg bằng gỗ tẩm dầu</v>
          </cell>
          <cell r="D4351" t="str">
            <v>bộ</v>
          </cell>
          <cell r="H4351">
            <v>1009.8</v>
          </cell>
          <cell r="I4351">
            <v>63536.623026315792</v>
          </cell>
        </row>
        <row r="4352">
          <cell r="C4352" t="str">
            <v>Vật liệu</v>
          </cell>
          <cell r="G4352">
            <v>1009.8</v>
          </cell>
        </row>
        <row r="4353">
          <cell r="B4353">
            <v>30</v>
          </cell>
          <cell r="C4353" t="str">
            <v>Dây thép fi 2-4</v>
          </cell>
          <cell r="D4353" t="str">
            <v>kg</v>
          </cell>
          <cell r="E4353">
            <v>0.04</v>
          </cell>
          <cell r="F4353">
            <v>1000</v>
          </cell>
          <cell r="G4353">
            <v>40</v>
          </cell>
        </row>
        <row r="4354">
          <cell r="B4354">
            <v>9</v>
          </cell>
          <cell r="C4354" t="str">
            <v>Giẻ lau</v>
          </cell>
          <cell r="D4354" t="str">
            <v>kg</v>
          </cell>
          <cell r="E4354">
            <v>0.1</v>
          </cell>
          <cell r="F4354">
            <v>9500</v>
          </cell>
          <cell r="G4354">
            <v>950</v>
          </cell>
        </row>
        <row r="4355">
          <cell r="B4355">
            <v>117</v>
          </cell>
          <cell r="C4355" t="str">
            <v>Vật liệu khác</v>
          </cell>
          <cell r="D4355" t="str">
            <v>%</v>
          </cell>
          <cell r="E4355">
            <v>2</v>
          </cell>
          <cell r="F4355">
            <v>0</v>
          </cell>
          <cell r="G4355">
            <v>19.8</v>
          </cell>
        </row>
        <row r="4356">
          <cell r="C4356" t="str">
            <v>Nhân công</v>
          </cell>
          <cell r="G4356">
            <v>63536.623026315792</v>
          </cell>
        </row>
        <row r="4357">
          <cell r="B4357" t="str">
            <v>NC1457</v>
          </cell>
          <cell r="C4357" t="str">
            <v>Ngày công bậc 4,5/7</v>
          </cell>
          <cell r="D4357" t="str">
            <v>công</v>
          </cell>
          <cell r="E4357">
            <v>0.3</v>
          </cell>
          <cell r="F4357">
            <v>211788.74342105264</v>
          </cell>
          <cell r="G4357">
            <v>63536.623026315792</v>
          </cell>
        </row>
        <row r="4358">
          <cell r="A4358" t="str">
            <v>T5.4205</v>
          </cell>
          <cell r="C4358" t="str">
            <v>Lắp tấm giá đỡ &lt;20kg bằng phíp, nhựa</v>
          </cell>
          <cell r="D4358" t="str">
            <v>bộ</v>
          </cell>
          <cell r="H4358">
            <v>1009.8</v>
          </cell>
          <cell r="I4358">
            <v>42357.748684210528</v>
          </cell>
        </row>
        <row r="4359">
          <cell r="C4359" t="str">
            <v>Vật liệu</v>
          </cell>
          <cell r="G4359">
            <v>1009.8</v>
          </cell>
        </row>
        <row r="4360">
          <cell r="B4360">
            <v>30</v>
          </cell>
          <cell r="C4360" t="str">
            <v>Dây thép fi 2-4</v>
          </cell>
          <cell r="D4360" t="str">
            <v>kg</v>
          </cell>
          <cell r="E4360">
            <v>0.04</v>
          </cell>
          <cell r="F4360">
            <v>1000</v>
          </cell>
          <cell r="G4360">
            <v>40</v>
          </cell>
        </row>
        <row r="4361">
          <cell r="B4361">
            <v>9</v>
          </cell>
          <cell r="C4361" t="str">
            <v>Giẻ lau</v>
          </cell>
          <cell r="D4361" t="str">
            <v>kg</v>
          </cell>
          <cell r="E4361">
            <v>0.1</v>
          </cell>
          <cell r="F4361">
            <v>9500</v>
          </cell>
          <cell r="G4361">
            <v>950</v>
          </cell>
        </row>
        <row r="4362">
          <cell r="B4362">
            <v>117</v>
          </cell>
          <cell r="C4362" t="str">
            <v>Vật liệu khác</v>
          </cell>
          <cell r="D4362" t="str">
            <v>%</v>
          </cell>
          <cell r="E4362">
            <v>2</v>
          </cell>
          <cell r="F4362">
            <v>0</v>
          </cell>
          <cell r="G4362">
            <v>19.8</v>
          </cell>
        </row>
        <row r="4363">
          <cell r="C4363" t="str">
            <v>Nhân công</v>
          </cell>
          <cell r="G4363">
            <v>42357.748684210528</v>
          </cell>
        </row>
        <row r="4364">
          <cell r="B4364" t="str">
            <v>NC1457</v>
          </cell>
          <cell r="C4364" t="str">
            <v>Ngày công bậc 4,5/7</v>
          </cell>
          <cell r="D4364" t="str">
            <v>công</v>
          </cell>
          <cell r="E4364">
            <v>0.2</v>
          </cell>
          <cell r="F4364">
            <v>211788.74342105264</v>
          </cell>
          <cell r="G4364">
            <v>42357.748684210528</v>
          </cell>
        </row>
        <row r="4365">
          <cell r="A4365" t="str">
            <v>T5.5001</v>
          </cell>
          <cell r="C4365" t="str">
            <v>Lắp đặt rơle các loại</v>
          </cell>
          <cell r="D4365" t="str">
            <v>cái</v>
          </cell>
          <cell r="H4365">
            <v>475</v>
          </cell>
          <cell r="I4365">
            <v>105894.37171052632</v>
          </cell>
        </row>
        <row r="4366">
          <cell r="C4366" t="str">
            <v>Vật liệu</v>
          </cell>
          <cell r="G4366">
            <v>475</v>
          </cell>
        </row>
        <row r="4367">
          <cell r="B4367">
            <v>9</v>
          </cell>
          <cell r="C4367" t="str">
            <v>Giẻ lau</v>
          </cell>
          <cell r="D4367" t="str">
            <v>kg</v>
          </cell>
          <cell r="E4367">
            <v>0.05</v>
          </cell>
          <cell r="F4367">
            <v>9500</v>
          </cell>
          <cell r="G4367">
            <v>475</v>
          </cell>
        </row>
        <row r="4368">
          <cell r="C4368" t="str">
            <v>Nhân công</v>
          </cell>
          <cell r="G4368">
            <v>105894.37171052632</v>
          </cell>
        </row>
        <row r="4369">
          <cell r="B4369" t="str">
            <v>NC1457</v>
          </cell>
          <cell r="C4369" t="str">
            <v>Ngày công bậc 4,5/7</v>
          </cell>
          <cell r="D4369" t="str">
            <v>công</v>
          </cell>
          <cell r="E4369">
            <v>0.5</v>
          </cell>
          <cell r="F4369">
            <v>211788.74342105264</v>
          </cell>
          <cell r="G4369">
            <v>105894.37171052632</v>
          </cell>
        </row>
        <row r="4370">
          <cell r="A4370" t="str">
            <v>T5.5003</v>
          </cell>
          <cell r="C4370" t="str">
            <v>Lắp đặt thiết bị báo hiệu, đèn, chuông, còi, hàng kẹp đấu dây</v>
          </cell>
          <cell r="D4370" t="str">
            <v>cái</v>
          </cell>
          <cell r="H4370">
            <v>475</v>
          </cell>
          <cell r="I4370">
            <v>46593.523552631581</v>
          </cell>
        </row>
        <row r="4371">
          <cell r="C4371" t="str">
            <v>Vật liệu</v>
          </cell>
          <cell r="G4371">
            <v>475</v>
          </cell>
        </row>
        <row r="4372">
          <cell r="B4372">
            <v>9</v>
          </cell>
          <cell r="C4372" t="str">
            <v>Giẻ lau</v>
          </cell>
          <cell r="D4372" t="str">
            <v>kg</v>
          </cell>
          <cell r="E4372">
            <v>0.05</v>
          </cell>
          <cell r="F4372">
            <v>9500</v>
          </cell>
          <cell r="G4372">
            <v>475</v>
          </cell>
        </row>
        <row r="4373">
          <cell r="C4373" t="str">
            <v>Nhân công</v>
          </cell>
          <cell r="G4373">
            <v>46593.523552631581</v>
          </cell>
        </row>
        <row r="4374">
          <cell r="B4374" t="str">
            <v>NC1457</v>
          </cell>
          <cell r="C4374" t="str">
            <v>Ngày công bậc 4,5/7</v>
          </cell>
          <cell r="D4374" t="str">
            <v>công</v>
          </cell>
          <cell r="E4374">
            <v>0.22</v>
          </cell>
          <cell r="F4374">
            <v>211788.74342105264</v>
          </cell>
          <cell r="G4374">
            <v>46593.523552631581</v>
          </cell>
        </row>
        <row r="4375">
          <cell r="A4375" t="str">
            <v>T5.5004</v>
          </cell>
          <cell r="C4375" t="str">
            <v>Lắp đặt khoá điều khiển</v>
          </cell>
          <cell r="D4375" t="str">
            <v>cái</v>
          </cell>
          <cell r="H4375">
            <v>475</v>
          </cell>
          <cell r="I4375">
            <v>46593.523552631581</v>
          </cell>
        </row>
        <row r="4376">
          <cell r="C4376" t="str">
            <v>Vật liệu</v>
          </cell>
          <cell r="G4376">
            <v>475</v>
          </cell>
        </row>
        <row r="4377">
          <cell r="B4377">
            <v>9</v>
          </cell>
          <cell r="C4377" t="str">
            <v>Giẻ lau</v>
          </cell>
          <cell r="D4377" t="str">
            <v>kg</v>
          </cell>
          <cell r="E4377">
            <v>0.05</v>
          </cell>
          <cell r="F4377">
            <v>9500</v>
          </cell>
          <cell r="G4377">
            <v>475</v>
          </cell>
        </row>
        <row r="4378">
          <cell r="C4378" t="str">
            <v>Nhân công</v>
          </cell>
          <cell r="G4378">
            <v>46593.523552631581</v>
          </cell>
        </row>
        <row r="4379">
          <cell r="B4379" t="str">
            <v>NC1457</v>
          </cell>
          <cell r="C4379" t="str">
            <v>Ngày công bậc 4,5/7</v>
          </cell>
          <cell r="D4379" t="str">
            <v>công</v>
          </cell>
          <cell r="E4379">
            <v>0.22</v>
          </cell>
          <cell r="F4379">
            <v>211788.74342105264</v>
          </cell>
          <cell r="G4379">
            <v>46593.523552631581</v>
          </cell>
        </row>
        <row r="4380">
          <cell r="A4380" t="str">
            <v>T5.5005</v>
          </cell>
          <cell r="C4380" t="str">
            <v>Lắp đặt thiết bị đo đếm các loại</v>
          </cell>
          <cell r="D4380" t="str">
            <v>cái</v>
          </cell>
          <cell r="H4380">
            <v>475</v>
          </cell>
          <cell r="I4380">
            <v>46593.523552631581</v>
          </cell>
        </row>
        <row r="4381">
          <cell r="C4381" t="str">
            <v>Vật liệu</v>
          </cell>
          <cell r="G4381">
            <v>475</v>
          </cell>
        </row>
        <row r="4382">
          <cell r="B4382">
            <v>9</v>
          </cell>
          <cell r="C4382" t="str">
            <v>Giẻ lau</v>
          </cell>
          <cell r="D4382" t="str">
            <v>kg</v>
          </cell>
          <cell r="E4382">
            <v>0.05</v>
          </cell>
          <cell r="F4382">
            <v>9500</v>
          </cell>
          <cell r="G4382">
            <v>475</v>
          </cell>
        </row>
        <row r="4383">
          <cell r="C4383" t="str">
            <v>Nhân công</v>
          </cell>
          <cell r="G4383">
            <v>46593.523552631581</v>
          </cell>
        </row>
        <row r="4384">
          <cell r="B4384" t="str">
            <v>NC1457</v>
          </cell>
          <cell r="C4384" t="str">
            <v>Ngày công bậc 4,5/7</v>
          </cell>
          <cell r="D4384" t="str">
            <v>công</v>
          </cell>
          <cell r="E4384">
            <v>0.22</v>
          </cell>
          <cell r="F4384">
            <v>211788.74342105264</v>
          </cell>
          <cell r="G4384">
            <v>46593.523552631581</v>
          </cell>
        </row>
      </sheetData>
      <sheetData sheetId="5">
        <row r="3">
          <cell r="A3" t="str">
            <v>MÃ HIỆU</v>
          </cell>
          <cell r="B3" t="str">
            <v>MÃ HIỆU</v>
          </cell>
          <cell r="C3" t="str">
            <v>CÔNG TÁC XÂY LẮP</v>
          </cell>
          <cell r="D3" t="str">
            <v>ĐƠN</v>
          </cell>
          <cell r="E3" t="str">
            <v>ĐỊNH MỨC</v>
          </cell>
          <cell r="F3" t="str">
            <v>ĐƠN</v>
          </cell>
          <cell r="G3" t="str">
            <v>THÀNH</v>
          </cell>
          <cell r="H3" t="str">
            <v>Đơn giá</v>
          </cell>
        </row>
        <row r="4">
          <cell r="A4" t="str">
            <v>ĐỊNH MỨC</v>
          </cell>
          <cell r="B4" t="str">
            <v>VẬT TƯ</v>
          </cell>
          <cell r="C4" t="str">
            <v>TÊN LOẠI VẬT LIỆU, NHÂN CÔNG, MÁY THI CÔNG</v>
          </cell>
          <cell r="D4" t="str">
            <v>VỊ</v>
          </cell>
          <cell r="E4" t="str">
            <v>CHÍNH</v>
          </cell>
          <cell r="F4" t="str">
            <v>GIÁ</v>
          </cell>
          <cell r="G4" t="str">
            <v>TIỀN</v>
          </cell>
          <cell r="H4" t="str">
            <v>Vật liệu phụ</v>
          </cell>
          <cell r="I4" t="str">
            <v>Nhân công</v>
          </cell>
          <cell r="J4" t="str">
            <v>MTC</v>
          </cell>
        </row>
        <row r="5">
          <cell r="A5" t="str">
            <v>AM.11101</v>
          </cell>
          <cell r="C5" t="str">
            <v>Bốc dỡ cát vàng bằng thủ công</v>
          </cell>
          <cell r="D5" t="str">
            <v>m3</v>
          </cell>
          <cell r="I5">
            <v>22960.495526315786</v>
          </cell>
        </row>
        <row r="6">
          <cell r="C6" t="str">
            <v>Nhân công</v>
          </cell>
          <cell r="G6">
            <v>22960.495526315786</v>
          </cell>
        </row>
        <row r="7">
          <cell r="B7" t="str">
            <v>NC1307</v>
          </cell>
          <cell r="C7" t="str">
            <v>+ Nhân công bậc 3,0/7</v>
          </cell>
          <cell r="D7" t="str">
            <v>Công</v>
          </cell>
          <cell r="E7">
            <v>0.14000000000000001</v>
          </cell>
          <cell r="F7">
            <v>164003.53947368418</v>
          </cell>
          <cell r="G7">
            <v>22960.495526315786</v>
          </cell>
        </row>
        <row r="8">
          <cell r="A8" t="str">
            <v>AM.11102</v>
          </cell>
          <cell r="C8" t="str">
            <v>Bốc dỡ đất các loại</v>
          </cell>
          <cell r="D8" t="str">
            <v>m3</v>
          </cell>
          <cell r="I8">
            <v>27880.601710526313</v>
          </cell>
        </row>
        <row r="9">
          <cell r="C9" t="str">
            <v>Nhân công</v>
          </cell>
          <cell r="G9">
            <v>27880.601710526313</v>
          </cell>
        </row>
        <row r="10">
          <cell r="B10" t="str">
            <v>NC1307</v>
          </cell>
          <cell r="C10" t="str">
            <v>+ Nhân công bậc 3,0/7</v>
          </cell>
          <cell r="D10" t="str">
            <v>Công</v>
          </cell>
          <cell r="E10">
            <v>0.17</v>
          </cell>
          <cell r="F10">
            <v>164003.53947368418</v>
          </cell>
          <cell r="G10">
            <v>27880.601710526313</v>
          </cell>
        </row>
        <row r="11">
          <cell r="A11" t="str">
            <v>AM.11103</v>
          </cell>
          <cell r="C11" t="str">
            <v>Bốc dỡ đá dăm các loại bằng thủ công</v>
          </cell>
          <cell r="D11" t="str">
            <v>m3</v>
          </cell>
          <cell r="I11">
            <v>39360.849473684204</v>
          </cell>
        </row>
        <row r="12">
          <cell r="C12" t="str">
            <v>Nhân công</v>
          </cell>
          <cell r="G12">
            <v>39360.849473684204</v>
          </cell>
        </row>
        <row r="13">
          <cell r="B13" t="str">
            <v>NC1307</v>
          </cell>
          <cell r="C13" t="str">
            <v>+ Nhân công bậc 3,0/7</v>
          </cell>
          <cell r="D13" t="str">
            <v>Công</v>
          </cell>
          <cell r="E13">
            <v>0.24</v>
          </cell>
          <cell r="F13">
            <v>164003.53947368418</v>
          </cell>
          <cell r="G13">
            <v>39360.849473684204</v>
          </cell>
        </row>
        <row r="14">
          <cell r="A14" t="str">
            <v>AM.1124</v>
          </cell>
          <cell r="C14" t="str">
            <v>Bốc dỡ Xi măng bằng thủ công</v>
          </cell>
          <cell r="D14" t="str">
            <v>tấn</v>
          </cell>
          <cell r="I14">
            <v>42640.920263157888</v>
          </cell>
        </row>
        <row r="15">
          <cell r="C15" t="str">
            <v>Nhân công</v>
          </cell>
          <cell r="G15">
            <v>42640.920263157888</v>
          </cell>
        </row>
        <row r="16">
          <cell r="B16" t="str">
            <v>NC1307</v>
          </cell>
          <cell r="C16" t="str">
            <v>+ Nhân công bậc 3,0/7</v>
          </cell>
          <cell r="D16" t="str">
            <v>Công</v>
          </cell>
          <cell r="E16">
            <v>0.26</v>
          </cell>
          <cell r="F16">
            <v>164003.53947368418</v>
          </cell>
          <cell r="G16">
            <v>42640.920263157888</v>
          </cell>
        </row>
        <row r="17">
          <cell r="A17" t="str">
            <v>AM.1125</v>
          </cell>
          <cell r="C17" t="str">
            <v xml:space="preserve">Bốc dỡ gỗ </v>
          </cell>
          <cell r="D17" t="str">
            <v>m3</v>
          </cell>
          <cell r="I17">
            <v>37720.814078947362</v>
          </cell>
        </row>
        <row r="18">
          <cell r="C18" t="str">
            <v>Nhân công</v>
          </cell>
          <cell r="G18">
            <v>37720.814078947362</v>
          </cell>
        </row>
        <row r="19">
          <cell r="B19" t="str">
            <v>NC1307</v>
          </cell>
          <cell r="C19" t="str">
            <v>+ Nhân công bậc 3,0/7</v>
          </cell>
          <cell r="D19" t="str">
            <v>Công</v>
          </cell>
          <cell r="E19">
            <v>0.23</v>
          </cell>
          <cell r="F19">
            <v>164003.53947368418</v>
          </cell>
          <cell r="G19">
            <v>37720.814078947362</v>
          </cell>
        </row>
        <row r="20">
          <cell r="A20" t="str">
            <v>AM.2101</v>
          </cell>
          <cell r="C20" t="str">
            <v>Vận chuyển cát xây dựng 300m bằng thủ công</v>
          </cell>
          <cell r="D20" t="str">
            <v>m3/300m</v>
          </cell>
          <cell r="I20">
            <v>50349.086618421046</v>
          </cell>
        </row>
        <row r="21">
          <cell r="C21" t="str">
            <v>Nhân công</v>
          </cell>
          <cell r="G21">
            <v>50349.086618421046</v>
          </cell>
        </row>
        <row r="22">
          <cell r="C22" t="str">
            <v>+ Nhân công bậc 3,0/7, 0,075/10m khởi điểm + 0,008/10m tiếp theo</v>
          </cell>
          <cell r="D22" t="str">
            <v>Công</v>
          </cell>
          <cell r="E22">
            <v>0.307</v>
          </cell>
          <cell r="F22">
            <v>164003.53947368418</v>
          </cell>
          <cell r="G22">
            <v>50349.086618421046</v>
          </cell>
        </row>
        <row r="23">
          <cell r="A23" t="str">
            <v>AM.2102</v>
          </cell>
          <cell r="C23" t="str">
            <v>Vận chuyển đất 100m bằng thủ công</v>
          </cell>
          <cell r="D23" t="str">
            <v>m3/300m</v>
          </cell>
          <cell r="I23">
            <v>29192.630026315783</v>
          </cell>
        </row>
        <row r="24">
          <cell r="C24" t="str">
            <v>Nhân công</v>
          </cell>
          <cell r="G24">
            <v>29192.630026315783</v>
          </cell>
        </row>
        <row r="25">
          <cell r="C25" t="str">
            <v>+ Nhân công bậc 3,0/7, 0,088/10m khởi điểm + 0,01/10m tiếp theo</v>
          </cell>
          <cell r="D25" t="str">
            <v>Công</v>
          </cell>
          <cell r="E25">
            <v>0.17799999999999999</v>
          </cell>
          <cell r="F25">
            <v>164003.53947368418</v>
          </cell>
          <cell r="G25">
            <v>29192.630026315783</v>
          </cell>
        </row>
        <row r="26">
          <cell r="A26" t="str">
            <v>AM.2102</v>
          </cell>
          <cell r="C26" t="str">
            <v>Vận chuyển đất 300m bằng thủ công</v>
          </cell>
          <cell r="D26" t="str">
            <v>m3/300m</v>
          </cell>
          <cell r="I26">
            <v>61993.337921052625</v>
          </cell>
        </row>
        <row r="27">
          <cell r="C27" t="str">
            <v>Nhân công</v>
          </cell>
          <cell r="G27">
            <v>61993.337921052625</v>
          </cell>
        </row>
        <row r="28">
          <cell r="C28" t="str">
            <v>+ Nhân công bậc 3,0/7, 0,088/10m khởi điểm + 0,01/10m tiếp theo</v>
          </cell>
          <cell r="D28" t="str">
            <v>Công</v>
          </cell>
          <cell r="E28">
            <v>0.378</v>
          </cell>
          <cell r="F28">
            <v>164003.53947368418</v>
          </cell>
          <cell r="G28">
            <v>61993.337921052625</v>
          </cell>
        </row>
        <row r="29">
          <cell r="A29" t="str">
            <v>AM.2103</v>
          </cell>
          <cell r="C29" t="str">
            <v>Vận chuyển đá dăm 300m bằng thủ công</v>
          </cell>
          <cell r="D29" t="str">
            <v>m3/300m</v>
          </cell>
          <cell r="I29">
            <v>55105.189263157881</v>
          </cell>
        </row>
        <row r="30">
          <cell r="C30" t="str">
            <v>Nhân công</v>
          </cell>
          <cell r="G30">
            <v>55105.189263157881</v>
          </cell>
        </row>
        <row r="31">
          <cell r="C31" t="str">
            <v>+ Nhân công bậc 3,0/7, 0,075/10m khởi điểm + 0,009/10m tiếp theo</v>
          </cell>
          <cell r="D31" t="str">
            <v>Công</v>
          </cell>
          <cell r="E31">
            <v>0.33599999999999997</v>
          </cell>
          <cell r="F31">
            <v>164003.53947368418</v>
          </cell>
          <cell r="G31">
            <v>55105.189263157881</v>
          </cell>
        </row>
        <row r="32">
          <cell r="A32" t="str">
            <v>AM.2108</v>
          </cell>
          <cell r="C32" t="str">
            <v>Vận chuyển xi măng 300m bằng thủ công</v>
          </cell>
          <cell r="D32" t="str">
            <v>tấn/300m</v>
          </cell>
          <cell r="I32">
            <v>50349.086618421046</v>
          </cell>
        </row>
        <row r="33">
          <cell r="C33" t="str">
            <v>Nhân công</v>
          </cell>
          <cell r="G33">
            <v>50349.086618421046</v>
          </cell>
        </row>
        <row r="34">
          <cell r="C34" t="str">
            <v>+ Nhân công bậc 3,0/7, 0,075/10m khởi điểm + 0,008/10m tiếp theo</v>
          </cell>
          <cell r="D34" t="str">
            <v>Công</v>
          </cell>
          <cell r="E34">
            <v>0.307</v>
          </cell>
          <cell r="F34">
            <v>164003.53947368418</v>
          </cell>
          <cell r="G34">
            <v>50349.086618421046</v>
          </cell>
        </row>
        <row r="35">
          <cell r="A35" t="str">
            <v>AM.2109</v>
          </cell>
          <cell r="C35" t="str">
            <v>Vận chuyển gỗ 300m bằng thủ công</v>
          </cell>
          <cell r="D35" t="str">
            <v>m3/300m</v>
          </cell>
          <cell r="I35">
            <v>36736.792842105264</v>
          </cell>
        </row>
        <row r="36">
          <cell r="C36" t="str">
            <v>Nhân công</v>
          </cell>
          <cell r="G36">
            <v>36736.792842105264</v>
          </cell>
        </row>
        <row r="37">
          <cell r="C37" t="str">
            <v>+ Nhân công bậc 3,0/7, 0,05/10m khởi điểm + 0,006/10m tiếp theo</v>
          </cell>
          <cell r="D37" t="str">
            <v>Công</v>
          </cell>
          <cell r="E37">
            <v>0.22400000000000003</v>
          </cell>
          <cell r="F37">
            <v>164003.53947368418</v>
          </cell>
          <cell r="G37">
            <v>36736.792842105264</v>
          </cell>
        </row>
        <row r="38">
          <cell r="A38" t="str">
            <v>ĐÀO ĐẤT MÓNG CỘT BẰNG THỦ CÔNG</v>
          </cell>
        </row>
        <row r="39">
          <cell r="A39" t="str">
            <v>AB.11411</v>
          </cell>
          <cell r="C39" t="str">
            <v>Đào đất móng cột, trụ, hố kiểm tra rộng &lt;=1m sâu &lt;=1m, đất cấp I</v>
          </cell>
          <cell r="D39" t="str">
            <v>m3</v>
          </cell>
          <cell r="I39">
            <v>124642.68999999999</v>
          </cell>
        </row>
        <row r="40">
          <cell r="C40" t="str">
            <v>Nhân công</v>
          </cell>
          <cell r="G40">
            <v>124642.68999999999</v>
          </cell>
        </row>
        <row r="41">
          <cell r="C41" t="str">
            <v>+ Nhân công bậc 3,0/7, 0,76 công/1m3</v>
          </cell>
          <cell r="D41" t="str">
            <v>Công</v>
          </cell>
          <cell r="E41">
            <v>0.76</v>
          </cell>
          <cell r="F41">
            <v>164003.53947368418</v>
          </cell>
          <cell r="G41">
            <v>124642.68999999999</v>
          </cell>
        </row>
        <row r="42">
          <cell r="A42" t="str">
            <v>AB.11441</v>
          </cell>
          <cell r="C42" t="str">
            <v>Đào đất móng cột, trụ, hố kiểm tra rộng &gt;1m sâu &gt;1m, đất cấp I</v>
          </cell>
          <cell r="D42" t="str">
            <v>m3</v>
          </cell>
          <cell r="I42">
            <v>116442.51302631576</v>
          </cell>
        </row>
        <row r="43">
          <cell r="C43" t="str">
            <v>Nhân công</v>
          </cell>
          <cell r="G43">
            <v>116442.51302631576</v>
          </cell>
        </row>
        <row r="44">
          <cell r="C44" t="str">
            <v>+ Nhân công bậc 3,0/7, 0,71 công/1m3</v>
          </cell>
          <cell r="D44" t="str">
            <v>Công</v>
          </cell>
          <cell r="E44">
            <v>0.71</v>
          </cell>
          <cell r="F44">
            <v>164003.53947368418</v>
          </cell>
          <cell r="G44">
            <v>116442.51302631576</v>
          </cell>
        </row>
        <row r="45">
          <cell r="A45" t="str">
            <v>AB.11412</v>
          </cell>
          <cell r="C45" t="str">
            <v>Đào đất móng cột, trụ, hố kiểm tra rộng &lt;=1m sâu &lt;=1m, đất cấp II</v>
          </cell>
          <cell r="D45" t="str">
            <v>m3</v>
          </cell>
          <cell r="I45">
            <v>195164.21197368417</v>
          </cell>
        </row>
        <row r="46">
          <cell r="C46" t="str">
            <v>Nhân công</v>
          </cell>
          <cell r="G46">
            <v>195164.21197368417</v>
          </cell>
        </row>
        <row r="47">
          <cell r="C47" t="str">
            <v>+ Nhân công bậc 3,0/7, 0,76 công/1m3</v>
          </cell>
          <cell r="D47" t="str">
            <v>Công</v>
          </cell>
          <cell r="E47">
            <v>1.19</v>
          </cell>
          <cell r="F47">
            <v>164003.53947368418</v>
          </cell>
          <cell r="G47">
            <v>195164.21197368417</v>
          </cell>
        </row>
        <row r="48">
          <cell r="A48" t="str">
            <v>AB.11442</v>
          </cell>
          <cell r="C48" t="str">
            <v>Đào đất móng cột, trụ, hố kiểm tra rộng &gt;1m sâu &gt;1m, đất cấp II</v>
          </cell>
          <cell r="D48" t="str">
            <v>m3</v>
          </cell>
          <cell r="I48">
            <v>170563.68105263155</v>
          </cell>
        </row>
        <row r="49">
          <cell r="C49" t="str">
            <v>Nhân công</v>
          </cell>
          <cell r="G49">
            <v>170563.68105263155</v>
          </cell>
        </row>
        <row r="50">
          <cell r="C50" t="str">
            <v>+ Nhân công bậc 3,0/7, 0,71 công/1m3</v>
          </cell>
          <cell r="D50" t="str">
            <v>Công</v>
          </cell>
          <cell r="E50">
            <v>1.04</v>
          </cell>
          <cell r="F50">
            <v>164003.53947368418</v>
          </cell>
          <cell r="G50">
            <v>170563.68105263155</v>
          </cell>
        </row>
        <row r="51">
          <cell r="A51" t="str">
            <v>AB.11501</v>
          </cell>
          <cell r="C51" t="str">
            <v>Đào đất  hào cáp ngầm rộng &lt;=1m sâu &lt;=1 bằng thủ công, Đất cấp I</v>
          </cell>
          <cell r="D51" t="str">
            <v>m3</v>
          </cell>
          <cell r="I51">
            <v>119722.58381578945</v>
          </cell>
        </row>
        <row r="52">
          <cell r="C52" t="str">
            <v>Nhân công</v>
          </cell>
          <cell r="G52">
            <v>119722.58381578945</v>
          </cell>
        </row>
        <row r="53">
          <cell r="C53" t="str">
            <v>+ Nhân công bậc 3,0/7, 0,73 công/1m3</v>
          </cell>
          <cell r="D53" t="str">
            <v>Công</v>
          </cell>
          <cell r="E53">
            <v>0.73</v>
          </cell>
          <cell r="F53">
            <v>164003.53947368418</v>
          </cell>
          <cell r="G53">
            <v>119722.58381578945</v>
          </cell>
        </row>
        <row r="54">
          <cell r="A54" t="str">
            <v>AB.11502</v>
          </cell>
          <cell r="C54" t="str">
            <v>Đào đất  hào cáp ngầm rộng &lt;=1m sâu &lt;=1 bằng thủ công, Đất cấp II</v>
          </cell>
          <cell r="D54" t="str">
            <v>m3</v>
          </cell>
          <cell r="I54">
            <v>178763.85802631578</v>
          </cell>
        </row>
        <row r="55">
          <cell r="C55" t="str">
            <v>Nhân công</v>
          </cell>
          <cell r="G55">
            <v>178763.85802631578</v>
          </cell>
        </row>
        <row r="56">
          <cell r="C56" t="str">
            <v>+ Nhân công bậc 3,0/7; 1,09 công/1m3</v>
          </cell>
          <cell r="D56" t="str">
            <v>Công</v>
          </cell>
          <cell r="E56">
            <v>1.0900000000000001</v>
          </cell>
          <cell r="F56">
            <v>164003.53947368418</v>
          </cell>
          <cell r="G56">
            <v>178763.85802631578</v>
          </cell>
        </row>
        <row r="57">
          <cell r="A57" t="str">
            <v>AB.11541</v>
          </cell>
          <cell r="C57" t="str">
            <v>Đào đất  hào cáp ngầm rộng &lt;=3m sâu &gt;3 bằng thủ công, Đất cấp I</v>
          </cell>
          <cell r="D57" t="str">
            <v>m3</v>
          </cell>
          <cell r="I57">
            <v>129562.79618421051</v>
          </cell>
        </row>
        <row r="58">
          <cell r="C58" t="str">
            <v>Nhân công</v>
          </cell>
          <cell r="G58">
            <v>129562.79618421051</v>
          </cell>
        </row>
        <row r="59">
          <cell r="C59" t="str">
            <v>+ Nhân công bậc 3,0/7, 0,79 công/1m3</v>
          </cell>
          <cell r="D59" t="str">
            <v>Công</v>
          </cell>
          <cell r="E59">
            <v>0.79</v>
          </cell>
          <cell r="F59">
            <v>164003.53947368418</v>
          </cell>
          <cell r="G59">
            <v>129562.79618421051</v>
          </cell>
        </row>
        <row r="60">
          <cell r="A60" t="str">
            <v>AB.11542</v>
          </cell>
          <cell r="C60" t="str">
            <v>Đào đất  hào cáp ngầm rộng &lt;=3m sâu &gt;3 bằng thủ công, Đất cấp II</v>
          </cell>
          <cell r="D60" t="str">
            <v>m3</v>
          </cell>
          <cell r="I60">
            <v>178763.85802631578</v>
          </cell>
        </row>
        <row r="61">
          <cell r="C61" t="str">
            <v>Nhân công</v>
          </cell>
          <cell r="G61">
            <v>178763.85802631578</v>
          </cell>
        </row>
        <row r="62">
          <cell r="C62" t="str">
            <v>+ Nhân công bậc 3,0/7, 1,09 công/1m3</v>
          </cell>
          <cell r="D62" t="str">
            <v>Công</v>
          </cell>
          <cell r="E62">
            <v>1.0900000000000001</v>
          </cell>
          <cell r="F62">
            <v>164003.53947368418</v>
          </cell>
          <cell r="G62">
            <v>178763.85802631578</v>
          </cell>
        </row>
        <row r="63">
          <cell r="A63" t="str">
            <v>AB.11114</v>
          </cell>
          <cell r="C63" t="str">
            <v>Vét bùn lỏng</v>
          </cell>
          <cell r="D63" t="str">
            <v>m3</v>
          </cell>
          <cell r="I63">
            <v>234525.06144736838</v>
          </cell>
        </row>
        <row r="64">
          <cell r="C64" t="str">
            <v>Nhân công</v>
          </cell>
          <cell r="G64">
            <v>234525.06144736838</v>
          </cell>
        </row>
        <row r="65">
          <cell r="C65" t="str">
            <v>+ Nhân công bậc 3/7; 1,43 công/1m3</v>
          </cell>
          <cell r="D65" t="str">
            <v>Công</v>
          </cell>
          <cell r="E65">
            <v>1.43</v>
          </cell>
          <cell r="F65">
            <v>164003.53947368418</v>
          </cell>
          <cell r="G65">
            <v>234525.06144736838</v>
          </cell>
        </row>
        <row r="66">
          <cell r="A66" t="str">
            <v>AB.13111</v>
          </cell>
          <cell r="C66" t="str">
            <v xml:space="preserve">Đắp đất hố móng công trình </v>
          </cell>
          <cell r="D66" t="str">
            <v>m3</v>
          </cell>
          <cell r="I66">
            <v>91841.982105263145</v>
          </cell>
        </row>
        <row r="67">
          <cell r="C67" t="str">
            <v>Nhân công</v>
          </cell>
          <cell r="G67">
            <v>91841.982105263145</v>
          </cell>
        </row>
        <row r="68">
          <cell r="C68" t="str">
            <v>+ Nhân công bậc 3,0/7; 0,56 công/1m3</v>
          </cell>
          <cell r="D68" t="str">
            <v>Công</v>
          </cell>
          <cell r="E68">
            <v>0.56000000000000005</v>
          </cell>
          <cell r="F68">
            <v>164003.53947368418</v>
          </cell>
          <cell r="G68">
            <v>91841.982105263145</v>
          </cell>
        </row>
        <row r="69">
          <cell r="A69" t="str">
            <v>AB.13412</v>
          </cell>
          <cell r="C69" t="str">
            <v>Đắp đất móng đặt ống</v>
          </cell>
          <cell r="D69" t="str">
            <v>m3</v>
          </cell>
          <cell r="I69">
            <v>95122.052894736815</v>
          </cell>
        </row>
        <row r="70">
          <cell r="C70" t="str">
            <v>Nhân công</v>
          </cell>
          <cell r="G70">
            <v>95122.052894736815</v>
          </cell>
        </row>
        <row r="71">
          <cell r="C71" t="str">
            <v>+ Nhân công bậc 3,0/7; 0,58 công/1m3</v>
          </cell>
          <cell r="D71" t="str">
            <v>Công</v>
          </cell>
          <cell r="E71">
            <v>0.57999999999999996</v>
          </cell>
          <cell r="F71">
            <v>164003.53947368418</v>
          </cell>
          <cell r="G71">
            <v>95122.052894736815</v>
          </cell>
        </row>
        <row r="72">
          <cell r="A72" t="str">
            <v>AE.21110</v>
          </cell>
          <cell r="C72" t="str">
            <v>Xây móng bằng gạch nung chiều dày nhỏ hơn 330</v>
          </cell>
          <cell r="D72" t="str">
            <v>m3</v>
          </cell>
          <cell r="I72">
            <v>254665.63999999998</v>
          </cell>
          <cell r="J72">
            <v>7418.6609411764712</v>
          </cell>
        </row>
        <row r="73">
          <cell r="C73" t="str">
            <v>Nhân công</v>
          </cell>
          <cell r="G73">
            <v>254665.63999999998</v>
          </cell>
        </row>
        <row r="74">
          <cell r="C74" t="str">
            <v>+ Nhân công bậc 3,5/7; 1,42 công/1m3</v>
          </cell>
          <cell r="D74" t="str">
            <v>Công</v>
          </cell>
          <cell r="E74">
            <v>1.42</v>
          </cell>
          <cell r="F74">
            <v>179342</v>
          </cell>
          <cell r="G74">
            <v>254665.63999999998</v>
          </cell>
        </row>
        <row r="75">
          <cell r="C75" t="str">
            <v>Máy thi công</v>
          </cell>
          <cell r="G75">
            <v>7418.6609411764712</v>
          </cell>
        </row>
        <row r="76">
          <cell r="B76" t="str">
            <v>8019a</v>
          </cell>
          <cell r="C76" t="str">
            <v>Máy trộn vữa 150lít</v>
          </cell>
          <cell r="D76" t="str">
            <v>ca</v>
          </cell>
          <cell r="E76">
            <v>3.5000000000000003E-2</v>
          </cell>
          <cell r="F76">
            <v>211961.74117647059</v>
          </cell>
          <cell r="G76">
            <v>7418.6609411764712</v>
          </cell>
        </row>
        <row r="77">
          <cell r="A77" t="str">
            <v>AF.11110</v>
          </cell>
          <cell r="C77" t="str">
            <v>Đổ bê tông lót móng trụ bằng máy kết hợp thủ công, chiều rộng &lt;=250cm</v>
          </cell>
          <cell r="D77" t="str">
            <v>m3</v>
          </cell>
          <cell r="I77">
            <v>175483.78723684209</v>
          </cell>
          <cell r="J77">
            <v>39507.421600000001</v>
          </cell>
        </row>
        <row r="78">
          <cell r="C78" t="str">
            <v>Nhân công</v>
          </cell>
          <cell r="G78">
            <v>175483.78723684209</v>
          </cell>
        </row>
        <row r="79">
          <cell r="C79" t="str">
            <v>+ Nhân công bậc 3,0/7; 1,07 công/1m3</v>
          </cell>
          <cell r="D79" t="str">
            <v>Công</v>
          </cell>
          <cell r="E79">
            <v>1.07</v>
          </cell>
          <cell r="F79">
            <v>164003.53947368418</v>
          </cell>
          <cell r="G79">
            <v>175483.78723684209</v>
          </cell>
        </row>
        <row r="80">
          <cell r="C80" t="str">
            <v>Máy thi công</v>
          </cell>
          <cell r="G80">
            <v>39507.421600000001</v>
          </cell>
        </row>
        <row r="81">
          <cell r="B81">
            <v>7063</v>
          </cell>
          <cell r="C81" t="str">
            <v>Máy trộn bê tông 250lít</v>
          </cell>
          <cell r="D81" t="str">
            <v>ca</v>
          </cell>
          <cell r="E81">
            <v>9.5000000000000001E-2</v>
          </cell>
          <cell r="F81">
            <v>237897.2</v>
          </cell>
          <cell r="G81">
            <v>22600.234</v>
          </cell>
        </row>
        <row r="82">
          <cell r="B82">
            <v>7060</v>
          </cell>
          <cell r="C82" t="str">
            <v>Máy đầm bàn 1Kw</v>
          </cell>
          <cell r="D82" t="str">
            <v>ca</v>
          </cell>
          <cell r="E82">
            <v>8.8999999999999996E-2</v>
          </cell>
          <cell r="F82">
            <v>189968.39999999997</v>
          </cell>
          <cell r="G82">
            <v>16907.187599999997</v>
          </cell>
        </row>
        <row r="83">
          <cell r="A83" t="str">
            <v>AF.11210</v>
          </cell>
          <cell r="C83" t="str">
            <v>Đổ bê tông móng trụ bằng máy kết hợp thủ công, chiều  rộng &lt;=250 đá 1x2 M250</v>
          </cell>
          <cell r="D83" t="str">
            <v>m3</v>
          </cell>
          <cell r="I83">
            <v>201724.35355263154</v>
          </cell>
          <cell r="J83">
            <v>39855.091199999995</v>
          </cell>
        </row>
        <row r="84">
          <cell r="C84" t="str">
            <v>Nhân công</v>
          </cell>
          <cell r="G84">
            <v>201724.35355263154</v>
          </cell>
        </row>
        <row r="85">
          <cell r="C85" t="str">
            <v>+ Nhân công bậc 3,0/7; 1,23 công/1m3</v>
          </cell>
          <cell r="D85" t="str">
            <v>Công</v>
          </cell>
          <cell r="E85">
            <v>1.23</v>
          </cell>
          <cell r="F85">
            <v>164003.53947368418</v>
          </cell>
          <cell r="G85">
            <v>201724.35355263154</v>
          </cell>
        </row>
        <row r="86">
          <cell r="C86" t="str">
            <v>Máy thi công</v>
          </cell>
          <cell r="G86">
            <v>39855.091199999995</v>
          </cell>
        </row>
        <row r="87">
          <cell r="B87">
            <v>7063</v>
          </cell>
          <cell r="C87" t="str">
            <v>Máy trộn bê tông 250lít</v>
          </cell>
          <cell r="D87" t="str">
            <v>ca</v>
          </cell>
          <cell r="E87">
            <v>9.5000000000000001E-2</v>
          </cell>
          <cell r="F87">
            <v>237897.2</v>
          </cell>
          <cell r="G87">
            <v>22600.234</v>
          </cell>
        </row>
        <row r="88">
          <cell r="B88">
            <v>7066</v>
          </cell>
          <cell r="C88" t="str">
            <v>Đầm dùi 1,5Kw</v>
          </cell>
          <cell r="D88" t="str">
            <v>ca</v>
          </cell>
          <cell r="E88">
            <v>8.8999999999999996E-2</v>
          </cell>
          <cell r="F88">
            <v>193874.8</v>
          </cell>
          <cell r="G88">
            <v>17254.857199999999</v>
          </cell>
        </row>
        <row r="89">
          <cell r="A89" t="str">
            <v>AF.11310</v>
          </cell>
          <cell r="C89" t="str">
            <v>Đổ bê tông nềm trạm</v>
          </cell>
          <cell r="D89" t="str">
            <v>m3</v>
          </cell>
          <cell r="I89">
            <v>195164.21197368417</v>
          </cell>
          <cell r="J89">
            <v>39855.091199999995</v>
          </cell>
        </row>
        <row r="90">
          <cell r="C90" t="str">
            <v>Nhân công</v>
          </cell>
          <cell r="G90">
            <v>195164.21197368417</v>
          </cell>
        </row>
        <row r="91">
          <cell r="C91" t="str">
            <v>+ Nhân công bậc 3,0/7; 1,19 công/1m3</v>
          </cell>
          <cell r="D91" t="str">
            <v>Công</v>
          </cell>
          <cell r="E91">
            <v>1.19</v>
          </cell>
          <cell r="F91">
            <v>164003.53947368418</v>
          </cell>
          <cell r="G91">
            <v>195164.21197368417</v>
          </cell>
        </row>
        <row r="92">
          <cell r="C92" t="str">
            <v>Máy thi công</v>
          </cell>
          <cell r="G92">
            <v>39855.091199999995</v>
          </cell>
        </row>
        <row r="93">
          <cell r="B93">
            <v>7063</v>
          </cell>
          <cell r="C93" t="str">
            <v>Máy trộn bê tông 250lít</v>
          </cell>
          <cell r="D93" t="str">
            <v>ca</v>
          </cell>
          <cell r="E93">
            <v>9.5000000000000001E-2</v>
          </cell>
          <cell r="F93">
            <v>237897.2</v>
          </cell>
          <cell r="G93">
            <v>22600.234</v>
          </cell>
        </row>
        <row r="94">
          <cell r="B94">
            <v>7066</v>
          </cell>
          <cell r="C94" t="str">
            <v>Đầm dùi 1,0Kw</v>
          </cell>
          <cell r="D94" t="str">
            <v>ca</v>
          </cell>
          <cell r="E94">
            <v>8.8999999999999996E-2</v>
          </cell>
          <cell r="F94">
            <v>193874.8</v>
          </cell>
          <cell r="G94">
            <v>17254.857199999999</v>
          </cell>
        </row>
        <row r="95">
          <cell r="A95" t="str">
            <v>AF.12510</v>
          </cell>
          <cell r="C95" t="str">
            <v>Bê tông tấm đan</v>
          </cell>
          <cell r="D95" t="str">
            <v>m3</v>
          </cell>
          <cell r="I95">
            <v>477049.72000000003</v>
          </cell>
          <cell r="J95">
            <v>39855.091199999995</v>
          </cell>
        </row>
        <row r="96">
          <cell r="C96" t="str">
            <v>Nhân công</v>
          </cell>
          <cell r="G96">
            <v>477049.72000000003</v>
          </cell>
        </row>
        <row r="97">
          <cell r="C97" t="str">
            <v>+ Nhân công bậc 3,5/7; 2,66 công/1m3</v>
          </cell>
          <cell r="D97" t="str">
            <v>Công</v>
          </cell>
          <cell r="E97">
            <v>2.66</v>
          </cell>
          <cell r="F97">
            <v>179342</v>
          </cell>
          <cell r="G97">
            <v>477049.72000000003</v>
          </cell>
        </row>
        <row r="98">
          <cell r="C98" t="str">
            <v>Máy thi công</v>
          </cell>
          <cell r="G98">
            <v>39855.091199999995</v>
          </cell>
        </row>
        <row r="99">
          <cell r="B99">
            <v>7063</v>
          </cell>
          <cell r="C99" t="str">
            <v>Máy trộn bê tông 250lít</v>
          </cell>
          <cell r="D99" t="str">
            <v>ca</v>
          </cell>
          <cell r="E99">
            <v>9.5000000000000001E-2</v>
          </cell>
          <cell r="F99">
            <v>237897.2</v>
          </cell>
          <cell r="G99">
            <v>22600.234</v>
          </cell>
        </row>
        <row r="100">
          <cell r="B100">
            <v>7066</v>
          </cell>
          <cell r="C100" t="str">
            <v>Đầm dùi 1,5Kw</v>
          </cell>
          <cell r="D100" t="str">
            <v>ca</v>
          </cell>
          <cell r="E100">
            <v>8.8999999999999996E-2</v>
          </cell>
          <cell r="F100">
            <v>193874.8</v>
          </cell>
          <cell r="G100">
            <v>17254.857199999999</v>
          </cell>
        </row>
        <row r="101">
          <cell r="A101" t="str">
            <v>AF.61110</v>
          </cell>
          <cell r="C101" t="str">
            <v>Gia công và Lắp dựng cốt thép móng cột, Đường kính cốt thép =&lt;10mm</v>
          </cell>
          <cell r="D101" t="str">
            <v>tấn</v>
          </cell>
          <cell r="I101">
            <v>1927926.5</v>
          </cell>
          <cell r="J101">
            <v>78534</v>
          </cell>
        </row>
        <row r="102">
          <cell r="C102" t="str">
            <v>Vật liệu</v>
          </cell>
          <cell r="G102">
            <v>0</v>
          </cell>
        </row>
        <row r="103">
          <cell r="B103">
            <v>32</v>
          </cell>
          <cell r="C103" t="str">
            <v>+ Thép Đk &lt;=10 mm</v>
          </cell>
          <cell r="D103" t="str">
            <v>kg</v>
          </cell>
          <cell r="E103">
            <v>1005</v>
          </cell>
          <cell r="G103">
            <v>0</v>
          </cell>
        </row>
        <row r="104">
          <cell r="B104">
            <v>59</v>
          </cell>
          <cell r="C104" t="str">
            <v>+ Dây thép 1mm</v>
          </cell>
          <cell r="D104" t="str">
            <v>kg</v>
          </cell>
          <cell r="E104">
            <v>16.07</v>
          </cell>
          <cell r="G104">
            <v>0</v>
          </cell>
        </row>
        <row r="105">
          <cell r="C105" t="str">
            <v>Nhân công</v>
          </cell>
          <cell r="G105">
            <v>1927926.5</v>
          </cell>
        </row>
        <row r="106">
          <cell r="C106" t="str">
            <v>+ Nhân công bậc 3,5/7; 10,75 công/tấn</v>
          </cell>
          <cell r="D106" t="str">
            <v>Công</v>
          </cell>
          <cell r="E106">
            <v>10.75</v>
          </cell>
          <cell r="F106">
            <v>179342</v>
          </cell>
          <cell r="G106">
            <v>1927926.5</v>
          </cell>
        </row>
        <row r="107">
          <cell r="C107" t="str">
            <v>Máy thi công</v>
          </cell>
          <cell r="G107">
            <v>23562.857142857145</v>
          </cell>
        </row>
        <row r="108">
          <cell r="B108">
            <v>7015</v>
          </cell>
          <cell r="C108" t="str">
            <v>+ Máy cắt uốn cốt thép, công suất 5,0 kW</v>
          </cell>
          <cell r="D108" t="str">
            <v>Ca</v>
          </cell>
          <cell r="E108">
            <v>0.4</v>
          </cell>
          <cell r="F108">
            <v>58907.142857142862</v>
          </cell>
          <cell r="G108">
            <v>23562.857142857145</v>
          </cell>
        </row>
        <row r="109">
          <cell r="A109" t="str">
            <v>AF.61120</v>
          </cell>
          <cell r="C109" t="str">
            <v>Gia công và Lắp dựng cốt thép móng cột, Đường kính cốt thép =&lt; 18mm</v>
          </cell>
          <cell r="D109" t="str">
            <v>tấn</v>
          </cell>
          <cell r="H109">
            <v>92800</v>
          </cell>
          <cell r="I109">
            <v>1375553.14</v>
          </cell>
          <cell r="J109">
            <v>387240</v>
          </cell>
        </row>
        <row r="110">
          <cell r="C110" t="str">
            <v>Vật liệu</v>
          </cell>
          <cell r="G110">
            <v>92800</v>
          </cell>
        </row>
        <row r="111">
          <cell r="B111">
            <v>58</v>
          </cell>
          <cell r="C111" t="str">
            <v>+ Thép Đk &lt;=18 mm</v>
          </cell>
          <cell r="D111" t="str">
            <v>kg</v>
          </cell>
          <cell r="E111">
            <v>1020</v>
          </cell>
          <cell r="G111">
            <v>0</v>
          </cell>
        </row>
        <row r="112">
          <cell r="B112">
            <v>59</v>
          </cell>
          <cell r="C112" t="str">
            <v>+ Dây thép 1mm</v>
          </cell>
          <cell r="D112" t="str">
            <v>kg</v>
          </cell>
          <cell r="E112">
            <v>9.2799999999999994</v>
          </cell>
          <cell r="G112">
            <v>0</v>
          </cell>
        </row>
        <row r="113">
          <cell r="B113">
            <v>19</v>
          </cell>
          <cell r="C113" t="str">
            <v>+ Que hàn</v>
          </cell>
          <cell r="D113" t="str">
            <v>kg</v>
          </cell>
          <cell r="E113">
            <v>4.6399999999999997</v>
          </cell>
          <cell r="F113">
            <v>20000</v>
          </cell>
          <cell r="G113">
            <v>92800</v>
          </cell>
        </row>
        <row r="114">
          <cell r="C114" t="str">
            <v>Nhân công</v>
          </cell>
          <cell r="G114">
            <v>1375553.14</v>
          </cell>
        </row>
        <row r="115">
          <cell r="C115" t="str">
            <v>+ Nhân công bậc 3,5/7; 7,67 công/tấn</v>
          </cell>
          <cell r="D115" t="str">
            <v>Công</v>
          </cell>
          <cell r="E115">
            <v>7.67</v>
          </cell>
          <cell r="F115">
            <v>179342</v>
          </cell>
          <cell r="G115">
            <v>1375553.14</v>
          </cell>
        </row>
        <row r="116">
          <cell r="C116" t="str">
            <v>Máy thi công</v>
          </cell>
          <cell r="G116">
            <v>369707.75771428581</v>
          </cell>
        </row>
        <row r="117">
          <cell r="B117">
            <v>7006</v>
          </cell>
          <cell r="C117" t="str">
            <v>+ Biến thế hàn xoay chiều, công suất 23,0 kW</v>
          </cell>
          <cell r="D117" t="str">
            <v>Ca</v>
          </cell>
          <cell r="E117">
            <v>1.1200000000000001</v>
          </cell>
          <cell r="F117">
            <v>313265.60000000003</v>
          </cell>
          <cell r="G117">
            <v>350857.47200000007</v>
          </cell>
        </row>
        <row r="118">
          <cell r="B118">
            <v>7015</v>
          </cell>
          <cell r="C118" t="str">
            <v>+ Máy cắt uốn cốt thép, công suất 5,0 kW</v>
          </cell>
          <cell r="D118" t="str">
            <v>Ca</v>
          </cell>
          <cell r="E118">
            <v>0.32</v>
          </cell>
          <cell r="F118">
            <v>58907.142857142862</v>
          </cell>
          <cell r="G118">
            <v>18850.285714285717</v>
          </cell>
        </row>
        <row r="119">
          <cell r="A119" t="str">
            <v>AF.61130</v>
          </cell>
          <cell r="C119" t="str">
            <v>Gia công và Lắp dựng cốt thép móng cột, Đường kính cốt thép &gt; 18mm</v>
          </cell>
          <cell r="D119" t="str">
            <v>tấn</v>
          </cell>
          <cell r="H119">
            <v>106000</v>
          </cell>
          <cell r="I119">
            <v>1002521.78</v>
          </cell>
          <cell r="J119">
            <v>387240</v>
          </cell>
        </row>
        <row r="120">
          <cell r="C120" t="str">
            <v>Vật liệu</v>
          </cell>
          <cell r="G120">
            <v>106000</v>
          </cell>
        </row>
        <row r="121">
          <cell r="B121">
            <v>58</v>
          </cell>
          <cell r="C121" t="str">
            <v>+ Thép Đk &lt;=18 mm</v>
          </cell>
          <cell r="D121" t="str">
            <v>kg</v>
          </cell>
          <cell r="E121">
            <v>1020</v>
          </cell>
          <cell r="G121">
            <v>0</v>
          </cell>
        </row>
        <row r="122">
          <cell r="B122">
            <v>59</v>
          </cell>
          <cell r="C122" t="str">
            <v>+ Dây thép 1mm</v>
          </cell>
          <cell r="D122" t="str">
            <v>kg</v>
          </cell>
          <cell r="E122">
            <v>7.85</v>
          </cell>
          <cell r="G122">
            <v>0</v>
          </cell>
        </row>
        <row r="123">
          <cell r="B123">
            <v>19</v>
          </cell>
          <cell r="C123" t="str">
            <v>+ Que hàn</v>
          </cell>
          <cell r="D123" t="str">
            <v>kg</v>
          </cell>
          <cell r="E123">
            <v>5.3</v>
          </cell>
          <cell r="F123">
            <v>20000</v>
          </cell>
          <cell r="G123">
            <v>106000</v>
          </cell>
        </row>
        <row r="124">
          <cell r="C124" t="str">
            <v>Nhân công</v>
          </cell>
          <cell r="G124">
            <v>1002521.78</v>
          </cell>
        </row>
        <row r="125">
          <cell r="C125" t="str">
            <v>+ Nhân công bậc 3,5/7; 7,67 công/tấn</v>
          </cell>
          <cell r="D125" t="str">
            <v>Công</v>
          </cell>
          <cell r="E125">
            <v>5.59</v>
          </cell>
          <cell r="F125">
            <v>179342</v>
          </cell>
          <cell r="G125">
            <v>1002521.78</v>
          </cell>
        </row>
        <row r="126">
          <cell r="C126" t="str">
            <v>Máy thi công</v>
          </cell>
          <cell r="G126">
            <v>407272.45485714287</v>
          </cell>
        </row>
        <row r="127">
          <cell r="B127">
            <v>7006</v>
          </cell>
          <cell r="C127" t="str">
            <v>+ Biến thế hàn xoay chiều, công suất 23,0 kW</v>
          </cell>
          <cell r="D127" t="str">
            <v>Ca</v>
          </cell>
          <cell r="E127">
            <v>1.27</v>
          </cell>
          <cell r="F127">
            <v>313265.60000000003</v>
          </cell>
          <cell r="G127">
            <v>397847.31200000003</v>
          </cell>
        </row>
        <row r="128">
          <cell r="B128">
            <v>7015</v>
          </cell>
          <cell r="C128" t="str">
            <v>+ Máy cắt uốn cốt thép, công suất 5,0 kW</v>
          </cell>
          <cell r="D128" t="str">
            <v>Ca</v>
          </cell>
          <cell r="E128">
            <v>0.16</v>
          </cell>
          <cell r="F128">
            <v>58907.142857142862</v>
          </cell>
          <cell r="G128">
            <v>9425.1428571428587</v>
          </cell>
        </row>
        <row r="129">
          <cell r="A129" t="str">
            <v>AF.51122</v>
          </cell>
          <cell r="C129" t="str">
            <v>Công tác làm ván khuôn gỗ, đổ tại chỗ Cột vuông, chữ nhật</v>
          </cell>
          <cell r="D129" t="str">
            <v>100m2</v>
          </cell>
          <cell r="H129">
            <v>1606817.5</v>
          </cell>
          <cell r="I129">
            <v>6290125.6796052633</v>
          </cell>
        </row>
        <row r="130">
          <cell r="C130" t="str">
            <v>Vật liệu</v>
          </cell>
          <cell r="G130">
            <v>1606817.5</v>
          </cell>
        </row>
        <row r="131">
          <cell r="B131">
            <v>45</v>
          </cell>
          <cell r="C131" t="str">
            <v>+ Thép tấm</v>
          </cell>
          <cell r="D131" t="str">
            <v>kg</v>
          </cell>
        </row>
        <row r="132">
          <cell r="B132">
            <v>47</v>
          </cell>
          <cell r="C132" t="str">
            <v>+ Thép hình</v>
          </cell>
          <cell r="D132" t="str">
            <v>kg</v>
          </cell>
        </row>
        <row r="133">
          <cell r="C133" t="str">
            <v>Nhân công</v>
          </cell>
          <cell r="G133">
            <v>6290125.6796052633</v>
          </cell>
        </row>
        <row r="134">
          <cell r="C134" t="str">
            <v>+ Nhân công bậc 4,5/7; 29,7 công/ 100m2</v>
          </cell>
          <cell r="D134" t="str">
            <v>Công</v>
          </cell>
          <cell r="E134">
            <v>29.7</v>
          </cell>
          <cell r="F134">
            <v>211788.74342105264</v>
          </cell>
          <cell r="G134">
            <v>6290125.6796052633</v>
          </cell>
        </row>
        <row r="135">
          <cell r="A135" t="str">
            <v>AF.82521</v>
          </cell>
          <cell r="C135" t="str">
            <v>Công tác làm ván khuôn thép móng cột</v>
          </cell>
          <cell r="D135" t="str">
            <v>100m2</v>
          </cell>
          <cell r="H135">
            <v>1763808.375</v>
          </cell>
          <cell r="I135">
            <v>5205755.5144736841</v>
          </cell>
          <cell r="J135">
            <v>293968.43904000008</v>
          </cell>
        </row>
        <row r="136">
          <cell r="C136" t="str">
            <v>Vật liệu</v>
          </cell>
          <cell r="G136">
            <v>1763808.375</v>
          </cell>
        </row>
        <row r="137">
          <cell r="B137">
            <v>45</v>
          </cell>
          <cell r="C137" t="str">
            <v>+ Thép tấm</v>
          </cell>
          <cell r="D137" t="str">
            <v>kg</v>
          </cell>
          <cell r="E137">
            <v>51.81</v>
          </cell>
          <cell r="G137">
            <v>1606817.5</v>
          </cell>
        </row>
        <row r="138">
          <cell r="B138">
            <v>47</v>
          </cell>
          <cell r="C138" t="str">
            <v>+ Thép hình</v>
          </cell>
          <cell r="D138" t="str">
            <v>kg</v>
          </cell>
          <cell r="E138">
            <v>35.58</v>
          </cell>
        </row>
        <row r="139">
          <cell r="B139">
            <v>19</v>
          </cell>
          <cell r="C139" t="str">
            <v>+ Que hàn</v>
          </cell>
          <cell r="D139" t="str">
            <v>kg</v>
          </cell>
          <cell r="E139">
            <v>3.65</v>
          </cell>
          <cell r="F139">
            <v>20000</v>
          </cell>
          <cell r="G139">
            <v>73000</v>
          </cell>
        </row>
        <row r="140">
          <cell r="C140" t="str">
            <v>Vật liệu khác</v>
          </cell>
          <cell r="D140" t="str">
            <v>%</v>
          </cell>
          <cell r="E140">
            <v>5</v>
          </cell>
          <cell r="G140">
            <v>83990.875</v>
          </cell>
        </row>
        <row r="141">
          <cell r="C141" t="str">
            <v>Nhân công</v>
          </cell>
          <cell r="G141">
            <v>5205755.5144736841</v>
          </cell>
        </row>
        <row r="142">
          <cell r="C142" t="str">
            <v>+ Nhân công bậc 4,0/7; 26,73 công/ 100m2</v>
          </cell>
          <cell r="D142" t="str">
            <v>Công</v>
          </cell>
          <cell r="E142">
            <v>26.74</v>
          </cell>
          <cell r="F142">
            <v>194680.46052631579</v>
          </cell>
          <cell r="G142">
            <v>5205755.5144736841</v>
          </cell>
        </row>
        <row r="143">
          <cell r="C143" t="str">
            <v>Máy thi công</v>
          </cell>
          <cell r="G143">
            <v>293968.43904000008</v>
          </cell>
        </row>
        <row r="144">
          <cell r="B144">
            <v>7006</v>
          </cell>
          <cell r="C144" t="str">
            <v>+ Biến thế hàn xoay chiều, công suất 23,0 kW</v>
          </cell>
          <cell r="D144" t="str">
            <v>Ca</v>
          </cell>
          <cell r="E144">
            <v>0.92</v>
          </cell>
          <cell r="F144">
            <v>313265.60000000003</v>
          </cell>
          <cell r="G144">
            <v>288204.35200000007</v>
          </cell>
        </row>
        <row r="145">
          <cell r="B145">
            <v>7015</v>
          </cell>
          <cell r="C145" t="str">
            <v>Máy khác</v>
          </cell>
          <cell r="D145" t="str">
            <v>%</v>
          </cell>
          <cell r="E145">
            <v>2</v>
          </cell>
          <cell r="G145">
            <v>5764.0870400000013</v>
          </cell>
        </row>
        <row r="146">
          <cell r="A146" t="str">
            <v>AK.51120</v>
          </cell>
          <cell r="C146" t="str">
            <v xml:space="preserve">Lát gạch thẻ </v>
          </cell>
          <cell r="D146" t="str">
            <v>m2</v>
          </cell>
          <cell r="I146">
            <v>35868.400000000001</v>
          </cell>
        </row>
        <row r="147">
          <cell r="C147" t="str">
            <v>Nhân công</v>
          </cell>
          <cell r="G147">
            <v>35868.400000000001</v>
          </cell>
        </row>
        <row r="148">
          <cell r="C148" t="str">
            <v>+ Nhân công bậc 3,5/7; 0,2 công/ m2</v>
          </cell>
          <cell r="D148" t="str">
            <v>Công</v>
          </cell>
          <cell r="E148">
            <v>0.2</v>
          </cell>
          <cell r="F148">
            <v>179342</v>
          </cell>
          <cell r="G148">
            <v>35868.400000000001</v>
          </cell>
        </row>
        <row r="149">
          <cell r="A149" t="str">
            <v>AK.55310</v>
          </cell>
          <cell r="C149" t="str">
            <v>Lát gạch xi măng tự chèn chiều dày 5,5cm</v>
          </cell>
          <cell r="D149" t="str">
            <v>m2</v>
          </cell>
          <cell r="I149">
            <v>29202.069078947367</v>
          </cell>
        </row>
        <row r="150">
          <cell r="C150" t="str">
            <v>Nhân công</v>
          </cell>
          <cell r="G150">
            <v>29202.069078947367</v>
          </cell>
        </row>
        <row r="151">
          <cell r="B151" t="str">
            <v>NC1407</v>
          </cell>
          <cell r="C151" t="str">
            <v>+ Nhân công bậc 4,0/7</v>
          </cell>
          <cell r="D151" t="str">
            <v>Công</v>
          </cell>
          <cell r="E151">
            <v>0.15</v>
          </cell>
          <cell r="F151">
            <v>194680.46052631579</v>
          </cell>
          <cell r="G151">
            <v>29202.069078947367</v>
          </cell>
        </row>
        <row r="152">
          <cell r="A152" t="str">
            <v>AA.22221</v>
          </cell>
          <cell r="C152" t="str">
            <v>Phá dỡ gạch đá bằng máy khoan bê tông</v>
          </cell>
          <cell r="D152" t="str">
            <v>m3</v>
          </cell>
          <cell r="I152">
            <v>270605.84013157891</v>
          </cell>
          <cell r="J152">
            <v>154633.18000000002</v>
          </cell>
        </row>
        <row r="153">
          <cell r="C153" t="str">
            <v>Nhân công</v>
          </cell>
          <cell r="G153">
            <v>270605.84013157891</v>
          </cell>
        </row>
        <row r="154">
          <cell r="C154" t="str">
            <v>+ Nhân công bậc 3,0/7; 1,65 công/ m3</v>
          </cell>
          <cell r="D154" t="str">
            <v>Công</v>
          </cell>
          <cell r="E154">
            <v>1.65</v>
          </cell>
          <cell r="F154">
            <v>164003.53947368418</v>
          </cell>
          <cell r="G154">
            <v>270605.84013157891</v>
          </cell>
        </row>
        <row r="155">
          <cell r="C155" t="str">
            <v>Máy thi công</v>
          </cell>
          <cell r="G155">
            <v>154633.18000000002</v>
          </cell>
        </row>
        <row r="156">
          <cell r="B156">
            <v>8020</v>
          </cell>
          <cell r="C156" t="str">
            <v>Máy khoan bê tông &lt;= 1,5kW</v>
          </cell>
          <cell r="D156" t="str">
            <v>Ca</v>
          </cell>
          <cell r="E156">
            <v>0.65</v>
          </cell>
          <cell r="F156">
            <v>237897.2</v>
          </cell>
          <cell r="G156">
            <v>154633.18000000002</v>
          </cell>
        </row>
        <row r="157">
          <cell r="A157" t="str">
            <v>AA.22212</v>
          </cell>
          <cell r="C157" t="str">
            <v>Phá dỡ nền bê tông không cốt thép</v>
          </cell>
          <cell r="D157" t="str">
            <v>m3</v>
          </cell>
          <cell r="I157">
            <v>337162.95999999996</v>
          </cell>
          <cell r="J157">
            <v>171285.984</v>
          </cell>
        </row>
        <row r="158">
          <cell r="C158" t="str">
            <v>Nhân công</v>
          </cell>
          <cell r="G158">
            <v>337162.95999999996</v>
          </cell>
        </row>
        <row r="159">
          <cell r="C159" t="str">
            <v>+ Nhân công bậc 3,5/7; 3,52 công/ m3</v>
          </cell>
          <cell r="D159" t="str">
            <v>Công</v>
          </cell>
          <cell r="E159">
            <v>1.88</v>
          </cell>
          <cell r="F159">
            <v>179342</v>
          </cell>
          <cell r="G159">
            <v>337162.95999999996</v>
          </cell>
        </row>
        <row r="160">
          <cell r="C160" t="str">
            <v>Máy thi công</v>
          </cell>
          <cell r="G160">
            <v>171285.984</v>
          </cell>
        </row>
        <row r="161">
          <cell r="B161">
            <v>8020</v>
          </cell>
          <cell r="C161" t="str">
            <v>Máy khoan bê tông &lt;= 1,5kW</v>
          </cell>
          <cell r="D161" t="str">
            <v>Ca</v>
          </cell>
          <cell r="E161">
            <v>0.72</v>
          </cell>
          <cell r="F161">
            <v>237897.2</v>
          </cell>
          <cell r="G161">
            <v>171285.984</v>
          </cell>
        </row>
        <row r="162">
          <cell r="A162" t="str">
            <v>AF.15410</v>
          </cell>
          <cell r="C162" t="str">
            <v>Công tác bê tông mặt đường chiều dày nhỏ hơn 25cm</v>
          </cell>
          <cell r="D162" t="str">
            <v>tấn</v>
          </cell>
          <cell r="H162">
            <v>940412.78106562479</v>
          </cell>
          <cell r="I162">
            <v>266712.23092105263</v>
          </cell>
          <cell r="J162">
            <v>57214.283479999998</v>
          </cell>
        </row>
        <row r="163">
          <cell r="C163" t="str">
            <v>Vật liệu</v>
          </cell>
          <cell r="G163">
            <v>940412.78106562479</v>
          </cell>
        </row>
        <row r="164">
          <cell r="B164" t="str">
            <v>CTBT</v>
          </cell>
          <cell r="C164" t="str">
            <v>Bê tông M200 đá 1x2</v>
          </cell>
          <cell r="D164" t="str">
            <v>m3</v>
          </cell>
          <cell r="E164">
            <v>1.0249999999999999</v>
          </cell>
          <cell r="F164">
            <v>822504.17499999993</v>
          </cell>
          <cell r="G164">
            <v>843066.77937499981</v>
          </cell>
        </row>
        <row r="165">
          <cell r="B165">
            <v>46</v>
          </cell>
          <cell r="C165" t="str">
            <v>Gỗ làm khe co dãn</v>
          </cell>
          <cell r="D165" t="str">
            <v>m3</v>
          </cell>
          <cell r="E165">
            <v>1.4E-2</v>
          </cell>
          <cell r="F165">
            <v>2300000</v>
          </cell>
          <cell r="G165">
            <v>32200</v>
          </cell>
        </row>
        <row r="166">
          <cell r="B166">
            <v>72</v>
          </cell>
          <cell r="C166" t="str">
            <v>Nhựa đường</v>
          </cell>
          <cell r="D166" t="str">
            <v>kg</v>
          </cell>
          <cell r="E166">
            <v>3.5</v>
          </cell>
          <cell r="F166">
            <v>15000</v>
          </cell>
          <cell r="G166">
            <v>52500</v>
          </cell>
        </row>
        <row r="167">
          <cell r="C167" t="str">
            <v>Vật liệu khác</v>
          </cell>
          <cell r="D167" t="str">
            <v>%</v>
          </cell>
          <cell r="E167">
            <v>1.5</v>
          </cell>
          <cell r="G167">
            <v>12646.001690624997</v>
          </cell>
        </row>
        <row r="168">
          <cell r="C168" t="str">
            <v>Nhân công</v>
          </cell>
          <cell r="G168">
            <v>266712.23092105263</v>
          </cell>
        </row>
        <row r="169">
          <cell r="B169" t="str">
            <v>NC1407</v>
          </cell>
          <cell r="C169" t="str">
            <v>+ Nhân công bậc 3,5/7</v>
          </cell>
          <cell r="D169" t="str">
            <v>Công</v>
          </cell>
          <cell r="E169">
            <v>1.37</v>
          </cell>
          <cell r="F169">
            <v>194680.46052631579</v>
          </cell>
          <cell r="G169">
            <v>266712.23092105263</v>
          </cell>
        </row>
        <row r="170">
          <cell r="C170" t="str">
            <v>Máy thi công</v>
          </cell>
          <cell r="G170">
            <v>57214.283479999998</v>
          </cell>
        </row>
        <row r="171">
          <cell r="B171">
            <v>8020</v>
          </cell>
          <cell r="C171" t="str">
            <v>Máy trộn 250l</v>
          </cell>
          <cell r="D171" t="str">
            <v>ca</v>
          </cell>
          <cell r="E171">
            <v>9.5000000000000001E-2</v>
          </cell>
          <cell r="F171">
            <v>237897.2</v>
          </cell>
          <cell r="G171">
            <v>22600.234</v>
          </cell>
        </row>
        <row r="172">
          <cell r="B172">
            <v>7060</v>
          </cell>
          <cell r="C172" t="str">
            <v>Máy đầm bàn 1kW</v>
          </cell>
          <cell r="D172" t="str">
            <v>ca</v>
          </cell>
          <cell r="E172">
            <v>8.8999999999999996E-2</v>
          </cell>
          <cell r="F172">
            <v>189968.39999999997</v>
          </cell>
          <cell r="G172">
            <v>16907.187599999997</v>
          </cell>
        </row>
        <row r="173">
          <cell r="B173">
            <v>8022</v>
          </cell>
          <cell r="C173" t="str">
            <v>Máy đầm dùi 1,5kW</v>
          </cell>
          <cell r="D173" t="str">
            <v>ca</v>
          </cell>
          <cell r="E173">
            <v>8.8999999999999996E-2</v>
          </cell>
          <cell r="F173">
            <v>193874.8</v>
          </cell>
          <cell r="G173">
            <v>17254.857199999999</v>
          </cell>
        </row>
        <row r="174">
          <cell r="C174" t="str">
            <v>Máy khác</v>
          </cell>
          <cell r="D174" t="str">
            <v>%</v>
          </cell>
          <cell r="E174">
            <v>2</v>
          </cell>
          <cell r="G174">
            <v>452.00468000000001</v>
          </cell>
        </row>
        <row r="175">
          <cell r="A175" t="str">
            <v>AC.11112</v>
          </cell>
          <cell r="C175" t="str">
            <v>Đóng cọc tre chiều dài ngập đất &gt;2,5m vào đất cấp II</v>
          </cell>
          <cell r="D175" t="str">
            <v>100m</v>
          </cell>
          <cell r="I175">
            <v>258252.47999999998</v>
          </cell>
        </row>
        <row r="176">
          <cell r="C176" t="str">
            <v>Vật liệu</v>
          </cell>
          <cell r="G176">
            <v>692265</v>
          </cell>
        </row>
        <row r="177">
          <cell r="B177">
            <v>60</v>
          </cell>
          <cell r="C177" t="str">
            <v>+ Cọc tre dài &gt;2,5m</v>
          </cell>
          <cell r="D177" t="str">
            <v>m</v>
          </cell>
          <cell r="E177">
            <v>105</v>
          </cell>
          <cell r="F177">
            <v>3700</v>
          </cell>
          <cell r="G177">
            <v>388500</v>
          </cell>
        </row>
        <row r="178">
          <cell r="B178">
            <v>49</v>
          </cell>
          <cell r="C178" t="str">
            <v>+ Cây chống</v>
          </cell>
          <cell r="D178" t="str">
            <v>cây</v>
          </cell>
          <cell r="E178">
            <v>1.56</v>
          </cell>
          <cell r="F178">
            <v>35000</v>
          </cell>
          <cell r="G178">
            <v>54600</v>
          </cell>
        </row>
        <row r="179">
          <cell r="B179">
            <v>46</v>
          </cell>
          <cell r="C179" t="str">
            <v>+ Gỗ ván khuôn</v>
          </cell>
          <cell r="D179" t="str">
            <v>M3</v>
          </cell>
          <cell r="E179">
            <v>9.4E-2</v>
          </cell>
          <cell r="F179">
            <v>2300000</v>
          </cell>
          <cell r="G179">
            <v>216200</v>
          </cell>
        </row>
        <row r="180">
          <cell r="B180">
            <v>137</v>
          </cell>
          <cell r="C180" t="str">
            <v>Vật liệu khác</v>
          </cell>
          <cell r="D180" t="str">
            <v>%</v>
          </cell>
          <cell r="E180">
            <v>5</v>
          </cell>
          <cell r="G180">
            <v>32965</v>
          </cell>
        </row>
        <row r="181">
          <cell r="C181" t="str">
            <v>Nhân công</v>
          </cell>
          <cell r="G181">
            <v>258252.47999999998</v>
          </cell>
        </row>
        <row r="182">
          <cell r="C182" t="str">
            <v>+ Nhân công bậc 3,5/7; 1,44 công/100m</v>
          </cell>
          <cell r="D182" t="str">
            <v>Công</v>
          </cell>
          <cell r="E182">
            <v>1.44</v>
          </cell>
          <cell r="F182">
            <v>179342</v>
          </cell>
          <cell r="G182">
            <v>258252.47999999998</v>
          </cell>
        </row>
        <row r="183">
          <cell r="A183" t="str">
            <v>AD.21217</v>
          </cell>
          <cell r="C183" t="str">
            <v>Làm mặt đường nhựa cấp phối đá dăm loại 1</v>
          </cell>
          <cell r="D183" t="str">
            <v>m2</v>
          </cell>
          <cell r="H183">
            <v>46517</v>
          </cell>
          <cell r="I183">
            <v>7050.0874046052631</v>
          </cell>
          <cell r="J183">
            <v>25113.189816758972</v>
          </cell>
        </row>
        <row r="184">
          <cell r="C184" t="str">
            <v>Vật liệu</v>
          </cell>
          <cell r="G184">
            <v>4651700</v>
          </cell>
        </row>
        <row r="185">
          <cell r="C185" t="str">
            <v>Cấp phối đá dăm loại 1</v>
          </cell>
          <cell r="D185" t="str">
            <v>m3</v>
          </cell>
          <cell r="E185">
            <v>25.7</v>
          </cell>
          <cell r="F185">
            <v>181000</v>
          </cell>
          <cell r="G185">
            <v>4651700</v>
          </cell>
        </row>
        <row r="186">
          <cell r="C186" t="str">
            <v>Nhân công</v>
          </cell>
          <cell r="G186">
            <v>705008.74046052631</v>
          </cell>
        </row>
        <row r="187">
          <cell r="C187" t="str">
            <v>+ Nhân công bậc 2,5/7</v>
          </cell>
          <cell r="D187" t="str">
            <v>Công</v>
          </cell>
          <cell r="E187">
            <v>4.6500000000000004</v>
          </cell>
          <cell r="F187">
            <v>151614.78289473683</v>
          </cell>
          <cell r="G187">
            <v>705008.74046052631</v>
          </cell>
        </row>
        <row r="188">
          <cell r="C188" t="str">
            <v>Máy thi công</v>
          </cell>
          <cell r="G188">
            <v>2511318.9816758973</v>
          </cell>
        </row>
        <row r="189">
          <cell r="B189">
            <v>8050</v>
          </cell>
          <cell r="C189" t="str">
            <v>Máy lu 8,5T</v>
          </cell>
          <cell r="D189" t="str">
            <v>ca</v>
          </cell>
          <cell r="E189">
            <v>2.17</v>
          </cell>
          <cell r="F189">
            <v>1121439.5466666666</v>
          </cell>
          <cell r="G189">
            <v>2433523.8162666666</v>
          </cell>
        </row>
        <row r="190">
          <cell r="B190">
            <v>8054</v>
          </cell>
          <cell r="C190" t="str">
            <v>Ô tô tưới nước 5m3</v>
          </cell>
          <cell r="D190" t="str">
            <v>ca</v>
          </cell>
          <cell r="E190">
            <v>7.9000000000000001E-2</v>
          </cell>
          <cell r="F190">
            <v>984748.92923076916</v>
          </cell>
          <cell r="G190">
            <v>77795.165409230758</v>
          </cell>
        </row>
        <row r="191">
          <cell r="A191" t="str">
            <v>AD.21228</v>
          </cell>
          <cell r="C191" t="str">
            <v>Làm mặt đường nhựa cấp phối đá dăm loại 2</v>
          </cell>
          <cell r="D191" t="str">
            <v>m2</v>
          </cell>
          <cell r="H191">
            <v>48837.599999999999</v>
          </cell>
          <cell r="I191">
            <v>5321.6788796052624</v>
          </cell>
          <cell r="J191">
            <v>20601.710734666663</v>
          </cell>
        </row>
        <row r="192">
          <cell r="C192" t="str">
            <v>Vật liệu</v>
          </cell>
          <cell r="G192">
            <v>4883760</v>
          </cell>
        </row>
        <row r="193">
          <cell r="C193" t="str">
            <v>Cấp phối đá dăm loại 2</v>
          </cell>
          <cell r="D193" t="str">
            <v>m3</v>
          </cell>
          <cell r="E193">
            <v>28.56</v>
          </cell>
          <cell r="F193">
            <v>171000</v>
          </cell>
          <cell r="G193">
            <v>4883760</v>
          </cell>
        </row>
        <row r="194">
          <cell r="C194" t="str">
            <v>Nhân công</v>
          </cell>
          <cell r="G194">
            <v>532167.88796052628</v>
          </cell>
        </row>
        <row r="195">
          <cell r="C195" t="str">
            <v>+ Nhân công bậc 2,5/7</v>
          </cell>
          <cell r="D195" t="str">
            <v>Công</v>
          </cell>
          <cell r="E195">
            <v>3.51</v>
          </cell>
          <cell r="F195">
            <v>151614.78289473683</v>
          </cell>
          <cell r="G195">
            <v>532167.88796052628</v>
          </cell>
        </row>
        <row r="196">
          <cell r="C196" t="str">
            <v>Máy thi công</v>
          </cell>
          <cell r="G196">
            <v>2060171.0734666665</v>
          </cell>
        </row>
        <row r="197">
          <cell r="B197">
            <v>8050</v>
          </cell>
          <cell r="C197" t="str">
            <v>Máy lu 8,5T</v>
          </cell>
          <cell r="D197" t="str">
            <v>ca</v>
          </cell>
          <cell r="E197">
            <v>1.78</v>
          </cell>
          <cell r="F197">
            <v>1121439.5466666666</v>
          </cell>
          <cell r="G197">
            <v>1996162.3930666666</v>
          </cell>
        </row>
        <row r="198">
          <cell r="B198">
            <v>8054</v>
          </cell>
          <cell r="C198" t="str">
            <v>Ô tô tưới nước 5m3</v>
          </cell>
          <cell r="D198" t="str">
            <v>ca</v>
          </cell>
          <cell r="E198">
            <v>6.5000000000000002E-2</v>
          </cell>
          <cell r="F198">
            <v>984748.92923076916</v>
          </cell>
          <cell r="G198">
            <v>64008.680399999997</v>
          </cell>
        </row>
        <row r="199">
          <cell r="A199" t="str">
            <v>AD.23215</v>
          </cell>
          <cell r="C199" t="str">
            <v>Rải thảm mặt đường bê tông nhựa hạt thô</v>
          </cell>
          <cell r="D199" t="str">
            <v>m2</v>
          </cell>
          <cell r="H199">
            <v>406500.00000000006</v>
          </cell>
          <cell r="I199">
            <v>4867.0115131578941</v>
          </cell>
          <cell r="J199">
            <v>6080.7352696350663</v>
          </cell>
        </row>
        <row r="200">
          <cell r="C200" t="str">
            <v>Vật liệu</v>
          </cell>
          <cell r="G200">
            <v>40650000.000000007</v>
          </cell>
        </row>
        <row r="201">
          <cell r="C201" t="str">
            <v>Bê tông nhựa</v>
          </cell>
          <cell r="D201" t="str">
            <v>tấn</v>
          </cell>
          <cell r="E201">
            <v>16.260000000000002</v>
          </cell>
          <cell r="F201">
            <v>2500000</v>
          </cell>
          <cell r="G201">
            <v>40650000.000000007</v>
          </cell>
        </row>
        <row r="202">
          <cell r="C202" t="str">
            <v>Nhân công</v>
          </cell>
          <cell r="G202">
            <v>486701.15131578944</v>
          </cell>
        </row>
        <row r="203">
          <cell r="C203" t="str">
            <v>+ Nhân công bậc 4,0/7</v>
          </cell>
          <cell r="D203" t="str">
            <v>Công</v>
          </cell>
          <cell r="E203">
            <v>2.5</v>
          </cell>
          <cell r="F203">
            <v>194680.46052631579</v>
          </cell>
          <cell r="G203">
            <v>486701.15131578944</v>
          </cell>
        </row>
        <row r="204">
          <cell r="C204" t="str">
            <v>Máy thi công</v>
          </cell>
          <cell r="G204">
            <v>608073.52696350659</v>
          </cell>
        </row>
        <row r="205">
          <cell r="B205">
            <v>8056</v>
          </cell>
          <cell r="C205" t="str">
            <v>Máy rải 130-140CV</v>
          </cell>
          <cell r="D205" t="str">
            <v>ca</v>
          </cell>
          <cell r="E205">
            <v>5.8700000000000002E-2</v>
          </cell>
          <cell r="F205">
            <v>4899534.126666666</v>
          </cell>
          <cell r="G205">
            <v>287602.65323533333</v>
          </cell>
        </row>
        <row r="206">
          <cell r="B206">
            <v>8051</v>
          </cell>
          <cell r="C206" t="str">
            <v>Máy lu 10T</v>
          </cell>
          <cell r="D206" t="str">
            <v>ca</v>
          </cell>
          <cell r="E206">
            <v>0.12</v>
          </cell>
          <cell r="F206">
            <v>1811634.1244444444</v>
          </cell>
          <cell r="G206">
            <v>217396.09493333331</v>
          </cell>
        </row>
        <row r="207">
          <cell r="B207">
            <v>8057</v>
          </cell>
          <cell r="C207" t="str">
            <v>Máy đầm bánh lốp 16T</v>
          </cell>
          <cell r="D207" t="str">
            <v>ca</v>
          </cell>
          <cell r="E207">
            <v>6.4000000000000001E-2</v>
          </cell>
          <cell r="F207">
            <v>1424246.3822222224</v>
          </cell>
          <cell r="G207">
            <v>91151.76846222223</v>
          </cell>
        </row>
        <row r="208">
          <cell r="C208" t="str">
            <v>Máy khác</v>
          </cell>
          <cell r="D208" t="str">
            <v>%</v>
          </cell>
          <cell r="E208">
            <v>2</v>
          </cell>
          <cell r="G208">
            <v>11923.010332617776</v>
          </cell>
        </row>
        <row r="209">
          <cell r="A209" t="str">
            <v>AD.23233</v>
          </cell>
          <cell r="C209" t="str">
            <v>Rải thảm mặt đường bê tông nhựa hạt mịn</v>
          </cell>
          <cell r="D209" t="str">
            <v>m2</v>
          </cell>
          <cell r="H209">
            <v>302999.99999999994</v>
          </cell>
          <cell r="I209">
            <v>3601.588519736842</v>
          </cell>
          <cell r="J209">
            <v>5396.0743707746651</v>
          </cell>
        </row>
        <row r="210">
          <cell r="C210" t="str">
            <v>Vật liệu</v>
          </cell>
          <cell r="G210">
            <v>30299999.999999996</v>
          </cell>
        </row>
        <row r="211">
          <cell r="C211" t="str">
            <v>Bê tông nhựa</v>
          </cell>
          <cell r="D211" t="str">
            <v>tấn</v>
          </cell>
          <cell r="E211">
            <v>12.12</v>
          </cell>
          <cell r="F211">
            <v>2500000</v>
          </cell>
          <cell r="G211">
            <v>30299999.999999996</v>
          </cell>
        </row>
        <row r="212">
          <cell r="C212" t="str">
            <v>Nhân công</v>
          </cell>
          <cell r="G212">
            <v>360158.85197368421</v>
          </cell>
        </row>
        <row r="213">
          <cell r="C213" t="str">
            <v>+ Nhân công bậc 4,0/7</v>
          </cell>
          <cell r="D213" t="str">
            <v>Công</v>
          </cell>
          <cell r="E213">
            <v>1.85</v>
          </cell>
          <cell r="F213">
            <v>194680.46052631579</v>
          </cell>
          <cell r="G213">
            <v>360158.85197368421</v>
          </cell>
        </row>
        <row r="214">
          <cell r="C214" t="str">
            <v>Máy thi công</v>
          </cell>
          <cell r="G214">
            <v>539607.43707746651</v>
          </cell>
        </row>
        <row r="215">
          <cell r="B215">
            <v>8056</v>
          </cell>
          <cell r="C215" t="str">
            <v>Máy rải 130-140CV</v>
          </cell>
          <cell r="D215" t="str">
            <v>ca</v>
          </cell>
          <cell r="E215">
            <v>4.4999999999999998E-2</v>
          </cell>
          <cell r="F215">
            <v>4899534.126666666</v>
          </cell>
          <cell r="G215">
            <v>220479.03569999995</v>
          </cell>
        </row>
        <row r="216">
          <cell r="B216">
            <v>8051</v>
          </cell>
          <cell r="C216" t="str">
            <v>Máy lu 10T</v>
          </cell>
          <cell r="D216" t="str">
            <v>ca</v>
          </cell>
          <cell r="E216">
            <v>0.12</v>
          </cell>
          <cell r="F216">
            <v>1811634.1244444444</v>
          </cell>
          <cell r="G216">
            <v>217396.09493333331</v>
          </cell>
        </row>
        <row r="217">
          <cell r="B217">
            <v>8057</v>
          </cell>
          <cell r="C217" t="str">
            <v>Máy đầm bánh lốp 16T</v>
          </cell>
          <cell r="D217" t="str">
            <v>ca</v>
          </cell>
          <cell r="E217">
            <v>6.4000000000000001E-2</v>
          </cell>
          <cell r="F217">
            <v>1424246.3822222224</v>
          </cell>
          <cell r="G217">
            <v>91151.76846222223</v>
          </cell>
        </row>
        <row r="218">
          <cell r="C218" t="str">
            <v>Máy khác</v>
          </cell>
          <cell r="D218" t="str">
            <v>%</v>
          </cell>
          <cell r="E218">
            <v>2</v>
          </cell>
          <cell r="G218">
            <v>10580.537981911109</v>
          </cell>
        </row>
      </sheetData>
      <sheetData sheetId="6">
        <row r="3">
          <cell r="A3" t="str">
            <v>MÃ HIỆU</v>
          </cell>
          <cell r="B3" t="str">
            <v>MÃ HIỆU</v>
          </cell>
          <cell r="C3" t="str">
            <v>CÔNG TÁC XÂY LẮP</v>
          </cell>
          <cell r="D3" t="str">
            <v>ĐƠN</v>
          </cell>
          <cell r="E3" t="str">
            <v>ĐỊNH MỨC</v>
          </cell>
          <cell r="F3" t="str">
            <v>ĐƠN</v>
          </cell>
          <cell r="G3" t="str">
            <v>THÀNH</v>
          </cell>
          <cell r="I3" t="str">
            <v>Đơn giá</v>
          </cell>
        </row>
        <row r="4">
          <cell r="A4" t="str">
            <v>ĐỊNH MỨC</v>
          </cell>
          <cell r="B4" t="str">
            <v>VẬT TƯ</v>
          </cell>
          <cell r="C4" t="str">
            <v>TÊN LOẠI VẬT LIỆU, NHÂN CÔNG, MÁY THI CÔNG</v>
          </cell>
          <cell r="D4" t="str">
            <v>VỊ</v>
          </cell>
          <cell r="E4" t="str">
            <v>CHÍNH</v>
          </cell>
          <cell r="F4" t="str">
            <v>GIÁ</v>
          </cell>
          <cell r="G4" t="str">
            <v>TIỀN</v>
          </cell>
          <cell r="H4" t="str">
            <v>Vật liệu</v>
          </cell>
          <cell r="I4" t="str">
            <v>Nhân công</v>
          </cell>
          <cell r="J4" t="str">
            <v>MTC</v>
          </cell>
        </row>
        <row r="5">
          <cell r="A5" t="str">
            <v>EA.22110</v>
          </cell>
          <cell r="C5" t="str">
            <v>Máy biến áp 3 pha ≤ 1MVA</v>
          </cell>
          <cell r="H5">
            <v>54900</v>
          </cell>
          <cell r="I5">
            <v>1822610.0713157896</v>
          </cell>
          <cell r="J5">
            <v>296991.80475000001</v>
          </cell>
        </row>
        <row r="6">
          <cell r="C6" t="str">
            <v>Vật liệu</v>
          </cell>
          <cell r="G6">
            <v>54900</v>
          </cell>
        </row>
        <row r="7">
          <cell r="B7">
            <v>137</v>
          </cell>
          <cell r="C7" t="str">
            <v>Điện năng</v>
          </cell>
          <cell r="D7" t="str">
            <v>KWh</v>
          </cell>
          <cell r="E7">
            <v>1.8</v>
          </cell>
          <cell r="F7">
            <v>1500</v>
          </cell>
          <cell r="G7">
            <v>2700</v>
          </cell>
        </row>
        <row r="8">
          <cell r="B8">
            <v>6</v>
          </cell>
          <cell r="C8" t="str">
            <v>Vải phin trắng 0,8m</v>
          </cell>
          <cell r="D8" t="str">
            <v>m</v>
          </cell>
          <cell r="E8">
            <v>0.45</v>
          </cell>
          <cell r="F8">
            <v>15000</v>
          </cell>
          <cell r="G8">
            <v>6750</v>
          </cell>
        </row>
        <row r="9">
          <cell r="B9">
            <v>9</v>
          </cell>
          <cell r="C9" t="str">
            <v>giẻ lau</v>
          </cell>
          <cell r="D9" t="str">
            <v>kg</v>
          </cell>
          <cell r="E9">
            <v>0.45</v>
          </cell>
          <cell r="F9">
            <v>9500</v>
          </cell>
          <cell r="G9">
            <v>4275</v>
          </cell>
        </row>
        <row r="10">
          <cell r="B10">
            <v>25</v>
          </cell>
          <cell r="C10" t="str">
            <v>Băng cách điện</v>
          </cell>
          <cell r="D10" t="str">
            <v>cuộn</v>
          </cell>
          <cell r="E10">
            <v>0.9</v>
          </cell>
          <cell r="F10">
            <v>8000</v>
          </cell>
          <cell r="G10">
            <v>7200</v>
          </cell>
        </row>
        <row r="11">
          <cell r="B11">
            <v>1</v>
          </cell>
          <cell r="C11" t="str">
            <v>Cồn công nghiệp</v>
          </cell>
          <cell r="D11" t="str">
            <v>kg</v>
          </cell>
          <cell r="E11">
            <v>0.45</v>
          </cell>
          <cell r="F11">
            <v>9500</v>
          </cell>
          <cell r="G11">
            <v>4275</v>
          </cell>
        </row>
        <row r="12">
          <cell r="B12">
            <v>4</v>
          </cell>
          <cell r="C12" t="str">
            <v>giấy nhám số 0</v>
          </cell>
          <cell r="D12" t="str">
            <v>tờ</v>
          </cell>
          <cell r="E12">
            <v>0.45</v>
          </cell>
          <cell r="F12">
            <v>10000</v>
          </cell>
          <cell r="G12">
            <v>4500</v>
          </cell>
        </row>
        <row r="13">
          <cell r="B13">
            <v>148</v>
          </cell>
          <cell r="C13" t="str">
            <v>dây điện 2x1,5mm2</v>
          </cell>
          <cell r="D13" t="str">
            <v>m</v>
          </cell>
          <cell r="E13">
            <v>1.8</v>
          </cell>
          <cell r="F13">
            <v>7500</v>
          </cell>
          <cell r="G13">
            <v>13500</v>
          </cell>
        </row>
        <row r="14">
          <cell r="B14">
            <v>149</v>
          </cell>
          <cell r="C14" t="str">
            <v>cáp bọc 4x2,5mm2</v>
          </cell>
          <cell r="D14" t="str">
            <v>m</v>
          </cell>
          <cell r="E14">
            <v>0.45</v>
          </cell>
          <cell r="F14">
            <v>26000</v>
          </cell>
          <cell r="G14">
            <v>11700</v>
          </cell>
        </row>
        <row r="15">
          <cell r="C15" t="str">
            <v>Nhân công</v>
          </cell>
          <cell r="G15">
            <v>1822610.0713157896</v>
          </cell>
        </row>
        <row r="16">
          <cell r="B16" t="str">
            <v>KS4</v>
          </cell>
          <cell r="C16" t="str">
            <v>+ Kỹ sư bậc 4,0/8</v>
          </cell>
          <cell r="D16" t="str">
            <v>Công</v>
          </cell>
          <cell r="E16">
            <v>5.44</v>
          </cell>
          <cell r="F16">
            <v>237000</v>
          </cell>
          <cell r="G16">
            <v>1289280</v>
          </cell>
        </row>
        <row r="17">
          <cell r="B17" t="str">
            <v>NC1507</v>
          </cell>
          <cell r="C17" t="str">
            <v>+ Nhân công bậc 5,0/7</v>
          </cell>
          <cell r="D17" t="str">
            <v>Công</v>
          </cell>
          <cell r="E17">
            <v>2.33</v>
          </cell>
          <cell r="F17">
            <v>228897.02631578947</v>
          </cell>
          <cell r="G17">
            <v>533330.07131578948</v>
          </cell>
        </row>
        <row r="18">
          <cell r="C18" t="str">
            <v>Máy thi công</v>
          </cell>
          <cell r="G18">
            <v>296991.80475000001</v>
          </cell>
        </row>
        <row r="19">
          <cell r="B19">
            <v>7068</v>
          </cell>
          <cell r="C19" t="str">
            <v>Mê gôm mét</v>
          </cell>
          <cell r="D19" t="str">
            <v>ca</v>
          </cell>
          <cell r="E19">
            <v>0.18</v>
          </cell>
          <cell r="F19">
            <v>37834.5</v>
          </cell>
          <cell r="G19">
            <v>6810.21</v>
          </cell>
        </row>
        <row r="20">
          <cell r="B20">
            <v>7069</v>
          </cell>
          <cell r="C20" t="str">
            <v>Hợp bộ thí nghiệm cao áp</v>
          </cell>
          <cell r="D20" t="str">
            <v>ca</v>
          </cell>
          <cell r="E20">
            <v>0.22700000000000001</v>
          </cell>
          <cell r="F20">
            <v>380669.25</v>
          </cell>
          <cell r="G20">
            <v>86411.919750000001</v>
          </cell>
        </row>
        <row r="21">
          <cell r="B21">
            <v>7076</v>
          </cell>
          <cell r="C21" t="str">
            <v>Hợp bộ đo lường</v>
          </cell>
          <cell r="D21" t="str">
            <v>ca</v>
          </cell>
          <cell r="E21">
            <v>0.22500000000000001</v>
          </cell>
          <cell r="F21">
            <v>709659</v>
          </cell>
          <cell r="G21">
            <v>159673.27499999999</v>
          </cell>
        </row>
        <row r="22">
          <cell r="B22">
            <v>7082</v>
          </cell>
          <cell r="C22" t="str">
            <v>Hợp bộ đo tgδ</v>
          </cell>
          <cell r="D22" t="str">
            <v>ca</v>
          </cell>
          <cell r="E22">
            <v>0</v>
          </cell>
          <cell r="F22">
            <v>750675</v>
          </cell>
          <cell r="G22">
            <v>0</v>
          </cell>
        </row>
        <row r="23">
          <cell r="B23">
            <v>7077</v>
          </cell>
          <cell r="C23" t="str">
            <v>Máy đo điện trở một chiều</v>
          </cell>
          <cell r="E23">
            <v>0.18</v>
          </cell>
          <cell r="F23">
            <v>134743.49999999997</v>
          </cell>
          <cell r="G23">
            <v>24253.829999999994</v>
          </cell>
        </row>
        <row r="24">
          <cell r="B24">
            <v>7078</v>
          </cell>
          <cell r="C24" t="str">
            <v>Máy đo tỷ số biến</v>
          </cell>
          <cell r="D24" t="str">
            <v>ca</v>
          </cell>
          <cell r="E24">
            <v>0.36</v>
          </cell>
          <cell r="F24">
            <v>55118.249999999993</v>
          </cell>
          <cell r="G24">
            <v>19842.569999999996</v>
          </cell>
        </row>
        <row r="25">
          <cell r="A25" t="str">
            <v>EA.22120</v>
          </cell>
          <cell r="C25" t="str">
            <v>Máy biến áp 3 pha &gt; 1MVA</v>
          </cell>
          <cell r="H25">
            <v>61000</v>
          </cell>
          <cell r="I25">
            <v>2024323.2981578945</v>
          </cell>
          <cell r="J25">
            <v>490825.47600000002</v>
          </cell>
        </row>
        <row r="26">
          <cell r="C26" t="str">
            <v>Vật liệu</v>
          </cell>
          <cell r="G26">
            <v>61000</v>
          </cell>
        </row>
        <row r="27">
          <cell r="B27">
            <v>137</v>
          </cell>
          <cell r="C27" t="str">
            <v>Điện năng</v>
          </cell>
          <cell r="D27" t="str">
            <v>KWh</v>
          </cell>
          <cell r="E27">
            <v>2</v>
          </cell>
          <cell r="F27">
            <v>1500</v>
          </cell>
          <cell r="G27">
            <v>3000</v>
          </cell>
        </row>
        <row r="28">
          <cell r="B28">
            <v>6</v>
          </cell>
          <cell r="C28" t="str">
            <v>Vải phin trắng 0,8m</v>
          </cell>
          <cell r="D28" t="str">
            <v>m</v>
          </cell>
          <cell r="E28">
            <v>0.5</v>
          </cell>
          <cell r="F28">
            <v>15000</v>
          </cell>
          <cell r="G28">
            <v>7500</v>
          </cell>
        </row>
        <row r="29">
          <cell r="B29">
            <v>9</v>
          </cell>
          <cell r="C29" t="str">
            <v>giẻ lau</v>
          </cell>
          <cell r="D29" t="str">
            <v>kg</v>
          </cell>
          <cell r="E29">
            <v>0.5</v>
          </cell>
          <cell r="F29">
            <v>9500</v>
          </cell>
          <cell r="G29">
            <v>4750</v>
          </cell>
        </row>
        <row r="30">
          <cell r="B30">
            <v>25</v>
          </cell>
          <cell r="C30" t="str">
            <v>Băng cách điện</v>
          </cell>
          <cell r="D30" t="str">
            <v>cuộn</v>
          </cell>
          <cell r="E30">
            <v>1</v>
          </cell>
          <cell r="F30">
            <v>8000</v>
          </cell>
          <cell r="G30">
            <v>8000</v>
          </cell>
        </row>
        <row r="31">
          <cell r="B31">
            <v>1</v>
          </cell>
          <cell r="C31" t="str">
            <v>Cồn công nghiệp</v>
          </cell>
          <cell r="D31" t="str">
            <v>kg</v>
          </cell>
          <cell r="E31">
            <v>0.5</v>
          </cell>
          <cell r="F31">
            <v>9500</v>
          </cell>
          <cell r="G31">
            <v>4750</v>
          </cell>
        </row>
        <row r="32">
          <cell r="B32">
            <v>4</v>
          </cell>
          <cell r="C32" t="str">
            <v>giấy nhám số 0</v>
          </cell>
          <cell r="D32" t="str">
            <v>tờ</v>
          </cell>
          <cell r="E32">
            <v>0.5</v>
          </cell>
          <cell r="F32">
            <v>10000</v>
          </cell>
          <cell r="G32">
            <v>5000</v>
          </cell>
        </row>
        <row r="33">
          <cell r="B33">
            <v>148</v>
          </cell>
          <cell r="C33" t="str">
            <v>dây điện 2x1,5mm2</v>
          </cell>
          <cell r="D33" t="str">
            <v>m</v>
          </cell>
          <cell r="E33">
            <v>2</v>
          </cell>
          <cell r="F33">
            <v>7500</v>
          </cell>
          <cell r="G33">
            <v>15000</v>
          </cell>
        </row>
        <row r="34">
          <cell r="B34">
            <v>149</v>
          </cell>
          <cell r="C34" t="str">
            <v>cáp bọc 4x2,5mm2</v>
          </cell>
          <cell r="D34" t="str">
            <v>m</v>
          </cell>
          <cell r="E34">
            <v>0.5</v>
          </cell>
          <cell r="F34">
            <v>26000</v>
          </cell>
          <cell r="G34">
            <v>13000</v>
          </cell>
        </row>
        <row r="35">
          <cell r="C35" t="str">
            <v>Nhân công</v>
          </cell>
          <cell r="G35">
            <v>2024323.2981578945</v>
          </cell>
        </row>
        <row r="36">
          <cell r="B36" t="str">
            <v>KS4</v>
          </cell>
          <cell r="C36" t="str">
            <v>+ Kỹ sư bậc 4,0/8</v>
          </cell>
          <cell r="D36" t="str">
            <v>Công</v>
          </cell>
          <cell r="E36">
            <v>6.04</v>
          </cell>
          <cell r="F36">
            <v>237000</v>
          </cell>
          <cell r="G36">
            <v>1431480</v>
          </cell>
        </row>
        <row r="37">
          <cell r="B37" t="str">
            <v>NC1507</v>
          </cell>
          <cell r="C37" t="str">
            <v>+ Nhân công bậc 5,0/7</v>
          </cell>
          <cell r="D37" t="str">
            <v>Công</v>
          </cell>
          <cell r="E37">
            <v>2.59</v>
          </cell>
          <cell r="F37">
            <v>228897.02631578947</v>
          </cell>
          <cell r="G37">
            <v>592843.29815789463</v>
          </cell>
        </row>
        <row r="38">
          <cell r="C38" t="str">
            <v>Máy thi công</v>
          </cell>
          <cell r="G38">
            <v>490825.47600000002</v>
          </cell>
        </row>
        <row r="39">
          <cell r="B39">
            <v>7068</v>
          </cell>
          <cell r="C39" t="str">
            <v>Mê gôm mét</v>
          </cell>
          <cell r="D39" t="str">
            <v>ca</v>
          </cell>
          <cell r="E39">
            <v>0.2</v>
          </cell>
          <cell r="F39">
            <v>37834.5</v>
          </cell>
          <cell r="G39">
            <v>7566.9000000000005</v>
          </cell>
        </row>
        <row r="40">
          <cell r="B40">
            <v>7069</v>
          </cell>
          <cell r="C40" t="str">
            <v>Hợp bộ thí nghiệm cao áp</v>
          </cell>
          <cell r="D40" t="str">
            <v>ca</v>
          </cell>
          <cell r="E40">
            <v>0.252</v>
          </cell>
          <cell r="F40">
            <v>380669.25</v>
          </cell>
          <cell r="G40">
            <v>95928.650999999998</v>
          </cell>
        </row>
        <row r="41">
          <cell r="B41">
            <v>7076</v>
          </cell>
          <cell r="C41" t="str">
            <v>Hợp bộ đo lường</v>
          </cell>
          <cell r="D41" t="str">
            <v>ca</v>
          </cell>
          <cell r="E41">
            <v>0.22500000000000001</v>
          </cell>
          <cell r="F41">
            <v>709659</v>
          </cell>
          <cell r="G41">
            <v>159673.27499999999</v>
          </cell>
        </row>
        <row r="42">
          <cell r="B42">
            <v>7082</v>
          </cell>
          <cell r="C42" t="str">
            <v>Hợp bộ đo tgδ</v>
          </cell>
          <cell r="D42" t="str">
            <v>ca</v>
          </cell>
          <cell r="E42">
            <v>0.23799999999999999</v>
          </cell>
          <cell r="F42">
            <v>750675</v>
          </cell>
          <cell r="G42">
            <v>178660.65</v>
          </cell>
        </row>
        <row r="43">
          <cell r="B43">
            <v>7077</v>
          </cell>
          <cell r="C43" t="str">
            <v>Máy đo điện trở một chiều</v>
          </cell>
          <cell r="E43">
            <v>0.2</v>
          </cell>
          <cell r="F43">
            <v>134743.49999999997</v>
          </cell>
          <cell r="G43">
            <v>26948.699999999997</v>
          </cell>
        </row>
        <row r="44">
          <cell r="B44">
            <v>7078</v>
          </cell>
          <cell r="C44" t="str">
            <v>Máy đo tỷ số biến</v>
          </cell>
          <cell r="D44" t="str">
            <v>ca</v>
          </cell>
          <cell r="E44">
            <v>0.4</v>
          </cell>
          <cell r="F44">
            <v>55118.249999999993</v>
          </cell>
          <cell r="G44">
            <v>22047.3</v>
          </cell>
        </row>
        <row r="45">
          <cell r="A45" t="str">
            <v>EA.42010</v>
          </cell>
          <cell r="C45" t="str">
            <v>Biến dòng điện ≤ 1kV</v>
          </cell>
          <cell r="H45">
            <v>4295</v>
          </cell>
          <cell r="I45">
            <v>384709.54289473686</v>
          </cell>
          <cell r="J45">
            <v>52582.946250000001</v>
          </cell>
        </row>
        <row r="46">
          <cell r="C46" t="str">
            <v>Vật liệu</v>
          </cell>
          <cell r="G46">
            <v>4295</v>
          </cell>
        </row>
        <row r="47">
          <cell r="B47">
            <v>137</v>
          </cell>
          <cell r="C47" t="str">
            <v>Điện năng</v>
          </cell>
          <cell r="D47" t="str">
            <v>KWh</v>
          </cell>
          <cell r="E47">
            <v>0.3</v>
          </cell>
          <cell r="F47">
            <v>1500</v>
          </cell>
          <cell r="G47">
            <v>450</v>
          </cell>
        </row>
        <row r="48">
          <cell r="B48">
            <v>9</v>
          </cell>
          <cell r="C48" t="str">
            <v>giẻ lau</v>
          </cell>
          <cell r="D48" t="str">
            <v>kg</v>
          </cell>
          <cell r="E48">
            <v>0.05</v>
          </cell>
          <cell r="F48">
            <v>9500</v>
          </cell>
          <cell r="G48">
            <v>475</v>
          </cell>
        </row>
        <row r="49">
          <cell r="B49">
            <v>25</v>
          </cell>
          <cell r="C49" t="str">
            <v>Băng cách điện</v>
          </cell>
          <cell r="D49" t="str">
            <v>cuộn</v>
          </cell>
          <cell r="E49">
            <v>0.04</v>
          </cell>
          <cell r="F49">
            <v>8000</v>
          </cell>
          <cell r="G49">
            <v>320</v>
          </cell>
        </row>
        <row r="50">
          <cell r="B50">
            <v>1</v>
          </cell>
          <cell r="C50" t="str">
            <v>Cồn công nghiệp</v>
          </cell>
          <cell r="D50" t="str">
            <v>kg</v>
          </cell>
          <cell r="E50">
            <v>0.1</v>
          </cell>
          <cell r="F50">
            <v>9500</v>
          </cell>
          <cell r="G50">
            <v>950</v>
          </cell>
        </row>
        <row r="51">
          <cell r="B51">
            <v>4</v>
          </cell>
          <cell r="C51" t="str">
            <v>giấy nhám số 0</v>
          </cell>
          <cell r="D51" t="str">
            <v>tờ</v>
          </cell>
          <cell r="E51">
            <v>0.06</v>
          </cell>
          <cell r="F51">
            <v>10000</v>
          </cell>
          <cell r="G51">
            <v>600</v>
          </cell>
        </row>
        <row r="52">
          <cell r="B52">
            <v>148</v>
          </cell>
          <cell r="C52" t="str">
            <v>dây điện 2x1,5mm2</v>
          </cell>
          <cell r="D52" t="str">
            <v>m</v>
          </cell>
          <cell r="E52">
            <v>0.2</v>
          </cell>
          <cell r="F52">
            <v>7500</v>
          </cell>
          <cell r="G52">
            <v>1500</v>
          </cell>
        </row>
        <row r="53">
          <cell r="C53" t="str">
            <v>Nhân công</v>
          </cell>
          <cell r="G53">
            <v>384709.54289473686</v>
          </cell>
        </row>
        <row r="54">
          <cell r="B54" t="str">
            <v>KS4</v>
          </cell>
          <cell r="C54" t="str">
            <v>+ Kỹ sư bậc 4,0/8</v>
          </cell>
          <cell r="D54" t="str">
            <v>Công</v>
          </cell>
          <cell r="E54">
            <v>1.1499999999999999</v>
          </cell>
          <cell r="F54">
            <v>237000</v>
          </cell>
          <cell r="G54">
            <v>272550</v>
          </cell>
        </row>
        <row r="55">
          <cell r="B55" t="str">
            <v>NC1507</v>
          </cell>
          <cell r="C55" t="str">
            <v>+ Nhân công bậc 5,0/7</v>
          </cell>
          <cell r="D55" t="str">
            <v>Công</v>
          </cell>
          <cell r="E55">
            <v>0.49</v>
          </cell>
          <cell r="F55">
            <v>228897.02631578947</v>
          </cell>
          <cell r="G55">
            <v>112159.54289473683</v>
          </cell>
        </row>
        <row r="56">
          <cell r="C56" t="str">
            <v>Máy thi công</v>
          </cell>
          <cell r="G56">
            <v>52582.946250000001</v>
          </cell>
        </row>
        <row r="57">
          <cell r="B57">
            <v>7068</v>
          </cell>
          <cell r="C57" t="str">
            <v>Mê gôm mét</v>
          </cell>
          <cell r="D57" t="str">
            <v>ca</v>
          </cell>
          <cell r="E57">
            <v>0.04</v>
          </cell>
          <cell r="F57">
            <v>37834.5</v>
          </cell>
          <cell r="G57">
            <v>1513.38</v>
          </cell>
        </row>
        <row r="58">
          <cell r="B58">
            <v>7076</v>
          </cell>
          <cell r="C58" t="str">
            <v>Hợp bộ đo lường</v>
          </cell>
          <cell r="D58" t="str">
            <v>ca</v>
          </cell>
          <cell r="E58">
            <v>0.05</v>
          </cell>
          <cell r="F58">
            <v>709659</v>
          </cell>
          <cell r="G58">
            <v>35482.950000000004</v>
          </cell>
        </row>
        <row r="59">
          <cell r="B59">
            <v>7069</v>
          </cell>
          <cell r="C59" t="str">
            <v>Hợp bộ thí nghiệm cao áp</v>
          </cell>
          <cell r="D59" t="str">
            <v>ca</v>
          </cell>
          <cell r="E59">
            <v>0</v>
          </cell>
          <cell r="F59">
            <v>380669.25</v>
          </cell>
          <cell r="G59">
            <v>0</v>
          </cell>
        </row>
        <row r="60">
          <cell r="B60">
            <v>7077</v>
          </cell>
          <cell r="C60" t="str">
            <v>Máy đo điện trở một chiều</v>
          </cell>
          <cell r="D60" t="str">
            <v>ca</v>
          </cell>
          <cell r="E60">
            <v>0.04</v>
          </cell>
          <cell r="F60">
            <v>134743.49999999997</v>
          </cell>
          <cell r="G60">
            <v>5389.7399999999989</v>
          </cell>
        </row>
        <row r="61">
          <cell r="B61">
            <v>7078</v>
          </cell>
          <cell r="C61" t="str">
            <v>Máy đo tỷ số biến</v>
          </cell>
          <cell r="D61" t="str">
            <v>ca</v>
          </cell>
          <cell r="E61">
            <v>0.185</v>
          </cell>
          <cell r="F61">
            <v>55118.249999999993</v>
          </cell>
          <cell r="G61">
            <v>10196.876249999999</v>
          </cell>
        </row>
        <row r="62">
          <cell r="A62" t="str">
            <v>EA.42020</v>
          </cell>
          <cell r="C62" t="str">
            <v>Biến dòng điện ≤ 15kV</v>
          </cell>
          <cell r="H62">
            <v>11408</v>
          </cell>
          <cell r="I62">
            <v>771708.05605263158</v>
          </cell>
          <cell r="J62">
            <v>128154.67125000001</v>
          </cell>
        </row>
        <row r="63">
          <cell r="C63" t="str">
            <v>Vật liệu</v>
          </cell>
          <cell r="G63">
            <v>11408</v>
          </cell>
        </row>
        <row r="64">
          <cell r="B64">
            <v>137</v>
          </cell>
          <cell r="C64" t="str">
            <v>Điện năng</v>
          </cell>
          <cell r="D64" t="str">
            <v>KWh</v>
          </cell>
          <cell r="E64">
            <v>0.96</v>
          </cell>
          <cell r="F64">
            <v>1500</v>
          </cell>
          <cell r="G64">
            <v>1440</v>
          </cell>
        </row>
        <row r="65">
          <cell r="B65">
            <v>9</v>
          </cell>
          <cell r="C65" t="str">
            <v>giẻ lau</v>
          </cell>
          <cell r="D65" t="str">
            <v>kg</v>
          </cell>
          <cell r="E65">
            <v>9.6000000000000002E-2</v>
          </cell>
          <cell r="F65">
            <v>9500</v>
          </cell>
          <cell r="G65">
            <v>912</v>
          </cell>
        </row>
        <row r="66">
          <cell r="B66">
            <v>25</v>
          </cell>
          <cell r="C66" t="str">
            <v>Băng cách điện</v>
          </cell>
          <cell r="D66" t="str">
            <v>cuộn</v>
          </cell>
          <cell r="E66">
            <v>6.4000000000000001E-2</v>
          </cell>
          <cell r="F66">
            <v>8000</v>
          </cell>
          <cell r="G66">
            <v>512</v>
          </cell>
        </row>
        <row r="67">
          <cell r="B67">
            <v>1</v>
          </cell>
          <cell r="C67" t="str">
            <v>Cồn công nghiệp</v>
          </cell>
          <cell r="D67" t="str">
            <v>kg</v>
          </cell>
          <cell r="E67">
            <v>0.192</v>
          </cell>
          <cell r="F67">
            <v>9500</v>
          </cell>
          <cell r="G67">
            <v>1824</v>
          </cell>
        </row>
        <row r="68">
          <cell r="B68">
            <v>4</v>
          </cell>
          <cell r="C68" t="str">
            <v>giấy nhám số 0</v>
          </cell>
          <cell r="D68" t="str">
            <v>tờ</v>
          </cell>
          <cell r="E68">
            <v>9.6000000000000002E-2</v>
          </cell>
          <cell r="F68">
            <v>10000</v>
          </cell>
          <cell r="G68">
            <v>960</v>
          </cell>
        </row>
        <row r="69">
          <cell r="B69">
            <v>148</v>
          </cell>
          <cell r="C69" t="str">
            <v>dây điện 2x1,5mm2</v>
          </cell>
          <cell r="D69" t="str">
            <v>m</v>
          </cell>
          <cell r="E69">
            <v>0.76800000000000002</v>
          </cell>
          <cell r="F69">
            <v>7500</v>
          </cell>
          <cell r="G69">
            <v>5760</v>
          </cell>
        </row>
        <row r="70">
          <cell r="C70" t="str">
            <v>Nhân công</v>
          </cell>
          <cell r="G70">
            <v>771708.05605263158</v>
          </cell>
        </row>
        <row r="71">
          <cell r="B71" t="str">
            <v>KS4</v>
          </cell>
          <cell r="C71" t="str">
            <v>+ Kỹ sư bậc 4,0/8</v>
          </cell>
          <cell r="D71" t="str">
            <v>Công</v>
          </cell>
          <cell r="E71">
            <v>2.2999999999999998</v>
          </cell>
          <cell r="F71">
            <v>237000</v>
          </cell>
          <cell r="G71">
            <v>545100</v>
          </cell>
        </row>
        <row r="72">
          <cell r="B72" t="str">
            <v>NC1507</v>
          </cell>
          <cell r="C72" t="str">
            <v>+ Nhân công bậc 5,0/7</v>
          </cell>
          <cell r="D72" t="str">
            <v>Công</v>
          </cell>
          <cell r="E72">
            <v>0.99</v>
          </cell>
          <cell r="F72">
            <v>228897.02631578947</v>
          </cell>
          <cell r="G72">
            <v>226608.05605263158</v>
          </cell>
        </row>
        <row r="73">
          <cell r="C73" t="str">
            <v>Máy thi công</v>
          </cell>
          <cell r="G73">
            <v>128154.67125000001</v>
          </cell>
        </row>
        <row r="74">
          <cell r="B74">
            <v>7068</v>
          </cell>
          <cell r="C74" t="str">
            <v>Mê gôm mét</v>
          </cell>
          <cell r="D74" t="str">
            <v>ca</v>
          </cell>
          <cell r="E74">
            <v>6.5000000000000002E-2</v>
          </cell>
          <cell r="F74">
            <v>37834.5</v>
          </cell>
          <cell r="G74">
            <v>2459.2425000000003</v>
          </cell>
        </row>
        <row r="75">
          <cell r="B75">
            <v>7076</v>
          </cell>
          <cell r="C75" t="str">
            <v>Hợp bộ đo lường</v>
          </cell>
          <cell r="D75" t="str">
            <v>ca</v>
          </cell>
          <cell r="E75">
            <v>9.7000000000000003E-2</v>
          </cell>
          <cell r="F75">
            <v>709659</v>
          </cell>
          <cell r="G75">
            <v>68836.922999999995</v>
          </cell>
        </row>
        <row r="76">
          <cell r="B76">
            <v>7069</v>
          </cell>
          <cell r="C76" t="str">
            <v>Hợp bộ thí nghiệm cao áp</v>
          </cell>
          <cell r="D76" t="str">
            <v>ca</v>
          </cell>
          <cell r="E76">
            <v>0.108</v>
          </cell>
          <cell r="F76">
            <v>380669.25</v>
          </cell>
          <cell r="G76">
            <v>41112.279000000002</v>
          </cell>
        </row>
        <row r="77">
          <cell r="B77">
            <v>7077</v>
          </cell>
          <cell r="C77" t="str">
            <v>Máy đo điện trở một chiều</v>
          </cell>
          <cell r="D77" t="str">
            <v>ca</v>
          </cell>
          <cell r="E77">
            <v>7.8E-2</v>
          </cell>
          <cell r="F77">
            <v>134743.49999999997</v>
          </cell>
          <cell r="G77">
            <v>10509.992999999999</v>
          </cell>
        </row>
        <row r="78">
          <cell r="B78">
            <v>7078</v>
          </cell>
          <cell r="C78" t="str">
            <v>Máy đo tỷ số biến</v>
          </cell>
          <cell r="D78" t="str">
            <v>ca</v>
          </cell>
          <cell r="E78">
            <v>9.5000000000000001E-2</v>
          </cell>
          <cell r="F78">
            <v>55118.249999999993</v>
          </cell>
          <cell r="G78">
            <v>5236.2337499999994</v>
          </cell>
        </row>
        <row r="79">
          <cell r="A79" t="str">
            <v>EA.42030</v>
          </cell>
          <cell r="C79" t="str">
            <v>Biến dòng điện 22-35kV</v>
          </cell>
          <cell r="H79">
            <v>14260</v>
          </cell>
          <cell r="I79">
            <v>961733.34236842103</v>
          </cell>
          <cell r="J79">
            <v>161985.37049999999</v>
          </cell>
        </row>
        <row r="80">
          <cell r="C80" t="str">
            <v>Vật liệu</v>
          </cell>
          <cell r="G80">
            <v>14260</v>
          </cell>
        </row>
        <row r="81">
          <cell r="B81">
            <v>137</v>
          </cell>
          <cell r="C81" t="str">
            <v>Điện năng</v>
          </cell>
          <cell r="D81" t="str">
            <v>KWh</v>
          </cell>
          <cell r="E81">
            <v>1.2</v>
          </cell>
          <cell r="F81">
            <v>1500</v>
          </cell>
          <cell r="G81">
            <v>1800</v>
          </cell>
        </row>
        <row r="82">
          <cell r="B82">
            <v>9</v>
          </cell>
          <cell r="C82" t="str">
            <v>giẻ lau</v>
          </cell>
          <cell r="D82" t="str">
            <v>kg</v>
          </cell>
          <cell r="E82">
            <v>0.12</v>
          </cell>
          <cell r="F82">
            <v>9500</v>
          </cell>
          <cell r="G82">
            <v>1140</v>
          </cell>
        </row>
        <row r="83">
          <cell r="B83">
            <v>25</v>
          </cell>
          <cell r="C83" t="str">
            <v>Băng cách điện</v>
          </cell>
          <cell r="D83" t="str">
            <v>cuộn</v>
          </cell>
          <cell r="E83">
            <v>0.08</v>
          </cell>
          <cell r="F83">
            <v>8000</v>
          </cell>
          <cell r="G83">
            <v>640</v>
          </cell>
        </row>
        <row r="84">
          <cell r="B84">
            <v>1</v>
          </cell>
          <cell r="C84" t="str">
            <v>Côồn công nghiệp</v>
          </cell>
          <cell r="D84" t="str">
            <v>kg</v>
          </cell>
          <cell r="E84">
            <v>0.24</v>
          </cell>
          <cell r="F84">
            <v>9500</v>
          </cell>
          <cell r="G84">
            <v>2280</v>
          </cell>
        </row>
        <row r="85">
          <cell r="B85">
            <v>4</v>
          </cell>
          <cell r="C85" t="str">
            <v>giấy nhám số 0</v>
          </cell>
          <cell r="D85" t="str">
            <v>tờ</v>
          </cell>
          <cell r="E85">
            <v>0.12</v>
          </cell>
          <cell r="F85">
            <v>10000</v>
          </cell>
          <cell r="G85">
            <v>1200</v>
          </cell>
        </row>
        <row r="86">
          <cell r="B86">
            <v>148</v>
          </cell>
          <cell r="C86" t="str">
            <v>dây điện 2x1,5mm2</v>
          </cell>
          <cell r="D86" t="str">
            <v>m</v>
          </cell>
          <cell r="E86">
            <v>0.96</v>
          </cell>
          <cell r="F86">
            <v>7500</v>
          </cell>
          <cell r="G86">
            <v>7200</v>
          </cell>
        </row>
        <row r="87">
          <cell r="C87" t="str">
            <v>Nhân công</v>
          </cell>
          <cell r="G87">
            <v>961733.34236842103</v>
          </cell>
        </row>
        <row r="88">
          <cell r="B88" t="str">
            <v>KS4</v>
          </cell>
          <cell r="C88" t="str">
            <v>+ Kỹ sư bậc 4,0/8</v>
          </cell>
          <cell r="D88" t="str">
            <v>Công</v>
          </cell>
          <cell r="E88">
            <v>2.87</v>
          </cell>
          <cell r="F88">
            <v>237000</v>
          </cell>
          <cell r="G88">
            <v>680190</v>
          </cell>
        </row>
        <row r="89">
          <cell r="B89" t="str">
            <v>NC1507</v>
          </cell>
          <cell r="C89" t="str">
            <v>+ Nhân công bậc 5,0/7</v>
          </cell>
          <cell r="D89" t="str">
            <v>Công</v>
          </cell>
          <cell r="E89">
            <v>1.23</v>
          </cell>
          <cell r="F89">
            <v>228897.02631578947</v>
          </cell>
          <cell r="G89">
            <v>281543.34236842103</v>
          </cell>
        </row>
        <row r="90">
          <cell r="C90" t="str">
            <v>Máy thi công</v>
          </cell>
          <cell r="G90">
            <v>161985.37049999999</v>
          </cell>
        </row>
        <row r="91">
          <cell r="B91">
            <v>7068</v>
          </cell>
          <cell r="C91" t="str">
            <v>Mê gôm mét</v>
          </cell>
          <cell r="D91" t="str">
            <v>ca</v>
          </cell>
          <cell r="E91">
            <v>8.1000000000000003E-2</v>
          </cell>
          <cell r="F91">
            <v>37834.5</v>
          </cell>
          <cell r="G91">
            <v>3064.5945000000002</v>
          </cell>
        </row>
        <row r="92">
          <cell r="B92">
            <v>7076</v>
          </cell>
          <cell r="C92" t="str">
            <v>Hợp bộ đo lường</v>
          </cell>
          <cell r="D92" t="str">
            <v>ca</v>
          </cell>
          <cell r="E92">
            <v>0.122</v>
          </cell>
          <cell r="F92">
            <v>709659</v>
          </cell>
          <cell r="G92">
            <v>86578.398000000001</v>
          </cell>
        </row>
        <row r="93">
          <cell r="B93">
            <v>7069</v>
          </cell>
          <cell r="C93" t="str">
            <v>Hợp bộ thí nghiệm cao áp</v>
          </cell>
          <cell r="D93" t="str">
            <v>ca</v>
          </cell>
          <cell r="E93">
            <v>0.13500000000000001</v>
          </cell>
          <cell r="F93">
            <v>380669.25</v>
          </cell>
          <cell r="G93">
            <v>51390.348750000005</v>
          </cell>
        </row>
        <row r="94">
          <cell r="B94">
            <v>7077</v>
          </cell>
          <cell r="C94" t="str">
            <v>Máy đo điện trở một chiều</v>
          </cell>
          <cell r="D94" t="str">
            <v>ca</v>
          </cell>
          <cell r="E94">
            <v>9.7000000000000003E-2</v>
          </cell>
          <cell r="F94">
            <v>134743.49999999997</v>
          </cell>
          <cell r="G94">
            <v>13070.119499999997</v>
          </cell>
        </row>
        <row r="95">
          <cell r="B95">
            <v>7078</v>
          </cell>
          <cell r="C95" t="str">
            <v>Máy đo tỷ số biến</v>
          </cell>
          <cell r="D95" t="str">
            <v>ca</v>
          </cell>
          <cell r="E95">
            <v>0.14299999999999999</v>
          </cell>
          <cell r="F95">
            <v>55118.249999999993</v>
          </cell>
          <cell r="G95">
            <v>7881.909749999998</v>
          </cell>
        </row>
        <row r="96">
          <cell r="A96" t="str">
            <v>EA.33010</v>
          </cell>
          <cell r="C96" t="str">
            <v>Máy biến điện áp 1 pha 22-35kV</v>
          </cell>
          <cell r="H96">
            <v>11609.5</v>
          </cell>
          <cell r="I96">
            <v>774078.05605263158</v>
          </cell>
          <cell r="J96">
            <v>170084.65875</v>
          </cell>
        </row>
        <row r="97">
          <cell r="C97" t="str">
            <v>Vật liệu</v>
          </cell>
          <cell r="G97">
            <v>11609.5</v>
          </cell>
        </row>
        <row r="98">
          <cell r="B98">
            <v>137</v>
          </cell>
          <cell r="C98" t="str">
            <v>Điện năng</v>
          </cell>
          <cell r="D98" t="str">
            <v>KWh</v>
          </cell>
          <cell r="E98">
            <v>1.333</v>
          </cell>
          <cell r="F98">
            <v>1500</v>
          </cell>
          <cell r="G98">
            <v>1999.5</v>
          </cell>
        </row>
        <row r="99">
          <cell r="B99">
            <v>9</v>
          </cell>
          <cell r="C99" t="str">
            <v>giẻ lau</v>
          </cell>
          <cell r="D99" t="str">
            <v>kg</v>
          </cell>
          <cell r="E99">
            <v>0.1</v>
          </cell>
          <cell r="F99">
            <v>9500</v>
          </cell>
          <cell r="G99">
            <v>950</v>
          </cell>
        </row>
        <row r="100">
          <cell r="B100">
            <v>25</v>
          </cell>
          <cell r="C100" t="str">
            <v>Băng cách điện</v>
          </cell>
          <cell r="D100" t="str">
            <v>cuộn</v>
          </cell>
          <cell r="E100">
            <v>0.13300000000000001</v>
          </cell>
          <cell r="F100">
            <v>8000</v>
          </cell>
          <cell r="G100">
            <v>1064</v>
          </cell>
        </row>
        <row r="101">
          <cell r="B101">
            <v>1</v>
          </cell>
          <cell r="C101" t="str">
            <v>Côồn công nghiệp</v>
          </cell>
          <cell r="D101" t="str">
            <v>kg</v>
          </cell>
          <cell r="E101">
            <v>0.13300000000000001</v>
          </cell>
          <cell r="F101">
            <v>9500</v>
          </cell>
          <cell r="G101">
            <v>1263.5</v>
          </cell>
        </row>
        <row r="102">
          <cell r="B102">
            <v>4</v>
          </cell>
          <cell r="C102" t="str">
            <v>giấy nhám số 0</v>
          </cell>
          <cell r="D102" t="str">
            <v>tờ</v>
          </cell>
          <cell r="E102">
            <v>0.13300000000000001</v>
          </cell>
          <cell r="F102">
            <v>10000</v>
          </cell>
          <cell r="G102">
            <v>1330</v>
          </cell>
        </row>
        <row r="103">
          <cell r="B103">
            <v>148</v>
          </cell>
          <cell r="C103" t="str">
            <v>dây điện 2x1,5mm2</v>
          </cell>
          <cell r="D103" t="str">
            <v>m</v>
          </cell>
          <cell r="E103">
            <v>0.66700000000000004</v>
          </cell>
          <cell r="F103">
            <v>7500</v>
          </cell>
          <cell r="G103">
            <v>5002.5</v>
          </cell>
        </row>
        <row r="104">
          <cell r="C104" t="str">
            <v>Nhân công</v>
          </cell>
          <cell r="G104">
            <v>774078.05605263158</v>
          </cell>
        </row>
        <row r="105">
          <cell r="B105" t="str">
            <v>KS4</v>
          </cell>
          <cell r="C105" t="str">
            <v>+ Kỹ sư bậc 4,0/8</v>
          </cell>
          <cell r="D105" t="str">
            <v>Công</v>
          </cell>
          <cell r="E105">
            <v>2.31</v>
          </cell>
          <cell r="F105">
            <v>237000</v>
          </cell>
          <cell r="G105">
            <v>547470</v>
          </cell>
        </row>
        <row r="106">
          <cell r="B106" t="str">
            <v>NC1507</v>
          </cell>
          <cell r="C106" t="str">
            <v>+ Nhân công bậc 5,0/7</v>
          </cell>
          <cell r="D106" t="str">
            <v>Công</v>
          </cell>
          <cell r="E106">
            <v>0.99</v>
          </cell>
          <cell r="F106">
            <v>228897.02631578947</v>
          </cell>
          <cell r="G106">
            <v>226608.05605263158</v>
          </cell>
        </row>
        <row r="107">
          <cell r="C107" t="str">
            <v>Máy thi công</v>
          </cell>
          <cell r="G107">
            <v>170084.65875</v>
          </cell>
        </row>
        <row r="108">
          <cell r="B108">
            <v>7068</v>
          </cell>
          <cell r="C108" t="str">
            <v>Mê gôm mét</v>
          </cell>
          <cell r="D108" t="str">
            <v>ca</v>
          </cell>
          <cell r="E108">
            <v>0.09</v>
          </cell>
          <cell r="F108">
            <v>37834.5</v>
          </cell>
          <cell r="G108">
            <v>3405.105</v>
          </cell>
        </row>
        <row r="109">
          <cell r="B109">
            <v>7076</v>
          </cell>
          <cell r="C109" t="str">
            <v>Hợp bộ đo lường</v>
          </cell>
          <cell r="D109" t="str">
            <v>ca</v>
          </cell>
          <cell r="E109">
            <v>0.13500000000000001</v>
          </cell>
          <cell r="F109">
            <v>709659</v>
          </cell>
          <cell r="G109">
            <v>95803.965000000011</v>
          </cell>
        </row>
        <row r="110">
          <cell r="B110">
            <v>7069</v>
          </cell>
          <cell r="C110" t="str">
            <v>Hợp bộ thí nghiệm cao áp</v>
          </cell>
          <cell r="D110" t="str">
            <v>ca</v>
          </cell>
          <cell r="E110">
            <v>0.11899999999999999</v>
          </cell>
          <cell r="F110">
            <v>380669.25</v>
          </cell>
          <cell r="G110">
            <v>45299.640749999999</v>
          </cell>
        </row>
        <row r="111">
          <cell r="B111">
            <v>7077</v>
          </cell>
          <cell r="C111" t="str">
            <v>Máy đo điện trở một chiều</v>
          </cell>
          <cell r="D111" t="str">
            <v>ca</v>
          </cell>
          <cell r="E111">
            <v>0.108</v>
          </cell>
          <cell r="F111">
            <v>134743.49999999997</v>
          </cell>
          <cell r="G111">
            <v>14552.297999999997</v>
          </cell>
        </row>
        <row r="112">
          <cell r="B112">
            <v>7078</v>
          </cell>
          <cell r="C112" t="str">
            <v>Máy đo tỷ số biến</v>
          </cell>
          <cell r="D112" t="str">
            <v>ca</v>
          </cell>
          <cell r="E112">
            <v>0.2</v>
          </cell>
          <cell r="F112">
            <v>55118.249999999993</v>
          </cell>
          <cell r="G112">
            <v>11023.65</v>
          </cell>
        </row>
        <row r="113">
          <cell r="A113" t="str">
            <v>EA.33030</v>
          </cell>
          <cell r="C113" t="str">
            <v>Máy biến điện áp 1 pha ≤ 15kV</v>
          </cell>
          <cell r="H113">
            <v>9300.5</v>
          </cell>
          <cell r="I113">
            <v>696678.35342105269</v>
          </cell>
          <cell r="J113">
            <v>153195.49350000001</v>
          </cell>
        </row>
        <row r="114">
          <cell r="C114" t="str">
            <v>Vật liệu</v>
          </cell>
          <cell r="G114">
            <v>9300.5</v>
          </cell>
        </row>
        <row r="115">
          <cell r="B115">
            <v>137</v>
          </cell>
          <cell r="C115" t="str">
            <v>Điện năng</v>
          </cell>
          <cell r="D115" t="str">
            <v>KWh</v>
          </cell>
          <cell r="E115">
            <v>1.0669999999999999</v>
          </cell>
          <cell r="F115">
            <v>1500</v>
          </cell>
          <cell r="G115">
            <v>1600.5</v>
          </cell>
        </row>
        <row r="116">
          <cell r="B116">
            <v>9</v>
          </cell>
          <cell r="C116" t="str">
            <v>giẻ lau</v>
          </cell>
          <cell r="D116" t="str">
            <v>kg</v>
          </cell>
          <cell r="E116">
            <v>0.08</v>
          </cell>
          <cell r="F116">
            <v>9500</v>
          </cell>
          <cell r="G116">
            <v>760</v>
          </cell>
        </row>
        <row r="117">
          <cell r="B117">
            <v>25</v>
          </cell>
          <cell r="C117" t="str">
            <v>Băng cách điện</v>
          </cell>
          <cell r="D117" t="str">
            <v>cuộn</v>
          </cell>
          <cell r="E117">
            <v>0.107</v>
          </cell>
          <cell r="F117">
            <v>8000</v>
          </cell>
          <cell r="G117">
            <v>856</v>
          </cell>
        </row>
        <row r="118">
          <cell r="B118">
            <v>1</v>
          </cell>
          <cell r="C118" t="str">
            <v>Côồn công nghiệp</v>
          </cell>
          <cell r="D118" t="str">
            <v>kg</v>
          </cell>
          <cell r="E118">
            <v>0.107</v>
          </cell>
          <cell r="F118">
            <v>9500</v>
          </cell>
          <cell r="G118">
            <v>1016.5</v>
          </cell>
        </row>
        <row r="119">
          <cell r="B119">
            <v>4</v>
          </cell>
          <cell r="C119" t="str">
            <v>giấy nhám số 0</v>
          </cell>
          <cell r="D119" t="str">
            <v>tờ</v>
          </cell>
          <cell r="E119">
            <v>0.107</v>
          </cell>
          <cell r="F119">
            <v>10000</v>
          </cell>
          <cell r="G119">
            <v>1070</v>
          </cell>
        </row>
        <row r="120">
          <cell r="B120">
            <v>148</v>
          </cell>
          <cell r="C120" t="str">
            <v>dây điện 2x1,5mm2</v>
          </cell>
          <cell r="D120" t="str">
            <v>m</v>
          </cell>
          <cell r="E120">
            <v>0.53300000000000003</v>
          </cell>
          <cell r="F120">
            <v>7500</v>
          </cell>
          <cell r="G120">
            <v>3997.5</v>
          </cell>
        </row>
        <row r="121">
          <cell r="C121" t="str">
            <v>Nhân công</v>
          </cell>
          <cell r="G121">
            <v>696678.35342105269</v>
          </cell>
        </row>
        <row r="122">
          <cell r="B122" t="str">
            <v>KS4</v>
          </cell>
          <cell r="C122" t="str">
            <v>+ Kỹ sư bậc 4,0/8</v>
          </cell>
          <cell r="D122" t="str">
            <v>Công</v>
          </cell>
          <cell r="E122">
            <v>2.08</v>
          </cell>
          <cell r="F122">
            <v>237000</v>
          </cell>
          <cell r="G122">
            <v>492960</v>
          </cell>
        </row>
        <row r="123">
          <cell r="B123" t="str">
            <v>NC1507</v>
          </cell>
          <cell r="C123" t="str">
            <v>+ Nhân công bậc 5,0/7</v>
          </cell>
          <cell r="D123" t="str">
            <v>Công</v>
          </cell>
          <cell r="E123">
            <v>0.89</v>
          </cell>
          <cell r="F123">
            <v>228897.02631578947</v>
          </cell>
          <cell r="G123">
            <v>203718.35342105263</v>
          </cell>
        </row>
        <row r="124">
          <cell r="C124" t="str">
            <v>Máy thi công</v>
          </cell>
          <cell r="G124">
            <v>153195.49350000001</v>
          </cell>
        </row>
        <row r="125">
          <cell r="B125">
            <v>7068</v>
          </cell>
          <cell r="C125" t="str">
            <v>Mê gôm mét</v>
          </cell>
          <cell r="D125" t="str">
            <v>ca</v>
          </cell>
          <cell r="E125">
            <v>8.1000000000000003E-2</v>
          </cell>
          <cell r="F125">
            <v>37834.5</v>
          </cell>
          <cell r="G125">
            <v>3064.5945000000002</v>
          </cell>
        </row>
        <row r="126">
          <cell r="B126">
            <v>7076</v>
          </cell>
          <cell r="C126" t="str">
            <v>Hợp bộ đo lường</v>
          </cell>
          <cell r="D126" t="str">
            <v>ca</v>
          </cell>
          <cell r="E126">
            <v>0.122</v>
          </cell>
          <cell r="F126">
            <v>709659</v>
          </cell>
          <cell r="G126">
            <v>86578.398000000001</v>
          </cell>
        </row>
        <row r="127">
          <cell r="B127">
            <v>7069</v>
          </cell>
          <cell r="C127" t="str">
            <v>Hợp bộ thí nghiệm cao áp</v>
          </cell>
          <cell r="D127" t="str">
            <v>ca</v>
          </cell>
          <cell r="E127">
            <v>0.108</v>
          </cell>
          <cell r="F127">
            <v>380669.25</v>
          </cell>
          <cell r="G127">
            <v>41112.279000000002</v>
          </cell>
        </row>
        <row r="128">
          <cell r="B128">
            <v>7077</v>
          </cell>
          <cell r="C128" t="str">
            <v>Máy đo điện trở một chiều</v>
          </cell>
          <cell r="D128" t="str">
            <v>ca</v>
          </cell>
          <cell r="E128">
            <v>9.7000000000000003E-2</v>
          </cell>
          <cell r="F128">
            <v>134743.49999999997</v>
          </cell>
          <cell r="G128">
            <v>13070.119499999997</v>
          </cell>
        </row>
        <row r="129">
          <cell r="B129">
            <v>7078</v>
          </cell>
          <cell r="C129" t="str">
            <v>Máy đo tỷ số biến</v>
          </cell>
          <cell r="D129" t="str">
            <v>ca</v>
          </cell>
          <cell r="E129">
            <v>0.17</v>
          </cell>
          <cell r="F129">
            <v>55118.249999999993</v>
          </cell>
          <cell r="G129">
            <v>9370.1024999999991</v>
          </cell>
        </row>
        <row r="130">
          <cell r="A130" t="str">
            <v>EB.22040</v>
          </cell>
          <cell r="C130" t="str">
            <v>CDLD 22-35 kV</v>
          </cell>
          <cell r="H130">
            <v>12050</v>
          </cell>
          <cell r="I130">
            <v>968762.31263157888</v>
          </cell>
          <cell r="J130">
            <v>41009.318249999997</v>
          </cell>
        </row>
        <row r="131">
          <cell r="C131" t="str">
            <v>Vật liệu</v>
          </cell>
          <cell r="G131">
            <v>12050</v>
          </cell>
        </row>
        <row r="132">
          <cell r="B132">
            <v>137</v>
          </cell>
          <cell r="C132" t="str">
            <v>Điện năng</v>
          </cell>
          <cell r="D132" t="str">
            <v>KWh</v>
          </cell>
          <cell r="E132">
            <v>0.76800000000000002</v>
          </cell>
          <cell r="F132">
            <v>1500</v>
          </cell>
          <cell r="G132">
            <v>1152</v>
          </cell>
        </row>
        <row r="133">
          <cell r="B133">
            <v>148</v>
          </cell>
          <cell r="C133" t="str">
            <v>Dây điện 2 x 1,5mm2</v>
          </cell>
          <cell r="D133" t="str">
            <v>m</v>
          </cell>
          <cell r="E133">
            <v>0.51200000000000001</v>
          </cell>
          <cell r="F133">
            <v>7500</v>
          </cell>
          <cell r="G133">
            <v>3840</v>
          </cell>
        </row>
        <row r="134">
          <cell r="B134">
            <v>9</v>
          </cell>
          <cell r="C134" t="str">
            <v>Giẻ lau</v>
          </cell>
          <cell r="D134" t="str">
            <v>kg</v>
          </cell>
          <cell r="E134">
            <v>0.10199999999999999</v>
          </cell>
          <cell r="F134">
            <v>9500</v>
          </cell>
          <cell r="G134">
            <v>968.99999999999989</v>
          </cell>
        </row>
        <row r="135">
          <cell r="B135">
            <v>1</v>
          </cell>
          <cell r="C135" t="str">
            <v>Cồn công nghiệp</v>
          </cell>
          <cell r="D135" t="str">
            <v>kg</v>
          </cell>
          <cell r="E135">
            <v>0.10199999999999999</v>
          </cell>
          <cell r="F135">
            <v>9500</v>
          </cell>
          <cell r="G135">
            <v>968.99999999999989</v>
          </cell>
        </row>
        <row r="136">
          <cell r="B136">
            <v>4</v>
          </cell>
          <cell r="C136" t="str">
            <v>Giấy nhám số 0</v>
          </cell>
          <cell r="D136" t="str">
            <v>tờ</v>
          </cell>
          <cell r="E136">
            <v>0.51200000000000001</v>
          </cell>
          <cell r="F136">
            <v>10000</v>
          </cell>
          <cell r="G136">
            <v>5120</v>
          </cell>
        </row>
        <row r="137">
          <cell r="C137" t="str">
            <v>Nhân công</v>
          </cell>
          <cell r="G137">
            <v>968762.31263157888</v>
          </cell>
        </row>
        <row r="138">
          <cell r="B138" t="str">
            <v>KS4</v>
          </cell>
          <cell r="C138" t="str">
            <v>+ Kỹ sư bậc 4,0/8</v>
          </cell>
          <cell r="D138" t="str">
            <v>Công</v>
          </cell>
          <cell r="E138">
            <v>2.89</v>
          </cell>
          <cell r="F138">
            <v>237000</v>
          </cell>
          <cell r="G138">
            <v>684930</v>
          </cell>
        </row>
        <row r="139">
          <cell r="B139" t="str">
            <v>NC1507</v>
          </cell>
          <cell r="C139" t="str">
            <v>+ Nhân công bậc 5,0/7</v>
          </cell>
          <cell r="D139" t="str">
            <v>Công</v>
          </cell>
          <cell r="E139">
            <v>1.24</v>
          </cell>
          <cell r="F139">
            <v>228897.02631578947</v>
          </cell>
          <cell r="G139">
            <v>283832.31263157894</v>
          </cell>
        </row>
        <row r="140">
          <cell r="C140" t="str">
            <v>Máy thi công</v>
          </cell>
          <cell r="G140">
            <v>41009.318249999997</v>
          </cell>
        </row>
        <row r="141">
          <cell r="B141">
            <v>7075</v>
          </cell>
          <cell r="C141" t="str">
            <v>Máy đo điện trở tiếp xúc</v>
          </cell>
          <cell r="D141" t="str">
            <v>ca</v>
          </cell>
          <cell r="E141">
            <v>4.1000000000000002E-2</v>
          </cell>
          <cell r="F141">
            <v>78678.750000000015</v>
          </cell>
          <cell r="G141">
            <v>3225.8287500000006</v>
          </cell>
        </row>
        <row r="142">
          <cell r="B142">
            <v>7068</v>
          </cell>
          <cell r="C142" t="str">
            <v>Mê gôm mét</v>
          </cell>
          <cell r="D142" t="str">
            <v>ca</v>
          </cell>
          <cell r="E142">
            <v>7.2999999999999995E-2</v>
          </cell>
          <cell r="F142">
            <v>37834.5</v>
          </cell>
          <cell r="G142">
            <v>2761.9184999999998</v>
          </cell>
        </row>
        <row r="143">
          <cell r="B143">
            <v>7069</v>
          </cell>
          <cell r="C143" t="str">
            <v>Hợp bộ thí nghiệm cao áp</v>
          </cell>
          <cell r="D143" t="str">
            <v>ca</v>
          </cell>
          <cell r="E143">
            <v>9.1999999999999998E-2</v>
          </cell>
          <cell r="F143">
            <v>380669.25</v>
          </cell>
          <cell r="G143">
            <v>35021.570999999996</v>
          </cell>
        </row>
        <row r="144">
          <cell r="A144" t="str">
            <v>EB.71010</v>
          </cell>
          <cell r="C144" t="str">
            <v>Aptômát và khởi động từ, dòng điện &gt;2000A</v>
          </cell>
          <cell r="H144">
            <v>9950</v>
          </cell>
          <cell r="I144">
            <v>548402.56381578953</v>
          </cell>
          <cell r="J144">
            <v>90947.34599999999</v>
          </cell>
        </row>
        <row r="145">
          <cell r="C145" t="str">
            <v>Vật liệu</v>
          </cell>
          <cell r="G145">
            <v>9950</v>
          </cell>
        </row>
        <row r="146">
          <cell r="B146">
            <v>137</v>
          </cell>
          <cell r="C146" t="str">
            <v>Điện năng</v>
          </cell>
          <cell r="D146" t="str">
            <v>KWh</v>
          </cell>
          <cell r="E146">
            <v>3</v>
          </cell>
          <cell r="F146">
            <v>1500</v>
          </cell>
          <cell r="G146">
            <v>4500</v>
          </cell>
        </row>
        <row r="147">
          <cell r="B147">
            <v>148</v>
          </cell>
          <cell r="C147" t="str">
            <v>Dây điện 2 x 1,5mm2</v>
          </cell>
          <cell r="D147" t="str">
            <v>m</v>
          </cell>
          <cell r="E147">
            <v>0.2</v>
          </cell>
          <cell r="F147">
            <v>7500</v>
          </cell>
          <cell r="G147">
            <v>1500</v>
          </cell>
        </row>
        <row r="148">
          <cell r="B148">
            <v>9</v>
          </cell>
          <cell r="C148" t="str">
            <v>Giẻ lau</v>
          </cell>
          <cell r="D148" t="str">
            <v>kg</v>
          </cell>
          <cell r="E148">
            <v>0.1</v>
          </cell>
          <cell r="F148">
            <v>9500</v>
          </cell>
          <cell r="G148">
            <v>950</v>
          </cell>
        </row>
        <row r="149">
          <cell r="B149">
            <v>4</v>
          </cell>
          <cell r="C149" t="str">
            <v>Giấy nhám số 0</v>
          </cell>
          <cell r="D149" t="str">
            <v>tờ</v>
          </cell>
          <cell r="E149">
            <v>0.3</v>
          </cell>
          <cell r="F149">
            <v>10000</v>
          </cell>
          <cell r="G149">
            <v>3000</v>
          </cell>
        </row>
        <row r="150">
          <cell r="C150" t="str">
            <v>Nhân công</v>
          </cell>
          <cell r="G150">
            <v>548402.56381578953</v>
          </cell>
        </row>
        <row r="151">
          <cell r="B151" t="str">
            <v>KS3</v>
          </cell>
          <cell r="C151" t="str">
            <v>+ Kỹ sư bậc 3,0/8</v>
          </cell>
          <cell r="D151" t="str">
            <v>Công</v>
          </cell>
          <cell r="E151">
            <v>1.85</v>
          </cell>
          <cell r="F151">
            <v>213300</v>
          </cell>
          <cell r="G151">
            <v>394605</v>
          </cell>
        </row>
        <row r="152">
          <cell r="B152" t="str">
            <v>NC1407</v>
          </cell>
          <cell r="C152" t="str">
            <v>+ Nhân công bậc 4,0/7</v>
          </cell>
          <cell r="D152" t="str">
            <v>Công</v>
          </cell>
          <cell r="E152">
            <v>0.79</v>
          </cell>
          <cell r="F152">
            <v>194680.46052631579</v>
          </cell>
          <cell r="G152">
            <v>153797.56381578947</v>
          </cell>
        </row>
        <row r="153">
          <cell r="C153" t="str">
            <v>Máy thi công</v>
          </cell>
          <cell r="G153">
            <v>90947.34599999999</v>
          </cell>
        </row>
        <row r="154">
          <cell r="B154">
            <v>7079</v>
          </cell>
          <cell r="C154" t="str">
            <v>thiết bị tạo dòng</v>
          </cell>
          <cell r="D154" t="str">
            <v>ca</v>
          </cell>
          <cell r="E154">
            <v>0.20399999999999999</v>
          </cell>
          <cell r="F154">
            <v>374821.5</v>
          </cell>
          <cell r="G154">
            <v>76463.585999999996</v>
          </cell>
        </row>
        <row r="155">
          <cell r="B155">
            <v>7068</v>
          </cell>
          <cell r="C155" t="str">
            <v>Mê gôm mét</v>
          </cell>
          <cell r="D155" t="str">
            <v>ca</v>
          </cell>
          <cell r="E155">
            <v>0.1</v>
          </cell>
          <cell r="F155">
            <v>37834.5</v>
          </cell>
          <cell r="G155">
            <v>3783.4500000000003</v>
          </cell>
        </row>
        <row r="156">
          <cell r="B156">
            <v>7075</v>
          </cell>
          <cell r="C156" t="str">
            <v>Máy đo điện trở tiếp xúc</v>
          </cell>
          <cell r="D156" t="str">
            <v>ca</v>
          </cell>
          <cell r="E156">
            <v>0.13600000000000001</v>
          </cell>
          <cell r="F156">
            <v>78678.750000000015</v>
          </cell>
          <cell r="G156">
            <v>10700.310000000003</v>
          </cell>
        </row>
        <row r="157">
          <cell r="A157" t="str">
            <v>EB.71020</v>
          </cell>
          <cell r="C157" t="str">
            <v>Aptômát và khởi động từ, dòng điện 1000-2000A</v>
          </cell>
          <cell r="H157">
            <v>7960</v>
          </cell>
          <cell r="I157">
            <v>392523.86249999999</v>
          </cell>
          <cell r="J157">
            <v>72698.648250000013</v>
          </cell>
        </row>
        <row r="158">
          <cell r="C158" t="str">
            <v>Vật liệu</v>
          </cell>
          <cell r="G158">
            <v>7960</v>
          </cell>
        </row>
        <row r="159">
          <cell r="B159">
            <v>137</v>
          </cell>
          <cell r="C159" t="str">
            <v>Điện năng</v>
          </cell>
          <cell r="D159" t="str">
            <v>KWh</v>
          </cell>
          <cell r="E159">
            <v>2.4</v>
          </cell>
          <cell r="F159">
            <v>1500</v>
          </cell>
          <cell r="G159">
            <v>3600</v>
          </cell>
        </row>
        <row r="160">
          <cell r="B160">
            <v>148</v>
          </cell>
          <cell r="C160" t="str">
            <v>Dây điện 2 x 1,5mm2</v>
          </cell>
          <cell r="D160" t="str">
            <v>m</v>
          </cell>
          <cell r="E160">
            <v>0.16</v>
          </cell>
          <cell r="F160">
            <v>7500</v>
          </cell>
          <cell r="G160">
            <v>1200</v>
          </cell>
        </row>
        <row r="161">
          <cell r="B161">
            <v>9</v>
          </cell>
          <cell r="C161" t="str">
            <v>Giẻ lau</v>
          </cell>
          <cell r="D161" t="str">
            <v>kg</v>
          </cell>
          <cell r="E161">
            <v>0.08</v>
          </cell>
          <cell r="F161">
            <v>9500</v>
          </cell>
          <cell r="G161">
            <v>760</v>
          </cell>
        </row>
        <row r="162">
          <cell r="B162">
            <v>4</v>
          </cell>
          <cell r="C162" t="str">
            <v>Giấy nhám số 0</v>
          </cell>
          <cell r="D162" t="str">
            <v>tờ</v>
          </cell>
          <cell r="E162">
            <v>0.24</v>
          </cell>
          <cell r="F162">
            <v>10000</v>
          </cell>
          <cell r="G162">
            <v>2400</v>
          </cell>
        </row>
        <row r="163">
          <cell r="C163" t="str">
            <v>Nhân công</v>
          </cell>
          <cell r="G163">
            <v>392523.86249999999</v>
          </cell>
        </row>
        <row r="164">
          <cell r="B164" t="str">
            <v>KS3</v>
          </cell>
          <cell r="C164" t="str">
            <v>+ Kỹ sư bậc 3,0/8</v>
          </cell>
          <cell r="D164" t="str">
            <v>Công</v>
          </cell>
          <cell r="E164">
            <v>1.32</v>
          </cell>
          <cell r="F164">
            <v>213300</v>
          </cell>
          <cell r="G164">
            <v>281556</v>
          </cell>
        </row>
        <row r="165">
          <cell r="B165" t="str">
            <v>NC1407</v>
          </cell>
          <cell r="C165" t="str">
            <v>+ Nhân công bậc 4,0/7</v>
          </cell>
          <cell r="D165" t="str">
            <v>Công</v>
          </cell>
          <cell r="E165">
            <v>0.56999999999999995</v>
          </cell>
          <cell r="F165">
            <v>194680.46052631579</v>
          </cell>
          <cell r="G165">
            <v>110967.86249999999</v>
          </cell>
        </row>
        <row r="166">
          <cell r="C166" t="str">
            <v>Máy thi công</v>
          </cell>
          <cell r="G166">
            <v>72698.648250000013</v>
          </cell>
        </row>
        <row r="167">
          <cell r="B167">
            <v>7079</v>
          </cell>
          <cell r="C167" t="str">
            <v>thiết bị tạo dòng</v>
          </cell>
          <cell r="D167" t="str">
            <v>ca</v>
          </cell>
          <cell r="E167">
            <v>0.16300000000000001</v>
          </cell>
          <cell r="F167">
            <v>374821.5</v>
          </cell>
          <cell r="G167">
            <v>61095.904500000004</v>
          </cell>
        </row>
        <row r="168">
          <cell r="B168">
            <v>7068</v>
          </cell>
          <cell r="C168" t="str">
            <v>Mê gôm mét</v>
          </cell>
          <cell r="D168" t="str">
            <v>ca</v>
          </cell>
          <cell r="E168">
            <v>0.08</v>
          </cell>
          <cell r="F168">
            <v>37834.5</v>
          </cell>
          <cell r="G168">
            <v>3026.76</v>
          </cell>
        </row>
        <row r="169">
          <cell r="B169">
            <v>7075</v>
          </cell>
          <cell r="C169" t="str">
            <v>Máy đo điện trở tiếp xúc</v>
          </cell>
          <cell r="D169" t="str">
            <v>ca</v>
          </cell>
          <cell r="E169">
            <v>0.109</v>
          </cell>
          <cell r="F169">
            <v>78678.750000000015</v>
          </cell>
          <cell r="G169">
            <v>8575.9837500000012</v>
          </cell>
        </row>
        <row r="170">
          <cell r="A170" t="str">
            <v>EB.71030</v>
          </cell>
          <cell r="C170" t="str">
            <v>Aptômát và khởi động từ, dòng điện 500-&lt;1000A</v>
          </cell>
          <cell r="H170">
            <v>6368</v>
          </cell>
          <cell r="I170">
            <v>276241.18421052629</v>
          </cell>
          <cell r="J170">
            <v>58368.075750000004</v>
          </cell>
        </row>
        <row r="171">
          <cell r="C171" t="str">
            <v>Vật liệu</v>
          </cell>
          <cell r="G171">
            <v>6368</v>
          </cell>
        </row>
        <row r="172">
          <cell r="B172">
            <v>137</v>
          </cell>
          <cell r="C172" t="str">
            <v>Điện năng</v>
          </cell>
          <cell r="D172" t="str">
            <v>KWh</v>
          </cell>
          <cell r="E172">
            <v>1.92</v>
          </cell>
          <cell r="F172">
            <v>1500</v>
          </cell>
          <cell r="G172">
            <v>2880</v>
          </cell>
        </row>
        <row r="173">
          <cell r="B173">
            <v>148</v>
          </cell>
          <cell r="C173" t="str">
            <v>Dây điện 2 x 1,5mm2</v>
          </cell>
          <cell r="D173" t="str">
            <v>m</v>
          </cell>
          <cell r="E173">
            <v>0.128</v>
          </cell>
          <cell r="F173">
            <v>7500</v>
          </cell>
          <cell r="G173">
            <v>960</v>
          </cell>
        </row>
        <row r="174">
          <cell r="B174">
            <v>9</v>
          </cell>
          <cell r="C174" t="str">
            <v>Giẻ lau</v>
          </cell>
          <cell r="D174" t="str">
            <v>kg</v>
          </cell>
          <cell r="E174">
            <v>6.4000000000000001E-2</v>
          </cell>
          <cell r="F174">
            <v>9500</v>
          </cell>
          <cell r="G174">
            <v>608</v>
          </cell>
        </row>
        <row r="175">
          <cell r="B175">
            <v>4</v>
          </cell>
          <cell r="C175" t="str">
            <v>Giấy nhám số 0</v>
          </cell>
          <cell r="D175" t="str">
            <v>tờ</v>
          </cell>
          <cell r="E175">
            <v>0.192</v>
          </cell>
          <cell r="F175">
            <v>10000</v>
          </cell>
          <cell r="G175">
            <v>1920</v>
          </cell>
        </row>
        <row r="176">
          <cell r="C176" t="str">
            <v>Nhân công</v>
          </cell>
          <cell r="G176">
            <v>276241.18421052629</v>
          </cell>
        </row>
        <row r="177">
          <cell r="B177" t="str">
            <v>KS3</v>
          </cell>
          <cell r="C177" t="str">
            <v>+ Kỹ sư bậc 3,0/8</v>
          </cell>
          <cell r="D177" t="str">
            <v>Công</v>
          </cell>
          <cell r="E177">
            <v>0.93</v>
          </cell>
          <cell r="F177">
            <v>213300</v>
          </cell>
          <cell r="G177">
            <v>198369</v>
          </cell>
        </row>
        <row r="178">
          <cell r="B178" t="str">
            <v>NC1407</v>
          </cell>
          <cell r="C178" t="str">
            <v>+ Nhân công bậc 4,0/7</v>
          </cell>
          <cell r="D178" t="str">
            <v>Công</v>
          </cell>
          <cell r="E178">
            <v>0.4</v>
          </cell>
          <cell r="F178">
            <v>194680.46052631579</v>
          </cell>
          <cell r="G178">
            <v>77872.18421052632</v>
          </cell>
        </row>
        <row r="179">
          <cell r="C179" t="str">
            <v>Máy thi công</v>
          </cell>
          <cell r="G179">
            <v>58368.075750000004</v>
          </cell>
        </row>
        <row r="180">
          <cell r="B180">
            <v>7079</v>
          </cell>
          <cell r="C180" t="str">
            <v>thiết bị tạo dòng</v>
          </cell>
          <cell r="D180" t="str">
            <v>ca</v>
          </cell>
          <cell r="E180">
            <v>0.13100000000000001</v>
          </cell>
          <cell r="F180">
            <v>374821.5</v>
          </cell>
          <cell r="G180">
            <v>49101.616500000004</v>
          </cell>
        </row>
        <row r="181">
          <cell r="B181">
            <v>7068</v>
          </cell>
          <cell r="C181" t="str">
            <v>Mê gôm mét</v>
          </cell>
          <cell r="D181" t="str">
            <v>ca</v>
          </cell>
          <cell r="E181">
            <v>6.4000000000000001E-2</v>
          </cell>
          <cell r="F181">
            <v>37834.5</v>
          </cell>
          <cell r="G181">
            <v>2421.4079999999999</v>
          </cell>
        </row>
        <row r="182">
          <cell r="B182">
            <v>7075</v>
          </cell>
          <cell r="C182" t="str">
            <v>Máy đo điện trở tiếp xúc</v>
          </cell>
          <cell r="D182" t="str">
            <v>ca</v>
          </cell>
          <cell r="E182">
            <v>8.6999999999999994E-2</v>
          </cell>
          <cell r="F182">
            <v>78678.750000000015</v>
          </cell>
          <cell r="G182">
            <v>6845.0512500000004</v>
          </cell>
        </row>
        <row r="183">
          <cell r="A183" t="str">
            <v>EB.71040</v>
          </cell>
          <cell r="C183" t="str">
            <v>Aptômát và khởi động từ, dòng điện 300-&lt;500A</v>
          </cell>
          <cell r="H183">
            <v>5093.5</v>
          </cell>
          <cell r="I183">
            <v>220139.74736842106</v>
          </cell>
          <cell r="J183">
            <v>46418.508000000009</v>
          </cell>
        </row>
        <row r="184">
          <cell r="C184" t="str">
            <v>Vật liệu</v>
          </cell>
          <cell r="G184">
            <v>5093.5</v>
          </cell>
        </row>
        <row r="185">
          <cell r="B185">
            <v>137</v>
          </cell>
          <cell r="C185" t="str">
            <v>Điện năng</v>
          </cell>
          <cell r="D185" t="str">
            <v>KWh</v>
          </cell>
          <cell r="E185">
            <v>1.536</v>
          </cell>
          <cell r="F185">
            <v>1500</v>
          </cell>
          <cell r="G185">
            <v>2304</v>
          </cell>
        </row>
        <row r="186">
          <cell r="B186">
            <v>148</v>
          </cell>
          <cell r="C186" t="str">
            <v>Dây điện 2 x 1,5mm2</v>
          </cell>
          <cell r="D186" t="str">
            <v>m</v>
          </cell>
          <cell r="E186">
            <v>0.10199999999999999</v>
          </cell>
          <cell r="F186">
            <v>7500</v>
          </cell>
          <cell r="G186">
            <v>765</v>
          </cell>
        </row>
        <row r="187">
          <cell r="B187">
            <v>9</v>
          </cell>
          <cell r="C187" t="str">
            <v>Giẻ lau</v>
          </cell>
          <cell r="D187" t="str">
            <v>kg</v>
          </cell>
          <cell r="E187">
            <v>5.0999999999999997E-2</v>
          </cell>
          <cell r="F187">
            <v>9500</v>
          </cell>
          <cell r="G187">
            <v>484.49999999999994</v>
          </cell>
        </row>
        <row r="188">
          <cell r="B188">
            <v>4</v>
          </cell>
          <cell r="C188" t="str">
            <v>Giấy nhám số 0</v>
          </cell>
          <cell r="D188" t="str">
            <v>tờ</v>
          </cell>
          <cell r="E188">
            <v>0.154</v>
          </cell>
          <cell r="F188">
            <v>10000</v>
          </cell>
          <cell r="G188">
            <v>1540</v>
          </cell>
        </row>
        <row r="189">
          <cell r="C189" t="str">
            <v>Nhân công</v>
          </cell>
          <cell r="G189">
            <v>220139.74736842106</v>
          </cell>
        </row>
        <row r="190">
          <cell r="B190" t="str">
            <v>KS3</v>
          </cell>
          <cell r="C190" t="str">
            <v>+ Kỹ sư bậc 3,0/8</v>
          </cell>
          <cell r="D190" t="str">
            <v>Công</v>
          </cell>
          <cell r="E190">
            <v>0.74</v>
          </cell>
          <cell r="F190">
            <v>213300</v>
          </cell>
          <cell r="G190">
            <v>157842</v>
          </cell>
        </row>
        <row r="191">
          <cell r="B191" t="str">
            <v>NC1407</v>
          </cell>
          <cell r="C191" t="str">
            <v>+ Nhân công bậc 4,0/7</v>
          </cell>
          <cell r="D191" t="str">
            <v>Công</v>
          </cell>
          <cell r="E191">
            <v>0.32</v>
          </cell>
          <cell r="F191">
            <v>194680.46052631579</v>
          </cell>
          <cell r="G191">
            <v>62297.747368421056</v>
          </cell>
        </row>
        <row r="192">
          <cell r="C192" t="str">
            <v>Máy thi công</v>
          </cell>
          <cell r="G192">
            <v>46418.508000000009</v>
          </cell>
        </row>
        <row r="193">
          <cell r="B193">
            <v>7079</v>
          </cell>
          <cell r="C193" t="str">
            <v>thiết bị tạo dòng</v>
          </cell>
          <cell r="D193" t="str">
            <v>ca</v>
          </cell>
          <cell r="E193">
            <v>0.104</v>
          </cell>
          <cell r="F193">
            <v>374821.5</v>
          </cell>
          <cell r="G193">
            <v>38981.436000000002</v>
          </cell>
        </row>
        <row r="194">
          <cell r="B194">
            <v>7068</v>
          </cell>
          <cell r="C194" t="str">
            <v>Mê gôm mét</v>
          </cell>
          <cell r="D194" t="str">
            <v>ca</v>
          </cell>
          <cell r="E194">
            <v>5.0999999999999997E-2</v>
          </cell>
          <cell r="F194">
            <v>37834.5</v>
          </cell>
          <cell r="G194">
            <v>1929.5594999999998</v>
          </cell>
        </row>
        <row r="195">
          <cell r="B195">
            <v>7075</v>
          </cell>
          <cell r="C195" t="str">
            <v>Máy đo điện trở tiếp xúc</v>
          </cell>
          <cell r="D195" t="str">
            <v>ca</v>
          </cell>
          <cell r="E195">
            <v>7.0000000000000007E-2</v>
          </cell>
          <cell r="F195">
            <v>78678.750000000015</v>
          </cell>
          <cell r="G195">
            <v>5507.5125000000016</v>
          </cell>
        </row>
        <row r="196">
          <cell r="A196" t="str">
            <v>EB.72010</v>
          </cell>
          <cell r="C196" t="str">
            <v>Aptômát và khởi động từ, dòng điện &lt;300A</v>
          </cell>
          <cell r="H196">
            <v>3574.5</v>
          </cell>
          <cell r="I196">
            <v>195288.52894736844</v>
          </cell>
          <cell r="J196">
            <v>32579.270250000001</v>
          </cell>
        </row>
        <row r="197">
          <cell r="C197" t="str">
            <v>Vật liệu</v>
          </cell>
          <cell r="G197">
            <v>3574.5</v>
          </cell>
        </row>
        <row r="198">
          <cell r="B198">
            <v>137</v>
          </cell>
          <cell r="C198" t="str">
            <v>Điện năng</v>
          </cell>
          <cell r="D198" t="str">
            <v>KWh</v>
          </cell>
          <cell r="E198">
            <v>1.075</v>
          </cell>
          <cell r="F198">
            <v>1500</v>
          </cell>
          <cell r="G198">
            <v>1612.5</v>
          </cell>
        </row>
        <row r="199">
          <cell r="B199">
            <v>148</v>
          </cell>
          <cell r="C199" t="str">
            <v>Dây điện 2 x 1,5mm2</v>
          </cell>
          <cell r="D199" t="str">
            <v>m</v>
          </cell>
          <cell r="E199">
            <v>7.1999999999999995E-2</v>
          </cell>
          <cell r="F199">
            <v>7500</v>
          </cell>
          <cell r="G199">
            <v>540</v>
          </cell>
        </row>
        <row r="200">
          <cell r="B200">
            <v>9</v>
          </cell>
          <cell r="C200" t="str">
            <v>Giẻ lau</v>
          </cell>
          <cell r="D200" t="str">
            <v>kg</v>
          </cell>
          <cell r="E200">
            <v>3.5999999999999997E-2</v>
          </cell>
          <cell r="F200">
            <v>9500</v>
          </cell>
          <cell r="G200">
            <v>342</v>
          </cell>
        </row>
        <row r="201">
          <cell r="B201">
            <v>4</v>
          </cell>
          <cell r="C201" t="str">
            <v>Giấy nhám số 0</v>
          </cell>
          <cell r="D201" t="str">
            <v>tờ</v>
          </cell>
          <cell r="E201">
            <v>0.108</v>
          </cell>
          <cell r="F201">
            <v>10000</v>
          </cell>
          <cell r="G201">
            <v>1080</v>
          </cell>
        </row>
        <row r="202">
          <cell r="C202" t="str">
            <v>Nhân công</v>
          </cell>
          <cell r="G202">
            <v>195288.52894736844</v>
          </cell>
        </row>
        <row r="203">
          <cell r="B203" t="str">
            <v>KS3</v>
          </cell>
          <cell r="C203" t="str">
            <v>+ Kỹ sư bậc 3,0/8</v>
          </cell>
          <cell r="D203" t="str">
            <v>Công</v>
          </cell>
          <cell r="E203">
            <v>0.66</v>
          </cell>
          <cell r="F203">
            <v>213300</v>
          </cell>
          <cell r="G203">
            <v>140778</v>
          </cell>
        </row>
        <row r="204">
          <cell r="B204" t="str">
            <v>NC1407</v>
          </cell>
          <cell r="C204" t="str">
            <v>+ Nhân công bậc 4,0/7</v>
          </cell>
          <cell r="D204" t="str">
            <v>Công</v>
          </cell>
          <cell r="E204">
            <v>0.28000000000000003</v>
          </cell>
          <cell r="F204">
            <v>194680.46052631579</v>
          </cell>
          <cell r="G204">
            <v>54510.528947368424</v>
          </cell>
        </row>
        <row r="205">
          <cell r="C205" t="str">
            <v>Máy thi công</v>
          </cell>
          <cell r="G205">
            <v>32579.270250000001</v>
          </cell>
        </row>
        <row r="206">
          <cell r="B206">
            <v>7079</v>
          </cell>
          <cell r="C206" t="str">
            <v>thiết bị tạo dòng</v>
          </cell>
          <cell r="D206" t="str">
            <v>ca</v>
          </cell>
          <cell r="E206">
            <v>7.2999999999999995E-2</v>
          </cell>
          <cell r="F206">
            <v>374821.5</v>
          </cell>
          <cell r="G206">
            <v>27361.969499999999</v>
          </cell>
        </row>
        <row r="207">
          <cell r="B207">
            <v>7068</v>
          </cell>
          <cell r="C207" t="str">
            <v>Mê gôm mét</v>
          </cell>
          <cell r="D207" t="str">
            <v>ca</v>
          </cell>
          <cell r="E207">
            <v>3.5999999999999997E-2</v>
          </cell>
          <cell r="F207">
            <v>37834.5</v>
          </cell>
          <cell r="G207">
            <v>1362.0419999999999</v>
          </cell>
        </row>
        <row r="208">
          <cell r="B208">
            <v>7075</v>
          </cell>
          <cell r="C208" t="str">
            <v>Máy đo điện trở tiếp xúc</v>
          </cell>
          <cell r="D208" t="str">
            <v>ca</v>
          </cell>
          <cell r="E208">
            <v>4.9000000000000002E-2</v>
          </cell>
          <cell r="F208">
            <v>78678.750000000015</v>
          </cell>
          <cell r="G208">
            <v>3855.2587500000009</v>
          </cell>
        </row>
        <row r="209">
          <cell r="A209" t="str">
            <v>EB.72020</v>
          </cell>
          <cell r="C209" t="str">
            <v>Aptômát và khởi động từ, dòng điện ≤100A</v>
          </cell>
          <cell r="H209">
            <v>2492</v>
          </cell>
          <cell r="I209">
            <v>137054.09210526315</v>
          </cell>
          <cell r="J209">
            <v>22736.836499999998</v>
          </cell>
        </row>
        <row r="210">
          <cell r="C210" t="str">
            <v>Vật liệu</v>
          </cell>
          <cell r="G210">
            <v>2492</v>
          </cell>
        </row>
        <row r="211">
          <cell r="B211">
            <v>137</v>
          </cell>
          <cell r="C211" t="str">
            <v>Điện năng</v>
          </cell>
          <cell r="D211" t="str">
            <v>KWh</v>
          </cell>
          <cell r="E211">
            <v>0.753</v>
          </cell>
          <cell r="F211">
            <v>1500</v>
          </cell>
          <cell r="G211">
            <v>1129.5</v>
          </cell>
        </row>
        <row r="212">
          <cell r="B212">
            <v>148</v>
          </cell>
          <cell r="C212" t="str">
            <v>Dây điện 2 x 1,5mm2</v>
          </cell>
          <cell r="D212" t="str">
            <v>m</v>
          </cell>
          <cell r="E212">
            <v>0.05</v>
          </cell>
          <cell r="F212">
            <v>7500</v>
          </cell>
          <cell r="G212">
            <v>375</v>
          </cell>
        </row>
        <row r="213">
          <cell r="B213">
            <v>9</v>
          </cell>
          <cell r="C213" t="str">
            <v>Giẻ lau</v>
          </cell>
          <cell r="D213" t="str">
            <v>kg</v>
          </cell>
          <cell r="E213">
            <v>2.5000000000000001E-2</v>
          </cell>
          <cell r="F213">
            <v>9500</v>
          </cell>
          <cell r="G213">
            <v>237.5</v>
          </cell>
        </row>
        <row r="214">
          <cell r="B214">
            <v>4</v>
          </cell>
          <cell r="C214" t="str">
            <v>Giấy nhám số 0</v>
          </cell>
          <cell r="D214" t="str">
            <v>tờ</v>
          </cell>
          <cell r="E214">
            <v>7.4999999999999997E-2</v>
          </cell>
          <cell r="F214">
            <v>10000</v>
          </cell>
          <cell r="G214">
            <v>750</v>
          </cell>
        </row>
        <row r="215">
          <cell r="C215" t="str">
            <v>Nhân công</v>
          </cell>
          <cell r="G215">
            <v>137054.09210526315</v>
          </cell>
        </row>
        <row r="216">
          <cell r="B216" t="str">
            <v>KS3</v>
          </cell>
          <cell r="C216" t="str">
            <v>+ Kỹ sư bậc 3,0/8</v>
          </cell>
          <cell r="D216" t="str">
            <v>Công</v>
          </cell>
          <cell r="E216">
            <v>0.46</v>
          </cell>
          <cell r="F216">
            <v>213300</v>
          </cell>
          <cell r="G216">
            <v>98118</v>
          </cell>
        </row>
        <row r="217">
          <cell r="B217" t="str">
            <v>NC1407</v>
          </cell>
          <cell r="C217" t="str">
            <v>+ Nhân công bậc 4,0/7</v>
          </cell>
          <cell r="D217" t="str">
            <v>Công</v>
          </cell>
          <cell r="E217">
            <v>0.2</v>
          </cell>
          <cell r="F217">
            <v>194680.46052631579</v>
          </cell>
          <cell r="G217">
            <v>38936.09210526316</v>
          </cell>
        </row>
        <row r="218">
          <cell r="C218" t="str">
            <v>Máy thi công</v>
          </cell>
          <cell r="G218">
            <v>22736.836499999998</v>
          </cell>
        </row>
        <row r="219">
          <cell r="B219">
            <v>7079</v>
          </cell>
          <cell r="C219" t="str">
            <v>thiết bị tạo dòng</v>
          </cell>
          <cell r="D219" t="str">
            <v>ca</v>
          </cell>
          <cell r="E219">
            <v>5.0999999999999997E-2</v>
          </cell>
          <cell r="F219">
            <v>374821.5</v>
          </cell>
          <cell r="G219">
            <v>19115.896499999999</v>
          </cell>
        </row>
        <row r="220">
          <cell r="B220">
            <v>7068</v>
          </cell>
          <cell r="C220" t="str">
            <v>Mê gôm mét</v>
          </cell>
          <cell r="D220" t="str">
            <v>ca</v>
          </cell>
          <cell r="E220">
            <v>2.5000000000000001E-2</v>
          </cell>
          <cell r="F220">
            <v>37834.5</v>
          </cell>
          <cell r="G220">
            <v>945.86250000000007</v>
          </cell>
        </row>
        <row r="221">
          <cell r="B221">
            <v>7075</v>
          </cell>
          <cell r="C221" t="str">
            <v>Máy đo điện trở tiếp xúc</v>
          </cell>
          <cell r="D221" t="str">
            <v>ca</v>
          </cell>
          <cell r="E221">
            <v>3.4000000000000002E-2</v>
          </cell>
          <cell r="F221">
            <v>78678.750000000015</v>
          </cell>
          <cell r="G221">
            <v>2675.0775000000008</v>
          </cell>
        </row>
        <row r="222">
          <cell r="A222" t="str">
            <v>EB.72030</v>
          </cell>
          <cell r="C222" t="str">
            <v>Aptômát và khởi động từ, dòng điện ≤50A</v>
          </cell>
          <cell r="H222">
            <v>1893.5</v>
          </cell>
          <cell r="I222">
            <v>103857.06907894736</v>
          </cell>
          <cell r="J222">
            <v>17382.541499999999</v>
          </cell>
        </row>
        <row r="223">
          <cell r="C223" t="str">
            <v>Vật liệu</v>
          </cell>
          <cell r="G223">
            <v>1893.5</v>
          </cell>
        </row>
        <row r="224">
          <cell r="B224">
            <v>137</v>
          </cell>
          <cell r="C224" t="str">
            <v>Điện năng</v>
          </cell>
          <cell r="D224" t="str">
            <v>KWh</v>
          </cell>
          <cell r="E224">
            <v>0.57199999999999995</v>
          </cell>
          <cell r="F224">
            <v>1500</v>
          </cell>
          <cell r="G224">
            <v>857.99999999999989</v>
          </cell>
        </row>
        <row r="225">
          <cell r="B225">
            <v>148</v>
          </cell>
          <cell r="C225" t="str">
            <v>Dây điện 2 x 1,5mm2</v>
          </cell>
          <cell r="D225" t="str">
            <v>m</v>
          </cell>
          <cell r="E225">
            <v>3.7999999999999999E-2</v>
          </cell>
          <cell r="F225">
            <v>7500</v>
          </cell>
          <cell r="G225">
            <v>285</v>
          </cell>
        </row>
        <row r="226">
          <cell r="B226">
            <v>9</v>
          </cell>
          <cell r="C226" t="str">
            <v>Giẻ lau</v>
          </cell>
          <cell r="D226" t="str">
            <v>kg</v>
          </cell>
          <cell r="E226">
            <v>1.9E-2</v>
          </cell>
          <cell r="F226">
            <v>9500</v>
          </cell>
          <cell r="G226">
            <v>180.5</v>
          </cell>
        </row>
        <row r="227">
          <cell r="B227">
            <v>4</v>
          </cell>
          <cell r="C227" t="str">
            <v>Giấy nhám số 0</v>
          </cell>
          <cell r="D227" t="str">
            <v>tờ</v>
          </cell>
          <cell r="E227">
            <v>5.7000000000000002E-2</v>
          </cell>
          <cell r="F227">
            <v>10000</v>
          </cell>
          <cell r="G227">
            <v>570</v>
          </cell>
        </row>
        <row r="228">
          <cell r="C228" t="str">
            <v>Nhân công</v>
          </cell>
          <cell r="G228">
            <v>103857.06907894736</v>
          </cell>
        </row>
        <row r="229">
          <cell r="B229" t="str">
            <v>KS3</v>
          </cell>
          <cell r="C229" t="str">
            <v>+ Kỹ sư bậc 3,0/8</v>
          </cell>
          <cell r="D229" t="str">
            <v>Công</v>
          </cell>
          <cell r="E229">
            <v>0.35</v>
          </cell>
          <cell r="F229">
            <v>213300</v>
          </cell>
          <cell r="G229">
            <v>74655</v>
          </cell>
        </row>
        <row r="230">
          <cell r="B230" t="str">
            <v>NC1407</v>
          </cell>
          <cell r="C230" t="str">
            <v>+ Nhân công bậc 4,0/7</v>
          </cell>
          <cell r="D230" t="str">
            <v>Công</v>
          </cell>
          <cell r="E230">
            <v>0.15</v>
          </cell>
          <cell r="F230">
            <v>194680.46052631579</v>
          </cell>
          <cell r="G230">
            <v>29202.069078947367</v>
          </cell>
        </row>
        <row r="231">
          <cell r="C231" t="str">
            <v>Máy thi công</v>
          </cell>
          <cell r="G231">
            <v>17382.541499999999</v>
          </cell>
        </row>
        <row r="232">
          <cell r="B232">
            <v>7079</v>
          </cell>
          <cell r="C232" t="str">
            <v>thiết bị tạo dòng</v>
          </cell>
          <cell r="D232" t="str">
            <v>ca</v>
          </cell>
          <cell r="E232">
            <v>3.9E-2</v>
          </cell>
          <cell r="F232">
            <v>374821.5</v>
          </cell>
          <cell r="G232">
            <v>14618.038500000001</v>
          </cell>
        </row>
        <row r="233">
          <cell r="B233">
            <v>7068</v>
          </cell>
          <cell r="C233" t="str">
            <v>Mê gôm mét</v>
          </cell>
          <cell r="D233" t="str">
            <v>ca</v>
          </cell>
          <cell r="E233">
            <v>1.9E-2</v>
          </cell>
          <cell r="F233">
            <v>37834.5</v>
          </cell>
          <cell r="G233">
            <v>718.85550000000001</v>
          </cell>
        </row>
        <row r="234">
          <cell r="B234">
            <v>7075</v>
          </cell>
          <cell r="C234" t="str">
            <v>Máy đo điện trở tiếp xúc</v>
          </cell>
          <cell r="D234" t="str">
            <v>ca</v>
          </cell>
          <cell r="E234">
            <v>2.5999999999999999E-2</v>
          </cell>
          <cell r="F234">
            <v>78678.750000000015</v>
          </cell>
          <cell r="G234">
            <v>2045.6475000000003</v>
          </cell>
        </row>
        <row r="235">
          <cell r="A235" t="str">
            <v>EB.72040</v>
          </cell>
          <cell r="C235" t="str">
            <v>Aptômát và khởi động từ, dòng điện ≤10A</v>
          </cell>
          <cell r="H235">
            <v>1131.5</v>
          </cell>
          <cell r="I235">
            <v>62314.241447368418</v>
          </cell>
          <cell r="J235">
            <v>10295.934000000001</v>
          </cell>
        </row>
        <row r="236">
          <cell r="C236" t="str">
            <v>Vật liệu</v>
          </cell>
          <cell r="G236">
            <v>1131.5</v>
          </cell>
        </row>
        <row r="237">
          <cell r="B237">
            <v>137</v>
          </cell>
          <cell r="C237" t="str">
            <v>Điện năng</v>
          </cell>
          <cell r="D237" t="str">
            <v>KWh</v>
          </cell>
          <cell r="E237">
            <v>0.34300000000000003</v>
          </cell>
          <cell r="F237">
            <v>1500</v>
          </cell>
          <cell r="G237">
            <v>514.5</v>
          </cell>
        </row>
        <row r="238">
          <cell r="B238">
            <v>148</v>
          </cell>
          <cell r="C238" t="str">
            <v>Dây điện 2 x 1,5mm2</v>
          </cell>
          <cell r="D238" t="str">
            <v>m</v>
          </cell>
          <cell r="E238">
            <v>2.3E-2</v>
          </cell>
          <cell r="F238">
            <v>7500</v>
          </cell>
          <cell r="G238">
            <v>172.5</v>
          </cell>
        </row>
        <row r="239">
          <cell r="B239">
            <v>9</v>
          </cell>
          <cell r="C239" t="str">
            <v>Giẻ lau</v>
          </cell>
          <cell r="D239" t="str">
            <v>kg</v>
          </cell>
          <cell r="E239">
            <v>1.0999999999999999E-2</v>
          </cell>
          <cell r="F239">
            <v>9500</v>
          </cell>
          <cell r="G239">
            <v>104.5</v>
          </cell>
        </row>
        <row r="240">
          <cell r="B240">
            <v>4</v>
          </cell>
          <cell r="C240" t="str">
            <v>Giấy nhám số 0</v>
          </cell>
          <cell r="D240" t="str">
            <v>tờ</v>
          </cell>
          <cell r="E240">
            <v>3.4000000000000002E-2</v>
          </cell>
          <cell r="F240">
            <v>10000</v>
          </cell>
          <cell r="G240">
            <v>340</v>
          </cell>
        </row>
        <row r="241">
          <cell r="C241" t="str">
            <v>Nhân công</v>
          </cell>
          <cell r="G241">
            <v>62314.241447368418</v>
          </cell>
        </row>
        <row r="242">
          <cell r="B242" t="str">
            <v>KS3</v>
          </cell>
          <cell r="C242" t="str">
            <v>+ Kỹ sư bậc 3,0/8</v>
          </cell>
          <cell r="D242" t="str">
            <v>Công</v>
          </cell>
          <cell r="E242">
            <v>0.21</v>
          </cell>
          <cell r="F242">
            <v>213300</v>
          </cell>
          <cell r="G242">
            <v>44793</v>
          </cell>
        </row>
        <row r="243">
          <cell r="B243" t="str">
            <v>NC1407</v>
          </cell>
          <cell r="C243" t="str">
            <v>+ Nhân công bậc 4,0/7</v>
          </cell>
          <cell r="D243" t="str">
            <v>Công</v>
          </cell>
          <cell r="E243">
            <v>0.09</v>
          </cell>
          <cell r="F243">
            <v>194680.46052631579</v>
          </cell>
          <cell r="G243">
            <v>17521.241447368418</v>
          </cell>
        </row>
        <row r="244">
          <cell r="C244" t="str">
            <v>Máy thi công</v>
          </cell>
          <cell r="G244">
            <v>10295.934000000001</v>
          </cell>
        </row>
        <row r="245">
          <cell r="B245">
            <v>7079</v>
          </cell>
          <cell r="C245" t="str">
            <v>thiết bị tạo dòng</v>
          </cell>
          <cell r="D245" t="str">
            <v>ca</v>
          </cell>
          <cell r="E245">
            <v>2.3E-2</v>
          </cell>
          <cell r="F245">
            <v>374821.5</v>
          </cell>
          <cell r="G245">
            <v>8620.8945000000003</v>
          </cell>
        </row>
        <row r="246">
          <cell r="B246">
            <v>7068</v>
          </cell>
          <cell r="C246" t="str">
            <v>Mê gôm mét</v>
          </cell>
          <cell r="D246" t="str">
            <v>ca</v>
          </cell>
          <cell r="E246">
            <v>1.0999999999999999E-2</v>
          </cell>
          <cell r="F246">
            <v>37834.5</v>
          </cell>
          <cell r="G246">
            <v>416.17949999999996</v>
          </cell>
        </row>
        <row r="247">
          <cell r="B247">
            <v>7075</v>
          </cell>
          <cell r="C247" t="str">
            <v>Máy đo điện trở tiếp xúc</v>
          </cell>
          <cell r="D247" t="str">
            <v>ca</v>
          </cell>
          <cell r="E247">
            <v>1.6E-2</v>
          </cell>
          <cell r="F247">
            <v>78678.750000000015</v>
          </cell>
          <cell r="G247">
            <v>1258.8600000000004</v>
          </cell>
        </row>
        <row r="248">
          <cell r="A248" t="str">
            <v>EC.11040</v>
          </cell>
          <cell r="C248" t="str">
            <v>CSV 22-35 kV</v>
          </cell>
          <cell r="H248">
            <v>2696</v>
          </cell>
          <cell r="I248">
            <v>88926.069078947374</v>
          </cell>
          <cell r="J248">
            <v>22031.685000000001</v>
          </cell>
        </row>
        <row r="249">
          <cell r="C249" t="str">
            <v>Vật liệu</v>
          </cell>
          <cell r="G249">
            <v>2696</v>
          </cell>
        </row>
        <row r="250">
          <cell r="B250">
            <v>137</v>
          </cell>
          <cell r="C250" t="str">
            <v>Điện năng</v>
          </cell>
          <cell r="D250" t="str">
            <v>KWh</v>
          </cell>
          <cell r="E250">
            <v>0.32400000000000001</v>
          </cell>
          <cell r="F250">
            <v>1500</v>
          </cell>
          <cell r="G250">
            <v>486</v>
          </cell>
        </row>
        <row r="251">
          <cell r="B251">
            <v>9</v>
          </cell>
          <cell r="C251" t="str">
            <v>giẻ lau</v>
          </cell>
          <cell r="D251" t="str">
            <v>kg</v>
          </cell>
          <cell r="E251">
            <v>6.5000000000000002E-2</v>
          </cell>
          <cell r="F251">
            <v>9500</v>
          </cell>
          <cell r="G251">
            <v>617.5</v>
          </cell>
        </row>
        <row r="252">
          <cell r="B252">
            <v>1</v>
          </cell>
          <cell r="C252" t="str">
            <v>Côồn công nghiệp</v>
          </cell>
          <cell r="D252" t="str">
            <v>kg</v>
          </cell>
          <cell r="E252">
            <v>6.5000000000000002E-2</v>
          </cell>
          <cell r="F252">
            <v>9500</v>
          </cell>
          <cell r="G252">
            <v>617.5</v>
          </cell>
        </row>
        <row r="253">
          <cell r="B253">
            <v>148</v>
          </cell>
          <cell r="C253" t="str">
            <v>dây điện 2x1,5mm2</v>
          </cell>
          <cell r="D253" t="str">
            <v>m</v>
          </cell>
          <cell r="E253">
            <v>0.13</v>
          </cell>
          <cell r="F253">
            <v>7500</v>
          </cell>
          <cell r="G253">
            <v>975</v>
          </cell>
        </row>
        <row r="254">
          <cell r="C254" t="str">
            <v>Nhân công</v>
          </cell>
          <cell r="G254">
            <v>88926.069078947374</v>
          </cell>
        </row>
        <row r="255">
          <cell r="B255" t="str">
            <v>KS3</v>
          </cell>
          <cell r="C255" t="str">
            <v>+ Kỹ sư bậc 4,0/8</v>
          </cell>
          <cell r="D255" t="str">
            <v>Công</v>
          </cell>
          <cell r="E255">
            <v>0.28000000000000003</v>
          </cell>
          <cell r="F255">
            <v>213300</v>
          </cell>
          <cell r="G255">
            <v>59724.000000000007</v>
          </cell>
        </row>
        <row r="256">
          <cell r="B256" t="str">
            <v>NC1407</v>
          </cell>
          <cell r="C256" t="str">
            <v>+ Nhân công bậc 5,0/7</v>
          </cell>
          <cell r="D256" t="str">
            <v>Công</v>
          </cell>
          <cell r="E256">
            <v>0.15</v>
          </cell>
          <cell r="F256">
            <v>194680.46052631579</v>
          </cell>
          <cell r="G256">
            <v>29202.069078947367</v>
          </cell>
        </row>
        <row r="257">
          <cell r="C257" t="str">
            <v>Máy thi công</v>
          </cell>
          <cell r="G257">
            <v>22031.685000000001</v>
          </cell>
        </row>
        <row r="258">
          <cell r="B258">
            <v>7068</v>
          </cell>
          <cell r="C258" t="str">
            <v>Mê gôm mét</v>
          </cell>
          <cell r="D258" t="str">
            <v>ca</v>
          </cell>
          <cell r="E258">
            <v>3.9E-2</v>
          </cell>
          <cell r="F258">
            <v>37834.5</v>
          </cell>
          <cell r="G258">
            <v>1475.5454999999999</v>
          </cell>
        </row>
        <row r="259">
          <cell r="B259">
            <v>7069</v>
          </cell>
          <cell r="C259" t="str">
            <v>Hợp bộ thí nghiệm cao áp</v>
          </cell>
          <cell r="D259" t="str">
            <v>ca</v>
          </cell>
          <cell r="E259">
            <v>5.3999999999999999E-2</v>
          </cell>
          <cell r="F259">
            <v>380669.25</v>
          </cell>
          <cell r="G259">
            <v>20556.139500000001</v>
          </cell>
        </row>
        <row r="260">
          <cell r="A260" t="str">
            <v>EC.12010</v>
          </cell>
          <cell r="C260" t="str">
            <v>CSV 12kV</v>
          </cell>
          <cell r="H260">
            <v>2156.5</v>
          </cell>
          <cell r="I260">
            <v>70287.655263157896</v>
          </cell>
          <cell r="J260">
            <v>17922.316500000001</v>
          </cell>
        </row>
        <row r="261">
          <cell r="C261" t="str">
            <v>Vật liệu</v>
          </cell>
          <cell r="G261">
            <v>2156.5</v>
          </cell>
        </row>
        <row r="262">
          <cell r="B262">
            <v>137</v>
          </cell>
          <cell r="C262" t="str">
            <v>Điện năng</v>
          </cell>
          <cell r="D262" t="str">
            <v>KWh</v>
          </cell>
          <cell r="E262">
            <v>0.25900000000000001</v>
          </cell>
          <cell r="F262">
            <v>1500</v>
          </cell>
          <cell r="G262">
            <v>388.5</v>
          </cell>
        </row>
        <row r="263">
          <cell r="B263">
            <v>9</v>
          </cell>
          <cell r="C263" t="str">
            <v>giẻ lau</v>
          </cell>
          <cell r="D263" t="str">
            <v>kg</v>
          </cell>
          <cell r="E263">
            <v>5.1999999999999998E-2</v>
          </cell>
          <cell r="F263">
            <v>9500</v>
          </cell>
          <cell r="G263">
            <v>494</v>
          </cell>
        </row>
        <row r="264">
          <cell r="B264">
            <v>1</v>
          </cell>
          <cell r="C264" t="str">
            <v>Côồn công nghiệp</v>
          </cell>
          <cell r="D264" t="str">
            <v>kg</v>
          </cell>
          <cell r="E264">
            <v>5.1999999999999998E-2</v>
          </cell>
          <cell r="F264">
            <v>9500</v>
          </cell>
          <cell r="G264">
            <v>494</v>
          </cell>
        </row>
        <row r="265">
          <cell r="B265">
            <v>148</v>
          </cell>
          <cell r="C265" t="str">
            <v>dây điện 2x1,5mm2</v>
          </cell>
          <cell r="D265" t="str">
            <v>m</v>
          </cell>
          <cell r="E265">
            <v>0.104</v>
          </cell>
          <cell r="F265">
            <v>7500</v>
          </cell>
          <cell r="G265">
            <v>780</v>
          </cell>
        </row>
        <row r="266">
          <cell r="C266" t="str">
            <v>Nhân công</v>
          </cell>
          <cell r="G266">
            <v>70287.655263157896</v>
          </cell>
        </row>
        <row r="267">
          <cell r="B267" t="str">
            <v>KS3</v>
          </cell>
          <cell r="C267" t="str">
            <v>+ Kỹ sư bậc 3,0/8</v>
          </cell>
          <cell r="D267" t="str">
            <v>Công</v>
          </cell>
          <cell r="E267">
            <v>0.22</v>
          </cell>
          <cell r="F267">
            <v>213300</v>
          </cell>
          <cell r="G267">
            <v>46926</v>
          </cell>
        </row>
        <row r="268">
          <cell r="B268" t="str">
            <v>NC1407</v>
          </cell>
          <cell r="C268" t="str">
            <v>+ Nhân công bậc 4,0/7</v>
          </cell>
          <cell r="D268" t="str">
            <v>Công</v>
          </cell>
          <cell r="E268">
            <v>0.12</v>
          </cell>
          <cell r="F268">
            <v>194680.46052631579</v>
          </cell>
          <cell r="G268">
            <v>23361.655263157892</v>
          </cell>
        </row>
        <row r="269">
          <cell r="C269" t="str">
            <v>Máy thi công</v>
          </cell>
          <cell r="G269">
            <v>17922.316500000001</v>
          </cell>
        </row>
        <row r="270">
          <cell r="B270">
            <v>7068</v>
          </cell>
          <cell r="C270" t="str">
            <v>Mê gôm mét</v>
          </cell>
          <cell r="D270" t="str">
            <v>ca</v>
          </cell>
          <cell r="E270">
            <v>3.1E-2</v>
          </cell>
          <cell r="F270">
            <v>37834.5</v>
          </cell>
          <cell r="G270">
            <v>1172.8695</v>
          </cell>
        </row>
        <row r="271">
          <cell r="B271">
            <v>7069</v>
          </cell>
          <cell r="C271" t="str">
            <v>Hợp bộ thí nghiệm cao áp</v>
          </cell>
          <cell r="D271" t="str">
            <v>ca</v>
          </cell>
          <cell r="E271">
            <v>4.3999999999999997E-2</v>
          </cell>
          <cell r="F271">
            <v>380669.25</v>
          </cell>
          <cell r="G271">
            <v>16749.447</v>
          </cell>
        </row>
        <row r="272">
          <cell r="A272" t="str">
            <v>EC.12030</v>
          </cell>
          <cell r="C272" t="str">
            <v>CSV Hạ thế</v>
          </cell>
          <cell r="H272">
            <v>437</v>
          </cell>
          <cell r="I272">
            <v>31064.02302631579</v>
          </cell>
          <cell r="J272">
            <v>8143.0680000000002</v>
          </cell>
        </row>
        <row r="273">
          <cell r="C273" t="str">
            <v>Vật liệu</v>
          </cell>
          <cell r="G273">
            <v>437</v>
          </cell>
        </row>
        <row r="274">
          <cell r="B274">
            <v>137</v>
          </cell>
          <cell r="C274" t="str">
            <v>Điện năng</v>
          </cell>
          <cell r="D274" t="str">
            <v>KWh</v>
          </cell>
          <cell r="E274">
            <v>0</v>
          </cell>
          <cell r="F274">
            <v>1500</v>
          </cell>
          <cell r="G274">
            <v>0</v>
          </cell>
        </row>
        <row r="275">
          <cell r="B275">
            <v>9</v>
          </cell>
          <cell r="C275" t="str">
            <v>giẻ lau</v>
          </cell>
          <cell r="D275" t="str">
            <v>kg</v>
          </cell>
          <cell r="E275">
            <v>2.3E-2</v>
          </cell>
          <cell r="F275">
            <v>9500</v>
          </cell>
          <cell r="G275">
            <v>218.5</v>
          </cell>
        </row>
        <row r="276">
          <cell r="B276">
            <v>1</v>
          </cell>
          <cell r="C276" t="str">
            <v>Côồn công nghiệp</v>
          </cell>
          <cell r="D276" t="str">
            <v>kg</v>
          </cell>
          <cell r="E276">
            <v>2.3E-2</v>
          </cell>
          <cell r="F276">
            <v>9500</v>
          </cell>
          <cell r="G276">
            <v>218.5</v>
          </cell>
        </row>
        <row r="277">
          <cell r="B277">
            <v>148</v>
          </cell>
          <cell r="C277" t="str">
            <v>dây điện 2x1,5mm2</v>
          </cell>
          <cell r="D277" t="str">
            <v>m</v>
          </cell>
          <cell r="F277">
            <v>7500</v>
          </cell>
          <cell r="G277">
            <v>0</v>
          </cell>
        </row>
        <row r="278">
          <cell r="C278" t="str">
            <v>Nhân công</v>
          </cell>
          <cell r="G278">
            <v>31064.02302631579</v>
          </cell>
        </row>
        <row r="279">
          <cell r="B279" t="str">
            <v>KS3</v>
          </cell>
          <cell r="C279" t="str">
            <v>+ Kỹ sư bậc 3,0/8</v>
          </cell>
          <cell r="D279" t="str">
            <v>Công</v>
          </cell>
          <cell r="E279">
            <v>0.1</v>
          </cell>
          <cell r="F279">
            <v>213300</v>
          </cell>
          <cell r="G279">
            <v>21330</v>
          </cell>
        </row>
        <row r="280">
          <cell r="B280" t="str">
            <v>NC1407</v>
          </cell>
          <cell r="C280" t="str">
            <v>+ Nhân công bậc 4,0/7</v>
          </cell>
          <cell r="D280" t="str">
            <v>Công</v>
          </cell>
          <cell r="E280">
            <v>0.05</v>
          </cell>
          <cell r="F280">
            <v>194680.46052631579</v>
          </cell>
          <cell r="G280">
            <v>9734.02302631579</v>
          </cell>
        </row>
        <row r="281">
          <cell r="C281" t="str">
            <v>Máy thi công</v>
          </cell>
          <cell r="G281">
            <v>8143.0680000000002</v>
          </cell>
        </row>
        <row r="282">
          <cell r="B282">
            <v>7068</v>
          </cell>
          <cell r="C282" t="str">
            <v>Mê gôm mét</v>
          </cell>
          <cell r="D282" t="str">
            <v>ca</v>
          </cell>
          <cell r="E282">
            <v>1.4E-2</v>
          </cell>
          <cell r="F282">
            <v>37834.5</v>
          </cell>
          <cell r="G282">
            <v>529.68299999999999</v>
          </cell>
        </row>
        <row r="283">
          <cell r="B283">
            <v>7069</v>
          </cell>
          <cell r="C283" t="str">
            <v>Hợp bộ thí nghiệm cao áp</v>
          </cell>
          <cell r="D283" t="str">
            <v>ca</v>
          </cell>
          <cell r="E283">
            <v>0.02</v>
          </cell>
          <cell r="F283">
            <v>380669.25</v>
          </cell>
          <cell r="G283">
            <v>7613.3850000000002</v>
          </cell>
        </row>
        <row r="284">
          <cell r="A284" t="str">
            <v>EE.10010</v>
          </cell>
          <cell r="C284" t="str">
            <v>Ampemet loại AC</v>
          </cell>
          <cell r="H284">
            <v>1745</v>
          </cell>
          <cell r="I284">
            <v>219208.77039473684</v>
          </cell>
          <cell r="J284">
            <v>9443.1749999999993</v>
          </cell>
        </row>
        <row r="285">
          <cell r="C285" t="str">
            <v>Vật liệu</v>
          </cell>
          <cell r="G285">
            <v>1745</v>
          </cell>
        </row>
        <row r="286">
          <cell r="B286">
            <v>137</v>
          </cell>
          <cell r="C286" t="str">
            <v>Điện năng</v>
          </cell>
          <cell r="D286" t="str">
            <v>KWh</v>
          </cell>
          <cell r="E286">
            <v>0.5</v>
          </cell>
          <cell r="F286">
            <v>1500</v>
          </cell>
          <cell r="G286">
            <v>750</v>
          </cell>
        </row>
        <row r="287">
          <cell r="B287">
            <v>6</v>
          </cell>
          <cell r="C287" t="str">
            <v>Vải phin trắng 0,8m</v>
          </cell>
          <cell r="D287" t="str">
            <v>m</v>
          </cell>
          <cell r="E287">
            <v>0.01</v>
          </cell>
          <cell r="F287">
            <v>15000</v>
          </cell>
          <cell r="G287">
            <v>150</v>
          </cell>
        </row>
        <row r="288">
          <cell r="B288">
            <v>1</v>
          </cell>
          <cell r="C288" t="str">
            <v>Côồn công nghiệp</v>
          </cell>
          <cell r="D288" t="str">
            <v>kg</v>
          </cell>
          <cell r="E288">
            <v>0.01</v>
          </cell>
          <cell r="F288">
            <v>9500</v>
          </cell>
          <cell r="G288">
            <v>95</v>
          </cell>
        </row>
        <row r="289">
          <cell r="B289">
            <v>148</v>
          </cell>
          <cell r="C289" t="str">
            <v>dây điện 2x1,5mm2</v>
          </cell>
          <cell r="D289" t="str">
            <v>m</v>
          </cell>
          <cell r="E289">
            <v>0.1</v>
          </cell>
          <cell r="F289">
            <v>7500</v>
          </cell>
          <cell r="G289">
            <v>750</v>
          </cell>
        </row>
        <row r="290">
          <cell r="C290" t="str">
            <v>Nhân công</v>
          </cell>
          <cell r="G290">
            <v>219208.77039473684</v>
          </cell>
        </row>
        <row r="291">
          <cell r="B291" t="str">
            <v>KS3</v>
          </cell>
          <cell r="C291" t="str">
            <v>+ Kỹ sư bậc 3,0/8</v>
          </cell>
          <cell r="D291" t="str">
            <v>Công</v>
          </cell>
          <cell r="E291">
            <v>0.69</v>
          </cell>
          <cell r="F291">
            <v>213300</v>
          </cell>
          <cell r="G291">
            <v>147177</v>
          </cell>
        </row>
        <row r="292">
          <cell r="B292" t="str">
            <v>NC1407</v>
          </cell>
          <cell r="C292" t="str">
            <v>+ Nhân công bậc 4,0/7</v>
          </cell>
          <cell r="D292" t="str">
            <v>Công</v>
          </cell>
          <cell r="E292">
            <v>0.37</v>
          </cell>
          <cell r="F292">
            <v>194680.46052631579</v>
          </cell>
          <cell r="G292">
            <v>72031.770394736843</v>
          </cell>
        </row>
        <row r="293">
          <cell r="C293" t="str">
            <v>Máy thi công:</v>
          </cell>
          <cell r="G293">
            <v>9443.1749999999993</v>
          </cell>
        </row>
        <row r="294">
          <cell r="B294">
            <v>7080</v>
          </cell>
          <cell r="C294" t="str">
            <v>Máy đo vạn năng</v>
          </cell>
          <cell r="D294" t="str">
            <v>ca</v>
          </cell>
          <cell r="E294">
            <v>0.02</v>
          </cell>
          <cell r="F294">
            <v>113418</v>
          </cell>
          <cell r="G294">
            <v>2268.36</v>
          </cell>
        </row>
        <row r="295">
          <cell r="B295">
            <v>7068</v>
          </cell>
          <cell r="C295" t="str">
            <v>Mê gôm mét</v>
          </cell>
          <cell r="D295" t="str">
            <v>ca</v>
          </cell>
          <cell r="E295">
            <v>0.15</v>
          </cell>
          <cell r="F295">
            <v>37834.5</v>
          </cell>
          <cell r="G295">
            <v>5675.1750000000002</v>
          </cell>
        </row>
        <row r="296">
          <cell r="B296">
            <v>7081</v>
          </cell>
          <cell r="C296" t="str">
            <v>Bộ nguồn AC-DC</v>
          </cell>
          <cell r="D296" t="str">
            <v>ca</v>
          </cell>
          <cell r="E296">
            <v>0.04</v>
          </cell>
          <cell r="F296">
            <v>37491</v>
          </cell>
          <cell r="G296">
            <v>1499.64</v>
          </cell>
        </row>
        <row r="297">
          <cell r="A297" t="str">
            <v>EE.10030</v>
          </cell>
          <cell r="C297" t="str">
            <v>Vôn mét loại AC</v>
          </cell>
          <cell r="H297">
            <v>1745</v>
          </cell>
          <cell r="I297">
            <v>219208.77039473684</v>
          </cell>
          <cell r="J297">
            <v>9443.1749999999993</v>
          </cell>
        </row>
        <row r="298">
          <cell r="C298" t="str">
            <v>Vật liệu</v>
          </cell>
          <cell r="G298">
            <v>1745</v>
          </cell>
        </row>
        <row r="299">
          <cell r="B299">
            <v>137</v>
          </cell>
          <cell r="C299" t="str">
            <v>Điện năng</v>
          </cell>
          <cell r="D299" t="str">
            <v>KWh</v>
          </cell>
          <cell r="E299">
            <v>0.5</v>
          </cell>
          <cell r="F299">
            <v>1500</v>
          </cell>
          <cell r="G299">
            <v>750</v>
          </cell>
        </row>
        <row r="300">
          <cell r="B300">
            <v>6</v>
          </cell>
          <cell r="C300" t="str">
            <v>Vải phin trắng 0,8m</v>
          </cell>
          <cell r="D300" t="str">
            <v>m</v>
          </cell>
          <cell r="E300">
            <v>0.01</v>
          </cell>
          <cell r="F300">
            <v>15000</v>
          </cell>
          <cell r="G300">
            <v>150</v>
          </cell>
        </row>
        <row r="301">
          <cell r="B301">
            <v>1</v>
          </cell>
          <cell r="C301" t="str">
            <v>Côồn công nghiệp</v>
          </cell>
          <cell r="D301" t="str">
            <v>kg</v>
          </cell>
          <cell r="E301">
            <v>0.01</v>
          </cell>
          <cell r="F301">
            <v>9500</v>
          </cell>
          <cell r="G301">
            <v>95</v>
          </cell>
        </row>
        <row r="302">
          <cell r="B302">
            <v>148</v>
          </cell>
          <cell r="C302" t="str">
            <v>dây điện 2x1,5mm2</v>
          </cell>
          <cell r="D302" t="str">
            <v>m</v>
          </cell>
          <cell r="E302">
            <v>0.1</v>
          </cell>
          <cell r="F302">
            <v>7500</v>
          </cell>
          <cell r="G302">
            <v>750</v>
          </cell>
        </row>
        <row r="303">
          <cell r="C303" t="str">
            <v>Nhân công</v>
          </cell>
          <cell r="G303">
            <v>219208.77039473684</v>
          </cell>
        </row>
        <row r="304">
          <cell r="B304" t="str">
            <v>KS3</v>
          </cell>
          <cell r="C304" t="str">
            <v>+ Kỹ sư bậc 3,0/8</v>
          </cell>
          <cell r="D304" t="str">
            <v>Công</v>
          </cell>
          <cell r="E304">
            <v>0.69</v>
          </cell>
          <cell r="F304">
            <v>213300</v>
          </cell>
          <cell r="G304">
            <v>147177</v>
          </cell>
        </row>
        <row r="305">
          <cell r="B305" t="str">
            <v>NC1407</v>
          </cell>
          <cell r="C305" t="str">
            <v>+ Nhân công bậc 4,0/7</v>
          </cell>
          <cell r="D305" t="str">
            <v>Công</v>
          </cell>
          <cell r="E305">
            <v>0.37</v>
          </cell>
          <cell r="F305">
            <v>194680.46052631579</v>
          </cell>
          <cell r="G305">
            <v>72031.770394736843</v>
          </cell>
        </row>
        <row r="306">
          <cell r="C306" t="str">
            <v>Máy thi công:</v>
          </cell>
          <cell r="G306">
            <v>9443.1749999999993</v>
          </cell>
        </row>
        <row r="307">
          <cell r="B307">
            <v>7080</v>
          </cell>
          <cell r="C307" t="str">
            <v>Máy đo vạn năng</v>
          </cell>
          <cell r="D307" t="str">
            <v>ca</v>
          </cell>
          <cell r="E307">
            <v>0.02</v>
          </cell>
          <cell r="F307">
            <v>113418</v>
          </cell>
          <cell r="G307">
            <v>2268.36</v>
          </cell>
        </row>
        <row r="308">
          <cell r="B308">
            <v>7068</v>
          </cell>
          <cell r="C308" t="str">
            <v>Mê gôm mét</v>
          </cell>
          <cell r="D308" t="str">
            <v>ca</v>
          </cell>
          <cell r="E308">
            <v>0.15</v>
          </cell>
          <cell r="F308">
            <v>37834.5</v>
          </cell>
          <cell r="G308">
            <v>5675.1750000000002</v>
          </cell>
        </row>
        <row r="309">
          <cell r="B309">
            <v>7081</v>
          </cell>
          <cell r="C309" t="str">
            <v>Bộ nguồn AC-DC</v>
          </cell>
          <cell r="D309" t="str">
            <v>ca</v>
          </cell>
          <cell r="E309">
            <v>0.04</v>
          </cell>
          <cell r="F309">
            <v>37491</v>
          </cell>
          <cell r="G309">
            <v>1499.64</v>
          </cell>
        </row>
        <row r="310">
          <cell r="A310" t="str">
            <v>EH.10010</v>
          </cell>
          <cell r="C310" t="str">
            <v>Tính chất hóa học mẫu dầu cách điện</v>
          </cell>
          <cell r="H310">
            <v>39440</v>
          </cell>
          <cell r="I310">
            <v>1873311.6736842105</v>
          </cell>
          <cell r="J310">
            <v>67479.7935</v>
          </cell>
        </row>
        <row r="311">
          <cell r="C311" t="str">
            <v>Vật liệu</v>
          </cell>
          <cell r="G311">
            <v>39440</v>
          </cell>
        </row>
        <row r="312">
          <cell r="B312">
            <v>137</v>
          </cell>
          <cell r="C312" t="str">
            <v>điện năng</v>
          </cell>
          <cell r="D312" t="str">
            <v>KWH</v>
          </cell>
          <cell r="E312">
            <v>5</v>
          </cell>
          <cell r="F312">
            <v>1500</v>
          </cell>
          <cell r="G312">
            <v>7500</v>
          </cell>
        </row>
        <row r="313">
          <cell r="B313">
            <v>150</v>
          </cell>
          <cell r="C313" t="str">
            <v>Kiềm xanh</v>
          </cell>
          <cell r="D313" t="str">
            <v>gam</v>
          </cell>
          <cell r="E313">
            <v>2</v>
          </cell>
          <cell r="F313">
            <v>2000</v>
          </cell>
          <cell r="G313">
            <v>4000</v>
          </cell>
        </row>
        <row r="314">
          <cell r="B314">
            <v>151</v>
          </cell>
          <cell r="C314" t="str">
            <v>giấy lọc thường</v>
          </cell>
          <cell r="D314" t="str">
            <v>hộp</v>
          </cell>
          <cell r="E314">
            <v>0.1</v>
          </cell>
          <cell r="F314">
            <v>40000</v>
          </cell>
          <cell r="G314">
            <v>4000</v>
          </cell>
        </row>
        <row r="315">
          <cell r="B315">
            <v>152</v>
          </cell>
          <cell r="C315" t="str">
            <v>giấy lọc không tro</v>
          </cell>
          <cell r="D315" t="str">
            <v>hộp</v>
          </cell>
          <cell r="E315">
            <v>0.1</v>
          </cell>
          <cell r="F315">
            <v>70000</v>
          </cell>
          <cell r="G315">
            <v>7000</v>
          </cell>
        </row>
        <row r="316">
          <cell r="B316">
            <v>154</v>
          </cell>
          <cell r="C316" t="str">
            <v>KOH</v>
          </cell>
          <cell r="D316" t="str">
            <v>lít</v>
          </cell>
          <cell r="E316">
            <v>0.1</v>
          </cell>
          <cell r="F316">
            <v>50000</v>
          </cell>
          <cell r="G316">
            <v>5000</v>
          </cell>
        </row>
        <row r="317">
          <cell r="B317">
            <v>153</v>
          </cell>
          <cell r="C317" t="str">
            <v>Toluen</v>
          </cell>
          <cell r="D317" t="str">
            <v>lít</v>
          </cell>
          <cell r="E317">
            <v>0.06</v>
          </cell>
          <cell r="F317">
            <v>24000</v>
          </cell>
          <cell r="G317">
            <v>1440</v>
          </cell>
        </row>
        <row r="318">
          <cell r="B318">
            <v>155</v>
          </cell>
          <cell r="C318" t="str">
            <v>Etannola đẳng khí</v>
          </cell>
          <cell r="D318" t="str">
            <v>lít</v>
          </cell>
          <cell r="E318">
            <v>0.04</v>
          </cell>
          <cell r="F318">
            <v>75000</v>
          </cell>
          <cell r="G318">
            <v>3000</v>
          </cell>
        </row>
        <row r="319">
          <cell r="B319">
            <v>156</v>
          </cell>
          <cell r="C319" t="str">
            <v>Ãits clohydritque</v>
          </cell>
          <cell r="D319" t="str">
            <v>lít</v>
          </cell>
          <cell r="E319">
            <v>0.1</v>
          </cell>
          <cell r="F319">
            <v>75000</v>
          </cell>
          <cell r="G319">
            <v>7500</v>
          </cell>
        </row>
        <row r="320">
          <cell r="C320" t="str">
            <v>Nhân công</v>
          </cell>
          <cell r="G320">
            <v>1873311.6736842105</v>
          </cell>
        </row>
        <row r="321">
          <cell r="B321" t="str">
            <v>KS4</v>
          </cell>
          <cell r="C321" t="str">
            <v>+ Kỹ sư bậc 4,0/8</v>
          </cell>
          <cell r="D321" t="str">
            <v>Công</v>
          </cell>
          <cell r="E321">
            <v>5.2</v>
          </cell>
          <cell r="F321">
            <v>237000</v>
          </cell>
          <cell r="G321">
            <v>1232400</v>
          </cell>
        </row>
        <row r="322">
          <cell r="B322" t="str">
            <v>NC1507</v>
          </cell>
          <cell r="C322" t="str">
            <v>+ Nhân công bậc 5,0/7</v>
          </cell>
          <cell r="D322" t="str">
            <v>Công</v>
          </cell>
          <cell r="E322">
            <v>2.8</v>
          </cell>
          <cell r="F322">
            <v>228897.02631578947</v>
          </cell>
          <cell r="G322">
            <v>640911.67368421052</v>
          </cell>
        </row>
        <row r="323">
          <cell r="C323" t="str">
            <v>Máy thi công</v>
          </cell>
          <cell r="G323">
            <v>67479.7935</v>
          </cell>
        </row>
        <row r="324">
          <cell r="B324">
            <v>7071</v>
          </cell>
          <cell r="C324" t="str">
            <v>Máy đo độ chớp cháy kín</v>
          </cell>
          <cell r="D324" t="str">
            <v>ca</v>
          </cell>
          <cell r="E324">
            <v>0.25</v>
          </cell>
          <cell r="F324">
            <v>131217.75</v>
          </cell>
          <cell r="G324">
            <v>32804.4375</v>
          </cell>
        </row>
        <row r="325">
          <cell r="B325">
            <v>7072</v>
          </cell>
          <cell r="C325" t="str">
            <v>Máy đo tỷ trọng</v>
          </cell>
          <cell r="D325" t="str">
            <v>ca</v>
          </cell>
          <cell r="E325">
            <v>6.3E-2</v>
          </cell>
          <cell r="F325">
            <v>55118.249999999993</v>
          </cell>
          <cell r="G325">
            <v>3472.4497499999998</v>
          </cell>
        </row>
        <row r="326">
          <cell r="B326">
            <v>7073</v>
          </cell>
          <cell r="C326" t="str">
            <v>Máy đo độ nhớt</v>
          </cell>
          <cell r="D326" t="str">
            <v>ca</v>
          </cell>
          <cell r="E326">
            <v>0.125</v>
          </cell>
          <cell r="F326">
            <v>112730.25</v>
          </cell>
          <cell r="G326">
            <v>14091.28125</v>
          </cell>
        </row>
        <row r="327">
          <cell r="B327">
            <v>7074</v>
          </cell>
          <cell r="C327" t="str">
            <v>Máy đo độ axits</v>
          </cell>
          <cell r="D327" t="str">
            <v>ca</v>
          </cell>
          <cell r="E327">
            <v>0.125</v>
          </cell>
          <cell r="F327">
            <v>136893</v>
          </cell>
          <cell r="G327">
            <v>17111.625</v>
          </cell>
        </row>
        <row r="328">
          <cell r="A328" t="str">
            <v>EH.20010</v>
          </cell>
          <cell r="C328" t="str">
            <v>Mẫu dầu biến thế ( điện áp đánh thủng)</v>
          </cell>
          <cell r="H328">
            <v>3000</v>
          </cell>
          <cell r="I328">
            <v>309112.63210526318</v>
          </cell>
          <cell r="J328">
            <v>6857.6250000000009</v>
          </cell>
        </row>
        <row r="329">
          <cell r="C329" t="str">
            <v>Vật liệu</v>
          </cell>
          <cell r="G329">
            <v>3000</v>
          </cell>
        </row>
        <row r="330">
          <cell r="B330">
            <v>137</v>
          </cell>
          <cell r="C330" t="str">
            <v>điện năng</v>
          </cell>
          <cell r="D330" t="str">
            <v>KWH</v>
          </cell>
          <cell r="E330">
            <v>1.5</v>
          </cell>
          <cell r="F330">
            <v>1500</v>
          </cell>
          <cell r="G330">
            <v>2250</v>
          </cell>
        </row>
        <row r="331">
          <cell r="B331">
            <v>148</v>
          </cell>
          <cell r="C331" t="str">
            <v>dây điện 2x1,5mm2</v>
          </cell>
          <cell r="D331" t="str">
            <v>m</v>
          </cell>
          <cell r="E331">
            <v>0.1</v>
          </cell>
          <cell r="F331">
            <v>7500</v>
          </cell>
          <cell r="G331">
            <v>750</v>
          </cell>
        </row>
        <row r="332">
          <cell r="C332" t="str">
            <v>Nhân công</v>
          </cell>
          <cell r="G332">
            <v>309112.63210526318</v>
          </cell>
        </row>
        <row r="333">
          <cell r="B333" t="str">
            <v>KS4</v>
          </cell>
          <cell r="C333" t="str">
            <v>+ Kỹ sư bậc 4,0/8</v>
          </cell>
          <cell r="D333" t="str">
            <v>Công</v>
          </cell>
          <cell r="E333">
            <v>0.86</v>
          </cell>
          <cell r="F333">
            <v>237000</v>
          </cell>
          <cell r="G333">
            <v>203820</v>
          </cell>
        </row>
        <row r="334">
          <cell r="B334" t="str">
            <v>NC1507</v>
          </cell>
          <cell r="C334" t="str">
            <v>+ Nhân công bậc 5,0/7</v>
          </cell>
          <cell r="D334" t="str">
            <v>Công</v>
          </cell>
          <cell r="E334">
            <v>0.46</v>
          </cell>
          <cell r="F334">
            <v>228897.02631578947</v>
          </cell>
          <cell r="G334">
            <v>105292.63210526315</v>
          </cell>
        </row>
        <row r="335">
          <cell r="C335" t="str">
            <v>Máy thi công:</v>
          </cell>
          <cell r="G335">
            <v>6857.6250000000009</v>
          </cell>
        </row>
        <row r="336">
          <cell r="B336">
            <v>7070</v>
          </cell>
          <cell r="C336" t="str">
            <v>máy đo điện áp xuyên thủng</v>
          </cell>
          <cell r="D336" t="str">
            <v>ca</v>
          </cell>
          <cell r="E336">
            <v>0.25</v>
          </cell>
          <cell r="F336">
            <v>27430.500000000004</v>
          </cell>
          <cell r="G336">
            <v>6857.6250000000009</v>
          </cell>
        </row>
        <row r="337">
          <cell r="A337" t="str">
            <v>EB.41020</v>
          </cell>
          <cell r="C337" t="str">
            <v>Sứ đứng 3-35kV</v>
          </cell>
          <cell r="H337">
            <v>15837.5</v>
          </cell>
          <cell r="I337">
            <v>9398.9702631578948</v>
          </cell>
          <cell r="J337">
            <v>3421.3747499999999</v>
          </cell>
        </row>
        <row r="338">
          <cell r="C338" t="str">
            <v>Vật liệu</v>
          </cell>
          <cell r="G338">
            <v>15837.5</v>
          </cell>
        </row>
        <row r="339">
          <cell r="B339">
            <v>137</v>
          </cell>
          <cell r="C339" t="str">
            <v>Điện năng</v>
          </cell>
          <cell r="D339" t="str">
            <v>KWh</v>
          </cell>
          <cell r="E339">
            <v>0.15</v>
          </cell>
          <cell r="F339">
            <v>1500</v>
          </cell>
          <cell r="G339">
            <v>225</v>
          </cell>
        </row>
        <row r="340">
          <cell r="B340">
            <v>1</v>
          </cell>
          <cell r="C340" t="str">
            <v>Côồn công nghiệp</v>
          </cell>
          <cell r="D340" t="str">
            <v>kg</v>
          </cell>
          <cell r="E340">
            <v>2.5000000000000001E-2</v>
          </cell>
          <cell r="F340">
            <v>9500</v>
          </cell>
          <cell r="G340">
            <v>237.5</v>
          </cell>
        </row>
        <row r="341">
          <cell r="B341">
            <v>148</v>
          </cell>
          <cell r="C341" t="str">
            <v>dây điện 2x1,5mm2</v>
          </cell>
          <cell r="D341" t="str">
            <v>m</v>
          </cell>
          <cell r="E341">
            <v>0.05</v>
          </cell>
          <cell r="F341">
            <v>7500</v>
          </cell>
          <cell r="G341">
            <v>375</v>
          </cell>
        </row>
        <row r="342">
          <cell r="B342">
            <v>66</v>
          </cell>
          <cell r="C342" t="str">
            <v>giẻ lau</v>
          </cell>
          <cell r="D342" t="str">
            <v>kg</v>
          </cell>
          <cell r="E342">
            <v>2.5000000000000001E-2</v>
          </cell>
          <cell r="F342">
            <v>600000</v>
          </cell>
          <cell r="G342">
            <v>15000</v>
          </cell>
        </row>
        <row r="343">
          <cell r="C343" t="str">
            <v>Nhân công</v>
          </cell>
          <cell r="G343">
            <v>9398.9702631578948</v>
          </cell>
        </row>
        <row r="344">
          <cell r="B344" t="str">
            <v>KS4</v>
          </cell>
          <cell r="C344" t="str">
            <v>+ Kỹ sư bậc 4,0/8</v>
          </cell>
          <cell r="D344" t="str">
            <v>Công</v>
          </cell>
          <cell r="E344">
            <v>0.03</v>
          </cell>
          <cell r="F344">
            <v>237000</v>
          </cell>
          <cell r="G344">
            <v>7110</v>
          </cell>
        </row>
        <row r="345">
          <cell r="B345" t="str">
            <v>NC1507</v>
          </cell>
          <cell r="C345" t="str">
            <v>+ Nhân công bậc 5,0/7</v>
          </cell>
          <cell r="D345" t="str">
            <v>Công</v>
          </cell>
          <cell r="E345">
            <v>0.01</v>
          </cell>
          <cell r="F345">
            <v>228897.02631578947</v>
          </cell>
          <cell r="G345">
            <v>2288.9702631578948</v>
          </cell>
        </row>
        <row r="346">
          <cell r="C346" t="str">
            <v>Máy thi công</v>
          </cell>
          <cell r="G346">
            <v>3421.3747499999999</v>
          </cell>
        </row>
        <row r="347">
          <cell r="B347">
            <v>7068</v>
          </cell>
          <cell r="C347" t="str">
            <v>Mê gôm mét</v>
          </cell>
          <cell r="D347" t="str">
            <v>ca</v>
          </cell>
          <cell r="E347">
            <v>0.02</v>
          </cell>
          <cell r="F347">
            <v>37834.5</v>
          </cell>
          <cell r="G347">
            <v>756.69</v>
          </cell>
        </row>
        <row r="348">
          <cell r="B348">
            <v>7069</v>
          </cell>
          <cell r="C348" t="str">
            <v>Hợp bộ thí nghiệm cao áp</v>
          </cell>
          <cell r="D348" t="str">
            <v>ca</v>
          </cell>
          <cell r="E348">
            <v>7.0000000000000001E-3</v>
          </cell>
          <cell r="F348">
            <v>380669.25</v>
          </cell>
          <cell r="G348">
            <v>2664.6847499999999</v>
          </cell>
        </row>
        <row r="349">
          <cell r="A349" t="str">
            <v>EB.41030</v>
          </cell>
          <cell r="C349" t="str">
            <v>Bát sứ để rời</v>
          </cell>
          <cell r="H349">
            <v>547</v>
          </cell>
          <cell r="I349">
            <v>7028.9702631578948</v>
          </cell>
          <cell r="J349">
            <v>2281.6912499999999</v>
          </cell>
        </row>
        <row r="350">
          <cell r="C350" t="str">
            <v>Vật liệu</v>
          </cell>
          <cell r="G350">
            <v>547</v>
          </cell>
        </row>
        <row r="351">
          <cell r="B351">
            <v>137</v>
          </cell>
          <cell r="C351" t="str">
            <v>Điện năng</v>
          </cell>
          <cell r="D351" t="str">
            <v>KWh</v>
          </cell>
          <cell r="E351">
            <v>7.4999999999999997E-2</v>
          </cell>
          <cell r="F351">
            <v>1500</v>
          </cell>
          <cell r="G351">
            <v>112.5</v>
          </cell>
        </row>
        <row r="352">
          <cell r="B352">
            <v>1</v>
          </cell>
          <cell r="C352" t="str">
            <v>Côồn công nghiệp</v>
          </cell>
          <cell r="D352" t="str">
            <v>kg</v>
          </cell>
          <cell r="E352">
            <v>1.2999999999999999E-2</v>
          </cell>
          <cell r="F352">
            <v>9500</v>
          </cell>
          <cell r="G352">
            <v>123.5</v>
          </cell>
        </row>
        <row r="353">
          <cell r="B353">
            <v>148</v>
          </cell>
          <cell r="C353" t="str">
            <v>dây điện 2x1,5mm2</v>
          </cell>
          <cell r="D353" t="str">
            <v>m</v>
          </cell>
          <cell r="E353">
            <v>2.5000000000000001E-2</v>
          </cell>
          <cell r="F353">
            <v>7500</v>
          </cell>
          <cell r="G353">
            <v>187.5</v>
          </cell>
        </row>
        <row r="354">
          <cell r="B354">
            <v>9</v>
          </cell>
          <cell r="C354" t="str">
            <v>giẻ lau</v>
          </cell>
          <cell r="D354" t="str">
            <v>kg</v>
          </cell>
          <cell r="E354">
            <v>1.2999999999999999E-2</v>
          </cell>
          <cell r="F354">
            <v>9500</v>
          </cell>
          <cell r="G354">
            <v>123.5</v>
          </cell>
        </row>
        <row r="355">
          <cell r="C355" t="str">
            <v>Nhân công</v>
          </cell>
          <cell r="G355">
            <v>7028.9702631578948</v>
          </cell>
        </row>
        <row r="356">
          <cell r="B356" t="str">
            <v>KS4</v>
          </cell>
          <cell r="C356" t="str">
            <v>+ Kỹ sư bậc 4,0/8</v>
          </cell>
          <cell r="D356" t="str">
            <v>Công</v>
          </cell>
          <cell r="E356">
            <v>0.02</v>
          </cell>
          <cell r="F356">
            <v>237000</v>
          </cell>
          <cell r="G356">
            <v>4740</v>
          </cell>
        </row>
        <row r="357">
          <cell r="B357" t="str">
            <v>NC1507</v>
          </cell>
          <cell r="C357" t="str">
            <v>+ Nhân công bậc 5,0/7</v>
          </cell>
          <cell r="D357" t="str">
            <v>Công</v>
          </cell>
          <cell r="E357">
            <v>0.01</v>
          </cell>
          <cell r="F357">
            <v>228897.02631578947</v>
          </cell>
          <cell r="G357">
            <v>2288.9702631578948</v>
          </cell>
        </row>
        <row r="358">
          <cell r="C358" t="str">
            <v>Máy thi công</v>
          </cell>
          <cell r="G358">
            <v>2281.6912499999999</v>
          </cell>
        </row>
        <row r="359">
          <cell r="B359">
            <v>7068</v>
          </cell>
          <cell r="C359" t="str">
            <v>Mê gôm mét</v>
          </cell>
          <cell r="D359" t="str">
            <v>ca</v>
          </cell>
          <cell r="E359">
            <v>0.01</v>
          </cell>
          <cell r="F359">
            <v>37834.5</v>
          </cell>
          <cell r="G359">
            <v>378.34500000000003</v>
          </cell>
        </row>
        <row r="360">
          <cell r="B360">
            <v>7069</v>
          </cell>
          <cell r="C360" t="str">
            <v>Hợp bộ thí nghiệm cao áp</v>
          </cell>
          <cell r="D360" t="str">
            <v>ca</v>
          </cell>
          <cell r="E360">
            <v>5.0000000000000001E-3</v>
          </cell>
          <cell r="F360">
            <v>380669.25</v>
          </cell>
          <cell r="G360">
            <v>1903.3462500000001</v>
          </cell>
        </row>
        <row r="361">
          <cell r="A361" t="str">
            <v>EB.41040</v>
          </cell>
          <cell r="C361" t="str">
            <v>Cách điện treo đã lắp thành chuỗi</v>
          </cell>
          <cell r="H361">
            <v>381</v>
          </cell>
          <cell r="I361">
            <v>4658.9702631578948</v>
          </cell>
          <cell r="J361">
            <v>1787.5185000000001</v>
          </cell>
        </row>
        <row r="362">
          <cell r="C362" t="str">
            <v>Vật liệu</v>
          </cell>
          <cell r="G362">
            <v>381</v>
          </cell>
        </row>
        <row r="363">
          <cell r="B363">
            <v>137</v>
          </cell>
          <cell r="C363" t="str">
            <v>Điện năng</v>
          </cell>
          <cell r="D363" t="str">
            <v>KWh</v>
          </cell>
          <cell r="E363">
            <v>0.05</v>
          </cell>
          <cell r="F363">
            <v>1500</v>
          </cell>
          <cell r="G363">
            <v>75</v>
          </cell>
        </row>
        <row r="364">
          <cell r="B364">
            <v>1</v>
          </cell>
          <cell r="C364" t="str">
            <v>Côồn công nghiệp</v>
          </cell>
          <cell r="D364" t="str">
            <v>kg</v>
          </cell>
          <cell r="E364">
            <v>8.9999999999999993E-3</v>
          </cell>
          <cell r="F364">
            <v>9500</v>
          </cell>
          <cell r="G364">
            <v>85.5</v>
          </cell>
        </row>
        <row r="365">
          <cell r="B365">
            <v>148</v>
          </cell>
          <cell r="C365" t="str">
            <v>dây điện 2x1,5mm2</v>
          </cell>
          <cell r="D365" t="str">
            <v>m</v>
          </cell>
          <cell r="E365">
            <v>1.7999999999999999E-2</v>
          </cell>
          <cell r="F365">
            <v>7500</v>
          </cell>
          <cell r="G365">
            <v>135</v>
          </cell>
        </row>
        <row r="366">
          <cell r="B366">
            <v>9</v>
          </cell>
          <cell r="C366" t="str">
            <v>giẻ lau</v>
          </cell>
          <cell r="D366" t="str">
            <v>kg</v>
          </cell>
          <cell r="E366">
            <v>8.9999999999999993E-3</v>
          </cell>
          <cell r="F366">
            <v>9500</v>
          </cell>
          <cell r="G366">
            <v>85.5</v>
          </cell>
        </row>
        <row r="367">
          <cell r="C367" t="str">
            <v>Nhân công</v>
          </cell>
          <cell r="G367">
            <v>4658.9702631578948</v>
          </cell>
        </row>
        <row r="368">
          <cell r="B368" t="str">
            <v>KS4</v>
          </cell>
          <cell r="C368" t="str">
            <v>+ Kỹ sư bậc 4,0/8</v>
          </cell>
          <cell r="D368" t="str">
            <v>Công</v>
          </cell>
          <cell r="E368">
            <v>0.01</v>
          </cell>
          <cell r="F368">
            <v>237000</v>
          </cell>
          <cell r="G368">
            <v>2370</v>
          </cell>
        </row>
        <row r="369">
          <cell r="B369" t="str">
            <v>NC1507</v>
          </cell>
          <cell r="C369" t="str">
            <v>+ Nhân công bậc 5,0/7</v>
          </cell>
          <cell r="D369" t="str">
            <v>Công</v>
          </cell>
          <cell r="E369">
            <v>0.01</v>
          </cell>
          <cell r="F369">
            <v>228897.02631578947</v>
          </cell>
          <cell r="G369">
            <v>2288.9702631578948</v>
          </cell>
        </row>
        <row r="370">
          <cell r="C370" t="str">
            <v>Máy thi công</v>
          </cell>
          <cell r="G370">
            <v>1787.5185000000001</v>
          </cell>
        </row>
        <row r="371">
          <cell r="B371">
            <v>7068</v>
          </cell>
          <cell r="C371" t="str">
            <v>Mê gôm mét</v>
          </cell>
          <cell r="D371" t="str">
            <v>ca</v>
          </cell>
          <cell r="E371">
            <v>7.0000000000000001E-3</v>
          </cell>
          <cell r="F371">
            <v>37834.5</v>
          </cell>
          <cell r="G371">
            <v>264.8415</v>
          </cell>
        </row>
        <row r="372">
          <cell r="B372">
            <v>7069</v>
          </cell>
          <cell r="C372" t="str">
            <v>Hợp bộ thí nghiệm cao áp</v>
          </cell>
          <cell r="D372" t="str">
            <v>ca</v>
          </cell>
          <cell r="E372">
            <v>4.0000000000000001E-3</v>
          </cell>
          <cell r="F372">
            <v>380669.25</v>
          </cell>
          <cell r="G372">
            <v>1522.6770000000001</v>
          </cell>
        </row>
        <row r="373">
          <cell r="A373" t="str">
            <v>EB.50010</v>
          </cell>
          <cell r="C373" t="str">
            <v>Thií nghiệm tụ bù &gt; 1000V</v>
          </cell>
          <cell r="H373">
            <v>1935</v>
          </cell>
          <cell r="I373">
            <v>131342.49447368423</v>
          </cell>
          <cell r="J373">
            <v>31378.653749999998</v>
          </cell>
        </row>
        <row r="374">
          <cell r="C374" t="str">
            <v>Vật liệu</v>
          </cell>
          <cell r="G374">
            <v>1935</v>
          </cell>
        </row>
        <row r="375">
          <cell r="B375">
            <v>137</v>
          </cell>
          <cell r="C375" t="str">
            <v>Điện năng</v>
          </cell>
          <cell r="D375" t="str">
            <v>KWh</v>
          </cell>
          <cell r="E375">
            <v>0.27</v>
          </cell>
          <cell r="F375">
            <v>1500</v>
          </cell>
          <cell r="G375">
            <v>405</v>
          </cell>
        </row>
        <row r="376">
          <cell r="B376">
            <v>1</v>
          </cell>
          <cell r="C376" t="str">
            <v>Côồn công nghiệp</v>
          </cell>
          <cell r="D376" t="str">
            <v>kg</v>
          </cell>
          <cell r="E376">
            <v>4.4999999999999998E-2</v>
          </cell>
          <cell r="F376">
            <v>9500</v>
          </cell>
          <cell r="G376">
            <v>427.5</v>
          </cell>
        </row>
        <row r="377">
          <cell r="B377">
            <v>148</v>
          </cell>
          <cell r="C377" t="str">
            <v>dây điện 2x1,5mm2</v>
          </cell>
          <cell r="D377" t="str">
            <v>m</v>
          </cell>
          <cell r="E377">
            <v>0.09</v>
          </cell>
          <cell r="F377">
            <v>7500</v>
          </cell>
          <cell r="G377">
            <v>675</v>
          </cell>
        </row>
        <row r="378">
          <cell r="B378">
            <v>9</v>
          </cell>
          <cell r="C378" t="str">
            <v>giẻ lau</v>
          </cell>
          <cell r="D378" t="str">
            <v>kg</v>
          </cell>
          <cell r="E378">
            <v>4.4999999999999998E-2</v>
          </cell>
          <cell r="F378">
            <v>9500</v>
          </cell>
          <cell r="G378">
            <v>427.5</v>
          </cell>
        </row>
        <row r="379">
          <cell r="C379" t="str">
            <v>Nhân công</v>
          </cell>
          <cell r="G379">
            <v>131342.49447368423</v>
          </cell>
        </row>
        <row r="380">
          <cell r="B380" t="str">
            <v>KS4</v>
          </cell>
          <cell r="C380" t="str">
            <v>+ Kỹ sư bậc 4,0/8</v>
          </cell>
          <cell r="D380" t="str">
            <v>Công</v>
          </cell>
          <cell r="E380">
            <v>0.39</v>
          </cell>
          <cell r="F380">
            <v>237000</v>
          </cell>
          <cell r="G380">
            <v>92430</v>
          </cell>
        </row>
        <row r="381">
          <cell r="B381" t="str">
            <v>NC1507</v>
          </cell>
          <cell r="C381" t="str">
            <v>+ Nhân công bậc 5,0/7</v>
          </cell>
          <cell r="D381" t="str">
            <v>Công</v>
          </cell>
          <cell r="E381">
            <v>0.17</v>
          </cell>
          <cell r="F381">
            <v>228897.02631578947</v>
          </cell>
          <cell r="G381">
            <v>38912.494473684215</v>
          </cell>
        </row>
        <row r="382">
          <cell r="C382" t="str">
            <v>Máy thi công</v>
          </cell>
          <cell r="G382">
            <v>31378.653749999998</v>
          </cell>
        </row>
        <row r="383">
          <cell r="B383">
            <v>7068</v>
          </cell>
          <cell r="C383" t="str">
            <v>Mê gôm mét</v>
          </cell>
          <cell r="D383" t="str">
            <v>ca</v>
          </cell>
          <cell r="E383">
            <v>2.1999999999999999E-2</v>
          </cell>
          <cell r="F383">
            <v>37834.5</v>
          </cell>
          <cell r="G383">
            <v>832.35899999999992</v>
          </cell>
        </row>
        <row r="384">
          <cell r="B384">
            <v>7082</v>
          </cell>
          <cell r="C384" t="str">
            <v>Hợp bộ đo Tgδ</v>
          </cell>
          <cell r="D384" t="str">
            <v>ca</v>
          </cell>
          <cell r="E384">
            <v>2.7E-2</v>
          </cell>
          <cell r="F384">
            <v>750675</v>
          </cell>
          <cell r="G384">
            <v>20268.224999999999</v>
          </cell>
        </row>
        <row r="385">
          <cell r="B385">
            <v>7069</v>
          </cell>
          <cell r="C385" t="str">
            <v>Hợp bộ thí nghiệm cao áp</v>
          </cell>
          <cell r="D385" t="str">
            <v>ca</v>
          </cell>
          <cell r="E385">
            <v>2.7E-2</v>
          </cell>
          <cell r="F385">
            <v>380669.25</v>
          </cell>
          <cell r="G385">
            <v>10278.069750000001</v>
          </cell>
        </row>
        <row r="386">
          <cell r="A386" t="str">
            <v>EB.60030</v>
          </cell>
          <cell r="C386" t="str">
            <v>Cáp lực, điện áp &gt;1-35kV, cáp 1 ruột</v>
          </cell>
          <cell r="H386">
            <v>3616</v>
          </cell>
          <cell r="I386">
            <v>230618.55197368423</v>
          </cell>
          <cell r="J386">
            <v>93833.285250000001</v>
          </cell>
        </row>
        <row r="387">
          <cell r="C387" t="str">
            <v>Vật liệu</v>
          </cell>
          <cell r="G387">
            <v>3616</v>
          </cell>
        </row>
        <row r="388">
          <cell r="B388">
            <v>137</v>
          </cell>
          <cell r="C388" t="str">
            <v>Điện năng</v>
          </cell>
          <cell r="D388" t="str">
            <v>KWh</v>
          </cell>
          <cell r="E388">
            <v>0.96</v>
          </cell>
          <cell r="F388">
            <v>1500</v>
          </cell>
          <cell r="G388">
            <v>1440</v>
          </cell>
        </row>
        <row r="389">
          <cell r="B389">
            <v>1</v>
          </cell>
          <cell r="C389" t="str">
            <v>Côồn công nghiệp</v>
          </cell>
          <cell r="D389" t="str">
            <v>kg</v>
          </cell>
          <cell r="E389">
            <v>0.128</v>
          </cell>
          <cell r="F389">
            <v>9500</v>
          </cell>
          <cell r="G389">
            <v>1216</v>
          </cell>
        </row>
        <row r="390">
          <cell r="B390">
            <v>148</v>
          </cell>
          <cell r="C390" t="str">
            <v>dây điện 2x1,5mm2</v>
          </cell>
          <cell r="D390" t="str">
            <v>m</v>
          </cell>
          <cell r="E390">
            <v>0.128</v>
          </cell>
          <cell r="F390">
            <v>7500</v>
          </cell>
          <cell r="G390">
            <v>960</v>
          </cell>
        </row>
        <row r="391">
          <cell r="B391">
            <v>6</v>
          </cell>
          <cell r="C391" t="str">
            <v>Vải phin trắng 0,8m</v>
          </cell>
          <cell r="D391" t="str">
            <v>m</v>
          </cell>
          <cell r="E391">
            <v>0.128</v>
          </cell>
          <cell r="F391">
            <v>15000</v>
          </cell>
          <cell r="G391">
            <v>1920</v>
          </cell>
        </row>
        <row r="392">
          <cell r="C392" t="str">
            <v>Nhân công</v>
          </cell>
          <cell r="G392">
            <v>230618.55197368423</v>
          </cell>
        </row>
        <row r="393">
          <cell r="B393" t="str">
            <v>KS3</v>
          </cell>
          <cell r="C393" t="str">
            <v>+ Kỹ sư bậc 3,0/8</v>
          </cell>
          <cell r="D393" t="str">
            <v>Công</v>
          </cell>
          <cell r="E393">
            <v>0.78</v>
          </cell>
          <cell r="F393">
            <v>213300</v>
          </cell>
          <cell r="G393">
            <v>166374</v>
          </cell>
        </row>
        <row r="394">
          <cell r="B394" t="str">
            <v>NC1407</v>
          </cell>
          <cell r="C394" t="str">
            <v>+ Nhân công bậc 4,0/7</v>
          </cell>
          <cell r="D394" t="str">
            <v>Công</v>
          </cell>
          <cell r="E394">
            <v>0.33</v>
          </cell>
          <cell r="F394">
            <v>194680.46052631579</v>
          </cell>
          <cell r="G394">
            <v>64244.551973684211</v>
          </cell>
        </row>
        <row r="395">
          <cell r="C395" t="str">
            <v>Máy thi công:</v>
          </cell>
          <cell r="G395">
            <v>93833.285250000001</v>
          </cell>
        </row>
        <row r="396">
          <cell r="B396">
            <v>7068</v>
          </cell>
          <cell r="C396" t="str">
            <v>Mê gôm mét</v>
          </cell>
          <cell r="D396" t="str">
            <v>ca</v>
          </cell>
          <cell r="E396">
            <v>5.8000000000000003E-2</v>
          </cell>
          <cell r="F396">
            <v>37834.5</v>
          </cell>
          <cell r="G396">
            <v>2194.4010000000003</v>
          </cell>
        </row>
        <row r="397">
          <cell r="B397">
            <v>7082</v>
          </cell>
          <cell r="C397" t="str">
            <v>Hợp bộ đo Tgδ</v>
          </cell>
          <cell r="D397" t="str">
            <v>ca</v>
          </cell>
          <cell r="E397">
            <v>8.1000000000000003E-2</v>
          </cell>
          <cell r="F397">
            <v>750675</v>
          </cell>
          <cell r="G397">
            <v>60804.675000000003</v>
          </cell>
        </row>
        <row r="398">
          <cell r="B398">
            <v>7069</v>
          </cell>
          <cell r="C398" t="str">
            <v>Hợp bộ thí nghiệm cao áp</v>
          </cell>
          <cell r="D398" t="str">
            <v>ca</v>
          </cell>
          <cell r="E398">
            <v>8.1000000000000003E-2</v>
          </cell>
          <cell r="F398">
            <v>380669.25</v>
          </cell>
          <cell r="G398">
            <v>30834.20925</v>
          </cell>
        </row>
        <row r="399">
          <cell r="A399" t="str">
            <v>EB.60040</v>
          </cell>
          <cell r="C399" t="str">
            <v>Cáp lực, điện áp ≤ 1kV, cáp 1 ruột</v>
          </cell>
          <cell r="H399">
            <v>97.5</v>
          </cell>
          <cell r="I399">
            <v>22904.413815789474</v>
          </cell>
          <cell r="J399">
            <v>1740.3869999999999</v>
          </cell>
        </row>
        <row r="400">
          <cell r="C400" t="str">
            <v>Vật liệu</v>
          </cell>
          <cell r="G400">
            <v>97.5</v>
          </cell>
        </row>
        <row r="401">
          <cell r="B401">
            <v>137</v>
          </cell>
          <cell r="C401" t="str">
            <v>Điện năng</v>
          </cell>
          <cell r="D401" t="str">
            <v>KWh</v>
          </cell>
          <cell r="F401">
            <v>1500</v>
          </cell>
          <cell r="G401">
            <v>0</v>
          </cell>
        </row>
        <row r="402">
          <cell r="B402">
            <v>1</v>
          </cell>
          <cell r="C402" t="str">
            <v>Côồn công nghiệp</v>
          </cell>
          <cell r="D402" t="str">
            <v>kg</v>
          </cell>
          <cell r="F402">
            <v>9500</v>
          </cell>
          <cell r="G402">
            <v>0</v>
          </cell>
        </row>
        <row r="403">
          <cell r="B403">
            <v>148</v>
          </cell>
          <cell r="C403" t="str">
            <v>dây điện 2x1,5mm2</v>
          </cell>
          <cell r="D403" t="str">
            <v>m</v>
          </cell>
          <cell r="E403">
            <v>1.2999999999999999E-2</v>
          </cell>
          <cell r="F403">
            <v>7500</v>
          </cell>
          <cell r="G403">
            <v>97.5</v>
          </cell>
        </row>
        <row r="404">
          <cell r="B404">
            <v>6</v>
          </cell>
          <cell r="C404" t="str">
            <v>Vải phin trắng 0,8m</v>
          </cell>
          <cell r="D404" t="str">
            <v>m</v>
          </cell>
          <cell r="F404">
            <v>15000</v>
          </cell>
          <cell r="G404">
            <v>0</v>
          </cell>
        </row>
        <row r="405">
          <cell r="C405" t="str">
            <v>Nhân công</v>
          </cell>
          <cell r="G405">
            <v>22904.413815789474</v>
          </cell>
        </row>
        <row r="406">
          <cell r="B406" t="str">
            <v>KS3</v>
          </cell>
          <cell r="C406" t="str">
            <v>+ Kỹ sư bậc 3,0/8</v>
          </cell>
          <cell r="D406" t="str">
            <v>Công</v>
          </cell>
          <cell r="E406">
            <v>0.08</v>
          </cell>
          <cell r="F406">
            <v>213300</v>
          </cell>
          <cell r="G406">
            <v>17064</v>
          </cell>
        </row>
        <row r="407">
          <cell r="B407" t="str">
            <v>NC1407</v>
          </cell>
          <cell r="C407" t="str">
            <v>+ Nhân công bậc 4,0/7</v>
          </cell>
          <cell r="D407" t="str">
            <v>Công</v>
          </cell>
          <cell r="E407">
            <v>0.03</v>
          </cell>
          <cell r="F407">
            <v>194680.46052631579</v>
          </cell>
          <cell r="G407">
            <v>5840.4138157894731</v>
          </cell>
        </row>
        <row r="408">
          <cell r="C408" t="str">
            <v>Máy thi công:</v>
          </cell>
          <cell r="G408">
            <v>1740.3869999999999</v>
          </cell>
        </row>
        <row r="409">
          <cell r="B409">
            <v>7068</v>
          </cell>
          <cell r="C409" t="str">
            <v>Mê gôm mét</v>
          </cell>
          <cell r="D409" t="str">
            <v>ca</v>
          </cell>
          <cell r="E409">
            <v>4.5999999999999999E-2</v>
          </cell>
          <cell r="F409">
            <v>37834.5</v>
          </cell>
          <cell r="G409">
            <v>1740.3869999999999</v>
          </cell>
        </row>
        <row r="410">
          <cell r="A410" t="str">
            <v>EC.21040</v>
          </cell>
          <cell r="C410" t="str">
            <v xml:space="preserve">Điện trở tiếp đất TBA điện áp ≤35kV </v>
          </cell>
          <cell r="H410">
            <v>12000</v>
          </cell>
          <cell r="I410">
            <v>967707.95526315784</v>
          </cell>
          <cell r="J410">
            <v>40912.950000000012</v>
          </cell>
        </row>
        <row r="411">
          <cell r="C411" t="str">
            <v>Vật liệu</v>
          </cell>
          <cell r="G411">
            <v>12000</v>
          </cell>
        </row>
        <row r="412">
          <cell r="B412">
            <v>148</v>
          </cell>
          <cell r="C412" t="str">
            <v>dây điện 2x1,5mm2</v>
          </cell>
          <cell r="D412" t="str">
            <v>m</v>
          </cell>
          <cell r="E412">
            <v>1.6</v>
          </cell>
          <cell r="F412">
            <v>7500</v>
          </cell>
          <cell r="G412">
            <v>12000</v>
          </cell>
        </row>
        <row r="413">
          <cell r="C413" t="str">
            <v>Nhân công</v>
          </cell>
          <cell r="G413">
            <v>967707.95526315784</v>
          </cell>
        </row>
        <row r="414">
          <cell r="B414" t="str">
            <v>KS3</v>
          </cell>
          <cell r="C414" t="str">
            <v>+ Kỹ sư bậc 3,0/8</v>
          </cell>
          <cell r="D414" t="str">
            <v>Công</v>
          </cell>
          <cell r="E414">
            <v>3.04</v>
          </cell>
          <cell r="F414">
            <v>213300</v>
          </cell>
          <cell r="G414">
            <v>648432</v>
          </cell>
        </row>
        <row r="415">
          <cell r="B415" t="str">
            <v>NC1407</v>
          </cell>
          <cell r="C415" t="str">
            <v>+ Nhân công bậc 4,0/7</v>
          </cell>
          <cell r="D415" t="str">
            <v>Công</v>
          </cell>
          <cell r="E415">
            <v>1.64</v>
          </cell>
          <cell r="F415">
            <v>194680.46052631579</v>
          </cell>
          <cell r="G415">
            <v>319275.9552631579</v>
          </cell>
        </row>
        <row r="416">
          <cell r="C416" t="str">
            <v>Máy thi công:</v>
          </cell>
          <cell r="G416">
            <v>40912.950000000012</v>
          </cell>
        </row>
        <row r="417">
          <cell r="B417">
            <v>7075</v>
          </cell>
          <cell r="C417" t="str">
            <v>Máy đo điện trở tiếp xúc</v>
          </cell>
          <cell r="D417" t="str">
            <v>ca</v>
          </cell>
          <cell r="E417">
            <v>0.52</v>
          </cell>
          <cell r="F417">
            <v>78678.750000000015</v>
          </cell>
          <cell r="G417">
            <v>40912.950000000012</v>
          </cell>
        </row>
        <row r="418">
          <cell r="A418" t="str">
            <v>EC.22010</v>
          </cell>
          <cell r="C418" t="str">
            <v>Cột điện, cột thu lôi bằng thép</v>
          </cell>
          <cell r="H418">
            <v>1575</v>
          </cell>
          <cell r="I418">
            <v>173772.33355263158</v>
          </cell>
          <cell r="J418">
            <v>8261.2687500000011</v>
          </cell>
        </row>
        <row r="419">
          <cell r="C419" t="str">
            <v>Vật liệu</v>
          </cell>
          <cell r="G419">
            <v>1575</v>
          </cell>
        </row>
        <row r="420">
          <cell r="B420">
            <v>148</v>
          </cell>
          <cell r="C420" t="str">
            <v>dây điện 2x1,5mm2</v>
          </cell>
          <cell r="D420" t="str">
            <v>m</v>
          </cell>
          <cell r="E420">
            <v>0.21</v>
          </cell>
          <cell r="F420">
            <v>7500</v>
          </cell>
          <cell r="G420">
            <v>1575</v>
          </cell>
        </row>
        <row r="421">
          <cell r="C421" t="str">
            <v>Nhân công</v>
          </cell>
          <cell r="G421">
            <v>173772.33355263158</v>
          </cell>
        </row>
        <row r="422">
          <cell r="B422" t="str">
            <v>KS3</v>
          </cell>
          <cell r="C422" t="str">
            <v>+ Kỹ sư bậc 3,0/8</v>
          </cell>
          <cell r="D422" t="str">
            <v>Công</v>
          </cell>
          <cell r="E422">
            <v>0.55000000000000004</v>
          </cell>
          <cell r="F422">
            <v>213300</v>
          </cell>
          <cell r="G422">
            <v>117315.00000000001</v>
          </cell>
        </row>
        <row r="423">
          <cell r="B423" t="str">
            <v>NC1407</v>
          </cell>
          <cell r="C423" t="str">
            <v>+ Nhân công bậc 4,0/7</v>
          </cell>
          <cell r="D423" t="str">
            <v>Công</v>
          </cell>
          <cell r="E423">
            <v>0.28999999999999998</v>
          </cell>
          <cell r="F423">
            <v>194680.46052631579</v>
          </cell>
          <cell r="G423">
            <v>56457.333552631571</v>
          </cell>
        </row>
        <row r="424">
          <cell r="C424" t="str">
            <v>Máy thi công:</v>
          </cell>
          <cell r="G424">
            <v>8261.2687500000011</v>
          </cell>
        </row>
        <row r="425">
          <cell r="B425">
            <v>7075</v>
          </cell>
          <cell r="C425" t="str">
            <v>Máy đo điện trở tiếp xúc</v>
          </cell>
          <cell r="D425" t="str">
            <v>ca</v>
          </cell>
          <cell r="E425">
            <v>0.105</v>
          </cell>
          <cell r="F425">
            <v>78678.750000000015</v>
          </cell>
          <cell r="G425">
            <v>8261.2687500000011</v>
          </cell>
        </row>
        <row r="426">
          <cell r="A426" t="str">
            <v>EC.22020</v>
          </cell>
          <cell r="C426" t="str">
            <v>Cột điện, cột thu lôi bằng bê tông</v>
          </cell>
          <cell r="H426">
            <v>1102.5</v>
          </cell>
          <cell r="I426">
            <v>121936.89671052631</v>
          </cell>
          <cell r="J426">
            <v>5822.2275000000009</v>
          </cell>
        </row>
        <row r="427">
          <cell r="C427" t="str">
            <v>Vật liệu</v>
          </cell>
          <cell r="G427">
            <v>1102.5</v>
          </cell>
        </row>
        <row r="428">
          <cell r="B428">
            <v>148</v>
          </cell>
          <cell r="C428" t="str">
            <v>dây điện 2x1,5mm2</v>
          </cell>
          <cell r="D428" t="str">
            <v>m</v>
          </cell>
          <cell r="E428">
            <v>0.14699999999999999</v>
          </cell>
          <cell r="F428">
            <v>7500</v>
          </cell>
          <cell r="G428">
            <v>1102.5</v>
          </cell>
        </row>
        <row r="429">
          <cell r="C429" t="str">
            <v>Nhân công</v>
          </cell>
          <cell r="G429">
            <v>121936.89671052631</v>
          </cell>
        </row>
        <row r="430">
          <cell r="B430" t="str">
            <v>KS3</v>
          </cell>
          <cell r="C430" t="str">
            <v>+ Kỹ sư bậc 3,0/8</v>
          </cell>
          <cell r="D430" t="str">
            <v>Công</v>
          </cell>
          <cell r="E430">
            <v>0.38</v>
          </cell>
          <cell r="F430">
            <v>213300</v>
          </cell>
          <cell r="G430">
            <v>81054</v>
          </cell>
        </row>
        <row r="431">
          <cell r="B431" t="str">
            <v>NC1407</v>
          </cell>
          <cell r="C431" t="str">
            <v>+ Nhân công bậc 4,0/7</v>
          </cell>
          <cell r="D431" t="str">
            <v>Công</v>
          </cell>
          <cell r="E431">
            <v>0.21</v>
          </cell>
          <cell r="F431">
            <v>194680.46052631579</v>
          </cell>
          <cell r="G431">
            <v>40882.896710526315</v>
          </cell>
        </row>
        <row r="432">
          <cell r="C432" t="str">
            <v>Máy thi công:</v>
          </cell>
          <cell r="G432">
            <v>5822.2275000000009</v>
          </cell>
        </row>
        <row r="433">
          <cell r="B433">
            <v>7075</v>
          </cell>
          <cell r="C433" t="str">
            <v>Máy đo điện trở tiếp xúc</v>
          </cell>
          <cell r="D433" t="str">
            <v>ca</v>
          </cell>
          <cell r="E433">
            <v>7.3999999999999996E-2</v>
          </cell>
          <cell r="F433">
            <v>78678.750000000015</v>
          </cell>
          <cell r="G433">
            <v>5822.2275000000009</v>
          </cell>
        </row>
      </sheetData>
      <sheetData sheetId="7">
        <row r="4">
          <cell r="B4" t="str">
            <v>04.03.101</v>
          </cell>
          <cell r="C4" t="str">
            <v>bé</v>
          </cell>
          <cell r="D4">
            <v>0</v>
          </cell>
          <cell r="E4">
            <v>74086.180200000003</v>
          </cell>
          <cell r="F4">
            <v>0</v>
          </cell>
        </row>
        <row r="5">
          <cell r="B5" t="str">
            <v>04.03.111</v>
          </cell>
          <cell r="C5" t="str">
            <v>bé</v>
          </cell>
          <cell r="D5">
            <v>0</v>
          </cell>
          <cell r="E5">
            <v>123476.967</v>
          </cell>
          <cell r="F5">
            <v>0</v>
          </cell>
        </row>
        <row r="6">
          <cell r="B6" t="str">
            <v>04.03.121</v>
          </cell>
          <cell r="C6" t="str">
            <v>bé</v>
          </cell>
          <cell r="D6">
            <v>0</v>
          </cell>
          <cell r="E6">
            <v>167057.073</v>
          </cell>
          <cell r="F6">
            <v>0</v>
          </cell>
        </row>
        <row r="7">
          <cell r="B7" t="str">
            <v>04.03.131</v>
          </cell>
          <cell r="C7" t="str">
            <v>bé</v>
          </cell>
          <cell r="D7">
            <v>0</v>
          </cell>
          <cell r="E7">
            <v>225163.88100000002</v>
          </cell>
          <cell r="F7">
            <v>0</v>
          </cell>
        </row>
        <row r="8">
          <cell r="B8" t="str">
            <v>04.03.141</v>
          </cell>
          <cell r="C8" t="str">
            <v>bé</v>
          </cell>
          <cell r="D8">
            <v>0</v>
          </cell>
          <cell r="E8">
            <v>270196.65720000002</v>
          </cell>
          <cell r="F8">
            <v>0</v>
          </cell>
        </row>
        <row r="9">
          <cell r="B9" t="str">
            <v>04.03.102</v>
          </cell>
          <cell r="C9" t="str">
            <v>bé</v>
          </cell>
          <cell r="D9">
            <v>0</v>
          </cell>
          <cell r="E9">
            <v>98458.758000000002</v>
          </cell>
          <cell r="F9">
            <v>0</v>
          </cell>
        </row>
        <row r="10">
          <cell r="B10" t="str">
            <v>04.03.112</v>
          </cell>
          <cell r="C10" t="str">
            <v>bé</v>
          </cell>
          <cell r="D10">
            <v>0</v>
          </cell>
          <cell r="E10">
            <v>164151.73259999999</v>
          </cell>
          <cell r="F10">
            <v>0</v>
          </cell>
        </row>
        <row r="11">
          <cell r="B11" t="str">
            <v>04.03.122</v>
          </cell>
          <cell r="C11" t="str">
            <v>bé</v>
          </cell>
          <cell r="D11">
            <v>0</v>
          </cell>
          <cell r="E11">
            <v>222258.54060000001</v>
          </cell>
          <cell r="F11">
            <v>0</v>
          </cell>
        </row>
        <row r="12">
          <cell r="B12" t="str">
            <v>04.03.132</v>
          </cell>
          <cell r="C12" t="str">
            <v>bé</v>
          </cell>
          <cell r="D12">
            <v>0</v>
          </cell>
          <cell r="E12">
            <v>299250.0612</v>
          </cell>
          <cell r="F12">
            <v>0</v>
          </cell>
        </row>
        <row r="13">
          <cell r="B13" t="str">
            <v>04.03.142</v>
          </cell>
          <cell r="C13" t="str">
            <v>bé</v>
          </cell>
          <cell r="D13">
            <v>0</v>
          </cell>
          <cell r="E13">
            <v>358809.53940000001</v>
          </cell>
          <cell r="F13">
            <v>0</v>
          </cell>
        </row>
        <row r="14">
          <cell r="B14" t="str">
            <v>04.03.144</v>
          </cell>
          <cell r="C14" t="str">
            <v>bé</v>
          </cell>
          <cell r="D14">
            <v>0</v>
          </cell>
          <cell r="E14">
            <v>338472.15659999999</v>
          </cell>
          <cell r="F14">
            <v>0</v>
          </cell>
        </row>
        <row r="15">
          <cell r="B15" t="str">
            <v>04.03.154</v>
          </cell>
          <cell r="C15" t="str">
            <v>bé</v>
          </cell>
          <cell r="D15">
            <v>0</v>
          </cell>
          <cell r="E15">
            <v>483739.17659999995</v>
          </cell>
          <cell r="F15">
            <v>0</v>
          </cell>
        </row>
        <row r="16">
          <cell r="B16" t="str">
            <v>04.03.164</v>
          </cell>
          <cell r="C16" t="str">
            <v>bé</v>
          </cell>
          <cell r="D16">
            <v>0</v>
          </cell>
          <cell r="E16">
            <v>605763.47340000002</v>
          </cell>
          <cell r="F16">
            <v>0</v>
          </cell>
        </row>
        <row r="18">
          <cell r="B18" t="str">
            <v>04.02.101</v>
          </cell>
          <cell r="C18" t="str">
            <v>cét</v>
          </cell>
          <cell r="D18">
            <v>0</v>
          </cell>
          <cell r="E18">
            <v>669680.96219999995</v>
          </cell>
          <cell r="F18">
            <v>0</v>
          </cell>
        </row>
        <row r="19">
          <cell r="B19" t="str">
            <v>04.02.201</v>
          </cell>
          <cell r="C19" t="str">
            <v>cét</v>
          </cell>
          <cell r="D19">
            <v>0</v>
          </cell>
          <cell r="E19">
            <v>720524.41920000012</v>
          </cell>
          <cell r="F19">
            <v>0</v>
          </cell>
        </row>
        <row r="20">
          <cell r="B20" t="str">
            <v>04.02.301</v>
          </cell>
          <cell r="C20" t="str">
            <v>cét</v>
          </cell>
          <cell r="D20">
            <v>0</v>
          </cell>
          <cell r="E20">
            <v>771367.87619999994</v>
          </cell>
          <cell r="F20">
            <v>0</v>
          </cell>
        </row>
        <row r="21">
          <cell r="B21" t="str">
            <v>04.02.401</v>
          </cell>
          <cell r="C21" t="str">
            <v>cét</v>
          </cell>
          <cell r="D21">
            <v>0</v>
          </cell>
          <cell r="E21">
            <v>960215.00219999999</v>
          </cell>
          <cell r="F21">
            <v>0</v>
          </cell>
        </row>
        <row r="22">
          <cell r="B22" t="str">
            <v>04.02.501</v>
          </cell>
          <cell r="C22" t="str">
            <v>cét</v>
          </cell>
          <cell r="D22">
            <v>0</v>
          </cell>
          <cell r="E22">
            <v>1044469.8737999999</v>
          </cell>
          <cell r="F22">
            <v>0</v>
          </cell>
        </row>
        <row r="23">
          <cell r="B23" t="str">
            <v>04.02.601</v>
          </cell>
          <cell r="C23" t="str">
            <v>cét</v>
          </cell>
          <cell r="D23">
            <v>0</v>
          </cell>
          <cell r="E23">
            <v>1361151.9774</v>
          </cell>
          <cell r="F23">
            <v>0</v>
          </cell>
        </row>
        <row r="24">
          <cell r="B24" t="str">
            <v>04.02.701</v>
          </cell>
          <cell r="C24" t="str">
            <v>cét</v>
          </cell>
          <cell r="D24">
            <v>0</v>
          </cell>
          <cell r="E24">
            <v>1586315.8584</v>
          </cell>
          <cell r="F24">
            <v>0</v>
          </cell>
        </row>
        <row r="26">
          <cell r="B26" t="str">
            <v>03.01.104</v>
          </cell>
          <cell r="C26" t="str">
            <v>qu¶</v>
          </cell>
          <cell r="D26">
            <v>0</v>
          </cell>
          <cell r="E26">
            <v>23969.058300000001</v>
          </cell>
          <cell r="F26">
            <v>0</v>
          </cell>
        </row>
        <row r="27">
          <cell r="B27" t="str">
            <v>03.01.105</v>
          </cell>
          <cell r="C27" t="str">
            <v>qu¶</v>
          </cell>
          <cell r="D27">
            <v>0</v>
          </cell>
          <cell r="E27">
            <v>32830.346519999999</v>
          </cell>
          <cell r="F27">
            <v>0</v>
          </cell>
        </row>
        <row r="28">
          <cell r="B28" t="str">
            <v>03.01.106</v>
          </cell>
          <cell r="C28" t="str">
            <v>qu¶</v>
          </cell>
          <cell r="D28">
            <v>0</v>
          </cell>
          <cell r="E28">
            <v>41836.901760000001</v>
          </cell>
          <cell r="F28">
            <v>0</v>
          </cell>
        </row>
        <row r="29">
          <cell r="B29" t="str">
            <v>03.01.204</v>
          </cell>
          <cell r="C29" t="str">
            <v>qu¶</v>
          </cell>
          <cell r="D29">
            <v>0</v>
          </cell>
          <cell r="E29">
            <v>16560.440280000003</v>
          </cell>
          <cell r="F29">
            <v>0</v>
          </cell>
        </row>
        <row r="30">
          <cell r="B30" t="str">
            <v>03.01.205</v>
          </cell>
          <cell r="C30" t="str">
            <v>qu¶</v>
          </cell>
          <cell r="D30">
            <v>0</v>
          </cell>
          <cell r="E30">
            <v>22661.655120000003</v>
          </cell>
          <cell r="F30">
            <v>0</v>
          </cell>
        </row>
        <row r="31">
          <cell r="B31" t="str">
            <v>03.01.206</v>
          </cell>
          <cell r="C31" t="str">
            <v>qu¶</v>
          </cell>
          <cell r="D31">
            <v>0</v>
          </cell>
          <cell r="E31">
            <v>28908.136979999999</v>
          </cell>
          <cell r="F31">
            <v>0</v>
          </cell>
        </row>
        <row r="32">
          <cell r="B32" t="str">
            <v>03.04.101</v>
          </cell>
          <cell r="C32" t="str">
            <v>chuçi</v>
          </cell>
          <cell r="D32">
            <v>0</v>
          </cell>
          <cell r="E32">
            <v>283844.11144736846</v>
          </cell>
          <cell r="F32">
            <v>0</v>
          </cell>
        </row>
        <row r="33">
          <cell r="B33" t="str">
            <v>03.04.102</v>
          </cell>
          <cell r="C33" t="str">
            <v>chuçi</v>
          </cell>
          <cell r="D33">
            <v>0</v>
          </cell>
          <cell r="E33">
            <v>63076.469210526317</v>
          </cell>
          <cell r="F33">
            <v>0</v>
          </cell>
        </row>
        <row r="34">
          <cell r="B34" t="str">
            <v>03.07.101</v>
          </cell>
          <cell r="C34" t="str">
            <v>chuçi</v>
          </cell>
          <cell r="D34">
            <v>0</v>
          </cell>
          <cell r="E34">
            <v>29961.322875000002</v>
          </cell>
          <cell r="F34">
            <v>0</v>
          </cell>
        </row>
        <row r="35">
          <cell r="B35" t="str">
            <v>03.07.102</v>
          </cell>
          <cell r="C35" t="str">
            <v>chuçi</v>
          </cell>
          <cell r="D35">
            <v>0</v>
          </cell>
          <cell r="E35">
            <v>70961.027861842114</v>
          </cell>
          <cell r="F35">
            <v>0</v>
          </cell>
        </row>
        <row r="36">
          <cell r="B36" t="str">
            <v>03.08102</v>
          </cell>
          <cell r="C36" t="str">
            <v>chuçi</v>
          </cell>
          <cell r="D36">
            <v>0</v>
          </cell>
          <cell r="E36">
            <v>140345.14399342108</v>
          </cell>
          <cell r="F36">
            <v>0</v>
          </cell>
        </row>
        <row r="38">
          <cell r="B38" t="str">
            <v>05.01.101</v>
          </cell>
          <cell r="C38" t="str">
            <v>m</v>
          </cell>
          <cell r="D38">
            <v>0</v>
          </cell>
          <cell r="E38">
            <v>1329.336588611842</v>
          </cell>
          <cell r="F38">
            <v>0</v>
          </cell>
        </row>
        <row r="39">
          <cell r="B39" t="str">
            <v>05.01.102</v>
          </cell>
          <cell r="C39" t="str">
            <v>m</v>
          </cell>
          <cell r="D39">
            <v>0</v>
          </cell>
          <cell r="E39">
            <v>1751.9489323223686</v>
          </cell>
          <cell r="F39">
            <v>0</v>
          </cell>
        </row>
        <row r="40">
          <cell r="B40" t="str">
            <v>05.01.103</v>
          </cell>
          <cell r="C40" t="str">
            <v>m</v>
          </cell>
          <cell r="D40">
            <v>0</v>
          </cell>
          <cell r="E40">
            <v>1923.832310921053</v>
          </cell>
          <cell r="F40">
            <v>0</v>
          </cell>
        </row>
        <row r="41">
          <cell r="B41" t="str">
            <v>05.01.104</v>
          </cell>
          <cell r="C41" t="str">
            <v>m</v>
          </cell>
          <cell r="D41">
            <v>0</v>
          </cell>
          <cell r="E41">
            <v>2534.0971505328948</v>
          </cell>
          <cell r="F41">
            <v>0</v>
          </cell>
        </row>
        <row r="42">
          <cell r="B42" t="str">
            <v>05.01.105</v>
          </cell>
          <cell r="C42" t="str">
            <v>m</v>
          </cell>
          <cell r="D42">
            <v>0</v>
          </cell>
          <cell r="E42">
            <v>3385.6294848750003</v>
          </cell>
          <cell r="F42">
            <v>0</v>
          </cell>
        </row>
        <row r="43">
          <cell r="B43" t="str">
            <v>05.01.106</v>
          </cell>
          <cell r="C43" t="str">
            <v>m</v>
          </cell>
          <cell r="D43">
            <v>0</v>
          </cell>
          <cell r="E43">
            <v>4610.8898992894738</v>
          </cell>
          <cell r="F43">
            <v>0</v>
          </cell>
        </row>
        <row r="44">
          <cell r="B44" t="str">
            <v>05.01.107</v>
          </cell>
          <cell r="C44" t="str">
            <v>m</v>
          </cell>
          <cell r="D44">
            <v>0</v>
          </cell>
          <cell r="E44">
            <v>1923.832310921053</v>
          </cell>
          <cell r="F44">
            <v>0</v>
          </cell>
        </row>
        <row r="45">
          <cell r="B45" t="str">
            <v>05.01.108</v>
          </cell>
          <cell r="C45" t="str">
            <v>m</v>
          </cell>
          <cell r="D45">
            <v>0</v>
          </cell>
          <cell r="E45">
            <v>2534.0971505328948</v>
          </cell>
          <cell r="F45">
            <v>0</v>
          </cell>
        </row>
        <row r="46">
          <cell r="B46" t="str">
            <v>05.01.109</v>
          </cell>
          <cell r="C46" t="str">
            <v>m</v>
          </cell>
          <cell r="D46">
            <v>0</v>
          </cell>
          <cell r="E46">
            <v>3385.6294848750003</v>
          </cell>
          <cell r="F46">
            <v>0</v>
          </cell>
        </row>
        <row r="47">
          <cell r="B47" t="str">
            <v>05.01.110</v>
          </cell>
          <cell r="C47" t="str">
            <v>m</v>
          </cell>
          <cell r="D47">
            <v>0</v>
          </cell>
          <cell r="E47">
            <v>4610.8898992894738</v>
          </cell>
          <cell r="F47">
            <v>0</v>
          </cell>
        </row>
        <row r="48">
          <cell r="B48" t="str">
            <v>05.01.111</v>
          </cell>
          <cell r="C48" t="str">
            <v>m</v>
          </cell>
          <cell r="D48">
            <v>0</v>
          </cell>
          <cell r="E48">
            <v>5180.1550339144742</v>
          </cell>
          <cell r="F48">
            <v>0</v>
          </cell>
        </row>
        <row r="49">
          <cell r="B49" t="str">
            <v>05.01.112</v>
          </cell>
          <cell r="C49" t="str">
            <v>m</v>
          </cell>
          <cell r="D49">
            <v>0</v>
          </cell>
          <cell r="E49">
            <v>6268.224127796052</v>
          </cell>
          <cell r="F49">
            <v>0</v>
          </cell>
        </row>
        <row r="50">
          <cell r="B50" t="str">
            <v>05.01.113</v>
          </cell>
          <cell r="C50" t="str">
            <v>m</v>
          </cell>
          <cell r="D50">
            <v>0</v>
          </cell>
          <cell r="E50">
            <v>7397.2929266644742</v>
          </cell>
          <cell r="F50">
            <v>0</v>
          </cell>
        </row>
        <row r="51">
          <cell r="B51" t="str">
            <v>05.01.114</v>
          </cell>
          <cell r="C51" t="str">
            <v>m</v>
          </cell>
          <cell r="D51">
            <v>0</v>
          </cell>
          <cell r="E51">
            <v>8135.2876164276313</v>
          </cell>
          <cell r="F51">
            <v>0</v>
          </cell>
        </row>
        <row r="52">
          <cell r="B52" t="str">
            <v>10.02.5111</v>
          </cell>
          <cell r="C52" t="str">
            <v>m</v>
          </cell>
          <cell r="D52">
            <v>0</v>
          </cell>
          <cell r="E52">
            <v>10259.387717092106</v>
          </cell>
          <cell r="F52">
            <v>0</v>
          </cell>
        </row>
        <row r="54">
          <cell r="B54" t="str">
            <v>07.01.101</v>
          </cell>
          <cell r="C54" t="str">
            <v>m¸y</v>
          </cell>
          <cell r="E54">
            <v>506169.19736842107</v>
          </cell>
        </row>
        <row r="55">
          <cell r="B55" t="str">
            <v>07.01.102</v>
          </cell>
          <cell r="C55" t="str">
            <v>m¸y</v>
          </cell>
          <cell r="E55">
            <v>584041.38157894742</v>
          </cell>
        </row>
        <row r="56">
          <cell r="B56" t="str">
            <v>07.01.103</v>
          </cell>
          <cell r="C56" t="str">
            <v>m¸y</v>
          </cell>
          <cell r="E56">
            <v>759253.79605263157</v>
          </cell>
        </row>
        <row r="57">
          <cell r="B57" t="str">
            <v>07.01.104</v>
          </cell>
          <cell r="C57" t="str">
            <v>m¸y</v>
          </cell>
          <cell r="E57">
            <v>759253.79605263157</v>
          </cell>
        </row>
        <row r="58">
          <cell r="B58" t="str">
            <v>07.01.105</v>
          </cell>
          <cell r="C58" t="str">
            <v>m¸y</v>
          </cell>
          <cell r="E58">
            <v>837125.98026315786</v>
          </cell>
        </row>
        <row r="59">
          <cell r="B59" t="str">
            <v>07.01.106</v>
          </cell>
          <cell r="C59" t="str">
            <v>m¸y</v>
          </cell>
          <cell r="E59">
            <v>837125.98026315786</v>
          </cell>
        </row>
        <row r="60">
          <cell r="B60" t="str">
            <v>07.01.107</v>
          </cell>
          <cell r="C60" t="str">
            <v>m¸y</v>
          </cell>
          <cell r="E60">
            <v>837125.98026315786</v>
          </cell>
          <cell r="F60" t="e">
            <v>#REF!</v>
          </cell>
        </row>
        <row r="61">
          <cell r="B61" t="str">
            <v>07.01.108</v>
          </cell>
          <cell r="C61" t="str">
            <v>m¸y</v>
          </cell>
          <cell r="E61">
            <v>914998.16447368427</v>
          </cell>
          <cell r="F61" t="e">
            <v>#REF!</v>
          </cell>
        </row>
        <row r="63">
          <cell r="B63" t="str">
            <v>07.01.201</v>
          </cell>
          <cell r="C63" t="str">
            <v>m¸y</v>
          </cell>
          <cell r="E63">
            <v>506169.19736842107</v>
          </cell>
        </row>
        <row r="64">
          <cell r="B64" t="str">
            <v>07.01.202</v>
          </cell>
          <cell r="C64" t="str">
            <v>m¸y</v>
          </cell>
          <cell r="E64">
            <v>632711.49671052629</v>
          </cell>
        </row>
        <row r="65">
          <cell r="B65" t="str">
            <v>07.01.203</v>
          </cell>
          <cell r="C65" t="str">
            <v>m¸y</v>
          </cell>
          <cell r="E65">
            <v>759253.79605263157</v>
          </cell>
        </row>
        <row r="66">
          <cell r="B66" t="str">
            <v>07.01.204</v>
          </cell>
          <cell r="C66" t="str">
            <v>m¸y</v>
          </cell>
          <cell r="E66">
            <v>759253.79605263157</v>
          </cell>
        </row>
        <row r="67">
          <cell r="B67" t="str">
            <v>07.01.205</v>
          </cell>
          <cell r="C67" t="str">
            <v>m¸y</v>
          </cell>
          <cell r="E67">
            <v>837125.98026315786</v>
          </cell>
        </row>
        <row r="68">
          <cell r="B68" t="str">
            <v>07.01.206</v>
          </cell>
          <cell r="C68" t="str">
            <v>m¸y</v>
          </cell>
          <cell r="E68">
            <v>837125.98026315786</v>
          </cell>
        </row>
        <row r="69">
          <cell r="B69" t="str">
            <v>07.01.207</v>
          </cell>
          <cell r="C69" t="str">
            <v>m¸y</v>
          </cell>
          <cell r="E69">
            <v>837125.98026315786</v>
          </cell>
          <cell r="F69" t="e">
            <v>#REF!</v>
          </cell>
        </row>
        <row r="70">
          <cell r="B70" t="str">
            <v>07.01.208</v>
          </cell>
          <cell r="C70" t="str">
            <v>m¸y</v>
          </cell>
          <cell r="E70">
            <v>914998.16447368427</v>
          </cell>
          <cell r="F70" t="e">
            <v>#REF!</v>
          </cell>
        </row>
        <row r="72">
          <cell r="B72" t="str">
            <v>07.01.301</v>
          </cell>
          <cell r="C72" t="str">
            <v>m¸y</v>
          </cell>
          <cell r="E72">
            <v>438031.0361842105</v>
          </cell>
          <cell r="F72" t="e">
            <v>#REF!</v>
          </cell>
        </row>
        <row r="73">
          <cell r="B73" t="str">
            <v>07.01.302</v>
          </cell>
          <cell r="C73" t="str">
            <v>m¸y</v>
          </cell>
          <cell r="E73">
            <v>515903.2203947368</v>
          </cell>
          <cell r="F73" t="e">
            <v>#REF!</v>
          </cell>
        </row>
        <row r="74">
          <cell r="B74" t="str">
            <v>07.01.303</v>
          </cell>
          <cell r="C74" t="str">
            <v>m¸y</v>
          </cell>
          <cell r="E74">
            <v>593775.40460526315</v>
          </cell>
          <cell r="F74" t="e">
            <v>#REF!</v>
          </cell>
        </row>
        <row r="75">
          <cell r="B75" t="str">
            <v>07.01.304</v>
          </cell>
          <cell r="C75" t="str">
            <v>m¸y</v>
          </cell>
          <cell r="E75">
            <v>593775.40460526315</v>
          </cell>
          <cell r="F75" t="e">
            <v>#REF!</v>
          </cell>
        </row>
        <row r="76">
          <cell r="B76" t="str">
            <v>07.01.305</v>
          </cell>
          <cell r="C76" t="str">
            <v>m¸y</v>
          </cell>
          <cell r="E76">
            <v>671647.58881578955</v>
          </cell>
          <cell r="F76" t="e">
            <v>#REF!</v>
          </cell>
        </row>
        <row r="77">
          <cell r="B77" t="str">
            <v>07.01.306</v>
          </cell>
          <cell r="C77" t="str">
            <v>m¸y</v>
          </cell>
          <cell r="E77">
            <v>671647.58881578955</v>
          </cell>
          <cell r="F77" t="e">
            <v>#REF!</v>
          </cell>
        </row>
        <row r="78">
          <cell r="B78" t="str">
            <v>07.01.307</v>
          </cell>
          <cell r="C78" t="str">
            <v>m¸y</v>
          </cell>
          <cell r="E78">
            <v>720317.70394736843</v>
          </cell>
          <cell r="F78" t="e">
            <v>#REF!</v>
          </cell>
        </row>
        <row r="79">
          <cell r="B79" t="str">
            <v>07.01.308</v>
          </cell>
          <cell r="C79" t="str">
            <v>m¸y</v>
          </cell>
          <cell r="E79">
            <v>798189.88815789472</v>
          </cell>
          <cell r="F79" t="e">
            <v>#REF!</v>
          </cell>
        </row>
        <row r="81">
          <cell r="B81" t="str">
            <v>07.01.401</v>
          </cell>
          <cell r="C81" t="str">
            <v>m¸y</v>
          </cell>
          <cell r="E81">
            <v>515903.2203947368</v>
          </cell>
          <cell r="F81" t="e">
            <v>#REF!</v>
          </cell>
        </row>
        <row r="82">
          <cell r="B82" t="str">
            <v>07.01.402</v>
          </cell>
          <cell r="C82" t="str">
            <v>m¸y</v>
          </cell>
          <cell r="E82">
            <v>515903.2203947368</v>
          </cell>
          <cell r="F82" t="e">
            <v>#REF!</v>
          </cell>
        </row>
        <row r="83">
          <cell r="B83" t="str">
            <v>07.01.403</v>
          </cell>
          <cell r="C83" t="str">
            <v>m¸y</v>
          </cell>
          <cell r="E83">
            <v>593775.40460526315</v>
          </cell>
          <cell r="F83" t="e">
            <v>#REF!</v>
          </cell>
        </row>
        <row r="84">
          <cell r="B84" t="str">
            <v>07.01.404</v>
          </cell>
          <cell r="C84" t="str">
            <v>m¸y</v>
          </cell>
          <cell r="E84">
            <v>671647.58881578955</v>
          </cell>
          <cell r="F84" t="e">
            <v>#REF!</v>
          </cell>
        </row>
        <row r="85">
          <cell r="B85" t="str">
            <v>07.01.405</v>
          </cell>
          <cell r="C85" t="str">
            <v>m¸y</v>
          </cell>
          <cell r="E85">
            <v>749519.77302631584</v>
          </cell>
          <cell r="F85" t="e">
            <v>#REF!</v>
          </cell>
        </row>
        <row r="86">
          <cell r="B86" t="str">
            <v>07.01.406</v>
          </cell>
          <cell r="C86" t="str">
            <v>m¸y</v>
          </cell>
          <cell r="E86">
            <v>749519.77302631584</v>
          </cell>
          <cell r="F86" t="e">
            <v>#REF!</v>
          </cell>
        </row>
        <row r="87">
          <cell r="B87" t="str">
            <v>07.01.407</v>
          </cell>
          <cell r="C87" t="str">
            <v>m¸y</v>
          </cell>
          <cell r="E87">
            <v>798189.88815789472</v>
          </cell>
          <cell r="F87" t="e">
            <v>#REF!</v>
          </cell>
        </row>
        <row r="88">
          <cell r="B88" t="str">
            <v>07.01.408</v>
          </cell>
          <cell r="C88" t="str">
            <v>m¸y</v>
          </cell>
          <cell r="E88">
            <v>953934.25657894742</v>
          </cell>
          <cell r="F88" t="e">
            <v>#REF!</v>
          </cell>
        </row>
        <row r="90">
          <cell r="B90" t="str">
            <v>11.05.001</v>
          </cell>
          <cell r="C90" t="str">
            <v>bé</v>
          </cell>
          <cell r="E90">
            <v>21521.040000000001</v>
          </cell>
        </row>
        <row r="91">
          <cell r="B91" t="str">
            <v>11.05.001</v>
          </cell>
          <cell r="C91" t="str">
            <v>bé</v>
          </cell>
          <cell r="E91">
            <v>11190.940800000002</v>
          </cell>
        </row>
        <row r="92">
          <cell r="B92" t="str">
            <v>09.05.005</v>
          </cell>
          <cell r="C92" t="str">
            <v>bé</v>
          </cell>
          <cell r="E92">
            <v>70961.027861842114</v>
          </cell>
        </row>
        <row r="93">
          <cell r="B93" t="str">
            <v>09.05.004</v>
          </cell>
          <cell r="C93" t="str">
            <v>bé</v>
          </cell>
          <cell r="E93">
            <v>236536.75953947371</v>
          </cell>
        </row>
        <row r="94">
          <cell r="B94" t="str">
            <v>10.02.214</v>
          </cell>
          <cell r="C94" t="str">
            <v>bé</v>
          </cell>
          <cell r="E94">
            <v>599226.4574999999</v>
          </cell>
        </row>
        <row r="95">
          <cell r="B95" t="str">
            <v>10.02.213</v>
          </cell>
          <cell r="C95" t="str">
            <v>bé</v>
          </cell>
          <cell r="E95">
            <v>719071.74899999995</v>
          </cell>
        </row>
        <row r="97">
          <cell r="B97" t="str">
            <v>11.09.201</v>
          </cell>
          <cell r="C97" t="str">
            <v>hòm</v>
          </cell>
          <cell r="E97">
            <v>218042.1157894737</v>
          </cell>
        </row>
        <row r="98">
          <cell r="B98" t="str">
            <v>11.09.201</v>
          </cell>
          <cell r="C98" t="str">
            <v>hòm</v>
          </cell>
          <cell r="E98">
            <v>218042.1157894737</v>
          </cell>
        </row>
        <row r="99">
          <cell r="B99" t="str">
            <v>11.09.201</v>
          </cell>
          <cell r="C99" t="str">
            <v>hòm</v>
          </cell>
          <cell r="E99">
            <v>218042.1157894737</v>
          </cell>
        </row>
        <row r="100">
          <cell r="B100" t="str">
            <v>11.09.202</v>
          </cell>
          <cell r="C100" t="str">
            <v>hòm</v>
          </cell>
          <cell r="E100">
            <v>280339.8631578947</v>
          </cell>
        </row>
        <row r="101">
          <cell r="B101" t="str">
            <v>11.09.202</v>
          </cell>
          <cell r="C101" t="str">
            <v>hòm</v>
          </cell>
          <cell r="E101">
            <v>280339.8631578947</v>
          </cell>
        </row>
        <row r="102">
          <cell r="B102" t="str">
            <v>11.09.201</v>
          </cell>
          <cell r="C102" t="str">
            <v>hòm</v>
          </cell>
          <cell r="E102">
            <v>218042.1157894737</v>
          </cell>
        </row>
        <row r="103">
          <cell r="B103" t="str">
            <v>11.09.10</v>
          </cell>
          <cell r="C103" t="str">
            <v>kg/m</v>
          </cell>
          <cell r="E103">
            <v>3570</v>
          </cell>
        </row>
      </sheetData>
      <sheetData sheetId="8"/>
      <sheetData sheetId="9"/>
      <sheetData sheetId="10"/>
      <sheetData sheetId="11"/>
      <sheetData sheetId="12"/>
      <sheetData sheetId="13"/>
      <sheetData sheetId="14">
        <row r="4">
          <cell r="D4">
            <v>920</v>
          </cell>
        </row>
        <row r="5">
          <cell r="D5">
            <v>1240</v>
          </cell>
        </row>
        <row r="6">
          <cell r="D6">
            <v>410000</v>
          </cell>
        </row>
        <row r="9">
          <cell r="D9">
            <v>221000</v>
          </cell>
        </row>
        <row r="10">
          <cell r="D10">
            <v>225000</v>
          </cell>
        </row>
        <row r="16">
          <cell r="D16">
            <v>7800</v>
          </cell>
        </row>
        <row r="18">
          <cell r="D18">
            <v>19000</v>
          </cell>
        </row>
        <row r="19">
          <cell r="D19">
            <v>11750</v>
          </cell>
        </row>
        <row r="33">
          <cell r="G33">
            <v>1.8</v>
          </cell>
        </row>
        <row r="35">
          <cell r="D35">
            <v>11500000</v>
          </cell>
        </row>
        <row r="61">
          <cell r="D61">
            <v>13779.3</v>
          </cell>
        </row>
        <row r="63">
          <cell r="D63">
            <v>20214</v>
          </cell>
        </row>
        <row r="65">
          <cell r="D65">
            <v>31287</v>
          </cell>
        </row>
        <row r="107">
          <cell r="D107">
            <v>26000</v>
          </cell>
        </row>
        <row r="108">
          <cell r="D108">
            <v>26000</v>
          </cell>
        </row>
        <row r="109">
          <cell r="D109">
            <v>26000</v>
          </cell>
        </row>
        <row r="110">
          <cell r="D110">
            <v>28000</v>
          </cell>
        </row>
        <row r="111">
          <cell r="D111">
            <v>28000</v>
          </cell>
        </row>
        <row r="112">
          <cell r="D112">
            <v>28000</v>
          </cell>
        </row>
        <row r="126">
          <cell r="D126">
            <v>20000</v>
          </cell>
        </row>
        <row r="150">
          <cell r="D150">
            <v>150000</v>
          </cell>
        </row>
        <row r="156">
          <cell r="D156">
            <v>7323000</v>
          </cell>
        </row>
        <row r="157">
          <cell r="D157">
            <v>5169000</v>
          </cell>
        </row>
        <row r="161">
          <cell r="D161">
            <v>5385000</v>
          </cell>
        </row>
        <row r="214">
          <cell r="B214" t="str">
            <v>I</v>
          </cell>
          <cell r="C214" t="str">
            <v>Vật liệu phụ:</v>
          </cell>
        </row>
        <row r="215">
          <cell r="B215">
            <v>1</v>
          </cell>
          <cell r="C215" t="str">
            <v>Cồn công nghiệp</v>
          </cell>
          <cell r="D215" t="str">
            <v>kg</v>
          </cell>
          <cell r="E215">
            <v>9500</v>
          </cell>
        </row>
        <row r="216">
          <cell r="B216">
            <v>2</v>
          </cell>
          <cell r="C216" t="str">
            <v>Keo dán</v>
          </cell>
          <cell r="D216" t="str">
            <v>kg</v>
          </cell>
          <cell r="E216">
            <v>45000</v>
          </cell>
        </row>
        <row r="217">
          <cell r="B217">
            <v>3</v>
          </cell>
          <cell r="C217" t="str">
            <v>Xăng A92</v>
          </cell>
          <cell r="D217" t="str">
            <v>lít</v>
          </cell>
          <cell r="E217">
            <v>18382</v>
          </cell>
        </row>
        <row r="218">
          <cell r="B218">
            <v>4</v>
          </cell>
          <cell r="C218" t="str">
            <v>Giấy giáp mịn</v>
          </cell>
          <cell r="D218" t="str">
            <v>tờ</v>
          </cell>
          <cell r="E218">
            <v>10000</v>
          </cell>
        </row>
        <row r="219">
          <cell r="B219">
            <v>5</v>
          </cell>
          <cell r="C219" t="str">
            <v>Vải nhựa</v>
          </cell>
          <cell r="D219" t="str">
            <v>m</v>
          </cell>
          <cell r="E219">
            <v>10000</v>
          </cell>
        </row>
        <row r="220">
          <cell r="B220">
            <v>6</v>
          </cell>
          <cell r="C220" t="str">
            <v>Vải trắng mọc 0,8m</v>
          </cell>
          <cell r="D220" t="str">
            <v>m</v>
          </cell>
          <cell r="E220">
            <v>15000</v>
          </cell>
        </row>
        <row r="221">
          <cell r="B221">
            <v>7</v>
          </cell>
          <cell r="C221" t="str">
            <v>Sơn chống rỉ</v>
          </cell>
          <cell r="D221" t="str">
            <v>kg</v>
          </cell>
          <cell r="E221">
            <v>36000</v>
          </cell>
        </row>
        <row r="222">
          <cell r="B222">
            <v>8</v>
          </cell>
          <cell r="C222" t="str">
            <v>Mỡ YOC</v>
          </cell>
          <cell r="D222" t="str">
            <v>kg</v>
          </cell>
          <cell r="E222">
            <v>35000</v>
          </cell>
        </row>
        <row r="223">
          <cell r="B223">
            <v>9</v>
          </cell>
          <cell r="C223" t="str">
            <v>Giẻ lau</v>
          </cell>
          <cell r="D223" t="str">
            <v>kg</v>
          </cell>
          <cell r="E223">
            <v>9500</v>
          </cell>
        </row>
        <row r="224">
          <cell r="B224">
            <v>10</v>
          </cell>
          <cell r="C224" t="str">
            <v>Gôm lắc</v>
          </cell>
          <cell r="D224" t="str">
            <v>kg</v>
          </cell>
          <cell r="E224">
            <v>45000</v>
          </cell>
        </row>
        <row r="225">
          <cell r="B225">
            <v>11</v>
          </cell>
          <cell r="C225" t="str">
            <v>Vagơlin</v>
          </cell>
          <cell r="D225" t="str">
            <v>kg</v>
          </cell>
          <cell r="E225">
            <v>24000</v>
          </cell>
        </row>
        <row r="226">
          <cell r="B226">
            <v>12</v>
          </cell>
          <cell r="C226" t="str">
            <v>Xi măng PC30</v>
          </cell>
          <cell r="D226" t="str">
            <v>kg</v>
          </cell>
          <cell r="E226">
            <v>1240</v>
          </cell>
        </row>
        <row r="227">
          <cell r="B227">
            <v>13</v>
          </cell>
          <cell r="C227" t="str">
            <v>Cát vàng đổ bê tông</v>
          </cell>
          <cell r="D227" t="str">
            <v>m3</v>
          </cell>
          <cell r="E227">
            <v>410000</v>
          </cell>
        </row>
        <row r="228">
          <cell r="B228">
            <v>14</v>
          </cell>
          <cell r="C228" t="str">
            <v>Sơn màu</v>
          </cell>
          <cell r="D228" t="str">
            <v>kg</v>
          </cell>
          <cell r="E228">
            <v>47000</v>
          </cell>
        </row>
        <row r="230">
          <cell r="B230">
            <v>16</v>
          </cell>
          <cell r="C230" t="str">
            <v>Dầu nhờn</v>
          </cell>
          <cell r="D230" t="str">
            <v>kg</v>
          </cell>
          <cell r="E230">
            <v>12753</v>
          </cell>
        </row>
        <row r="231">
          <cell r="B231">
            <v>17</v>
          </cell>
          <cell r="C231" t="str">
            <v>Dầu Diezen</v>
          </cell>
          <cell r="D231" t="str">
            <v>kg</v>
          </cell>
          <cell r="E231">
            <v>14644</v>
          </cell>
        </row>
        <row r="232">
          <cell r="B232">
            <v>18</v>
          </cell>
          <cell r="C232" t="str">
            <v>Thép lá 1mm</v>
          </cell>
          <cell r="D232" t="str">
            <v>kg</v>
          </cell>
          <cell r="E232">
            <v>10300</v>
          </cell>
        </row>
        <row r="233">
          <cell r="B233">
            <v>19</v>
          </cell>
          <cell r="C233" t="str">
            <v>Que hàn điện d4</v>
          </cell>
          <cell r="D233" t="str">
            <v>kg</v>
          </cell>
          <cell r="E233">
            <v>20000</v>
          </cell>
        </row>
        <row r="234">
          <cell r="B234">
            <v>20</v>
          </cell>
          <cell r="C234" t="str">
            <v>Thiếc hàn</v>
          </cell>
          <cell r="D234" t="str">
            <v>kg</v>
          </cell>
          <cell r="E234">
            <v>80000</v>
          </cell>
        </row>
        <row r="235">
          <cell r="B235">
            <v>21</v>
          </cell>
          <cell r="C235" t="str">
            <v>Nhựa thông</v>
          </cell>
          <cell r="D235" t="str">
            <v>kg</v>
          </cell>
          <cell r="E235">
            <v>27000</v>
          </cell>
        </row>
        <row r="236">
          <cell r="B236">
            <v>22</v>
          </cell>
          <cell r="C236" t="str">
            <v>Đồng lá 0,5mm</v>
          </cell>
          <cell r="D236" t="str">
            <v>kg</v>
          </cell>
          <cell r="E236">
            <v>250000</v>
          </cell>
        </row>
        <row r="237">
          <cell r="B237">
            <v>23</v>
          </cell>
          <cell r="C237" t="str">
            <v>Ami ăng tấm</v>
          </cell>
          <cell r="D237" t="str">
            <v>m2</v>
          </cell>
          <cell r="E237">
            <v>45000</v>
          </cell>
        </row>
        <row r="238">
          <cell r="B238">
            <v>24</v>
          </cell>
          <cell r="C238" t="str">
            <v>Mỡ máy</v>
          </cell>
          <cell r="D238" t="str">
            <v>kg</v>
          </cell>
          <cell r="E238">
            <v>25000</v>
          </cell>
        </row>
        <row r="239">
          <cell r="B239">
            <v>25</v>
          </cell>
          <cell r="C239" t="str">
            <v>Băng nilong</v>
          </cell>
          <cell r="D239" t="str">
            <v>cuộn</v>
          </cell>
          <cell r="E239">
            <v>8000</v>
          </cell>
        </row>
        <row r="240">
          <cell r="B240">
            <v>26</v>
          </cell>
          <cell r="C240" t="str">
            <v>Sơn cách điện</v>
          </cell>
          <cell r="D240" t="str">
            <v>kg</v>
          </cell>
          <cell r="E240">
            <v>35000</v>
          </cell>
        </row>
        <row r="241">
          <cell r="B241">
            <v>27</v>
          </cell>
          <cell r="C241" t="str">
            <v>Bu lông F&gt;=6, L&gt;=60</v>
          </cell>
          <cell r="D241" t="str">
            <v>cái</v>
          </cell>
          <cell r="E241">
            <v>3500</v>
          </cell>
        </row>
        <row r="242">
          <cell r="B242">
            <v>28</v>
          </cell>
          <cell r="C242" t="str">
            <v>Cô lie</v>
          </cell>
          <cell r="D242" t="str">
            <v>bộ</v>
          </cell>
          <cell r="E242">
            <v>5000</v>
          </cell>
        </row>
        <row r="243">
          <cell r="B243">
            <v>29</v>
          </cell>
          <cell r="C243" t="str">
            <v>Dây thép d = 2</v>
          </cell>
          <cell r="D243" t="str">
            <v>m</v>
          </cell>
          <cell r="E243">
            <v>800</v>
          </cell>
        </row>
        <row r="244">
          <cell r="B244">
            <v>30</v>
          </cell>
          <cell r="C244" t="str">
            <v>Dây thep d = 4</v>
          </cell>
          <cell r="D244" t="str">
            <v>m</v>
          </cell>
          <cell r="E244">
            <v>1000</v>
          </cell>
        </row>
        <row r="245">
          <cell r="B245">
            <v>31</v>
          </cell>
          <cell r="C245" t="str">
            <v>Dây thép d=6</v>
          </cell>
          <cell r="D245" t="str">
            <v>m</v>
          </cell>
          <cell r="E245">
            <v>1200</v>
          </cell>
        </row>
        <row r="246">
          <cell r="B246">
            <v>32</v>
          </cell>
          <cell r="C246" t="str">
            <v>Dây thép d=10</v>
          </cell>
          <cell r="D246" t="str">
            <v>kg</v>
          </cell>
          <cell r="E246">
            <v>17000</v>
          </cell>
        </row>
        <row r="247">
          <cell r="B247">
            <v>33</v>
          </cell>
          <cell r="C247" t="str">
            <v>Ma tít</v>
          </cell>
          <cell r="D247" t="str">
            <v>kg</v>
          </cell>
          <cell r="E247">
            <v>17300</v>
          </cell>
        </row>
        <row r="248">
          <cell r="B248">
            <v>34</v>
          </cell>
          <cell r="C248" t="str">
            <v>Dầu biến thế</v>
          </cell>
          <cell r="D248" t="str">
            <v>kg</v>
          </cell>
        </row>
        <row r="249">
          <cell r="B249">
            <v>35</v>
          </cell>
          <cell r="C249" t="str">
            <v>Chất cách điện</v>
          </cell>
          <cell r="D249" t="str">
            <v>kg</v>
          </cell>
          <cell r="E249">
            <v>15450</v>
          </cell>
        </row>
        <row r="250">
          <cell r="B250">
            <v>36</v>
          </cell>
          <cell r="C250" t="str">
            <v>Ghen nhựa d=6</v>
          </cell>
          <cell r="D250" t="str">
            <v>m</v>
          </cell>
          <cell r="E250">
            <v>2000</v>
          </cell>
        </row>
        <row r="251">
          <cell r="B251">
            <v>37</v>
          </cell>
          <cell r="C251" t="str">
            <v>Thuốc nổ Amonit</v>
          </cell>
          <cell r="D251" t="str">
            <v>kg</v>
          </cell>
          <cell r="E251">
            <v>17100</v>
          </cell>
        </row>
        <row r="252">
          <cell r="B252">
            <v>38</v>
          </cell>
          <cell r="C252" t="str">
            <v>Kíp điện vi sai</v>
          </cell>
          <cell r="D252" t="str">
            <v>cái</v>
          </cell>
          <cell r="E252">
            <v>1925</v>
          </cell>
        </row>
        <row r="253">
          <cell r="B253">
            <v>39</v>
          </cell>
          <cell r="C253" t="str">
            <v>Dây nổ</v>
          </cell>
          <cell r="D253" t="str">
            <v>m</v>
          </cell>
          <cell r="E253">
            <v>3402</v>
          </cell>
        </row>
        <row r="254">
          <cell r="B254">
            <v>40</v>
          </cell>
          <cell r="C254" t="str">
            <v>Dây điện nổ</v>
          </cell>
          <cell r="D254" t="str">
            <v>m</v>
          </cell>
          <cell r="E254">
            <v>25000</v>
          </cell>
        </row>
        <row r="255">
          <cell r="B255">
            <v>41</v>
          </cell>
          <cell r="C255" t="str">
            <v>Mũ khoan F42mm</v>
          </cell>
          <cell r="D255" t="str">
            <v>cái</v>
          </cell>
          <cell r="E255">
            <v>15000</v>
          </cell>
        </row>
        <row r="256">
          <cell r="B256">
            <v>42</v>
          </cell>
          <cell r="C256" t="str">
            <v>Cần khoan F32, L1,5m</v>
          </cell>
          <cell r="D256" t="str">
            <v>cái</v>
          </cell>
          <cell r="E256">
            <v>31827</v>
          </cell>
        </row>
        <row r="257">
          <cell r="B257">
            <v>43</v>
          </cell>
          <cell r="C257" t="str">
            <v>Đinh các loại</v>
          </cell>
          <cell r="D257" t="str">
            <v>kg</v>
          </cell>
          <cell r="E257">
            <v>16000</v>
          </cell>
        </row>
        <row r="258">
          <cell r="B258">
            <v>44</v>
          </cell>
          <cell r="C258" t="str">
            <v>Gỗ nhóm 4</v>
          </cell>
          <cell r="D258" t="str">
            <v>m3</v>
          </cell>
          <cell r="E258">
            <v>2300000</v>
          </cell>
        </row>
        <row r="259">
          <cell r="B259">
            <v>45</v>
          </cell>
          <cell r="C259" t="str">
            <v>Gỗ ván cầu công tác</v>
          </cell>
          <cell r="D259" t="str">
            <v>m3</v>
          </cell>
          <cell r="E259">
            <v>2300000</v>
          </cell>
        </row>
        <row r="260">
          <cell r="B260">
            <v>46</v>
          </cell>
          <cell r="C260" t="str">
            <v>Gỗ ván</v>
          </cell>
          <cell r="D260" t="str">
            <v>m3</v>
          </cell>
          <cell r="E260">
            <v>2300000</v>
          </cell>
        </row>
        <row r="261">
          <cell r="B261">
            <v>47</v>
          </cell>
          <cell r="C261" t="str">
            <v>Gỗ đà nẹp</v>
          </cell>
          <cell r="D261" t="str">
            <v>m3</v>
          </cell>
          <cell r="E261">
            <v>2300000</v>
          </cell>
        </row>
        <row r="262">
          <cell r="B262">
            <v>48</v>
          </cell>
          <cell r="C262" t="str">
            <v>Gỗ chống</v>
          </cell>
          <cell r="D262" t="str">
            <v>m3</v>
          </cell>
          <cell r="E262">
            <v>2300000</v>
          </cell>
        </row>
        <row r="263">
          <cell r="B263">
            <v>49</v>
          </cell>
          <cell r="C263" t="str">
            <v>Tre(gỗ) F8-10, L6-8m</v>
          </cell>
          <cell r="D263" t="str">
            <v>cây</v>
          </cell>
          <cell r="E263">
            <v>35000</v>
          </cell>
        </row>
        <row r="264">
          <cell r="B264">
            <v>50</v>
          </cell>
          <cell r="C264" t="str">
            <v>Đá học</v>
          </cell>
          <cell r="D264" t="str">
            <v>m3</v>
          </cell>
          <cell r="E264">
            <v>160000</v>
          </cell>
        </row>
        <row r="265">
          <cell r="B265">
            <v>51</v>
          </cell>
          <cell r="C265" t="str">
            <v>Đá 4x6</v>
          </cell>
          <cell r="D265" t="str">
            <v>m3</v>
          </cell>
          <cell r="E265">
            <v>207000</v>
          </cell>
        </row>
        <row r="266">
          <cell r="B266">
            <v>52</v>
          </cell>
          <cell r="C266" t="str">
            <v>Đá 2x4</v>
          </cell>
          <cell r="D266" t="str">
            <v>m3</v>
          </cell>
          <cell r="E266">
            <v>247000</v>
          </cell>
        </row>
        <row r="267">
          <cell r="B267">
            <v>53</v>
          </cell>
          <cell r="C267" t="str">
            <v>Đá 1x2</v>
          </cell>
          <cell r="D267" t="str">
            <v>m3</v>
          </cell>
          <cell r="E267">
            <v>257000</v>
          </cell>
        </row>
        <row r="268">
          <cell r="B268">
            <v>54</v>
          </cell>
          <cell r="C268" t="str">
            <v>Bạt (giấy dầu)</v>
          </cell>
          <cell r="D268" t="str">
            <v>m2</v>
          </cell>
          <cell r="E268">
            <v>15000</v>
          </cell>
        </row>
        <row r="269">
          <cell r="B269">
            <v>55</v>
          </cell>
          <cell r="C269" t="str">
            <v>Che luồng (nứa)</v>
          </cell>
          <cell r="D269" t="str">
            <v>cây</v>
          </cell>
          <cell r="E269">
            <v>32000</v>
          </cell>
        </row>
        <row r="270">
          <cell r="B270">
            <v>56</v>
          </cell>
          <cell r="C270" t="str">
            <v>Cát đen</v>
          </cell>
          <cell r="D270" t="str">
            <v>m3</v>
          </cell>
          <cell r="E270">
            <v>81000</v>
          </cell>
        </row>
        <row r="271">
          <cell r="B271">
            <v>57</v>
          </cell>
          <cell r="C271" t="str">
            <v>Gạch vỡ</v>
          </cell>
          <cell r="D271" t="str">
            <v>m3</v>
          </cell>
          <cell r="E271">
            <v>150000</v>
          </cell>
        </row>
        <row r="272">
          <cell r="B272">
            <v>58</v>
          </cell>
          <cell r="C272" t="str">
            <v>Dây thép d=18</v>
          </cell>
          <cell r="D272" t="str">
            <v>kg</v>
          </cell>
          <cell r="E272">
            <v>17000</v>
          </cell>
        </row>
        <row r="273">
          <cell r="B273">
            <v>59</v>
          </cell>
          <cell r="C273" t="str">
            <v>Dây thép buộc 1mm</v>
          </cell>
          <cell r="D273" t="str">
            <v>kg</v>
          </cell>
          <cell r="E273">
            <v>16000</v>
          </cell>
        </row>
        <row r="274">
          <cell r="B274">
            <v>60</v>
          </cell>
          <cell r="C274" t="str">
            <v>Cọc tre F60-80 dài 2500</v>
          </cell>
          <cell r="D274" t="str">
            <v>cọc</v>
          </cell>
          <cell r="E274">
            <v>3700</v>
          </cell>
        </row>
        <row r="275">
          <cell r="B275">
            <v>61</v>
          </cell>
          <cell r="C275" t="str">
            <v>Cọc gỗ &lt;= 2,5m</v>
          </cell>
          <cell r="D275" t="str">
            <v>cọc</v>
          </cell>
          <cell r="E275">
            <v>15000</v>
          </cell>
        </row>
        <row r="276">
          <cell r="B276">
            <v>62</v>
          </cell>
          <cell r="C276" t="str">
            <v>Cọc gỗ &lt;= 10m</v>
          </cell>
          <cell r="D276" t="str">
            <v>cọc</v>
          </cell>
          <cell r="E276">
            <v>150000</v>
          </cell>
        </row>
        <row r="277">
          <cell r="B277">
            <v>63</v>
          </cell>
          <cell r="C277" t="str">
            <v>Cọc gỗ &gt; 10m</v>
          </cell>
          <cell r="D277" t="str">
            <v>cọc</v>
          </cell>
          <cell r="E277">
            <v>250000</v>
          </cell>
        </row>
        <row r="278">
          <cell r="B278">
            <v>64</v>
          </cell>
          <cell r="C278" t="str">
            <v>Cừ gỗ</v>
          </cell>
          <cell r="D278" t="str">
            <v>m</v>
          </cell>
          <cell r="E278">
            <v>250000</v>
          </cell>
        </row>
        <row r="279">
          <cell r="B279">
            <v>65</v>
          </cell>
          <cell r="C279" t="str">
            <v>Cọc BTCT 15x15 M250</v>
          </cell>
          <cell r="D279" t="str">
            <v>cọc</v>
          </cell>
          <cell r="E279">
            <v>500000</v>
          </cell>
        </row>
        <row r="280">
          <cell r="B280">
            <v>66</v>
          </cell>
          <cell r="C280" t="str">
            <v>Cọc BTCT 20x20 M250</v>
          </cell>
          <cell r="D280" t="str">
            <v>cọc</v>
          </cell>
          <cell r="E280">
            <v>600000</v>
          </cell>
        </row>
        <row r="281">
          <cell r="B281">
            <v>67</v>
          </cell>
          <cell r="C281" t="str">
            <v>Cọc BTCT 25x25 M250</v>
          </cell>
          <cell r="D281" t="str">
            <v>cọc</v>
          </cell>
          <cell r="E281">
            <v>600000</v>
          </cell>
        </row>
        <row r="282">
          <cell r="B282">
            <v>68</v>
          </cell>
          <cell r="C282" t="str">
            <v>Cọc BTCT 30x30 M250</v>
          </cell>
          <cell r="D282" t="str">
            <v>cọc</v>
          </cell>
          <cell r="E282">
            <v>600001</v>
          </cell>
        </row>
        <row r="283">
          <cell r="B283">
            <v>69</v>
          </cell>
          <cell r="C283" t="str">
            <v>Cọc BTCT 35x35 M250</v>
          </cell>
          <cell r="D283" t="str">
            <v>cọc</v>
          </cell>
          <cell r="E283">
            <v>600001</v>
          </cell>
        </row>
        <row r="284">
          <cell r="B284">
            <v>70</v>
          </cell>
          <cell r="C284" t="str">
            <v>Cọc BTCT 40x40 M250</v>
          </cell>
          <cell r="D284" t="str">
            <v>cọc</v>
          </cell>
          <cell r="E284">
            <v>600001</v>
          </cell>
        </row>
        <row r="285">
          <cell r="B285">
            <v>71</v>
          </cell>
          <cell r="C285" t="str">
            <v>Củi đun (củi tre)</v>
          </cell>
          <cell r="D285" t="str">
            <v>kg</v>
          </cell>
          <cell r="E285">
            <v>1800</v>
          </cell>
        </row>
        <row r="286">
          <cell r="B286">
            <v>72</v>
          </cell>
          <cell r="C286" t="str">
            <v>Bi tum</v>
          </cell>
          <cell r="D286" t="str">
            <v>kg</v>
          </cell>
          <cell r="E286">
            <v>15000</v>
          </cell>
        </row>
        <row r="287">
          <cell r="B287">
            <v>73</v>
          </cell>
          <cell r="C287" t="str">
            <v>Cáp thép 4mm</v>
          </cell>
          <cell r="D287" t="str">
            <v>kg</v>
          </cell>
          <cell r="E287">
            <v>10000</v>
          </cell>
        </row>
        <row r="288">
          <cell r="B288">
            <v>74</v>
          </cell>
          <cell r="C288" t="str">
            <v>ống sứ hạ thế</v>
          </cell>
          <cell r="D288" t="str">
            <v>bộ</v>
          </cell>
        </row>
        <row r="289">
          <cell r="B289">
            <v>75</v>
          </cell>
          <cell r="C289" t="str">
            <v>Sứ tai mèo</v>
          </cell>
          <cell r="D289" t="str">
            <v>bộ</v>
          </cell>
        </row>
        <row r="290">
          <cell r="B290">
            <v>76</v>
          </cell>
          <cell r="C290" t="str">
            <v>Sứ hạ thế, loại 2 sứ</v>
          </cell>
          <cell r="D290" t="str">
            <v>bộ</v>
          </cell>
        </row>
        <row r="291">
          <cell r="B291">
            <v>77</v>
          </cell>
          <cell r="C291" t="str">
            <v>Sứ hạ thế, loại 3 sứ</v>
          </cell>
          <cell r="D291" t="str">
            <v>bộ</v>
          </cell>
        </row>
        <row r="292">
          <cell r="B292">
            <v>78</v>
          </cell>
          <cell r="C292" t="str">
            <v>Sứ hạ thế, loại 4 sứ</v>
          </cell>
          <cell r="D292" t="str">
            <v>bộ</v>
          </cell>
        </row>
        <row r="293">
          <cell r="B293">
            <v>79</v>
          </cell>
          <cell r="C293" t="str">
            <v>Mỡ trung tính</v>
          </cell>
          <cell r="D293" t="str">
            <v>kg</v>
          </cell>
          <cell r="E293">
            <v>15000</v>
          </cell>
        </row>
        <row r="294">
          <cell r="B294">
            <v>80</v>
          </cell>
          <cell r="C294" t="str">
            <v>Puli nhôm</v>
          </cell>
          <cell r="D294" t="str">
            <v>cái</v>
          </cell>
          <cell r="E294">
            <v>10000</v>
          </cell>
        </row>
        <row r="295">
          <cell r="B295">
            <v>81</v>
          </cell>
          <cell r="C295" t="str">
            <v>Thép chữ U</v>
          </cell>
          <cell r="D295" t="str">
            <v>kg</v>
          </cell>
          <cell r="E295">
            <v>10000</v>
          </cell>
        </row>
        <row r="296">
          <cell r="B296">
            <v>82</v>
          </cell>
          <cell r="C296" t="str">
            <v>Vít nở sắt F4x40</v>
          </cell>
          <cell r="D296" t="str">
            <v>cái</v>
          </cell>
          <cell r="E296">
            <v>2000</v>
          </cell>
        </row>
        <row r="297">
          <cell r="B297">
            <v>83</v>
          </cell>
          <cell r="C297" t="str">
            <v>Amiang</v>
          </cell>
          <cell r="D297" t="str">
            <v>kg</v>
          </cell>
        </row>
        <row r="298">
          <cell r="B298">
            <v>84</v>
          </cell>
          <cell r="C298" t="str">
            <v>Nhựa dán</v>
          </cell>
          <cell r="D298" t="str">
            <v>kg</v>
          </cell>
          <cell r="E298">
            <v>25000</v>
          </cell>
        </row>
        <row r="299">
          <cell r="B299">
            <v>85</v>
          </cell>
          <cell r="C299" t="str">
            <v>Ông nhựa xoắn d15mm</v>
          </cell>
          <cell r="D299" t="str">
            <v>m</v>
          </cell>
          <cell r="E299">
            <v>8000</v>
          </cell>
        </row>
        <row r="300">
          <cell r="B300">
            <v>86</v>
          </cell>
          <cell r="C300" t="str">
            <v>Ông nhựa xoắn d20mm</v>
          </cell>
          <cell r="D300" t="str">
            <v>m</v>
          </cell>
          <cell r="E300">
            <v>10000</v>
          </cell>
        </row>
        <row r="301">
          <cell r="B301">
            <v>87</v>
          </cell>
          <cell r="C301" t="str">
            <v>Ông nhựa xoắn d25mm</v>
          </cell>
          <cell r="D301" t="str">
            <v>m</v>
          </cell>
          <cell r="E301">
            <v>12800</v>
          </cell>
        </row>
        <row r="302">
          <cell r="B302">
            <v>88</v>
          </cell>
          <cell r="C302" t="str">
            <v>Ông nhựa xoắn d32mm</v>
          </cell>
          <cell r="D302" t="str">
            <v>m</v>
          </cell>
          <cell r="E302">
            <v>14900</v>
          </cell>
        </row>
        <row r="303">
          <cell r="B303">
            <v>89</v>
          </cell>
          <cell r="C303" t="str">
            <v>Ông nhựa xoắn d40mm</v>
          </cell>
          <cell r="D303" t="str">
            <v>m</v>
          </cell>
          <cell r="E303">
            <v>21400</v>
          </cell>
        </row>
        <row r="304">
          <cell r="B304">
            <v>90</v>
          </cell>
          <cell r="C304" t="str">
            <v>Ông nhựa xoắn d50mm</v>
          </cell>
          <cell r="D304" t="str">
            <v>m</v>
          </cell>
          <cell r="E304">
            <v>29300</v>
          </cell>
        </row>
        <row r="305">
          <cell r="B305">
            <v>91</v>
          </cell>
          <cell r="C305" t="str">
            <v>Ông nhựa xoắn d67mm</v>
          </cell>
          <cell r="D305" t="str">
            <v>m</v>
          </cell>
          <cell r="E305">
            <v>42500</v>
          </cell>
        </row>
        <row r="306">
          <cell r="B306">
            <v>92</v>
          </cell>
          <cell r="C306" t="str">
            <v>Ông nhựa xoắn d76mm</v>
          </cell>
          <cell r="D306" t="str">
            <v>m</v>
          </cell>
          <cell r="E306">
            <v>55300</v>
          </cell>
        </row>
        <row r="307">
          <cell r="B307">
            <v>93</v>
          </cell>
          <cell r="C307" t="str">
            <v>Ông nhựa xoắn d89mm</v>
          </cell>
          <cell r="D307" t="str">
            <v>m</v>
          </cell>
          <cell r="E307">
            <v>78100</v>
          </cell>
        </row>
        <row r="308">
          <cell r="B308">
            <v>94</v>
          </cell>
          <cell r="C308" t="str">
            <v>Ông nhựa xoắn d100mm</v>
          </cell>
          <cell r="D308" t="str">
            <v>m</v>
          </cell>
          <cell r="E308">
            <v>121400</v>
          </cell>
        </row>
        <row r="309">
          <cell r="B309">
            <v>95</v>
          </cell>
          <cell r="C309" t="str">
            <v>Ông nhựa xoắn d110mm</v>
          </cell>
          <cell r="D309" t="str">
            <v>m</v>
          </cell>
          <cell r="E309">
            <v>165800</v>
          </cell>
        </row>
        <row r="310">
          <cell r="B310">
            <v>96</v>
          </cell>
          <cell r="C310" t="str">
            <v>Ông nhựa xoắn d150mm</v>
          </cell>
          <cell r="D310" t="str">
            <v>m</v>
          </cell>
          <cell r="E310">
            <v>247200</v>
          </cell>
        </row>
        <row r="311">
          <cell r="B311">
            <v>97</v>
          </cell>
          <cell r="C311" t="str">
            <v>Ông nhựa xoắn d200mm</v>
          </cell>
          <cell r="D311" t="str">
            <v>m</v>
          </cell>
          <cell r="E311">
            <v>295500</v>
          </cell>
        </row>
        <row r="312">
          <cell r="B312">
            <v>98</v>
          </cell>
          <cell r="C312" t="str">
            <v>Ông nhựa xoắn d250mm</v>
          </cell>
          <cell r="D312" t="str">
            <v>m</v>
          </cell>
          <cell r="E312">
            <v>305000</v>
          </cell>
        </row>
        <row r="313">
          <cell r="B313">
            <v>99</v>
          </cell>
          <cell r="C313" t="str">
            <v>Măng sông TFP 20/15</v>
          </cell>
          <cell r="D313" t="str">
            <v>chiếc</v>
          </cell>
          <cell r="E313">
            <v>6500</v>
          </cell>
        </row>
        <row r="314">
          <cell r="B314">
            <v>100</v>
          </cell>
          <cell r="C314" t="str">
            <v>Măng sông TFP 28/20</v>
          </cell>
          <cell r="D314" t="str">
            <v>chiếc</v>
          </cell>
          <cell r="E314">
            <v>8000</v>
          </cell>
        </row>
        <row r="315">
          <cell r="B315">
            <v>101</v>
          </cell>
          <cell r="C315" t="str">
            <v>Măng sông TFP 32/25</v>
          </cell>
          <cell r="D315" t="str">
            <v>chiếc</v>
          </cell>
          <cell r="E315">
            <v>10560</v>
          </cell>
        </row>
        <row r="316">
          <cell r="B316">
            <v>102</v>
          </cell>
          <cell r="C316" t="str">
            <v>Măng sông TFP 40/30</v>
          </cell>
          <cell r="D316" t="str">
            <v>chiếc</v>
          </cell>
          <cell r="E316">
            <v>9680</v>
          </cell>
        </row>
        <row r="317">
          <cell r="B317">
            <v>103</v>
          </cell>
          <cell r="C317" t="str">
            <v>Măng sông TFP 50/40</v>
          </cell>
          <cell r="D317" t="str">
            <v>chiếc</v>
          </cell>
          <cell r="E317">
            <v>11330</v>
          </cell>
        </row>
        <row r="318">
          <cell r="B318">
            <v>104</v>
          </cell>
          <cell r="C318" t="str">
            <v>Măng sông TFP 65/50</v>
          </cell>
          <cell r="D318" t="str">
            <v>chiếc</v>
          </cell>
          <cell r="E318">
            <v>16830</v>
          </cell>
        </row>
        <row r="319">
          <cell r="B319">
            <v>105</v>
          </cell>
          <cell r="C319" t="str">
            <v>Măng sông TFP 85/65</v>
          </cell>
          <cell r="D319" t="str">
            <v>chiếc</v>
          </cell>
          <cell r="E319">
            <v>25960</v>
          </cell>
        </row>
        <row r="320">
          <cell r="B320">
            <v>106</v>
          </cell>
          <cell r="C320" t="str">
            <v>Măng sông TFP 105/80</v>
          </cell>
          <cell r="D320" t="str">
            <v>chiếc</v>
          </cell>
          <cell r="E320">
            <v>28270</v>
          </cell>
        </row>
        <row r="321">
          <cell r="B321">
            <v>107</v>
          </cell>
          <cell r="C321" t="str">
            <v>Măng sông TFP 112/90</v>
          </cell>
          <cell r="D321" t="str">
            <v>chiếc</v>
          </cell>
          <cell r="E321">
            <v>29700</v>
          </cell>
        </row>
        <row r="322">
          <cell r="B322">
            <v>108</v>
          </cell>
          <cell r="C322" t="str">
            <v>Măng sông TFP 130/100</v>
          </cell>
          <cell r="D322" t="str">
            <v>chiếc</v>
          </cell>
          <cell r="E322">
            <v>34100</v>
          </cell>
        </row>
        <row r="323">
          <cell r="B323">
            <v>109</v>
          </cell>
          <cell r="C323" t="str">
            <v>Măng sông TFP 160/125</v>
          </cell>
          <cell r="D323" t="str">
            <v>chiếc</v>
          </cell>
          <cell r="E323">
            <v>45100</v>
          </cell>
        </row>
        <row r="324">
          <cell r="B324">
            <v>110</v>
          </cell>
          <cell r="C324" t="str">
            <v>Măng sông TFP 195/150</v>
          </cell>
          <cell r="D324" t="str">
            <v>chiếc</v>
          </cell>
          <cell r="E324">
            <v>51920</v>
          </cell>
        </row>
        <row r="325">
          <cell r="B325">
            <v>111</v>
          </cell>
          <cell r="C325" t="str">
            <v>Măng sông TFP 230/175</v>
          </cell>
          <cell r="D325" t="str">
            <v>chiếc</v>
          </cell>
          <cell r="E325">
            <v>81070</v>
          </cell>
        </row>
        <row r="326">
          <cell r="B326">
            <v>112</v>
          </cell>
          <cell r="C326" t="str">
            <v>Măng sông TFP 260/200</v>
          </cell>
          <cell r="D326" t="str">
            <v>chiếc</v>
          </cell>
          <cell r="E326">
            <v>108790</v>
          </cell>
        </row>
        <row r="327">
          <cell r="B327">
            <v>113</v>
          </cell>
          <cell r="C327" t="str">
            <v>Măng sông TFP 300/250</v>
          </cell>
          <cell r="D327" t="str">
            <v>chiếc</v>
          </cell>
          <cell r="E327">
            <v>118790</v>
          </cell>
        </row>
        <row r="328">
          <cell r="B328">
            <v>114</v>
          </cell>
          <cell r="C328" t="str">
            <v>Dây đồng 25mm2</v>
          </cell>
          <cell r="D328" t="str">
            <v>m</v>
          </cell>
          <cell r="E328">
            <v>69454</v>
          </cell>
        </row>
        <row r="329">
          <cell r="B329">
            <v>115</v>
          </cell>
          <cell r="C329" t="str">
            <v>+ Phễu cáp bằng tôn loại =&lt;35mm2</v>
          </cell>
          <cell r="D329" t="str">
            <v>cái</v>
          </cell>
        </row>
        <row r="330">
          <cell r="B330">
            <v>116</v>
          </cell>
          <cell r="C330" t="str">
            <v>+ Phễu cáp bằng tôn loại =&lt;70mm2</v>
          </cell>
          <cell r="D330" t="str">
            <v>cái</v>
          </cell>
        </row>
        <row r="331">
          <cell r="B331">
            <v>117</v>
          </cell>
          <cell r="C331" t="str">
            <v>+ Phễu cáp bằng tôn loại =&lt;120mm2</v>
          </cell>
          <cell r="D331" t="str">
            <v>cái</v>
          </cell>
        </row>
        <row r="332">
          <cell r="B332">
            <v>118</v>
          </cell>
          <cell r="C332" t="str">
            <v>+ Phễu cáp bằng tôn loại =&lt;185mm2</v>
          </cell>
          <cell r="D332" t="str">
            <v>cái</v>
          </cell>
        </row>
        <row r="333">
          <cell r="B333">
            <v>119</v>
          </cell>
          <cell r="C333" t="str">
            <v>+ Phễu cáp bằng tôn loại =&lt;240mm2</v>
          </cell>
          <cell r="D333" t="str">
            <v>cái</v>
          </cell>
        </row>
        <row r="334">
          <cell r="B334">
            <v>120</v>
          </cell>
          <cell r="C334" t="str">
            <v>+ Phễu cáp bằng tôn loại =&lt;300mm2</v>
          </cell>
          <cell r="D334" t="str">
            <v>cái</v>
          </cell>
        </row>
        <row r="335">
          <cell r="B335">
            <v>121</v>
          </cell>
          <cell r="C335" t="str">
            <v>+ Phễu cáp bằng tôn loại =&lt;400mm2</v>
          </cell>
          <cell r="D335" t="str">
            <v>cái</v>
          </cell>
        </row>
        <row r="336">
          <cell r="B336">
            <v>122</v>
          </cell>
          <cell r="C336" t="str">
            <v>+ Phễu cáp bằng gang loại =&lt;35mm2</v>
          </cell>
          <cell r="D336" t="str">
            <v>cái</v>
          </cell>
        </row>
        <row r="337">
          <cell r="B337">
            <v>123</v>
          </cell>
          <cell r="C337" t="str">
            <v>+ Phễu cáp bằng gang loại =&lt;70mm2</v>
          </cell>
          <cell r="D337" t="str">
            <v>cái</v>
          </cell>
        </row>
        <row r="338">
          <cell r="B338">
            <v>124</v>
          </cell>
          <cell r="C338" t="str">
            <v>+ Phễu cáp bằng gang loại =&lt;120mm2</v>
          </cell>
          <cell r="D338" t="str">
            <v>cái</v>
          </cell>
        </row>
        <row r="339">
          <cell r="B339">
            <v>125</v>
          </cell>
          <cell r="C339" t="str">
            <v>+ Phễu cáp bằng gang loại =&lt;185mm2</v>
          </cell>
          <cell r="D339" t="str">
            <v>cái</v>
          </cell>
        </row>
        <row r="340">
          <cell r="B340">
            <v>126</v>
          </cell>
          <cell r="C340" t="str">
            <v>+ Phễu cáp bằng gang loại =&lt;240mm2</v>
          </cell>
          <cell r="D340" t="str">
            <v>cái</v>
          </cell>
        </row>
        <row r="341">
          <cell r="B341">
            <v>127</v>
          </cell>
          <cell r="C341" t="str">
            <v>+ Phễu cáp bằng gang loại =&lt;300mm2</v>
          </cell>
          <cell r="D341" t="str">
            <v>cái</v>
          </cell>
        </row>
        <row r="342">
          <cell r="B342">
            <v>128</v>
          </cell>
          <cell r="C342" t="str">
            <v>+ Phễu cáp bằng gang loại =&lt;400mm2</v>
          </cell>
          <cell r="D342" t="str">
            <v>cái</v>
          </cell>
        </row>
        <row r="343">
          <cell r="B343">
            <v>129</v>
          </cell>
          <cell r="C343" t="str">
            <v>+ Hộp nối cáp loại 35mm2</v>
          </cell>
          <cell r="D343" t="str">
            <v>cái</v>
          </cell>
        </row>
        <row r="344">
          <cell r="B344">
            <v>130</v>
          </cell>
          <cell r="C344" t="str">
            <v>+ Hộp nối cáp loại 70mm2</v>
          </cell>
          <cell r="D344" t="str">
            <v>cái</v>
          </cell>
        </row>
        <row r="345">
          <cell r="B345">
            <v>131</v>
          </cell>
          <cell r="C345" t="str">
            <v>+ Hộp nối cáp loại 120mm2</v>
          </cell>
          <cell r="D345" t="str">
            <v>cái</v>
          </cell>
        </row>
        <row r="346">
          <cell r="B346">
            <v>132</v>
          </cell>
          <cell r="C346" t="str">
            <v>+ Hộp nối cáp loại 185mm2</v>
          </cell>
          <cell r="D346" t="str">
            <v>cái</v>
          </cell>
        </row>
        <row r="347">
          <cell r="B347">
            <v>133</v>
          </cell>
          <cell r="C347" t="str">
            <v>+ Hộp nối cáp loại 240mm2</v>
          </cell>
          <cell r="D347" t="str">
            <v>cái</v>
          </cell>
        </row>
        <row r="348">
          <cell r="B348">
            <v>134</v>
          </cell>
          <cell r="C348" t="str">
            <v>+ Hộp nối cáp loại 300mm2</v>
          </cell>
          <cell r="D348" t="str">
            <v>cái</v>
          </cell>
        </row>
        <row r="349">
          <cell r="B349">
            <v>135</v>
          </cell>
          <cell r="C349" t="str">
            <v>+ Hộp nối cáp loại 400mm2</v>
          </cell>
          <cell r="D349" t="str">
            <v>cái</v>
          </cell>
        </row>
        <row r="350">
          <cell r="B350">
            <v>136</v>
          </cell>
          <cell r="C350" t="str">
            <v>Bulông fi 10 L = 56 - 110</v>
          </cell>
          <cell r="D350" t="str">
            <v>cái</v>
          </cell>
          <cell r="E350">
            <v>9000</v>
          </cell>
        </row>
        <row r="351">
          <cell r="B351">
            <v>137</v>
          </cell>
          <cell r="C351" t="str">
            <v>Năng lượng điện</v>
          </cell>
          <cell r="D351" t="str">
            <v>kwh</v>
          </cell>
          <cell r="E351">
            <v>1500</v>
          </cell>
        </row>
        <row r="352">
          <cell r="B352">
            <v>138</v>
          </cell>
          <cell r="C352" t="str">
            <v>Đầu cốt M35mm2</v>
          </cell>
          <cell r="D352" t="str">
            <v>cái</v>
          </cell>
        </row>
        <row r="353">
          <cell r="B353">
            <v>139</v>
          </cell>
          <cell r="C353" t="str">
            <v>Đầu cốt M50mm2</v>
          </cell>
          <cell r="D353" t="str">
            <v>cái</v>
          </cell>
        </row>
        <row r="354">
          <cell r="B354">
            <v>140</v>
          </cell>
          <cell r="C354" t="str">
            <v>Đầu cốt M70mm2</v>
          </cell>
          <cell r="D354" t="str">
            <v>cái</v>
          </cell>
        </row>
        <row r="355">
          <cell r="B355">
            <v>141</v>
          </cell>
          <cell r="C355" t="str">
            <v>Đầu cốt M95mm2</v>
          </cell>
          <cell r="D355" t="str">
            <v>cái</v>
          </cell>
        </row>
        <row r="356">
          <cell r="B356">
            <v>142</v>
          </cell>
          <cell r="C356" t="str">
            <v>Đầu cốt M120mm2</v>
          </cell>
          <cell r="D356" t="str">
            <v>cái</v>
          </cell>
        </row>
        <row r="357">
          <cell r="B357">
            <v>143</v>
          </cell>
          <cell r="C357" t="str">
            <v>Đầu cốt M150mm2</v>
          </cell>
          <cell r="D357" t="str">
            <v>cái</v>
          </cell>
        </row>
        <row r="358">
          <cell r="B358">
            <v>144</v>
          </cell>
          <cell r="C358" t="str">
            <v>Đầu cốt M185mm2</v>
          </cell>
          <cell r="D358" t="str">
            <v>cái</v>
          </cell>
        </row>
        <row r="359">
          <cell r="B359">
            <v>145</v>
          </cell>
          <cell r="C359" t="str">
            <v>Đầu cốt M240mm2</v>
          </cell>
          <cell r="D359" t="str">
            <v>cái</v>
          </cell>
        </row>
        <row r="360">
          <cell r="B360">
            <v>146</v>
          </cell>
          <cell r="C360" t="str">
            <v>Đầu cốt M300mm2</v>
          </cell>
          <cell r="D360" t="str">
            <v>cái</v>
          </cell>
        </row>
        <row r="361">
          <cell r="B361">
            <v>147</v>
          </cell>
          <cell r="C361" t="str">
            <v>Đầu cốt M400mm2</v>
          </cell>
          <cell r="D361" t="str">
            <v>cái</v>
          </cell>
        </row>
        <row r="362">
          <cell r="B362">
            <v>148</v>
          </cell>
          <cell r="C362" t="str">
            <v>dây điện 2x1,5mm2 (dây đồng)</v>
          </cell>
          <cell r="D362" t="str">
            <v>m</v>
          </cell>
          <cell r="E362">
            <v>7500</v>
          </cell>
        </row>
        <row r="363">
          <cell r="B363">
            <v>149</v>
          </cell>
          <cell r="C363" t="str">
            <v>cáp bọc 4x2,5mm2 (dây đồng)</v>
          </cell>
          <cell r="D363" t="str">
            <v>m</v>
          </cell>
          <cell r="E363">
            <v>26000</v>
          </cell>
        </row>
        <row r="364">
          <cell r="B364">
            <v>150</v>
          </cell>
          <cell r="C364" t="str">
            <v>Kiềm xanh</v>
          </cell>
          <cell r="D364" t="str">
            <v>gam</v>
          </cell>
          <cell r="E364">
            <v>2000</v>
          </cell>
        </row>
        <row r="365">
          <cell r="B365">
            <v>151</v>
          </cell>
          <cell r="C365" t="str">
            <v>Giấy lọc thường</v>
          </cell>
          <cell r="D365" t="str">
            <v>hộp</v>
          </cell>
          <cell r="E365">
            <v>40000</v>
          </cell>
        </row>
        <row r="366">
          <cell r="B366">
            <v>152</v>
          </cell>
          <cell r="C366" t="str">
            <v>Giấy lọc không tro</v>
          </cell>
          <cell r="D366" t="str">
            <v>hộp</v>
          </cell>
          <cell r="E366">
            <v>70000</v>
          </cell>
        </row>
        <row r="367">
          <cell r="B367">
            <v>153</v>
          </cell>
          <cell r="C367" t="str">
            <v>Tolue</v>
          </cell>
          <cell r="D367" t="str">
            <v>lít</v>
          </cell>
          <cell r="E367">
            <v>24000</v>
          </cell>
        </row>
        <row r="368">
          <cell r="B368">
            <v>154</v>
          </cell>
          <cell r="C368" t="str">
            <v>KOH</v>
          </cell>
          <cell r="D368" t="str">
            <v>lít</v>
          </cell>
          <cell r="E368">
            <v>50000</v>
          </cell>
        </row>
        <row r="369">
          <cell r="B369">
            <v>155</v>
          </cell>
          <cell r="C369" t="str">
            <v>Etannola đẳng khí</v>
          </cell>
          <cell r="D369" t="str">
            <v>lít</v>
          </cell>
          <cell r="E369">
            <v>75000</v>
          </cell>
        </row>
        <row r="370">
          <cell r="B370">
            <v>156</v>
          </cell>
          <cell r="C370" t="str">
            <v>Ãits clohydritque</v>
          </cell>
          <cell r="D370" t="str">
            <v>lít</v>
          </cell>
          <cell r="E370">
            <v>75000</v>
          </cell>
        </row>
        <row r="371">
          <cell r="B371">
            <v>157</v>
          </cell>
          <cell r="C371" t="str">
            <v>Bê tông nhựa</v>
          </cell>
          <cell r="D371" t="str">
            <v>tấn</v>
          </cell>
          <cell r="E371">
            <v>2500000</v>
          </cell>
        </row>
        <row r="372">
          <cell r="B372">
            <v>158</v>
          </cell>
          <cell r="C372" t="str">
            <v>Gạch chỉ 6,5x10,5x22</v>
          </cell>
          <cell r="D372" t="str">
            <v>viện</v>
          </cell>
          <cell r="E372">
            <v>920</v>
          </cell>
        </row>
        <row r="373">
          <cell r="B373">
            <v>159</v>
          </cell>
          <cell r="C373" t="str">
            <v>Điện</v>
          </cell>
          <cell r="D373" t="str">
            <v>kw</v>
          </cell>
          <cell r="E373">
            <v>1864</v>
          </cell>
        </row>
        <row r="374">
          <cell r="B374">
            <v>160</v>
          </cell>
          <cell r="C374" t="str">
            <v>Marut</v>
          </cell>
          <cell r="D374" t="str">
            <v>lít</v>
          </cell>
          <cell r="E374">
            <v>14255</v>
          </cell>
        </row>
        <row r="375">
          <cell r="B375" t="str">
            <v>II</v>
          </cell>
          <cell r="C375" t="str">
            <v>Nhân công:</v>
          </cell>
        </row>
        <row r="376">
          <cell r="C376" t="str">
            <v>Nhóm 1:</v>
          </cell>
        </row>
        <row r="377">
          <cell r="B377" t="str">
            <v>NC1107</v>
          </cell>
          <cell r="C377" t="str">
            <v>+ Nhân công bậc 1,0/7</v>
          </cell>
          <cell r="D377" t="str">
            <v>Công</v>
          </cell>
          <cell r="E377">
            <v>117988.15789473684</v>
          </cell>
        </row>
        <row r="378">
          <cell r="B378" t="str">
            <v>NC1207</v>
          </cell>
          <cell r="C378" t="str">
            <v>+ Nhân công bậc 2,0/7</v>
          </cell>
          <cell r="D378" t="str">
            <v>Công</v>
          </cell>
          <cell r="E378">
            <v>139226.02631578947</v>
          </cell>
        </row>
        <row r="379">
          <cell r="B379" t="str">
            <v>NC1257</v>
          </cell>
          <cell r="C379" t="str">
            <v>+ Nhân công bậc 2,5/7</v>
          </cell>
          <cell r="D379" t="str">
            <v>Công</v>
          </cell>
          <cell r="E379">
            <v>151614.78289473683</v>
          </cell>
        </row>
        <row r="380">
          <cell r="B380" t="str">
            <v>NC1307</v>
          </cell>
          <cell r="C380" t="str">
            <v>+ Nhân công bậc 3,0/7</v>
          </cell>
          <cell r="D380" t="str">
            <v>Công</v>
          </cell>
          <cell r="E380">
            <v>164003.53947368418</v>
          </cell>
        </row>
        <row r="381">
          <cell r="B381" t="str">
            <v>NC1357</v>
          </cell>
          <cell r="C381" t="str">
            <v>+ Nhân công bậc 3,5/7</v>
          </cell>
          <cell r="D381" t="str">
            <v>Công</v>
          </cell>
          <cell r="E381">
            <v>179342</v>
          </cell>
        </row>
        <row r="382">
          <cell r="B382" t="str">
            <v>NC1407</v>
          </cell>
          <cell r="C382" t="str">
            <v>+ Nhân công bậc 4,0/7</v>
          </cell>
          <cell r="D382" t="str">
            <v>Công</v>
          </cell>
          <cell r="E382">
            <v>194680.46052631579</v>
          </cell>
        </row>
        <row r="383">
          <cell r="B383" t="str">
            <v>NC1457</v>
          </cell>
          <cell r="C383" t="str">
            <v>+ Nhân công bậc 4,5/7</v>
          </cell>
          <cell r="D383" t="str">
            <v>Công</v>
          </cell>
          <cell r="E383">
            <v>211788.74342105264</v>
          </cell>
        </row>
        <row r="384">
          <cell r="B384" t="str">
            <v>NC1507</v>
          </cell>
          <cell r="C384" t="str">
            <v>+ Nhân công bậc 5,0/7</v>
          </cell>
          <cell r="D384" t="str">
            <v>Công</v>
          </cell>
          <cell r="E384">
            <v>228897.02631578947</v>
          </cell>
        </row>
        <row r="385">
          <cell r="B385" t="str">
            <v>NC1557</v>
          </cell>
          <cell r="C385" t="str">
            <v>+ Nhân công bậc 5,5/7</v>
          </cell>
          <cell r="D385" t="str">
            <v>Công</v>
          </cell>
          <cell r="E385">
            <v>250134.89473684214</v>
          </cell>
        </row>
        <row r="386">
          <cell r="B386" t="str">
            <v>NC1607</v>
          </cell>
          <cell r="C386" t="str">
            <v>+ Nhân công bậc 6,0/7</v>
          </cell>
          <cell r="D386" t="str">
            <v>Công</v>
          </cell>
          <cell r="E386">
            <v>271372.76315789472</v>
          </cell>
        </row>
        <row r="387">
          <cell r="B387" t="str">
            <v>NC1657</v>
          </cell>
          <cell r="C387" t="str">
            <v>+ Nhân công bậc 6,5/7</v>
          </cell>
          <cell r="D387" t="str">
            <v>Công</v>
          </cell>
          <cell r="E387">
            <v>295560.33552631579</v>
          </cell>
        </row>
        <row r="388">
          <cell r="B388" t="str">
            <v>NC1707</v>
          </cell>
          <cell r="C388" t="str">
            <v>+ Nhân công bậc 7/7</v>
          </cell>
          <cell r="D388" t="str">
            <v>Công</v>
          </cell>
          <cell r="E388">
            <v>319747.90789473685</v>
          </cell>
        </row>
        <row r="389">
          <cell r="C389" t="str">
            <v>Nhóm 2:</v>
          </cell>
        </row>
        <row r="390">
          <cell r="B390" t="str">
            <v>NC2107</v>
          </cell>
          <cell r="C390" t="str">
            <v>+ Nhân công bậc 1,0/7</v>
          </cell>
          <cell r="D390" t="str">
            <v>Công</v>
          </cell>
          <cell r="E390">
            <v>132768.42105263157</v>
          </cell>
        </row>
        <row r="391">
          <cell r="B391" t="str">
            <v>NC2207</v>
          </cell>
          <cell r="C391" t="str">
            <v>+ Nhân công bậc 2,0/7</v>
          </cell>
          <cell r="D391" t="str">
            <v>Công</v>
          </cell>
          <cell r="E391">
            <v>156666.73684210525</v>
          </cell>
        </row>
        <row r="392">
          <cell r="B392" t="str">
            <v>NC2257</v>
          </cell>
          <cell r="C392" t="str">
            <v>+ Nhân công bậc 2,5/7</v>
          </cell>
          <cell r="D392" t="str">
            <v>Công</v>
          </cell>
          <cell r="E392">
            <v>170607.42105263154</v>
          </cell>
        </row>
        <row r="393">
          <cell r="B393" t="str">
            <v>NC2307</v>
          </cell>
          <cell r="C393" t="str">
            <v>+ Nhân công bậc 3,0/7</v>
          </cell>
          <cell r="D393" t="str">
            <v>Công</v>
          </cell>
          <cell r="E393">
            <v>184548.10526315789</v>
          </cell>
        </row>
        <row r="394">
          <cell r="B394" t="str">
            <v>NC2357</v>
          </cell>
          <cell r="C394" t="str">
            <v>+ Nhân công bậc 3,5/7</v>
          </cell>
          <cell r="D394" t="str">
            <v>Công</v>
          </cell>
          <cell r="E394">
            <v>201808</v>
          </cell>
        </row>
        <row r="395">
          <cell r="B395" t="str">
            <v>NC2407</v>
          </cell>
          <cell r="C395" t="str">
            <v>+ Nhân công bậc 4,0/7</v>
          </cell>
          <cell r="D395" t="str">
            <v>Công</v>
          </cell>
          <cell r="E395">
            <v>219067.89473684208</v>
          </cell>
        </row>
        <row r="396">
          <cell r="B396" t="str">
            <v>NC2457</v>
          </cell>
          <cell r="C396" t="str">
            <v>+ Nhân công bậc 4,5/7</v>
          </cell>
          <cell r="D396" t="str">
            <v>Công</v>
          </cell>
          <cell r="E396">
            <v>238319.31578947368</v>
          </cell>
        </row>
        <row r="397">
          <cell r="B397" t="str">
            <v>NC2507</v>
          </cell>
          <cell r="C397" t="str">
            <v>+ Nhân công bậc 5,0/7</v>
          </cell>
          <cell r="D397" t="str">
            <v>Công</v>
          </cell>
          <cell r="E397">
            <v>257570.73684210522</v>
          </cell>
        </row>
        <row r="398">
          <cell r="B398" t="str">
            <v>NC2557</v>
          </cell>
          <cell r="C398" t="str">
            <v>+ Nhân công bậc 5,5/7</v>
          </cell>
          <cell r="D398" t="str">
            <v>Công</v>
          </cell>
          <cell r="E398">
            <v>281469.05263157893</v>
          </cell>
        </row>
        <row r="399">
          <cell r="B399" t="str">
            <v>NC2607</v>
          </cell>
          <cell r="C399" t="str">
            <v>+ Nhân công bậc 6,0/7</v>
          </cell>
          <cell r="D399" t="str">
            <v>Công</v>
          </cell>
          <cell r="E399">
            <v>305367.36842105258</v>
          </cell>
        </row>
        <row r="400">
          <cell r="B400" t="str">
            <v>NC2657</v>
          </cell>
          <cell r="C400" t="str">
            <v>+ Nhân công bậc 6,5/7</v>
          </cell>
          <cell r="D400" t="str">
            <v>Công</v>
          </cell>
          <cell r="E400">
            <v>332584.89473684208</v>
          </cell>
        </row>
        <row r="401">
          <cell r="B401" t="str">
            <v>NC2707</v>
          </cell>
          <cell r="C401" t="str">
            <v>+ Nhân công bậc 7/7</v>
          </cell>
          <cell r="D401" t="str">
            <v>Công</v>
          </cell>
          <cell r="E401">
            <v>359802.42105263151</v>
          </cell>
        </row>
        <row r="402">
          <cell r="C402" t="str">
            <v xml:space="preserve">Kỹ sư: </v>
          </cell>
        </row>
        <row r="403">
          <cell r="B403" t="str">
            <v>KS1</v>
          </cell>
          <cell r="C403" t="str">
            <v>+ Kỹ sư bậc 1/8</v>
          </cell>
          <cell r="D403" t="str">
            <v>Công</v>
          </cell>
          <cell r="E403">
            <v>169285.71428571429</v>
          </cell>
        </row>
        <row r="404">
          <cell r="B404" t="str">
            <v>KS2</v>
          </cell>
          <cell r="C404" t="str">
            <v>+ Kỹ sư bậc 2/8</v>
          </cell>
          <cell r="D404" t="str">
            <v>Công</v>
          </cell>
          <cell r="E404">
            <v>191292.85714285716</v>
          </cell>
        </row>
        <row r="405">
          <cell r="B405" t="str">
            <v>KS3</v>
          </cell>
          <cell r="C405" t="str">
            <v>+ Kỹ sư bậc 3/8</v>
          </cell>
          <cell r="D405" t="str">
            <v>Công</v>
          </cell>
          <cell r="E405">
            <v>213300</v>
          </cell>
        </row>
        <row r="406">
          <cell r="B406" t="str">
            <v>KS4</v>
          </cell>
          <cell r="C406" t="str">
            <v>+ Kỹ sư bậc 4/8</v>
          </cell>
          <cell r="D406" t="str">
            <v>Công</v>
          </cell>
          <cell r="E406">
            <v>237000</v>
          </cell>
        </row>
        <row r="407">
          <cell r="B407" t="str">
            <v>KS5</v>
          </cell>
          <cell r="C407" t="str">
            <v>+ Kỹ sư bậc 5/8</v>
          </cell>
          <cell r="D407" t="str">
            <v>Công</v>
          </cell>
          <cell r="E407">
            <v>259007.14285714287</v>
          </cell>
        </row>
        <row r="408">
          <cell r="B408" t="str">
            <v>KS6</v>
          </cell>
          <cell r="C408" t="str">
            <v>+ Kỹ sư bậc 6/8</v>
          </cell>
          <cell r="D408" t="str">
            <v>Công</v>
          </cell>
          <cell r="E408">
            <v>281014.28571428574</v>
          </cell>
        </row>
        <row r="409">
          <cell r="B409" t="str">
            <v>KS7</v>
          </cell>
          <cell r="C409" t="str">
            <v>+ Kỹ sư bậc 7/8</v>
          </cell>
          <cell r="D409" t="str">
            <v>Công</v>
          </cell>
          <cell r="E409">
            <v>303021.42857142858</v>
          </cell>
        </row>
        <row r="410">
          <cell r="B410" t="str">
            <v>KS8</v>
          </cell>
          <cell r="C410" t="str">
            <v>+ Kỹ sư bậc 8/8</v>
          </cell>
          <cell r="D410" t="str">
            <v>Công</v>
          </cell>
          <cell r="E410">
            <v>326721.42857142858</v>
          </cell>
        </row>
        <row r="411">
          <cell r="B411" t="str">
            <v>III</v>
          </cell>
          <cell r="C411" t="str">
            <v>Máy thi công:</v>
          </cell>
        </row>
        <row r="412">
          <cell r="B412">
            <v>7001</v>
          </cell>
          <cell r="C412" t="str">
            <v xml:space="preserve"> Búa căn khí nén 3,0  m3/ph</v>
          </cell>
          <cell r="D412" t="str">
            <v>Ca</v>
          </cell>
          <cell r="E412">
            <v>21146.666666666668</v>
          </cell>
        </row>
        <row r="413">
          <cell r="B413">
            <v>7002</v>
          </cell>
          <cell r="C413" t="str">
            <v>+ Búa diezel chạy trên ray, trọng lượng đầu búa 1,2 T</v>
          </cell>
          <cell r="D413" t="str">
            <v>Ca</v>
          </cell>
          <cell r="E413" t="e">
            <v>#REF!</v>
          </cell>
        </row>
        <row r="414">
          <cell r="B414">
            <v>7003</v>
          </cell>
          <cell r="C414" t="str">
            <v>+ Búa diezel chạy trên ray, trọng lượng đầu búa 1,8 T</v>
          </cell>
          <cell r="D414" t="str">
            <v>Ca</v>
          </cell>
          <cell r="E414" t="e">
            <v>#REF!</v>
          </cell>
        </row>
        <row r="415">
          <cell r="B415">
            <v>7004</v>
          </cell>
          <cell r="C415" t="str">
            <v>+ Búa diezel chạy trên ray, trọng lượng đầu búa 2,5 T</v>
          </cell>
          <cell r="D415" t="str">
            <v>Ca</v>
          </cell>
          <cell r="E415" t="e">
            <v>#REF!</v>
          </cell>
        </row>
        <row r="416">
          <cell r="B416">
            <v>7005</v>
          </cell>
          <cell r="C416" t="str">
            <v>+ Biến thế hàn xoay chiều, công suất 14,0 kW</v>
          </cell>
          <cell r="D416" t="str">
            <v>Ca</v>
          </cell>
          <cell r="E416">
            <v>264682.80000000005</v>
          </cell>
        </row>
        <row r="417">
          <cell r="B417">
            <v>7006</v>
          </cell>
          <cell r="C417" t="str">
            <v>+ Biến thế hàn xoay chiều, công suất 23,0 kW</v>
          </cell>
          <cell r="D417" t="str">
            <v>Ca</v>
          </cell>
          <cell r="E417">
            <v>313265.60000000003</v>
          </cell>
        </row>
        <row r="418">
          <cell r="B418">
            <v>7007</v>
          </cell>
          <cell r="C418" t="str">
            <v>Cần trục bánh xích, sức nâng 10,0 T</v>
          </cell>
          <cell r="D418" t="str">
            <v>Ca</v>
          </cell>
          <cell r="E418">
            <v>1730696.7120000001</v>
          </cell>
        </row>
        <row r="419">
          <cell r="B419">
            <v>7008</v>
          </cell>
          <cell r="C419" t="str">
            <v>Cần trục bánh xích, sức nâng 25,0 T</v>
          </cell>
          <cell r="D419" t="str">
            <v>Ca</v>
          </cell>
          <cell r="E419" t="e">
            <v>#REF!</v>
          </cell>
        </row>
        <row r="420">
          <cell r="B420">
            <v>7009</v>
          </cell>
          <cell r="C420" t="str">
            <v>Cần trục bánh xích, sức nâng 5,0 T</v>
          </cell>
          <cell r="D420" t="str">
            <v>Ca</v>
          </cell>
          <cell r="E420">
            <v>1504545.82</v>
          </cell>
        </row>
        <row r="421">
          <cell r="B421">
            <v>7010</v>
          </cell>
          <cell r="C421" t="str">
            <v>Cẩu nâng</v>
          </cell>
          <cell r="D421" t="str">
            <v>Ca</v>
          </cell>
        </row>
        <row r="422">
          <cell r="B422">
            <v>7011</v>
          </cell>
          <cell r="C422" t="str">
            <v>Máy đào một gầu, bánh xích, dung tích gầu 0,8 m3</v>
          </cell>
          <cell r="D422" t="str">
            <v>Ca</v>
          </cell>
          <cell r="E422" t="e">
            <v>#REF!</v>
          </cell>
        </row>
        <row r="423">
          <cell r="B423">
            <v>7012</v>
          </cell>
          <cell r="C423" t="str">
            <v>Máy đào một gầu, bánh xích, dung tích gầu 1,25 m3</v>
          </cell>
          <cell r="D423" t="str">
            <v>Ca</v>
          </cell>
          <cell r="E423" t="e">
            <v>#REF!</v>
          </cell>
        </row>
        <row r="424">
          <cell r="B424">
            <v>7013</v>
          </cell>
          <cell r="C424" t="str">
            <v>Máy đào một gầu, bánh xích, dung tích gầu 1,6 m3</v>
          </cell>
          <cell r="D424" t="str">
            <v>Ca</v>
          </cell>
          <cell r="E424" t="e">
            <v>#REF!</v>
          </cell>
        </row>
        <row r="425">
          <cell r="B425">
            <v>7014</v>
          </cell>
          <cell r="C425" t="str">
            <v>Máy đào một gầu, bánh xích, dung tích gầu 2,30 m3</v>
          </cell>
          <cell r="D425" t="str">
            <v>Ca</v>
          </cell>
          <cell r="E425" t="e">
            <v>#REF!</v>
          </cell>
        </row>
        <row r="426">
          <cell r="B426">
            <v>7015</v>
          </cell>
          <cell r="C426" t="str">
            <v>Máy cắt uốn cốt thép, công suất 5,0 kW</v>
          </cell>
          <cell r="D426" t="str">
            <v>Ca</v>
          </cell>
          <cell r="E426">
            <v>58907.142857142862</v>
          </cell>
        </row>
        <row r="427">
          <cell r="B427">
            <v>7016</v>
          </cell>
          <cell r="C427" t="str">
            <v>Máy cưa gỗ cầm tay, công suất 1,3 kW</v>
          </cell>
          <cell r="D427" t="str">
            <v>Ca</v>
          </cell>
          <cell r="E427" t="e">
            <v>#REF!</v>
          </cell>
        </row>
        <row r="428">
          <cell r="B428">
            <v>7017</v>
          </cell>
          <cell r="C428" t="str">
            <v>Máy ép đầu cốt</v>
          </cell>
          <cell r="D428" t="str">
            <v>ca</v>
          </cell>
          <cell r="E428">
            <v>58907.142857142862</v>
          </cell>
        </row>
        <row r="429">
          <cell r="B429">
            <v>7018</v>
          </cell>
          <cell r="C429" t="str">
            <v>+ Máy ép thủy lực 100tấn</v>
          </cell>
          <cell r="D429" t="str">
            <v>Ca</v>
          </cell>
          <cell r="E429">
            <v>58906.8</v>
          </cell>
        </row>
        <row r="430">
          <cell r="B430">
            <v>7019</v>
          </cell>
          <cell r="C430" t="str">
            <v>+ Máy ép thủy lực 100tấn</v>
          </cell>
          <cell r="D430" t="str">
            <v>Ca</v>
          </cell>
        </row>
        <row r="431">
          <cell r="B431">
            <v>7020</v>
          </cell>
          <cell r="C431" t="str">
            <v>+ Máy ép thủy lực 100tấn</v>
          </cell>
          <cell r="D431" t="str">
            <v>Ca</v>
          </cell>
        </row>
        <row r="432">
          <cell r="B432">
            <v>7021</v>
          </cell>
          <cell r="C432" t="str">
            <v>+ Máy ép thủy lực 100tấn</v>
          </cell>
          <cell r="D432" t="str">
            <v>Ca</v>
          </cell>
        </row>
        <row r="433">
          <cell r="B433">
            <v>7022</v>
          </cell>
          <cell r="C433" t="str">
            <v>+ Máy ép thủy lực 100tấn</v>
          </cell>
          <cell r="D433" t="str">
            <v>Ca</v>
          </cell>
        </row>
        <row r="434">
          <cell r="B434">
            <v>7023</v>
          </cell>
          <cell r="C434" t="str">
            <v>+ Máy ép thủy lực 100tấn</v>
          </cell>
          <cell r="D434" t="str">
            <v>Ca</v>
          </cell>
        </row>
        <row r="435">
          <cell r="B435">
            <v>7024</v>
          </cell>
          <cell r="C435" t="str">
            <v>+ Máy hàn cáp sợi quang</v>
          </cell>
          <cell r="D435" t="str">
            <v>Ca</v>
          </cell>
          <cell r="E435">
            <v>448021</v>
          </cell>
        </row>
        <row r="436">
          <cell r="B436">
            <v>7025</v>
          </cell>
          <cell r="C436" t="str">
            <v>Máy kéo bánh xích, công suất 110 CV</v>
          </cell>
          <cell r="D436" t="str">
            <v>Ca</v>
          </cell>
          <cell r="E436">
            <v>1600420.1128571429</v>
          </cell>
        </row>
        <row r="437">
          <cell r="B437">
            <v>7026</v>
          </cell>
          <cell r="C437" t="str">
            <v>Máy kéo bánh xích, công suất 75 CV</v>
          </cell>
          <cell r="D437" t="str">
            <v>Ca</v>
          </cell>
          <cell r="E437">
            <v>1249765.0742857142</v>
          </cell>
        </row>
        <row r="438">
          <cell r="B438">
            <v>7027</v>
          </cell>
          <cell r="C438" t="str">
            <v>Máy kéo bánh xích, công suất 75 CV</v>
          </cell>
          <cell r="D438" t="str">
            <v>Ca</v>
          </cell>
          <cell r="E438">
            <v>1249765.0742857142</v>
          </cell>
        </row>
        <row r="439">
          <cell r="B439">
            <v>7028</v>
          </cell>
          <cell r="C439" t="str">
            <v>Máy kéo bánh xích, công suất 75 CV</v>
          </cell>
          <cell r="D439" t="str">
            <v>Ca</v>
          </cell>
          <cell r="E439">
            <v>1249765.0742857142</v>
          </cell>
        </row>
        <row r="440">
          <cell r="B440">
            <v>7029</v>
          </cell>
          <cell r="C440" t="str">
            <v>+ Máy khoan đất đá, cầm tay, d32-42 mm</v>
          </cell>
          <cell r="D440" t="str">
            <v>Ca</v>
          </cell>
          <cell r="E440" t="e">
            <v>#REF!</v>
          </cell>
        </row>
        <row r="441">
          <cell r="B441">
            <v>7030</v>
          </cell>
          <cell r="C441" t="str">
            <v>+ Máy khoan đất đá, cầm tay, d32-42 mm</v>
          </cell>
          <cell r="D441" t="str">
            <v>Ca</v>
          </cell>
          <cell r="E441" t="e">
            <v>#REF!</v>
          </cell>
        </row>
        <row r="442">
          <cell r="B442">
            <v>7031</v>
          </cell>
          <cell r="C442" t="str">
            <v>+ Máy khoan đất đá, cầm tay, d32-42 mm</v>
          </cell>
          <cell r="D442" t="str">
            <v>Ca</v>
          </cell>
          <cell r="E442" t="e">
            <v>#REF!</v>
          </cell>
        </row>
        <row r="443">
          <cell r="B443">
            <v>7032</v>
          </cell>
          <cell r="C443" t="str">
            <v>+ Máy khoan đất đá, cầm tay, d32-42 mm</v>
          </cell>
          <cell r="D443" t="str">
            <v>Ca</v>
          </cell>
          <cell r="E443" t="e">
            <v>#REF!</v>
          </cell>
        </row>
        <row r="444">
          <cell r="B444">
            <v>7033</v>
          </cell>
          <cell r="C444" t="str">
            <v>Máy khoan bê tông cầm tay, công suất 1,50 kW</v>
          </cell>
          <cell r="D444" t="str">
            <v>Ca</v>
          </cell>
          <cell r="E444" t="e">
            <v>#REF!</v>
          </cell>
        </row>
        <row r="445">
          <cell r="B445">
            <v>7034</v>
          </cell>
          <cell r="C445" t="str">
            <v>Máy khoan bê tông cầm tay, công suất 1,50 kW</v>
          </cell>
          <cell r="D445" t="str">
            <v>Ca</v>
          </cell>
          <cell r="E445" t="e">
            <v>#REF!</v>
          </cell>
        </row>
        <row r="446">
          <cell r="B446">
            <v>7035</v>
          </cell>
          <cell r="C446" t="str">
            <v>Máy khoan bê tông cầm tay, công suất 1,50 kW</v>
          </cell>
          <cell r="D446" t="str">
            <v>Ca</v>
          </cell>
          <cell r="E446" t="e">
            <v>#REF!</v>
          </cell>
        </row>
        <row r="447">
          <cell r="B447">
            <v>7036</v>
          </cell>
          <cell r="C447" t="str">
            <v>+ Máy khoan xoáy</v>
          </cell>
          <cell r="D447" t="str">
            <v>Ca</v>
          </cell>
          <cell r="E447">
            <v>1664023.2592592593</v>
          </cell>
        </row>
        <row r="448">
          <cell r="B448">
            <v>7037</v>
          </cell>
          <cell r="C448" t="str">
            <v>+ Máy nén khí 660m3/h động cơ diesel</v>
          </cell>
          <cell r="D448" t="str">
            <v>Ca</v>
          </cell>
          <cell r="E448" t="e">
            <v>#REF!</v>
          </cell>
        </row>
        <row r="449">
          <cell r="B449">
            <v>7038</v>
          </cell>
          <cell r="C449" t="str">
            <v>+ Máy nén khí 660m3/h động cơ diesel</v>
          </cell>
          <cell r="D449" t="str">
            <v>Ca</v>
          </cell>
          <cell r="E449" t="e">
            <v>#REF!</v>
          </cell>
        </row>
        <row r="450">
          <cell r="B450">
            <v>7039</v>
          </cell>
          <cell r="C450" t="str">
            <v>+ Máy nén khí 660m3/h động cơ diesel</v>
          </cell>
          <cell r="D450" t="str">
            <v>Ca</v>
          </cell>
          <cell r="E450" t="e">
            <v>#REF!</v>
          </cell>
        </row>
        <row r="451">
          <cell r="B451">
            <v>7040</v>
          </cell>
          <cell r="C451" t="str">
            <v>+ Máy nén khí 660m3/h động cơ diesel</v>
          </cell>
          <cell r="D451" t="str">
            <v>Ca</v>
          </cell>
          <cell r="E451" t="e">
            <v>#REF!</v>
          </cell>
        </row>
        <row r="452">
          <cell r="B452">
            <v>7041</v>
          </cell>
          <cell r="C452" t="str">
            <v>+ Máy nén khí 660m3/h động cơ diesel</v>
          </cell>
          <cell r="D452" t="str">
            <v>Ca</v>
          </cell>
          <cell r="E452" t="e">
            <v>#REF!</v>
          </cell>
        </row>
        <row r="453">
          <cell r="B453">
            <v>7042</v>
          </cell>
          <cell r="C453" t="str">
            <v>+ Máy nén khí 660m3/h động cơ diesel</v>
          </cell>
          <cell r="D453" t="str">
            <v>Ca</v>
          </cell>
          <cell r="E453" t="e">
            <v>#REF!</v>
          </cell>
        </row>
        <row r="454">
          <cell r="B454">
            <v>7043</v>
          </cell>
          <cell r="C454" t="str">
            <v>+ Máy nén khí 660m3/h động cơ diesel</v>
          </cell>
          <cell r="D454" t="str">
            <v>Ca</v>
          </cell>
          <cell r="E454" t="e">
            <v>#REF!</v>
          </cell>
        </row>
        <row r="455">
          <cell r="B455">
            <v>7044</v>
          </cell>
          <cell r="C455" t="str">
            <v>+ Máy ủi, công suất 108,0 CV</v>
          </cell>
          <cell r="D455" t="str">
            <v>Ca</v>
          </cell>
          <cell r="E455" t="e">
            <v>#REF!</v>
          </cell>
        </row>
        <row r="456">
          <cell r="B456">
            <v>7045</v>
          </cell>
          <cell r="C456" t="str">
            <v>+ Máy ủi, công suất 140,0 CV</v>
          </cell>
          <cell r="D456" t="str">
            <v>Ca</v>
          </cell>
          <cell r="E456" t="e">
            <v>#REF!</v>
          </cell>
        </row>
        <row r="457">
          <cell r="B457">
            <v>7046</v>
          </cell>
          <cell r="C457" t="str">
            <v>+ Máy ủi, công suất 75,0 CV</v>
          </cell>
          <cell r="D457" t="str">
            <v>Ca</v>
          </cell>
          <cell r="E457" t="e">
            <v>#REF!</v>
          </cell>
        </row>
        <row r="458">
          <cell r="B458">
            <v>7047</v>
          </cell>
          <cell r="C458" t="str">
            <v>+ Máy phát điện 1Kw</v>
          </cell>
          <cell r="D458" t="str">
            <v>Ca</v>
          </cell>
          <cell r="E458">
            <v>661786.5094117648</v>
          </cell>
        </row>
        <row r="459">
          <cell r="B459">
            <v>7048</v>
          </cell>
          <cell r="C459" t="str">
            <v>+ Máy rải dây</v>
          </cell>
          <cell r="D459" t="str">
            <v>Ca</v>
          </cell>
          <cell r="E459">
            <v>722626.35200000007</v>
          </cell>
        </row>
        <row r="460">
          <cell r="B460">
            <v>7049</v>
          </cell>
          <cell r="C460" t="str">
            <v>+ Máy thuỷ lực nối ép , vá dây</v>
          </cell>
          <cell r="D460" t="str">
            <v>Ca</v>
          </cell>
          <cell r="E460">
            <v>77875.054000000004</v>
          </cell>
        </row>
        <row r="461">
          <cell r="B461">
            <v>7050</v>
          </cell>
          <cell r="C461" t="str">
            <v>+ Máy trộn vưa 80 lít</v>
          </cell>
          <cell r="D461" t="str">
            <v>Ca</v>
          </cell>
          <cell r="E461" t="e">
            <v>#REF!</v>
          </cell>
        </row>
        <row r="462">
          <cell r="B462">
            <v>7051</v>
          </cell>
          <cell r="C462" t="str">
            <v>+ Tàu đóng cọc 1,8 T</v>
          </cell>
          <cell r="D462" t="str">
            <v>Ca</v>
          </cell>
          <cell r="E462" t="e">
            <v>#REF!</v>
          </cell>
        </row>
        <row r="463">
          <cell r="B463">
            <v>7052</v>
          </cell>
          <cell r="C463" t="str">
            <v>+ Tầu kéo và phục vụ thi công thuỷ (làm neo, cấp dầu,...), công suất 150 CV</v>
          </cell>
          <cell r="D463" t="str">
            <v>Ca</v>
          </cell>
          <cell r="E463" t="e">
            <v>#REF!</v>
          </cell>
        </row>
        <row r="464">
          <cell r="B464">
            <v>7053</v>
          </cell>
          <cell r="C464" t="str">
            <v>+ Tời điện, sức kéo 2,0 T</v>
          </cell>
          <cell r="D464" t="str">
            <v>Ca</v>
          </cell>
          <cell r="E464" t="e">
            <v>#REF!</v>
          </cell>
        </row>
        <row r="465">
          <cell r="B465">
            <v>7054</v>
          </cell>
          <cell r="C465" t="str">
            <v>+ Tời điện, sức kéo 5,0 T</v>
          </cell>
          <cell r="D465" t="str">
            <v>Ca</v>
          </cell>
          <cell r="E465" t="e">
            <v>#REF!</v>
          </cell>
        </row>
        <row r="466">
          <cell r="B466">
            <v>7055</v>
          </cell>
          <cell r="C466" t="str">
            <v>Máy đào một gầu, bánh xích, dung tích gầu 0,4 m3</v>
          </cell>
          <cell r="D466" t="str">
            <v>ca</v>
          </cell>
          <cell r="E466" t="e">
            <v>#REF!</v>
          </cell>
        </row>
        <row r="467">
          <cell r="B467">
            <v>7056</v>
          </cell>
          <cell r="C467" t="str">
            <v>Máy đào một gầu, bánh xích, dung tích gầu 0,8 m3</v>
          </cell>
          <cell r="D467" t="str">
            <v>ca</v>
          </cell>
          <cell r="E467" t="e">
            <v>#REF!</v>
          </cell>
        </row>
        <row r="468">
          <cell r="B468">
            <v>7057</v>
          </cell>
          <cell r="C468" t="str">
            <v>Máy đào một gầu, bánh xích, dung tích gầu 1,25 m3</v>
          </cell>
          <cell r="D468" t="str">
            <v>ca</v>
          </cell>
          <cell r="E468" t="e">
            <v>#REF!</v>
          </cell>
        </row>
        <row r="469">
          <cell r="B469">
            <v>7058</v>
          </cell>
          <cell r="C469" t="str">
            <v>Máy đầm đất 16 tấn (đầm bánh hơi)</v>
          </cell>
          <cell r="D469" t="str">
            <v>ca</v>
          </cell>
          <cell r="E469" t="e">
            <v>#REF!</v>
          </cell>
        </row>
        <row r="470">
          <cell r="B470">
            <v>7059</v>
          </cell>
          <cell r="C470" t="str">
            <v>Máy đầm đất 9 tấn (đầm bánh hơi)</v>
          </cell>
          <cell r="D470" t="str">
            <v>ca</v>
          </cell>
          <cell r="E470" t="e">
            <v>#REF!</v>
          </cell>
        </row>
        <row r="471">
          <cell r="B471">
            <v>7060</v>
          </cell>
          <cell r="C471" t="str">
            <v>Máy đầm bàn 1Kw</v>
          </cell>
          <cell r="D471" t="str">
            <v>ca</v>
          </cell>
          <cell r="E471">
            <v>189968.39999999997</v>
          </cell>
        </row>
        <row r="472">
          <cell r="B472">
            <v>7061</v>
          </cell>
          <cell r="C472" t="str">
            <v>Máy khác</v>
          </cell>
          <cell r="D472" t="str">
            <v>%</v>
          </cell>
        </row>
        <row r="473">
          <cell r="B473">
            <v>7062</v>
          </cell>
          <cell r="C473" t="str">
            <v>+ Máy nén khí 660m3/h động cơ diesel</v>
          </cell>
          <cell r="D473" t="str">
            <v>ca</v>
          </cell>
          <cell r="E473" t="e">
            <v>#REF!</v>
          </cell>
        </row>
        <row r="474">
          <cell r="B474">
            <v>7063</v>
          </cell>
          <cell r="C474" t="str">
            <v>Máy trộn bê tông 250lít</v>
          </cell>
          <cell r="D474" t="str">
            <v>ca</v>
          </cell>
          <cell r="E474">
            <v>237897.2</v>
          </cell>
        </row>
        <row r="475">
          <cell r="B475">
            <v>7064</v>
          </cell>
          <cell r="C475" t="str">
            <v>+ Sà lan công trình, trọng tải 250,0 T</v>
          </cell>
          <cell r="D475" t="str">
            <v>Ca</v>
          </cell>
          <cell r="E475" t="e">
            <v>#REF!</v>
          </cell>
        </row>
        <row r="476">
          <cell r="B476">
            <v>7065</v>
          </cell>
          <cell r="C476" t="str">
            <v>Đầm cóc cầm tay 50kg</v>
          </cell>
          <cell r="D476" t="str">
            <v>ca</v>
          </cell>
          <cell r="E476" t="e">
            <v>#REF!</v>
          </cell>
        </row>
        <row r="477">
          <cell r="B477">
            <v>7066</v>
          </cell>
          <cell r="C477" t="str">
            <v>Đầm dùi 1,5Kw</v>
          </cell>
          <cell r="D477" t="str">
            <v>ca</v>
          </cell>
          <cell r="E477">
            <v>193874.8</v>
          </cell>
        </row>
        <row r="478">
          <cell r="B478">
            <v>7067</v>
          </cell>
          <cell r="C478" t="str">
            <v xml:space="preserve"> Búa căn khí nén 1,5  m3/ph</v>
          </cell>
          <cell r="D478" t="str">
            <v>ca</v>
          </cell>
          <cell r="E478" t="e">
            <v>#N/A</v>
          </cell>
        </row>
        <row r="479">
          <cell r="B479">
            <v>7068</v>
          </cell>
          <cell r="C479" t="str">
            <v>Mê gôm mét</v>
          </cell>
          <cell r="D479" t="str">
            <v>ca</v>
          </cell>
          <cell r="E479">
            <v>37834.5</v>
          </cell>
        </row>
        <row r="480">
          <cell r="B480">
            <v>7069</v>
          </cell>
          <cell r="C480" t="str">
            <v>Hợp bộ thí nghiệm cao áp</v>
          </cell>
          <cell r="D480" t="str">
            <v>ca</v>
          </cell>
          <cell r="E480">
            <v>380669.25</v>
          </cell>
        </row>
        <row r="481">
          <cell r="B481">
            <v>7070</v>
          </cell>
          <cell r="C481" t="str">
            <v>Máy đo điện áp xuyên thủng</v>
          </cell>
          <cell r="D481" t="str">
            <v>ca</v>
          </cell>
          <cell r="E481">
            <v>27430.500000000004</v>
          </cell>
        </row>
        <row r="482">
          <cell r="B482">
            <v>7071</v>
          </cell>
          <cell r="C482" t="str">
            <v>Máy đo độ chớp cháy kín</v>
          </cell>
          <cell r="D482" t="str">
            <v>ca</v>
          </cell>
          <cell r="E482">
            <v>131217.75</v>
          </cell>
        </row>
        <row r="483">
          <cell r="B483">
            <v>7072</v>
          </cell>
          <cell r="C483" t="str">
            <v>Máy đo tỷ trọng</v>
          </cell>
          <cell r="D483" t="str">
            <v>ca</v>
          </cell>
          <cell r="E483">
            <v>55118.249999999993</v>
          </cell>
        </row>
        <row r="484">
          <cell r="B484">
            <v>7073</v>
          </cell>
          <cell r="C484" t="str">
            <v>Máy đo độ nhớt</v>
          </cell>
          <cell r="D484" t="str">
            <v>ca</v>
          </cell>
          <cell r="E484">
            <v>112730.25</v>
          </cell>
        </row>
        <row r="485">
          <cell r="B485">
            <v>7074</v>
          </cell>
          <cell r="C485" t="str">
            <v>Máy đo độ a xít</v>
          </cell>
          <cell r="D485" t="str">
            <v>ca</v>
          </cell>
          <cell r="E485">
            <v>136893</v>
          </cell>
        </row>
        <row r="486">
          <cell r="B486">
            <v>7075</v>
          </cell>
          <cell r="C486" t="str">
            <v>Máy đo điện trở tiếp xúc</v>
          </cell>
          <cell r="D486" t="str">
            <v>ca</v>
          </cell>
          <cell r="E486">
            <v>78678.750000000015</v>
          </cell>
        </row>
        <row r="487">
          <cell r="B487">
            <v>7076</v>
          </cell>
          <cell r="C487" t="str">
            <v>Hợp bộ đo lường</v>
          </cell>
          <cell r="D487" t="str">
            <v>ca</v>
          </cell>
          <cell r="E487">
            <v>709659</v>
          </cell>
        </row>
        <row r="488">
          <cell r="B488">
            <v>7077</v>
          </cell>
          <cell r="C488" t="str">
            <v>Máy đo điện trở một chiều</v>
          </cell>
          <cell r="D488" t="str">
            <v>ca</v>
          </cell>
          <cell r="E488">
            <v>134743.49999999997</v>
          </cell>
        </row>
        <row r="489">
          <cell r="B489">
            <v>7078</v>
          </cell>
          <cell r="C489" t="str">
            <v>Máy đo tỷ số biến</v>
          </cell>
          <cell r="D489" t="str">
            <v>ca</v>
          </cell>
          <cell r="E489">
            <v>55118.249999999993</v>
          </cell>
        </row>
        <row r="490">
          <cell r="B490">
            <v>7079</v>
          </cell>
          <cell r="C490" t="str">
            <v>Thiết bị tạo dòng</v>
          </cell>
          <cell r="D490" t="str">
            <v>ca</v>
          </cell>
          <cell r="E490">
            <v>374821.5</v>
          </cell>
        </row>
        <row r="491">
          <cell r="B491">
            <v>7080</v>
          </cell>
          <cell r="C491" t="str">
            <v>Máy đo vạn năng</v>
          </cell>
          <cell r="D491" t="str">
            <v>ca</v>
          </cell>
          <cell r="E491">
            <v>113418</v>
          </cell>
        </row>
        <row r="492">
          <cell r="B492">
            <v>7081</v>
          </cell>
          <cell r="C492" t="str">
            <v>Bộ nguồn AC-DC</v>
          </cell>
          <cell r="D492" t="str">
            <v>ca</v>
          </cell>
          <cell r="E492">
            <v>37491</v>
          </cell>
        </row>
        <row r="493">
          <cell r="B493">
            <v>7082</v>
          </cell>
          <cell r="C493" t="str">
            <v>Hợp bộ đo Tgδ</v>
          </cell>
          <cell r="D493" t="str">
            <v>ca</v>
          </cell>
          <cell r="E493">
            <v>750675</v>
          </cell>
        </row>
        <row r="495">
          <cell r="B495">
            <v>8001</v>
          </cell>
          <cell r="C495" t="str">
            <v>Máy khoan điện cầm tay 0,6kw</v>
          </cell>
          <cell r="D495" t="str">
            <v>ca</v>
          </cell>
          <cell r="E495">
            <v>15492.584615384616</v>
          </cell>
        </row>
        <row r="496">
          <cell r="B496">
            <v>8002</v>
          </cell>
          <cell r="C496" t="str">
            <v>Máy lọc dầu cải tạo YBM-2</v>
          </cell>
          <cell r="D496" t="str">
            <v>ca</v>
          </cell>
          <cell r="E496">
            <v>757784</v>
          </cell>
        </row>
        <row r="497">
          <cell r="B497">
            <v>8003</v>
          </cell>
          <cell r="C497" t="str">
            <v>Máy lọc dầu hợp bộ KATO KLVC-4AXVSO</v>
          </cell>
          <cell r="D497" t="str">
            <v>ca</v>
          </cell>
          <cell r="E497">
            <v>1452021</v>
          </cell>
        </row>
        <row r="498">
          <cell r="B498">
            <v>8004</v>
          </cell>
          <cell r="C498" t="str">
            <v>Máy lọc ép</v>
          </cell>
          <cell r="D498" t="str">
            <v>ca</v>
          </cell>
          <cell r="E498">
            <v>24073</v>
          </cell>
        </row>
        <row r="499">
          <cell r="B499">
            <v>8005</v>
          </cell>
          <cell r="C499" t="str">
            <v>Máy thử cao áp AI-70</v>
          </cell>
          <cell r="D499" t="str">
            <v>ca</v>
          </cell>
          <cell r="E499">
            <v>136162</v>
          </cell>
        </row>
        <row r="500">
          <cell r="B500">
            <v>8006</v>
          </cell>
          <cell r="C500" t="str">
            <v>+ Biến thế hàn xoay chiều, công suất 14,0 kW</v>
          </cell>
          <cell r="D500" t="str">
            <v>ca</v>
          </cell>
          <cell r="E500">
            <v>264682.80000000005</v>
          </cell>
        </row>
        <row r="501">
          <cell r="B501">
            <v>8007</v>
          </cell>
          <cell r="C501" t="str">
            <v>+ Biến thế hàn xoay chiều, công suất 23,0 kW</v>
          </cell>
          <cell r="D501" t="str">
            <v>ca</v>
          </cell>
          <cell r="E501">
            <v>313265.60000000003</v>
          </cell>
        </row>
        <row r="502">
          <cell r="B502">
            <v>8008</v>
          </cell>
          <cell r="C502" t="str">
            <v>Máy khác</v>
          </cell>
          <cell r="D502" t="str">
            <v>%</v>
          </cell>
        </row>
        <row r="503">
          <cell r="B503">
            <v>8009</v>
          </cell>
          <cell r="C503" t="str">
            <v>Máy ép đầu cốt</v>
          </cell>
          <cell r="D503" t="str">
            <v>ca</v>
          </cell>
          <cell r="E503">
            <v>58907</v>
          </cell>
        </row>
        <row r="504">
          <cell r="B504">
            <v>8010</v>
          </cell>
          <cell r="C504" t="str">
            <v>Máy bơm chân không</v>
          </cell>
          <cell r="D504" t="str">
            <v>ca</v>
          </cell>
          <cell r="E504">
            <v>21010</v>
          </cell>
        </row>
        <row r="505">
          <cell r="B505">
            <v>8011</v>
          </cell>
          <cell r="C505" t="str">
            <v>Máy bơm ly tâm</v>
          </cell>
          <cell r="D505" t="str">
            <v>ca</v>
          </cell>
          <cell r="E505">
            <v>25135</v>
          </cell>
        </row>
        <row r="506">
          <cell r="B506">
            <v>8012</v>
          </cell>
          <cell r="C506" t="str">
            <v>Đèn khò</v>
          </cell>
          <cell r="D506" t="str">
            <v>ca</v>
          </cell>
          <cell r="E506">
            <v>0</v>
          </cell>
        </row>
        <row r="507">
          <cell r="B507">
            <v>8013</v>
          </cell>
          <cell r="C507" t="str">
            <v>Cần trục bánh hơi 10T</v>
          </cell>
          <cell r="D507" t="str">
            <v>ca</v>
          </cell>
          <cell r="E507">
            <v>1939290.1199999999</v>
          </cell>
        </row>
        <row r="508">
          <cell r="B508">
            <v>8014</v>
          </cell>
          <cell r="C508" t="str">
            <v>Cần trục bánh hơi 16T</v>
          </cell>
          <cell r="D508" t="str">
            <v>ca</v>
          </cell>
          <cell r="E508">
            <v>2198624.7400000002</v>
          </cell>
        </row>
        <row r="509">
          <cell r="B509">
            <v>8015</v>
          </cell>
          <cell r="C509" t="str">
            <v>Cần trục bánh hơi 5T</v>
          </cell>
          <cell r="D509" t="str">
            <v>ca</v>
          </cell>
          <cell r="E509">
            <v>1426433.0920000002</v>
          </cell>
        </row>
        <row r="510">
          <cell r="B510">
            <v>8016</v>
          </cell>
          <cell r="C510" t="str">
            <v>Xe nâng thang 12m</v>
          </cell>
          <cell r="D510" t="str">
            <v>ca</v>
          </cell>
          <cell r="E510">
            <v>1922618.2442857146</v>
          </cell>
        </row>
        <row r="511">
          <cell r="B511">
            <v>8017</v>
          </cell>
          <cell r="C511" t="str">
            <v>Xe ô tô tải có gắn cần trục tải trọng 5T</v>
          </cell>
          <cell r="D511" t="str">
            <v>ca</v>
          </cell>
          <cell r="E511">
            <v>1426433.0920000002</v>
          </cell>
        </row>
        <row r="512">
          <cell r="B512">
            <v>8018</v>
          </cell>
          <cell r="C512" t="str">
            <v>Xe ô tô tải có gắn cần trục tải trọng 2.5T</v>
          </cell>
          <cell r="D512" t="str">
            <v>ca</v>
          </cell>
          <cell r="E512">
            <v>1268558.8280000002</v>
          </cell>
        </row>
        <row r="513">
          <cell r="B513">
            <v>8019</v>
          </cell>
          <cell r="C513" t="str">
            <v>+ Máy trộn vưa 80 lít</v>
          </cell>
          <cell r="D513" t="str">
            <v>ca</v>
          </cell>
          <cell r="E513">
            <v>197054.87058823527</v>
          </cell>
        </row>
        <row r="514">
          <cell r="B514" t="str">
            <v>8019a</v>
          </cell>
          <cell r="C514" t="str">
            <v>+ Máy trộn vưa 150 lít</v>
          </cell>
          <cell r="D514" t="str">
            <v>ca</v>
          </cell>
          <cell r="E514">
            <v>211961.74117647059</v>
          </cell>
        </row>
        <row r="515">
          <cell r="B515">
            <v>8020</v>
          </cell>
          <cell r="C515" t="str">
            <v>Máy trộn bê tông 250lít</v>
          </cell>
          <cell r="D515" t="str">
            <v>ca</v>
          </cell>
          <cell r="E515">
            <v>237897.2</v>
          </cell>
        </row>
        <row r="516">
          <cell r="B516">
            <v>8021</v>
          </cell>
          <cell r="C516" t="str">
            <v>Máy đầm bàn 1Kw</v>
          </cell>
          <cell r="D516" t="str">
            <v>ca</v>
          </cell>
          <cell r="E516">
            <v>189968.39999999997</v>
          </cell>
        </row>
        <row r="517">
          <cell r="B517">
            <v>8022</v>
          </cell>
          <cell r="C517" t="str">
            <v>Đầm dùi 1,5Kw</v>
          </cell>
          <cell r="D517" t="str">
            <v>ca</v>
          </cell>
          <cell r="E517">
            <v>193874.8</v>
          </cell>
        </row>
        <row r="519">
          <cell r="B519">
            <v>8050</v>
          </cell>
          <cell r="C519" t="str">
            <v>Máy lu 8,5T</v>
          </cell>
          <cell r="D519" t="str">
            <v>ca</v>
          </cell>
          <cell r="E519">
            <v>1121439.5466666666</v>
          </cell>
        </row>
        <row r="520">
          <cell r="B520">
            <v>8051</v>
          </cell>
          <cell r="C520" t="str">
            <v>Máy lu 10,0T</v>
          </cell>
          <cell r="D520" t="str">
            <v>ca</v>
          </cell>
          <cell r="E520">
            <v>1811634.1244444444</v>
          </cell>
        </row>
        <row r="521">
          <cell r="B521">
            <v>8052</v>
          </cell>
          <cell r="C521" t="str">
            <v>Máy lu 25T</v>
          </cell>
          <cell r="D521" t="str">
            <v>ca</v>
          </cell>
          <cell r="E521">
            <v>2521894.3288888889</v>
          </cell>
        </row>
        <row r="522">
          <cell r="B522">
            <v>8053</v>
          </cell>
          <cell r="C522" t="str">
            <v>Máy san 110CV</v>
          </cell>
          <cell r="D522" t="str">
            <v>ca</v>
          </cell>
          <cell r="E522">
            <v>1799922.9104347823</v>
          </cell>
        </row>
        <row r="523">
          <cell r="B523">
            <v>8054</v>
          </cell>
          <cell r="C523" t="str">
            <v>Ô tô tưới nước 5m3</v>
          </cell>
          <cell r="D523" t="str">
            <v>ca</v>
          </cell>
          <cell r="E523">
            <v>984748.92923076916</v>
          </cell>
        </row>
        <row r="524">
          <cell r="B524">
            <v>8055</v>
          </cell>
          <cell r="C524" t="str">
            <v>Máy rải 50-60m3/h</v>
          </cell>
          <cell r="D524" t="str">
            <v>ca</v>
          </cell>
          <cell r="E524">
            <v>2618920.5466666669</v>
          </cell>
        </row>
        <row r="525">
          <cell r="B525">
            <v>8056</v>
          </cell>
          <cell r="C525" t="str">
            <v>Máy rải 130-140CV</v>
          </cell>
          <cell r="D525" t="str">
            <v>ca</v>
          </cell>
          <cell r="E525">
            <v>4899534.126666666</v>
          </cell>
        </row>
        <row r="526">
          <cell r="B526">
            <v>8057</v>
          </cell>
          <cell r="C526" t="str">
            <v>Máy đầm bánh lốp 16T</v>
          </cell>
          <cell r="D526" t="str">
            <v>ca</v>
          </cell>
          <cell r="E526">
            <v>1424246.3822222224</v>
          </cell>
        </row>
      </sheetData>
      <sheetData sheetId="15">
        <row r="1">
          <cell r="B1">
            <v>0.1</v>
          </cell>
        </row>
        <row r="2">
          <cell r="A2" t="str">
            <v>Công trình: Lắp đặt các bộ tụ bù trung áp trên lưới điện trung áp tỉnh Hải Dương</v>
          </cell>
        </row>
        <row r="3">
          <cell r="B3">
            <v>26000</v>
          </cell>
        </row>
        <row r="6">
          <cell r="B6">
            <v>27500</v>
          </cell>
        </row>
        <row r="8">
          <cell r="B8" t="str">
            <v>T02/2020</v>
          </cell>
        </row>
        <row r="9">
          <cell r="B9">
            <v>0</v>
          </cell>
        </row>
        <row r="15">
          <cell r="B15">
            <v>30</v>
          </cell>
        </row>
      </sheetData>
      <sheetData sheetId="16"/>
      <sheetData sheetId="17"/>
      <sheetData sheetId="18"/>
      <sheetData sheetId="19"/>
      <sheetData sheetId="20"/>
      <sheetData sheetId="21"/>
      <sheetData sheetId="22">
        <row r="5">
          <cell r="I5">
            <v>703238.67999999993</v>
          </cell>
        </row>
        <row r="10">
          <cell r="I10">
            <v>754851.81500000006</v>
          </cell>
        </row>
        <row r="25">
          <cell r="I25">
            <v>822504.17499999993</v>
          </cell>
        </row>
      </sheetData>
      <sheetData sheetId="23">
        <row r="4">
          <cell r="H4">
            <v>487000</v>
          </cell>
        </row>
        <row r="16">
          <cell r="H16">
            <v>487000</v>
          </cell>
        </row>
      </sheetData>
      <sheetData sheetId="24"/>
      <sheetData sheetId="25"/>
      <sheetData sheetId="26"/>
      <sheetData sheetId="27">
        <row r="9">
          <cell r="L9">
            <v>13086288</v>
          </cell>
        </row>
        <row r="10">
          <cell r="L10">
            <v>14456641</v>
          </cell>
        </row>
        <row r="11">
          <cell r="L11">
            <v>15735556</v>
          </cell>
        </row>
        <row r="12">
          <cell r="L12">
            <v>17146502</v>
          </cell>
        </row>
        <row r="13">
          <cell r="L13">
            <v>17830562</v>
          </cell>
        </row>
        <row r="14">
          <cell r="L14">
            <v>19661625</v>
          </cell>
        </row>
        <row r="16">
          <cell r="L16">
            <v>3925886</v>
          </cell>
        </row>
        <row r="17">
          <cell r="L17">
            <v>4336992</v>
          </cell>
        </row>
        <row r="18">
          <cell r="L18">
            <v>4720667</v>
          </cell>
        </row>
        <row r="19">
          <cell r="L19">
            <v>5143951</v>
          </cell>
        </row>
        <row r="20">
          <cell r="L20">
            <v>5349169</v>
          </cell>
        </row>
        <row r="21">
          <cell r="L21">
            <v>5898487</v>
          </cell>
        </row>
        <row r="23">
          <cell r="L23">
            <v>4474603</v>
          </cell>
        </row>
        <row r="24">
          <cell r="L24">
            <v>5973576</v>
          </cell>
        </row>
        <row r="25">
          <cell r="L25">
            <v>8187365</v>
          </cell>
        </row>
        <row r="26">
          <cell r="L26">
            <v>10748839</v>
          </cell>
        </row>
        <row r="27">
          <cell r="L27">
            <v>14955359</v>
          </cell>
        </row>
      </sheetData>
      <sheetData sheetId="28"/>
      <sheetData sheetId="29"/>
      <sheetData sheetId="30"/>
      <sheetData sheetId="31"/>
      <sheetData sheetId="32"/>
      <sheetData sheetId="33"/>
      <sheetData sheetId="34"/>
      <sheetData sheetId="35"/>
      <sheetData sheetId="36"/>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han cong"/>
      <sheetName val="PhanTich_DBGT"/>
      <sheetName val="DTCT_DBGT"/>
      <sheetName val="Dam bao giao thong"/>
      <sheetName val="Thuyetminh"/>
      <sheetName val="PA1-TMDT"/>
      <sheetName val="PA2-TMDT"/>
      <sheetName val="TMDT"/>
      <sheetName val="PA  4 -TMDT "/>
      <sheetName val="PA1-THKP-TYFo-0.17"/>
      <sheetName val="PA2-THKP-sika"/>
      <sheetName val="PA1-DT-Xay lap TYFO"/>
      <sheetName val="PA1-DT-Xay lap -SIka"/>
      <sheetName val="THKP"/>
      <sheetName val="PA4-THKP-Quakewrap - 0.35 "/>
      <sheetName val="DT chi tiet-Xay lap "/>
      <sheetName val="DGCT-Xay lap"/>
      <sheetName val="PL vua"/>
      <sheetName val="GVL"/>
      <sheetName val="phi VCVL"/>
      <sheetName val="DGNC"/>
      <sheetName val="Gia ca ma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row r="5">
          <cell r="B5" t="str">
            <v>M480</v>
          </cell>
          <cell r="C5" t="str">
            <v>M¸y hµn 23KW</v>
          </cell>
          <cell r="D5">
            <v>183370</v>
          </cell>
          <cell r="E5">
            <v>48.3</v>
          </cell>
          <cell r="F5">
            <v>49410.899999999994</v>
          </cell>
          <cell r="G5">
            <v>62983.199999999997</v>
          </cell>
          <cell r="H5" t="str">
            <v>1x4/7</v>
          </cell>
          <cell r="I5">
            <v>101487</v>
          </cell>
          <cell r="J5">
            <v>238020.38461538457</v>
          </cell>
          <cell r="K5">
            <v>333475.68461538455</v>
          </cell>
        </row>
        <row r="6">
          <cell r="B6" t="str">
            <v>M517</v>
          </cell>
          <cell r="C6" t="str">
            <v>M¸y c¾t uèn cèt thÐp 5KW</v>
          </cell>
          <cell r="D6">
            <v>125131</v>
          </cell>
          <cell r="E6">
            <v>9</v>
          </cell>
          <cell r="F6">
            <v>9207</v>
          </cell>
          <cell r="G6">
            <v>11736</v>
          </cell>
          <cell r="H6" t="str">
            <v>1x3/7</v>
          </cell>
          <cell r="I6">
            <v>87336</v>
          </cell>
          <cell r="J6">
            <v>204218.46153846153</v>
          </cell>
          <cell r="K6">
            <v>244542.46153846153</v>
          </cell>
        </row>
        <row r="7">
          <cell r="B7" t="str">
            <v>M266</v>
          </cell>
          <cell r="C7" t="str">
            <v>M¸y vËn th¨ng 0.8T</v>
          </cell>
          <cell r="D7">
            <v>264786</v>
          </cell>
          <cell r="E7">
            <v>21</v>
          </cell>
          <cell r="F7">
            <v>21483</v>
          </cell>
          <cell r="G7">
            <v>27384</v>
          </cell>
          <cell r="H7" t="str">
            <v>1x3/7</v>
          </cell>
          <cell r="I7">
            <v>87336</v>
          </cell>
          <cell r="J7">
            <v>204218.46153846153</v>
          </cell>
          <cell r="K7">
            <v>387569.4615384615</v>
          </cell>
        </row>
        <row r="8">
          <cell r="B8" t="str">
            <v>M314</v>
          </cell>
          <cell r="C8" t="str">
            <v>M¸y trén v÷a 80l</v>
          </cell>
          <cell r="D8">
            <v>121862</v>
          </cell>
          <cell r="E8">
            <v>5.28</v>
          </cell>
          <cell r="F8">
            <v>5401.4400000000005</v>
          </cell>
          <cell r="G8">
            <v>6885.12</v>
          </cell>
          <cell r="H8" t="str">
            <v>1x3/7</v>
          </cell>
          <cell r="I8">
            <v>87336</v>
          </cell>
          <cell r="J8">
            <v>204218.46153846153</v>
          </cell>
          <cell r="K8">
            <v>240228.14153846152</v>
          </cell>
        </row>
        <row r="9">
          <cell r="B9" t="str">
            <v>M495</v>
          </cell>
          <cell r="C9" t="str">
            <v>M¸y khoan  4,5KW</v>
          </cell>
          <cell r="D9">
            <v>158827</v>
          </cell>
          <cell r="E9">
            <v>9.4499999999999993</v>
          </cell>
          <cell r="F9">
            <v>9667.3499999999985</v>
          </cell>
          <cell r="G9">
            <v>12322.8</v>
          </cell>
          <cell r="H9" t="str">
            <v>1x3/7</v>
          </cell>
          <cell r="I9">
            <v>87336</v>
          </cell>
          <cell r="J9">
            <v>204218.46153846153</v>
          </cell>
          <cell r="K9">
            <v>278364.91153846151</v>
          </cell>
        </row>
        <row r="10">
          <cell r="B10" t="str">
            <v>M455</v>
          </cell>
          <cell r="C10" t="str">
            <v>M¸y nÐn khÝ Diezen 240m3/h</v>
          </cell>
          <cell r="D10">
            <v>690682</v>
          </cell>
          <cell r="E10">
            <v>27.54</v>
          </cell>
          <cell r="F10">
            <v>371790</v>
          </cell>
          <cell r="G10">
            <v>546293.45454545447</v>
          </cell>
          <cell r="H10" t="str">
            <v>1x4/7</v>
          </cell>
          <cell r="I10">
            <v>101487</v>
          </cell>
          <cell r="J10">
            <v>238020.38461538457</v>
          </cell>
          <cell r="K10">
            <v>1001718.8391608391</v>
          </cell>
        </row>
        <row r="11">
          <cell r="B11" t="str">
            <v>M457</v>
          </cell>
          <cell r="C11" t="str">
            <v>M¸y nÐn khÝ Diezen 360m3/h</v>
          </cell>
          <cell r="D11">
            <v>866491</v>
          </cell>
          <cell r="E11">
            <v>34.56</v>
          </cell>
          <cell r="F11">
            <v>466560.00000000006</v>
          </cell>
          <cell r="G11">
            <v>685544.72727272729</v>
          </cell>
          <cell r="H11" t="str">
            <v>1x4/7</v>
          </cell>
          <cell r="I11">
            <v>101487</v>
          </cell>
          <cell r="J11">
            <v>238020.38461538457</v>
          </cell>
          <cell r="K11">
            <v>1222009.1118881118</v>
          </cell>
        </row>
        <row r="12">
          <cell r="B12" t="str">
            <v>M508</v>
          </cell>
          <cell r="C12" t="str">
            <v xml:space="preserve">Bóa c¨n nÐn khÝ </v>
          </cell>
          <cell r="D12">
            <v>121009</v>
          </cell>
          <cell r="H12" t="str">
            <v>1x4/7</v>
          </cell>
          <cell r="I12">
            <v>101487</v>
          </cell>
          <cell r="J12">
            <v>238020.38461538457</v>
          </cell>
          <cell r="K12">
            <v>257542.38461538457</v>
          </cell>
        </row>
        <row r="13">
          <cell r="B13" t="str">
            <v>M6</v>
          </cell>
          <cell r="C13" t="str">
            <v>M¸y ®µo 0.8m3</v>
          </cell>
          <cell r="D13">
            <v>2230655</v>
          </cell>
          <cell r="E13">
            <v>64.8</v>
          </cell>
          <cell r="F13">
            <v>874800</v>
          </cell>
          <cell r="G13">
            <v>1285396.3636363635</v>
          </cell>
          <cell r="H13" t="str">
            <v>1x3/7+1x5/7</v>
          </cell>
          <cell r="I13">
            <v>205804</v>
          </cell>
          <cell r="J13">
            <v>436980.76923076925</v>
          </cell>
          <cell r="K13">
            <v>2872428.1328671323</v>
          </cell>
        </row>
        <row r="14">
          <cell r="B14" t="str">
            <v>M205</v>
          </cell>
          <cell r="C14" t="str">
            <v>CÇn cÈu 10T</v>
          </cell>
          <cell r="D14">
            <v>1935549</v>
          </cell>
          <cell r="E14">
            <v>37</v>
          </cell>
          <cell r="F14">
            <v>499500</v>
          </cell>
          <cell r="G14">
            <v>733945.45454545459</v>
          </cell>
          <cell r="H14" t="str">
            <v xml:space="preserve">1x1/4 +1x3/4 Lo¹i  7,5 -16,5 TÊn </v>
          </cell>
          <cell r="I14">
            <v>221723</v>
          </cell>
          <cell r="J14">
            <v>470782.69230769225</v>
          </cell>
          <cell r="K14">
            <v>2419054.1468531471</v>
          </cell>
        </row>
        <row r="15">
          <cell r="B15" t="str">
            <v>M350</v>
          </cell>
          <cell r="C15" t="str">
            <v>M¸y ®Çm dïi 1,5KW</v>
          </cell>
          <cell r="D15">
            <v>113928</v>
          </cell>
          <cell r="E15">
            <v>6.75</v>
          </cell>
          <cell r="F15">
            <v>6905.25</v>
          </cell>
          <cell r="G15">
            <v>8802</v>
          </cell>
          <cell r="H15" t="str">
            <v>1x3/7</v>
          </cell>
          <cell r="I15">
            <v>87336</v>
          </cell>
          <cell r="J15">
            <v>204218.46153846153</v>
          </cell>
          <cell r="K15">
            <v>232707.21153846153</v>
          </cell>
        </row>
        <row r="16">
          <cell r="B16" t="str">
            <v>M276</v>
          </cell>
          <cell r="C16" t="str">
            <v>Têi ®iÖn 5T</v>
          </cell>
          <cell r="D16">
            <v>157725</v>
          </cell>
          <cell r="E16">
            <v>13.5</v>
          </cell>
          <cell r="F16">
            <v>182250</v>
          </cell>
          <cell r="G16">
            <v>267790.90909090906</v>
          </cell>
          <cell r="H16" t="str">
            <v>1x3/7</v>
          </cell>
          <cell r="I16">
            <v>87336</v>
          </cell>
          <cell r="J16">
            <v>204218.46153846153</v>
          </cell>
          <cell r="K16">
            <v>360148.37062937056</v>
          </cell>
        </row>
        <row r="17">
          <cell r="B17" t="str">
            <v>M121</v>
          </cell>
          <cell r="C17" t="str">
            <v>¤ t« tù ®æ 7 tÊn</v>
          </cell>
          <cell r="D17">
            <v>1325053</v>
          </cell>
          <cell r="E17">
            <v>45.9</v>
          </cell>
          <cell r="F17">
            <v>619650</v>
          </cell>
          <cell r="G17">
            <v>910489.09090909082</v>
          </cell>
          <cell r="H17" t="str">
            <v>1x3/4 Lo¹i  7,5 -16,5 TÊn</v>
          </cell>
          <cell r="I17">
            <v>120590</v>
          </cell>
          <cell r="J17">
            <v>270320</v>
          </cell>
          <cell r="K17">
            <v>1765622.0909090908</v>
          </cell>
        </row>
        <row r="18">
          <cell r="B18" t="str">
            <v>M497</v>
          </cell>
          <cell r="C18" t="str">
            <v>M¸y c¾t s¾t cÇm tay 1KW</v>
          </cell>
          <cell r="D18">
            <v>116091</v>
          </cell>
          <cell r="E18">
            <v>2.1</v>
          </cell>
          <cell r="F18">
            <v>2148.3000000000002</v>
          </cell>
          <cell r="G18">
            <v>2738.4</v>
          </cell>
          <cell r="H18" t="str">
            <v>1x3/7</v>
          </cell>
          <cell r="I18">
            <v>87336</v>
          </cell>
          <cell r="J18">
            <v>204218.46153846153</v>
          </cell>
          <cell r="K18">
            <v>233563.56153846154</v>
          </cell>
        </row>
        <row r="19">
          <cell r="B19" t="str">
            <v>M308</v>
          </cell>
          <cell r="C19" t="str">
            <v>M¸y trén BT 250L</v>
          </cell>
          <cell r="D19">
            <v>172219</v>
          </cell>
          <cell r="E19">
            <v>10.8</v>
          </cell>
          <cell r="F19">
            <v>11048.400000000001</v>
          </cell>
          <cell r="G19">
            <v>14083.2</v>
          </cell>
          <cell r="H19" t="str">
            <v>1x3/7</v>
          </cell>
          <cell r="I19">
            <v>87336</v>
          </cell>
          <cell r="J19">
            <v>204218.46153846153</v>
          </cell>
          <cell r="K19">
            <v>292136.26153846155</v>
          </cell>
        </row>
        <row r="20">
          <cell r="B20" t="str">
            <v>M499</v>
          </cell>
          <cell r="C20" t="str">
            <v>M¸y khoan BT cÇm tay 0,62KW</v>
          </cell>
          <cell r="D20">
            <v>104954</v>
          </cell>
          <cell r="E20">
            <v>0.93</v>
          </cell>
          <cell r="F20">
            <v>951.3900000000001</v>
          </cell>
          <cell r="G20">
            <v>1212.72</v>
          </cell>
          <cell r="H20" t="str">
            <v>1x3/7</v>
          </cell>
          <cell r="I20">
            <v>87336</v>
          </cell>
          <cell r="J20">
            <v>204218.46153846153</v>
          </cell>
          <cell r="K20">
            <v>222097.79153846152</v>
          </cell>
        </row>
        <row r="21">
          <cell r="B21" t="str">
            <v>M505</v>
          </cell>
          <cell r="C21" t="str">
            <v>M¸y c¾t BT 1,5KW</v>
          </cell>
          <cell r="D21">
            <v>117854</v>
          </cell>
          <cell r="E21">
            <v>2.7</v>
          </cell>
          <cell r="F21">
            <v>2762.1000000000004</v>
          </cell>
          <cell r="G21">
            <v>3520.8</v>
          </cell>
          <cell r="H21" t="str">
            <v>1x3/7</v>
          </cell>
          <cell r="I21">
            <v>87336</v>
          </cell>
          <cell r="J21">
            <v>204218.46153846153</v>
          </cell>
          <cell r="K21">
            <v>235495.16153846151</v>
          </cell>
        </row>
        <row r="22">
          <cell r="B22" t="str">
            <v>M494</v>
          </cell>
          <cell r="C22" t="str">
            <v>M¸y khoan 2.5KW</v>
          </cell>
          <cell r="D22">
            <v>139041</v>
          </cell>
          <cell r="E22">
            <v>5.3</v>
          </cell>
          <cell r="F22">
            <v>5421.9</v>
          </cell>
          <cell r="G22">
            <v>6911.2</v>
          </cell>
          <cell r="H22" t="str">
            <v>1x3/7</v>
          </cell>
          <cell r="I22">
            <v>87336</v>
          </cell>
          <cell r="J22">
            <v>204218.46153846153</v>
          </cell>
          <cell r="K22">
            <v>257412.76153846155</v>
          </cell>
        </row>
        <row r="23">
          <cell r="B23" t="str">
            <v>M524</v>
          </cell>
          <cell r="C23" t="str">
            <v>M¸y mµi 2.7KW</v>
          </cell>
          <cell r="D23">
            <v>103081</v>
          </cell>
          <cell r="E23">
            <v>4.05</v>
          </cell>
          <cell r="F23">
            <v>4143.1499999999996</v>
          </cell>
          <cell r="G23">
            <v>5281.2</v>
          </cell>
          <cell r="H23" t="str">
            <v>1x3/7</v>
          </cell>
          <cell r="I23">
            <v>87336</v>
          </cell>
          <cell r="J23">
            <v>204218.46153846153</v>
          </cell>
          <cell r="K23">
            <v>221101.51153846155</v>
          </cell>
        </row>
        <row r="24">
          <cell r="B24" t="str">
            <v>M507</v>
          </cell>
          <cell r="C24" t="str">
            <v>M¸y c¾t bª t«ng MCD</v>
          </cell>
          <cell r="D24">
            <v>335207</v>
          </cell>
          <cell r="E24">
            <v>7.92</v>
          </cell>
          <cell r="F24">
            <v>120384</v>
          </cell>
          <cell r="G24">
            <v>168839.99999999997</v>
          </cell>
          <cell r="H24" t="str">
            <v>1x4/7</v>
          </cell>
          <cell r="I24">
            <v>101487</v>
          </cell>
          <cell r="J24">
            <v>238020.38461538457</v>
          </cell>
          <cell r="K24">
            <v>520196.38461538457</v>
          </cell>
        </row>
        <row r="25">
          <cell r="B25" t="str">
            <v>M460</v>
          </cell>
          <cell r="C25" t="str">
            <v>M¸y nÐn khÝ 600m3/h</v>
          </cell>
          <cell r="D25">
            <v>1133095</v>
          </cell>
          <cell r="E25">
            <v>38.4</v>
          </cell>
          <cell r="F25">
            <v>518400</v>
          </cell>
          <cell r="G25">
            <v>761716.36363636365</v>
          </cell>
          <cell r="H25" t="str">
            <v>1x4/7</v>
          </cell>
          <cell r="I25">
            <v>101487</v>
          </cell>
          <cell r="J25">
            <v>238020.38461538457</v>
          </cell>
          <cell r="K25">
            <v>1512944.7482517483</v>
          </cell>
        </row>
        <row r="26">
          <cell r="B26" t="str">
            <v>M523</v>
          </cell>
          <cell r="C26" t="str">
            <v>M¸y mµi 1KW</v>
          </cell>
          <cell r="D26">
            <v>93317</v>
          </cell>
          <cell r="E26">
            <v>1.8</v>
          </cell>
          <cell r="F26">
            <v>1841.4</v>
          </cell>
          <cell r="G26">
            <v>2347.2000000000003</v>
          </cell>
          <cell r="H26" t="str">
            <v>1x3/7</v>
          </cell>
          <cell r="I26">
            <v>87336</v>
          </cell>
          <cell r="J26">
            <v>204218.46153846153</v>
          </cell>
          <cell r="K26">
            <v>210705.26153846155</v>
          </cell>
        </row>
        <row r="27">
          <cell r="B27" t="str">
            <v>M325</v>
          </cell>
          <cell r="C27" t="str">
            <v>Tr¹m trén bª t«ng 50m3/h</v>
          </cell>
          <cell r="D27">
            <v>3309587</v>
          </cell>
          <cell r="E27">
            <v>198</v>
          </cell>
          <cell r="F27">
            <v>202554</v>
          </cell>
          <cell r="G27">
            <v>258192</v>
          </cell>
          <cell r="H27" t="str">
            <v>2x3/7+1x5/7</v>
          </cell>
          <cell r="I27">
            <v>293140</v>
          </cell>
          <cell r="J27">
            <v>686268.4615384615</v>
          </cell>
          <cell r="K27">
            <v>3758353.4615384615</v>
          </cell>
        </row>
        <row r="28">
          <cell r="B28" t="str">
            <v>M106</v>
          </cell>
          <cell r="C28" t="str">
            <v>¤ t« 2.5T</v>
          </cell>
          <cell r="D28">
            <v>563173</v>
          </cell>
          <cell r="E28">
            <v>13</v>
          </cell>
          <cell r="F28">
            <v>197600</v>
          </cell>
          <cell r="G28">
            <v>277136.36363636359</v>
          </cell>
          <cell r="H28" t="str">
            <v>1x3/4 Lo¹i &lt; 3,5 TÊn</v>
          </cell>
          <cell r="I28">
            <v>96534</v>
          </cell>
          <cell r="J28">
            <v>241024.99999999997</v>
          </cell>
          <cell r="K28">
            <v>787200.36363636353</v>
          </cell>
        </row>
        <row r="29">
          <cell r="B29" t="str">
            <v>M374</v>
          </cell>
          <cell r="C29" t="str">
            <v>ThiÕt bÞ s¬n kÎ v¹ch YHK 10A</v>
          </cell>
          <cell r="D29">
            <v>182207</v>
          </cell>
          <cell r="H29" t="str">
            <v>1*4/7</v>
          </cell>
          <cell r="I29">
            <v>101487</v>
          </cell>
          <cell r="J29">
            <v>238020.38461538457</v>
          </cell>
          <cell r="K29">
            <v>318740.38461538457</v>
          </cell>
        </row>
        <row r="30">
          <cell r="B30" t="str">
            <v>M375</v>
          </cell>
          <cell r="C30" t="str">
            <v>Lß nÊu s¬n YHK 3A</v>
          </cell>
          <cell r="D30">
            <v>662822</v>
          </cell>
          <cell r="E30">
            <v>10.54</v>
          </cell>
          <cell r="F30">
            <v>142290</v>
          </cell>
          <cell r="G30">
            <v>209075.27272727271</v>
          </cell>
          <cell r="H30" t="str">
            <v>1*4/7</v>
          </cell>
          <cell r="I30">
            <v>101487</v>
          </cell>
          <cell r="J30">
            <v>238020.38461538457</v>
          </cell>
          <cell r="K30">
            <v>866140.65734265721</v>
          </cell>
        </row>
        <row r="31">
          <cell r="B31" t="str">
            <v>M37</v>
          </cell>
          <cell r="C31" t="str">
            <v xml:space="preserve">M¸y xóc lËt, dung tÝch 1.25m3 </v>
          </cell>
          <cell r="D31">
            <v>969292</v>
          </cell>
          <cell r="E31">
            <v>46.5</v>
          </cell>
          <cell r="F31">
            <v>627750</v>
          </cell>
          <cell r="G31">
            <v>922390.90909090906</v>
          </cell>
          <cell r="H31" t="str">
            <v>1x3/7+1x5/7</v>
          </cell>
          <cell r="I31">
            <v>205804</v>
          </cell>
          <cell r="J31">
            <v>436980.76923076925</v>
          </cell>
          <cell r="K31">
            <v>1495109.6783216784</v>
          </cell>
        </row>
        <row r="32">
          <cell r="B32" t="str">
            <v>M55</v>
          </cell>
          <cell r="C32" t="str">
            <v>M¸y ñi - c«ng suÊt 108CV</v>
          </cell>
          <cell r="D32">
            <v>1660454</v>
          </cell>
          <cell r="E32">
            <v>46.2</v>
          </cell>
          <cell r="F32">
            <v>623700</v>
          </cell>
          <cell r="G32">
            <v>916440</v>
          </cell>
          <cell r="H32" t="str">
            <v>1x3/7+1x5/7</v>
          </cell>
          <cell r="I32">
            <v>205804</v>
          </cell>
          <cell r="J32">
            <v>436980.76923076925</v>
          </cell>
          <cell r="K32">
            <v>2184370.769230769</v>
          </cell>
        </row>
        <row r="33">
          <cell r="B33" t="str">
            <v>M390</v>
          </cell>
          <cell r="C33" t="str">
            <v>M¸y b¬m n­íc 20KW</v>
          </cell>
          <cell r="D33">
            <v>193556</v>
          </cell>
          <cell r="E33">
            <v>48</v>
          </cell>
          <cell r="F33">
            <v>49104</v>
          </cell>
          <cell r="G33">
            <v>62592</v>
          </cell>
          <cell r="H33" t="str">
            <v>1x4/7</v>
          </cell>
          <cell r="I33">
            <v>101487</v>
          </cell>
          <cell r="J33">
            <v>238020.38461538457</v>
          </cell>
          <cell r="K33">
            <v>343577.38461538457</v>
          </cell>
        </row>
        <row r="34">
          <cell r="B34" t="str">
            <v>M286</v>
          </cell>
          <cell r="C34" t="str">
            <v>KÝch n©ng 250T</v>
          </cell>
          <cell r="D34">
            <v>151598</v>
          </cell>
          <cell r="H34" t="str">
            <v>1*4/7</v>
          </cell>
          <cell r="I34">
            <v>101487</v>
          </cell>
          <cell r="J34">
            <v>238020.38461538457</v>
          </cell>
          <cell r="K34">
            <v>288131.38461538457</v>
          </cell>
        </row>
        <row r="35">
          <cell r="B35" t="str">
            <v>M287</v>
          </cell>
          <cell r="C35" t="str">
            <v>KÝch n©ng 500T</v>
          </cell>
          <cell r="D35">
            <v>210251</v>
          </cell>
          <cell r="H35" t="str">
            <v>1*4/7</v>
          </cell>
          <cell r="I35">
            <v>101487</v>
          </cell>
          <cell r="J35">
            <v>238020.38461538457</v>
          </cell>
          <cell r="K35">
            <v>346784.38461538457</v>
          </cell>
        </row>
        <row r="36">
          <cell r="B36" t="str">
            <v>M277</v>
          </cell>
          <cell r="C36" t="str">
            <v>Pa l¨ng xÝch 3T</v>
          </cell>
          <cell r="D36">
            <v>96129</v>
          </cell>
          <cell r="H36" t="str">
            <v>1*3/7</v>
          </cell>
          <cell r="I36">
            <v>87336</v>
          </cell>
          <cell r="J36">
            <v>204218.46153846153</v>
          </cell>
          <cell r="K36">
            <v>213011.46153846153</v>
          </cell>
        </row>
        <row r="37">
          <cell r="B37" t="str">
            <v>M514</v>
          </cell>
          <cell r="C37" t="str">
            <v xml:space="preserve">M¸y c¾t c¸p </v>
          </cell>
          <cell r="D37">
            <v>164234</v>
          </cell>
          <cell r="E37">
            <v>12.6</v>
          </cell>
          <cell r="F37">
            <v>12889.8</v>
          </cell>
          <cell r="G37">
            <v>16430.399999999998</v>
          </cell>
          <cell r="H37" t="str">
            <v>1*3/7</v>
          </cell>
          <cell r="I37">
            <v>87336</v>
          </cell>
          <cell r="J37">
            <v>204218.46153846153</v>
          </cell>
          <cell r="K37">
            <v>284657.06153846154</v>
          </cell>
        </row>
        <row r="38">
          <cell r="B38" t="str">
            <v>M295</v>
          </cell>
          <cell r="C38" t="str">
            <v>M¸y luån c¸p 15KW</v>
          </cell>
          <cell r="D38">
            <v>203079</v>
          </cell>
          <cell r="E38">
            <v>27</v>
          </cell>
          <cell r="F38">
            <v>27621</v>
          </cell>
          <cell r="G38">
            <v>35208</v>
          </cell>
          <cell r="H38" t="str">
            <v>1*4/7</v>
          </cell>
          <cell r="I38">
            <v>101487</v>
          </cell>
          <cell r="J38">
            <v>238020.38461538457</v>
          </cell>
          <cell r="K38">
            <v>347199.38461538457</v>
          </cell>
        </row>
        <row r="39">
          <cell r="B39" t="str">
            <v>M330</v>
          </cell>
          <cell r="C39" t="str">
            <v>M¸y b¬m v÷a xi m¨ng 2.0m3/h</v>
          </cell>
          <cell r="D39">
            <v>270266</v>
          </cell>
          <cell r="E39">
            <v>12.6</v>
          </cell>
          <cell r="F39">
            <v>12889.8</v>
          </cell>
          <cell r="G39">
            <v>16430.399999999998</v>
          </cell>
          <cell r="H39" t="str">
            <v>1x4/7</v>
          </cell>
          <cell r="I39">
            <v>101487</v>
          </cell>
          <cell r="J39">
            <v>238020.38461538457</v>
          </cell>
          <cell r="K39">
            <v>410339.9846153846</v>
          </cell>
        </row>
        <row r="40">
          <cell r="B40" t="str">
            <v>M339</v>
          </cell>
          <cell r="C40" t="str">
            <v>M¸y phun vÈy 9m3/h</v>
          </cell>
          <cell r="D40">
            <v>2508749</v>
          </cell>
          <cell r="E40">
            <v>54</v>
          </cell>
          <cell r="F40">
            <v>55242</v>
          </cell>
          <cell r="G40">
            <v>70416</v>
          </cell>
          <cell r="H40" t="str">
            <v>2x3/7+1x4/7+1x6/7</v>
          </cell>
          <cell r="I40">
            <v>414084</v>
          </cell>
          <cell r="J40">
            <v>971611.53846153838</v>
          </cell>
          <cell r="K40">
            <v>3081450.5384615385</v>
          </cell>
        </row>
        <row r="41">
          <cell r="B41" t="str">
            <v>M337</v>
          </cell>
          <cell r="C41" t="str">
            <v>M¸y b¬m bª t«ng 40 - 60m3/h</v>
          </cell>
          <cell r="D41">
            <v>1778520</v>
          </cell>
          <cell r="E41">
            <v>180.68</v>
          </cell>
          <cell r="F41">
            <v>184835.64</v>
          </cell>
          <cell r="G41">
            <v>235606.72</v>
          </cell>
          <cell r="H41" t="str">
            <v xml:space="preserve">1x1/4 +1x3/4 Lo¹i  16.5 - 25 TÊn </v>
          </cell>
          <cell r="I41">
            <v>234105</v>
          </cell>
          <cell r="J41">
            <v>497073.07692307699</v>
          </cell>
          <cell r="K41">
            <v>2092259.1569230768</v>
          </cell>
        </row>
        <row r="42">
          <cell r="B42" t="str">
            <v>M428</v>
          </cell>
          <cell r="C42" t="str">
            <v>M¸y ph¸t ®iÖn 5.2 KW</v>
          </cell>
          <cell r="D42">
            <v>196084</v>
          </cell>
          <cell r="E42">
            <v>4.8600000000000003</v>
          </cell>
          <cell r="F42">
            <v>65610</v>
          </cell>
          <cell r="G42">
            <v>96404.727272727279</v>
          </cell>
          <cell r="H42" t="str">
            <v>1*3/7</v>
          </cell>
          <cell r="I42">
            <v>87336</v>
          </cell>
          <cell r="J42">
            <v>204218.46153846153</v>
          </cell>
          <cell r="K42">
            <v>343761.1888111888</v>
          </cell>
        </row>
        <row r="43">
          <cell r="B43" t="str">
            <v>M786</v>
          </cell>
          <cell r="C43" t="str">
            <v>M¸y dß cèt thÐp</v>
          </cell>
          <cell r="K43">
            <v>57915</v>
          </cell>
        </row>
        <row r="44">
          <cell r="B44" t="str">
            <v>M366</v>
          </cell>
          <cell r="C44" t="str">
            <v>Tr¹m trén BTN 60T/h</v>
          </cell>
          <cell r="D44">
            <v>10083659</v>
          </cell>
          <cell r="E44">
            <v>324</v>
          </cell>
          <cell r="F44">
            <v>331452</v>
          </cell>
          <cell r="G44">
            <v>422496</v>
          </cell>
          <cell r="H44" t="str">
            <v>5x3/7+5x4/7+4x5/7+1x6/7</v>
          </cell>
          <cell r="I44">
            <v>1555911</v>
          </cell>
          <cell r="J44">
            <v>3303646.153846154</v>
          </cell>
          <cell r="K44">
            <v>11922438.153846154</v>
          </cell>
        </row>
        <row r="45">
          <cell r="B45" t="str">
            <v>M38</v>
          </cell>
          <cell r="C45" t="str">
            <v xml:space="preserve">M¸y xóc lËt, dung tÝch 1.65m3 </v>
          </cell>
          <cell r="D45">
            <v>2416851</v>
          </cell>
          <cell r="E45">
            <v>75.239999999999995</v>
          </cell>
          <cell r="F45">
            <v>1015739.9999999999</v>
          </cell>
          <cell r="G45">
            <v>1492487.9999999998</v>
          </cell>
          <cell r="H45" t="str">
            <v>1x3/7+1x5/7</v>
          </cell>
          <cell r="I45">
            <v>205804</v>
          </cell>
          <cell r="J45">
            <v>436980.76923076925</v>
          </cell>
          <cell r="K45">
            <v>3124775.769230769</v>
          </cell>
        </row>
        <row r="46">
          <cell r="B46" t="str">
            <v>M377</v>
          </cell>
          <cell r="C46" t="str">
            <v>Nåi nÊu nhùa</v>
          </cell>
          <cell r="D46">
            <v>191979</v>
          </cell>
          <cell r="H46" t="str">
            <v>1*4/7</v>
          </cell>
          <cell r="I46">
            <v>101487</v>
          </cell>
          <cell r="J46">
            <v>215485.76923076922</v>
          </cell>
          <cell r="K46">
            <v>305977.76923076925</v>
          </cell>
        </row>
        <row r="47">
          <cell r="B47" t="str">
            <v>M368</v>
          </cell>
          <cell r="C47" t="str">
            <v>M¸y phun nhùa ®­êng 190CV</v>
          </cell>
          <cell r="D47">
            <v>2713146</v>
          </cell>
          <cell r="E47">
            <v>57</v>
          </cell>
          <cell r="F47">
            <v>769500</v>
          </cell>
          <cell r="G47">
            <v>1130672.7272727273</v>
          </cell>
          <cell r="H47" t="str">
            <v xml:space="preserve">1x1/4 +1x3/4 Lo¹i  7,5 -16,5 TÊn </v>
          </cell>
          <cell r="I47">
            <v>221723</v>
          </cell>
          <cell r="J47">
            <v>470782.69230769225</v>
          </cell>
          <cell r="K47">
            <v>3323378.4195804195</v>
          </cell>
        </row>
        <row r="48">
          <cell r="B48" t="str">
            <v>M99</v>
          </cell>
          <cell r="C48" t="str">
            <v>M¸y lu 10T</v>
          </cell>
          <cell r="D48">
            <v>926759</v>
          </cell>
          <cell r="E48">
            <v>26.4</v>
          </cell>
          <cell r="F48">
            <v>356400</v>
          </cell>
          <cell r="G48">
            <v>523679.99999999994</v>
          </cell>
          <cell r="H48" t="str">
            <v>1x4/7</v>
          </cell>
          <cell r="I48">
            <v>101487</v>
          </cell>
          <cell r="J48">
            <v>215485.76923076922</v>
          </cell>
          <cell r="K48">
            <v>1208037.7692307692</v>
          </cell>
        </row>
        <row r="49">
          <cell r="B49" t="str">
            <v>M453</v>
          </cell>
          <cell r="C49" t="str">
            <v>M¸y nÐn khÝ Diezen 120m3/h</v>
          </cell>
          <cell r="D49">
            <v>372736</v>
          </cell>
          <cell r="E49">
            <v>13.2</v>
          </cell>
          <cell r="F49">
            <v>178200</v>
          </cell>
          <cell r="G49">
            <v>261839.99999999997</v>
          </cell>
          <cell r="H49" t="str">
            <v>1x4/7</v>
          </cell>
          <cell r="I49">
            <v>101487</v>
          </cell>
          <cell r="J49">
            <v>238020.38461538457</v>
          </cell>
          <cell r="K49">
            <v>592909.38461538451</v>
          </cell>
        </row>
        <row r="51">
          <cell r="C51" t="str">
            <v>Gi¸ nhiªn liÖu: Gi¸ hiÖn t¹i t¹i thêi ®iÓm ngµy 15 th¸ng 03 n¨m 2012</v>
          </cell>
        </row>
        <row r="52">
          <cell r="C52" t="str">
            <v xml:space="preserve">Gi¸ x¨ng (®/lÝt) </v>
          </cell>
          <cell r="E52">
            <v>21318.181818181816</v>
          </cell>
          <cell r="F52" t="str">
            <v>( tr­íc thuÕ )</v>
          </cell>
        </row>
        <row r="53">
          <cell r="C53" t="str">
            <v xml:space="preserve">Gi¸ dÇu diezen (®/lÝt) </v>
          </cell>
          <cell r="E53">
            <v>19836.363636363636</v>
          </cell>
          <cell r="F53" t="str">
            <v>( tr­íc thuÕ )</v>
          </cell>
        </row>
        <row r="54">
          <cell r="C54" t="str">
            <v xml:space="preserve">Gi¸ dÇu mazut (®/lÝt) </v>
          </cell>
          <cell r="E54">
            <v>17118.181818181816</v>
          </cell>
          <cell r="F54" t="str">
            <v>( tr­íc thuÕ )</v>
          </cell>
        </row>
        <row r="55">
          <cell r="C55" t="str">
            <v xml:space="preserve">Gi¸ ®iÖn (®/KWh) </v>
          </cell>
          <cell r="E55">
            <v>1304</v>
          </cell>
          <cell r="F55" t="str">
            <v>( tr­íc thuÕ )</v>
          </cell>
        </row>
        <row r="56">
          <cell r="C56" t="str">
            <v>Gi¸ nhiªn liÖu: Theo b¶ng gi¸ ca m¸y tØnh Kh¸nh Hßa theo Q§ sè 12/Q§-UBND ngµy 05/01/2011 cña UBND TØnh Kh¸nh Hßa</v>
          </cell>
        </row>
        <row r="57">
          <cell r="C57" t="str">
            <v xml:space="preserve">Gi¸ x¨ng (®/lÝt) </v>
          </cell>
          <cell r="E57">
            <v>15200</v>
          </cell>
          <cell r="F57" t="str">
            <v>( tr­íc thuÕ )</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gct"/>
      <sheetName val="dtct"/>
      <sheetName val="gvl"/>
      <sheetName val="Sheet10"/>
      <sheetName val="Sheet11"/>
      <sheetName val="Sheet12"/>
      <sheetName val="Sheet13"/>
      <sheetName val="Sheet14"/>
      <sheetName val="Sheet15"/>
      <sheetName val="Sheet16"/>
      <sheetName val="glv"/>
      <sheetName val="Sheet2"/>
      <sheetName val="Sheet3"/>
      <sheetName val="DT"/>
      <sheetName val="Vua"/>
      <sheetName val="gvt"/>
      <sheetName val="00000000"/>
      <sheetName val="XL4Poppy"/>
      <sheetName val="Dinh muc du toan"/>
      <sheetName val="Config"/>
      <sheetName val="AutoClose"/>
      <sheetName val="TTVanChuyen"/>
      <sheetName val="Congty"/>
      <sheetName val="VPPN"/>
      <sheetName val="XN74"/>
      <sheetName val="XN54"/>
      <sheetName val="XN33"/>
      <sheetName val="NK96"/>
      <sheetName val="XL4Test5"/>
      <sheetName val="Sheet1"/>
      <sheetName val="Sheet4"/>
      <sheetName val="Sheet5"/>
      <sheetName val="TSCD DUNG CHUNG "/>
      <sheetName val="KHKHAUHAOTSCHUNG"/>
      <sheetName val="TSCDTOAN NHA MAY"/>
      <sheetName val="CPSXTOAN BO SP"/>
      <sheetName val="PBCPCHUNG CHO CAC DTUONG"/>
      <sheetName val="VLieu"/>
      <sheetName val="CT"/>
      <sheetName val="DToan"/>
      <sheetName val="TH"/>
      <sheetName val="Tong hop"/>
      <sheetName val="Cuoc V.chuyen"/>
      <sheetName val="Sheet7"/>
      <sheetName val="Sheet8"/>
      <sheetName val="Sheet9"/>
      <sheetName val="TH An ca"/>
      <sheetName val="XN SL An ca"/>
      <sheetName val="Dang ky an ca"/>
      <sheetName val="Dang ky an ca T2"/>
      <sheetName val="total"/>
      <sheetName val="(viet)"/>
      <sheetName val="dictionary"/>
      <sheetName val="New(eng)"/>
      <sheetName val="RFI(eng)SW-sun"/>
      <sheetName val="RFI(eng)HVP-sun"/>
      <sheetName val="RFI(eng)SW"/>
      <sheetName val="RFI(eng)SW (2)"/>
      <sheetName val="RFI(eng)HVP"/>
      <sheetName val="RFI(eng)Lab."/>
      <sheetName val="RFI -add"/>
      <sheetName val="C47-456"/>
      <sheetName val="C46"/>
      <sheetName val="C47-PII"/>
      <sheetName val="vatlieu"/>
      <sheetName val="vattu"/>
      <sheetName val="CHITIET"/>
      <sheetName val="DONGIA"/>
      <sheetName val="DT02"/>
      <sheetName val="DTgoi1"/>
      <sheetName val="DTgoi2"/>
      <sheetName val="DTgoi3"/>
      <sheetName val="DTgoi4"/>
      <sheetName val="DTgoi5"/>
      <sheetName val="DTgoi6"/>
      <sheetName val="Tong hop goi thau"/>
      <sheetName val="DT-tn"/>
      <sheetName val="TH02"/>
      <sheetName val="THgoi1"/>
      <sheetName val="THgoi2"/>
      <sheetName val="THgoi3"/>
      <sheetName val="KLgoi11"/>
      <sheetName val="THgoi4"/>
      <sheetName val="THgoi5"/>
      <sheetName val="THgoi6"/>
      <sheetName val="chitiet02"/>
      <sheetName val="THKL1"/>
      <sheetName val="chitiet1"/>
      <sheetName val="TH-KL"/>
      <sheetName val="kl-chitiet"/>
      <sheetName val="1"/>
      <sheetName val="NC"/>
      <sheetName val="M"/>
      <sheetName val="TSo"/>
      <sheetName val="PC"/>
      <sheetName val="KL"/>
      <sheetName val="VC"/>
      <sheetName val="DGduong"/>
      <sheetName val="Thu"/>
      <sheetName val="XXXXXXXX"/>
      <sheetName val="bg+th45"/>
      <sheetName val="4-5"/>
      <sheetName val="bg+th34"/>
      <sheetName val="3-4"/>
      <sheetName val="bg+th23"/>
      <sheetName val="2-3"/>
      <sheetName val="bg+th12"/>
      <sheetName val="1-2"/>
      <sheetName val="bg+th"/>
      <sheetName val="ptvl"/>
      <sheetName val="0-1"/>
      <sheetName val="T2"/>
      <sheetName val="T3"/>
      <sheetName val="T4"/>
      <sheetName val="T5"/>
      <sheetName val="THop"/>
      <sheetName val="THKD"/>
      <sheetName val="10000000"/>
      <sheetName val="20000000"/>
      <sheetName val="30000000"/>
      <sheetName val="40000000"/>
      <sheetName val="50000000"/>
      <sheetName val="60000000"/>
      <sheetName val="Sheet6"/>
      <sheetName val="Tinh Qmax (Xoko)"/>
      <sheetName val="Hinh thai"/>
      <sheetName val="Khau do Kasin"/>
      <sheetName val="Khau do cau nho"/>
      <sheetName val="Tinh Qmax"/>
      <sheetName val="H2%"/>
      <sheetName val="H~Q~V"/>
      <sheetName val="Tra K"/>
      <sheetName val="b_ tra"/>
      <sheetName val="DTduong"/>
      <sheetName val="Nhahat"/>
      <sheetName val="DGXDCB_DD"/>
      <sheetName val="10.1.20"/>
      <sheetName val="10.2.20"/>
      <sheetName val="11.7.30"/>
      <sheetName val="Nhan cong KS"/>
      <sheetName val="01.2.20"/>
      <sheetName val="01.2.30"/>
      <sheetName val="08.6.00"/>
      <sheetName val="12.1.30"/>
      <sheetName val="12.1.70"/>
      <sheetName val="12.1.50"/>
      <sheetName val="17.1.30"/>
      <sheetName val="17.1.20"/>
      <sheetName val="07.3.10"/>
      <sheetName val="03.1.00"/>
      <sheetName val="09.3.00"/>
      <sheetName val="tra-vat-lieu"/>
      <sheetName val="phan tich DG"/>
      <sheetName val="gia vat lieu"/>
      <sheetName val="gia xe may"/>
      <sheetName val="gia nhan cong"/>
      <sheetName val="XL4Uest5"/>
      <sheetName val="DT-THL7"/>
      <sheetName val="chiet tinh"/>
      <sheetName val="Lç khoan LK1"/>
      <sheetName val="dgth"/>
      <sheetName val="thkl"/>
      <sheetName val="thkl (2)"/>
      <sheetName val="LK2"/>
      <sheetName val="He so"/>
      <sheetName val="PL Vua"/>
      <sheetName val="DPD"/>
      <sheetName val="dgmo-tru"/>
      <sheetName val="dgdam"/>
      <sheetName val="Dam-Mo-Tru"/>
      <sheetName val="GTXLc"/>
      <sheetName val="CPXLk"/>
      <sheetName val="KPTH"/>
      <sheetName val="Bang KL ket cau"/>
      <sheetName val="dam"/>
      <sheetName val="Mocantho"/>
      <sheetName val="MoQL91"/>
      <sheetName val="tru"/>
      <sheetName val="dg"/>
      <sheetName val="10mduongsaumo"/>
      <sheetName val="ctt"/>
      <sheetName val="thanmkhao"/>
      <sheetName val="monho"/>
      <sheetName val="ktduong"/>
      <sheetName val="vl"/>
      <sheetName val="cu"/>
      <sheetName val="KTcau2004"/>
      <sheetName val="KT2004XL#moi"/>
      <sheetName val="denbu"/>
      <sheetName val="Bcaonhanh"/>
      <sheetName val="Tonghop"/>
      <sheetName val="chitieth.chinh"/>
      <sheetName val="trinhEVN29.8"/>
      <sheetName val="hieuchinh30.11"/>
      <sheetName val="KLCT"/>
      <sheetName val="PBCPCHUNG CHO CAC ETUONG"/>
      <sheetName val="S`eet12"/>
      <sheetName val="Ky thu , Ky tho"/>
      <sheetName val="ThCtiet Hanh Lang  KG, KT, KP"/>
      <sheetName val="TH Hanh Lang  KG, KT, KP "/>
      <sheetName val="ThCtiet lap dung cot KG,KT, KP"/>
      <sheetName val="TH Ky Anh"/>
      <sheetName val="Th Ct iet KL,KH,KT,Kvan"/>
      <sheetName val=" THop  KL,KH,KT,Kvan "/>
      <sheetName val=" THop  KL,KH,KT,Kvan  (2)"/>
      <sheetName val="Lap dung cot, san bai"/>
      <sheetName val="00000001"/>
      <sheetName val="00000002"/>
      <sheetName val="Thdien"/>
      <sheetName val="DTdien"/>
      <sheetName val="TH VL, NC, DDHT Thanhphuoc"/>
      <sheetName val="TH-XL"/>
      <sheetName val="THCT"/>
      <sheetName val="THDZ0,4"/>
      <sheetName val="TH DZ35"/>
      <sheetName val="THTram"/>
      <sheetName val="SILICATE"/>
      <sheetName val="Gia"/>
      <sheetName val="IBASE"/>
      <sheetName val="TT35"/>
      <sheetName val="DG "/>
      <sheetName val="TNHCHINH"/>
      <sheetName val="_x0001__x0008_䂀_x0004_"/>
      <sheetName val="QTQLXNCBG07"/>
      <sheetName val="ÑMCPB"/>
      <sheetName val="DADTBD"/>
      <sheetName val="DUANDTUNMCSU"/>
      <sheetName val="THKK31032007"/>
      <sheetName val="PAQTXNCBG2007"/>
      <sheetName val="KHNLIEÄU 0906"/>
      <sheetName val="BAOCAOTHANG2006"/>
      <sheetName val="baobi06"/>
      <sheetName val="THÑHPETITUC06"/>
      <sheetName val="TTCHIPHI"/>
      <sheetName val="CÑSXEHMIKE06"/>
      <sheetName val="KH06"/>
      <sheetName val="triniti2"/>
      <sheetName val="KHTHTRINÍTPOON"/>
      <sheetName val="THDHMIKE06"/>
      <sheetName val="THDHY06"/>
      <sheetName val="cdcontainer"/>
      <sheetName val="ÑCHHCMHOA"/>
      <sheetName val="QCCDGOÕ06"/>
      <sheetName val="KHSX1006"/>
      <sheetName val="CDXEGO06"/>
      <sheetName val="CDGOÕ06"/>
      <sheetName val="DMSOÛNTANGGAZE"/>
      <sheetName val="CDPHOILAPRAPS"/>
      <sheetName val="QCXDGOSX07"/>
      <sheetName val="GTXK06"/>
      <sheetName val="BANG GIA GO MUØA0607"/>
      <sheetName val="GTVILADUCLONG"/>
      <sheetName val="GTDuanCAOSU"/>
      <sheetName val="GT2006M"/>
      <sheetName val="KHHCDUBAI"/>
      <sheetName val="TTND2006"/>
      <sheetName val="BANGGIANOITHAT1006"/>
      <sheetName val="HDKT06"/>
      <sheetName val="VATTUSX06"/>
      <sheetName val="BBNTHU"/>
      <sheetName val="BGND06"/>
      <sheetName val="Chart1"/>
      <sheetName val="bgxk06"/>
      <sheetName val="klmchitiet"/>
      <sheetName val="RFI(eng)SW_(2)"/>
      <sheetName val="RFI(eng)Lab_"/>
      <sheetName val="RFI_-add"/>
      <sheetName val="Dinh_muc_du_toan"/>
      <sheetName val="TSCD_DUNG_CHUNG_"/>
      <sheetName val="TSCDTOAN_NHA_MAY"/>
      <sheetName val="CPSXTOAN_BO_SP"/>
      <sheetName val="PBCPCHUNG_CHO_CAC_DTUONG"/>
      <sheetName val="Tong_hop"/>
      <sheetName val="Cuoc_V_chuyen"/>
      <sheetName val="TH_An_ca"/>
      <sheetName val="XN_SL_An_ca"/>
      <sheetName val="Dang_ky_an_ca"/>
      <sheetName val="Dang_ky_an_ca_T2"/>
      <sheetName val="Tong_hop_goi_thau"/>
      <sheetName val="Ky_thu_,_Ky_tho"/>
      <sheetName val="ThCtiet_Hanh_Lang__KG,_KT,_KP"/>
      <sheetName val="TH_Hanh_Lang__KG,_KT,_KP_"/>
      <sheetName val="ThCtiet_lap_dung_cot_KG,KT,_KP"/>
      <sheetName val="TH_Ky_Anh"/>
      <sheetName val="Th_Ct_iet_KL,KH,KT,Kvan"/>
      <sheetName val="_THop__KL,KH,KT,Kvan_"/>
      <sheetName val="_THop__KL,KH,KT,Kvan__(2)"/>
      <sheetName val="Lap_dung_cot,_san_bai"/>
      <sheetName val="RFI(eng)SW_(2)1"/>
      <sheetName val="RFI(eng)Lab_1"/>
      <sheetName val="RFI_-add1"/>
      <sheetName val="Dinh_muc_du_toan1"/>
      <sheetName val="TSCD_DUNG_CHUNG_1"/>
      <sheetName val="TSCDTOAN_NHA_MAY1"/>
      <sheetName val="CPSXTOAN_BO_SP1"/>
      <sheetName val="PBCPCHUNG_CHO_CAC_DTUONG1"/>
      <sheetName val="Tong_hop1"/>
      <sheetName val="Cuoc_V_chuyen1"/>
      <sheetName val="TH_An_ca1"/>
      <sheetName val="XN_SL_An_ca1"/>
      <sheetName val="Dang_ky_an_ca1"/>
      <sheetName val="Dang_ky_an_ca_T21"/>
      <sheetName val="Tong_hop_goi_thau1"/>
      <sheetName val="Ky_thu_,_Ky_tho1"/>
      <sheetName val="ThCtiet_Hanh_Lang__KG,_KT,_KP1"/>
      <sheetName val="TH_Hanh_Lang__KG,_KT,_KP_1"/>
      <sheetName val="ThCtiet_lap_dung_cot_KG,KT,_KP1"/>
      <sheetName val="TH_Ky_Anh1"/>
      <sheetName val="Th_Ct_iet_KL,KH,KT,Kvan1"/>
      <sheetName val="_THop__KL,KH,KT,Kvan_1"/>
      <sheetName val="_THop__KL,KH,KT,Kvan__(2)1"/>
      <sheetName val="Lap_dung_cot,_san_bai1"/>
      <sheetName val="기둥"/>
      <sheetName val="저판(버림100)"/>
      <sheetName val="thuyet minh"/>
      <sheetName val="BKKLHT"/>
      <sheetName val="gia cong"/>
      <sheetName val="KHAI BAO"/>
      <sheetName val="DU TOAN"/>
      <sheetName val="THKP"/>
      <sheetName val="MR"/>
      <sheetName val="CVC"/>
      <sheetName val="BIA"/>
      <sheetName val="QT"/>
      <sheetName val="THQT"/>
      <sheetName val="BIA QT"/>
      <sheetName val="CTRUNGC"/>
      <sheetName val="Du_lieu"/>
      <sheetName val="THDK03"/>
      <sheetName val="thuchien"/>
      <sheetName val="KH chung"/>
      <sheetName val="AVuong"/>
      <sheetName val="CBDT03"/>
      <sheetName val="dauthau"/>
      <sheetName val="CBDT"/>
      <sheetName val="DK04"/>
      <sheetName val="TSCD DUNE CHUNG "/>
      <sheetName val="KHKHAUHAOTSCHUNE"/>
      <sheetName val="Dinh_x0000_mub du poan"/>
      <sheetName val="AutgClose"/>
      <sheetName val="tatlieu"/>
      <sheetName val="CHIT ET"/>
      <sheetName val="_x0014_Hgoi2"/>
      <sheetName val="THgoi_x0013_"/>
      <sheetName val="RBI(eng)SW"/>
      <sheetName val="VLiau"/>
      <sheetName val="Dinh"/>
      <sheetName val="Thang 2"/>
      <sheetName val="Tháng 3"/>
      <sheetName val="Tháng 4"/>
      <sheetName val="Tháng 5"/>
      <sheetName val="Tháng 6"/>
      <sheetName val="BC 6 nhanh"/>
      <sheetName val="uoc 2002"/>
      <sheetName val="thang 7"/>
      <sheetName val="thang 8"/>
      <sheetName val="thang 9"/>
      <sheetName val="Thang 10"/>
      <sheetName val="Thang 11"/>
      <sheetName val="t6"/>
      <sheetName val="t7"/>
      <sheetName val="t8"/>
      <sheetName val="t9"/>
      <sheetName val="t10"/>
      <sheetName val="t11"/>
      <sheetName val="t12"/>
      <sheetName val="S02-TTN"/>
      <sheetName val="T.pho"/>
      <sheetName val="P.Hoa"/>
      <sheetName val="T.An"/>
      <sheetName val="D.Hoa"/>
      <sheetName val="T.Hoa"/>
      <sheetName val="S.hoa"/>
      <sheetName val="S.Hinh"/>
      <sheetName val="D.Xuan"/>
      <sheetName val="S.Cau"/>
      <sheetName val="U.P_Breakdown"/>
      <sheetName val="Data"/>
      <sheetName val="Khoi luong TBA"/>
      <sheetName val="Khoi luong"/>
      <sheetName val="Chung"/>
      <sheetName val="TH tong du toan"/>
      <sheetName val="TH Chi phi XD"/>
      <sheetName val="TH chi phi T. Bi"/>
      <sheetName val="TH Thi nghiem"/>
      <sheetName val="TH Lap TB TBA"/>
      <sheetName val="Dz0,4kV"/>
      <sheetName val="VL,NC,MTC-DZ"/>
      <sheetName val="CHIET TINH 35KV (chuan)"/>
      <sheetName val="C Tinh 1m3 BT"/>
      <sheetName val="GiaVL Q4-2008"/>
      <sheetName val="Dao dat1"/>
      <sheetName val="Thep t9-2008"/>
      <sheetName val="TONG KE 35kV"/>
      <sheetName val="VL,NC-TBA"/>
      <sheetName val="Chiet tinh TBA"/>
      <sheetName val="Thi nghiem"/>
      <sheetName val="Thu hoi"/>
      <sheetName val="KS"/>
      <sheetName val="Tu TK"/>
      <sheetName val="Tu QT"/>
      <sheetName val="Thep ma kem-DT"/>
      <sheetName val="Thep ma kem"/>
      <sheetName val="DSKH HN"/>
      <sheetName val="NKY "/>
      <sheetName val="DS-TT"/>
      <sheetName val=" HN NHAP"/>
      <sheetName val="KHO HN"/>
      <sheetName val="CNO "/>
      <sheetName val="10_1_20"/>
      <sheetName val="10_2_20"/>
      <sheetName val="11_7_30"/>
      <sheetName val="Nhan_cong_KS"/>
      <sheetName val="01_2_20"/>
      <sheetName val="01_2_30"/>
      <sheetName val="08_6_00"/>
      <sheetName val="12_1_30"/>
      <sheetName val="12_1_70"/>
      <sheetName val="12_1_50"/>
      <sheetName val="17_1_30"/>
      <sheetName val="17_1_20"/>
      <sheetName val="07_3_10"/>
      <sheetName val="03_1_00"/>
      <sheetName val="09_3_00"/>
      <sheetName val="TH_DZ35"/>
      <sheetName val="TH_VL,_NC,_DDHT_Thanhphuoc"/>
      <sheetName val="dongia (2)"/>
      <sheetName val="Chiet tinh dz35"/>
      <sheetName val="CHITIET VL-NC-TT -1p"/>
      <sheetName val="TONGKE3p "/>
      <sheetName val="TDTKP"/>
      <sheetName val="chitimc"/>
      <sheetName val="PLoaiNS"/>
      <sheetName val="LuongNS"/>
      <sheetName val="BLuong"/>
      <sheetName val="TONG HOP VL-NC TT"/>
      <sheetName val="Thongso"/>
      <sheetName val="DGXDCB"/>
      <sheetName val="Blad1"/>
      <sheetName val="MTO REV.2(ARMOR)"/>
      <sheetName val="TSO_CHUNG"/>
      <sheetName val="kl-hoga"/>
      <sheetName val="tra Ap"/>
      <sheetName val="so lieu bang tra"/>
      <sheetName val="tam"/>
      <sheetName val="tra h~v"/>
      <sheetName val="tinh toan"/>
      <sheetName val="kluong"/>
      <sheetName val="Don gia XD"/>
      <sheetName val="Ts (2)"/>
      <sheetName val="NhanCong"/>
      <sheetName val="LC"/>
      <sheetName val="Giai trinh"/>
      <sheetName val="DGchitiet "/>
      <sheetName val="PSIII"/>
      <sheetName val="PSIV"/>
      <sheetName val="TC"/>
      <sheetName val="PTNenduong"/>
      <sheetName val="PTMatduong"/>
      <sheetName val="PTAntoan"/>
      <sheetName val="Gia vua"/>
      <sheetName val="PTGiaco"/>
      <sheetName val="PTChieusang"/>
      <sheetName val="TNuoc"/>
      <sheetName val="CI"/>
      <sheetName val="CII"/>
      <sheetName val="Ctrong"/>
      <sheetName val="CT-500"/>
      <sheetName val="THANG1_2004"/>
      <sheetName val="QBINH"/>
      <sheetName val="QTRI"/>
      <sheetName val="HUE"/>
      <sheetName val="DNANG"/>
      <sheetName val="QNAM"/>
      <sheetName val="QNGAI"/>
      <sheetName val="BDINH"/>
      <sheetName val="PYEN"/>
      <sheetName val="KHOA"/>
      <sheetName val="GLAI"/>
      <sheetName val="KTUM"/>
      <sheetName val="DLAK"/>
      <sheetName val="CQUAN"/>
      <sheetName val="TND"/>
      <sheetName val="TKD"/>
      <sheetName val="NTHON"/>
      <sheetName val="MTINH"/>
      <sheetName val="CODIEN"/>
      <sheetName val="VTU"/>
      <sheetName val="LUOI"/>
      <sheetName val="VUANHO"/>
      <sheetName val="VIEN"/>
      <sheetName val="KSAN"/>
      <sheetName val="Thang2_2004"/>
      <sheetName val="chieu day"/>
      <sheetName val="Ref"/>
      <sheetName val="Phuong an"/>
      <sheetName val="Phuong an NS"/>
      <sheetName val="Tong hop NS"/>
      <sheetName val="TN"/>
      <sheetName val="Chiet tinh 0,4KV"/>
      <sheetName val="PNT-QUOT-#3"/>
      <sheetName val="COAT&amp;WRAP-QIOT-#3"/>
      <sheetName val="CUOC"/>
      <sheetName val="PA_coso"/>
      <sheetName val="PA_von"/>
      <sheetName val="PA_nhucau"/>
      <sheetName val="PA_TH"/>
      <sheetName val="THDT"/>
      <sheetName val="XL35"/>
      <sheetName val="DZ-35"/>
      <sheetName val="TN_35"/>
      <sheetName val="CT-DZ"/>
      <sheetName val="TH_BA"/>
      <sheetName val="TBA"/>
      <sheetName val="TNT"/>
      <sheetName val="CT_TBA"/>
      <sheetName val="KB"/>
      <sheetName val="CT_BT"/>
      <sheetName val="BT"/>
      <sheetName val="CP_BT"/>
      <sheetName val="DB"/>
      <sheetName val="Don gia"/>
      <sheetName val="TDT"/>
      <sheetName val="THXL"/>
      <sheetName val="KSDH"/>
      <sheetName val="Q-Htran"/>
      <sheetName val="Q-Hha"/>
      <sheetName val="h,,~Hh"/>
      <sheetName val="Hbe"/>
      <sheetName val="MTL$-INTER"/>
      <sheetName val="ct luong "/>
      <sheetName val="Nhap 6T"/>
      <sheetName val="baocaochinh(qui1.05) (DC)"/>
      <sheetName val="Ctuluongq.1.05"/>
      <sheetName val="BANG PHAN BO qui1.05(DC)"/>
      <sheetName val="BANG PHAN BO quiII.05"/>
      <sheetName val="bao cac cinh Qui II-2005"/>
      <sheetName val="th_chi"/>
      <sheetName val="Tnng hop goi thau"/>
      <sheetName val="BUTTOANDC"/>
      <sheetName val="TB"/>
      <sheetName val="M150-2005"/>
      <sheetName val="M200-2005"/>
      <sheetName val="M250-2005"/>
      <sheetName val="M 300-2005"/>
      <sheetName val="Mua sach"/>
      <sheetName val="TIEN DIEN"/>
      <sheetName val="Bao hiem"/>
      <sheetName val="VPP"/>
      <sheetName val="Muc - thanh quang"/>
      <sheetName val="Quang cao"/>
      <sheetName val="Nuoc"/>
      <sheetName val="D thoai"/>
      <sheetName val="Dat com"/>
      <sheetName val="May photo"/>
      <sheetName val="KH-Q1,Q2,01"/>
      <sheetName val="Parem"/>
      <sheetName val="SanLuong"/>
      <sheetName val="CongSuat "/>
      <sheetName val="dk"/>
      <sheetName val="cr"/>
      <sheetName val="nh"/>
      <sheetName val="vn"/>
      <sheetName val="vh"/>
      <sheetName val="nt"/>
      <sheetName val="kv"/>
      <sheetName val="cd"/>
      <sheetName val="VHAT"/>
      <sheetName val="NSCL"/>
      <sheetName val="TTG"/>
      <sheetName val="Diesel"/>
      <sheetName val="SC Nguon"/>
      <sheetName val="TaiNan"/>
      <sheetName val="moiNT"/>
      <sheetName val="quatai"/>
      <sheetName val="kiennghi"/>
      <sheetName val="70000000"/>
      <sheetName val="80000000"/>
      <sheetName val="90000000"/>
      <sheetName val="a0000000"/>
      <sheetName val="b0000000"/>
      <sheetName val="c0000000"/>
      <sheetName val="d0000000"/>
      <sheetName val="e0000000"/>
      <sheetName val="f0000000"/>
      <sheetName val="g0000000"/>
      <sheetName val="h0000000"/>
      <sheetName val="i0000000"/>
      <sheetName val="j0000000"/>
      <sheetName val="k0000000"/>
      <sheetName val="l0000000"/>
      <sheetName val="m0000000"/>
      <sheetName val="Cach tinh TG CL"/>
      <sheetName val="TG BC PA1"/>
      <sheetName val="HC+QL P2"/>
      <sheetName val="Day them gio"/>
      <sheetName val="Phu dao-Bd"/>
      <sheetName val="TH thua gio CL"/>
      <sheetName val="Thuc nhan thua gio CL"/>
      <sheetName val="Tru tiet Lao Dong"/>
      <sheetName val="Day Ban cong"/>
      <sheetName val="Tong hop BC"/>
      <sheetName val="Tong hop chung"/>
      <sheetName val="Phu dao-LThi"/>
      <sheetName val="Quan ly-PVu"/>
      <sheetName val="QLquy PD-LT "/>
      <sheetName val="Tong hop PD-LT"/>
      <sheetName val="Cau Thep"/>
      <sheetName val="TONG HOP VL-NC"/>
      <sheetName val="LKVL-CK-HT-GD1"/>
      <sheetName val="CHITIET VL-NC"/>
      <sheetName val="Tiepdia"/>
      <sheetName val="VCV-BE-TONG"/>
      <sheetName val="Shaet11"/>
      <sheetName val="BangkeNX"/>
      <sheetName val="SoTHVT"/>
      <sheetName val="NewPOS"/>
      <sheetName val="CHIT_x0009_ET"/>
      <sheetName val="DTXL"/>
      <sheetName val="Le"/>
      <sheetName val="C1"/>
      <sheetName val="Sheet02"/>
      <sheetName val="mat"/>
      <sheetName val="MTO REV.0"/>
      <sheetName val="Dinh?mub du poan"/>
      <sheetName val="CN Khu"/>
      <sheetName val="Kinh nghiem"/>
      <sheetName val="Tai Chinh"/>
      <sheetName val="Lien danh"/>
      <sheetName val="Muc luc"/>
      <sheetName val="DKien"/>
      <sheetName val="HD dang tien hanh"/>
      <sheetName val="Doanh thu"/>
      <sheetName val="DG CAU"/>
      <sheetName val="ctdg"/>
      <sheetName val="Thuc thanh"/>
      <sheetName val="solieu"/>
      <sheetName val="PLV"/>
      <sheetName val="DTCTtaluy"/>
      <sheetName val="KLDGTT&lt;120%"/>
      <sheetName val="PL2"/>
      <sheetName val="DTnen"/>
      <sheetName val="PL"/>
      <sheetName val="THKL nghiemthu"/>
      <sheetName val="DTCTtaluy (2)"/>
      <sheetName val="KLDGTT&lt;120% (2)"/>
      <sheetName val="TH (2)"/>
      <sheetName val="XXXXXXX0"/>
      <sheetName val="XXXXXXX1"/>
      <sheetName val="Kiem-Toan"/>
      <sheetName val="UNIT"/>
      <sheetName val="Piers of Main Flyover (1)"/>
      <sheetName val="Cot Tru1"/>
      <sheetName val="P3-TanAn-Factored"/>
      <sheetName val="P4-TanAn-Factored"/>
      <sheetName val="COC KHOAN M1"/>
      <sheetName val="COC KHOAN M2"/>
      <sheetName val="COC KHOAN T1"/>
      <sheetName val="COC KHOAN T5"/>
      <sheetName val="COC KHOAN T4"/>
      <sheetName val="COC DONG"/>
      <sheetName val="BANG"/>
      <sheetName val="Dulieu2"/>
      <sheetName val="Conghop"/>
      <sheetName val="Set"/>
      <sheetName val="Cat"/>
      <sheetName val="Tai trong"/>
      <sheetName val="Tinh toan noi luc"/>
      <sheetName val="To hop NL"/>
      <sheetName val="Be coc va tuong mo"/>
      <sheetName val="Bang tra"/>
      <sheetName val="3.1.1"/>
      <sheetName val="3.1.4"/>
      <sheetName val="2.5.1"/>
      <sheetName val="4.1.1"/>
      <sheetName val="4.3.2"/>
      <sheetName val="2.3.3"/>
      <sheetName val="5.3.1"/>
      <sheetName val="2.4.3"/>
      <sheetName val="th dt dz&amp;tba shoa"/>
      <sheetName val="TN NEW"/>
      <sheetName val="285"/>
      <sheetName val="phangoithau"/>
      <sheetName val="THCPXD"/>
      <sheetName val="cpkhac"/>
      <sheetName val="CP CBSX"/>
      <sheetName val="THTN"/>
      <sheetName val="TN CT"/>
      <sheetName val="VLNCMTC TN"/>
      <sheetName val="CT day dan su phu kien"/>
      <sheetName val="CT xa - tiep dia"/>
      <sheetName val="THEP HINH"/>
      <sheetName val="CT cot"/>
      <sheetName val="Ct BT mong"/>
      <sheetName val="DatDao"/>
      <sheetName val="K LUONG duong day"/>
      <sheetName val="TH CTO"/>
      <sheetName val="VL-NC CTo"/>
      <sheetName val="CT cong to"/>
      <sheetName val="KL CONG TO"/>
      <sheetName val="VL DAU THAU"/>
      <sheetName val="TH DZ0,4"/>
      <sheetName val="TT"/>
      <sheetName val="VCDD"/>
    </sheetNames>
    <sheetDataSet>
      <sheetData sheetId="0"/>
      <sheetData sheetId="1" refreshError="1"/>
      <sheetData sheetId="2" refreshError="1">
        <row r="9">
          <cell r="N9">
            <v>118182</v>
          </cell>
        </row>
        <row r="16">
          <cell r="N16">
            <v>759</v>
          </cell>
        </row>
        <row r="17">
          <cell r="N17">
            <v>55000</v>
          </cell>
        </row>
        <row r="38">
          <cell r="N38">
            <v>4.5</v>
          </cell>
        </row>
      </sheetData>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sheetData sheetId="337"/>
      <sheetData sheetId="338" refreshError="1"/>
      <sheetData sheetId="339"/>
      <sheetData sheetId="340"/>
      <sheetData sheetId="341"/>
      <sheetData sheetId="342"/>
      <sheetData sheetId="343"/>
      <sheetData sheetId="344"/>
      <sheetData sheetId="345"/>
      <sheetData sheetId="346" refreshError="1"/>
      <sheetData sheetId="347"/>
      <sheetData sheetId="348"/>
      <sheetData sheetId="349"/>
      <sheetData sheetId="350"/>
      <sheetData sheetId="351"/>
      <sheetData sheetId="352"/>
      <sheetData sheetId="353"/>
      <sheetData sheetId="354"/>
      <sheetData sheetId="355"/>
      <sheetData sheetId="356"/>
      <sheetData sheetId="357"/>
      <sheetData sheetId="358"/>
      <sheetData sheetId="359" refreshError="1"/>
      <sheetData sheetId="360" refreshError="1"/>
      <sheetData sheetId="361" refreshError="1"/>
      <sheetData sheetId="362"/>
      <sheetData sheetId="363"/>
      <sheetData sheetId="364"/>
      <sheetData sheetId="365"/>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refreshError="1"/>
      <sheetData sheetId="494" refreshError="1"/>
      <sheetData sheetId="495"/>
      <sheetData sheetId="496"/>
      <sheetData sheetId="497"/>
      <sheetData sheetId="498" refreshError="1"/>
      <sheetData sheetId="499" refreshError="1"/>
      <sheetData sheetId="500" refreshError="1"/>
      <sheetData sheetId="501" refreshError="1"/>
      <sheetData sheetId="502" refreshError="1"/>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refreshError="1"/>
      <sheetData sheetId="522"/>
      <sheetData sheetId="523"/>
      <sheetData sheetId="524"/>
      <sheetData sheetId="525"/>
      <sheetData sheetId="526"/>
      <sheetData sheetId="527"/>
      <sheetData sheetId="528"/>
      <sheetData sheetId="529" refreshError="1"/>
      <sheetData sheetId="530"/>
      <sheetData sheetId="531"/>
      <sheetData sheetId="532"/>
      <sheetData sheetId="533"/>
      <sheetData sheetId="534"/>
      <sheetData sheetId="535"/>
      <sheetData sheetId="536"/>
      <sheetData sheetId="537" refreshError="1"/>
      <sheetData sheetId="538"/>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sheetData sheetId="632"/>
      <sheetData sheetId="633"/>
      <sheetData sheetId="634" refreshError="1"/>
      <sheetData sheetId="635" refreshError="1"/>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refreshError="1"/>
      <sheetData sheetId="650"/>
      <sheetData sheetId="651"/>
      <sheetData sheetId="652"/>
      <sheetData sheetId="653"/>
      <sheetData sheetId="654"/>
      <sheetData sheetId="655"/>
      <sheetData sheetId="656"/>
      <sheetData sheetId="657"/>
      <sheetData sheetId="658"/>
      <sheetData sheetId="659"/>
      <sheetData sheetId="660"/>
      <sheetData sheetId="661"/>
      <sheetData sheetId="662" refreshError="1"/>
      <sheetData sheetId="663" refreshError="1"/>
      <sheetData sheetId="664" refreshError="1"/>
      <sheetData sheetId="665" refreshError="1"/>
      <sheetData sheetId="666"/>
      <sheetData sheetId="667"/>
      <sheetData sheetId="668"/>
      <sheetData sheetId="669"/>
      <sheetData sheetId="670"/>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
      <sheetName val="TKKPHI"/>
      <sheetName val="DUTOAN"/>
      <sheetName val="DMVT"/>
      <sheetName val="THVATTU"/>
      <sheetName val="Tong hop thanh toan"/>
      <sheetName val="Bang thanh toan."/>
      <sheetName val="Bang phan tích"/>
      <sheetName val="Tong hop VT"/>
      <sheetName val="Ptich hoa don"/>
      <sheetName val="may,"/>
      <sheetName val="Hoa don,"/>
      <sheetName val="PTGTVLK"/>
      <sheetName val="GT Vl khac"/>
      <sheetName val="Van khuon va sat"/>
      <sheetName val="catdasatthep"/>
      <sheetName val="BTN"/>
      <sheetName val="May"/>
      <sheetName val="Hoa don"/>
      <sheetName val="Tong hop VT (2)"/>
      <sheetName val="Phan tich CT"/>
      <sheetName val="can doi"/>
      <sheetName val="da"/>
      <sheetName val="cat"/>
      <sheetName val="DG DUTOAN"/>
      <sheetName val="UBVG"/>
      <sheetName val="PrintDialog"/>
      <sheetName val="AboutDialog"/>
      <sheetName val="XL4Popp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ngia"/>
      <sheetName val="Dongiachung"/>
      <sheetName val="Du lieu"/>
      <sheetName val="CPC"/>
      <sheetName val="Noi suy"/>
      <sheetName val="Du toan XDCT"/>
      <sheetName val="Du phong TG"/>
      <sheetName val="THDT"/>
      <sheetName val="Khoi luong ĐZ-35kV"/>
      <sheetName val="TH-35"/>
      <sheetName val="TDt35"/>
      <sheetName val="1.6 LDTB-35"/>
      <sheetName val="1.7. THcot-xa 4970"/>
      <sheetName val="1.8. THcot-xa TT10"/>
      <sheetName val="1.9. TN35"/>
      <sheetName val="1.10. Ctinh thu hoi"/>
      <sheetName val="VCTC-35"/>
      <sheetName val="VCD.dai35"/>
      <sheetName val="VCD.TT10"/>
      <sheetName val="Khoi luong TBA"/>
      <sheetName val="TH-TBA"/>
      <sheetName val="TDT tram"/>
      <sheetName val="2,6. Tbi TBA"/>
      <sheetName val="2.7. LDTbi"/>
      <sheetName val="2.8. VL-NC-TBA4970"/>
      <sheetName val="2.9.VL-NC-TBA TT10"/>
      <sheetName val="2.10. TN.TBA"/>
      <sheetName val="VCD.daiTBA"/>
      <sheetName val="VCDtba TT10"/>
      <sheetName val="CT-Tram"/>
      <sheetName val="Khoi luong ĐZ-0,4kV"/>
      <sheetName val="TDT0.4"/>
      <sheetName val="TH-04"/>
      <sheetName val="3.5. VL-NC-MTC 0,4-4970 "/>
      <sheetName val="3.6. VL-NC-MTC 0,4-TT10"/>
      <sheetName val="3.7.TN.04"/>
      <sheetName val="VCTC-04"/>
      <sheetName val="VCD.dai04"/>
      <sheetName val="VCD HATT10"/>
      <sheetName val="KLCTO"/>
      <sheetName val="TH-Cto"/>
      <sheetName val="TDT Cto"/>
      <sheetName val="4.4.VL-NC-MTC Cto"/>
      <sheetName val="4.5.XD CTO-TT10"/>
      <sheetName val="4.6. TN.CTO"/>
      <sheetName val="4.7. VCTC-CTO"/>
      <sheetName val="VCD.CTO"/>
      <sheetName val="TH-sau Cto"/>
      <sheetName val="TDT sau Cto"/>
      <sheetName val="VL-NC-MTC sau Cto"/>
      <sheetName val="CT Mong"/>
      <sheetName val="CTBETONG TA"/>
      <sheetName val="KLCN 0,4"/>
      <sheetName val="THCN"/>
      <sheetName val="TDT CN 0,4"/>
      <sheetName val="VL-NC-MTC-CN 0,4"/>
      <sheetName val="CT CN"/>
      <sheetName val="Dao dat"/>
      <sheetName val="Chi tiet Vc"/>
      <sheetName val="DG-VC Duong dai"/>
      <sheetName val="Dauvao"/>
      <sheetName val="VC theo TT10"/>
      <sheetName val="Du lieu chung"/>
      <sheetName val="VC thucong"/>
      <sheetName val="PL1.Thietbi"/>
      <sheetName val="PL2.1 KL xa"/>
      <sheetName val="PL2.2. CT Xa-tiep dia"/>
      <sheetName val="PL3. CT Cot"/>
      <sheetName val="PL4. CT-TBA"/>
      <sheetName val="PL5. Day, su, pk"/>
      <sheetName val="5.2. Chiet tinh su"/>
      <sheetName val="6.2. CT Mong Luc Yen"/>
      <sheetName val="6.1. THMONG"/>
      <sheetName val="CTBETONG TA (2)"/>
      <sheetName val="daodat"/>
      <sheetName val="THVL"/>
      <sheetName val="THNC"/>
      <sheetName val="Gia ca may"/>
      <sheetName val="TT-10"/>
      <sheetName val="DM_4970"/>
      <sheetName val="DM_1781"/>
      <sheetName val="DM_20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ow r="5">
          <cell r="A5" t="str">
            <v>EA.11010</v>
          </cell>
          <cell r="B5">
            <v>0</v>
          </cell>
          <cell r="C5" t="str">
            <v>Thí nghiệm máy phát điện, động cơ điện đồng bộ U&lt;1000V - Công suất máy &lt;=10kW</v>
          </cell>
          <cell r="D5" t="str">
            <v>Máy</v>
          </cell>
          <cell r="E5">
            <v>0</v>
          </cell>
          <cell r="F5">
            <v>0</v>
          </cell>
          <cell r="G5">
            <v>16171.292727272727</v>
          </cell>
          <cell r="H5">
            <v>572386.18421052629</v>
          </cell>
          <cell r="I5">
            <v>52781.710227272735</v>
          </cell>
        </row>
        <row r="6">
          <cell r="A6">
            <v>0</v>
          </cell>
          <cell r="B6">
            <v>0</v>
          </cell>
          <cell r="C6" t="str">
            <v>Vật liệu</v>
          </cell>
          <cell r="D6">
            <v>0</v>
          </cell>
          <cell r="E6">
            <v>0</v>
          </cell>
          <cell r="F6">
            <v>0</v>
          </cell>
          <cell r="G6">
            <v>0</v>
          </cell>
          <cell r="H6">
            <v>0</v>
          </cell>
          <cell r="I6">
            <v>0</v>
          </cell>
        </row>
        <row r="7">
          <cell r="A7">
            <v>0</v>
          </cell>
          <cell r="B7" t="str">
            <v>VL221</v>
          </cell>
          <cell r="C7" t="str">
            <v>Điện năng</v>
          </cell>
          <cell r="D7" t="str">
            <v>Kwh</v>
          </cell>
          <cell r="E7">
            <v>2</v>
          </cell>
          <cell r="F7">
            <v>1622.01</v>
          </cell>
          <cell r="G7">
            <v>3244.02</v>
          </cell>
          <cell r="H7">
            <v>0</v>
          </cell>
          <cell r="I7">
            <v>0</v>
          </cell>
        </row>
        <row r="8">
          <cell r="A8">
            <v>0</v>
          </cell>
          <cell r="B8" t="str">
            <v>VL177</v>
          </cell>
          <cell r="C8" t="str">
            <v>Cồn công nghiệp</v>
          </cell>
          <cell r="D8" t="str">
            <v>kg</v>
          </cell>
          <cell r="E8">
            <v>0.15</v>
          </cell>
          <cell r="F8">
            <v>20000</v>
          </cell>
          <cell r="G8">
            <v>3000</v>
          </cell>
          <cell r="H8">
            <v>0</v>
          </cell>
          <cell r="I8">
            <v>0</v>
          </cell>
        </row>
        <row r="9">
          <cell r="A9">
            <v>0</v>
          </cell>
          <cell r="B9" t="str">
            <v>VL176</v>
          </cell>
          <cell r="C9" t="str">
            <v>Giẻ lau</v>
          </cell>
          <cell r="D9" t="str">
            <v>kg</v>
          </cell>
          <cell r="E9">
            <v>0.1</v>
          </cell>
          <cell r="F9">
            <v>5000</v>
          </cell>
          <cell r="G9">
            <v>500</v>
          </cell>
          <cell r="H9">
            <v>0</v>
          </cell>
          <cell r="I9">
            <v>0</v>
          </cell>
        </row>
        <row r="10">
          <cell r="A10">
            <v>0</v>
          </cell>
          <cell r="B10" t="str">
            <v>VL186</v>
          </cell>
          <cell r="C10" t="str">
            <v>Giấy nhám số 0</v>
          </cell>
          <cell r="D10" t="str">
            <v>tờ</v>
          </cell>
          <cell r="E10">
            <v>0.2</v>
          </cell>
          <cell r="F10">
            <v>2000</v>
          </cell>
          <cell r="G10">
            <v>400</v>
          </cell>
          <cell r="H10">
            <v>0</v>
          </cell>
          <cell r="I10">
            <v>0</v>
          </cell>
        </row>
        <row r="11">
          <cell r="A11">
            <v>0</v>
          </cell>
          <cell r="B11" t="str">
            <v>VL198</v>
          </cell>
          <cell r="C11" t="str">
            <v>Dây điện 2x1,5mm2</v>
          </cell>
          <cell r="D11" t="str">
            <v>m</v>
          </cell>
          <cell r="E11">
            <v>1</v>
          </cell>
          <cell r="F11">
            <v>9027.2727272727261</v>
          </cell>
          <cell r="G11">
            <v>9027.2727272727261</v>
          </cell>
          <cell r="H11">
            <v>0</v>
          </cell>
          <cell r="I11">
            <v>0</v>
          </cell>
        </row>
        <row r="12">
          <cell r="A12">
            <v>0</v>
          </cell>
          <cell r="B12">
            <v>0</v>
          </cell>
          <cell r="C12" t="str">
            <v>Nhân công</v>
          </cell>
          <cell r="D12">
            <v>0</v>
          </cell>
          <cell r="E12">
            <v>0</v>
          </cell>
          <cell r="F12">
            <v>0</v>
          </cell>
          <cell r="G12">
            <v>0</v>
          </cell>
          <cell r="H12">
            <v>0</v>
          </cell>
          <cell r="I12">
            <v>0</v>
          </cell>
        </row>
        <row r="13">
          <cell r="A13">
            <v>0</v>
          </cell>
          <cell r="B13" t="str">
            <v>KS4</v>
          </cell>
          <cell r="C13" t="str">
            <v>Kỹ sư bậc 4,0/8</v>
          </cell>
          <cell r="D13" t="str">
            <v>công</v>
          </cell>
          <cell r="E13">
            <v>1.56</v>
          </cell>
          <cell r="F13">
            <v>237000</v>
          </cell>
          <cell r="G13">
            <v>0</v>
          </cell>
          <cell r="H13">
            <v>369720</v>
          </cell>
          <cell r="I13">
            <v>0</v>
          </cell>
        </row>
        <row r="14">
          <cell r="A14">
            <v>0</v>
          </cell>
          <cell r="B14" t="str">
            <v>N4507</v>
          </cell>
          <cell r="C14" t="str">
            <v xml:space="preserve"> Nhân công bậc 5,0/7 - Nhóm 4</v>
          </cell>
          <cell r="D14" t="str">
            <v>công</v>
          </cell>
          <cell r="E14">
            <v>0.67</v>
          </cell>
          <cell r="F14">
            <v>302486.8421052632</v>
          </cell>
          <cell r="G14">
            <v>0</v>
          </cell>
          <cell r="H14">
            <v>202666.18421052635</v>
          </cell>
          <cell r="I14">
            <v>0</v>
          </cell>
        </row>
        <row r="15">
          <cell r="A15">
            <v>0</v>
          </cell>
          <cell r="B15">
            <v>0</v>
          </cell>
          <cell r="C15" t="str">
            <v>Máy thi công</v>
          </cell>
          <cell r="D15">
            <v>0</v>
          </cell>
          <cell r="E15">
            <v>0</v>
          </cell>
          <cell r="F15">
            <v>0</v>
          </cell>
          <cell r="G15">
            <v>0</v>
          </cell>
          <cell r="H15">
            <v>0</v>
          </cell>
          <cell r="I15">
            <v>0</v>
          </cell>
        </row>
        <row r="16">
          <cell r="A16">
            <v>0</v>
          </cell>
          <cell r="B16" t="str">
            <v>M203.0025</v>
          </cell>
          <cell r="C16" t="str">
            <v>Megôm met</v>
          </cell>
          <cell r="D16" t="str">
            <v>ca</v>
          </cell>
          <cell r="E16">
            <v>0.1</v>
          </cell>
          <cell r="F16">
            <v>40127.500000000007</v>
          </cell>
          <cell r="G16">
            <v>0</v>
          </cell>
          <cell r="H16">
            <v>0</v>
          </cell>
          <cell r="I16">
            <v>4012.7500000000009</v>
          </cell>
        </row>
        <row r="17">
          <cell r="A17">
            <v>0</v>
          </cell>
          <cell r="B17" t="str">
            <v>M203.0014</v>
          </cell>
          <cell r="C17" t="str">
            <v>Máy đo điện trở một chiều</v>
          </cell>
          <cell r="D17" t="str">
            <v>ca</v>
          </cell>
          <cell r="E17">
            <v>0.2</v>
          </cell>
          <cell r="F17">
            <v>142909.77272727276</v>
          </cell>
          <cell r="G17">
            <v>0</v>
          </cell>
          <cell r="H17">
            <v>0</v>
          </cell>
          <cell r="I17">
            <v>28581.954545454555</v>
          </cell>
        </row>
        <row r="18">
          <cell r="A18">
            <v>0</v>
          </cell>
          <cell r="B18" t="str">
            <v>M203.0007</v>
          </cell>
          <cell r="C18" t="str">
            <v>Hợp bộ thí nghiệm cao áp</v>
          </cell>
          <cell r="D18" t="str">
            <v>ca</v>
          </cell>
          <cell r="E18">
            <v>0.05</v>
          </cell>
          <cell r="F18">
            <v>403740.11363636365</v>
          </cell>
          <cell r="G18">
            <v>0</v>
          </cell>
          <cell r="H18">
            <v>0</v>
          </cell>
          <cell r="I18">
            <v>20187.005681818184</v>
          </cell>
        </row>
        <row r="19">
          <cell r="A19" t="str">
            <v>EA.11020</v>
          </cell>
          <cell r="B19">
            <v>0</v>
          </cell>
          <cell r="C19" t="str">
            <v>Thí nghiệm máy phát điện, động cơ điện đồng bộ U&lt;1000V - Công suất máy &lt;=50kW</v>
          </cell>
          <cell r="D19" t="str">
            <v>Máy</v>
          </cell>
          <cell r="E19">
            <v>0</v>
          </cell>
          <cell r="F19">
            <v>0</v>
          </cell>
          <cell r="G19">
            <v>23170.767272727273</v>
          </cell>
          <cell r="H19">
            <v>687549.47368421056</v>
          </cell>
          <cell r="I19">
            <v>63338.052272727276</v>
          </cell>
        </row>
        <row r="20">
          <cell r="A20">
            <v>0</v>
          </cell>
          <cell r="B20">
            <v>0</v>
          </cell>
          <cell r="C20" t="str">
            <v>Vật liệu</v>
          </cell>
          <cell r="D20">
            <v>0</v>
          </cell>
          <cell r="E20">
            <v>0</v>
          </cell>
          <cell r="F20">
            <v>0</v>
          </cell>
          <cell r="G20">
            <v>0</v>
          </cell>
          <cell r="H20">
            <v>0</v>
          </cell>
          <cell r="I20">
            <v>0</v>
          </cell>
        </row>
        <row r="21">
          <cell r="A21">
            <v>0</v>
          </cell>
          <cell r="B21" t="str">
            <v>VL221</v>
          </cell>
          <cell r="C21" t="str">
            <v>Điện năng</v>
          </cell>
          <cell r="D21" t="str">
            <v>Kwh</v>
          </cell>
          <cell r="E21">
            <v>4</v>
          </cell>
          <cell r="F21">
            <v>1622.01</v>
          </cell>
          <cell r="G21">
            <v>6488.04</v>
          </cell>
          <cell r="H21">
            <v>0</v>
          </cell>
          <cell r="I21">
            <v>0</v>
          </cell>
        </row>
        <row r="22">
          <cell r="A22">
            <v>0</v>
          </cell>
          <cell r="B22" t="str">
            <v>VL177</v>
          </cell>
          <cell r="C22" t="str">
            <v>Cồn công nghiệp</v>
          </cell>
          <cell r="D22" t="str">
            <v>kg</v>
          </cell>
          <cell r="E22">
            <v>0.22500000000000001</v>
          </cell>
          <cell r="F22">
            <v>20000</v>
          </cell>
          <cell r="G22">
            <v>4500</v>
          </cell>
          <cell r="H22">
            <v>0</v>
          </cell>
          <cell r="I22">
            <v>0</v>
          </cell>
        </row>
        <row r="23">
          <cell r="A23">
            <v>0</v>
          </cell>
          <cell r="B23" t="str">
            <v>VL176</v>
          </cell>
          <cell r="C23" t="str">
            <v>Giẻ lau</v>
          </cell>
          <cell r="D23" t="str">
            <v>kg</v>
          </cell>
          <cell r="E23">
            <v>0.15</v>
          </cell>
          <cell r="F23">
            <v>5000</v>
          </cell>
          <cell r="G23">
            <v>750</v>
          </cell>
          <cell r="H23">
            <v>0</v>
          </cell>
          <cell r="I23">
            <v>0</v>
          </cell>
        </row>
        <row r="24">
          <cell r="A24">
            <v>0</v>
          </cell>
          <cell r="B24" t="str">
            <v>VL186</v>
          </cell>
          <cell r="C24" t="str">
            <v>Giấy nhám số 0</v>
          </cell>
          <cell r="D24" t="str">
            <v>tờ</v>
          </cell>
          <cell r="E24">
            <v>0.3</v>
          </cell>
          <cell r="F24">
            <v>2000</v>
          </cell>
          <cell r="G24">
            <v>600</v>
          </cell>
          <cell r="H24">
            <v>0</v>
          </cell>
          <cell r="I24">
            <v>0</v>
          </cell>
        </row>
        <row r="25">
          <cell r="A25">
            <v>0</v>
          </cell>
          <cell r="B25" t="str">
            <v>VL198</v>
          </cell>
          <cell r="C25" t="str">
            <v>Dây điện 2x1,5mm2</v>
          </cell>
          <cell r="D25" t="str">
            <v>m</v>
          </cell>
          <cell r="E25">
            <v>1.2</v>
          </cell>
          <cell r="F25">
            <v>9027.2727272727261</v>
          </cell>
          <cell r="G25">
            <v>10832.72727272727</v>
          </cell>
          <cell r="H25">
            <v>0</v>
          </cell>
          <cell r="I25">
            <v>0</v>
          </cell>
        </row>
        <row r="26">
          <cell r="A26">
            <v>0</v>
          </cell>
          <cell r="B26">
            <v>0</v>
          </cell>
          <cell r="C26" t="str">
            <v>Nhân công</v>
          </cell>
          <cell r="D26">
            <v>0</v>
          </cell>
          <cell r="E26">
            <v>0</v>
          </cell>
          <cell r="F26">
            <v>0</v>
          </cell>
          <cell r="G26">
            <v>0</v>
          </cell>
          <cell r="H26">
            <v>0</v>
          </cell>
          <cell r="I26">
            <v>0</v>
          </cell>
        </row>
        <row r="27">
          <cell r="A27">
            <v>0</v>
          </cell>
          <cell r="B27" t="str">
            <v>KS4</v>
          </cell>
          <cell r="C27" t="str">
            <v>Kỹ sư bậc 4,0/8</v>
          </cell>
          <cell r="D27" t="str">
            <v>công</v>
          </cell>
          <cell r="E27">
            <v>1.88</v>
          </cell>
          <cell r="F27">
            <v>237000</v>
          </cell>
          <cell r="G27">
            <v>0</v>
          </cell>
          <cell r="H27">
            <v>445560</v>
          </cell>
          <cell r="I27">
            <v>0</v>
          </cell>
        </row>
        <row r="28">
          <cell r="A28">
            <v>0</v>
          </cell>
          <cell r="B28" t="str">
            <v>N4507</v>
          </cell>
          <cell r="C28" t="str">
            <v xml:space="preserve"> Nhân công bậc 5,0/7 - Nhóm 4</v>
          </cell>
          <cell r="D28" t="str">
            <v>công</v>
          </cell>
          <cell r="E28">
            <v>0.8</v>
          </cell>
          <cell r="F28">
            <v>302486.8421052632</v>
          </cell>
          <cell r="G28">
            <v>0</v>
          </cell>
          <cell r="H28">
            <v>241989.47368421056</v>
          </cell>
          <cell r="I28">
            <v>0</v>
          </cell>
        </row>
        <row r="29">
          <cell r="A29">
            <v>0</v>
          </cell>
          <cell r="B29">
            <v>0</v>
          </cell>
          <cell r="C29" t="str">
            <v>Máy thi công</v>
          </cell>
          <cell r="D29">
            <v>0</v>
          </cell>
          <cell r="E29">
            <v>0</v>
          </cell>
          <cell r="F29">
            <v>0</v>
          </cell>
          <cell r="G29">
            <v>0</v>
          </cell>
          <cell r="H29">
            <v>0</v>
          </cell>
          <cell r="I29">
            <v>0</v>
          </cell>
        </row>
        <row r="30">
          <cell r="A30">
            <v>0</v>
          </cell>
          <cell r="B30" t="str">
            <v>M203.0025</v>
          </cell>
          <cell r="C30" t="str">
            <v>Megôm met</v>
          </cell>
          <cell r="D30" t="str">
            <v>ca</v>
          </cell>
          <cell r="E30">
            <v>0.12</v>
          </cell>
          <cell r="F30">
            <v>40127.500000000007</v>
          </cell>
          <cell r="G30">
            <v>0</v>
          </cell>
          <cell r="H30">
            <v>0</v>
          </cell>
          <cell r="I30">
            <v>4815.3000000000011</v>
          </cell>
        </row>
        <row r="31">
          <cell r="A31">
            <v>0</v>
          </cell>
          <cell r="B31" t="str">
            <v>M203.0014</v>
          </cell>
          <cell r="C31" t="str">
            <v>Máy đo điện trở một chiều</v>
          </cell>
          <cell r="D31" t="str">
            <v>ca</v>
          </cell>
          <cell r="E31">
            <v>0.24</v>
          </cell>
          <cell r="F31">
            <v>142909.77272727276</v>
          </cell>
          <cell r="G31">
            <v>0</v>
          </cell>
          <cell r="H31">
            <v>0</v>
          </cell>
          <cell r="I31">
            <v>34298.345454545459</v>
          </cell>
        </row>
        <row r="32">
          <cell r="A32">
            <v>0</v>
          </cell>
          <cell r="B32" t="str">
            <v>M203.0007</v>
          </cell>
          <cell r="C32" t="str">
            <v>Hợp bộ thí nghiệm cao áp</v>
          </cell>
          <cell r="D32" t="str">
            <v>ca</v>
          </cell>
          <cell r="E32">
            <v>0.06</v>
          </cell>
          <cell r="F32">
            <v>403740.11363636365</v>
          </cell>
          <cell r="G32">
            <v>0</v>
          </cell>
          <cell r="H32">
            <v>0</v>
          </cell>
          <cell r="I32">
            <v>24224.406818181818</v>
          </cell>
        </row>
        <row r="33">
          <cell r="A33" t="str">
            <v>EA.11030</v>
          </cell>
          <cell r="B33">
            <v>0</v>
          </cell>
          <cell r="C33" t="str">
            <v>Thí nghiệm máy phát điện, động cơ điện đồng bộ U&lt;1000V - Công suất máy &lt;=100kW</v>
          </cell>
          <cell r="D33" t="str">
            <v>Máy</v>
          </cell>
          <cell r="E33">
            <v>0</v>
          </cell>
          <cell r="F33">
            <v>0</v>
          </cell>
          <cell r="G33">
            <v>31516.332727272722</v>
          </cell>
          <cell r="H33">
            <v>823637.36842105258</v>
          </cell>
          <cell r="I33">
            <v>76005.662727272735</v>
          </cell>
        </row>
        <row r="34">
          <cell r="A34">
            <v>0</v>
          </cell>
          <cell r="B34">
            <v>0</v>
          </cell>
          <cell r="C34" t="str">
            <v>Vật liệu</v>
          </cell>
          <cell r="D34">
            <v>0</v>
          </cell>
          <cell r="E34">
            <v>0</v>
          </cell>
          <cell r="F34">
            <v>0</v>
          </cell>
          <cell r="G34">
            <v>0</v>
          </cell>
          <cell r="H34">
            <v>0</v>
          </cell>
          <cell r="I34">
            <v>0</v>
          </cell>
        </row>
        <row r="35">
          <cell r="A35">
            <v>0</v>
          </cell>
          <cell r="B35" t="str">
            <v>VL221</v>
          </cell>
          <cell r="C35" t="str">
            <v>Điện năng</v>
          </cell>
          <cell r="D35" t="str">
            <v>Kwh</v>
          </cell>
          <cell r="E35">
            <v>6</v>
          </cell>
          <cell r="F35">
            <v>1622.01</v>
          </cell>
          <cell r="G35">
            <v>9732.06</v>
          </cell>
          <cell r="H35">
            <v>0</v>
          </cell>
          <cell r="I35">
            <v>0</v>
          </cell>
        </row>
        <row r="36">
          <cell r="A36">
            <v>0</v>
          </cell>
          <cell r="B36" t="str">
            <v>VL177</v>
          </cell>
          <cell r="C36" t="str">
            <v>Cồn công nghiệp</v>
          </cell>
          <cell r="D36" t="str">
            <v>kg</v>
          </cell>
          <cell r="E36">
            <v>0.33800000000000002</v>
          </cell>
          <cell r="F36">
            <v>20000</v>
          </cell>
          <cell r="G36">
            <v>6760</v>
          </cell>
          <cell r="H36">
            <v>0</v>
          </cell>
          <cell r="I36">
            <v>0</v>
          </cell>
        </row>
        <row r="37">
          <cell r="A37">
            <v>0</v>
          </cell>
          <cell r="B37" t="str">
            <v>VL176</v>
          </cell>
          <cell r="C37" t="str">
            <v>Giẻ lau</v>
          </cell>
          <cell r="D37" t="str">
            <v>kg</v>
          </cell>
          <cell r="E37">
            <v>0.22500000000000001</v>
          </cell>
          <cell r="F37">
            <v>5000</v>
          </cell>
          <cell r="G37">
            <v>1125</v>
          </cell>
          <cell r="H37">
            <v>0</v>
          </cell>
          <cell r="I37">
            <v>0</v>
          </cell>
        </row>
        <row r="38">
          <cell r="A38">
            <v>0</v>
          </cell>
          <cell r="B38" t="str">
            <v>VL186</v>
          </cell>
          <cell r="C38" t="str">
            <v>Giấy nhám số 0</v>
          </cell>
          <cell r="D38" t="str">
            <v>tờ</v>
          </cell>
          <cell r="E38">
            <v>0.45</v>
          </cell>
          <cell r="F38">
            <v>2000</v>
          </cell>
          <cell r="G38">
            <v>900</v>
          </cell>
          <cell r="H38">
            <v>0</v>
          </cell>
          <cell r="I38">
            <v>0</v>
          </cell>
        </row>
        <row r="39">
          <cell r="A39">
            <v>0</v>
          </cell>
          <cell r="B39" t="str">
            <v>VL198</v>
          </cell>
          <cell r="C39" t="str">
            <v>Dây điện 2x1,5mm2</v>
          </cell>
          <cell r="D39" t="str">
            <v>m</v>
          </cell>
          <cell r="E39">
            <v>1.44</v>
          </cell>
          <cell r="F39">
            <v>9027.2727272727261</v>
          </cell>
          <cell r="G39">
            <v>12999.272727272724</v>
          </cell>
          <cell r="H39">
            <v>0</v>
          </cell>
          <cell r="I39">
            <v>0</v>
          </cell>
        </row>
        <row r="40">
          <cell r="A40">
            <v>0</v>
          </cell>
          <cell r="B40">
            <v>0</v>
          </cell>
          <cell r="C40" t="str">
            <v>Nhân công</v>
          </cell>
          <cell r="D40">
            <v>0</v>
          </cell>
          <cell r="E40">
            <v>0</v>
          </cell>
          <cell r="F40">
            <v>0</v>
          </cell>
          <cell r="G40">
            <v>0</v>
          </cell>
          <cell r="H40">
            <v>0</v>
          </cell>
          <cell r="I40">
            <v>0</v>
          </cell>
        </row>
        <row r="41">
          <cell r="A41">
            <v>0</v>
          </cell>
          <cell r="B41" t="str">
            <v>KS4</v>
          </cell>
          <cell r="C41" t="str">
            <v>Kỹ sư bậc 4,0/8</v>
          </cell>
          <cell r="D41" t="str">
            <v>công</v>
          </cell>
          <cell r="E41">
            <v>2.25</v>
          </cell>
          <cell r="F41">
            <v>237000</v>
          </cell>
          <cell r="G41">
            <v>0</v>
          </cell>
          <cell r="H41">
            <v>533250</v>
          </cell>
          <cell r="I41">
            <v>0</v>
          </cell>
        </row>
        <row r="42">
          <cell r="A42">
            <v>0</v>
          </cell>
          <cell r="B42" t="str">
            <v>N4507</v>
          </cell>
          <cell r="C42" t="str">
            <v xml:space="preserve"> Nhân công bậc 5,0/7 - Nhóm 4</v>
          </cell>
          <cell r="D42" t="str">
            <v>công</v>
          </cell>
          <cell r="E42">
            <v>0.96</v>
          </cell>
          <cell r="F42">
            <v>302486.8421052632</v>
          </cell>
          <cell r="G42">
            <v>0</v>
          </cell>
          <cell r="H42">
            <v>290387.36842105264</v>
          </cell>
          <cell r="I42">
            <v>0</v>
          </cell>
        </row>
        <row r="43">
          <cell r="A43">
            <v>0</v>
          </cell>
          <cell r="B43">
            <v>0</v>
          </cell>
          <cell r="C43" t="str">
            <v>Máy thi công</v>
          </cell>
          <cell r="D43">
            <v>0</v>
          </cell>
          <cell r="E43">
            <v>0</v>
          </cell>
          <cell r="F43">
            <v>0</v>
          </cell>
          <cell r="G43">
            <v>0</v>
          </cell>
          <cell r="H43">
            <v>0</v>
          </cell>
          <cell r="I43">
            <v>0</v>
          </cell>
        </row>
        <row r="44">
          <cell r="A44">
            <v>0</v>
          </cell>
          <cell r="B44" t="str">
            <v>M203.0025</v>
          </cell>
          <cell r="C44" t="str">
            <v>Megôm met</v>
          </cell>
          <cell r="D44" t="str">
            <v>ca</v>
          </cell>
          <cell r="E44">
            <v>0.14399999999999999</v>
          </cell>
          <cell r="F44">
            <v>40127.500000000007</v>
          </cell>
          <cell r="G44">
            <v>0</v>
          </cell>
          <cell r="H44">
            <v>0</v>
          </cell>
          <cell r="I44">
            <v>5778.3600000000006</v>
          </cell>
        </row>
        <row r="45">
          <cell r="A45">
            <v>0</v>
          </cell>
          <cell r="B45" t="str">
            <v>M203.0014</v>
          </cell>
          <cell r="C45" t="str">
            <v>Máy đo điện trở một chiều</v>
          </cell>
          <cell r="D45" t="str">
            <v>ca</v>
          </cell>
          <cell r="E45">
            <v>0.28799999999999998</v>
          </cell>
          <cell r="F45">
            <v>142909.77272727276</v>
          </cell>
          <cell r="G45">
            <v>0</v>
          </cell>
          <cell r="H45">
            <v>0</v>
          </cell>
          <cell r="I45">
            <v>41158.014545454556</v>
          </cell>
        </row>
        <row r="46">
          <cell r="A46">
            <v>0</v>
          </cell>
          <cell r="B46" t="str">
            <v>M203.0007</v>
          </cell>
          <cell r="C46" t="str">
            <v>Hợp bộ thí nghiệm cao áp</v>
          </cell>
          <cell r="D46" t="str">
            <v>ca</v>
          </cell>
          <cell r="E46">
            <v>7.1999999999999995E-2</v>
          </cell>
          <cell r="F46">
            <v>403740.11363636365</v>
          </cell>
          <cell r="G46">
            <v>0</v>
          </cell>
          <cell r="H46">
            <v>0</v>
          </cell>
          <cell r="I46">
            <v>29069.288181818181</v>
          </cell>
        </row>
        <row r="47">
          <cell r="A47" t="str">
            <v>EA.11040</v>
          </cell>
          <cell r="B47">
            <v>0</v>
          </cell>
          <cell r="C47" t="str">
            <v>Thí nghiệm máy phát điện, động cơ điện đồng bộ U&lt;1000V - Công suất máy &lt;=200kW</v>
          </cell>
          <cell r="D47" t="str">
            <v>Máy</v>
          </cell>
          <cell r="E47">
            <v>0</v>
          </cell>
          <cell r="F47">
            <v>0</v>
          </cell>
          <cell r="G47">
            <v>41735.207272727275</v>
          </cell>
          <cell r="H47">
            <v>990784.73684210528</v>
          </cell>
          <cell r="I47">
            <v>91514.228750000009</v>
          </cell>
        </row>
        <row r="48">
          <cell r="A48">
            <v>0</v>
          </cell>
          <cell r="B48">
            <v>0</v>
          </cell>
          <cell r="C48" t="str">
            <v>Vật liệu</v>
          </cell>
          <cell r="D48">
            <v>0</v>
          </cell>
          <cell r="E48">
            <v>0</v>
          </cell>
          <cell r="F48">
            <v>0</v>
          </cell>
          <cell r="G48">
            <v>0</v>
          </cell>
          <cell r="H48">
            <v>0</v>
          </cell>
          <cell r="I48">
            <v>0</v>
          </cell>
        </row>
        <row r="49">
          <cell r="A49">
            <v>0</v>
          </cell>
          <cell r="B49" t="str">
            <v>VL221</v>
          </cell>
          <cell r="C49" t="str">
            <v>Điện năng</v>
          </cell>
          <cell r="D49" t="str">
            <v>Kwh</v>
          </cell>
          <cell r="E49">
            <v>8</v>
          </cell>
          <cell r="F49">
            <v>1622.01</v>
          </cell>
          <cell r="G49">
            <v>12976.08</v>
          </cell>
          <cell r="H49">
            <v>0</v>
          </cell>
          <cell r="I49">
            <v>0</v>
          </cell>
        </row>
        <row r="50">
          <cell r="A50">
            <v>0</v>
          </cell>
          <cell r="B50" t="str">
            <v>VL177</v>
          </cell>
          <cell r="C50" t="str">
            <v>Cồn công nghiệp</v>
          </cell>
          <cell r="D50" t="str">
            <v>kg</v>
          </cell>
          <cell r="E50">
            <v>0.50600000000000001</v>
          </cell>
          <cell r="F50">
            <v>20000</v>
          </cell>
          <cell r="G50">
            <v>10120</v>
          </cell>
          <cell r="H50">
            <v>0</v>
          </cell>
          <cell r="I50">
            <v>0</v>
          </cell>
        </row>
        <row r="51">
          <cell r="A51">
            <v>0</v>
          </cell>
          <cell r="B51" t="str">
            <v>VL176</v>
          </cell>
          <cell r="C51" t="str">
            <v>Giẻ lau</v>
          </cell>
          <cell r="D51" t="str">
            <v>kg</v>
          </cell>
          <cell r="E51">
            <v>0.33800000000000002</v>
          </cell>
          <cell r="F51">
            <v>5000</v>
          </cell>
          <cell r="G51">
            <v>1690</v>
          </cell>
          <cell r="H51">
            <v>0</v>
          </cell>
          <cell r="I51">
            <v>0</v>
          </cell>
        </row>
        <row r="52">
          <cell r="A52">
            <v>0</v>
          </cell>
          <cell r="B52" t="str">
            <v>VL186</v>
          </cell>
          <cell r="C52" t="str">
            <v>Giấy nhám số 0</v>
          </cell>
          <cell r="D52" t="str">
            <v>tờ</v>
          </cell>
          <cell r="E52">
            <v>0.67500000000000004</v>
          </cell>
          <cell r="F52">
            <v>2000</v>
          </cell>
          <cell r="G52">
            <v>1350</v>
          </cell>
          <cell r="H52">
            <v>0</v>
          </cell>
          <cell r="I52">
            <v>0</v>
          </cell>
        </row>
        <row r="53">
          <cell r="A53">
            <v>0</v>
          </cell>
          <cell r="B53" t="str">
            <v>VL198</v>
          </cell>
          <cell r="C53" t="str">
            <v>Dây điện 2x1,5mm2</v>
          </cell>
          <cell r="D53" t="str">
            <v>m</v>
          </cell>
          <cell r="E53">
            <v>1.728</v>
          </cell>
          <cell r="F53">
            <v>9027.2727272727261</v>
          </cell>
          <cell r="G53">
            <v>15599.12727272727</v>
          </cell>
          <cell r="H53">
            <v>0</v>
          </cell>
          <cell r="I53">
            <v>0</v>
          </cell>
        </row>
        <row r="54">
          <cell r="A54">
            <v>0</v>
          </cell>
          <cell r="B54">
            <v>0</v>
          </cell>
          <cell r="C54" t="str">
            <v>Nhân công</v>
          </cell>
          <cell r="D54">
            <v>0</v>
          </cell>
          <cell r="E54">
            <v>0</v>
          </cell>
          <cell r="F54">
            <v>0</v>
          </cell>
          <cell r="G54">
            <v>0</v>
          </cell>
          <cell r="H54">
            <v>0</v>
          </cell>
          <cell r="I54">
            <v>0</v>
          </cell>
        </row>
        <row r="55">
          <cell r="A55">
            <v>0</v>
          </cell>
          <cell r="B55" t="str">
            <v>KS4</v>
          </cell>
          <cell r="C55" t="str">
            <v>Kỹ sư bậc 4,0/8</v>
          </cell>
          <cell r="D55" t="str">
            <v>công</v>
          </cell>
          <cell r="E55">
            <v>2.7</v>
          </cell>
          <cell r="F55">
            <v>237000</v>
          </cell>
          <cell r="G55">
            <v>0</v>
          </cell>
          <cell r="H55">
            <v>639900</v>
          </cell>
          <cell r="I55">
            <v>0</v>
          </cell>
        </row>
        <row r="56">
          <cell r="A56">
            <v>0</v>
          </cell>
          <cell r="B56" t="str">
            <v>N4507</v>
          </cell>
          <cell r="C56" t="str">
            <v xml:space="preserve"> Nhân công bậc 5,0/7 - Nhóm 4</v>
          </cell>
          <cell r="D56" t="str">
            <v>công</v>
          </cell>
          <cell r="E56">
            <v>1.1599999999999999</v>
          </cell>
          <cell r="F56">
            <v>302486.8421052632</v>
          </cell>
          <cell r="G56">
            <v>0</v>
          </cell>
          <cell r="H56">
            <v>350884.73684210528</v>
          </cell>
          <cell r="I56">
            <v>0</v>
          </cell>
        </row>
        <row r="57">
          <cell r="A57">
            <v>0</v>
          </cell>
          <cell r="B57">
            <v>0</v>
          </cell>
          <cell r="C57" t="str">
            <v>Máy thi công</v>
          </cell>
          <cell r="D57">
            <v>0</v>
          </cell>
          <cell r="E57">
            <v>0</v>
          </cell>
          <cell r="F57">
            <v>0</v>
          </cell>
          <cell r="G57">
            <v>0</v>
          </cell>
          <cell r="H57">
            <v>0</v>
          </cell>
          <cell r="I57">
            <v>0</v>
          </cell>
        </row>
        <row r="58">
          <cell r="A58">
            <v>0</v>
          </cell>
          <cell r="B58" t="str">
            <v>M203.0025</v>
          </cell>
          <cell r="C58" t="str">
            <v>Megôm met</v>
          </cell>
          <cell r="D58" t="str">
            <v>ca</v>
          </cell>
          <cell r="E58">
            <v>0.17299999999999999</v>
          </cell>
          <cell r="F58">
            <v>40127.500000000007</v>
          </cell>
          <cell r="G58">
            <v>0</v>
          </cell>
          <cell r="H58">
            <v>0</v>
          </cell>
          <cell r="I58">
            <v>6942.0575000000008</v>
          </cell>
        </row>
        <row r="59">
          <cell r="A59">
            <v>0</v>
          </cell>
          <cell r="B59" t="str">
            <v>M203.0014</v>
          </cell>
          <cell r="C59" t="str">
            <v>Máy đo điện trở một chiều</v>
          </cell>
          <cell r="D59" t="str">
            <v>ca</v>
          </cell>
          <cell r="E59">
            <v>0.34599999999999997</v>
          </cell>
          <cell r="F59">
            <v>142909.77272727276</v>
          </cell>
          <cell r="G59">
            <v>0</v>
          </cell>
          <cell r="H59">
            <v>0</v>
          </cell>
          <cell r="I59">
            <v>49446.781363636372</v>
          </cell>
        </row>
        <row r="60">
          <cell r="A60">
            <v>0</v>
          </cell>
          <cell r="B60" t="str">
            <v>M203.0007</v>
          </cell>
          <cell r="C60" t="str">
            <v>Hợp bộ thí nghiệm cao áp</v>
          </cell>
          <cell r="D60" t="str">
            <v>ca</v>
          </cell>
          <cell r="E60">
            <v>8.6999999999999994E-2</v>
          </cell>
          <cell r="F60">
            <v>403740.11363636365</v>
          </cell>
          <cell r="G60">
            <v>0</v>
          </cell>
          <cell r="H60">
            <v>0</v>
          </cell>
          <cell r="I60">
            <v>35125.389886363635</v>
          </cell>
        </row>
        <row r="61">
          <cell r="A61" t="str">
            <v>EA.12010</v>
          </cell>
          <cell r="B61">
            <v>0</v>
          </cell>
          <cell r="C61" t="str">
            <v>Thí nghiệm động cơ điện không đồng bộ U&lt;1000V - Công suất máy &lt;=10kW</v>
          </cell>
          <cell r="D61" t="str">
            <v>Máy</v>
          </cell>
          <cell r="E61">
            <v>0</v>
          </cell>
          <cell r="F61">
            <v>0</v>
          </cell>
          <cell r="G61">
            <v>12937.034181818181</v>
          </cell>
          <cell r="H61">
            <v>459592.89473684214</v>
          </cell>
          <cell r="I61">
            <v>42225.368181818194</v>
          </cell>
        </row>
        <row r="62">
          <cell r="A62">
            <v>0</v>
          </cell>
          <cell r="B62">
            <v>0</v>
          </cell>
          <cell r="C62" t="str">
            <v>Vật liệu</v>
          </cell>
          <cell r="D62">
            <v>0</v>
          </cell>
          <cell r="E62">
            <v>0</v>
          </cell>
          <cell r="F62">
            <v>0</v>
          </cell>
          <cell r="G62">
            <v>0</v>
          </cell>
          <cell r="H62">
            <v>0</v>
          </cell>
          <cell r="I62">
            <v>0</v>
          </cell>
        </row>
        <row r="63">
          <cell r="A63">
            <v>0</v>
          </cell>
          <cell r="B63" t="str">
            <v>VL221</v>
          </cell>
          <cell r="C63" t="str">
            <v>Điện năng</v>
          </cell>
          <cell r="D63" t="str">
            <v>Kwh</v>
          </cell>
          <cell r="E63">
            <v>1.6</v>
          </cell>
          <cell r="F63">
            <v>1622.01</v>
          </cell>
          <cell r="G63">
            <v>2595.2160000000003</v>
          </cell>
          <cell r="H63">
            <v>0</v>
          </cell>
          <cell r="I63">
            <v>0</v>
          </cell>
        </row>
        <row r="64">
          <cell r="A64">
            <v>0</v>
          </cell>
          <cell r="B64" t="str">
            <v>VL177</v>
          </cell>
          <cell r="C64" t="str">
            <v>Cồn công nghiệp</v>
          </cell>
          <cell r="D64" t="str">
            <v>kg</v>
          </cell>
          <cell r="E64">
            <v>0.12</v>
          </cell>
          <cell r="F64">
            <v>20000</v>
          </cell>
          <cell r="G64">
            <v>2400</v>
          </cell>
          <cell r="H64">
            <v>0</v>
          </cell>
          <cell r="I64">
            <v>0</v>
          </cell>
        </row>
        <row r="65">
          <cell r="A65">
            <v>0</v>
          </cell>
          <cell r="B65" t="str">
            <v>VL176</v>
          </cell>
          <cell r="C65" t="str">
            <v>Giẻ lau</v>
          </cell>
          <cell r="D65" t="str">
            <v>kg</v>
          </cell>
          <cell r="E65">
            <v>0.08</v>
          </cell>
          <cell r="F65">
            <v>5000</v>
          </cell>
          <cell r="G65">
            <v>400</v>
          </cell>
          <cell r="H65">
            <v>0</v>
          </cell>
          <cell r="I65">
            <v>0</v>
          </cell>
        </row>
        <row r="66">
          <cell r="A66">
            <v>0</v>
          </cell>
          <cell r="B66" t="str">
            <v>VL186</v>
          </cell>
          <cell r="C66" t="str">
            <v>Giấy nhám số 0</v>
          </cell>
          <cell r="D66" t="str">
            <v>tờ</v>
          </cell>
          <cell r="E66">
            <v>0.16</v>
          </cell>
          <cell r="F66">
            <v>2000</v>
          </cell>
          <cell r="G66">
            <v>320</v>
          </cell>
          <cell r="H66">
            <v>0</v>
          </cell>
          <cell r="I66">
            <v>0</v>
          </cell>
        </row>
        <row r="67">
          <cell r="A67">
            <v>0</v>
          </cell>
          <cell r="B67" t="str">
            <v>VL198</v>
          </cell>
          <cell r="C67" t="str">
            <v>Dây điện 2x1,5mm2</v>
          </cell>
          <cell r="D67" t="str">
            <v>m</v>
          </cell>
          <cell r="E67">
            <v>0.8</v>
          </cell>
          <cell r="F67">
            <v>9027.2727272727261</v>
          </cell>
          <cell r="G67">
            <v>7221.8181818181811</v>
          </cell>
          <cell r="H67">
            <v>0</v>
          </cell>
          <cell r="I67">
            <v>0</v>
          </cell>
        </row>
        <row r="68">
          <cell r="A68">
            <v>0</v>
          </cell>
          <cell r="B68">
            <v>0</v>
          </cell>
          <cell r="C68" t="str">
            <v>Nhân công</v>
          </cell>
          <cell r="D68">
            <v>0</v>
          </cell>
          <cell r="E68">
            <v>0</v>
          </cell>
          <cell r="F68">
            <v>0</v>
          </cell>
          <cell r="G68">
            <v>0</v>
          </cell>
          <cell r="H68">
            <v>0</v>
          </cell>
          <cell r="I68">
            <v>0</v>
          </cell>
        </row>
        <row r="69">
          <cell r="A69">
            <v>0</v>
          </cell>
          <cell r="B69" t="str">
            <v>KS4</v>
          </cell>
          <cell r="C69" t="str">
            <v>Kỹ sư bậc 4,0/8</v>
          </cell>
          <cell r="D69" t="str">
            <v>công</v>
          </cell>
          <cell r="E69">
            <v>1.25</v>
          </cell>
          <cell r="F69">
            <v>237000</v>
          </cell>
          <cell r="G69">
            <v>0</v>
          </cell>
          <cell r="H69">
            <v>296250</v>
          </cell>
          <cell r="I69">
            <v>0</v>
          </cell>
        </row>
        <row r="70">
          <cell r="A70">
            <v>0</v>
          </cell>
          <cell r="B70" t="str">
            <v>N4507</v>
          </cell>
          <cell r="C70" t="str">
            <v xml:space="preserve"> Nhân công bậc 5,0/7 - Nhóm 4</v>
          </cell>
          <cell r="D70" t="str">
            <v>công</v>
          </cell>
          <cell r="E70">
            <v>0.54</v>
          </cell>
          <cell r="F70">
            <v>302486.8421052632</v>
          </cell>
          <cell r="G70">
            <v>0</v>
          </cell>
          <cell r="H70">
            <v>163342.89473684214</v>
          </cell>
          <cell r="I70">
            <v>0</v>
          </cell>
        </row>
        <row r="71">
          <cell r="A71">
            <v>0</v>
          </cell>
          <cell r="B71">
            <v>0</v>
          </cell>
          <cell r="C71" t="str">
            <v>Máy thi công</v>
          </cell>
          <cell r="D71">
            <v>0</v>
          </cell>
          <cell r="E71">
            <v>0</v>
          </cell>
          <cell r="F71">
            <v>0</v>
          </cell>
          <cell r="G71">
            <v>0</v>
          </cell>
          <cell r="H71">
            <v>0</v>
          </cell>
          <cell r="I71">
            <v>0</v>
          </cell>
        </row>
        <row r="72">
          <cell r="A72">
            <v>0</v>
          </cell>
          <cell r="B72" t="str">
            <v>M203.0025</v>
          </cell>
          <cell r="C72" t="str">
            <v>Megôm met</v>
          </cell>
          <cell r="D72" t="str">
            <v>ca</v>
          </cell>
          <cell r="E72">
            <v>0.08</v>
          </cell>
          <cell r="F72">
            <v>40127.500000000007</v>
          </cell>
          <cell r="G72">
            <v>0</v>
          </cell>
          <cell r="H72">
            <v>0</v>
          </cell>
          <cell r="I72">
            <v>3210.2000000000007</v>
          </cell>
        </row>
        <row r="73">
          <cell r="A73">
            <v>0</v>
          </cell>
          <cell r="B73" t="str">
            <v>M203.0014</v>
          </cell>
          <cell r="C73" t="str">
            <v>Máy đo điện trở một chiều</v>
          </cell>
          <cell r="D73" t="str">
            <v>ca</v>
          </cell>
          <cell r="E73">
            <v>0.16</v>
          </cell>
          <cell r="F73">
            <v>142909.77272727276</v>
          </cell>
          <cell r="G73">
            <v>0</v>
          </cell>
          <cell r="H73">
            <v>0</v>
          </cell>
          <cell r="I73">
            <v>22865.563636363644</v>
          </cell>
        </row>
        <row r="74">
          <cell r="A74">
            <v>0</v>
          </cell>
          <cell r="B74" t="str">
            <v>M203.0007</v>
          </cell>
          <cell r="C74" t="str">
            <v>Hợp bộ thí nghiệm cao áp</v>
          </cell>
          <cell r="D74" t="str">
            <v>ca</v>
          </cell>
          <cell r="E74">
            <v>0.04</v>
          </cell>
          <cell r="F74">
            <v>403740.11363636365</v>
          </cell>
          <cell r="G74">
            <v>0</v>
          </cell>
          <cell r="H74">
            <v>0</v>
          </cell>
          <cell r="I74">
            <v>16149.604545454546</v>
          </cell>
        </row>
        <row r="75">
          <cell r="A75" t="str">
            <v>EA.12020</v>
          </cell>
          <cell r="B75">
            <v>0</v>
          </cell>
          <cell r="C75" t="str">
            <v>Thí nghiệm động cơ điện không đồng bộ U&lt;1000V - Công suất máy &lt;=50kW</v>
          </cell>
          <cell r="D75" t="str">
            <v>Máy</v>
          </cell>
          <cell r="E75">
            <v>0</v>
          </cell>
          <cell r="F75">
            <v>0</v>
          </cell>
          <cell r="G75">
            <v>18536.613818181817</v>
          </cell>
          <cell r="H75">
            <v>549746.44736842113</v>
          </cell>
          <cell r="I75">
            <v>50670.441818181833</v>
          </cell>
        </row>
        <row r="76">
          <cell r="A76">
            <v>0</v>
          </cell>
          <cell r="B76">
            <v>0</v>
          </cell>
          <cell r="C76" t="str">
            <v>Vật liệu</v>
          </cell>
          <cell r="D76">
            <v>0</v>
          </cell>
          <cell r="E76">
            <v>0</v>
          </cell>
          <cell r="F76">
            <v>0</v>
          </cell>
          <cell r="G76">
            <v>0</v>
          </cell>
          <cell r="H76">
            <v>0</v>
          </cell>
          <cell r="I76">
            <v>0</v>
          </cell>
        </row>
        <row r="77">
          <cell r="A77">
            <v>0</v>
          </cell>
          <cell r="B77" t="str">
            <v>VL221</v>
          </cell>
          <cell r="C77" t="str">
            <v>Điện năng</v>
          </cell>
          <cell r="D77" t="str">
            <v>Kwh</v>
          </cell>
          <cell r="E77">
            <v>3.2</v>
          </cell>
          <cell r="F77">
            <v>1622.01</v>
          </cell>
          <cell r="G77">
            <v>5190.4320000000007</v>
          </cell>
          <cell r="H77">
            <v>0</v>
          </cell>
          <cell r="I77">
            <v>0</v>
          </cell>
        </row>
        <row r="78">
          <cell r="A78">
            <v>0</v>
          </cell>
          <cell r="B78" t="str">
            <v>VL177</v>
          </cell>
          <cell r="C78" t="str">
            <v>Cồn công nghiệp</v>
          </cell>
          <cell r="D78" t="str">
            <v>kg</v>
          </cell>
          <cell r="E78">
            <v>0.18</v>
          </cell>
          <cell r="F78">
            <v>20000</v>
          </cell>
          <cell r="G78">
            <v>3600</v>
          </cell>
          <cell r="H78">
            <v>0</v>
          </cell>
          <cell r="I78">
            <v>0</v>
          </cell>
        </row>
        <row r="79">
          <cell r="A79">
            <v>0</v>
          </cell>
          <cell r="B79" t="str">
            <v>VL176</v>
          </cell>
          <cell r="C79" t="str">
            <v>Giẻ lau</v>
          </cell>
          <cell r="D79" t="str">
            <v>kg</v>
          </cell>
          <cell r="E79">
            <v>0.12</v>
          </cell>
          <cell r="F79">
            <v>5000</v>
          </cell>
          <cell r="G79">
            <v>600</v>
          </cell>
          <cell r="H79">
            <v>0</v>
          </cell>
          <cell r="I79">
            <v>0</v>
          </cell>
        </row>
        <row r="80">
          <cell r="A80">
            <v>0</v>
          </cell>
          <cell r="B80" t="str">
            <v>VL186</v>
          </cell>
          <cell r="C80" t="str">
            <v>Giấy nhám số 0</v>
          </cell>
          <cell r="D80" t="str">
            <v>tờ</v>
          </cell>
          <cell r="E80">
            <v>0.24</v>
          </cell>
          <cell r="F80">
            <v>2000</v>
          </cell>
          <cell r="G80">
            <v>480</v>
          </cell>
          <cell r="H80">
            <v>0</v>
          </cell>
          <cell r="I80">
            <v>0</v>
          </cell>
        </row>
        <row r="81">
          <cell r="A81">
            <v>0</v>
          </cell>
          <cell r="B81" t="str">
            <v>VL198</v>
          </cell>
          <cell r="C81" t="str">
            <v>Dây điện 2x1,5mm2</v>
          </cell>
          <cell r="D81" t="str">
            <v>m</v>
          </cell>
          <cell r="E81">
            <v>0.96</v>
          </cell>
          <cell r="F81">
            <v>9027.2727272727261</v>
          </cell>
          <cell r="G81">
            <v>8666.1818181818162</v>
          </cell>
          <cell r="H81">
            <v>0</v>
          </cell>
          <cell r="I81">
            <v>0</v>
          </cell>
        </row>
        <row r="82">
          <cell r="A82">
            <v>0</v>
          </cell>
          <cell r="B82">
            <v>0</v>
          </cell>
          <cell r="C82" t="str">
            <v>Nhân công</v>
          </cell>
          <cell r="D82">
            <v>0</v>
          </cell>
          <cell r="E82">
            <v>0</v>
          </cell>
          <cell r="F82">
            <v>0</v>
          </cell>
          <cell r="G82">
            <v>0</v>
          </cell>
          <cell r="H82">
            <v>0</v>
          </cell>
          <cell r="I82">
            <v>0</v>
          </cell>
        </row>
        <row r="83">
          <cell r="A83">
            <v>0</v>
          </cell>
          <cell r="B83" t="str">
            <v>KS4</v>
          </cell>
          <cell r="C83" t="str">
            <v>Kỹ sư bậc 4,0/8</v>
          </cell>
          <cell r="D83" t="str">
            <v>công</v>
          </cell>
          <cell r="E83">
            <v>1.49</v>
          </cell>
          <cell r="F83">
            <v>237000</v>
          </cell>
          <cell r="G83">
            <v>0</v>
          </cell>
          <cell r="H83">
            <v>353130</v>
          </cell>
          <cell r="I83">
            <v>0</v>
          </cell>
        </row>
        <row r="84">
          <cell r="A84">
            <v>0</v>
          </cell>
          <cell r="B84" t="str">
            <v>N4507</v>
          </cell>
          <cell r="C84" t="str">
            <v xml:space="preserve"> Nhân công bậc 5,0/7 - Nhóm 4</v>
          </cell>
          <cell r="D84" t="str">
            <v>công</v>
          </cell>
          <cell r="E84">
            <v>0.65</v>
          </cell>
          <cell r="F84">
            <v>302486.8421052632</v>
          </cell>
          <cell r="G84">
            <v>0</v>
          </cell>
          <cell r="H84">
            <v>196616.4473684211</v>
          </cell>
          <cell r="I84">
            <v>0</v>
          </cell>
        </row>
        <row r="85">
          <cell r="A85">
            <v>0</v>
          </cell>
          <cell r="B85">
            <v>0</v>
          </cell>
          <cell r="C85" t="str">
            <v>Máy thi công</v>
          </cell>
          <cell r="D85">
            <v>0</v>
          </cell>
          <cell r="E85">
            <v>0</v>
          </cell>
          <cell r="F85">
            <v>0</v>
          </cell>
          <cell r="G85">
            <v>0</v>
          </cell>
          <cell r="H85">
            <v>0</v>
          </cell>
          <cell r="I85">
            <v>0</v>
          </cell>
        </row>
        <row r="86">
          <cell r="A86">
            <v>0</v>
          </cell>
          <cell r="B86" t="str">
            <v>M203.0025</v>
          </cell>
          <cell r="C86" t="str">
            <v>Megôm met</v>
          </cell>
          <cell r="D86" t="str">
            <v>ca</v>
          </cell>
          <cell r="E86">
            <v>9.6000000000000002E-2</v>
          </cell>
          <cell r="F86">
            <v>40127.500000000007</v>
          </cell>
          <cell r="G86">
            <v>0</v>
          </cell>
          <cell r="H86">
            <v>0</v>
          </cell>
          <cell r="I86">
            <v>3852.2400000000007</v>
          </cell>
        </row>
        <row r="87">
          <cell r="A87">
            <v>0</v>
          </cell>
          <cell r="B87" t="str">
            <v>M203.0014</v>
          </cell>
          <cell r="C87" t="str">
            <v>Máy đo điện trở một chiều</v>
          </cell>
          <cell r="D87" t="str">
            <v>ca</v>
          </cell>
          <cell r="E87">
            <v>0.192</v>
          </cell>
          <cell r="F87">
            <v>142909.77272727276</v>
          </cell>
          <cell r="G87">
            <v>0</v>
          </cell>
          <cell r="H87">
            <v>0</v>
          </cell>
          <cell r="I87">
            <v>27438.676363636372</v>
          </cell>
        </row>
        <row r="88">
          <cell r="A88">
            <v>0</v>
          </cell>
          <cell r="B88" t="str">
            <v>M203.0007</v>
          </cell>
          <cell r="C88" t="str">
            <v>Hợp bộ thí nghiệm cao áp</v>
          </cell>
          <cell r="D88" t="str">
            <v>ca</v>
          </cell>
          <cell r="E88">
            <v>4.8000000000000001E-2</v>
          </cell>
          <cell r="F88">
            <v>403740.11363636365</v>
          </cell>
          <cell r="G88">
            <v>0</v>
          </cell>
          <cell r="H88">
            <v>0</v>
          </cell>
          <cell r="I88">
            <v>19379.525454545455</v>
          </cell>
        </row>
        <row r="89">
          <cell r="A89" t="str">
            <v>EA.12030</v>
          </cell>
          <cell r="B89">
            <v>0</v>
          </cell>
          <cell r="C89" t="str">
            <v>Thí nghiệm động cơ điện không đồng bộ U&lt;1000V - Công suất máy &lt;=100kW</v>
          </cell>
          <cell r="D89" t="str">
            <v>Máy</v>
          </cell>
          <cell r="E89">
            <v>0</v>
          </cell>
          <cell r="F89">
            <v>0</v>
          </cell>
          <cell r="G89">
            <v>25205.06618181818</v>
          </cell>
          <cell r="H89">
            <v>660169.73684210528</v>
          </cell>
          <cell r="I89">
            <v>60900.836818181822</v>
          </cell>
        </row>
        <row r="90">
          <cell r="A90">
            <v>0</v>
          </cell>
          <cell r="B90">
            <v>0</v>
          </cell>
          <cell r="C90" t="str">
            <v>Vật liệu</v>
          </cell>
          <cell r="D90">
            <v>0</v>
          </cell>
          <cell r="E90">
            <v>0</v>
          </cell>
          <cell r="F90">
            <v>0</v>
          </cell>
          <cell r="G90">
            <v>0</v>
          </cell>
          <cell r="H90">
            <v>0</v>
          </cell>
          <cell r="I90">
            <v>0</v>
          </cell>
        </row>
        <row r="91">
          <cell r="A91">
            <v>0</v>
          </cell>
          <cell r="B91" t="str">
            <v>VL221</v>
          </cell>
          <cell r="C91" t="str">
            <v>Điện năng</v>
          </cell>
          <cell r="D91" t="str">
            <v>Kwh</v>
          </cell>
          <cell r="E91">
            <v>4.8</v>
          </cell>
          <cell r="F91">
            <v>1622.01</v>
          </cell>
          <cell r="G91">
            <v>7785.6479999999992</v>
          </cell>
          <cell r="H91">
            <v>0</v>
          </cell>
          <cell r="I91">
            <v>0</v>
          </cell>
        </row>
        <row r="92">
          <cell r="A92">
            <v>0</v>
          </cell>
          <cell r="B92" t="str">
            <v>VL177</v>
          </cell>
          <cell r="C92" t="str">
            <v>Cồn công nghiệp</v>
          </cell>
          <cell r="D92" t="str">
            <v>kg</v>
          </cell>
          <cell r="E92">
            <v>0.27</v>
          </cell>
          <cell r="F92">
            <v>20000</v>
          </cell>
          <cell r="G92">
            <v>5400</v>
          </cell>
          <cell r="H92">
            <v>0</v>
          </cell>
          <cell r="I92">
            <v>0</v>
          </cell>
        </row>
        <row r="93">
          <cell r="A93">
            <v>0</v>
          </cell>
          <cell r="B93" t="str">
            <v>VL176</v>
          </cell>
          <cell r="C93" t="str">
            <v>Giẻ lau</v>
          </cell>
          <cell r="D93" t="str">
            <v>kg</v>
          </cell>
          <cell r="E93">
            <v>0.18</v>
          </cell>
          <cell r="F93">
            <v>5000</v>
          </cell>
          <cell r="G93">
            <v>900</v>
          </cell>
          <cell r="H93">
            <v>0</v>
          </cell>
          <cell r="I93">
            <v>0</v>
          </cell>
        </row>
        <row r="94">
          <cell r="A94">
            <v>0</v>
          </cell>
          <cell r="B94" t="str">
            <v>VL186</v>
          </cell>
          <cell r="C94" t="str">
            <v>Giấy nhám số 0</v>
          </cell>
          <cell r="D94" t="str">
            <v>tờ</v>
          </cell>
          <cell r="E94">
            <v>0.36</v>
          </cell>
          <cell r="F94">
            <v>2000</v>
          </cell>
          <cell r="G94">
            <v>720</v>
          </cell>
          <cell r="H94">
            <v>0</v>
          </cell>
          <cell r="I94">
            <v>0</v>
          </cell>
        </row>
        <row r="95">
          <cell r="A95">
            <v>0</v>
          </cell>
          <cell r="B95" t="str">
            <v>VL198</v>
          </cell>
          <cell r="C95" t="str">
            <v>Dây điện 2x1,5mm2</v>
          </cell>
          <cell r="D95" t="str">
            <v>m</v>
          </cell>
          <cell r="E95">
            <v>1.1519999999999999</v>
          </cell>
          <cell r="F95">
            <v>9027.2727272727261</v>
          </cell>
          <cell r="G95">
            <v>10399.418181818181</v>
          </cell>
          <cell r="H95">
            <v>0</v>
          </cell>
          <cell r="I95">
            <v>0</v>
          </cell>
        </row>
        <row r="96">
          <cell r="A96">
            <v>0</v>
          </cell>
          <cell r="B96">
            <v>0</v>
          </cell>
          <cell r="C96" t="str">
            <v>Nhân công</v>
          </cell>
          <cell r="D96">
            <v>0</v>
          </cell>
          <cell r="E96">
            <v>0</v>
          </cell>
          <cell r="F96">
            <v>0</v>
          </cell>
          <cell r="G96">
            <v>0</v>
          </cell>
          <cell r="H96">
            <v>0</v>
          </cell>
          <cell r="I96">
            <v>0</v>
          </cell>
        </row>
        <row r="97">
          <cell r="A97">
            <v>0</v>
          </cell>
          <cell r="B97" t="str">
            <v>KS4</v>
          </cell>
          <cell r="C97" t="str">
            <v>Kỹ sư bậc 4,0/8</v>
          </cell>
          <cell r="D97" t="str">
            <v>công</v>
          </cell>
          <cell r="E97">
            <v>1.79</v>
          </cell>
          <cell r="F97">
            <v>237000</v>
          </cell>
          <cell r="G97">
            <v>0</v>
          </cell>
          <cell r="H97">
            <v>424230</v>
          </cell>
          <cell r="I97">
            <v>0</v>
          </cell>
        </row>
        <row r="98">
          <cell r="A98">
            <v>0</v>
          </cell>
          <cell r="B98" t="str">
            <v>N4507</v>
          </cell>
          <cell r="C98" t="str">
            <v xml:space="preserve"> Nhân công bậc 5,0/7 - Nhóm 4</v>
          </cell>
          <cell r="D98" t="str">
            <v>công</v>
          </cell>
          <cell r="E98">
            <v>0.78</v>
          </cell>
          <cell r="F98">
            <v>302486.8421052632</v>
          </cell>
          <cell r="G98">
            <v>0</v>
          </cell>
          <cell r="H98">
            <v>235939.73684210531</v>
          </cell>
          <cell r="I98">
            <v>0</v>
          </cell>
        </row>
        <row r="99">
          <cell r="A99">
            <v>0</v>
          </cell>
          <cell r="B99">
            <v>0</v>
          </cell>
          <cell r="C99" t="str">
            <v>Máy thi công</v>
          </cell>
          <cell r="D99">
            <v>0</v>
          </cell>
          <cell r="E99">
            <v>0</v>
          </cell>
          <cell r="F99">
            <v>0</v>
          </cell>
          <cell r="G99">
            <v>0</v>
          </cell>
          <cell r="H99">
            <v>0</v>
          </cell>
          <cell r="I99">
            <v>0</v>
          </cell>
        </row>
        <row r="100">
          <cell r="A100">
            <v>0</v>
          </cell>
          <cell r="B100" t="str">
            <v>M203.0025</v>
          </cell>
          <cell r="C100" t="str">
            <v>Megôm met</v>
          </cell>
          <cell r="D100" t="str">
            <v>ca</v>
          </cell>
          <cell r="E100">
            <v>0.115</v>
          </cell>
          <cell r="F100">
            <v>40127.500000000007</v>
          </cell>
          <cell r="G100">
            <v>0</v>
          </cell>
          <cell r="H100">
            <v>0</v>
          </cell>
          <cell r="I100">
            <v>4614.6625000000013</v>
          </cell>
        </row>
        <row r="101">
          <cell r="A101">
            <v>0</v>
          </cell>
          <cell r="B101" t="str">
            <v>M203.0014</v>
          </cell>
          <cell r="C101" t="str">
            <v>Máy đo điện trở một chiều</v>
          </cell>
          <cell r="D101" t="str">
            <v>ca</v>
          </cell>
          <cell r="E101">
            <v>0.23</v>
          </cell>
          <cell r="F101">
            <v>142909.77272727276</v>
          </cell>
          <cell r="G101">
            <v>0</v>
          </cell>
          <cell r="H101">
            <v>0</v>
          </cell>
          <cell r="I101">
            <v>32869.247727272734</v>
          </cell>
        </row>
        <row r="102">
          <cell r="A102">
            <v>0</v>
          </cell>
          <cell r="B102" t="str">
            <v>M203.0007</v>
          </cell>
          <cell r="C102" t="str">
            <v>Hợp bộ thí nghiệm cao áp</v>
          </cell>
          <cell r="D102" t="str">
            <v>ca</v>
          </cell>
          <cell r="E102">
            <v>5.8000000000000003E-2</v>
          </cell>
          <cell r="F102">
            <v>403740.11363636365</v>
          </cell>
          <cell r="G102">
            <v>0</v>
          </cell>
          <cell r="H102">
            <v>0</v>
          </cell>
          <cell r="I102">
            <v>23416.926590909094</v>
          </cell>
        </row>
        <row r="103">
          <cell r="A103" t="str">
            <v>EA.12040</v>
          </cell>
          <cell r="B103">
            <v>0</v>
          </cell>
          <cell r="C103" t="str">
            <v>Thí nghiệm động cơ điện không đồng bộ U&lt;1000V - Công suất máy &lt;=200kW</v>
          </cell>
          <cell r="D103" t="str">
            <v>Máy</v>
          </cell>
          <cell r="E103">
            <v>0</v>
          </cell>
          <cell r="F103">
            <v>0</v>
          </cell>
          <cell r="G103">
            <v>33386.554909090904</v>
          </cell>
          <cell r="H103">
            <v>793232.76315789483</v>
          </cell>
          <cell r="I103">
            <v>72981.669886363656</v>
          </cell>
        </row>
        <row r="104">
          <cell r="A104">
            <v>0</v>
          </cell>
          <cell r="B104">
            <v>0</v>
          </cell>
          <cell r="C104" t="str">
            <v>Vật liệu</v>
          </cell>
          <cell r="D104">
            <v>0</v>
          </cell>
          <cell r="E104">
            <v>0</v>
          </cell>
          <cell r="F104">
            <v>0</v>
          </cell>
          <cell r="G104">
            <v>0</v>
          </cell>
          <cell r="H104">
            <v>0</v>
          </cell>
          <cell r="I104">
            <v>0</v>
          </cell>
        </row>
        <row r="105">
          <cell r="A105">
            <v>0</v>
          </cell>
          <cell r="B105" t="str">
            <v>VL221</v>
          </cell>
          <cell r="C105" t="str">
            <v>Điện năng</v>
          </cell>
          <cell r="D105" t="str">
            <v>Kwh</v>
          </cell>
          <cell r="E105">
            <v>6.4</v>
          </cell>
          <cell r="F105">
            <v>1622.01</v>
          </cell>
          <cell r="G105">
            <v>10380.864000000001</v>
          </cell>
          <cell r="H105">
            <v>0</v>
          </cell>
          <cell r="I105">
            <v>0</v>
          </cell>
        </row>
        <row r="106">
          <cell r="A106">
            <v>0</v>
          </cell>
          <cell r="B106" t="str">
            <v>VL177</v>
          </cell>
          <cell r="C106" t="str">
            <v>Cồn công nghiệp</v>
          </cell>
          <cell r="D106" t="str">
            <v>kg</v>
          </cell>
          <cell r="E106">
            <v>0.40500000000000003</v>
          </cell>
          <cell r="F106">
            <v>20000</v>
          </cell>
          <cell r="G106">
            <v>8100.0000000000009</v>
          </cell>
          <cell r="H106">
            <v>0</v>
          </cell>
          <cell r="I106">
            <v>0</v>
          </cell>
        </row>
        <row r="107">
          <cell r="A107">
            <v>0</v>
          </cell>
          <cell r="B107" t="str">
            <v>VL176</v>
          </cell>
          <cell r="C107" t="str">
            <v>Giẻ lau</v>
          </cell>
          <cell r="D107" t="str">
            <v>kg</v>
          </cell>
          <cell r="E107">
            <v>0.27</v>
          </cell>
          <cell r="F107">
            <v>5000</v>
          </cell>
          <cell r="G107">
            <v>1350</v>
          </cell>
          <cell r="H107">
            <v>0</v>
          </cell>
          <cell r="I107">
            <v>0</v>
          </cell>
        </row>
        <row r="108">
          <cell r="A108">
            <v>0</v>
          </cell>
          <cell r="B108" t="str">
            <v>VL186</v>
          </cell>
          <cell r="C108" t="str">
            <v>Giấy nhám số 0</v>
          </cell>
          <cell r="D108" t="str">
            <v>tờ</v>
          </cell>
          <cell r="E108">
            <v>0.54</v>
          </cell>
          <cell r="F108">
            <v>2000</v>
          </cell>
          <cell r="G108">
            <v>1080</v>
          </cell>
          <cell r="H108">
            <v>0</v>
          </cell>
          <cell r="I108">
            <v>0</v>
          </cell>
        </row>
        <row r="109">
          <cell r="A109">
            <v>0</v>
          </cell>
          <cell r="B109" t="str">
            <v>VL198</v>
          </cell>
          <cell r="C109" t="str">
            <v>Dây điện 2x1,5mm2</v>
          </cell>
          <cell r="D109" t="str">
            <v>m</v>
          </cell>
          <cell r="E109">
            <v>1.3819999999999999</v>
          </cell>
          <cell r="F109">
            <v>9027.2727272727261</v>
          </cell>
          <cell r="G109">
            <v>12475.690909090907</v>
          </cell>
          <cell r="H109">
            <v>0</v>
          </cell>
          <cell r="I109">
            <v>0</v>
          </cell>
        </row>
        <row r="110">
          <cell r="A110">
            <v>0</v>
          </cell>
          <cell r="B110">
            <v>0</v>
          </cell>
          <cell r="C110" t="str">
            <v>Nhân công</v>
          </cell>
          <cell r="D110">
            <v>0</v>
          </cell>
          <cell r="E110">
            <v>0</v>
          </cell>
          <cell r="F110">
            <v>0</v>
          </cell>
          <cell r="G110">
            <v>0</v>
          </cell>
          <cell r="H110">
            <v>0</v>
          </cell>
          <cell r="I110">
            <v>0</v>
          </cell>
        </row>
        <row r="111">
          <cell r="A111">
            <v>0</v>
          </cell>
          <cell r="B111" t="str">
            <v>KS4</v>
          </cell>
          <cell r="C111" t="str">
            <v>Kỹ sư bậc 4,0/8</v>
          </cell>
          <cell r="D111" t="str">
            <v>công</v>
          </cell>
          <cell r="E111">
            <v>2.16</v>
          </cell>
          <cell r="F111">
            <v>237000</v>
          </cell>
          <cell r="G111">
            <v>0</v>
          </cell>
          <cell r="H111">
            <v>511920.00000000006</v>
          </cell>
          <cell r="I111">
            <v>0</v>
          </cell>
        </row>
        <row r="112">
          <cell r="A112">
            <v>0</v>
          </cell>
          <cell r="B112" t="str">
            <v>N4507</v>
          </cell>
          <cell r="C112" t="str">
            <v xml:space="preserve"> Nhân công bậc 5,0/7 - Nhóm 4</v>
          </cell>
          <cell r="D112" t="str">
            <v>công</v>
          </cell>
          <cell r="E112">
            <v>0.93</v>
          </cell>
          <cell r="F112">
            <v>302486.8421052632</v>
          </cell>
          <cell r="G112">
            <v>0</v>
          </cell>
          <cell r="H112">
            <v>281312.76315789478</v>
          </cell>
          <cell r="I112">
            <v>0</v>
          </cell>
        </row>
        <row r="113">
          <cell r="A113">
            <v>0</v>
          </cell>
          <cell r="B113">
            <v>0</v>
          </cell>
          <cell r="C113" t="str">
            <v>Máy thi công</v>
          </cell>
          <cell r="D113">
            <v>0</v>
          </cell>
          <cell r="E113">
            <v>0</v>
          </cell>
          <cell r="F113">
            <v>0</v>
          </cell>
          <cell r="G113">
            <v>0</v>
          </cell>
          <cell r="H113">
            <v>0</v>
          </cell>
          <cell r="I113">
            <v>0</v>
          </cell>
        </row>
        <row r="114">
          <cell r="A114">
            <v>0</v>
          </cell>
          <cell r="B114" t="str">
            <v>M203.0025</v>
          </cell>
          <cell r="C114" t="str">
            <v>Megôm met</v>
          </cell>
          <cell r="D114" t="str">
            <v>ca</v>
          </cell>
          <cell r="E114">
            <v>0.13800000000000001</v>
          </cell>
          <cell r="F114">
            <v>40127.500000000007</v>
          </cell>
          <cell r="G114">
            <v>0</v>
          </cell>
          <cell r="H114">
            <v>0</v>
          </cell>
          <cell r="I114">
            <v>5537.5950000000012</v>
          </cell>
        </row>
        <row r="115">
          <cell r="A115">
            <v>0</v>
          </cell>
          <cell r="B115" t="str">
            <v>M203.0014</v>
          </cell>
          <cell r="C115" t="str">
            <v>Máy đo điện trở một chiều</v>
          </cell>
          <cell r="D115" t="str">
            <v>ca</v>
          </cell>
          <cell r="E115">
            <v>0.27700000000000002</v>
          </cell>
          <cell r="F115">
            <v>142909.77272727276</v>
          </cell>
          <cell r="G115">
            <v>0</v>
          </cell>
          <cell r="H115">
            <v>0</v>
          </cell>
          <cell r="I115">
            <v>39586.007045454557</v>
          </cell>
        </row>
        <row r="116">
          <cell r="A116">
            <v>0</v>
          </cell>
          <cell r="B116" t="str">
            <v>M203.0007</v>
          </cell>
          <cell r="C116" t="str">
            <v>Hợp bộ thí nghiệm cao áp</v>
          </cell>
          <cell r="D116" t="str">
            <v>ca</v>
          </cell>
          <cell r="E116">
            <v>6.9000000000000006E-2</v>
          </cell>
          <cell r="F116">
            <v>403740.11363636365</v>
          </cell>
          <cell r="G116">
            <v>0</v>
          </cell>
          <cell r="H116">
            <v>0</v>
          </cell>
          <cell r="I116">
            <v>27858.067840909094</v>
          </cell>
        </row>
        <row r="117">
          <cell r="A117" t="str">
            <v>EA.21110</v>
          </cell>
          <cell r="B117">
            <v>0</v>
          </cell>
          <cell r="C117" t="str">
            <v>Thí nghiệm máy biến áp 3 pha U&lt;=110kV - S&lt;=16MVA</v>
          </cell>
          <cell r="D117" t="str">
            <v>Máy</v>
          </cell>
          <cell r="E117">
            <v>0</v>
          </cell>
          <cell r="F117">
            <v>0</v>
          </cell>
          <cell r="G117">
            <v>126492.76726909089</v>
          </cell>
          <cell r="H117">
            <v>12008665.263157895</v>
          </cell>
          <cell r="I117">
            <v>2053310.1077261753</v>
          </cell>
        </row>
        <row r="118">
          <cell r="A118">
            <v>0</v>
          </cell>
          <cell r="B118">
            <v>0</v>
          </cell>
          <cell r="C118" t="str">
            <v>Vật liệu</v>
          </cell>
          <cell r="D118">
            <v>0</v>
          </cell>
          <cell r="E118">
            <v>0</v>
          </cell>
          <cell r="F118">
            <v>0</v>
          </cell>
          <cell r="G118">
            <v>0</v>
          </cell>
          <cell r="H118">
            <v>0</v>
          </cell>
          <cell r="I118">
            <v>0</v>
          </cell>
        </row>
        <row r="119">
          <cell r="A119">
            <v>0</v>
          </cell>
          <cell r="B119" t="str">
            <v>VL221</v>
          </cell>
          <cell r="C119" t="str">
            <v>Điện năng</v>
          </cell>
          <cell r="D119" t="str">
            <v>Kwh</v>
          </cell>
          <cell r="E119">
            <v>4.4359999999999999</v>
          </cell>
          <cell r="F119">
            <v>1622.01</v>
          </cell>
          <cell r="G119">
            <v>7195.2363599999999</v>
          </cell>
          <cell r="H119">
            <v>0</v>
          </cell>
          <cell r="I119">
            <v>0</v>
          </cell>
        </row>
        <row r="120">
          <cell r="A120">
            <v>0</v>
          </cell>
          <cell r="B120" t="str">
            <v>VL188</v>
          </cell>
          <cell r="C120" t="str">
            <v>Vải phin trắng 0,8m</v>
          </cell>
          <cell r="D120" t="str">
            <v>m</v>
          </cell>
          <cell r="E120">
            <v>1.109</v>
          </cell>
          <cell r="F120">
            <v>8000</v>
          </cell>
          <cell r="G120">
            <v>8872</v>
          </cell>
          <cell r="H120">
            <v>0</v>
          </cell>
          <cell r="I120">
            <v>0</v>
          </cell>
        </row>
        <row r="121">
          <cell r="A121">
            <v>0</v>
          </cell>
          <cell r="B121" t="str">
            <v>VL176</v>
          </cell>
          <cell r="C121" t="str">
            <v>Giẻ lau</v>
          </cell>
          <cell r="D121" t="str">
            <v>kg</v>
          </cell>
          <cell r="E121">
            <v>1.109</v>
          </cell>
          <cell r="F121">
            <v>5000</v>
          </cell>
          <cell r="G121">
            <v>5545</v>
          </cell>
          <cell r="H121">
            <v>0</v>
          </cell>
          <cell r="I121">
            <v>0</v>
          </cell>
        </row>
        <row r="122">
          <cell r="A122">
            <v>0</v>
          </cell>
          <cell r="B122" t="str">
            <v>VL179</v>
          </cell>
          <cell r="C122" t="str">
            <v>Băng cách điện</v>
          </cell>
          <cell r="D122" t="str">
            <v>cuộn</v>
          </cell>
          <cell r="E122">
            <v>1.109</v>
          </cell>
          <cell r="F122">
            <v>5000</v>
          </cell>
          <cell r="G122">
            <v>5545</v>
          </cell>
          <cell r="H122">
            <v>0</v>
          </cell>
          <cell r="I122">
            <v>0</v>
          </cell>
        </row>
        <row r="123">
          <cell r="A123">
            <v>0</v>
          </cell>
          <cell r="B123" t="str">
            <v>VL177</v>
          </cell>
          <cell r="C123" t="str">
            <v>Cồn công nghiệp</v>
          </cell>
          <cell r="D123" t="str">
            <v>kg</v>
          </cell>
          <cell r="E123">
            <v>1.109</v>
          </cell>
          <cell r="F123">
            <v>20000</v>
          </cell>
          <cell r="G123">
            <v>22180</v>
          </cell>
          <cell r="H123">
            <v>0</v>
          </cell>
          <cell r="I123">
            <v>0</v>
          </cell>
        </row>
        <row r="124">
          <cell r="A124">
            <v>0</v>
          </cell>
          <cell r="B124" t="str">
            <v>VL186</v>
          </cell>
          <cell r="C124" t="str">
            <v>Giấy nhám số 0</v>
          </cell>
          <cell r="D124" t="str">
            <v>tờ</v>
          </cell>
          <cell r="E124">
            <v>2.218</v>
          </cell>
          <cell r="F124">
            <v>2000</v>
          </cell>
          <cell r="G124">
            <v>4436</v>
          </cell>
          <cell r="H124">
            <v>0</v>
          </cell>
          <cell r="I124">
            <v>0</v>
          </cell>
        </row>
        <row r="125">
          <cell r="A125">
            <v>0</v>
          </cell>
          <cell r="B125" t="str">
            <v>VL198</v>
          </cell>
          <cell r="C125" t="str">
            <v>Dây điện 2x1,5mm2</v>
          </cell>
          <cell r="D125" t="str">
            <v>m</v>
          </cell>
          <cell r="E125">
            <v>4.4359999999999999</v>
          </cell>
          <cell r="F125">
            <v>9027.2727272727261</v>
          </cell>
          <cell r="G125">
            <v>40044.981818181812</v>
          </cell>
          <cell r="H125">
            <v>0</v>
          </cell>
          <cell r="I125">
            <v>0</v>
          </cell>
        </row>
        <row r="126">
          <cell r="A126">
            <v>0</v>
          </cell>
          <cell r="B126" t="str">
            <v>VL199</v>
          </cell>
          <cell r="C126" t="str">
            <v>Dây điện 7x2,5mm2</v>
          </cell>
          <cell r="D126" t="str">
            <v>m</v>
          </cell>
          <cell r="E126">
            <v>0.73899999999999999</v>
          </cell>
          <cell r="F126">
            <v>44214.545454545449</v>
          </cell>
          <cell r="G126">
            <v>32674.549090909088</v>
          </cell>
          <cell r="H126">
            <v>0</v>
          </cell>
          <cell r="I126">
            <v>0</v>
          </cell>
        </row>
        <row r="127">
          <cell r="A127">
            <v>0</v>
          </cell>
          <cell r="B127">
            <v>0</v>
          </cell>
          <cell r="C127" t="str">
            <v>Nhân công</v>
          </cell>
          <cell r="D127">
            <v>0</v>
          </cell>
          <cell r="E127">
            <v>0</v>
          </cell>
          <cell r="F127">
            <v>0</v>
          </cell>
          <cell r="G127">
            <v>0</v>
          </cell>
          <cell r="H127">
            <v>0</v>
          </cell>
          <cell r="I127">
            <v>0</v>
          </cell>
        </row>
        <row r="128">
          <cell r="A128">
            <v>0</v>
          </cell>
          <cell r="B128" t="str">
            <v>KS4</v>
          </cell>
          <cell r="C128" t="str">
            <v>Kỹ sư bậc 4,0/8</v>
          </cell>
          <cell r="D128" t="str">
            <v>công</v>
          </cell>
          <cell r="E128">
            <v>32.75</v>
          </cell>
          <cell r="F128">
            <v>237000</v>
          </cell>
          <cell r="G128">
            <v>0</v>
          </cell>
          <cell r="H128">
            <v>7761750</v>
          </cell>
          <cell r="I128">
            <v>0</v>
          </cell>
        </row>
        <row r="129">
          <cell r="A129">
            <v>0</v>
          </cell>
          <cell r="B129" t="str">
            <v>N4507</v>
          </cell>
          <cell r="C129" t="str">
            <v xml:space="preserve"> Nhân công bậc 5,0/7 - Nhóm 4</v>
          </cell>
          <cell r="D129" t="str">
            <v>công</v>
          </cell>
          <cell r="E129">
            <v>14.04</v>
          </cell>
          <cell r="F129">
            <v>302486.8421052632</v>
          </cell>
          <cell r="G129">
            <v>0</v>
          </cell>
          <cell r="H129">
            <v>4246915.2631578948</v>
          </cell>
          <cell r="I129">
            <v>0</v>
          </cell>
        </row>
        <row r="130">
          <cell r="A130">
            <v>0</v>
          </cell>
          <cell r="B130">
            <v>0</v>
          </cell>
          <cell r="C130" t="str">
            <v>Máy thi công</v>
          </cell>
          <cell r="D130">
            <v>0</v>
          </cell>
          <cell r="E130">
            <v>0</v>
          </cell>
          <cell r="F130">
            <v>0</v>
          </cell>
          <cell r="G130">
            <v>0</v>
          </cell>
          <cell r="H130">
            <v>0</v>
          </cell>
          <cell r="I130">
            <v>0</v>
          </cell>
        </row>
        <row r="131">
          <cell r="A131">
            <v>0</v>
          </cell>
          <cell r="B131" t="str">
            <v>M203.0004</v>
          </cell>
          <cell r="C131" t="str">
            <v>Hợp bộ đo Tg</v>
          </cell>
          <cell r="D131" t="str">
            <v>ca</v>
          </cell>
          <cell r="E131">
            <v>0.93700000000000006</v>
          </cell>
          <cell r="F131">
            <v>796170.45454545447</v>
          </cell>
          <cell r="G131">
            <v>0</v>
          </cell>
          <cell r="H131">
            <v>0</v>
          </cell>
          <cell r="I131">
            <v>746011.71590909094</v>
          </cell>
        </row>
        <row r="132">
          <cell r="A132">
            <v>0</v>
          </cell>
          <cell r="B132" t="str">
            <v>M203.0025</v>
          </cell>
          <cell r="C132" t="str">
            <v>Megôm met</v>
          </cell>
          <cell r="D132" t="str">
            <v>ca</v>
          </cell>
          <cell r="E132">
            <v>0.55800000000000005</v>
          </cell>
          <cell r="F132">
            <v>40127.500000000007</v>
          </cell>
          <cell r="G132">
            <v>0</v>
          </cell>
          <cell r="H132">
            <v>0</v>
          </cell>
          <cell r="I132">
            <v>22391.145000000008</v>
          </cell>
        </row>
        <row r="133">
          <cell r="A133">
            <v>0</v>
          </cell>
          <cell r="B133" t="str">
            <v>M203.0007</v>
          </cell>
          <cell r="C133" t="str">
            <v>Hợp bộ thí nghiệm cao áp</v>
          </cell>
          <cell r="D133" t="str">
            <v>ca</v>
          </cell>
          <cell r="E133">
            <v>0.46800000000000003</v>
          </cell>
          <cell r="F133">
            <v>403740.11363636365</v>
          </cell>
          <cell r="G133">
            <v>0</v>
          </cell>
          <cell r="H133">
            <v>0</v>
          </cell>
          <cell r="I133">
            <v>188950.3731818182</v>
          </cell>
        </row>
        <row r="134">
          <cell r="A134">
            <v>0</v>
          </cell>
          <cell r="B134" t="str">
            <v>M203.0020</v>
          </cell>
          <cell r="C134" t="str">
            <v>Máy chụp sóng</v>
          </cell>
          <cell r="D134" t="str">
            <v>ca</v>
          </cell>
          <cell r="E134">
            <v>0.46800000000000003</v>
          </cell>
          <cell r="F134">
            <v>414683.97727272729</v>
          </cell>
          <cell r="G134">
            <v>0</v>
          </cell>
          <cell r="H134">
            <v>0</v>
          </cell>
          <cell r="I134">
            <v>194072.10136363638</v>
          </cell>
        </row>
        <row r="135">
          <cell r="A135">
            <v>0</v>
          </cell>
          <cell r="B135" t="str">
            <v>M203.0005</v>
          </cell>
          <cell r="C135" t="str">
            <v>Hợp bộ đo lường</v>
          </cell>
          <cell r="D135" t="str">
            <v>ca</v>
          </cell>
          <cell r="E135">
            <v>0.55800000000000005</v>
          </cell>
          <cell r="F135">
            <v>752668.63636363659</v>
          </cell>
          <cell r="G135">
            <v>0</v>
          </cell>
          <cell r="H135">
            <v>0</v>
          </cell>
          <cell r="I135">
            <v>419989.09909090924</v>
          </cell>
        </row>
        <row r="136">
          <cell r="A136">
            <v>0</v>
          </cell>
          <cell r="B136" t="str">
            <v>M203.0014</v>
          </cell>
          <cell r="C136" t="str">
            <v>Máy đo điện trở một chiều</v>
          </cell>
          <cell r="D136" t="str">
            <v>ca</v>
          </cell>
          <cell r="E136">
            <v>0.29699999999999999</v>
          </cell>
          <cell r="F136">
            <v>142909.77272727276</v>
          </cell>
          <cell r="G136">
            <v>0</v>
          </cell>
          <cell r="H136">
            <v>0</v>
          </cell>
          <cell r="I136">
            <v>42444.202500000007</v>
          </cell>
        </row>
        <row r="137">
          <cell r="A137">
            <v>0</v>
          </cell>
          <cell r="B137" t="str">
            <v>M102.1802</v>
          </cell>
          <cell r="C137" t="str">
            <v>Xe thang nâng</v>
          </cell>
          <cell r="D137" t="str">
            <v>ca</v>
          </cell>
          <cell r="E137">
            <v>0.14099999999999999</v>
          </cell>
          <cell r="F137">
            <v>1819914.2343571431</v>
          </cell>
          <cell r="G137">
            <v>0</v>
          </cell>
          <cell r="H137">
            <v>0</v>
          </cell>
          <cell r="I137">
            <v>256607.90704435715</v>
          </cell>
        </row>
        <row r="138">
          <cell r="A138">
            <v>0</v>
          </cell>
          <cell r="B138" t="str">
            <v>M203.0019</v>
          </cell>
          <cell r="C138" t="str">
            <v>Máy đo tỷ số biến</v>
          </cell>
          <cell r="D138" t="str">
            <v>ca</v>
          </cell>
          <cell r="E138">
            <v>1.52</v>
          </cell>
          <cell r="F138">
            <v>120291.81818181821</v>
          </cell>
          <cell r="G138">
            <v>0</v>
          </cell>
          <cell r="H138">
            <v>0</v>
          </cell>
          <cell r="I138">
            <v>182843.56363636369</v>
          </cell>
        </row>
        <row r="139">
          <cell r="A139" t="str">
            <v>EA.21120</v>
          </cell>
          <cell r="B139">
            <v>0</v>
          </cell>
          <cell r="C139" t="str">
            <v>Thí nghiệm máy biến áp 3 pha U&lt;=110kV - S&lt;=25MVA</v>
          </cell>
          <cell r="D139" t="str">
            <v>Máy</v>
          </cell>
          <cell r="E139">
            <v>0</v>
          </cell>
          <cell r="F139">
            <v>0</v>
          </cell>
          <cell r="G139">
            <v>130396.65354818181</v>
          </cell>
          <cell r="H139">
            <v>12216352.105263159</v>
          </cell>
          <cell r="I139">
            <v>2136772.5859676171</v>
          </cell>
        </row>
        <row r="140">
          <cell r="A140">
            <v>0</v>
          </cell>
          <cell r="B140">
            <v>0</v>
          </cell>
          <cell r="C140" t="str">
            <v>Vật liệu</v>
          </cell>
          <cell r="D140">
            <v>0</v>
          </cell>
          <cell r="E140">
            <v>0</v>
          </cell>
          <cell r="F140">
            <v>0</v>
          </cell>
          <cell r="G140">
            <v>0</v>
          </cell>
          <cell r="H140">
            <v>0</v>
          </cell>
          <cell r="I140">
            <v>0</v>
          </cell>
        </row>
        <row r="141">
          <cell r="A141">
            <v>0</v>
          </cell>
          <cell r="B141" t="str">
            <v>VL221</v>
          </cell>
          <cell r="C141" t="str">
            <v>Điện năng</v>
          </cell>
          <cell r="D141" t="str">
            <v>Kwh</v>
          </cell>
          <cell r="E141">
            <v>4.5730000000000004</v>
          </cell>
          <cell r="F141">
            <v>1622.01</v>
          </cell>
          <cell r="G141">
            <v>7417.4517300000007</v>
          </cell>
          <cell r="H141">
            <v>0</v>
          </cell>
          <cell r="I141">
            <v>0</v>
          </cell>
        </row>
        <row r="142">
          <cell r="A142">
            <v>0</v>
          </cell>
          <cell r="B142" t="str">
            <v>VL188</v>
          </cell>
          <cell r="C142" t="str">
            <v>Vải phin trắng 0,8m</v>
          </cell>
          <cell r="D142" t="str">
            <v>m</v>
          </cell>
          <cell r="E142">
            <v>1.143</v>
          </cell>
          <cell r="F142">
            <v>8000</v>
          </cell>
          <cell r="G142">
            <v>9144</v>
          </cell>
          <cell r="H142">
            <v>0</v>
          </cell>
          <cell r="I142">
            <v>0</v>
          </cell>
        </row>
        <row r="143">
          <cell r="A143">
            <v>0</v>
          </cell>
          <cell r="B143" t="str">
            <v>VL176</v>
          </cell>
          <cell r="C143" t="str">
            <v>Giẻ lau</v>
          </cell>
          <cell r="D143" t="str">
            <v>kg</v>
          </cell>
          <cell r="E143">
            <v>1.143</v>
          </cell>
          <cell r="F143">
            <v>5000</v>
          </cell>
          <cell r="G143">
            <v>5715</v>
          </cell>
          <cell r="H143">
            <v>0</v>
          </cell>
          <cell r="I143">
            <v>0</v>
          </cell>
        </row>
        <row r="144">
          <cell r="A144">
            <v>0</v>
          </cell>
          <cell r="B144" t="str">
            <v>VL179</v>
          </cell>
          <cell r="C144" t="str">
            <v>Băng cách điện</v>
          </cell>
          <cell r="D144" t="str">
            <v>cuộn</v>
          </cell>
          <cell r="E144">
            <v>1.143</v>
          </cell>
          <cell r="F144">
            <v>5000</v>
          </cell>
          <cell r="G144">
            <v>5715</v>
          </cell>
          <cell r="H144">
            <v>0</v>
          </cell>
          <cell r="I144">
            <v>0</v>
          </cell>
        </row>
        <row r="145">
          <cell r="A145">
            <v>0</v>
          </cell>
          <cell r="B145" t="str">
            <v>VL177</v>
          </cell>
          <cell r="C145" t="str">
            <v>Cồn công nghiệp</v>
          </cell>
          <cell r="D145" t="str">
            <v>kg</v>
          </cell>
          <cell r="E145">
            <v>1.143</v>
          </cell>
          <cell r="F145">
            <v>20000</v>
          </cell>
          <cell r="G145">
            <v>22860</v>
          </cell>
          <cell r="H145">
            <v>0</v>
          </cell>
          <cell r="I145">
            <v>0</v>
          </cell>
        </row>
        <row r="146">
          <cell r="A146">
            <v>0</v>
          </cell>
          <cell r="B146" t="str">
            <v>VL186</v>
          </cell>
          <cell r="C146" t="str">
            <v>Giấy nhám số 0</v>
          </cell>
          <cell r="D146" t="str">
            <v>tờ</v>
          </cell>
          <cell r="E146">
            <v>2.286</v>
          </cell>
          <cell r="F146">
            <v>2000</v>
          </cell>
          <cell r="G146">
            <v>4572</v>
          </cell>
          <cell r="H146">
            <v>0</v>
          </cell>
          <cell r="I146">
            <v>0</v>
          </cell>
        </row>
        <row r="147">
          <cell r="A147">
            <v>0</v>
          </cell>
          <cell r="B147" t="str">
            <v>VL198</v>
          </cell>
          <cell r="C147" t="str">
            <v>Dây điện 2x1,5mm2</v>
          </cell>
          <cell r="D147" t="str">
            <v>m</v>
          </cell>
          <cell r="E147">
            <v>4.5730000000000004</v>
          </cell>
          <cell r="F147">
            <v>9027.2727272727261</v>
          </cell>
          <cell r="G147">
            <v>41281.718181818178</v>
          </cell>
          <cell r="H147">
            <v>0</v>
          </cell>
          <cell r="I147">
            <v>0</v>
          </cell>
        </row>
        <row r="148">
          <cell r="A148">
            <v>0</v>
          </cell>
          <cell r="B148" t="str">
            <v>VL199</v>
          </cell>
          <cell r="C148" t="str">
            <v>Dây điện 7x2,5mm2</v>
          </cell>
          <cell r="D148" t="str">
            <v>m</v>
          </cell>
          <cell r="E148">
            <v>0.76200000000000001</v>
          </cell>
          <cell r="F148">
            <v>44214.545454545449</v>
          </cell>
          <cell r="G148">
            <v>33691.483636363635</v>
          </cell>
          <cell r="H148">
            <v>0</v>
          </cell>
          <cell r="I148">
            <v>0</v>
          </cell>
        </row>
        <row r="149">
          <cell r="A149">
            <v>0</v>
          </cell>
          <cell r="B149">
            <v>0</v>
          </cell>
          <cell r="C149" t="str">
            <v>Nhân công</v>
          </cell>
          <cell r="D149">
            <v>0</v>
          </cell>
          <cell r="E149">
            <v>0</v>
          </cell>
          <cell r="F149">
            <v>0</v>
          </cell>
          <cell r="G149">
            <v>0</v>
          </cell>
          <cell r="H149">
            <v>0</v>
          </cell>
          <cell r="I149">
            <v>0</v>
          </cell>
        </row>
        <row r="150">
          <cell r="A150">
            <v>0</v>
          </cell>
          <cell r="B150" t="str">
            <v>KS4</v>
          </cell>
          <cell r="C150" t="str">
            <v>Kỹ sư bậc 4,0/8</v>
          </cell>
          <cell r="D150" t="str">
            <v>công</v>
          </cell>
          <cell r="E150">
            <v>33.32</v>
          </cell>
          <cell r="F150">
            <v>237000</v>
          </cell>
          <cell r="G150">
            <v>0</v>
          </cell>
          <cell r="H150">
            <v>7896840</v>
          </cell>
          <cell r="I150">
            <v>0</v>
          </cell>
        </row>
        <row r="151">
          <cell r="A151">
            <v>0</v>
          </cell>
          <cell r="B151" t="str">
            <v>N4507</v>
          </cell>
          <cell r="C151" t="str">
            <v xml:space="preserve"> Nhân công bậc 5,0/7 - Nhóm 4</v>
          </cell>
          <cell r="D151" t="str">
            <v>công</v>
          </cell>
          <cell r="E151">
            <v>14.28</v>
          </cell>
          <cell r="F151">
            <v>302486.8421052632</v>
          </cell>
          <cell r="G151">
            <v>0</v>
          </cell>
          <cell r="H151">
            <v>4319512.1052631587</v>
          </cell>
          <cell r="I151">
            <v>0</v>
          </cell>
        </row>
        <row r="152">
          <cell r="A152">
            <v>0</v>
          </cell>
          <cell r="B152">
            <v>0</v>
          </cell>
          <cell r="C152" t="str">
            <v>Máy thi công</v>
          </cell>
          <cell r="D152">
            <v>0</v>
          </cell>
          <cell r="E152">
            <v>0</v>
          </cell>
          <cell r="F152">
            <v>0</v>
          </cell>
          <cell r="G152">
            <v>0</v>
          </cell>
          <cell r="H152">
            <v>0</v>
          </cell>
          <cell r="I152">
            <v>0</v>
          </cell>
        </row>
        <row r="153">
          <cell r="A153">
            <v>0</v>
          </cell>
          <cell r="B153" t="str">
            <v>M203.0004</v>
          </cell>
          <cell r="C153" t="str">
            <v>Hợp bộ đo Tg</v>
          </cell>
          <cell r="D153" t="str">
            <v>ca</v>
          </cell>
          <cell r="E153">
            <v>0.95299999999999996</v>
          </cell>
          <cell r="F153">
            <v>796170.45454545447</v>
          </cell>
          <cell r="G153">
            <v>0</v>
          </cell>
          <cell r="H153">
            <v>0</v>
          </cell>
          <cell r="I153">
            <v>758750.44318181812</v>
          </cell>
        </row>
        <row r="154">
          <cell r="A154">
            <v>0</v>
          </cell>
          <cell r="B154" t="str">
            <v>M203.0025</v>
          </cell>
          <cell r="C154" t="str">
            <v>Megôm met</v>
          </cell>
          <cell r="D154" t="str">
            <v>ca</v>
          </cell>
          <cell r="E154">
            <v>0.56699999999999995</v>
          </cell>
          <cell r="F154">
            <v>40127.500000000007</v>
          </cell>
          <cell r="G154">
            <v>0</v>
          </cell>
          <cell r="H154">
            <v>0</v>
          </cell>
          <cell r="I154">
            <v>22752.292500000003</v>
          </cell>
        </row>
        <row r="155">
          <cell r="A155">
            <v>0</v>
          </cell>
          <cell r="B155" t="str">
            <v>M203.0007</v>
          </cell>
          <cell r="C155" t="str">
            <v>Hợp bộ thí nghiệm cao áp</v>
          </cell>
          <cell r="D155" t="str">
            <v>ca</v>
          </cell>
          <cell r="E155">
            <v>0.47699999999999998</v>
          </cell>
          <cell r="F155">
            <v>403740.11363636365</v>
          </cell>
          <cell r="G155">
            <v>0</v>
          </cell>
          <cell r="H155">
            <v>0</v>
          </cell>
          <cell r="I155">
            <v>192584.03420454546</v>
          </cell>
        </row>
        <row r="156">
          <cell r="A156">
            <v>0</v>
          </cell>
          <cell r="B156" t="str">
            <v>M203.0020</v>
          </cell>
          <cell r="C156" t="str">
            <v>Máy chụp sóng</v>
          </cell>
          <cell r="D156" t="str">
            <v>ca</v>
          </cell>
          <cell r="E156">
            <v>0.47699999999999998</v>
          </cell>
          <cell r="F156">
            <v>414683.97727272729</v>
          </cell>
          <cell r="G156">
            <v>0</v>
          </cell>
          <cell r="H156">
            <v>0</v>
          </cell>
          <cell r="I156">
            <v>197804.25715909092</v>
          </cell>
        </row>
        <row r="157">
          <cell r="A157">
            <v>0</v>
          </cell>
          <cell r="B157" t="str">
            <v>M203.0005</v>
          </cell>
          <cell r="C157" t="str">
            <v>Hợp bộ đo lường</v>
          </cell>
          <cell r="D157" t="str">
            <v>ca</v>
          </cell>
          <cell r="E157">
            <v>0.56699999999999995</v>
          </cell>
          <cell r="F157">
            <v>752668.63636363659</v>
          </cell>
          <cell r="G157">
            <v>0</v>
          </cell>
          <cell r="H157">
            <v>0</v>
          </cell>
          <cell r="I157">
            <v>426763.11681818188</v>
          </cell>
        </row>
        <row r="158">
          <cell r="A158">
            <v>0</v>
          </cell>
          <cell r="B158" t="str">
            <v>M203.0014</v>
          </cell>
          <cell r="C158" t="str">
            <v>Máy đo điện trở một chiều</v>
          </cell>
          <cell r="D158" t="str">
            <v>ca</v>
          </cell>
          <cell r="E158">
            <v>0.30299999999999999</v>
          </cell>
          <cell r="F158">
            <v>142909.77272727276</v>
          </cell>
          <cell r="G158">
            <v>0</v>
          </cell>
          <cell r="H158">
            <v>0</v>
          </cell>
          <cell r="I158">
            <v>43301.661136363648</v>
          </cell>
        </row>
        <row r="159">
          <cell r="A159">
            <v>0</v>
          </cell>
          <cell r="B159" t="str">
            <v>M102.1802</v>
          </cell>
          <cell r="C159" t="str">
            <v>Xe thang nâng</v>
          </cell>
          <cell r="D159" t="str">
            <v>ca</v>
          </cell>
          <cell r="E159">
            <v>0.14299999999999999</v>
          </cell>
          <cell r="F159">
            <v>1819914.2343571431</v>
          </cell>
          <cell r="G159">
            <v>0</v>
          </cell>
          <cell r="H159">
            <v>0</v>
          </cell>
          <cell r="I159">
            <v>260247.73551307144</v>
          </cell>
        </row>
        <row r="160">
          <cell r="A160">
            <v>0</v>
          </cell>
          <cell r="B160" t="str">
            <v>M203.0019</v>
          </cell>
          <cell r="C160" t="str">
            <v>Máy đo tỷ số biến</v>
          </cell>
          <cell r="D160" t="str">
            <v>ca</v>
          </cell>
          <cell r="E160">
            <v>1.95</v>
          </cell>
          <cell r="F160">
            <v>120291.81818181821</v>
          </cell>
          <cell r="G160">
            <v>0</v>
          </cell>
          <cell r="H160">
            <v>0</v>
          </cell>
          <cell r="I160">
            <v>234569.0454545455</v>
          </cell>
        </row>
        <row r="161">
          <cell r="A161" t="str">
            <v>EA.21130</v>
          </cell>
          <cell r="B161">
            <v>0</v>
          </cell>
          <cell r="C161" t="str">
            <v>Thí nghiệm máy biến áp 3 pha U&lt;=110kV - S&lt;=40MVA</v>
          </cell>
          <cell r="D161" t="str">
            <v>Máy</v>
          </cell>
          <cell r="E161">
            <v>0</v>
          </cell>
          <cell r="F161">
            <v>0</v>
          </cell>
          <cell r="G161">
            <v>134469.35150363637</v>
          </cell>
          <cell r="H161">
            <v>12688449.868421054</v>
          </cell>
          <cell r="I161">
            <v>2245163.1655484936</v>
          </cell>
        </row>
        <row r="162">
          <cell r="A162">
            <v>0</v>
          </cell>
          <cell r="B162">
            <v>0</v>
          </cell>
          <cell r="C162" t="str">
            <v>Vật liệu</v>
          </cell>
          <cell r="D162">
            <v>0</v>
          </cell>
          <cell r="E162">
            <v>0</v>
          </cell>
          <cell r="F162">
            <v>0</v>
          </cell>
          <cell r="G162">
            <v>0</v>
          </cell>
          <cell r="H162">
            <v>0</v>
          </cell>
          <cell r="I162">
            <v>0</v>
          </cell>
        </row>
        <row r="163">
          <cell r="A163">
            <v>0</v>
          </cell>
          <cell r="B163" t="str">
            <v>VL221</v>
          </cell>
          <cell r="C163" t="str">
            <v>Điện năng</v>
          </cell>
          <cell r="D163" t="str">
            <v>Kwh</v>
          </cell>
          <cell r="E163">
            <v>4.7140000000000004</v>
          </cell>
          <cell r="F163">
            <v>1622.01</v>
          </cell>
          <cell r="G163">
            <v>7646.1551400000008</v>
          </cell>
          <cell r="H163">
            <v>0</v>
          </cell>
          <cell r="I163">
            <v>0</v>
          </cell>
        </row>
        <row r="164">
          <cell r="A164">
            <v>0</v>
          </cell>
          <cell r="B164" t="str">
            <v>VL188</v>
          </cell>
          <cell r="C164" t="str">
            <v>Vải phin trắng 0,8m</v>
          </cell>
          <cell r="D164" t="str">
            <v>m</v>
          </cell>
          <cell r="E164">
            <v>1.179</v>
          </cell>
          <cell r="F164">
            <v>8000</v>
          </cell>
          <cell r="G164">
            <v>9432</v>
          </cell>
          <cell r="H164">
            <v>0</v>
          </cell>
          <cell r="I164">
            <v>0</v>
          </cell>
        </row>
        <row r="165">
          <cell r="A165">
            <v>0</v>
          </cell>
          <cell r="B165" t="str">
            <v>VL176</v>
          </cell>
          <cell r="C165" t="str">
            <v>Giẻ lau</v>
          </cell>
          <cell r="D165" t="str">
            <v>kg</v>
          </cell>
          <cell r="E165">
            <v>1.179</v>
          </cell>
          <cell r="F165">
            <v>5000</v>
          </cell>
          <cell r="G165">
            <v>5895</v>
          </cell>
          <cell r="H165">
            <v>0</v>
          </cell>
          <cell r="I165">
            <v>0</v>
          </cell>
        </row>
        <row r="166">
          <cell r="A166">
            <v>0</v>
          </cell>
          <cell r="B166" t="str">
            <v>VL179</v>
          </cell>
          <cell r="C166" t="str">
            <v>Băng cách điện</v>
          </cell>
          <cell r="D166" t="str">
            <v>cuộn</v>
          </cell>
          <cell r="E166">
            <v>1.179</v>
          </cell>
          <cell r="F166">
            <v>5000</v>
          </cell>
          <cell r="G166">
            <v>5895</v>
          </cell>
          <cell r="H166">
            <v>0</v>
          </cell>
          <cell r="I166">
            <v>0</v>
          </cell>
        </row>
        <row r="167">
          <cell r="A167">
            <v>0</v>
          </cell>
          <cell r="B167" t="str">
            <v>VL177</v>
          </cell>
          <cell r="C167" t="str">
            <v>Cồn công nghiệp</v>
          </cell>
          <cell r="D167" t="str">
            <v>kg</v>
          </cell>
          <cell r="E167">
            <v>1.179</v>
          </cell>
          <cell r="F167">
            <v>20000</v>
          </cell>
          <cell r="G167">
            <v>23580</v>
          </cell>
          <cell r="H167">
            <v>0</v>
          </cell>
          <cell r="I167">
            <v>0</v>
          </cell>
        </row>
        <row r="168">
          <cell r="A168">
            <v>0</v>
          </cell>
          <cell r="B168" t="str">
            <v>VL186</v>
          </cell>
          <cell r="C168" t="str">
            <v>Giấy nhám số 0</v>
          </cell>
          <cell r="D168" t="str">
            <v>tờ</v>
          </cell>
          <cell r="E168">
            <v>2.3570000000000002</v>
          </cell>
          <cell r="F168">
            <v>2000</v>
          </cell>
          <cell r="G168">
            <v>4714</v>
          </cell>
          <cell r="H168">
            <v>0</v>
          </cell>
          <cell r="I168">
            <v>0</v>
          </cell>
        </row>
        <row r="169">
          <cell r="A169">
            <v>0</v>
          </cell>
          <cell r="B169" t="str">
            <v>VL198</v>
          </cell>
          <cell r="C169" t="str">
            <v>Dây điện 2x1,5mm2</v>
          </cell>
          <cell r="D169" t="str">
            <v>m</v>
          </cell>
          <cell r="E169">
            <v>4.7140000000000004</v>
          </cell>
          <cell r="F169">
            <v>9027.2727272727261</v>
          </cell>
          <cell r="G169">
            <v>42554.563636363637</v>
          </cell>
          <cell r="H169">
            <v>0</v>
          </cell>
          <cell r="I169">
            <v>0</v>
          </cell>
        </row>
        <row r="170">
          <cell r="A170">
            <v>0</v>
          </cell>
          <cell r="B170" t="str">
            <v>VL199</v>
          </cell>
          <cell r="C170" t="str">
            <v>Dây điện 7x2,5mm2</v>
          </cell>
          <cell r="D170" t="str">
            <v>m</v>
          </cell>
          <cell r="E170">
            <v>0.78600000000000003</v>
          </cell>
          <cell r="F170">
            <v>44214.545454545449</v>
          </cell>
          <cell r="G170">
            <v>34752.632727272721</v>
          </cell>
          <cell r="H170">
            <v>0</v>
          </cell>
          <cell r="I170">
            <v>0</v>
          </cell>
        </row>
        <row r="171">
          <cell r="A171">
            <v>0</v>
          </cell>
          <cell r="B171">
            <v>0</v>
          </cell>
          <cell r="C171" t="str">
            <v>Nhân công</v>
          </cell>
          <cell r="D171">
            <v>0</v>
          </cell>
          <cell r="E171">
            <v>0</v>
          </cell>
          <cell r="F171">
            <v>0</v>
          </cell>
          <cell r="G171">
            <v>0</v>
          </cell>
          <cell r="H171">
            <v>0</v>
          </cell>
          <cell r="I171">
            <v>0</v>
          </cell>
        </row>
        <row r="172">
          <cell r="A172">
            <v>0</v>
          </cell>
          <cell r="B172" t="str">
            <v>KS4</v>
          </cell>
          <cell r="C172" t="str">
            <v>Kỹ sư bậc 4,0/8</v>
          </cell>
          <cell r="D172" t="str">
            <v>công</v>
          </cell>
          <cell r="E172">
            <v>34.61</v>
          </cell>
          <cell r="F172">
            <v>237000</v>
          </cell>
          <cell r="G172">
            <v>0</v>
          </cell>
          <cell r="H172">
            <v>8202570</v>
          </cell>
          <cell r="I172">
            <v>0</v>
          </cell>
        </row>
        <row r="173">
          <cell r="A173">
            <v>0</v>
          </cell>
          <cell r="B173" t="str">
            <v>N4507</v>
          </cell>
          <cell r="C173" t="str">
            <v xml:space="preserve"> Nhân công bậc 5,0/7 - Nhóm 4</v>
          </cell>
          <cell r="D173" t="str">
            <v>công</v>
          </cell>
          <cell r="E173">
            <v>14.83</v>
          </cell>
          <cell r="F173">
            <v>302486.8421052632</v>
          </cell>
          <cell r="G173">
            <v>0</v>
          </cell>
          <cell r="H173">
            <v>4485879.8684210535</v>
          </cell>
          <cell r="I173">
            <v>0</v>
          </cell>
        </row>
        <row r="174">
          <cell r="A174">
            <v>0</v>
          </cell>
          <cell r="B174">
            <v>0</v>
          </cell>
          <cell r="C174" t="str">
            <v>Máy thi công</v>
          </cell>
          <cell r="D174">
            <v>0</v>
          </cell>
          <cell r="E174">
            <v>0</v>
          </cell>
          <cell r="F174">
            <v>0</v>
          </cell>
          <cell r="G174">
            <v>0</v>
          </cell>
          <cell r="H174">
            <v>0</v>
          </cell>
          <cell r="I174">
            <v>0</v>
          </cell>
        </row>
        <row r="175">
          <cell r="A175">
            <v>0</v>
          </cell>
          <cell r="B175" t="str">
            <v>M203.0004</v>
          </cell>
          <cell r="C175" t="str">
            <v>Hợp bộ đo Tg</v>
          </cell>
          <cell r="D175" t="str">
            <v>ca</v>
          </cell>
          <cell r="E175">
            <v>0.99</v>
          </cell>
          <cell r="F175">
            <v>796170.45454545447</v>
          </cell>
          <cell r="G175">
            <v>0</v>
          </cell>
          <cell r="H175">
            <v>0</v>
          </cell>
          <cell r="I175">
            <v>788208.74999999988</v>
          </cell>
        </row>
        <row r="176">
          <cell r="A176">
            <v>0</v>
          </cell>
          <cell r="B176" t="str">
            <v>M203.0025</v>
          </cell>
          <cell r="C176" t="str">
            <v>Megôm met</v>
          </cell>
          <cell r="D176" t="str">
            <v>ca</v>
          </cell>
          <cell r="E176">
            <v>0.58899999999999997</v>
          </cell>
          <cell r="F176">
            <v>40127.500000000007</v>
          </cell>
          <cell r="G176">
            <v>0</v>
          </cell>
          <cell r="H176">
            <v>0</v>
          </cell>
          <cell r="I176">
            <v>23635.097500000003</v>
          </cell>
        </row>
        <row r="177">
          <cell r="A177">
            <v>0</v>
          </cell>
          <cell r="B177" t="str">
            <v>M203.0007</v>
          </cell>
          <cell r="C177" t="str">
            <v>Hợp bộ thí nghiệm cao áp</v>
          </cell>
          <cell r="D177" t="str">
            <v>ca</v>
          </cell>
          <cell r="E177">
            <v>0.495</v>
          </cell>
          <cell r="F177">
            <v>403740.11363636365</v>
          </cell>
          <cell r="G177">
            <v>0</v>
          </cell>
          <cell r="H177">
            <v>0</v>
          </cell>
          <cell r="I177">
            <v>199851.35625000001</v>
          </cell>
        </row>
        <row r="178">
          <cell r="A178">
            <v>0</v>
          </cell>
          <cell r="B178" t="str">
            <v>M203.0020</v>
          </cell>
          <cell r="C178" t="str">
            <v>Máy chụp sóng</v>
          </cell>
          <cell r="D178" t="str">
            <v>ca</v>
          </cell>
          <cell r="E178">
            <v>0.495</v>
          </cell>
          <cell r="F178">
            <v>414683.97727272729</v>
          </cell>
          <cell r="G178">
            <v>0</v>
          </cell>
          <cell r="H178">
            <v>0</v>
          </cell>
          <cell r="I178">
            <v>205268.56875000001</v>
          </cell>
        </row>
        <row r="179">
          <cell r="A179">
            <v>0</v>
          </cell>
          <cell r="B179" t="str">
            <v>M203.0005</v>
          </cell>
          <cell r="C179" t="str">
            <v>Hợp bộ đo lường</v>
          </cell>
          <cell r="D179" t="str">
            <v>ca</v>
          </cell>
          <cell r="E179">
            <v>0.58899999999999997</v>
          </cell>
          <cell r="F179">
            <v>752668.63636363659</v>
          </cell>
          <cell r="G179">
            <v>0</v>
          </cell>
          <cell r="H179">
            <v>0</v>
          </cell>
          <cell r="I179">
            <v>443321.8268181819</v>
          </cell>
        </row>
        <row r="180">
          <cell r="A180">
            <v>0</v>
          </cell>
          <cell r="B180" t="str">
            <v>M203.0014</v>
          </cell>
          <cell r="C180" t="str">
            <v>Máy đo điện trở một chiều</v>
          </cell>
          <cell r="D180" t="str">
            <v>ca</v>
          </cell>
          <cell r="E180">
            <v>0.314</v>
          </cell>
          <cell r="F180">
            <v>142909.77272727276</v>
          </cell>
          <cell r="G180">
            <v>0</v>
          </cell>
          <cell r="H180">
            <v>0</v>
          </cell>
          <cell r="I180">
            <v>44873.668636363647</v>
          </cell>
        </row>
        <row r="181">
          <cell r="A181">
            <v>0</v>
          </cell>
          <cell r="B181" t="str">
            <v>M102.1802</v>
          </cell>
          <cell r="C181" t="str">
            <v>Xe thang nâng</v>
          </cell>
          <cell r="D181" t="str">
            <v>ca</v>
          </cell>
          <cell r="E181">
            <v>0.14799999999999999</v>
          </cell>
          <cell r="F181">
            <v>1819914.2343571431</v>
          </cell>
          <cell r="G181">
            <v>0</v>
          </cell>
          <cell r="H181">
            <v>0</v>
          </cell>
          <cell r="I181">
            <v>269347.30668485718</v>
          </cell>
        </row>
        <row r="182">
          <cell r="A182">
            <v>0</v>
          </cell>
          <cell r="B182" t="str">
            <v>M203.0019</v>
          </cell>
          <cell r="C182" t="str">
            <v>Máy đo tỷ số biến</v>
          </cell>
          <cell r="D182" t="str">
            <v>ca</v>
          </cell>
          <cell r="E182">
            <v>2.25</v>
          </cell>
          <cell r="F182">
            <v>120291.81818181821</v>
          </cell>
          <cell r="G182">
            <v>0</v>
          </cell>
          <cell r="H182">
            <v>0</v>
          </cell>
          <cell r="I182">
            <v>270656.59090909094</v>
          </cell>
        </row>
        <row r="183">
          <cell r="A183" t="str">
            <v>EA.21140</v>
          </cell>
          <cell r="B183">
            <v>0</v>
          </cell>
          <cell r="C183" t="str">
            <v>Thí nghiệm máy biến áp 3 pha U&lt;=110kV - S&lt;=100MVA</v>
          </cell>
          <cell r="D183" t="str">
            <v>Máy</v>
          </cell>
          <cell r="E183">
            <v>0</v>
          </cell>
          <cell r="F183">
            <v>0</v>
          </cell>
          <cell r="G183">
            <v>138599.29587272726</v>
          </cell>
          <cell r="H183">
            <v>13081183.815789474</v>
          </cell>
          <cell r="I183">
            <v>2348611.8246748247</v>
          </cell>
        </row>
        <row r="184">
          <cell r="A184">
            <v>0</v>
          </cell>
          <cell r="B184">
            <v>0</v>
          </cell>
          <cell r="C184" t="str">
            <v>Vật liệu</v>
          </cell>
          <cell r="D184">
            <v>0</v>
          </cell>
          <cell r="E184">
            <v>0</v>
          </cell>
          <cell r="F184">
            <v>0</v>
          </cell>
          <cell r="G184">
            <v>0</v>
          </cell>
          <cell r="H184">
            <v>0</v>
          </cell>
          <cell r="I184">
            <v>0</v>
          </cell>
        </row>
        <row r="185">
          <cell r="A185">
            <v>0</v>
          </cell>
          <cell r="B185" t="str">
            <v>VL221</v>
          </cell>
          <cell r="C185" t="str">
            <v>Điện năng</v>
          </cell>
          <cell r="D185" t="str">
            <v>Kwh</v>
          </cell>
          <cell r="E185">
            <v>4.8600000000000003</v>
          </cell>
          <cell r="F185">
            <v>1622.01</v>
          </cell>
          <cell r="G185">
            <v>7882.9686000000002</v>
          </cell>
          <cell r="H185">
            <v>0</v>
          </cell>
          <cell r="I185">
            <v>0</v>
          </cell>
        </row>
        <row r="186">
          <cell r="A186">
            <v>0</v>
          </cell>
          <cell r="B186" t="str">
            <v>VL188</v>
          </cell>
          <cell r="C186" t="str">
            <v>Vải phin trắng 0,8m</v>
          </cell>
          <cell r="D186" t="str">
            <v>m</v>
          </cell>
          <cell r="E186">
            <v>1.2150000000000001</v>
          </cell>
          <cell r="F186">
            <v>8000</v>
          </cell>
          <cell r="G186">
            <v>9720</v>
          </cell>
          <cell r="H186">
            <v>0</v>
          </cell>
          <cell r="I186">
            <v>0</v>
          </cell>
        </row>
        <row r="187">
          <cell r="A187">
            <v>0</v>
          </cell>
          <cell r="B187" t="str">
            <v>VL176</v>
          </cell>
          <cell r="C187" t="str">
            <v>Giẻ lau</v>
          </cell>
          <cell r="D187" t="str">
            <v>kg</v>
          </cell>
          <cell r="E187">
            <v>1.2150000000000001</v>
          </cell>
          <cell r="F187">
            <v>5000</v>
          </cell>
          <cell r="G187">
            <v>6075</v>
          </cell>
          <cell r="H187">
            <v>0</v>
          </cell>
          <cell r="I187">
            <v>0</v>
          </cell>
        </row>
        <row r="188">
          <cell r="A188">
            <v>0</v>
          </cell>
          <cell r="B188" t="str">
            <v>VL179</v>
          </cell>
          <cell r="C188" t="str">
            <v>Băng cách điện</v>
          </cell>
          <cell r="D188" t="str">
            <v>cuộn</v>
          </cell>
          <cell r="E188">
            <v>1.2150000000000001</v>
          </cell>
          <cell r="F188">
            <v>5000</v>
          </cell>
          <cell r="G188">
            <v>6075</v>
          </cell>
          <cell r="H188">
            <v>0</v>
          </cell>
          <cell r="I188">
            <v>0</v>
          </cell>
        </row>
        <row r="189">
          <cell r="A189">
            <v>0</v>
          </cell>
          <cell r="B189" t="str">
            <v>VL177</v>
          </cell>
          <cell r="C189" t="str">
            <v>Cồn công nghiệp</v>
          </cell>
          <cell r="D189" t="str">
            <v>kg</v>
          </cell>
          <cell r="E189">
            <v>1.2150000000000001</v>
          </cell>
          <cell r="F189">
            <v>20000</v>
          </cell>
          <cell r="G189">
            <v>24300</v>
          </cell>
          <cell r="H189">
            <v>0</v>
          </cell>
          <cell r="I189">
            <v>0</v>
          </cell>
        </row>
        <row r="190">
          <cell r="A190">
            <v>0</v>
          </cell>
          <cell r="B190" t="str">
            <v>VL186</v>
          </cell>
          <cell r="C190" t="str">
            <v>Giấy nhám số 0</v>
          </cell>
          <cell r="D190" t="str">
            <v>tờ</v>
          </cell>
          <cell r="E190">
            <v>2.4300000000000002</v>
          </cell>
          <cell r="F190">
            <v>2000</v>
          </cell>
          <cell r="G190">
            <v>4860</v>
          </cell>
          <cell r="H190">
            <v>0</v>
          </cell>
          <cell r="I190">
            <v>0</v>
          </cell>
        </row>
        <row r="191">
          <cell r="A191">
            <v>0</v>
          </cell>
          <cell r="B191" t="str">
            <v>VL198</v>
          </cell>
          <cell r="C191" t="str">
            <v>Dây điện 2x1,5mm2</v>
          </cell>
          <cell r="D191" t="str">
            <v>m</v>
          </cell>
          <cell r="E191">
            <v>4.8600000000000003</v>
          </cell>
          <cell r="F191">
            <v>9027.2727272727261</v>
          </cell>
          <cell r="G191">
            <v>43872.545454545449</v>
          </cell>
          <cell r="H191">
            <v>0</v>
          </cell>
          <cell r="I191">
            <v>0</v>
          </cell>
        </row>
        <row r="192">
          <cell r="A192">
            <v>0</v>
          </cell>
          <cell r="B192" t="str">
            <v>VL199</v>
          </cell>
          <cell r="C192" t="str">
            <v>Dây điện 7x2,5mm2</v>
          </cell>
          <cell r="D192" t="str">
            <v>m</v>
          </cell>
          <cell r="E192">
            <v>0.81</v>
          </cell>
          <cell r="F192">
            <v>44214.545454545449</v>
          </cell>
          <cell r="G192">
            <v>35813.781818181815</v>
          </cell>
          <cell r="H192">
            <v>0</v>
          </cell>
          <cell r="I192">
            <v>0</v>
          </cell>
        </row>
        <row r="193">
          <cell r="A193">
            <v>0</v>
          </cell>
          <cell r="B193">
            <v>0</v>
          </cell>
          <cell r="C193" t="str">
            <v>Nhân công</v>
          </cell>
          <cell r="D193">
            <v>0</v>
          </cell>
          <cell r="E193">
            <v>0</v>
          </cell>
          <cell r="F193">
            <v>0</v>
          </cell>
          <cell r="G193">
            <v>0</v>
          </cell>
          <cell r="H193">
            <v>0</v>
          </cell>
          <cell r="I193">
            <v>0</v>
          </cell>
        </row>
        <row r="194">
          <cell r="A194">
            <v>0</v>
          </cell>
          <cell r="B194" t="str">
            <v>KS4</v>
          </cell>
          <cell r="C194" t="str">
            <v>Kỹ sư bậc 4,0/8</v>
          </cell>
          <cell r="D194" t="str">
            <v>công</v>
          </cell>
          <cell r="E194">
            <v>35.68</v>
          </cell>
          <cell r="F194">
            <v>237000</v>
          </cell>
          <cell r="G194">
            <v>0</v>
          </cell>
          <cell r="H194">
            <v>8456160</v>
          </cell>
          <cell r="I194">
            <v>0</v>
          </cell>
        </row>
        <row r="195">
          <cell r="A195">
            <v>0</v>
          </cell>
          <cell r="B195" t="str">
            <v>N4507</v>
          </cell>
          <cell r="C195" t="str">
            <v xml:space="preserve"> Nhân công bậc 5,0/7 - Nhóm 4</v>
          </cell>
          <cell r="D195" t="str">
            <v>công</v>
          </cell>
          <cell r="E195">
            <v>15.29</v>
          </cell>
          <cell r="F195">
            <v>302486.8421052632</v>
          </cell>
          <cell r="G195">
            <v>0</v>
          </cell>
          <cell r="H195">
            <v>4625023.8157894742</v>
          </cell>
          <cell r="I195">
            <v>0</v>
          </cell>
        </row>
        <row r="196">
          <cell r="A196">
            <v>0</v>
          </cell>
          <cell r="B196">
            <v>0</v>
          </cell>
          <cell r="C196" t="str">
            <v>Máy thi công</v>
          </cell>
          <cell r="D196">
            <v>0</v>
          </cell>
          <cell r="E196">
            <v>0</v>
          </cell>
          <cell r="F196">
            <v>0</v>
          </cell>
          <cell r="G196">
            <v>0</v>
          </cell>
          <cell r="H196">
            <v>0</v>
          </cell>
          <cell r="I196">
            <v>0</v>
          </cell>
        </row>
        <row r="197">
          <cell r="A197">
            <v>0</v>
          </cell>
          <cell r="B197" t="str">
            <v>M203.0004</v>
          </cell>
          <cell r="C197" t="str">
            <v>Hợp bộ đo Tg</v>
          </cell>
          <cell r="D197" t="str">
            <v>ca</v>
          </cell>
          <cell r="E197">
            <v>1.0209999999999999</v>
          </cell>
          <cell r="F197">
            <v>796170.45454545447</v>
          </cell>
          <cell r="G197">
            <v>0</v>
          </cell>
          <cell r="H197">
            <v>0</v>
          </cell>
          <cell r="I197">
            <v>812890.03409090894</v>
          </cell>
        </row>
        <row r="198">
          <cell r="A198">
            <v>0</v>
          </cell>
          <cell r="B198" t="str">
            <v>M203.0025</v>
          </cell>
          <cell r="C198" t="str">
            <v>Megôm met</v>
          </cell>
          <cell r="D198" t="str">
            <v>ca</v>
          </cell>
          <cell r="E198">
            <v>0.60799999999999998</v>
          </cell>
          <cell r="F198">
            <v>40127.500000000007</v>
          </cell>
          <cell r="G198">
            <v>0</v>
          </cell>
          <cell r="H198">
            <v>0</v>
          </cell>
          <cell r="I198">
            <v>24397.520000000004</v>
          </cell>
        </row>
        <row r="199">
          <cell r="A199">
            <v>0</v>
          </cell>
          <cell r="B199" t="str">
            <v>M203.0007</v>
          </cell>
          <cell r="C199" t="str">
            <v>Hợp bộ thí nghiệm cao áp</v>
          </cell>
          <cell r="D199" t="str">
            <v>ca</v>
          </cell>
          <cell r="E199">
            <v>0.51</v>
          </cell>
          <cell r="F199">
            <v>403740.11363636365</v>
          </cell>
          <cell r="G199">
            <v>0</v>
          </cell>
          <cell r="H199">
            <v>0</v>
          </cell>
          <cell r="I199">
            <v>205907.45795454548</v>
          </cell>
        </row>
        <row r="200">
          <cell r="A200">
            <v>0</v>
          </cell>
          <cell r="B200" t="str">
            <v>M203.0020</v>
          </cell>
          <cell r="C200" t="str">
            <v>Máy chụp sóng</v>
          </cell>
          <cell r="D200" t="str">
            <v>ca</v>
          </cell>
          <cell r="E200">
            <v>0.51</v>
          </cell>
          <cell r="F200">
            <v>414683.97727272729</v>
          </cell>
          <cell r="G200">
            <v>0</v>
          </cell>
          <cell r="H200">
            <v>0</v>
          </cell>
          <cell r="I200">
            <v>211488.82840909093</v>
          </cell>
        </row>
        <row r="201">
          <cell r="A201">
            <v>0</v>
          </cell>
          <cell r="B201" t="str">
            <v>M203.0005</v>
          </cell>
          <cell r="C201" t="str">
            <v>Hợp bộ đo lường</v>
          </cell>
          <cell r="D201" t="str">
            <v>ca</v>
          </cell>
          <cell r="E201">
            <v>0.60799999999999998</v>
          </cell>
          <cell r="F201">
            <v>752668.63636363659</v>
          </cell>
          <cell r="G201">
            <v>0</v>
          </cell>
          <cell r="H201">
            <v>0</v>
          </cell>
          <cell r="I201">
            <v>457622.53090909106</v>
          </cell>
        </row>
        <row r="202">
          <cell r="A202">
            <v>0</v>
          </cell>
          <cell r="B202" t="str">
            <v>M203.0014</v>
          </cell>
          <cell r="C202" t="str">
            <v>Máy đo điện trở một chiều</v>
          </cell>
          <cell r="D202" t="str">
            <v>ca</v>
          </cell>
          <cell r="E202">
            <v>0.32400000000000001</v>
          </cell>
          <cell r="F202">
            <v>142909.77272727276</v>
          </cell>
          <cell r="G202">
            <v>0</v>
          </cell>
          <cell r="H202">
            <v>0</v>
          </cell>
          <cell r="I202">
            <v>46302.76636363638</v>
          </cell>
        </row>
        <row r="203">
          <cell r="A203">
            <v>0</v>
          </cell>
          <cell r="B203" t="str">
            <v>M102.1802</v>
          </cell>
          <cell r="C203" t="str">
            <v>Xe thang nâng</v>
          </cell>
          <cell r="D203" t="str">
            <v>ca</v>
          </cell>
          <cell r="E203">
            <v>0.153</v>
          </cell>
          <cell r="F203">
            <v>1819914.2343571431</v>
          </cell>
          <cell r="G203">
            <v>0</v>
          </cell>
          <cell r="H203">
            <v>0</v>
          </cell>
          <cell r="I203">
            <v>278446.87785664288</v>
          </cell>
        </row>
        <row r="204">
          <cell r="A204">
            <v>0</v>
          </cell>
          <cell r="B204" t="str">
            <v>M203.0019</v>
          </cell>
          <cell r="C204" t="str">
            <v>Máy đo tỷ số biến</v>
          </cell>
          <cell r="D204" t="str">
            <v>ca</v>
          </cell>
          <cell r="E204">
            <v>2.59</v>
          </cell>
          <cell r="F204">
            <v>120291.81818181821</v>
          </cell>
          <cell r="G204">
            <v>0</v>
          </cell>
          <cell r="H204">
            <v>0</v>
          </cell>
          <cell r="I204">
            <v>311555.80909090914</v>
          </cell>
        </row>
        <row r="205">
          <cell r="A205" t="str">
            <v>EA.22110</v>
          </cell>
          <cell r="B205">
            <v>0</v>
          </cell>
          <cell r="C205" t="str">
            <v>Thí nghiệm máy biến áp 3 pha U 22-35kV - S&lt;=1MVA</v>
          </cell>
          <cell r="D205" t="str">
            <v>Máy</v>
          </cell>
          <cell r="E205">
            <v>0</v>
          </cell>
          <cell r="F205">
            <v>0</v>
          </cell>
          <cell r="G205">
            <v>52683.072545454546</v>
          </cell>
          <cell r="H205">
            <v>1994074.3421052634</v>
          </cell>
          <cell r="I205">
            <v>337251.21261363645</v>
          </cell>
        </row>
        <row r="206">
          <cell r="A206">
            <v>0</v>
          </cell>
          <cell r="B206">
            <v>0</v>
          </cell>
          <cell r="C206" t="str">
            <v>Vật liệu</v>
          </cell>
          <cell r="D206">
            <v>0</v>
          </cell>
          <cell r="E206">
            <v>0</v>
          </cell>
          <cell r="F206">
            <v>0</v>
          </cell>
          <cell r="G206">
            <v>0</v>
          </cell>
          <cell r="H206">
            <v>0</v>
          </cell>
          <cell r="I206">
            <v>0</v>
          </cell>
        </row>
        <row r="207">
          <cell r="A207">
            <v>0</v>
          </cell>
          <cell r="B207" t="str">
            <v>VL221</v>
          </cell>
          <cell r="C207" t="str">
            <v>Điện năng</v>
          </cell>
          <cell r="D207" t="str">
            <v>Kwh</v>
          </cell>
          <cell r="E207">
            <v>1.8</v>
          </cell>
          <cell r="F207">
            <v>1622.01</v>
          </cell>
          <cell r="G207">
            <v>2919.6179999999999</v>
          </cell>
          <cell r="H207">
            <v>0</v>
          </cell>
          <cell r="I207">
            <v>0</v>
          </cell>
        </row>
        <row r="208">
          <cell r="A208">
            <v>0</v>
          </cell>
          <cell r="B208" t="str">
            <v>VL188</v>
          </cell>
          <cell r="C208" t="str">
            <v>Vải phin trắng 0,8m</v>
          </cell>
          <cell r="D208" t="str">
            <v>m</v>
          </cell>
          <cell r="E208">
            <v>0.45</v>
          </cell>
          <cell r="F208">
            <v>8000</v>
          </cell>
          <cell r="G208">
            <v>3600</v>
          </cell>
          <cell r="H208">
            <v>0</v>
          </cell>
          <cell r="I208">
            <v>0</v>
          </cell>
        </row>
        <row r="209">
          <cell r="A209">
            <v>0</v>
          </cell>
          <cell r="B209" t="str">
            <v>VL176</v>
          </cell>
          <cell r="C209" t="str">
            <v>Giẻ lau</v>
          </cell>
          <cell r="D209" t="str">
            <v>kg</v>
          </cell>
          <cell r="E209">
            <v>0.45</v>
          </cell>
          <cell r="F209">
            <v>5000</v>
          </cell>
          <cell r="G209">
            <v>2250</v>
          </cell>
          <cell r="H209">
            <v>0</v>
          </cell>
          <cell r="I209">
            <v>0</v>
          </cell>
        </row>
        <row r="210">
          <cell r="A210">
            <v>0</v>
          </cell>
          <cell r="B210" t="str">
            <v>VL179</v>
          </cell>
          <cell r="C210" t="str">
            <v>Băng cách điện</v>
          </cell>
          <cell r="D210" t="str">
            <v>cuộn</v>
          </cell>
          <cell r="E210">
            <v>0.9</v>
          </cell>
          <cell r="F210">
            <v>5000</v>
          </cell>
          <cell r="G210">
            <v>4500</v>
          </cell>
          <cell r="H210">
            <v>0</v>
          </cell>
          <cell r="I210">
            <v>0</v>
          </cell>
        </row>
        <row r="211">
          <cell r="A211">
            <v>0</v>
          </cell>
          <cell r="B211" t="str">
            <v>VL177</v>
          </cell>
          <cell r="C211" t="str">
            <v>Cồn công nghiệp</v>
          </cell>
          <cell r="D211" t="str">
            <v>kg</v>
          </cell>
          <cell r="E211">
            <v>0.45</v>
          </cell>
          <cell r="F211">
            <v>20000</v>
          </cell>
          <cell r="G211">
            <v>9000</v>
          </cell>
          <cell r="H211">
            <v>0</v>
          </cell>
          <cell r="I211">
            <v>0</v>
          </cell>
        </row>
        <row r="212">
          <cell r="A212">
            <v>0</v>
          </cell>
          <cell r="B212" t="str">
            <v>VL186</v>
          </cell>
          <cell r="C212" t="str">
            <v>Giấy nhám số 0</v>
          </cell>
          <cell r="D212" t="str">
            <v>tờ</v>
          </cell>
          <cell r="E212">
            <v>0.45</v>
          </cell>
          <cell r="F212">
            <v>2000</v>
          </cell>
          <cell r="G212">
            <v>900</v>
          </cell>
          <cell r="H212">
            <v>0</v>
          </cell>
          <cell r="I212">
            <v>0</v>
          </cell>
        </row>
        <row r="213">
          <cell r="A213">
            <v>0</v>
          </cell>
          <cell r="B213" t="str">
            <v>VL198</v>
          </cell>
          <cell r="C213" t="str">
            <v>Dây điện 2x1,5mm2</v>
          </cell>
          <cell r="D213" t="str">
            <v>m</v>
          </cell>
          <cell r="E213">
            <v>1.8</v>
          </cell>
          <cell r="F213">
            <v>9027.2727272727261</v>
          </cell>
          <cell r="G213">
            <v>16249.090909090908</v>
          </cell>
          <cell r="H213">
            <v>0</v>
          </cell>
          <cell r="I213">
            <v>0</v>
          </cell>
        </row>
        <row r="214">
          <cell r="A214">
            <v>0</v>
          </cell>
          <cell r="B214" t="str">
            <v>VL200</v>
          </cell>
          <cell r="C214" t="str">
            <v>Dây điện 4x2,5mm2</v>
          </cell>
          <cell r="D214" t="str">
            <v>m</v>
          </cell>
          <cell r="E214">
            <v>0.45</v>
          </cell>
          <cell r="F214">
            <v>29476.363636363632</v>
          </cell>
          <cell r="G214">
            <v>13264.363636363634</v>
          </cell>
          <cell r="H214">
            <v>0</v>
          </cell>
          <cell r="I214">
            <v>0</v>
          </cell>
        </row>
        <row r="215">
          <cell r="A215">
            <v>0</v>
          </cell>
          <cell r="B215">
            <v>0</v>
          </cell>
          <cell r="C215" t="str">
            <v>Nhân công</v>
          </cell>
          <cell r="D215">
            <v>0</v>
          </cell>
          <cell r="E215">
            <v>0</v>
          </cell>
          <cell r="F215">
            <v>0</v>
          </cell>
          <cell r="G215">
            <v>0</v>
          </cell>
          <cell r="H215">
            <v>0</v>
          </cell>
          <cell r="I215">
            <v>0</v>
          </cell>
        </row>
        <row r="216">
          <cell r="A216">
            <v>0</v>
          </cell>
          <cell r="B216" t="str">
            <v>KS4</v>
          </cell>
          <cell r="C216" t="str">
            <v>Kỹ sư bậc 4,0/8</v>
          </cell>
          <cell r="D216" t="str">
            <v>công</v>
          </cell>
          <cell r="E216">
            <v>5.44</v>
          </cell>
          <cell r="F216">
            <v>237000</v>
          </cell>
          <cell r="G216">
            <v>0</v>
          </cell>
          <cell r="H216">
            <v>1289280</v>
          </cell>
          <cell r="I216">
            <v>0</v>
          </cell>
        </row>
        <row r="217">
          <cell r="A217">
            <v>0</v>
          </cell>
          <cell r="B217" t="str">
            <v>N4507</v>
          </cell>
          <cell r="C217" t="str">
            <v xml:space="preserve"> Nhân công bậc 5,0/7 - Nhóm 4</v>
          </cell>
          <cell r="D217" t="str">
            <v>công</v>
          </cell>
          <cell r="E217">
            <v>2.33</v>
          </cell>
          <cell r="F217">
            <v>302486.8421052632</v>
          </cell>
          <cell r="G217">
            <v>0</v>
          </cell>
          <cell r="H217">
            <v>704794.34210526326</v>
          </cell>
          <cell r="I217">
            <v>0</v>
          </cell>
        </row>
        <row r="218">
          <cell r="A218">
            <v>0</v>
          </cell>
          <cell r="B218">
            <v>0</v>
          </cell>
          <cell r="C218" t="str">
            <v>Máy thi công</v>
          </cell>
          <cell r="D218">
            <v>0</v>
          </cell>
          <cell r="E218">
            <v>0</v>
          </cell>
          <cell r="F218">
            <v>0</v>
          </cell>
          <cell r="G218">
            <v>0</v>
          </cell>
          <cell r="H218">
            <v>0</v>
          </cell>
          <cell r="I218">
            <v>0</v>
          </cell>
        </row>
        <row r="219">
          <cell r="A219">
            <v>0</v>
          </cell>
          <cell r="B219" t="str">
            <v>M203.0025</v>
          </cell>
          <cell r="C219" t="str">
            <v>Megôm met</v>
          </cell>
          <cell r="D219" t="str">
            <v>ca</v>
          </cell>
          <cell r="E219">
            <v>0.18</v>
          </cell>
          <cell r="F219">
            <v>40127.500000000007</v>
          </cell>
          <cell r="G219">
            <v>0</v>
          </cell>
          <cell r="H219">
            <v>0</v>
          </cell>
          <cell r="I219">
            <v>7222.9500000000007</v>
          </cell>
        </row>
        <row r="220">
          <cell r="A220">
            <v>0</v>
          </cell>
          <cell r="B220" t="str">
            <v>M203.0007</v>
          </cell>
          <cell r="C220" t="str">
            <v>Hợp bộ thí nghiệm cao áp</v>
          </cell>
          <cell r="D220" t="str">
            <v>ca</v>
          </cell>
          <cell r="E220">
            <v>0.22700000000000001</v>
          </cell>
          <cell r="F220">
            <v>403740.11363636365</v>
          </cell>
          <cell r="G220">
            <v>0</v>
          </cell>
          <cell r="H220">
            <v>0</v>
          </cell>
          <cell r="I220">
            <v>91649.005795454548</v>
          </cell>
        </row>
        <row r="221">
          <cell r="A221">
            <v>0</v>
          </cell>
          <cell r="B221" t="str">
            <v>M203.0005</v>
          </cell>
          <cell r="C221" t="str">
            <v>Hợp bộ đo lường</v>
          </cell>
          <cell r="D221" t="str">
            <v>ca</v>
          </cell>
          <cell r="E221">
            <v>0.22500000000000001</v>
          </cell>
          <cell r="F221">
            <v>752668.63636363659</v>
          </cell>
          <cell r="G221">
            <v>0</v>
          </cell>
          <cell r="H221">
            <v>0</v>
          </cell>
          <cell r="I221">
            <v>169350.44318181823</v>
          </cell>
        </row>
        <row r="222">
          <cell r="A222">
            <v>0</v>
          </cell>
          <cell r="B222" t="str">
            <v>M203.0004</v>
          </cell>
          <cell r="C222" t="str">
            <v>Hợp bộ đo Tg</v>
          </cell>
          <cell r="D222" t="str">
            <v>ca</v>
          </cell>
          <cell r="E222">
            <v>0</v>
          </cell>
          <cell r="F222">
            <v>796170.45454545447</v>
          </cell>
          <cell r="G222">
            <v>0</v>
          </cell>
          <cell r="H222">
            <v>0</v>
          </cell>
          <cell r="I222">
            <v>0</v>
          </cell>
        </row>
        <row r="223">
          <cell r="A223">
            <v>0</v>
          </cell>
          <cell r="B223" t="str">
            <v>M203.0014</v>
          </cell>
          <cell r="C223" t="str">
            <v>Máy đo điện trở một chiều</v>
          </cell>
          <cell r="D223" t="str">
            <v>ca</v>
          </cell>
          <cell r="E223">
            <v>0.18</v>
          </cell>
          <cell r="F223">
            <v>142909.77272727276</v>
          </cell>
          <cell r="G223">
            <v>0</v>
          </cell>
          <cell r="H223">
            <v>0</v>
          </cell>
          <cell r="I223">
            <v>25723.759090909098</v>
          </cell>
        </row>
        <row r="224">
          <cell r="A224">
            <v>0</v>
          </cell>
          <cell r="B224" t="str">
            <v>M203.0019</v>
          </cell>
          <cell r="C224" t="str">
            <v>Máy đo tỷ số biến</v>
          </cell>
          <cell r="D224" t="str">
            <v>ca</v>
          </cell>
          <cell r="E224">
            <v>0.36</v>
          </cell>
          <cell r="F224">
            <v>120291.81818181821</v>
          </cell>
          <cell r="G224">
            <v>0</v>
          </cell>
          <cell r="H224">
            <v>0</v>
          </cell>
          <cell r="I224">
            <v>43305.05454545455</v>
          </cell>
        </row>
        <row r="225">
          <cell r="A225" t="str">
            <v>EA.22120</v>
          </cell>
          <cell r="B225">
            <v>0</v>
          </cell>
          <cell r="C225" t="str">
            <v>Thí nghiệm máy biến áp 3 pha U 22-35kV - S&gt;1MVA</v>
          </cell>
          <cell r="D225" t="str">
            <v>Máy</v>
          </cell>
          <cell r="E225">
            <v>0</v>
          </cell>
          <cell r="F225">
            <v>0</v>
          </cell>
          <cell r="G225">
            <v>58536.747272727269</v>
          </cell>
          <cell r="H225">
            <v>2214920.9210526319</v>
          </cell>
          <cell r="I225">
            <v>564122.41772727272</v>
          </cell>
        </row>
        <row r="226">
          <cell r="A226">
            <v>0</v>
          </cell>
          <cell r="B226">
            <v>0</v>
          </cell>
          <cell r="C226" t="str">
            <v>Vật liệu</v>
          </cell>
          <cell r="D226">
            <v>0</v>
          </cell>
          <cell r="E226">
            <v>0</v>
          </cell>
          <cell r="F226">
            <v>0</v>
          </cell>
          <cell r="G226">
            <v>0</v>
          </cell>
          <cell r="H226">
            <v>0</v>
          </cell>
          <cell r="I226">
            <v>0</v>
          </cell>
        </row>
        <row r="227">
          <cell r="A227">
            <v>0</v>
          </cell>
          <cell r="B227" t="str">
            <v>VL221</v>
          </cell>
          <cell r="C227" t="str">
            <v>Điện năng</v>
          </cell>
          <cell r="D227" t="str">
            <v>Kwh</v>
          </cell>
          <cell r="E227">
            <v>2</v>
          </cell>
          <cell r="F227">
            <v>1622.01</v>
          </cell>
          <cell r="G227">
            <v>3244.02</v>
          </cell>
          <cell r="H227">
            <v>0</v>
          </cell>
          <cell r="I227">
            <v>0</v>
          </cell>
        </row>
        <row r="228">
          <cell r="A228">
            <v>0</v>
          </cell>
          <cell r="B228" t="str">
            <v>VL188</v>
          </cell>
          <cell r="C228" t="str">
            <v>Vải phin trắng 0,8m</v>
          </cell>
          <cell r="D228" t="str">
            <v>m</v>
          </cell>
          <cell r="E228">
            <v>0.5</v>
          </cell>
          <cell r="F228">
            <v>8000</v>
          </cell>
          <cell r="G228">
            <v>4000</v>
          </cell>
          <cell r="H228">
            <v>0</v>
          </cell>
          <cell r="I228">
            <v>0</v>
          </cell>
        </row>
        <row r="229">
          <cell r="A229">
            <v>0</v>
          </cell>
          <cell r="B229" t="str">
            <v>VL176</v>
          </cell>
          <cell r="C229" t="str">
            <v>Giẻ lau</v>
          </cell>
          <cell r="D229" t="str">
            <v>kg</v>
          </cell>
          <cell r="E229">
            <v>0.5</v>
          </cell>
          <cell r="F229">
            <v>5000</v>
          </cell>
          <cell r="G229">
            <v>2500</v>
          </cell>
          <cell r="H229">
            <v>0</v>
          </cell>
          <cell r="I229">
            <v>0</v>
          </cell>
        </row>
        <row r="230">
          <cell r="A230">
            <v>0</v>
          </cell>
          <cell r="B230" t="str">
            <v>VL179</v>
          </cell>
          <cell r="C230" t="str">
            <v>Băng cách điện</v>
          </cell>
          <cell r="D230" t="str">
            <v>cuộn</v>
          </cell>
          <cell r="E230">
            <v>1</v>
          </cell>
          <cell r="F230">
            <v>5000</v>
          </cell>
          <cell r="G230">
            <v>5000</v>
          </cell>
          <cell r="H230">
            <v>0</v>
          </cell>
          <cell r="I230">
            <v>0</v>
          </cell>
        </row>
        <row r="231">
          <cell r="A231">
            <v>0</v>
          </cell>
          <cell r="B231" t="str">
            <v>VL177</v>
          </cell>
          <cell r="C231" t="str">
            <v>Cồn công nghiệp</v>
          </cell>
          <cell r="D231" t="str">
            <v>kg</v>
          </cell>
          <cell r="E231">
            <v>0.5</v>
          </cell>
          <cell r="F231">
            <v>20000</v>
          </cell>
          <cell r="G231">
            <v>10000</v>
          </cell>
          <cell r="H231">
            <v>0</v>
          </cell>
          <cell r="I231">
            <v>0</v>
          </cell>
        </row>
        <row r="232">
          <cell r="A232">
            <v>0</v>
          </cell>
          <cell r="B232" t="str">
            <v>VL186</v>
          </cell>
          <cell r="C232" t="str">
            <v>Giấy nhám số 0</v>
          </cell>
          <cell r="D232" t="str">
            <v>tờ</v>
          </cell>
          <cell r="E232">
            <v>0.5</v>
          </cell>
          <cell r="F232">
            <v>2000</v>
          </cell>
          <cell r="G232">
            <v>1000</v>
          </cell>
          <cell r="H232">
            <v>0</v>
          </cell>
          <cell r="I232">
            <v>0</v>
          </cell>
        </row>
        <row r="233">
          <cell r="A233">
            <v>0</v>
          </cell>
          <cell r="B233" t="str">
            <v>VL198</v>
          </cell>
          <cell r="C233" t="str">
            <v>Dây điện 2x1,5mm2</v>
          </cell>
          <cell r="D233" t="str">
            <v>m</v>
          </cell>
          <cell r="E233">
            <v>2</v>
          </cell>
          <cell r="F233">
            <v>9027.2727272727261</v>
          </cell>
          <cell r="G233">
            <v>18054.545454545452</v>
          </cell>
          <cell r="H233">
            <v>0</v>
          </cell>
          <cell r="I233">
            <v>0</v>
          </cell>
        </row>
        <row r="234">
          <cell r="A234">
            <v>0</v>
          </cell>
          <cell r="B234" t="str">
            <v>VL200</v>
          </cell>
          <cell r="C234" t="str">
            <v>Dây điện 4x2,5mm2</v>
          </cell>
          <cell r="D234" t="str">
            <v>m</v>
          </cell>
          <cell r="E234">
            <v>0.5</v>
          </cell>
          <cell r="F234">
            <v>29476.363636363632</v>
          </cell>
          <cell r="G234">
            <v>14738.181818181816</v>
          </cell>
          <cell r="H234">
            <v>0</v>
          </cell>
          <cell r="I234">
            <v>0</v>
          </cell>
        </row>
        <row r="235">
          <cell r="A235">
            <v>0</v>
          </cell>
          <cell r="B235">
            <v>0</v>
          </cell>
          <cell r="C235" t="str">
            <v>Nhân công</v>
          </cell>
          <cell r="D235">
            <v>0</v>
          </cell>
          <cell r="E235">
            <v>0</v>
          </cell>
          <cell r="F235">
            <v>0</v>
          </cell>
          <cell r="G235">
            <v>0</v>
          </cell>
          <cell r="H235">
            <v>0</v>
          </cell>
          <cell r="I235">
            <v>0</v>
          </cell>
        </row>
        <row r="236">
          <cell r="A236">
            <v>0</v>
          </cell>
          <cell r="B236" t="str">
            <v>KS4</v>
          </cell>
          <cell r="C236" t="str">
            <v>Kỹ sư bậc 4,0/8</v>
          </cell>
          <cell r="D236" t="str">
            <v>công</v>
          </cell>
          <cell r="E236">
            <v>6.04</v>
          </cell>
          <cell r="F236">
            <v>237000</v>
          </cell>
          <cell r="G236">
            <v>0</v>
          </cell>
          <cell r="H236">
            <v>1431480</v>
          </cell>
          <cell r="I236">
            <v>0</v>
          </cell>
        </row>
        <row r="237">
          <cell r="A237">
            <v>0</v>
          </cell>
          <cell r="B237" t="str">
            <v>N4507</v>
          </cell>
          <cell r="C237" t="str">
            <v xml:space="preserve"> Nhân công bậc 5,0/7 - Nhóm 4</v>
          </cell>
          <cell r="D237" t="str">
            <v>công</v>
          </cell>
          <cell r="E237">
            <v>2.59</v>
          </cell>
          <cell r="F237">
            <v>302486.8421052632</v>
          </cell>
          <cell r="G237">
            <v>0</v>
          </cell>
          <cell r="H237">
            <v>783440.92105263169</v>
          </cell>
          <cell r="I237">
            <v>0</v>
          </cell>
        </row>
        <row r="238">
          <cell r="A238">
            <v>0</v>
          </cell>
          <cell r="B238">
            <v>0</v>
          </cell>
          <cell r="C238" t="str">
            <v>Máy thi công</v>
          </cell>
          <cell r="D238">
            <v>0</v>
          </cell>
          <cell r="E238">
            <v>0</v>
          </cell>
          <cell r="F238">
            <v>0</v>
          </cell>
          <cell r="G238">
            <v>0</v>
          </cell>
          <cell r="H238">
            <v>0</v>
          </cell>
          <cell r="I238">
            <v>0</v>
          </cell>
        </row>
        <row r="239">
          <cell r="A239">
            <v>0</v>
          </cell>
          <cell r="B239" t="str">
            <v>M203.0025</v>
          </cell>
          <cell r="C239" t="str">
            <v>Megôm met</v>
          </cell>
          <cell r="D239" t="str">
            <v>ca</v>
          </cell>
          <cell r="E239">
            <v>0.2</v>
          </cell>
          <cell r="F239">
            <v>40127.500000000007</v>
          </cell>
          <cell r="G239">
            <v>0</v>
          </cell>
          <cell r="H239">
            <v>0</v>
          </cell>
          <cell r="I239">
            <v>8025.5000000000018</v>
          </cell>
        </row>
        <row r="240">
          <cell r="A240">
            <v>0</v>
          </cell>
          <cell r="B240" t="str">
            <v>M203.0007</v>
          </cell>
          <cell r="C240" t="str">
            <v>Hợp bộ thí nghiệm cao áp</v>
          </cell>
          <cell r="D240" t="str">
            <v>ca</v>
          </cell>
          <cell r="E240">
            <v>0.252</v>
          </cell>
          <cell r="F240">
            <v>403740.11363636365</v>
          </cell>
          <cell r="G240">
            <v>0</v>
          </cell>
          <cell r="H240">
            <v>0</v>
          </cell>
          <cell r="I240">
            <v>101742.50863636364</v>
          </cell>
        </row>
        <row r="241">
          <cell r="A241">
            <v>0</v>
          </cell>
          <cell r="B241" t="str">
            <v>M203.0005</v>
          </cell>
          <cell r="C241" t="str">
            <v>Hợp bộ đo lường</v>
          </cell>
          <cell r="D241" t="str">
            <v>ca</v>
          </cell>
          <cell r="E241">
            <v>0.25</v>
          </cell>
          <cell r="F241">
            <v>752668.63636363659</v>
          </cell>
          <cell r="G241">
            <v>0</v>
          </cell>
          <cell r="H241">
            <v>0</v>
          </cell>
          <cell r="I241">
            <v>188167.15909090915</v>
          </cell>
        </row>
        <row r="242">
          <cell r="A242">
            <v>0</v>
          </cell>
          <cell r="B242" t="str">
            <v>M203.0004</v>
          </cell>
          <cell r="C242" t="str">
            <v>Hợp bộ đo Tg</v>
          </cell>
          <cell r="D242" t="str">
            <v>ca</v>
          </cell>
          <cell r="E242">
            <v>0.23799999999999999</v>
          </cell>
          <cell r="F242">
            <v>796170.45454545447</v>
          </cell>
          <cell r="G242">
            <v>0</v>
          </cell>
          <cell r="H242">
            <v>0</v>
          </cell>
          <cell r="I242">
            <v>189488.56818181815</v>
          </cell>
        </row>
        <row r="243">
          <cell r="A243">
            <v>0</v>
          </cell>
          <cell r="B243" t="str">
            <v>M203.0014</v>
          </cell>
          <cell r="C243" t="str">
            <v>Máy đo điện trở một chiều</v>
          </cell>
          <cell r="D243" t="str">
            <v>ca</v>
          </cell>
          <cell r="E243">
            <v>0.2</v>
          </cell>
          <cell r="F243">
            <v>142909.77272727276</v>
          </cell>
          <cell r="G243">
            <v>0</v>
          </cell>
          <cell r="H243">
            <v>0</v>
          </cell>
          <cell r="I243">
            <v>28581.954545454555</v>
          </cell>
        </row>
        <row r="244">
          <cell r="A244">
            <v>0</v>
          </cell>
          <cell r="B244" t="str">
            <v>M203.0019</v>
          </cell>
          <cell r="C244" t="str">
            <v>Máy đo tỷ số biến</v>
          </cell>
          <cell r="D244" t="str">
            <v>ca</v>
          </cell>
          <cell r="E244">
            <v>0.4</v>
          </cell>
          <cell r="F244">
            <v>120291.81818181821</v>
          </cell>
          <cell r="G244">
            <v>0</v>
          </cell>
          <cell r="H244">
            <v>0</v>
          </cell>
          <cell r="I244">
            <v>48116.727272727287</v>
          </cell>
        </row>
        <row r="245">
          <cell r="A245" t="str">
            <v>EA.22130</v>
          </cell>
          <cell r="B245">
            <v>0</v>
          </cell>
          <cell r="C245" t="str">
            <v>Thí nghiệm máy biến áp 1 pha U 22-35kV - S&lt;=100KVA</v>
          </cell>
          <cell r="D245" t="str">
            <v>Máy</v>
          </cell>
          <cell r="E245">
            <v>0</v>
          </cell>
          <cell r="F245">
            <v>0</v>
          </cell>
          <cell r="G245">
            <v>31742.566304545449</v>
          </cell>
          <cell r="H245">
            <v>1203866.4473684211</v>
          </cell>
          <cell r="I245">
            <v>249508.35079545461</v>
          </cell>
        </row>
        <row r="246">
          <cell r="A246">
            <v>0</v>
          </cell>
          <cell r="B246">
            <v>0</v>
          </cell>
          <cell r="C246" t="str">
            <v>Vật liệu</v>
          </cell>
          <cell r="D246">
            <v>0</v>
          </cell>
          <cell r="E246">
            <v>0</v>
          </cell>
          <cell r="F246">
            <v>0</v>
          </cell>
          <cell r="G246">
            <v>0</v>
          </cell>
          <cell r="H246">
            <v>0</v>
          </cell>
          <cell r="I246">
            <v>0</v>
          </cell>
        </row>
        <row r="247">
          <cell r="A247">
            <v>0</v>
          </cell>
          <cell r="B247" t="str">
            <v>VL221</v>
          </cell>
          <cell r="C247" t="str">
            <v>Điện năng</v>
          </cell>
          <cell r="D247" t="str">
            <v>Kwh</v>
          </cell>
          <cell r="E247">
            <v>1.085</v>
          </cell>
          <cell r="F247">
            <v>1622.01</v>
          </cell>
          <cell r="G247">
            <v>1759.88085</v>
          </cell>
          <cell r="H247">
            <v>0</v>
          </cell>
          <cell r="I247">
            <v>0</v>
          </cell>
        </row>
        <row r="248">
          <cell r="A248">
            <v>0</v>
          </cell>
          <cell r="B248" t="str">
            <v>VL188</v>
          </cell>
          <cell r="C248" t="str">
            <v>Vải phin trắng 0,8m</v>
          </cell>
          <cell r="D248" t="str">
            <v>m</v>
          </cell>
          <cell r="E248">
            <v>0.27100000000000002</v>
          </cell>
          <cell r="F248">
            <v>8000</v>
          </cell>
          <cell r="G248">
            <v>2168</v>
          </cell>
          <cell r="H248">
            <v>0</v>
          </cell>
          <cell r="I248">
            <v>0</v>
          </cell>
        </row>
        <row r="249">
          <cell r="A249">
            <v>0</v>
          </cell>
          <cell r="B249" t="str">
            <v>VL176</v>
          </cell>
          <cell r="C249" t="str">
            <v>Giẻ lau</v>
          </cell>
          <cell r="D249" t="str">
            <v>kg</v>
          </cell>
          <cell r="E249">
            <v>0.27100000000000002</v>
          </cell>
          <cell r="F249">
            <v>5000</v>
          </cell>
          <cell r="G249">
            <v>1355</v>
          </cell>
          <cell r="H249">
            <v>0</v>
          </cell>
          <cell r="I249">
            <v>0</v>
          </cell>
        </row>
        <row r="250">
          <cell r="A250">
            <v>0</v>
          </cell>
          <cell r="B250" t="str">
            <v>VL179</v>
          </cell>
          <cell r="C250" t="str">
            <v>Băng cách điện</v>
          </cell>
          <cell r="D250" t="str">
            <v>cuộn</v>
          </cell>
          <cell r="E250">
            <v>0.54300000000000004</v>
          </cell>
          <cell r="F250">
            <v>5000</v>
          </cell>
          <cell r="G250">
            <v>2715</v>
          </cell>
          <cell r="H250">
            <v>0</v>
          </cell>
          <cell r="I250">
            <v>0</v>
          </cell>
        </row>
        <row r="251">
          <cell r="A251">
            <v>0</v>
          </cell>
          <cell r="B251" t="str">
            <v>VL177</v>
          </cell>
          <cell r="C251" t="str">
            <v>Cồn công nghiệp</v>
          </cell>
          <cell r="D251" t="str">
            <v>kg</v>
          </cell>
          <cell r="E251">
            <v>0.27100000000000002</v>
          </cell>
          <cell r="F251">
            <v>20000</v>
          </cell>
          <cell r="G251">
            <v>5420</v>
          </cell>
          <cell r="H251">
            <v>0</v>
          </cell>
          <cell r="I251">
            <v>0</v>
          </cell>
        </row>
        <row r="252">
          <cell r="A252">
            <v>0</v>
          </cell>
          <cell r="B252" t="str">
            <v>VL186</v>
          </cell>
          <cell r="C252" t="str">
            <v>Giấy nhám số 0</v>
          </cell>
          <cell r="D252" t="str">
            <v>tờ</v>
          </cell>
          <cell r="E252">
            <v>0.27100000000000002</v>
          </cell>
          <cell r="F252">
            <v>2000</v>
          </cell>
          <cell r="G252">
            <v>542</v>
          </cell>
          <cell r="H252">
            <v>0</v>
          </cell>
          <cell r="I252">
            <v>0</v>
          </cell>
        </row>
        <row r="253">
          <cell r="A253">
            <v>0</v>
          </cell>
          <cell r="B253" t="str">
            <v>VL198</v>
          </cell>
          <cell r="C253" t="str">
            <v>Dây điện 2x1,5mm2</v>
          </cell>
          <cell r="D253" t="str">
            <v>m</v>
          </cell>
          <cell r="E253">
            <v>1.085</v>
          </cell>
          <cell r="F253">
            <v>9027.2727272727261</v>
          </cell>
          <cell r="G253">
            <v>9794.5909090909081</v>
          </cell>
          <cell r="H253">
            <v>0</v>
          </cell>
          <cell r="I253">
            <v>0</v>
          </cell>
        </row>
        <row r="254">
          <cell r="A254">
            <v>0</v>
          </cell>
          <cell r="B254" t="str">
            <v>VL200</v>
          </cell>
          <cell r="C254" t="str">
            <v>Dây điện 4x2,5mm2</v>
          </cell>
          <cell r="D254" t="str">
            <v>m</v>
          </cell>
          <cell r="E254">
            <v>0.27100000000000002</v>
          </cell>
          <cell r="F254">
            <v>29476.363636363632</v>
          </cell>
          <cell r="G254">
            <v>7988.0945454545454</v>
          </cell>
          <cell r="H254">
            <v>0</v>
          </cell>
          <cell r="I254">
            <v>0</v>
          </cell>
        </row>
        <row r="255">
          <cell r="A255">
            <v>0</v>
          </cell>
          <cell r="B255">
            <v>0</v>
          </cell>
          <cell r="C255" t="str">
            <v>Nhân công</v>
          </cell>
          <cell r="D255">
            <v>0</v>
          </cell>
          <cell r="E255">
            <v>0</v>
          </cell>
          <cell r="F255">
            <v>0</v>
          </cell>
          <cell r="G255">
            <v>0</v>
          </cell>
          <cell r="H255">
            <v>0</v>
          </cell>
          <cell r="I255">
            <v>0</v>
          </cell>
        </row>
        <row r="256">
          <cell r="A256">
            <v>0</v>
          </cell>
          <cell r="B256" t="str">
            <v>KS4</v>
          </cell>
          <cell r="C256" t="str">
            <v>Kỹ sư bậc 4,0/8</v>
          </cell>
          <cell r="D256" t="str">
            <v>công</v>
          </cell>
          <cell r="E256">
            <v>3.28</v>
          </cell>
          <cell r="F256">
            <v>237000</v>
          </cell>
          <cell r="G256">
            <v>0</v>
          </cell>
          <cell r="H256">
            <v>777360</v>
          </cell>
          <cell r="I256">
            <v>0</v>
          </cell>
        </row>
        <row r="257">
          <cell r="A257">
            <v>0</v>
          </cell>
          <cell r="B257" t="str">
            <v>N4507</v>
          </cell>
          <cell r="C257" t="str">
            <v xml:space="preserve"> Nhân công bậc 5,0/7 - Nhóm 4</v>
          </cell>
          <cell r="D257" t="str">
            <v>công</v>
          </cell>
          <cell r="E257">
            <v>1.41</v>
          </cell>
          <cell r="F257">
            <v>302486.8421052632</v>
          </cell>
          <cell r="G257">
            <v>0</v>
          </cell>
          <cell r="H257">
            <v>426506.44736842107</v>
          </cell>
          <cell r="I257">
            <v>0</v>
          </cell>
        </row>
        <row r="258">
          <cell r="A258">
            <v>0</v>
          </cell>
          <cell r="B258">
            <v>0</v>
          </cell>
          <cell r="C258" t="str">
            <v>Máy thi công</v>
          </cell>
          <cell r="D258">
            <v>0</v>
          </cell>
          <cell r="E258">
            <v>0</v>
          </cell>
          <cell r="F258">
            <v>0</v>
          </cell>
          <cell r="G258">
            <v>0</v>
          </cell>
          <cell r="H258">
            <v>0</v>
          </cell>
          <cell r="I258">
            <v>0</v>
          </cell>
        </row>
        <row r="259">
          <cell r="A259">
            <v>0</v>
          </cell>
          <cell r="B259" t="str">
            <v>M203.0025</v>
          </cell>
          <cell r="C259" t="str">
            <v>Megôm met</v>
          </cell>
          <cell r="D259" t="str">
            <v>ca</v>
          </cell>
          <cell r="E259">
            <v>0.14399999999999999</v>
          </cell>
          <cell r="F259">
            <v>40127.500000000007</v>
          </cell>
          <cell r="G259">
            <v>0</v>
          </cell>
          <cell r="H259">
            <v>0</v>
          </cell>
          <cell r="I259">
            <v>5778.3600000000006</v>
          </cell>
        </row>
        <row r="260">
          <cell r="A260">
            <v>0</v>
          </cell>
          <cell r="B260" t="str">
            <v>M203.0007</v>
          </cell>
          <cell r="C260" t="str">
            <v>Hợp bộ thí nghiệm cao áp</v>
          </cell>
          <cell r="D260" t="str">
            <v>ca</v>
          </cell>
          <cell r="E260">
            <v>0.13900000000000001</v>
          </cell>
          <cell r="F260">
            <v>403740.11363636365</v>
          </cell>
          <cell r="G260">
            <v>0</v>
          </cell>
          <cell r="H260">
            <v>0</v>
          </cell>
          <cell r="I260">
            <v>56119.875795454551</v>
          </cell>
        </row>
        <row r="261">
          <cell r="A261">
            <v>0</v>
          </cell>
          <cell r="B261" t="str">
            <v>M203.0005</v>
          </cell>
          <cell r="C261" t="str">
            <v>Hợp bộ đo lường</v>
          </cell>
          <cell r="D261" t="str">
            <v>ca</v>
          </cell>
          <cell r="E261">
            <v>0.185</v>
          </cell>
          <cell r="F261">
            <v>752668.63636363659</v>
          </cell>
          <cell r="G261">
            <v>0</v>
          </cell>
          <cell r="H261">
            <v>0</v>
          </cell>
          <cell r="I261">
            <v>139243.69772727275</v>
          </cell>
        </row>
        <row r="262">
          <cell r="A262">
            <v>0</v>
          </cell>
          <cell r="B262" t="str">
            <v>M203.0004</v>
          </cell>
          <cell r="C262" t="str">
            <v>Hợp bộ đo Tg</v>
          </cell>
          <cell r="D262" t="str">
            <v>ca</v>
          </cell>
          <cell r="E262">
            <v>0</v>
          </cell>
          <cell r="F262">
            <v>796170.45454545447</v>
          </cell>
          <cell r="G262">
            <v>0</v>
          </cell>
          <cell r="H262">
            <v>0</v>
          </cell>
          <cell r="I262">
            <v>0</v>
          </cell>
        </row>
        <row r="263">
          <cell r="A263">
            <v>0</v>
          </cell>
          <cell r="B263" t="str">
            <v>M203.0014</v>
          </cell>
          <cell r="C263" t="str">
            <v>Máy đo điện trở một chiều</v>
          </cell>
          <cell r="D263" t="str">
            <v>ca</v>
          </cell>
          <cell r="E263">
            <v>0.14399999999999999</v>
          </cell>
          <cell r="F263">
            <v>142909.77272727276</v>
          </cell>
          <cell r="G263">
            <v>0</v>
          </cell>
          <cell r="H263">
            <v>0</v>
          </cell>
          <cell r="I263">
            <v>20579.007272727278</v>
          </cell>
        </row>
        <row r="264">
          <cell r="A264">
            <v>0</v>
          </cell>
          <cell r="B264" t="str">
            <v>M203.0019</v>
          </cell>
          <cell r="C264" t="str">
            <v>Máy đo tỷ số biến</v>
          </cell>
          <cell r="D264" t="str">
            <v>ca</v>
          </cell>
          <cell r="E264">
            <v>0.23100000000000001</v>
          </cell>
          <cell r="F264">
            <v>120291.81818181821</v>
          </cell>
          <cell r="G264">
            <v>0</v>
          </cell>
          <cell r="H264">
            <v>0</v>
          </cell>
          <cell r="I264">
            <v>27787.410000000007</v>
          </cell>
        </row>
        <row r="265">
          <cell r="A265" t="str">
            <v>EA.22140</v>
          </cell>
          <cell r="B265">
            <v>0</v>
          </cell>
          <cell r="C265" t="str">
            <v>Thí nghiệm máy biến áp 1 pha U 22-35kV - S&lt;=500KVA</v>
          </cell>
          <cell r="D265" t="str">
            <v>Máy</v>
          </cell>
          <cell r="E265">
            <v>0</v>
          </cell>
          <cell r="F265">
            <v>0</v>
          </cell>
          <cell r="G265">
            <v>35329.896787272723</v>
          </cell>
          <cell r="H265">
            <v>1336929.4736842106</v>
          </cell>
          <cell r="I265">
            <v>281846.55704545463</v>
          </cell>
        </row>
        <row r="266">
          <cell r="A266">
            <v>0</v>
          </cell>
          <cell r="B266">
            <v>0</v>
          </cell>
          <cell r="C266" t="str">
            <v>Vật liệu</v>
          </cell>
          <cell r="D266">
            <v>0</v>
          </cell>
          <cell r="E266">
            <v>0</v>
          </cell>
          <cell r="F266">
            <v>0</v>
          </cell>
          <cell r="G266">
            <v>0</v>
          </cell>
          <cell r="H266">
            <v>0</v>
          </cell>
          <cell r="I266">
            <v>0</v>
          </cell>
        </row>
        <row r="267">
          <cell r="A267">
            <v>0</v>
          </cell>
          <cell r="B267" t="str">
            <v>VL221</v>
          </cell>
          <cell r="C267" t="str">
            <v>Điện năng</v>
          </cell>
          <cell r="D267" t="str">
            <v>Kwh</v>
          </cell>
          <cell r="E267">
            <v>1.206</v>
          </cell>
          <cell r="F267">
            <v>1622.01</v>
          </cell>
          <cell r="G267">
            <v>1956.1440599999999</v>
          </cell>
          <cell r="H267">
            <v>0</v>
          </cell>
          <cell r="I267">
            <v>0</v>
          </cell>
        </row>
        <row r="268">
          <cell r="A268">
            <v>0</v>
          </cell>
          <cell r="B268" t="str">
            <v>VL188</v>
          </cell>
          <cell r="C268" t="str">
            <v>Vải phin trắng 0,8m</v>
          </cell>
          <cell r="D268" t="str">
            <v>m</v>
          </cell>
          <cell r="E268">
            <v>0.30199999999999999</v>
          </cell>
          <cell r="F268">
            <v>8000</v>
          </cell>
          <cell r="G268">
            <v>2416</v>
          </cell>
          <cell r="H268">
            <v>0</v>
          </cell>
          <cell r="I268">
            <v>0</v>
          </cell>
        </row>
        <row r="269">
          <cell r="A269">
            <v>0</v>
          </cell>
          <cell r="B269" t="str">
            <v>VL176</v>
          </cell>
          <cell r="C269" t="str">
            <v>Giẻ lau</v>
          </cell>
          <cell r="D269" t="str">
            <v>kg</v>
          </cell>
          <cell r="E269">
            <v>0.30199999999999999</v>
          </cell>
          <cell r="F269">
            <v>5000</v>
          </cell>
          <cell r="G269">
            <v>1510</v>
          </cell>
          <cell r="H269">
            <v>0</v>
          </cell>
          <cell r="I269">
            <v>0</v>
          </cell>
        </row>
        <row r="270">
          <cell r="A270">
            <v>0</v>
          </cell>
          <cell r="B270" t="str">
            <v>VL179</v>
          </cell>
          <cell r="C270" t="str">
            <v>Băng cách điện</v>
          </cell>
          <cell r="D270" t="str">
            <v>cuộn</v>
          </cell>
          <cell r="E270">
            <v>0.60299999999999998</v>
          </cell>
          <cell r="F270">
            <v>5000</v>
          </cell>
          <cell r="G270">
            <v>3015</v>
          </cell>
          <cell r="H270">
            <v>0</v>
          </cell>
          <cell r="I270">
            <v>0</v>
          </cell>
        </row>
        <row r="271">
          <cell r="A271">
            <v>0</v>
          </cell>
          <cell r="B271" t="str">
            <v>VL177</v>
          </cell>
          <cell r="C271" t="str">
            <v>Cồn công nghiệp</v>
          </cell>
          <cell r="D271" t="str">
            <v>kg</v>
          </cell>
          <cell r="E271">
            <v>0.30199999999999999</v>
          </cell>
          <cell r="F271">
            <v>20000</v>
          </cell>
          <cell r="G271">
            <v>6040</v>
          </cell>
          <cell r="H271">
            <v>0</v>
          </cell>
          <cell r="I271">
            <v>0</v>
          </cell>
        </row>
        <row r="272">
          <cell r="A272">
            <v>0</v>
          </cell>
          <cell r="B272" t="str">
            <v>VL186</v>
          </cell>
          <cell r="C272" t="str">
            <v>Giấy nhám số 0</v>
          </cell>
          <cell r="D272" t="str">
            <v>tờ</v>
          </cell>
          <cell r="E272">
            <v>0.30199999999999999</v>
          </cell>
          <cell r="F272">
            <v>2000</v>
          </cell>
          <cell r="G272">
            <v>604</v>
          </cell>
          <cell r="H272">
            <v>0</v>
          </cell>
          <cell r="I272">
            <v>0</v>
          </cell>
        </row>
        <row r="273">
          <cell r="A273">
            <v>0</v>
          </cell>
          <cell r="B273" t="str">
            <v>VL198</v>
          </cell>
          <cell r="C273" t="str">
            <v>Dây điện 2x1,5mm2</v>
          </cell>
          <cell r="D273" t="str">
            <v>m</v>
          </cell>
          <cell r="E273">
            <v>1.206</v>
          </cell>
          <cell r="F273">
            <v>9027.2727272727261</v>
          </cell>
          <cell r="G273">
            <v>10886.890909090907</v>
          </cell>
          <cell r="H273">
            <v>0</v>
          </cell>
          <cell r="I273">
            <v>0</v>
          </cell>
        </row>
        <row r="274">
          <cell r="A274">
            <v>0</v>
          </cell>
          <cell r="B274" t="str">
            <v>VL200</v>
          </cell>
          <cell r="C274" t="str">
            <v>Dây điện 4x2,5mm2</v>
          </cell>
          <cell r="D274" t="str">
            <v>m</v>
          </cell>
          <cell r="E274">
            <v>0.30199999999999999</v>
          </cell>
          <cell r="F274">
            <v>29476.363636363632</v>
          </cell>
          <cell r="G274">
            <v>8901.8618181818165</v>
          </cell>
          <cell r="H274">
            <v>0</v>
          </cell>
          <cell r="I274">
            <v>0</v>
          </cell>
        </row>
        <row r="275">
          <cell r="A275">
            <v>0</v>
          </cell>
          <cell r="B275">
            <v>0</v>
          </cell>
          <cell r="C275" t="str">
            <v>Nhân công</v>
          </cell>
          <cell r="D275">
            <v>0</v>
          </cell>
          <cell r="E275">
            <v>0</v>
          </cell>
          <cell r="F275">
            <v>0</v>
          </cell>
          <cell r="G275">
            <v>0</v>
          </cell>
          <cell r="H275">
            <v>0</v>
          </cell>
          <cell r="I275">
            <v>0</v>
          </cell>
        </row>
        <row r="276">
          <cell r="A276">
            <v>0</v>
          </cell>
          <cell r="B276" t="str">
            <v>KS4</v>
          </cell>
          <cell r="C276" t="str">
            <v>Kỹ sư bậc 4,0/8</v>
          </cell>
          <cell r="D276" t="str">
            <v>công</v>
          </cell>
          <cell r="E276">
            <v>3.65</v>
          </cell>
          <cell r="F276">
            <v>237000</v>
          </cell>
          <cell r="G276">
            <v>0</v>
          </cell>
          <cell r="H276">
            <v>865050</v>
          </cell>
          <cell r="I276">
            <v>0</v>
          </cell>
        </row>
        <row r="277">
          <cell r="A277">
            <v>0</v>
          </cell>
          <cell r="B277" t="str">
            <v>N4507</v>
          </cell>
          <cell r="C277" t="str">
            <v xml:space="preserve"> Nhân công bậc 5,0/7 - Nhóm 4</v>
          </cell>
          <cell r="D277" t="str">
            <v>công</v>
          </cell>
          <cell r="E277">
            <v>1.56</v>
          </cell>
          <cell r="F277">
            <v>302486.8421052632</v>
          </cell>
          <cell r="G277">
            <v>0</v>
          </cell>
          <cell r="H277">
            <v>471879.47368421062</v>
          </cell>
          <cell r="I277">
            <v>0</v>
          </cell>
        </row>
        <row r="278">
          <cell r="A278">
            <v>0</v>
          </cell>
          <cell r="B278">
            <v>0</v>
          </cell>
          <cell r="C278" t="str">
            <v>Máy thi công</v>
          </cell>
          <cell r="D278">
            <v>0</v>
          </cell>
          <cell r="E278">
            <v>0</v>
          </cell>
          <cell r="F278">
            <v>0</v>
          </cell>
          <cell r="G278">
            <v>0</v>
          </cell>
          <cell r="H278">
            <v>0</v>
          </cell>
          <cell r="I278">
            <v>0</v>
          </cell>
        </row>
        <row r="279">
          <cell r="A279">
            <v>0</v>
          </cell>
          <cell r="B279" t="str">
            <v>M203.0025</v>
          </cell>
          <cell r="C279" t="str">
            <v>Megôm met</v>
          </cell>
          <cell r="D279" t="str">
            <v>ca</v>
          </cell>
          <cell r="E279">
            <v>0.16</v>
          </cell>
          <cell r="F279">
            <v>40127.500000000007</v>
          </cell>
          <cell r="G279">
            <v>0</v>
          </cell>
          <cell r="H279">
            <v>0</v>
          </cell>
          <cell r="I279">
            <v>6420.4000000000015</v>
          </cell>
        </row>
        <row r="280">
          <cell r="A280">
            <v>0</v>
          </cell>
          <cell r="B280" t="str">
            <v>M203.0007</v>
          </cell>
          <cell r="C280" t="str">
            <v>Hợp bộ thí nghiệm cao áp</v>
          </cell>
          <cell r="D280" t="str">
            <v>ca</v>
          </cell>
          <cell r="E280">
            <v>0.154</v>
          </cell>
          <cell r="F280">
            <v>403740.11363636365</v>
          </cell>
          <cell r="G280">
            <v>0</v>
          </cell>
          <cell r="H280">
            <v>0</v>
          </cell>
          <cell r="I280">
            <v>62175.977500000001</v>
          </cell>
        </row>
        <row r="281">
          <cell r="A281">
            <v>0</v>
          </cell>
          <cell r="B281" t="str">
            <v>M203.0005</v>
          </cell>
          <cell r="C281" t="str">
            <v>Hợp bộ đo lường</v>
          </cell>
          <cell r="D281" t="str">
            <v>ca</v>
          </cell>
          <cell r="E281">
            <v>0.20499999999999999</v>
          </cell>
          <cell r="F281">
            <v>752668.63636363659</v>
          </cell>
          <cell r="G281">
            <v>0</v>
          </cell>
          <cell r="H281">
            <v>0</v>
          </cell>
          <cell r="I281">
            <v>154297.07045454549</v>
          </cell>
        </row>
        <row r="282">
          <cell r="A282">
            <v>0</v>
          </cell>
          <cell r="B282" t="str">
            <v>M203.0004</v>
          </cell>
          <cell r="C282" t="str">
            <v>Hợp bộ đo Tg</v>
          </cell>
          <cell r="D282" t="str">
            <v>ca</v>
          </cell>
          <cell r="E282">
            <v>0</v>
          </cell>
          <cell r="F282">
            <v>796170.45454545447</v>
          </cell>
          <cell r="G282">
            <v>0</v>
          </cell>
          <cell r="H282">
            <v>0</v>
          </cell>
          <cell r="I282">
            <v>0</v>
          </cell>
        </row>
        <row r="283">
          <cell r="A283">
            <v>0</v>
          </cell>
          <cell r="B283" t="str">
            <v>M203.0014</v>
          </cell>
          <cell r="C283" t="str">
            <v>Máy đo điện trở một chiều</v>
          </cell>
          <cell r="D283" t="str">
            <v>ca</v>
          </cell>
          <cell r="E283">
            <v>0.16</v>
          </cell>
          <cell r="F283">
            <v>142909.77272727276</v>
          </cell>
          <cell r="G283">
            <v>0</v>
          </cell>
          <cell r="H283">
            <v>0</v>
          </cell>
          <cell r="I283">
            <v>22865.563636363644</v>
          </cell>
        </row>
        <row r="284">
          <cell r="A284">
            <v>0</v>
          </cell>
          <cell r="B284" t="str">
            <v>M203.0019</v>
          </cell>
          <cell r="C284" t="str">
            <v>Máy đo tỷ số biến</v>
          </cell>
          <cell r="D284" t="str">
            <v>ca</v>
          </cell>
          <cell r="E284">
            <v>0.3</v>
          </cell>
          <cell r="F284">
            <v>120291.81818181821</v>
          </cell>
          <cell r="G284">
            <v>0</v>
          </cell>
          <cell r="H284">
            <v>0</v>
          </cell>
          <cell r="I284">
            <v>36087.545454545463</v>
          </cell>
        </row>
        <row r="285">
          <cell r="A285" t="str">
            <v>EA.22210</v>
          </cell>
          <cell r="B285">
            <v>0</v>
          </cell>
          <cell r="C285" t="str">
            <v>Thí nghiệm máy biến áp 3 pha U 3-15kV - S&lt;=1MVA</v>
          </cell>
          <cell r="D285" t="str">
            <v>Máy</v>
          </cell>
          <cell r="E285">
            <v>0</v>
          </cell>
          <cell r="F285">
            <v>0</v>
          </cell>
          <cell r="G285">
            <v>42438.419836363631</v>
          </cell>
          <cell r="H285">
            <v>1596600.3947368423</v>
          </cell>
          <cell r="I285">
            <v>269558.72602272732</v>
          </cell>
        </row>
        <row r="286">
          <cell r="A286">
            <v>0</v>
          </cell>
          <cell r="B286">
            <v>0</v>
          </cell>
          <cell r="C286" t="str">
            <v>Vật liệu</v>
          </cell>
          <cell r="D286">
            <v>0</v>
          </cell>
          <cell r="E286">
            <v>0</v>
          </cell>
          <cell r="F286">
            <v>0</v>
          </cell>
          <cell r="G286">
            <v>0</v>
          </cell>
          <cell r="H286">
            <v>0</v>
          </cell>
          <cell r="I286">
            <v>0</v>
          </cell>
        </row>
        <row r="287">
          <cell r="A287">
            <v>0</v>
          </cell>
          <cell r="B287" t="str">
            <v>VL221</v>
          </cell>
          <cell r="C287" t="str">
            <v>Điện năng</v>
          </cell>
          <cell r="D287" t="str">
            <v>Kwh</v>
          </cell>
          <cell r="E287">
            <v>1.62</v>
          </cell>
          <cell r="F287">
            <v>1622.01</v>
          </cell>
          <cell r="G287">
            <v>2627.6562000000004</v>
          </cell>
          <cell r="H287">
            <v>0</v>
          </cell>
          <cell r="I287">
            <v>0</v>
          </cell>
        </row>
        <row r="288">
          <cell r="A288">
            <v>0</v>
          </cell>
          <cell r="B288" t="str">
            <v>VL188</v>
          </cell>
          <cell r="C288" t="str">
            <v>Vải phin trắng 0,8m</v>
          </cell>
          <cell r="D288" t="str">
            <v>m</v>
          </cell>
          <cell r="E288">
            <v>0.36</v>
          </cell>
          <cell r="F288">
            <v>8000</v>
          </cell>
          <cell r="G288">
            <v>2880</v>
          </cell>
          <cell r="H288">
            <v>0</v>
          </cell>
          <cell r="I288">
            <v>0</v>
          </cell>
        </row>
        <row r="289">
          <cell r="A289">
            <v>0</v>
          </cell>
          <cell r="B289" t="str">
            <v>VL176</v>
          </cell>
          <cell r="C289" t="str">
            <v>Giẻ lau</v>
          </cell>
          <cell r="D289" t="str">
            <v>kg</v>
          </cell>
          <cell r="E289">
            <v>0.36</v>
          </cell>
          <cell r="F289">
            <v>5000</v>
          </cell>
          <cell r="G289">
            <v>1800</v>
          </cell>
          <cell r="H289">
            <v>0</v>
          </cell>
          <cell r="I289">
            <v>0</v>
          </cell>
        </row>
        <row r="290">
          <cell r="A290">
            <v>0</v>
          </cell>
          <cell r="B290" t="str">
            <v>VL179</v>
          </cell>
          <cell r="C290" t="str">
            <v>Băng cách điện</v>
          </cell>
          <cell r="D290" t="str">
            <v>cuộn</v>
          </cell>
          <cell r="E290">
            <v>0.72</v>
          </cell>
          <cell r="F290">
            <v>5000</v>
          </cell>
          <cell r="G290">
            <v>3600</v>
          </cell>
          <cell r="H290">
            <v>0</v>
          </cell>
          <cell r="I290">
            <v>0</v>
          </cell>
        </row>
        <row r="291">
          <cell r="A291">
            <v>0</v>
          </cell>
          <cell r="B291" t="str">
            <v>VL177</v>
          </cell>
          <cell r="C291" t="str">
            <v>Cồn công nghiệp</v>
          </cell>
          <cell r="D291" t="str">
            <v>kg</v>
          </cell>
          <cell r="E291">
            <v>0.36</v>
          </cell>
          <cell r="F291">
            <v>20000</v>
          </cell>
          <cell r="G291">
            <v>7200</v>
          </cell>
          <cell r="H291">
            <v>0</v>
          </cell>
          <cell r="I291">
            <v>0</v>
          </cell>
        </row>
        <row r="292">
          <cell r="A292">
            <v>0</v>
          </cell>
          <cell r="B292" t="str">
            <v>VL186</v>
          </cell>
          <cell r="C292" t="str">
            <v>Giấy nhám số 0</v>
          </cell>
          <cell r="D292" t="str">
            <v>tờ</v>
          </cell>
          <cell r="E292">
            <v>0.36</v>
          </cell>
          <cell r="F292">
            <v>2000</v>
          </cell>
          <cell r="G292">
            <v>720</v>
          </cell>
          <cell r="H292">
            <v>0</v>
          </cell>
          <cell r="I292">
            <v>0</v>
          </cell>
        </row>
        <row r="293">
          <cell r="A293">
            <v>0</v>
          </cell>
          <cell r="B293" t="str">
            <v>VL198</v>
          </cell>
          <cell r="C293" t="str">
            <v>Dây điện 2x1,5mm2</v>
          </cell>
          <cell r="D293" t="str">
            <v>m</v>
          </cell>
          <cell r="E293">
            <v>1.44</v>
          </cell>
          <cell r="F293">
            <v>9027.2727272727261</v>
          </cell>
          <cell r="G293">
            <v>12999.272727272724</v>
          </cell>
          <cell r="H293">
            <v>0</v>
          </cell>
          <cell r="I293">
            <v>0</v>
          </cell>
        </row>
        <row r="294">
          <cell r="A294">
            <v>0</v>
          </cell>
          <cell r="B294" t="str">
            <v>VL200</v>
          </cell>
          <cell r="C294" t="str">
            <v>Dây điện 4x2,5mm2</v>
          </cell>
          <cell r="D294" t="str">
            <v>m</v>
          </cell>
          <cell r="E294">
            <v>0.36</v>
          </cell>
          <cell r="F294">
            <v>29476.363636363632</v>
          </cell>
          <cell r="G294">
            <v>10611.490909090908</v>
          </cell>
          <cell r="H294">
            <v>0</v>
          </cell>
          <cell r="I294">
            <v>0</v>
          </cell>
        </row>
        <row r="295">
          <cell r="A295">
            <v>0</v>
          </cell>
          <cell r="B295">
            <v>0</v>
          </cell>
          <cell r="C295" t="str">
            <v>Nhân công</v>
          </cell>
          <cell r="D295">
            <v>0</v>
          </cell>
          <cell r="E295">
            <v>0</v>
          </cell>
          <cell r="F295">
            <v>0</v>
          </cell>
          <cell r="G295">
            <v>0</v>
          </cell>
          <cell r="H295">
            <v>0</v>
          </cell>
          <cell r="I295">
            <v>0</v>
          </cell>
        </row>
        <row r="296">
          <cell r="A296">
            <v>0</v>
          </cell>
          <cell r="B296" t="str">
            <v>KS4</v>
          </cell>
          <cell r="C296" t="str">
            <v>Kỹ sư bậc 4,0/8</v>
          </cell>
          <cell r="D296" t="str">
            <v>công</v>
          </cell>
          <cell r="E296">
            <v>4.3499999999999996</v>
          </cell>
          <cell r="F296">
            <v>237000</v>
          </cell>
          <cell r="G296">
            <v>0</v>
          </cell>
          <cell r="H296">
            <v>1030949.9999999999</v>
          </cell>
          <cell r="I296">
            <v>0</v>
          </cell>
        </row>
        <row r="297">
          <cell r="A297">
            <v>0</v>
          </cell>
          <cell r="B297" t="str">
            <v>N4507</v>
          </cell>
          <cell r="C297" t="str">
            <v xml:space="preserve"> Nhân công bậc 5,0/7 - Nhóm 4</v>
          </cell>
          <cell r="D297" t="str">
            <v>công</v>
          </cell>
          <cell r="E297">
            <v>1.87</v>
          </cell>
          <cell r="F297">
            <v>302486.8421052632</v>
          </cell>
          <cell r="G297">
            <v>0</v>
          </cell>
          <cell r="H297">
            <v>565650.39473684225</v>
          </cell>
          <cell r="I297">
            <v>0</v>
          </cell>
        </row>
        <row r="298">
          <cell r="A298">
            <v>0</v>
          </cell>
          <cell r="B298">
            <v>0</v>
          </cell>
          <cell r="C298" t="str">
            <v>Máy thi công</v>
          </cell>
          <cell r="D298">
            <v>0</v>
          </cell>
          <cell r="E298">
            <v>0</v>
          </cell>
          <cell r="F298">
            <v>0</v>
          </cell>
          <cell r="G298">
            <v>0</v>
          </cell>
          <cell r="H298">
            <v>0</v>
          </cell>
          <cell r="I298">
            <v>0</v>
          </cell>
        </row>
        <row r="299">
          <cell r="A299">
            <v>0</v>
          </cell>
          <cell r="B299" t="str">
            <v>M203.0025</v>
          </cell>
          <cell r="C299" t="str">
            <v>Megôm met</v>
          </cell>
          <cell r="D299" t="str">
            <v>ca</v>
          </cell>
          <cell r="E299">
            <v>0.14399999999999999</v>
          </cell>
          <cell r="F299">
            <v>40127.500000000007</v>
          </cell>
          <cell r="G299">
            <v>0</v>
          </cell>
          <cell r="H299">
            <v>0</v>
          </cell>
          <cell r="I299">
            <v>5778.3600000000006</v>
          </cell>
        </row>
        <row r="300">
          <cell r="A300">
            <v>0</v>
          </cell>
          <cell r="B300" t="str">
            <v>M203.0007</v>
          </cell>
          <cell r="C300" t="str">
            <v>Hợp bộ thí nghiệm cao áp</v>
          </cell>
          <cell r="D300" t="str">
            <v>ca</v>
          </cell>
          <cell r="E300">
            <v>0.18099999999999999</v>
          </cell>
          <cell r="F300">
            <v>403740.11363636365</v>
          </cell>
          <cell r="G300">
            <v>0</v>
          </cell>
          <cell r="H300">
            <v>0</v>
          </cell>
          <cell r="I300">
            <v>73076.960568181821</v>
          </cell>
        </row>
        <row r="301">
          <cell r="A301">
            <v>0</v>
          </cell>
          <cell r="B301" t="str">
            <v>M203.0005</v>
          </cell>
          <cell r="C301" t="str">
            <v>Hợp bộ đo lường</v>
          </cell>
          <cell r="D301" t="str">
            <v>ca</v>
          </cell>
          <cell r="E301">
            <v>0.18</v>
          </cell>
          <cell r="F301">
            <v>752668.63636363659</v>
          </cell>
          <cell r="G301">
            <v>0</v>
          </cell>
          <cell r="H301">
            <v>0</v>
          </cell>
          <cell r="I301">
            <v>135480.35454545458</v>
          </cell>
        </row>
        <row r="302">
          <cell r="A302">
            <v>0</v>
          </cell>
          <cell r="B302" t="str">
            <v>M203.0014</v>
          </cell>
          <cell r="C302" t="str">
            <v>Máy đo điện trở một chiều</v>
          </cell>
          <cell r="D302" t="str">
            <v>ca</v>
          </cell>
          <cell r="E302">
            <v>0.14399999999999999</v>
          </cell>
          <cell r="F302">
            <v>142909.77272727276</v>
          </cell>
          <cell r="G302">
            <v>0</v>
          </cell>
          <cell r="H302">
            <v>0</v>
          </cell>
          <cell r="I302">
            <v>20579.007272727278</v>
          </cell>
        </row>
        <row r="303">
          <cell r="A303">
            <v>0</v>
          </cell>
          <cell r="B303" t="str">
            <v>M203.0019</v>
          </cell>
          <cell r="C303" t="str">
            <v>Máy đo tỷ số biến</v>
          </cell>
          <cell r="D303" t="str">
            <v>ca</v>
          </cell>
          <cell r="E303">
            <v>0.28799999999999998</v>
          </cell>
          <cell r="F303">
            <v>120291.81818181821</v>
          </cell>
          <cell r="G303">
            <v>0</v>
          </cell>
          <cell r="H303">
            <v>0</v>
          </cell>
          <cell r="I303">
            <v>34644.04363636364</v>
          </cell>
        </row>
        <row r="304">
          <cell r="A304" t="str">
            <v>EA.22220</v>
          </cell>
          <cell r="B304">
            <v>0</v>
          </cell>
          <cell r="C304" t="str">
            <v>Thí nghiệm máy biến áp 3 pha U 3-15kV - S&gt;1MVA</v>
          </cell>
          <cell r="D304" t="str">
            <v>Máy</v>
          </cell>
          <cell r="E304">
            <v>0</v>
          </cell>
          <cell r="F304">
            <v>0</v>
          </cell>
          <cell r="G304">
            <v>47153.799818181818</v>
          </cell>
          <cell r="H304">
            <v>1770857.7631578948</v>
          </cell>
          <cell r="I304">
            <v>299868.57568181824</v>
          </cell>
        </row>
        <row r="305">
          <cell r="A305">
            <v>0</v>
          </cell>
          <cell r="B305">
            <v>0</v>
          </cell>
          <cell r="C305" t="str">
            <v>Vật liệu</v>
          </cell>
          <cell r="D305">
            <v>0</v>
          </cell>
          <cell r="E305">
            <v>0</v>
          </cell>
          <cell r="F305">
            <v>0</v>
          </cell>
          <cell r="G305">
            <v>0</v>
          </cell>
          <cell r="H305">
            <v>0</v>
          </cell>
          <cell r="I305">
            <v>0</v>
          </cell>
        </row>
        <row r="306">
          <cell r="A306">
            <v>0</v>
          </cell>
          <cell r="B306" t="str">
            <v>VL221</v>
          </cell>
          <cell r="C306" t="str">
            <v>Điện năng</v>
          </cell>
          <cell r="D306" t="str">
            <v>Kwh</v>
          </cell>
          <cell r="E306">
            <v>1.8</v>
          </cell>
          <cell r="F306">
            <v>1622.01</v>
          </cell>
          <cell r="G306">
            <v>2919.6179999999999</v>
          </cell>
          <cell r="H306">
            <v>0</v>
          </cell>
          <cell r="I306">
            <v>0</v>
          </cell>
        </row>
        <row r="307">
          <cell r="A307">
            <v>0</v>
          </cell>
          <cell r="B307" t="str">
            <v>VL188</v>
          </cell>
          <cell r="C307" t="str">
            <v>Vải phin trắng 0,8m</v>
          </cell>
          <cell r="D307" t="str">
            <v>m</v>
          </cell>
          <cell r="E307">
            <v>0.4</v>
          </cell>
          <cell r="F307">
            <v>8000</v>
          </cell>
          <cell r="G307">
            <v>3200</v>
          </cell>
          <cell r="H307">
            <v>0</v>
          </cell>
          <cell r="I307">
            <v>0</v>
          </cell>
        </row>
        <row r="308">
          <cell r="A308">
            <v>0</v>
          </cell>
          <cell r="B308" t="str">
            <v>VL176</v>
          </cell>
          <cell r="C308" t="str">
            <v>Giẻ lau</v>
          </cell>
          <cell r="D308" t="str">
            <v>kg</v>
          </cell>
          <cell r="E308">
            <v>0.4</v>
          </cell>
          <cell r="F308">
            <v>5000</v>
          </cell>
          <cell r="G308">
            <v>2000</v>
          </cell>
          <cell r="H308">
            <v>0</v>
          </cell>
          <cell r="I308">
            <v>0</v>
          </cell>
        </row>
        <row r="309">
          <cell r="A309">
            <v>0</v>
          </cell>
          <cell r="B309" t="str">
            <v>VL179</v>
          </cell>
          <cell r="C309" t="str">
            <v>Băng cách điện</v>
          </cell>
          <cell r="D309" t="str">
            <v>cuộn</v>
          </cell>
          <cell r="E309">
            <v>0.8</v>
          </cell>
          <cell r="F309">
            <v>5000</v>
          </cell>
          <cell r="G309">
            <v>4000</v>
          </cell>
          <cell r="H309">
            <v>0</v>
          </cell>
          <cell r="I309">
            <v>0</v>
          </cell>
        </row>
        <row r="310">
          <cell r="A310">
            <v>0</v>
          </cell>
          <cell r="B310" t="str">
            <v>VL177</v>
          </cell>
          <cell r="C310" t="str">
            <v>Cồn công nghiệp</v>
          </cell>
          <cell r="D310" t="str">
            <v>kg</v>
          </cell>
          <cell r="E310">
            <v>0.4</v>
          </cell>
          <cell r="F310">
            <v>20000</v>
          </cell>
          <cell r="G310">
            <v>8000</v>
          </cell>
          <cell r="H310">
            <v>0</v>
          </cell>
          <cell r="I310">
            <v>0</v>
          </cell>
        </row>
        <row r="311">
          <cell r="A311">
            <v>0</v>
          </cell>
          <cell r="B311" t="str">
            <v>VL186</v>
          </cell>
          <cell r="C311" t="str">
            <v>Giấy nhám số 0</v>
          </cell>
          <cell r="D311" t="str">
            <v>tờ</v>
          </cell>
          <cell r="E311">
            <v>0.4</v>
          </cell>
          <cell r="F311">
            <v>2000</v>
          </cell>
          <cell r="G311">
            <v>800</v>
          </cell>
          <cell r="H311">
            <v>0</v>
          </cell>
          <cell r="I311">
            <v>0</v>
          </cell>
        </row>
        <row r="312">
          <cell r="A312">
            <v>0</v>
          </cell>
          <cell r="B312" t="str">
            <v>VL198</v>
          </cell>
          <cell r="C312" t="str">
            <v>Dây điện 2x1,5mm2</v>
          </cell>
          <cell r="D312" t="str">
            <v>m</v>
          </cell>
          <cell r="E312">
            <v>1.6</v>
          </cell>
          <cell r="F312">
            <v>9027.2727272727261</v>
          </cell>
          <cell r="G312">
            <v>14443.636363636362</v>
          </cell>
          <cell r="H312">
            <v>0</v>
          </cell>
          <cell r="I312">
            <v>0</v>
          </cell>
        </row>
        <row r="313">
          <cell r="A313">
            <v>0</v>
          </cell>
          <cell r="B313" t="str">
            <v>VL200</v>
          </cell>
          <cell r="C313" t="str">
            <v>Dây điện 4x2,5mm2</v>
          </cell>
          <cell r="D313" t="str">
            <v>m</v>
          </cell>
          <cell r="E313">
            <v>0.4</v>
          </cell>
          <cell r="F313">
            <v>29476.363636363632</v>
          </cell>
          <cell r="G313">
            <v>11790.545454545454</v>
          </cell>
          <cell r="H313">
            <v>0</v>
          </cell>
          <cell r="I313">
            <v>0</v>
          </cell>
        </row>
        <row r="314">
          <cell r="A314">
            <v>0</v>
          </cell>
          <cell r="B314">
            <v>0</v>
          </cell>
          <cell r="C314" t="str">
            <v>Nhân công</v>
          </cell>
          <cell r="D314">
            <v>0</v>
          </cell>
          <cell r="E314">
            <v>0</v>
          </cell>
          <cell r="F314">
            <v>0</v>
          </cell>
          <cell r="G314">
            <v>0</v>
          </cell>
          <cell r="H314">
            <v>0</v>
          </cell>
          <cell r="I314">
            <v>0</v>
          </cell>
        </row>
        <row r="315">
          <cell r="A315">
            <v>0</v>
          </cell>
          <cell r="B315" t="str">
            <v>KS4</v>
          </cell>
          <cell r="C315" t="str">
            <v>Kỹ sư bậc 4,0/8</v>
          </cell>
          <cell r="D315" t="str">
            <v>công</v>
          </cell>
          <cell r="E315">
            <v>4.83</v>
          </cell>
          <cell r="F315">
            <v>237000</v>
          </cell>
          <cell r="G315">
            <v>0</v>
          </cell>
          <cell r="H315">
            <v>1144710</v>
          </cell>
          <cell r="I315">
            <v>0</v>
          </cell>
        </row>
        <row r="316">
          <cell r="A316">
            <v>0</v>
          </cell>
          <cell r="B316" t="str">
            <v>N4507</v>
          </cell>
          <cell r="C316" t="str">
            <v xml:space="preserve"> Nhân công bậc 5,0/7 - Nhóm 4</v>
          </cell>
          <cell r="D316" t="str">
            <v>công</v>
          </cell>
          <cell r="E316">
            <v>2.0699999999999998</v>
          </cell>
          <cell r="F316">
            <v>302486.8421052632</v>
          </cell>
          <cell r="G316">
            <v>0</v>
          </cell>
          <cell r="H316">
            <v>626147.76315789483</v>
          </cell>
          <cell r="I316">
            <v>0</v>
          </cell>
        </row>
        <row r="317">
          <cell r="A317">
            <v>0</v>
          </cell>
          <cell r="B317">
            <v>0</v>
          </cell>
          <cell r="C317" t="str">
            <v>Máy thi công</v>
          </cell>
          <cell r="D317">
            <v>0</v>
          </cell>
          <cell r="E317">
            <v>0</v>
          </cell>
          <cell r="F317">
            <v>0</v>
          </cell>
          <cell r="G317">
            <v>0</v>
          </cell>
          <cell r="H317">
            <v>0</v>
          </cell>
          <cell r="I317">
            <v>0</v>
          </cell>
        </row>
        <row r="318">
          <cell r="A318">
            <v>0</v>
          </cell>
          <cell r="B318" t="str">
            <v>M203.0025</v>
          </cell>
          <cell r="C318" t="str">
            <v>Megôm met</v>
          </cell>
          <cell r="D318" t="str">
            <v>ca</v>
          </cell>
          <cell r="E318">
            <v>0.16</v>
          </cell>
          <cell r="F318">
            <v>40127.500000000007</v>
          </cell>
          <cell r="G318">
            <v>0</v>
          </cell>
          <cell r="H318">
            <v>0</v>
          </cell>
          <cell r="I318">
            <v>6420.4000000000015</v>
          </cell>
        </row>
        <row r="319">
          <cell r="A319">
            <v>0</v>
          </cell>
          <cell r="B319" t="str">
            <v>M203.0007</v>
          </cell>
          <cell r="C319" t="str">
            <v>Hợp bộ thí nghiệm cao áp</v>
          </cell>
          <cell r="D319" t="str">
            <v>ca</v>
          </cell>
          <cell r="E319">
            <v>0.20200000000000001</v>
          </cell>
          <cell r="F319">
            <v>403740.11363636365</v>
          </cell>
          <cell r="G319">
            <v>0</v>
          </cell>
          <cell r="H319">
            <v>0</v>
          </cell>
          <cell r="I319">
            <v>81555.50295454546</v>
          </cell>
        </row>
        <row r="320">
          <cell r="A320">
            <v>0</v>
          </cell>
          <cell r="B320" t="str">
            <v>M203.0005</v>
          </cell>
          <cell r="C320" t="str">
            <v>Hợp bộ đo lường</v>
          </cell>
          <cell r="D320" t="str">
            <v>ca</v>
          </cell>
          <cell r="E320">
            <v>0.2</v>
          </cell>
          <cell r="F320">
            <v>752668.63636363659</v>
          </cell>
          <cell r="G320">
            <v>0</v>
          </cell>
          <cell r="H320">
            <v>0</v>
          </cell>
          <cell r="I320">
            <v>150533.72727272732</v>
          </cell>
        </row>
        <row r="321">
          <cell r="A321">
            <v>0</v>
          </cell>
          <cell r="B321" t="str">
            <v>M203.0014</v>
          </cell>
          <cell r="C321" t="str">
            <v>Máy đo điện trở một chiều</v>
          </cell>
          <cell r="D321" t="str">
            <v>ca</v>
          </cell>
          <cell r="E321">
            <v>0.16</v>
          </cell>
          <cell r="F321">
            <v>142909.77272727276</v>
          </cell>
          <cell r="G321">
            <v>0</v>
          </cell>
          <cell r="H321">
            <v>0</v>
          </cell>
          <cell r="I321">
            <v>22865.563636363644</v>
          </cell>
        </row>
        <row r="322">
          <cell r="A322">
            <v>0</v>
          </cell>
          <cell r="B322" t="str">
            <v>M203.0019</v>
          </cell>
          <cell r="C322" t="str">
            <v>Máy đo tỷ số biến</v>
          </cell>
          <cell r="D322" t="str">
            <v>ca</v>
          </cell>
          <cell r="E322">
            <v>0.32</v>
          </cell>
          <cell r="F322">
            <v>120291.81818181821</v>
          </cell>
          <cell r="G322">
            <v>0</v>
          </cell>
          <cell r="H322">
            <v>0</v>
          </cell>
          <cell r="I322">
            <v>38493.381818181828</v>
          </cell>
        </row>
        <row r="323">
          <cell r="A323" t="str">
            <v>EA.22230</v>
          </cell>
          <cell r="B323">
            <v>0</v>
          </cell>
          <cell r="C323" t="str">
            <v>Thí nghiệm máy biến áp 1 pha U 3-15kV - S&lt;=100KVA</v>
          </cell>
          <cell r="D323" t="str">
            <v>Máy</v>
          </cell>
          <cell r="E323">
            <v>0</v>
          </cell>
          <cell r="F323">
            <v>0</v>
          </cell>
          <cell r="G323">
            <v>25581.747406363633</v>
          </cell>
          <cell r="H323">
            <v>965120.13157894742</v>
          </cell>
          <cell r="I323">
            <v>203821.8151136364</v>
          </cell>
        </row>
        <row r="324">
          <cell r="A324">
            <v>0</v>
          </cell>
          <cell r="B324">
            <v>0</v>
          </cell>
          <cell r="C324" t="str">
            <v>Vật liệu</v>
          </cell>
          <cell r="D324">
            <v>0</v>
          </cell>
          <cell r="E324">
            <v>0</v>
          </cell>
          <cell r="F324">
            <v>0</v>
          </cell>
          <cell r="G324">
            <v>0</v>
          </cell>
          <cell r="H324">
            <v>0</v>
          </cell>
          <cell r="I324">
            <v>0</v>
          </cell>
        </row>
        <row r="325">
          <cell r="A325">
            <v>0</v>
          </cell>
          <cell r="B325" t="str">
            <v>VL221</v>
          </cell>
          <cell r="C325" t="str">
            <v>Điện năng</v>
          </cell>
          <cell r="D325" t="str">
            <v>Kwh</v>
          </cell>
          <cell r="E325">
            <v>0.97699999999999998</v>
          </cell>
          <cell r="F325">
            <v>1622.01</v>
          </cell>
          <cell r="G325">
            <v>1584.7037699999998</v>
          </cell>
          <cell r="H325">
            <v>0</v>
          </cell>
          <cell r="I325">
            <v>0</v>
          </cell>
        </row>
        <row r="326">
          <cell r="A326">
            <v>0</v>
          </cell>
          <cell r="B326" t="str">
            <v>VL188</v>
          </cell>
          <cell r="C326" t="str">
            <v>Vải phin trắng 0,8m</v>
          </cell>
          <cell r="D326" t="str">
            <v>m</v>
          </cell>
          <cell r="E326">
            <v>0.217</v>
          </cell>
          <cell r="F326">
            <v>8000</v>
          </cell>
          <cell r="G326">
            <v>1736</v>
          </cell>
          <cell r="H326">
            <v>0</v>
          </cell>
          <cell r="I326">
            <v>0</v>
          </cell>
        </row>
        <row r="327">
          <cell r="A327">
            <v>0</v>
          </cell>
          <cell r="B327" t="str">
            <v>VL176</v>
          </cell>
          <cell r="C327" t="str">
            <v>Giẻ lau</v>
          </cell>
          <cell r="D327" t="str">
            <v>kg</v>
          </cell>
          <cell r="E327">
            <v>0.217</v>
          </cell>
          <cell r="F327">
            <v>5000</v>
          </cell>
          <cell r="G327">
            <v>1085</v>
          </cell>
          <cell r="H327">
            <v>0</v>
          </cell>
          <cell r="I327">
            <v>0</v>
          </cell>
        </row>
        <row r="328">
          <cell r="A328">
            <v>0</v>
          </cell>
          <cell r="B328" t="str">
            <v>VL179</v>
          </cell>
          <cell r="C328" t="str">
            <v>Băng cách điện</v>
          </cell>
          <cell r="D328" t="str">
            <v>cuộn</v>
          </cell>
          <cell r="E328">
            <v>0.434</v>
          </cell>
          <cell r="F328">
            <v>5000</v>
          </cell>
          <cell r="G328">
            <v>2170</v>
          </cell>
          <cell r="H328">
            <v>0</v>
          </cell>
          <cell r="I328">
            <v>0</v>
          </cell>
        </row>
        <row r="329">
          <cell r="A329">
            <v>0</v>
          </cell>
          <cell r="B329" t="str">
            <v>VL177</v>
          </cell>
          <cell r="C329" t="str">
            <v>Cồn công nghiệp</v>
          </cell>
          <cell r="D329" t="str">
            <v>kg</v>
          </cell>
          <cell r="E329">
            <v>0.217</v>
          </cell>
          <cell r="F329">
            <v>20000</v>
          </cell>
          <cell r="G329">
            <v>4340</v>
          </cell>
          <cell r="H329">
            <v>0</v>
          </cell>
          <cell r="I329">
            <v>0</v>
          </cell>
        </row>
        <row r="330">
          <cell r="A330">
            <v>0</v>
          </cell>
          <cell r="B330" t="str">
            <v>VL186</v>
          </cell>
          <cell r="C330" t="str">
            <v>Giấy nhám số 0</v>
          </cell>
          <cell r="D330" t="str">
            <v>tờ</v>
          </cell>
          <cell r="E330">
            <v>0.217</v>
          </cell>
          <cell r="F330">
            <v>2000</v>
          </cell>
          <cell r="G330">
            <v>434</v>
          </cell>
          <cell r="H330">
            <v>0</v>
          </cell>
          <cell r="I330">
            <v>0</v>
          </cell>
        </row>
        <row r="331">
          <cell r="A331">
            <v>0</v>
          </cell>
          <cell r="B331" t="str">
            <v>VL198</v>
          </cell>
          <cell r="C331" t="str">
            <v>Dây điện 2x1,5mm2</v>
          </cell>
          <cell r="D331" t="str">
            <v>m</v>
          </cell>
          <cell r="E331">
            <v>0.86799999999999999</v>
          </cell>
          <cell r="F331">
            <v>9027.2727272727261</v>
          </cell>
          <cell r="G331">
            <v>7835.6727272727267</v>
          </cell>
          <cell r="H331">
            <v>0</v>
          </cell>
          <cell r="I331">
            <v>0</v>
          </cell>
        </row>
        <row r="332">
          <cell r="A332">
            <v>0</v>
          </cell>
          <cell r="B332" t="str">
            <v>VL200</v>
          </cell>
          <cell r="C332" t="str">
            <v>Dây điện 4x2,5mm2</v>
          </cell>
          <cell r="D332" t="str">
            <v>m</v>
          </cell>
          <cell r="E332">
            <v>0.217</v>
          </cell>
          <cell r="F332">
            <v>29476.363636363632</v>
          </cell>
          <cell r="G332">
            <v>6396.3709090909078</v>
          </cell>
          <cell r="H332">
            <v>0</v>
          </cell>
          <cell r="I332">
            <v>0</v>
          </cell>
        </row>
        <row r="333">
          <cell r="A333">
            <v>0</v>
          </cell>
          <cell r="B333">
            <v>0</v>
          </cell>
          <cell r="C333" t="str">
            <v>Nhân công</v>
          </cell>
          <cell r="D333">
            <v>0</v>
          </cell>
          <cell r="E333">
            <v>0</v>
          </cell>
          <cell r="F333">
            <v>0</v>
          </cell>
          <cell r="G333">
            <v>0</v>
          </cell>
          <cell r="H333">
            <v>0</v>
          </cell>
          <cell r="I333">
            <v>0</v>
          </cell>
        </row>
        <row r="334">
          <cell r="A334">
            <v>0</v>
          </cell>
          <cell r="B334" t="str">
            <v>KS4</v>
          </cell>
          <cell r="C334" t="str">
            <v>Kỹ sư bậc 4,0/8</v>
          </cell>
          <cell r="D334" t="str">
            <v>công</v>
          </cell>
          <cell r="E334">
            <v>2.63</v>
          </cell>
          <cell r="F334">
            <v>237000</v>
          </cell>
          <cell r="G334">
            <v>0</v>
          </cell>
          <cell r="H334">
            <v>623310</v>
          </cell>
          <cell r="I334">
            <v>0</v>
          </cell>
        </row>
        <row r="335">
          <cell r="A335">
            <v>0</v>
          </cell>
          <cell r="B335" t="str">
            <v>N4507</v>
          </cell>
          <cell r="C335" t="str">
            <v xml:space="preserve"> Nhân công bậc 5,0/7 - Nhóm 4</v>
          </cell>
          <cell r="D335" t="str">
            <v>công</v>
          </cell>
          <cell r="E335">
            <v>1.1299999999999999</v>
          </cell>
          <cell r="F335">
            <v>302486.8421052632</v>
          </cell>
          <cell r="G335">
            <v>0</v>
          </cell>
          <cell r="H335">
            <v>341810.13157894736</v>
          </cell>
          <cell r="I335">
            <v>0</v>
          </cell>
        </row>
        <row r="336">
          <cell r="A336">
            <v>0</v>
          </cell>
          <cell r="B336">
            <v>0</v>
          </cell>
          <cell r="C336" t="str">
            <v>Máy thi công</v>
          </cell>
          <cell r="D336">
            <v>0</v>
          </cell>
          <cell r="E336">
            <v>0</v>
          </cell>
          <cell r="F336">
            <v>0</v>
          </cell>
          <cell r="G336">
            <v>0</v>
          </cell>
          <cell r="H336">
            <v>0</v>
          </cell>
          <cell r="I336">
            <v>0</v>
          </cell>
        </row>
        <row r="337">
          <cell r="A337">
            <v>0</v>
          </cell>
          <cell r="B337" t="str">
            <v>M203.0025</v>
          </cell>
          <cell r="C337" t="str">
            <v>Megôm met</v>
          </cell>
          <cell r="D337" t="str">
            <v>ca</v>
          </cell>
          <cell r="E337">
            <v>0.11700000000000001</v>
          </cell>
          <cell r="F337">
            <v>40127.500000000007</v>
          </cell>
          <cell r="G337">
            <v>0</v>
          </cell>
          <cell r="H337">
            <v>0</v>
          </cell>
          <cell r="I337">
            <v>4694.9175000000014</v>
          </cell>
        </row>
        <row r="338">
          <cell r="A338">
            <v>0</v>
          </cell>
          <cell r="B338" t="str">
            <v>M203.0007</v>
          </cell>
          <cell r="C338" t="str">
            <v>Hợp bộ thí nghiệm cao áp</v>
          </cell>
          <cell r="D338" t="str">
            <v>ca</v>
          </cell>
          <cell r="E338">
            <v>0.109</v>
          </cell>
          <cell r="F338">
            <v>403740.11363636365</v>
          </cell>
          <cell r="G338">
            <v>0</v>
          </cell>
          <cell r="H338">
            <v>0</v>
          </cell>
          <cell r="I338">
            <v>44007.672386363636</v>
          </cell>
        </row>
        <row r="339">
          <cell r="A339">
            <v>0</v>
          </cell>
          <cell r="B339" t="str">
            <v>M203.0005</v>
          </cell>
          <cell r="C339" t="str">
            <v>Hợp bộ đo lường</v>
          </cell>
          <cell r="D339" t="str">
            <v>ca</v>
          </cell>
          <cell r="E339">
            <v>0.14599999999999999</v>
          </cell>
          <cell r="F339">
            <v>752668.63636363659</v>
          </cell>
          <cell r="G339">
            <v>0</v>
          </cell>
          <cell r="H339">
            <v>0</v>
          </cell>
          <cell r="I339">
            <v>109889.62090909094</v>
          </cell>
        </row>
        <row r="340">
          <cell r="A340">
            <v>0</v>
          </cell>
          <cell r="B340" t="str">
            <v>M203.0014</v>
          </cell>
          <cell r="C340" t="str">
            <v>Máy đo điện trở một chiều</v>
          </cell>
          <cell r="D340" t="str">
            <v>ca</v>
          </cell>
          <cell r="E340">
            <v>0.11700000000000001</v>
          </cell>
          <cell r="F340">
            <v>142909.77272727276</v>
          </cell>
          <cell r="G340">
            <v>0</v>
          </cell>
          <cell r="H340">
            <v>0</v>
          </cell>
          <cell r="I340">
            <v>16720.443409090913</v>
          </cell>
        </row>
        <row r="341">
          <cell r="A341">
            <v>0</v>
          </cell>
          <cell r="B341" t="str">
            <v>M203.0019</v>
          </cell>
          <cell r="C341" t="str">
            <v>Máy đo tỷ số biến</v>
          </cell>
          <cell r="D341" t="str">
            <v>ca</v>
          </cell>
          <cell r="E341">
            <v>0.23699999999999999</v>
          </cell>
          <cell r="F341">
            <v>120291.81818181821</v>
          </cell>
          <cell r="G341">
            <v>0</v>
          </cell>
          <cell r="H341">
            <v>0</v>
          </cell>
          <cell r="I341">
            <v>28509.160909090915</v>
          </cell>
        </row>
        <row r="342">
          <cell r="A342" t="str">
            <v>EA.22240</v>
          </cell>
          <cell r="B342">
            <v>0</v>
          </cell>
          <cell r="C342" t="str">
            <v>Thí nghiệm máy biến áp 1 pha U 3-15kV - S&lt;=500KVA</v>
          </cell>
          <cell r="D342" t="str">
            <v>Máy</v>
          </cell>
          <cell r="E342">
            <v>0</v>
          </cell>
          <cell r="F342">
            <v>0</v>
          </cell>
          <cell r="G342">
            <v>28420.002668181813</v>
          </cell>
          <cell r="H342">
            <v>1070148.5526315789</v>
          </cell>
          <cell r="I342">
            <v>223449.75465909095</v>
          </cell>
        </row>
        <row r="343">
          <cell r="A343">
            <v>0</v>
          </cell>
          <cell r="B343">
            <v>0</v>
          </cell>
          <cell r="C343" t="str">
            <v>Vật liệu</v>
          </cell>
          <cell r="D343">
            <v>0</v>
          </cell>
          <cell r="E343">
            <v>0</v>
          </cell>
          <cell r="F343">
            <v>0</v>
          </cell>
          <cell r="G343">
            <v>0</v>
          </cell>
          <cell r="H343">
            <v>0</v>
          </cell>
          <cell r="I343">
            <v>0</v>
          </cell>
        </row>
        <row r="344">
          <cell r="A344">
            <v>0</v>
          </cell>
          <cell r="B344" t="str">
            <v>VL221</v>
          </cell>
          <cell r="C344" t="str">
            <v>Điện năng</v>
          </cell>
          <cell r="D344" t="str">
            <v>Kwh</v>
          </cell>
          <cell r="E344">
            <v>1.085</v>
          </cell>
          <cell r="F344">
            <v>1622.01</v>
          </cell>
          <cell r="G344">
            <v>1759.88085</v>
          </cell>
          <cell r="H344">
            <v>0</v>
          </cell>
          <cell r="I344">
            <v>0</v>
          </cell>
        </row>
        <row r="345">
          <cell r="A345">
            <v>0</v>
          </cell>
          <cell r="B345" t="str">
            <v>VL188</v>
          </cell>
          <cell r="C345" t="str">
            <v>Vải phin trắng 0,8m</v>
          </cell>
          <cell r="D345" t="str">
            <v>m</v>
          </cell>
          <cell r="E345">
            <v>0.24099999999999999</v>
          </cell>
          <cell r="F345">
            <v>8000</v>
          </cell>
          <cell r="G345">
            <v>1928</v>
          </cell>
          <cell r="H345">
            <v>0</v>
          </cell>
          <cell r="I345">
            <v>0</v>
          </cell>
        </row>
        <row r="346">
          <cell r="A346">
            <v>0</v>
          </cell>
          <cell r="B346" t="str">
            <v>VL176</v>
          </cell>
          <cell r="C346" t="str">
            <v>Giẻ lau</v>
          </cell>
          <cell r="D346" t="str">
            <v>kg</v>
          </cell>
          <cell r="E346">
            <v>0.24099999999999999</v>
          </cell>
          <cell r="F346">
            <v>5000</v>
          </cell>
          <cell r="G346">
            <v>1205</v>
          </cell>
          <cell r="H346">
            <v>0</v>
          </cell>
          <cell r="I346">
            <v>0</v>
          </cell>
        </row>
        <row r="347">
          <cell r="A347">
            <v>0</v>
          </cell>
          <cell r="B347" t="str">
            <v>VL179</v>
          </cell>
          <cell r="C347" t="str">
            <v>Băng cách điện</v>
          </cell>
          <cell r="D347" t="str">
            <v>cuộn</v>
          </cell>
          <cell r="E347">
            <v>0.48199999999999998</v>
          </cell>
          <cell r="F347">
            <v>5000</v>
          </cell>
          <cell r="G347">
            <v>2410</v>
          </cell>
          <cell r="H347">
            <v>0</v>
          </cell>
          <cell r="I347">
            <v>0</v>
          </cell>
        </row>
        <row r="348">
          <cell r="A348">
            <v>0</v>
          </cell>
          <cell r="B348" t="str">
            <v>VL177</v>
          </cell>
          <cell r="C348" t="str">
            <v>Cồn công nghiệp</v>
          </cell>
          <cell r="D348" t="str">
            <v>kg</v>
          </cell>
          <cell r="E348">
            <v>0.24099999999999999</v>
          </cell>
          <cell r="F348">
            <v>20000</v>
          </cell>
          <cell r="G348">
            <v>4820</v>
          </cell>
          <cell r="H348">
            <v>0</v>
          </cell>
          <cell r="I348">
            <v>0</v>
          </cell>
        </row>
        <row r="349">
          <cell r="A349">
            <v>0</v>
          </cell>
          <cell r="B349" t="str">
            <v>VL186</v>
          </cell>
          <cell r="C349" t="str">
            <v>Giấy nhám số 0</v>
          </cell>
          <cell r="D349" t="str">
            <v>tờ</v>
          </cell>
          <cell r="E349">
            <v>0.24099999999999999</v>
          </cell>
          <cell r="F349">
            <v>2000</v>
          </cell>
          <cell r="G349">
            <v>482</v>
          </cell>
          <cell r="H349">
            <v>0</v>
          </cell>
          <cell r="I349">
            <v>0</v>
          </cell>
        </row>
        <row r="350">
          <cell r="A350">
            <v>0</v>
          </cell>
          <cell r="B350" t="str">
            <v>VL198</v>
          </cell>
          <cell r="C350" t="str">
            <v>Dây điện 2x1,5mm2</v>
          </cell>
          <cell r="D350" t="str">
            <v>m</v>
          </cell>
          <cell r="E350">
            <v>0.96499999999999997</v>
          </cell>
          <cell r="F350">
            <v>9027.2727272727261</v>
          </cell>
          <cell r="G350">
            <v>8711.3181818181802</v>
          </cell>
          <cell r="H350">
            <v>0</v>
          </cell>
          <cell r="I350">
            <v>0</v>
          </cell>
        </row>
        <row r="351">
          <cell r="A351">
            <v>0</v>
          </cell>
          <cell r="B351" t="str">
            <v>VL200</v>
          </cell>
          <cell r="C351" t="str">
            <v>Dây điện 4x2,5mm2</v>
          </cell>
          <cell r="D351" t="str">
            <v>m</v>
          </cell>
          <cell r="E351">
            <v>0.24099999999999999</v>
          </cell>
          <cell r="F351">
            <v>29476.363636363632</v>
          </cell>
          <cell r="G351">
            <v>7103.8036363636347</v>
          </cell>
          <cell r="H351">
            <v>0</v>
          </cell>
          <cell r="I351">
            <v>0</v>
          </cell>
        </row>
        <row r="352">
          <cell r="A352">
            <v>0</v>
          </cell>
          <cell r="B352">
            <v>0</v>
          </cell>
          <cell r="C352" t="str">
            <v>Nhân công</v>
          </cell>
          <cell r="D352">
            <v>0</v>
          </cell>
          <cell r="E352">
            <v>0</v>
          </cell>
          <cell r="F352">
            <v>0</v>
          </cell>
          <cell r="G352">
            <v>0</v>
          </cell>
          <cell r="H352">
            <v>0</v>
          </cell>
          <cell r="I352">
            <v>0</v>
          </cell>
        </row>
        <row r="353">
          <cell r="A353">
            <v>0</v>
          </cell>
          <cell r="B353" t="str">
            <v>KS4</v>
          </cell>
          <cell r="C353" t="str">
            <v>Kỹ sư bậc 4,0/8</v>
          </cell>
          <cell r="D353" t="str">
            <v>công</v>
          </cell>
          <cell r="E353">
            <v>2.92</v>
          </cell>
          <cell r="F353">
            <v>237000</v>
          </cell>
          <cell r="G353">
            <v>0</v>
          </cell>
          <cell r="H353">
            <v>692040</v>
          </cell>
          <cell r="I353">
            <v>0</v>
          </cell>
        </row>
        <row r="354">
          <cell r="A354">
            <v>0</v>
          </cell>
          <cell r="B354" t="str">
            <v>N4507</v>
          </cell>
          <cell r="C354" t="str">
            <v xml:space="preserve"> Nhân công bậc 5,0/7 - Nhóm 4</v>
          </cell>
          <cell r="D354" t="str">
            <v>công</v>
          </cell>
          <cell r="E354">
            <v>1.25</v>
          </cell>
          <cell r="F354">
            <v>302486.8421052632</v>
          </cell>
          <cell r="G354">
            <v>0</v>
          </cell>
          <cell r="H354">
            <v>378108.55263157899</v>
          </cell>
          <cell r="I354">
            <v>0</v>
          </cell>
        </row>
        <row r="355">
          <cell r="A355">
            <v>0</v>
          </cell>
          <cell r="B355">
            <v>0</v>
          </cell>
          <cell r="C355" t="str">
            <v>Máy thi công</v>
          </cell>
          <cell r="D355">
            <v>0</v>
          </cell>
          <cell r="E355">
            <v>0</v>
          </cell>
          <cell r="F355">
            <v>0</v>
          </cell>
          <cell r="G355">
            <v>0</v>
          </cell>
          <cell r="H355">
            <v>0</v>
          </cell>
          <cell r="I355">
            <v>0</v>
          </cell>
        </row>
        <row r="356">
          <cell r="A356">
            <v>0</v>
          </cell>
          <cell r="B356" t="str">
            <v>M203.0025</v>
          </cell>
          <cell r="C356" t="str">
            <v>Megôm met</v>
          </cell>
          <cell r="D356" t="str">
            <v>ca</v>
          </cell>
          <cell r="E356">
            <v>0.13</v>
          </cell>
          <cell r="F356">
            <v>40127.500000000007</v>
          </cell>
          <cell r="G356">
            <v>0</v>
          </cell>
          <cell r="H356">
            <v>0</v>
          </cell>
          <cell r="I356">
            <v>5216.5750000000007</v>
          </cell>
        </row>
        <row r="357">
          <cell r="A357">
            <v>0</v>
          </cell>
          <cell r="B357" t="str">
            <v>M203.0007</v>
          </cell>
          <cell r="C357" t="str">
            <v>Hợp bộ thí nghiệm cao áp</v>
          </cell>
          <cell r="D357" t="str">
            <v>ca</v>
          </cell>
          <cell r="E357">
            <v>0.121</v>
          </cell>
          <cell r="F357">
            <v>403740.11363636365</v>
          </cell>
          <cell r="G357">
            <v>0</v>
          </cell>
          <cell r="H357">
            <v>0</v>
          </cell>
          <cell r="I357">
            <v>48852.553749999999</v>
          </cell>
        </row>
        <row r="358">
          <cell r="A358">
            <v>0</v>
          </cell>
          <cell r="B358" t="str">
            <v>M203.0005</v>
          </cell>
          <cell r="C358" t="str">
            <v>Hợp bộ đo lường</v>
          </cell>
          <cell r="D358" t="str">
            <v>ca</v>
          </cell>
          <cell r="E358">
            <v>0.16200000000000001</v>
          </cell>
          <cell r="F358">
            <v>752668.63636363659</v>
          </cell>
          <cell r="G358">
            <v>0</v>
          </cell>
          <cell r="H358">
            <v>0</v>
          </cell>
          <cell r="I358">
            <v>121932.31909090914</v>
          </cell>
        </row>
        <row r="359">
          <cell r="A359">
            <v>0</v>
          </cell>
          <cell r="B359" t="str">
            <v>M203.0014</v>
          </cell>
          <cell r="C359" t="str">
            <v>Máy đo điện trở một chiều</v>
          </cell>
          <cell r="D359" t="str">
            <v>ca</v>
          </cell>
          <cell r="E359">
            <v>0.13</v>
          </cell>
          <cell r="F359">
            <v>142909.77272727276</v>
          </cell>
          <cell r="G359">
            <v>0</v>
          </cell>
          <cell r="H359">
            <v>0</v>
          </cell>
          <cell r="I359">
            <v>18578.270454545462</v>
          </cell>
        </row>
        <row r="360">
          <cell r="A360">
            <v>0</v>
          </cell>
          <cell r="B360" t="str">
            <v>M203.0019</v>
          </cell>
          <cell r="C360" t="str">
            <v>Máy đo tỷ số biến</v>
          </cell>
          <cell r="D360" t="str">
            <v>ca</v>
          </cell>
          <cell r="E360">
            <v>0.24</v>
          </cell>
          <cell r="F360">
            <v>120291.81818181821</v>
          </cell>
          <cell r="G360">
            <v>0</v>
          </cell>
          <cell r="H360">
            <v>0</v>
          </cell>
          <cell r="I360">
            <v>28870.036363636369</v>
          </cell>
        </row>
        <row r="361">
          <cell r="A361" t="str">
            <v>EA.31010</v>
          </cell>
          <cell r="B361">
            <v>0</v>
          </cell>
          <cell r="C361" t="str">
            <v>Thí nghiệm biến điện áp 1 pha, phân áp bằng tụ điện - U 66-110kV</v>
          </cell>
          <cell r="D361" t="str">
            <v>Máy</v>
          </cell>
          <cell r="E361">
            <v>0</v>
          </cell>
          <cell r="F361">
            <v>0</v>
          </cell>
          <cell r="G361">
            <v>15357.608851818182</v>
          </cell>
          <cell r="H361">
            <v>1506446.8421052634</v>
          </cell>
          <cell r="I361">
            <v>360302.92869246763</v>
          </cell>
        </row>
        <row r="362">
          <cell r="A362">
            <v>0</v>
          </cell>
          <cell r="B362">
            <v>0</v>
          </cell>
          <cell r="C362" t="str">
            <v>Vật liệu</v>
          </cell>
          <cell r="D362">
            <v>0</v>
          </cell>
          <cell r="E362">
            <v>0</v>
          </cell>
          <cell r="F362">
            <v>0</v>
          </cell>
          <cell r="G362">
            <v>0</v>
          </cell>
          <cell r="H362">
            <v>0</v>
          </cell>
          <cell r="I362">
            <v>0</v>
          </cell>
        </row>
        <row r="363">
          <cell r="A363">
            <v>0</v>
          </cell>
          <cell r="B363" t="str">
            <v>VL221</v>
          </cell>
          <cell r="C363" t="str">
            <v>Điện năng</v>
          </cell>
          <cell r="D363" t="str">
            <v>Kwh</v>
          </cell>
          <cell r="E363">
            <v>1.667</v>
          </cell>
          <cell r="F363">
            <v>1622.01</v>
          </cell>
          <cell r="G363">
            <v>2703.8906700000002</v>
          </cell>
          <cell r="H363">
            <v>0</v>
          </cell>
          <cell r="I363">
            <v>0</v>
          </cell>
        </row>
        <row r="364">
          <cell r="A364">
            <v>0</v>
          </cell>
          <cell r="B364" t="str">
            <v>VL176</v>
          </cell>
          <cell r="C364" t="str">
            <v>Giẻ lau</v>
          </cell>
          <cell r="D364" t="str">
            <v>kg</v>
          </cell>
          <cell r="E364">
            <v>0.125</v>
          </cell>
          <cell r="F364">
            <v>5000</v>
          </cell>
          <cell r="G364">
            <v>625</v>
          </cell>
          <cell r="H364">
            <v>0</v>
          </cell>
          <cell r="I364">
            <v>0</v>
          </cell>
        </row>
        <row r="365">
          <cell r="A365">
            <v>0</v>
          </cell>
          <cell r="B365" t="str">
            <v>VL186</v>
          </cell>
          <cell r="C365" t="str">
            <v>Giấy nhám số 0</v>
          </cell>
          <cell r="D365" t="str">
            <v>tờ</v>
          </cell>
          <cell r="E365">
            <v>0.16700000000000001</v>
          </cell>
          <cell r="F365">
            <v>2000</v>
          </cell>
          <cell r="G365">
            <v>334</v>
          </cell>
          <cell r="H365">
            <v>0</v>
          </cell>
          <cell r="I365">
            <v>0</v>
          </cell>
        </row>
        <row r="366">
          <cell r="A366">
            <v>0</v>
          </cell>
          <cell r="B366" t="str">
            <v>VL179</v>
          </cell>
          <cell r="C366" t="str">
            <v>Băng cách điện</v>
          </cell>
          <cell r="D366" t="str">
            <v>cuộn</v>
          </cell>
          <cell r="E366">
            <v>0.16700000000000001</v>
          </cell>
          <cell r="F366">
            <v>5000</v>
          </cell>
          <cell r="G366">
            <v>835</v>
          </cell>
          <cell r="H366">
            <v>0</v>
          </cell>
          <cell r="I366">
            <v>0</v>
          </cell>
        </row>
        <row r="367">
          <cell r="A367">
            <v>0</v>
          </cell>
          <cell r="B367" t="str">
            <v>VL177</v>
          </cell>
          <cell r="C367" t="str">
            <v>Cồn công nghiệp</v>
          </cell>
          <cell r="D367" t="str">
            <v>kg</v>
          </cell>
          <cell r="E367">
            <v>0.16700000000000001</v>
          </cell>
          <cell r="F367">
            <v>20000</v>
          </cell>
          <cell r="G367">
            <v>3340</v>
          </cell>
          <cell r="H367">
            <v>0</v>
          </cell>
          <cell r="I367">
            <v>0</v>
          </cell>
        </row>
        <row r="368">
          <cell r="A368">
            <v>0</v>
          </cell>
          <cell r="B368" t="str">
            <v>VL198</v>
          </cell>
          <cell r="C368" t="str">
            <v>Dây điện 2x1,5mm2</v>
          </cell>
          <cell r="D368" t="str">
            <v>m</v>
          </cell>
          <cell r="E368">
            <v>0.83299999999999996</v>
          </cell>
          <cell r="F368">
            <v>9027.2727272727261</v>
          </cell>
          <cell r="G368">
            <v>7519.7181818181807</v>
          </cell>
          <cell r="H368">
            <v>0</v>
          </cell>
          <cell r="I368">
            <v>0</v>
          </cell>
        </row>
        <row r="369">
          <cell r="A369">
            <v>0</v>
          </cell>
          <cell r="B369">
            <v>0</v>
          </cell>
          <cell r="C369" t="str">
            <v>Nhân công</v>
          </cell>
          <cell r="D369">
            <v>0</v>
          </cell>
          <cell r="E369">
            <v>0</v>
          </cell>
          <cell r="F369">
            <v>0</v>
          </cell>
          <cell r="G369">
            <v>0</v>
          </cell>
          <cell r="H369">
            <v>0</v>
          </cell>
          <cell r="I369">
            <v>0</v>
          </cell>
        </row>
        <row r="370">
          <cell r="A370">
            <v>0</v>
          </cell>
          <cell r="B370" t="str">
            <v>KS4</v>
          </cell>
          <cell r="C370" t="str">
            <v>Kỹ sư bậc 4,0/8</v>
          </cell>
          <cell r="D370" t="str">
            <v>công</v>
          </cell>
          <cell r="E370">
            <v>4.1100000000000003</v>
          </cell>
          <cell r="F370">
            <v>237000</v>
          </cell>
          <cell r="G370">
            <v>0</v>
          </cell>
          <cell r="H370">
            <v>974070.00000000012</v>
          </cell>
          <cell r="I370">
            <v>0</v>
          </cell>
        </row>
        <row r="371">
          <cell r="A371">
            <v>0</v>
          </cell>
          <cell r="B371" t="str">
            <v>N4507</v>
          </cell>
          <cell r="C371" t="str">
            <v xml:space="preserve"> Nhân công bậc 5,0/7 - Nhóm 4</v>
          </cell>
          <cell r="D371" t="str">
            <v>công</v>
          </cell>
          <cell r="E371">
            <v>1.76</v>
          </cell>
          <cell r="F371">
            <v>302486.8421052632</v>
          </cell>
          <cell r="G371">
            <v>0</v>
          </cell>
          <cell r="H371">
            <v>532376.84210526326</v>
          </cell>
          <cell r="I371">
            <v>0</v>
          </cell>
        </row>
        <row r="372">
          <cell r="A372">
            <v>0</v>
          </cell>
          <cell r="B372">
            <v>0</v>
          </cell>
          <cell r="C372" t="str">
            <v>Máy thi công</v>
          </cell>
          <cell r="D372">
            <v>0</v>
          </cell>
          <cell r="E372">
            <v>0</v>
          </cell>
          <cell r="F372">
            <v>0</v>
          </cell>
          <cell r="G372">
            <v>0</v>
          </cell>
          <cell r="H372">
            <v>0</v>
          </cell>
          <cell r="I372">
            <v>0</v>
          </cell>
        </row>
        <row r="373">
          <cell r="A373">
            <v>0</v>
          </cell>
          <cell r="B373" t="str">
            <v>M203.0004</v>
          </cell>
          <cell r="C373" t="str">
            <v>Hợp bộ đo Tg</v>
          </cell>
          <cell r="D373" t="str">
            <v>ca</v>
          </cell>
          <cell r="E373">
            <v>0.161</v>
          </cell>
          <cell r="F373">
            <v>796170.45454545447</v>
          </cell>
          <cell r="G373">
            <v>0</v>
          </cell>
          <cell r="H373">
            <v>0</v>
          </cell>
          <cell r="I373">
            <v>128183.44318181818</v>
          </cell>
        </row>
        <row r="374">
          <cell r="A374">
            <v>0</v>
          </cell>
          <cell r="B374" t="str">
            <v>M203.0025</v>
          </cell>
          <cell r="C374" t="str">
            <v>Megôm met</v>
          </cell>
          <cell r="D374" t="str">
            <v>ca</v>
          </cell>
          <cell r="E374">
            <v>0.09</v>
          </cell>
          <cell r="F374">
            <v>40127.500000000007</v>
          </cell>
          <cell r="G374">
            <v>0</v>
          </cell>
          <cell r="H374">
            <v>0</v>
          </cell>
          <cell r="I374">
            <v>3611.4750000000004</v>
          </cell>
        </row>
        <row r="375">
          <cell r="A375">
            <v>0</v>
          </cell>
          <cell r="B375" t="str">
            <v>M203.0005</v>
          </cell>
          <cell r="C375" t="str">
            <v>Hợp bộ đo lường</v>
          </cell>
          <cell r="D375" t="str">
            <v>ca</v>
          </cell>
          <cell r="E375">
            <v>0.13500000000000001</v>
          </cell>
          <cell r="F375">
            <v>752668.63636363659</v>
          </cell>
          <cell r="G375">
            <v>0</v>
          </cell>
          <cell r="H375">
            <v>0</v>
          </cell>
          <cell r="I375">
            <v>101610.26590909094</v>
          </cell>
        </row>
        <row r="376">
          <cell r="A376">
            <v>0</v>
          </cell>
          <cell r="B376" t="str">
            <v>M203.0007</v>
          </cell>
          <cell r="C376" t="str">
            <v>Hợp bộ thí nghiệm cao áp</v>
          </cell>
          <cell r="D376" t="str">
            <v>ca</v>
          </cell>
          <cell r="E376">
            <v>0.13400000000000001</v>
          </cell>
          <cell r="F376">
            <v>403740.11363636365</v>
          </cell>
          <cell r="G376">
            <v>0</v>
          </cell>
          <cell r="H376">
            <v>0</v>
          </cell>
          <cell r="I376">
            <v>54101.175227272732</v>
          </cell>
        </row>
        <row r="377">
          <cell r="A377">
            <v>0</v>
          </cell>
          <cell r="B377" t="str">
            <v>M102.1802</v>
          </cell>
          <cell r="C377" t="str">
            <v>Xe thang nâng</v>
          </cell>
          <cell r="D377" t="str">
            <v>ca</v>
          </cell>
          <cell r="E377">
            <v>0.04</v>
          </cell>
          <cell r="F377">
            <v>1819914.2343571431</v>
          </cell>
          <cell r="G377">
            <v>0</v>
          </cell>
          <cell r="H377">
            <v>0</v>
          </cell>
          <cell r="I377">
            <v>72796.569374285726</v>
          </cell>
        </row>
        <row r="378">
          <cell r="A378">
            <v>0</v>
          </cell>
          <cell r="B378" t="str">
            <v>M203.0019</v>
          </cell>
          <cell r="C378" t="str">
            <v>Máy đo tỷ số biến</v>
          </cell>
          <cell r="D378" t="str">
            <v>ca</v>
          </cell>
          <cell r="E378">
            <v>0</v>
          </cell>
          <cell r="F378">
            <v>120291.81818181821</v>
          </cell>
          <cell r="G378">
            <v>0</v>
          </cell>
          <cell r="H378">
            <v>0</v>
          </cell>
          <cell r="I378">
            <v>0</v>
          </cell>
        </row>
        <row r="379">
          <cell r="A379" t="str">
            <v>EA.31020</v>
          </cell>
          <cell r="B379">
            <v>0</v>
          </cell>
          <cell r="C379" t="str">
            <v>Thí nghiệm biến điện áp 1 pha, phân áp bằng tụ điện - U 220kV</v>
          </cell>
          <cell r="D379" t="str">
            <v>Máy</v>
          </cell>
          <cell r="E379">
            <v>0</v>
          </cell>
          <cell r="F379">
            <v>0</v>
          </cell>
          <cell r="G379">
            <v>18421.292727272725</v>
          </cell>
          <cell r="H379">
            <v>1883651.0526315791</v>
          </cell>
          <cell r="I379">
            <v>432155.38793243509</v>
          </cell>
        </row>
        <row r="380">
          <cell r="A380">
            <v>0</v>
          </cell>
          <cell r="B380">
            <v>0</v>
          </cell>
          <cell r="C380" t="str">
            <v>Vật liệu</v>
          </cell>
          <cell r="D380">
            <v>0</v>
          </cell>
          <cell r="E380">
            <v>0</v>
          </cell>
          <cell r="F380">
            <v>0</v>
          </cell>
          <cell r="G380">
            <v>0</v>
          </cell>
          <cell r="H380">
            <v>0</v>
          </cell>
          <cell r="I380">
            <v>0</v>
          </cell>
        </row>
        <row r="381">
          <cell r="A381">
            <v>0</v>
          </cell>
          <cell r="B381" t="str">
            <v>VL221</v>
          </cell>
          <cell r="C381" t="str">
            <v>Điện năng</v>
          </cell>
          <cell r="D381" t="str">
            <v>Kwh</v>
          </cell>
          <cell r="E381">
            <v>2</v>
          </cell>
          <cell r="F381">
            <v>1622.01</v>
          </cell>
          <cell r="G381">
            <v>3244.02</v>
          </cell>
          <cell r="H381">
            <v>0</v>
          </cell>
          <cell r="I381">
            <v>0</v>
          </cell>
        </row>
        <row r="382">
          <cell r="A382">
            <v>0</v>
          </cell>
          <cell r="B382" t="str">
            <v>VL176</v>
          </cell>
          <cell r="C382" t="str">
            <v>Giẻ lau</v>
          </cell>
          <cell r="D382" t="str">
            <v>kg</v>
          </cell>
          <cell r="E382">
            <v>0.15</v>
          </cell>
          <cell r="F382">
            <v>5000</v>
          </cell>
          <cell r="G382">
            <v>750</v>
          </cell>
          <cell r="H382">
            <v>0</v>
          </cell>
          <cell r="I382">
            <v>0</v>
          </cell>
        </row>
        <row r="383">
          <cell r="A383">
            <v>0</v>
          </cell>
          <cell r="B383" t="str">
            <v>VL186</v>
          </cell>
          <cell r="C383" t="str">
            <v>Giấy nhám số 0</v>
          </cell>
          <cell r="D383" t="str">
            <v>tờ</v>
          </cell>
          <cell r="E383">
            <v>0.2</v>
          </cell>
          <cell r="F383">
            <v>2000</v>
          </cell>
          <cell r="G383">
            <v>400</v>
          </cell>
          <cell r="H383">
            <v>0</v>
          </cell>
          <cell r="I383">
            <v>0</v>
          </cell>
        </row>
        <row r="384">
          <cell r="A384">
            <v>0</v>
          </cell>
          <cell r="B384" t="str">
            <v>VL179</v>
          </cell>
          <cell r="C384" t="str">
            <v>Băng cách điện</v>
          </cell>
          <cell r="D384" t="str">
            <v>cuộn</v>
          </cell>
          <cell r="E384">
            <v>0.2</v>
          </cell>
          <cell r="F384">
            <v>5000</v>
          </cell>
          <cell r="G384">
            <v>1000</v>
          </cell>
          <cell r="H384">
            <v>0</v>
          </cell>
          <cell r="I384">
            <v>0</v>
          </cell>
        </row>
        <row r="385">
          <cell r="A385">
            <v>0</v>
          </cell>
          <cell r="B385" t="str">
            <v>VL177</v>
          </cell>
          <cell r="C385" t="str">
            <v>Cồn công nghiệp</v>
          </cell>
          <cell r="D385" t="str">
            <v>kg</v>
          </cell>
          <cell r="E385">
            <v>0.2</v>
          </cell>
          <cell r="F385">
            <v>20000</v>
          </cell>
          <cell r="G385">
            <v>4000</v>
          </cell>
          <cell r="H385">
            <v>0</v>
          </cell>
          <cell r="I385">
            <v>0</v>
          </cell>
        </row>
        <row r="386">
          <cell r="A386">
            <v>0</v>
          </cell>
          <cell r="B386" t="str">
            <v>VL198</v>
          </cell>
          <cell r="C386" t="str">
            <v>Dây điện 2x1,5mm2</v>
          </cell>
          <cell r="D386" t="str">
            <v>m</v>
          </cell>
          <cell r="E386">
            <v>1</v>
          </cell>
          <cell r="F386">
            <v>9027.2727272727261</v>
          </cell>
          <cell r="G386">
            <v>9027.2727272727261</v>
          </cell>
          <cell r="H386">
            <v>0</v>
          </cell>
          <cell r="I386">
            <v>0</v>
          </cell>
        </row>
        <row r="387">
          <cell r="A387">
            <v>0</v>
          </cell>
          <cell r="B387">
            <v>0</v>
          </cell>
          <cell r="C387" t="str">
            <v>Nhân công</v>
          </cell>
          <cell r="D387">
            <v>0</v>
          </cell>
          <cell r="E387">
            <v>0</v>
          </cell>
          <cell r="F387">
            <v>0</v>
          </cell>
          <cell r="G387">
            <v>0</v>
          </cell>
          <cell r="H387">
            <v>0</v>
          </cell>
          <cell r="I387">
            <v>0</v>
          </cell>
        </row>
        <row r="388">
          <cell r="A388">
            <v>0</v>
          </cell>
          <cell r="B388" t="str">
            <v>KS4</v>
          </cell>
          <cell r="C388" t="str">
            <v>Kỹ sư bậc 4,0/8</v>
          </cell>
          <cell r="D388" t="str">
            <v>công</v>
          </cell>
          <cell r="E388">
            <v>5.14</v>
          </cell>
          <cell r="F388">
            <v>237000</v>
          </cell>
          <cell r="G388">
            <v>0</v>
          </cell>
          <cell r="H388">
            <v>1218180</v>
          </cell>
          <cell r="I388">
            <v>0</v>
          </cell>
        </row>
        <row r="389">
          <cell r="A389">
            <v>0</v>
          </cell>
          <cell r="B389" t="str">
            <v>N4507</v>
          </cell>
          <cell r="C389" t="str">
            <v xml:space="preserve"> Nhân công bậc 5,0/7 - Nhóm 4</v>
          </cell>
          <cell r="D389" t="str">
            <v>công</v>
          </cell>
          <cell r="E389">
            <v>2.2000000000000002</v>
          </cell>
          <cell r="F389">
            <v>302486.8421052632</v>
          </cell>
          <cell r="G389">
            <v>0</v>
          </cell>
          <cell r="H389">
            <v>665471.05263157911</v>
          </cell>
          <cell r="I389">
            <v>0</v>
          </cell>
        </row>
        <row r="390">
          <cell r="A390">
            <v>0</v>
          </cell>
          <cell r="B390">
            <v>0</v>
          </cell>
          <cell r="C390" t="str">
            <v>Máy thi công</v>
          </cell>
          <cell r="D390">
            <v>0</v>
          </cell>
          <cell r="E390">
            <v>0</v>
          </cell>
          <cell r="F390">
            <v>0</v>
          </cell>
          <cell r="G390">
            <v>0</v>
          </cell>
          <cell r="H390">
            <v>0</v>
          </cell>
          <cell r="I390">
            <v>0</v>
          </cell>
        </row>
        <row r="391">
          <cell r="A391">
            <v>0</v>
          </cell>
          <cell r="B391" t="str">
            <v>M203.0004</v>
          </cell>
          <cell r="C391" t="str">
            <v>Hợp bộ đo Tg</v>
          </cell>
          <cell r="D391" t="str">
            <v>ca</v>
          </cell>
          <cell r="E391">
            <v>0.17899999999999999</v>
          </cell>
          <cell r="F391">
            <v>796170.45454545447</v>
          </cell>
          <cell r="G391">
            <v>0</v>
          </cell>
          <cell r="H391">
            <v>0</v>
          </cell>
          <cell r="I391">
            <v>142514.51136363635</v>
          </cell>
        </row>
        <row r="392">
          <cell r="A392">
            <v>0</v>
          </cell>
          <cell r="B392" t="str">
            <v>M203.0025</v>
          </cell>
          <cell r="C392" t="str">
            <v>Megôm met</v>
          </cell>
          <cell r="D392" t="str">
            <v>ca</v>
          </cell>
          <cell r="E392">
            <v>0.1</v>
          </cell>
          <cell r="F392">
            <v>40127.500000000007</v>
          </cell>
          <cell r="G392">
            <v>0</v>
          </cell>
          <cell r="H392">
            <v>0</v>
          </cell>
          <cell r="I392">
            <v>4012.7500000000009</v>
          </cell>
        </row>
        <row r="393">
          <cell r="A393">
            <v>0</v>
          </cell>
          <cell r="B393" t="str">
            <v>M203.0005</v>
          </cell>
          <cell r="C393" t="str">
            <v>Hợp bộ đo lường</v>
          </cell>
          <cell r="D393" t="str">
            <v>ca</v>
          </cell>
          <cell r="E393">
            <v>0.15</v>
          </cell>
          <cell r="F393">
            <v>752668.63636363659</v>
          </cell>
          <cell r="G393">
            <v>0</v>
          </cell>
          <cell r="H393">
            <v>0</v>
          </cell>
          <cell r="I393">
            <v>112900.29545454548</v>
          </cell>
        </row>
        <row r="394">
          <cell r="A394">
            <v>0</v>
          </cell>
          <cell r="B394" t="str">
            <v>M203.0007</v>
          </cell>
          <cell r="C394" t="str">
            <v>Hợp bộ thí nghiệm cao áp</v>
          </cell>
          <cell r="D394" t="str">
            <v>ca</v>
          </cell>
          <cell r="E394">
            <v>0.14899999999999999</v>
          </cell>
          <cell r="F394">
            <v>403740.11363636365</v>
          </cell>
          <cell r="G394">
            <v>0</v>
          </cell>
          <cell r="H394">
            <v>0</v>
          </cell>
          <cell r="I394">
            <v>60157.276931818182</v>
          </cell>
        </row>
        <row r="395">
          <cell r="A395">
            <v>0</v>
          </cell>
          <cell r="B395" t="str">
            <v>M102.1802</v>
          </cell>
          <cell r="C395" t="str">
            <v>Xe thang nâng</v>
          </cell>
          <cell r="D395" t="str">
            <v>ca</v>
          </cell>
          <cell r="E395">
            <v>4.4999999999999998E-2</v>
          </cell>
          <cell r="F395">
            <v>1819914.2343571431</v>
          </cell>
          <cell r="G395">
            <v>0</v>
          </cell>
          <cell r="H395">
            <v>0</v>
          </cell>
          <cell r="I395">
            <v>81896.14054607143</v>
          </cell>
        </row>
        <row r="396">
          <cell r="A396">
            <v>0</v>
          </cell>
          <cell r="B396" t="str">
            <v>M203.0019</v>
          </cell>
          <cell r="C396" t="str">
            <v>Máy đo tỷ số biến</v>
          </cell>
          <cell r="D396" t="str">
            <v>ca</v>
          </cell>
          <cell r="E396">
            <v>0.255</v>
          </cell>
          <cell r="F396">
            <v>120291.81818181821</v>
          </cell>
          <cell r="G396">
            <v>0</v>
          </cell>
          <cell r="H396">
            <v>0</v>
          </cell>
          <cell r="I396">
            <v>30674.413636363643</v>
          </cell>
        </row>
        <row r="397">
          <cell r="A397" t="str">
            <v>EA.31030</v>
          </cell>
          <cell r="B397">
            <v>0</v>
          </cell>
          <cell r="C397" t="str">
            <v>Thí nghiệm biến điện áp 1 pha, phân áp bằng tụ điện - U 500kV</v>
          </cell>
          <cell r="D397" t="str">
            <v>Máy</v>
          </cell>
          <cell r="E397">
            <v>0</v>
          </cell>
          <cell r="F397">
            <v>0</v>
          </cell>
          <cell r="G397">
            <v>22105.551272727273</v>
          </cell>
          <cell r="H397">
            <v>2368908.5526315793</v>
          </cell>
          <cell r="I397">
            <v>445404.3952405845</v>
          </cell>
        </row>
        <row r="398">
          <cell r="A398">
            <v>0</v>
          </cell>
          <cell r="B398">
            <v>0</v>
          </cell>
          <cell r="C398" t="str">
            <v>Vật liệu</v>
          </cell>
          <cell r="D398">
            <v>0</v>
          </cell>
          <cell r="E398">
            <v>0</v>
          </cell>
          <cell r="F398">
            <v>0</v>
          </cell>
          <cell r="G398">
            <v>0</v>
          </cell>
          <cell r="H398">
            <v>0</v>
          </cell>
          <cell r="I398">
            <v>0</v>
          </cell>
        </row>
        <row r="399">
          <cell r="A399">
            <v>0</v>
          </cell>
          <cell r="B399" t="str">
            <v>VL221</v>
          </cell>
          <cell r="C399" t="str">
            <v>Điện năng</v>
          </cell>
          <cell r="D399" t="str">
            <v>Kwh</v>
          </cell>
          <cell r="E399">
            <v>2.4</v>
          </cell>
          <cell r="F399">
            <v>1622.01</v>
          </cell>
          <cell r="G399">
            <v>3892.8239999999996</v>
          </cell>
          <cell r="H399">
            <v>0</v>
          </cell>
          <cell r="I399">
            <v>0</v>
          </cell>
        </row>
        <row r="400">
          <cell r="A400">
            <v>0</v>
          </cell>
          <cell r="B400" t="str">
            <v>VL176</v>
          </cell>
          <cell r="C400" t="str">
            <v>Giẻ lau</v>
          </cell>
          <cell r="D400" t="str">
            <v>kg</v>
          </cell>
          <cell r="E400">
            <v>0.18</v>
          </cell>
          <cell r="F400">
            <v>5000</v>
          </cell>
          <cell r="G400">
            <v>900</v>
          </cell>
          <cell r="H400">
            <v>0</v>
          </cell>
          <cell r="I400">
            <v>0</v>
          </cell>
        </row>
        <row r="401">
          <cell r="A401">
            <v>0</v>
          </cell>
          <cell r="B401" t="str">
            <v>VL186</v>
          </cell>
          <cell r="C401" t="str">
            <v>Giấy nhám số 0</v>
          </cell>
          <cell r="D401" t="str">
            <v>tờ</v>
          </cell>
          <cell r="E401">
            <v>0.24</v>
          </cell>
          <cell r="F401">
            <v>2000</v>
          </cell>
          <cell r="G401">
            <v>480</v>
          </cell>
          <cell r="H401">
            <v>0</v>
          </cell>
          <cell r="I401">
            <v>0</v>
          </cell>
        </row>
        <row r="402">
          <cell r="A402">
            <v>0</v>
          </cell>
          <cell r="B402" t="str">
            <v>VL179</v>
          </cell>
          <cell r="C402" t="str">
            <v>Băng cách điện</v>
          </cell>
          <cell r="D402" t="str">
            <v>cuộn</v>
          </cell>
          <cell r="E402">
            <v>0.24</v>
          </cell>
          <cell r="F402">
            <v>5000</v>
          </cell>
          <cell r="G402">
            <v>1200</v>
          </cell>
          <cell r="H402">
            <v>0</v>
          </cell>
          <cell r="I402">
            <v>0</v>
          </cell>
        </row>
        <row r="403">
          <cell r="A403">
            <v>0</v>
          </cell>
          <cell r="B403" t="str">
            <v>VL177</v>
          </cell>
          <cell r="C403" t="str">
            <v>Cồn công nghiệp</v>
          </cell>
          <cell r="D403" t="str">
            <v>kg</v>
          </cell>
          <cell r="E403">
            <v>0.24</v>
          </cell>
          <cell r="F403">
            <v>20000</v>
          </cell>
          <cell r="G403">
            <v>4800</v>
          </cell>
          <cell r="H403">
            <v>0</v>
          </cell>
          <cell r="I403">
            <v>0</v>
          </cell>
        </row>
        <row r="404">
          <cell r="A404">
            <v>0</v>
          </cell>
          <cell r="B404" t="str">
            <v>VL198</v>
          </cell>
          <cell r="C404" t="str">
            <v>Dây điện 2x1,5mm2</v>
          </cell>
          <cell r="D404" t="str">
            <v>m</v>
          </cell>
          <cell r="E404">
            <v>1.2</v>
          </cell>
          <cell r="F404">
            <v>9027.2727272727261</v>
          </cell>
          <cell r="G404">
            <v>10832.72727272727</v>
          </cell>
          <cell r="H404">
            <v>0</v>
          </cell>
          <cell r="I404">
            <v>0</v>
          </cell>
        </row>
        <row r="405">
          <cell r="A405">
            <v>0</v>
          </cell>
          <cell r="B405">
            <v>0</v>
          </cell>
          <cell r="C405" t="str">
            <v>Nhân công</v>
          </cell>
          <cell r="D405">
            <v>0</v>
          </cell>
          <cell r="E405">
            <v>0</v>
          </cell>
          <cell r="F405">
            <v>0</v>
          </cell>
          <cell r="G405">
            <v>0</v>
          </cell>
          <cell r="H405">
            <v>0</v>
          </cell>
          <cell r="I405">
            <v>0</v>
          </cell>
        </row>
        <row r="406">
          <cell r="A406">
            <v>0</v>
          </cell>
          <cell r="B406" t="str">
            <v>KS4</v>
          </cell>
          <cell r="C406" t="str">
            <v>Kỹ sư bậc 4,0/8</v>
          </cell>
          <cell r="D406" t="str">
            <v>công</v>
          </cell>
          <cell r="E406">
            <v>6.46</v>
          </cell>
          <cell r="F406">
            <v>237000</v>
          </cell>
          <cell r="G406">
            <v>0</v>
          </cell>
          <cell r="H406">
            <v>1531020</v>
          </cell>
          <cell r="I406">
            <v>0</v>
          </cell>
        </row>
        <row r="407">
          <cell r="A407">
            <v>0</v>
          </cell>
          <cell r="B407" t="str">
            <v>N4507</v>
          </cell>
          <cell r="C407" t="str">
            <v xml:space="preserve"> Nhân công bậc 5,0/7 - Nhóm 4</v>
          </cell>
          <cell r="D407" t="str">
            <v>công</v>
          </cell>
          <cell r="E407">
            <v>2.77</v>
          </cell>
          <cell r="F407">
            <v>302486.8421052632</v>
          </cell>
          <cell r="G407">
            <v>0</v>
          </cell>
          <cell r="H407">
            <v>837888.55263157911</v>
          </cell>
          <cell r="I407">
            <v>0</v>
          </cell>
        </row>
        <row r="408">
          <cell r="A408">
            <v>0</v>
          </cell>
          <cell r="B408">
            <v>0</v>
          </cell>
          <cell r="C408" t="str">
            <v>Máy thi công</v>
          </cell>
          <cell r="D408">
            <v>0</v>
          </cell>
          <cell r="E408">
            <v>0</v>
          </cell>
          <cell r="F408">
            <v>0</v>
          </cell>
          <cell r="G408">
            <v>0</v>
          </cell>
          <cell r="H408">
            <v>0</v>
          </cell>
          <cell r="I408">
            <v>0</v>
          </cell>
        </row>
        <row r="409">
          <cell r="A409">
            <v>0</v>
          </cell>
          <cell r="B409" t="str">
            <v>M203.0004</v>
          </cell>
          <cell r="C409" t="str">
            <v>Hợp bộ đo Tg</v>
          </cell>
          <cell r="D409" t="str">
            <v>ca</v>
          </cell>
          <cell r="E409">
            <v>0.19800000000000001</v>
          </cell>
          <cell r="F409">
            <v>796170.45454545447</v>
          </cell>
          <cell r="G409">
            <v>0</v>
          </cell>
          <cell r="H409">
            <v>0</v>
          </cell>
          <cell r="I409">
            <v>157641.75</v>
          </cell>
        </row>
        <row r="410">
          <cell r="A410">
            <v>0</v>
          </cell>
          <cell r="B410" t="str">
            <v>M203.0025</v>
          </cell>
          <cell r="C410" t="str">
            <v>Megôm met</v>
          </cell>
          <cell r="D410" t="str">
            <v>ca</v>
          </cell>
          <cell r="E410">
            <v>0.111</v>
          </cell>
          <cell r="F410">
            <v>40127.500000000007</v>
          </cell>
          <cell r="G410">
            <v>0</v>
          </cell>
          <cell r="H410">
            <v>0</v>
          </cell>
          <cell r="I410">
            <v>4454.1525000000011</v>
          </cell>
        </row>
        <row r="411">
          <cell r="A411">
            <v>0</v>
          </cell>
          <cell r="B411" t="str">
            <v>M203.0005</v>
          </cell>
          <cell r="C411" t="str">
            <v>Hợp bộ đo lường</v>
          </cell>
          <cell r="D411" t="str">
            <v>ca</v>
          </cell>
          <cell r="E411">
            <v>0.16700000000000001</v>
          </cell>
          <cell r="F411">
            <v>752668.63636363659</v>
          </cell>
          <cell r="G411">
            <v>0</v>
          </cell>
          <cell r="H411">
            <v>0</v>
          </cell>
          <cell r="I411">
            <v>125695.66227272732</v>
          </cell>
        </row>
        <row r="412">
          <cell r="A412">
            <v>0</v>
          </cell>
          <cell r="B412" t="str">
            <v>M203.0007</v>
          </cell>
          <cell r="C412" t="str">
            <v>Hợp bộ thí nghiệm cao áp</v>
          </cell>
          <cell r="D412" t="str">
            <v>ca</v>
          </cell>
          <cell r="E412">
            <v>0.16500000000000001</v>
          </cell>
          <cell r="F412">
            <v>403740.11363636365</v>
          </cell>
          <cell r="G412">
            <v>0</v>
          </cell>
          <cell r="H412">
            <v>0</v>
          </cell>
          <cell r="I412">
            <v>66617.118750000009</v>
          </cell>
        </row>
        <row r="413">
          <cell r="A413">
            <v>0</v>
          </cell>
          <cell r="B413" t="str">
            <v>M102.1802</v>
          </cell>
          <cell r="C413" t="str">
            <v>Xe thang nâng</v>
          </cell>
          <cell r="D413" t="str">
            <v>ca</v>
          </cell>
          <cell r="E413">
            <v>0.05</v>
          </cell>
          <cell r="F413">
            <v>1819914.2343571431</v>
          </cell>
          <cell r="G413">
            <v>0</v>
          </cell>
          <cell r="H413">
            <v>0</v>
          </cell>
          <cell r="I413">
            <v>90995.711717857164</v>
          </cell>
        </row>
        <row r="414">
          <cell r="A414">
            <v>0</v>
          </cell>
          <cell r="B414" t="str">
            <v>M203.0019</v>
          </cell>
          <cell r="C414" t="str">
            <v>Máy đo tỷ số biến</v>
          </cell>
          <cell r="D414" t="str">
            <v>ca</v>
          </cell>
          <cell r="E414">
            <v>0</v>
          </cell>
          <cell r="F414">
            <v>120291.81818181821</v>
          </cell>
          <cell r="G414">
            <v>0</v>
          </cell>
          <cell r="H414">
            <v>0</v>
          </cell>
          <cell r="I414">
            <v>0</v>
          </cell>
        </row>
        <row r="415">
          <cell r="A415" t="str">
            <v>EA.32010</v>
          </cell>
          <cell r="B415">
            <v>0</v>
          </cell>
          <cell r="C415" t="str">
            <v>Thí nghiệm biến điện áp cảm ứng 1 pha - U 66-110kV</v>
          </cell>
          <cell r="D415" t="str">
            <v>Máy</v>
          </cell>
          <cell r="E415">
            <v>0</v>
          </cell>
          <cell r="F415">
            <v>0</v>
          </cell>
          <cell r="G415">
            <v>15357.608851818182</v>
          </cell>
          <cell r="H415">
            <v>1506446.8421052634</v>
          </cell>
          <cell r="I415">
            <v>247553.74096519485</v>
          </cell>
        </row>
        <row r="416">
          <cell r="A416">
            <v>0</v>
          </cell>
          <cell r="B416">
            <v>0</v>
          </cell>
          <cell r="C416" t="str">
            <v>Vật liệu</v>
          </cell>
          <cell r="D416">
            <v>0</v>
          </cell>
          <cell r="E416">
            <v>0</v>
          </cell>
          <cell r="F416">
            <v>0</v>
          </cell>
          <cell r="G416">
            <v>0</v>
          </cell>
          <cell r="H416">
            <v>0</v>
          </cell>
          <cell r="I416">
            <v>0</v>
          </cell>
        </row>
        <row r="417">
          <cell r="A417">
            <v>0</v>
          </cell>
          <cell r="B417" t="str">
            <v>VL221</v>
          </cell>
          <cell r="C417" t="str">
            <v>Điện năng</v>
          </cell>
          <cell r="D417" t="str">
            <v>Kwh</v>
          </cell>
          <cell r="E417">
            <v>1.667</v>
          </cell>
          <cell r="F417">
            <v>1622.01</v>
          </cell>
          <cell r="G417">
            <v>2703.8906700000002</v>
          </cell>
          <cell r="H417">
            <v>0</v>
          </cell>
          <cell r="I417">
            <v>0</v>
          </cell>
        </row>
        <row r="418">
          <cell r="A418">
            <v>0</v>
          </cell>
          <cell r="B418" t="str">
            <v>VL176</v>
          </cell>
          <cell r="C418" t="str">
            <v>Giẻ lau</v>
          </cell>
          <cell r="D418" t="str">
            <v>kg</v>
          </cell>
          <cell r="E418">
            <v>0.125</v>
          </cell>
          <cell r="F418">
            <v>5000</v>
          </cell>
          <cell r="G418">
            <v>625</v>
          </cell>
          <cell r="H418">
            <v>0</v>
          </cell>
          <cell r="I418">
            <v>0</v>
          </cell>
        </row>
        <row r="419">
          <cell r="A419">
            <v>0</v>
          </cell>
          <cell r="B419" t="str">
            <v>VL179</v>
          </cell>
          <cell r="C419" t="str">
            <v>Băng cách điện</v>
          </cell>
          <cell r="D419" t="str">
            <v>cuộn</v>
          </cell>
          <cell r="E419">
            <v>0.16700000000000001</v>
          </cell>
          <cell r="F419">
            <v>5000</v>
          </cell>
          <cell r="G419">
            <v>835</v>
          </cell>
          <cell r="H419">
            <v>0</v>
          </cell>
          <cell r="I419">
            <v>0</v>
          </cell>
        </row>
        <row r="420">
          <cell r="A420">
            <v>0</v>
          </cell>
          <cell r="B420" t="str">
            <v>VL186</v>
          </cell>
          <cell r="C420" t="str">
            <v>Giấy nhám số 0</v>
          </cell>
          <cell r="D420" t="str">
            <v>tờ</v>
          </cell>
          <cell r="E420">
            <v>0.16700000000000001</v>
          </cell>
          <cell r="F420">
            <v>2000</v>
          </cell>
          <cell r="G420">
            <v>334</v>
          </cell>
          <cell r="H420">
            <v>0</v>
          </cell>
          <cell r="I420">
            <v>0</v>
          </cell>
        </row>
        <row r="421">
          <cell r="A421">
            <v>0</v>
          </cell>
          <cell r="B421" t="str">
            <v>VL177</v>
          </cell>
          <cell r="C421" t="str">
            <v>Cồn công nghiệp</v>
          </cell>
          <cell r="D421" t="str">
            <v>kg</v>
          </cell>
          <cell r="E421">
            <v>0.16700000000000001</v>
          </cell>
          <cell r="F421">
            <v>20000</v>
          </cell>
          <cell r="G421">
            <v>3340</v>
          </cell>
          <cell r="H421">
            <v>0</v>
          </cell>
          <cell r="I421">
            <v>0</v>
          </cell>
        </row>
        <row r="422">
          <cell r="A422">
            <v>0</v>
          </cell>
          <cell r="B422" t="str">
            <v>VL198</v>
          </cell>
          <cell r="C422" t="str">
            <v>Dây điện 2x1,5mm2</v>
          </cell>
          <cell r="D422" t="str">
            <v>m</v>
          </cell>
          <cell r="E422">
            <v>0.83299999999999996</v>
          </cell>
          <cell r="F422">
            <v>9027.2727272727261</v>
          </cell>
          <cell r="G422">
            <v>7519.7181818181807</v>
          </cell>
          <cell r="H422">
            <v>0</v>
          </cell>
          <cell r="I422">
            <v>0</v>
          </cell>
        </row>
        <row r="423">
          <cell r="A423">
            <v>0</v>
          </cell>
          <cell r="B423">
            <v>0</v>
          </cell>
          <cell r="C423" t="str">
            <v>Nhân công</v>
          </cell>
          <cell r="D423">
            <v>0</v>
          </cell>
          <cell r="E423">
            <v>0</v>
          </cell>
          <cell r="F423">
            <v>0</v>
          </cell>
          <cell r="G423">
            <v>0</v>
          </cell>
          <cell r="H423">
            <v>0</v>
          </cell>
          <cell r="I423">
            <v>0</v>
          </cell>
        </row>
        <row r="424">
          <cell r="A424">
            <v>0</v>
          </cell>
          <cell r="B424" t="str">
            <v>KS4</v>
          </cell>
          <cell r="C424" t="str">
            <v>Kỹ sư bậc 4,0/8</v>
          </cell>
          <cell r="D424" t="str">
            <v>công</v>
          </cell>
          <cell r="E424">
            <v>4.1100000000000003</v>
          </cell>
          <cell r="F424">
            <v>237000</v>
          </cell>
          <cell r="G424">
            <v>0</v>
          </cell>
          <cell r="H424">
            <v>974070.00000000012</v>
          </cell>
          <cell r="I424">
            <v>0</v>
          </cell>
        </row>
        <row r="425">
          <cell r="A425">
            <v>0</v>
          </cell>
          <cell r="B425" t="str">
            <v>N4507</v>
          </cell>
          <cell r="C425" t="str">
            <v xml:space="preserve"> Nhân công bậc 5,0/7 - Nhóm 4</v>
          </cell>
          <cell r="D425" t="str">
            <v>công</v>
          </cell>
          <cell r="E425">
            <v>1.76</v>
          </cell>
          <cell r="F425">
            <v>302486.8421052632</v>
          </cell>
          <cell r="G425">
            <v>0</v>
          </cell>
          <cell r="H425">
            <v>532376.84210526326</v>
          </cell>
          <cell r="I425">
            <v>0</v>
          </cell>
        </row>
        <row r="426">
          <cell r="A426">
            <v>0</v>
          </cell>
          <cell r="B426">
            <v>0</v>
          </cell>
          <cell r="C426" t="str">
            <v>Máy thi công</v>
          </cell>
          <cell r="D426">
            <v>0</v>
          </cell>
          <cell r="E426">
            <v>0</v>
          </cell>
          <cell r="F426">
            <v>0</v>
          </cell>
          <cell r="G426">
            <v>0</v>
          </cell>
          <cell r="H426">
            <v>0</v>
          </cell>
          <cell r="I426">
            <v>0</v>
          </cell>
        </row>
        <row r="427">
          <cell r="A427">
            <v>0</v>
          </cell>
          <cell r="B427" t="str">
            <v>M203.0025</v>
          </cell>
          <cell r="C427" t="str">
            <v>Megôm met</v>
          </cell>
          <cell r="D427" t="str">
            <v>ca</v>
          </cell>
          <cell r="E427">
            <v>0.09</v>
          </cell>
          <cell r="F427">
            <v>40127.500000000007</v>
          </cell>
          <cell r="G427">
            <v>0</v>
          </cell>
          <cell r="H427">
            <v>0</v>
          </cell>
          <cell r="I427">
            <v>3611.4750000000004</v>
          </cell>
        </row>
        <row r="428">
          <cell r="A428">
            <v>0</v>
          </cell>
          <cell r="B428" t="str">
            <v>M203.0007</v>
          </cell>
          <cell r="C428" t="str">
            <v>Hợp bộ thí nghiệm cao áp</v>
          </cell>
          <cell r="D428" t="str">
            <v>ca</v>
          </cell>
          <cell r="E428">
            <v>0.13400000000000001</v>
          </cell>
          <cell r="F428">
            <v>403740.11363636365</v>
          </cell>
          <cell r="G428">
            <v>0</v>
          </cell>
          <cell r="H428">
            <v>0</v>
          </cell>
          <cell r="I428">
            <v>54101.175227272732</v>
          </cell>
        </row>
        <row r="429">
          <cell r="A429">
            <v>0</v>
          </cell>
          <cell r="B429" t="str">
            <v>M203.0005</v>
          </cell>
          <cell r="C429" t="str">
            <v>Hợp bộ đo lường</v>
          </cell>
          <cell r="D429" t="str">
            <v>ca</v>
          </cell>
          <cell r="E429">
            <v>0.13500000000000001</v>
          </cell>
          <cell r="F429">
            <v>752668.63636363659</v>
          </cell>
          <cell r="G429">
            <v>0</v>
          </cell>
          <cell r="H429">
            <v>0</v>
          </cell>
          <cell r="I429">
            <v>101610.26590909094</v>
          </cell>
        </row>
        <row r="430">
          <cell r="A430">
            <v>0</v>
          </cell>
          <cell r="B430" t="str">
            <v>M203.0014</v>
          </cell>
          <cell r="C430" t="str">
            <v>Máy đo điện trở một chiều</v>
          </cell>
          <cell r="D430" t="str">
            <v>ca</v>
          </cell>
          <cell r="E430">
            <v>0.108</v>
          </cell>
          <cell r="F430">
            <v>142909.77272727276</v>
          </cell>
          <cell r="G430">
            <v>0</v>
          </cell>
          <cell r="H430">
            <v>0</v>
          </cell>
          <cell r="I430">
            <v>15434.255454545459</v>
          </cell>
        </row>
        <row r="431">
          <cell r="A431">
            <v>0</v>
          </cell>
          <cell r="B431" t="str">
            <v>M102.1802</v>
          </cell>
          <cell r="C431" t="str">
            <v>Xe thang nâng</v>
          </cell>
          <cell r="D431" t="str">
            <v>ca</v>
          </cell>
          <cell r="E431">
            <v>0.04</v>
          </cell>
          <cell r="F431">
            <v>1819914.2343571431</v>
          </cell>
          <cell r="G431">
            <v>0</v>
          </cell>
          <cell r="H431">
            <v>0</v>
          </cell>
          <cell r="I431">
            <v>72796.569374285726</v>
          </cell>
        </row>
        <row r="432">
          <cell r="A432">
            <v>0</v>
          </cell>
          <cell r="B432" t="str">
            <v>M203.0019</v>
          </cell>
          <cell r="C432" t="str">
            <v>Máy đo tỷ số biến</v>
          </cell>
          <cell r="D432" t="str">
            <v>ca</v>
          </cell>
          <cell r="E432">
            <v>0</v>
          </cell>
          <cell r="F432">
            <v>120291.81818181821</v>
          </cell>
          <cell r="G432">
            <v>0</v>
          </cell>
          <cell r="H432">
            <v>0</v>
          </cell>
          <cell r="I432">
            <v>0</v>
          </cell>
        </row>
        <row r="433">
          <cell r="A433" t="str">
            <v>EA.32020</v>
          </cell>
          <cell r="B433">
            <v>0</v>
          </cell>
          <cell r="C433" t="str">
            <v>Thí nghiệm biến điện áp cảm ứng 1 pha - U 220kV</v>
          </cell>
          <cell r="D433" t="str">
            <v>Máy</v>
          </cell>
          <cell r="E433">
            <v>0</v>
          </cell>
          <cell r="F433">
            <v>0</v>
          </cell>
          <cell r="G433">
            <v>18421.292727272725</v>
          </cell>
          <cell r="H433">
            <v>1883651.0526315791</v>
          </cell>
          <cell r="I433">
            <v>306790.04929607146</v>
          </cell>
        </row>
        <row r="434">
          <cell r="A434">
            <v>0</v>
          </cell>
          <cell r="B434">
            <v>0</v>
          </cell>
          <cell r="C434" t="str">
            <v>Vật liệu</v>
          </cell>
          <cell r="D434">
            <v>0</v>
          </cell>
          <cell r="E434">
            <v>0</v>
          </cell>
          <cell r="F434">
            <v>0</v>
          </cell>
          <cell r="G434">
            <v>0</v>
          </cell>
          <cell r="H434">
            <v>0</v>
          </cell>
          <cell r="I434">
            <v>0</v>
          </cell>
        </row>
        <row r="435">
          <cell r="A435">
            <v>0</v>
          </cell>
          <cell r="B435" t="str">
            <v>VL221</v>
          </cell>
          <cell r="C435" t="str">
            <v>Điện năng</v>
          </cell>
          <cell r="D435" t="str">
            <v>Kwh</v>
          </cell>
          <cell r="E435">
            <v>2</v>
          </cell>
          <cell r="F435">
            <v>1622.01</v>
          </cell>
          <cell r="G435">
            <v>3244.02</v>
          </cell>
          <cell r="H435">
            <v>0</v>
          </cell>
          <cell r="I435">
            <v>0</v>
          </cell>
        </row>
        <row r="436">
          <cell r="A436">
            <v>0</v>
          </cell>
          <cell r="B436" t="str">
            <v>VL176</v>
          </cell>
          <cell r="C436" t="str">
            <v>Giẻ lau</v>
          </cell>
          <cell r="D436" t="str">
            <v>kg</v>
          </cell>
          <cell r="E436">
            <v>0.15</v>
          </cell>
          <cell r="F436">
            <v>5000</v>
          </cell>
          <cell r="G436">
            <v>750</v>
          </cell>
          <cell r="H436">
            <v>0</v>
          </cell>
          <cell r="I436">
            <v>0</v>
          </cell>
        </row>
        <row r="437">
          <cell r="A437">
            <v>0</v>
          </cell>
          <cell r="B437" t="str">
            <v>VL179</v>
          </cell>
          <cell r="C437" t="str">
            <v>Băng cách điện</v>
          </cell>
          <cell r="D437" t="str">
            <v>cuộn</v>
          </cell>
          <cell r="E437">
            <v>0.2</v>
          </cell>
          <cell r="F437">
            <v>5000</v>
          </cell>
          <cell r="G437">
            <v>1000</v>
          </cell>
          <cell r="H437">
            <v>0</v>
          </cell>
          <cell r="I437">
            <v>0</v>
          </cell>
        </row>
        <row r="438">
          <cell r="A438">
            <v>0</v>
          </cell>
          <cell r="B438" t="str">
            <v>VL186</v>
          </cell>
          <cell r="C438" t="str">
            <v>Giấy nhám số 0</v>
          </cell>
          <cell r="D438" t="str">
            <v>tờ</v>
          </cell>
          <cell r="E438">
            <v>0.2</v>
          </cell>
          <cell r="F438">
            <v>2000</v>
          </cell>
          <cell r="G438">
            <v>400</v>
          </cell>
          <cell r="H438">
            <v>0</v>
          </cell>
          <cell r="I438">
            <v>0</v>
          </cell>
        </row>
        <row r="439">
          <cell r="A439">
            <v>0</v>
          </cell>
          <cell r="B439" t="str">
            <v>VL177</v>
          </cell>
          <cell r="C439" t="str">
            <v>Cồn công nghiệp</v>
          </cell>
          <cell r="D439" t="str">
            <v>kg</v>
          </cell>
          <cell r="E439">
            <v>0.2</v>
          </cell>
          <cell r="F439">
            <v>20000</v>
          </cell>
          <cell r="G439">
            <v>4000</v>
          </cell>
          <cell r="H439">
            <v>0</v>
          </cell>
          <cell r="I439">
            <v>0</v>
          </cell>
        </row>
        <row r="440">
          <cell r="A440">
            <v>0</v>
          </cell>
          <cell r="B440" t="str">
            <v>VL198</v>
          </cell>
          <cell r="C440" t="str">
            <v>Dây điện 2x1,5mm2</v>
          </cell>
          <cell r="D440" t="str">
            <v>m</v>
          </cell>
          <cell r="E440">
            <v>1</v>
          </cell>
          <cell r="F440">
            <v>9027.2727272727261</v>
          </cell>
          <cell r="G440">
            <v>9027.2727272727261</v>
          </cell>
          <cell r="H440">
            <v>0</v>
          </cell>
          <cell r="I440">
            <v>0</v>
          </cell>
        </row>
        <row r="441">
          <cell r="A441">
            <v>0</v>
          </cell>
          <cell r="B441">
            <v>0</v>
          </cell>
          <cell r="C441" t="str">
            <v>Nhân công</v>
          </cell>
          <cell r="D441">
            <v>0</v>
          </cell>
          <cell r="E441">
            <v>0</v>
          </cell>
          <cell r="F441">
            <v>0</v>
          </cell>
          <cell r="G441">
            <v>0</v>
          </cell>
          <cell r="H441">
            <v>0</v>
          </cell>
          <cell r="I441">
            <v>0</v>
          </cell>
        </row>
        <row r="442">
          <cell r="A442">
            <v>0</v>
          </cell>
          <cell r="B442" t="str">
            <v>KS4</v>
          </cell>
          <cell r="C442" t="str">
            <v>Kỹ sư bậc 4,0/8</v>
          </cell>
          <cell r="D442" t="str">
            <v>công</v>
          </cell>
          <cell r="E442">
            <v>5.14</v>
          </cell>
          <cell r="F442">
            <v>237000</v>
          </cell>
          <cell r="G442">
            <v>0</v>
          </cell>
          <cell r="H442">
            <v>1218180</v>
          </cell>
          <cell r="I442">
            <v>0</v>
          </cell>
        </row>
        <row r="443">
          <cell r="A443">
            <v>0</v>
          </cell>
          <cell r="B443" t="str">
            <v>N4507</v>
          </cell>
          <cell r="C443" t="str">
            <v xml:space="preserve"> Nhân công bậc 5,0/7 - Nhóm 4</v>
          </cell>
          <cell r="D443" t="str">
            <v>công</v>
          </cell>
          <cell r="E443">
            <v>2.2000000000000002</v>
          </cell>
          <cell r="F443">
            <v>302486.8421052632</v>
          </cell>
          <cell r="G443">
            <v>0</v>
          </cell>
          <cell r="H443">
            <v>665471.05263157911</v>
          </cell>
          <cell r="I443">
            <v>0</v>
          </cell>
        </row>
        <row r="444">
          <cell r="A444">
            <v>0</v>
          </cell>
          <cell r="B444">
            <v>0</v>
          </cell>
          <cell r="C444" t="str">
            <v>Máy thi công</v>
          </cell>
          <cell r="D444">
            <v>0</v>
          </cell>
          <cell r="E444">
            <v>0</v>
          </cell>
          <cell r="F444">
            <v>0</v>
          </cell>
          <cell r="G444">
            <v>0</v>
          </cell>
          <cell r="H444">
            <v>0</v>
          </cell>
          <cell r="I444">
            <v>0</v>
          </cell>
        </row>
        <row r="445">
          <cell r="A445">
            <v>0</v>
          </cell>
          <cell r="B445" t="str">
            <v>M203.0025</v>
          </cell>
          <cell r="C445" t="str">
            <v>Megôm met</v>
          </cell>
          <cell r="D445" t="str">
            <v>ca</v>
          </cell>
          <cell r="E445">
            <v>0.1</v>
          </cell>
          <cell r="F445">
            <v>40127.500000000007</v>
          </cell>
          <cell r="G445">
            <v>0</v>
          </cell>
          <cell r="H445">
            <v>0</v>
          </cell>
          <cell r="I445">
            <v>4012.7500000000009</v>
          </cell>
        </row>
        <row r="446">
          <cell r="A446">
            <v>0</v>
          </cell>
          <cell r="B446" t="str">
            <v>M203.0007</v>
          </cell>
          <cell r="C446" t="str">
            <v>Hợp bộ thí nghiệm cao áp</v>
          </cell>
          <cell r="D446" t="str">
            <v>ca</v>
          </cell>
          <cell r="E446">
            <v>0.14899999999999999</v>
          </cell>
          <cell r="F446">
            <v>403740.11363636365</v>
          </cell>
          <cell r="G446">
            <v>0</v>
          </cell>
          <cell r="H446">
            <v>0</v>
          </cell>
          <cell r="I446">
            <v>60157.276931818182</v>
          </cell>
        </row>
        <row r="447">
          <cell r="A447">
            <v>0</v>
          </cell>
          <cell r="B447" t="str">
            <v>M203.0005</v>
          </cell>
          <cell r="C447" t="str">
            <v>Hợp bộ đo lường</v>
          </cell>
          <cell r="D447" t="str">
            <v>ca</v>
          </cell>
          <cell r="E447">
            <v>0.15</v>
          </cell>
          <cell r="F447">
            <v>752668.63636363659</v>
          </cell>
          <cell r="G447">
            <v>0</v>
          </cell>
          <cell r="H447">
            <v>0</v>
          </cell>
          <cell r="I447">
            <v>112900.29545454548</v>
          </cell>
        </row>
        <row r="448">
          <cell r="A448">
            <v>0</v>
          </cell>
          <cell r="B448" t="str">
            <v>M203.0014</v>
          </cell>
          <cell r="C448" t="str">
            <v>Máy đo điện trở một chiều</v>
          </cell>
          <cell r="D448" t="str">
            <v>ca</v>
          </cell>
          <cell r="E448">
            <v>0.12</v>
          </cell>
          <cell r="F448">
            <v>142909.77272727276</v>
          </cell>
          <cell r="G448">
            <v>0</v>
          </cell>
          <cell r="H448">
            <v>0</v>
          </cell>
          <cell r="I448">
            <v>17149.172727272729</v>
          </cell>
        </row>
        <row r="449">
          <cell r="A449">
            <v>0</v>
          </cell>
          <cell r="B449" t="str">
            <v>M102.1802</v>
          </cell>
          <cell r="C449" t="str">
            <v>Xe thang nâng</v>
          </cell>
          <cell r="D449" t="str">
            <v>ca</v>
          </cell>
          <cell r="E449">
            <v>4.4999999999999998E-2</v>
          </cell>
          <cell r="F449">
            <v>1819914.2343571431</v>
          </cell>
          <cell r="G449">
            <v>0</v>
          </cell>
          <cell r="H449">
            <v>0</v>
          </cell>
          <cell r="I449">
            <v>81896.14054607143</v>
          </cell>
        </row>
        <row r="450">
          <cell r="A450">
            <v>0</v>
          </cell>
          <cell r="B450" t="str">
            <v>M203.0019</v>
          </cell>
          <cell r="C450" t="str">
            <v>Máy đo tỷ số biến</v>
          </cell>
          <cell r="D450" t="str">
            <v>ca</v>
          </cell>
          <cell r="E450">
            <v>0.255</v>
          </cell>
          <cell r="F450">
            <v>120291.81818181821</v>
          </cell>
          <cell r="G450">
            <v>0</v>
          </cell>
          <cell r="H450">
            <v>0</v>
          </cell>
          <cell r="I450">
            <v>30674.413636363643</v>
          </cell>
        </row>
        <row r="451">
          <cell r="A451" t="str">
            <v>EA.33010</v>
          </cell>
          <cell r="B451">
            <v>0</v>
          </cell>
          <cell r="C451" t="str">
            <v>Thí nghiệm biến điện áp cảm ứng 1 pha - U 22-35kV</v>
          </cell>
          <cell r="D451" t="str">
            <v>Máy</v>
          </cell>
          <cell r="E451">
            <v>0</v>
          </cell>
          <cell r="F451">
            <v>0</v>
          </cell>
          <cell r="G451">
            <v>12274.330239090908</v>
          </cell>
          <cell r="H451">
            <v>846931.97368421056</v>
          </cell>
          <cell r="I451">
            <v>192759.43352272731</v>
          </cell>
        </row>
        <row r="452">
          <cell r="A452">
            <v>0</v>
          </cell>
          <cell r="B452">
            <v>0</v>
          </cell>
          <cell r="C452" t="str">
            <v>Vật liệu</v>
          </cell>
          <cell r="D452">
            <v>0</v>
          </cell>
          <cell r="E452">
            <v>0</v>
          </cell>
          <cell r="F452">
            <v>0</v>
          </cell>
          <cell r="G452">
            <v>0</v>
          </cell>
          <cell r="H452">
            <v>0</v>
          </cell>
          <cell r="I452">
            <v>0</v>
          </cell>
        </row>
        <row r="453">
          <cell r="A453">
            <v>0</v>
          </cell>
          <cell r="B453" t="str">
            <v>VL221</v>
          </cell>
          <cell r="C453" t="str">
            <v>Điện năng</v>
          </cell>
          <cell r="D453" t="str">
            <v>Kwh</v>
          </cell>
          <cell r="E453">
            <v>1.333</v>
          </cell>
          <cell r="F453">
            <v>1622.01</v>
          </cell>
          <cell r="G453">
            <v>2162.13933</v>
          </cell>
          <cell r="H453">
            <v>0</v>
          </cell>
          <cell r="I453">
            <v>0</v>
          </cell>
        </row>
        <row r="454">
          <cell r="A454">
            <v>0</v>
          </cell>
          <cell r="B454" t="str">
            <v>VL176</v>
          </cell>
          <cell r="C454" t="str">
            <v>Giẻ lau</v>
          </cell>
          <cell r="D454" t="str">
            <v>kg</v>
          </cell>
          <cell r="E454">
            <v>0.1</v>
          </cell>
          <cell r="F454">
            <v>5000</v>
          </cell>
          <cell r="G454">
            <v>500</v>
          </cell>
          <cell r="H454">
            <v>0</v>
          </cell>
          <cell r="I454">
            <v>0</v>
          </cell>
        </row>
        <row r="455">
          <cell r="A455">
            <v>0</v>
          </cell>
          <cell r="B455" t="str">
            <v>VL179</v>
          </cell>
          <cell r="C455" t="str">
            <v>Băng cách điện</v>
          </cell>
          <cell r="D455" t="str">
            <v>cuộn</v>
          </cell>
          <cell r="E455">
            <v>0.13300000000000001</v>
          </cell>
          <cell r="F455">
            <v>5000</v>
          </cell>
          <cell r="G455">
            <v>665</v>
          </cell>
          <cell r="H455">
            <v>0</v>
          </cell>
          <cell r="I455">
            <v>0</v>
          </cell>
        </row>
        <row r="456">
          <cell r="A456">
            <v>0</v>
          </cell>
          <cell r="B456" t="str">
            <v>VL186</v>
          </cell>
          <cell r="C456" t="str">
            <v>Giấy nhám số 0</v>
          </cell>
          <cell r="D456" t="str">
            <v>tờ</v>
          </cell>
          <cell r="E456">
            <v>0.13300000000000001</v>
          </cell>
          <cell r="F456">
            <v>2000</v>
          </cell>
          <cell r="G456">
            <v>266</v>
          </cell>
          <cell r="H456">
            <v>0</v>
          </cell>
          <cell r="I456">
            <v>0</v>
          </cell>
        </row>
        <row r="457">
          <cell r="A457">
            <v>0</v>
          </cell>
          <cell r="B457" t="str">
            <v>VL177</v>
          </cell>
          <cell r="C457" t="str">
            <v>Cồn công nghiệp</v>
          </cell>
          <cell r="D457" t="str">
            <v>kg</v>
          </cell>
          <cell r="E457">
            <v>0.13300000000000001</v>
          </cell>
          <cell r="F457">
            <v>20000</v>
          </cell>
          <cell r="G457">
            <v>2660</v>
          </cell>
          <cell r="H457">
            <v>0</v>
          </cell>
          <cell r="I457">
            <v>0</v>
          </cell>
        </row>
        <row r="458">
          <cell r="A458">
            <v>0</v>
          </cell>
          <cell r="B458" t="str">
            <v>VL198</v>
          </cell>
          <cell r="C458" t="str">
            <v>Dây điện 2x1,5mm2</v>
          </cell>
          <cell r="D458" t="str">
            <v>m</v>
          </cell>
          <cell r="E458">
            <v>0.66700000000000004</v>
          </cell>
          <cell r="F458">
            <v>9027.2727272727261</v>
          </cell>
          <cell r="G458">
            <v>6021.1909090909085</v>
          </cell>
          <cell r="H458">
            <v>0</v>
          </cell>
          <cell r="I458">
            <v>0</v>
          </cell>
        </row>
        <row r="459">
          <cell r="A459">
            <v>0</v>
          </cell>
          <cell r="B459">
            <v>0</v>
          </cell>
          <cell r="C459" t="str">
            <v>Nhân công</v>
          </cell>
          <cell r="D459">
            <v>0</v>
          </cell>
          <cell r="E459">
            <v>0</v>
          </cell>
          <cell r="F459">
            <v>0</v>
          </cell>
          <cell r="G459">
            <v>0</v>
          </cell>
          <cell r="H459">
            <v>0</v>
          </cell>
          <cell r="I459">
            <v>0</v>
          </cell>
        </row>
        <row r="460">
          <cell r="A460">
            <v>0</v>
          </cell>
          <cell r="B460" t="str">
            <v>KS4</v>
          </cell>
          <cell r="C460" t="str">
            <v>Kỹ sư bậc 4,0/8</v>
          </cell>
          <cell r="D460" t="str">
            <v>công</v>
          </cell>
          <cell r="E460">
            <v>2.31</v>
          </cell>
          <cell r="F460">
            <v>237000</v>
          </cell>
          <cell r="G460">
            <v>0</v>
          </cell>
          <cell r="H460">
            <v>547470</v>
          </cell>
          <cell r="I460">
            <v>0</v>
          </cell>
        </row>
        <row r="461">
          <cell r="A461">
            <v>0</v>
          </cell>
          <cell r="B461" t="str">
            <v>N4507</v>
          </cell>
          <cell r="C461" t="str">
            <v xml:space="preserve"> Nhân công bậc 5,0/7 - Nhóm 4</v>
          </cell>
          <cell r="D461" t="str">
            <v>công</v>
          </cell>
          <cell r="E461">
            <v>0.99</v>
          </cell>
          <cell r="F461">
            <v>302486.8421052632</v>
          </cell>
          <cell r="G461">
            <v>0</v>
          </cell>
          <cell r="H461">
            <v>299461.97368421056</v>
          </cell>
          <cell r="I461">
            <v>0</v>
          </cell>
        </row>
        <row r="462">
          <cell r="A462">
            <v>0</v>
          </cell>
          <cell r="B462">
            <v>0</v>
          </cell>
          <cell r="C462" t="str">
            <v>Máy thi công</v>
          </cell>
          <cell r="D462">
            <v>0</v>
          </cell>
          <cell r="E462">
            <v>0</v>
          </cell>
          <cell r="F462">
            <v>0</v>
          </cell>
          <cell r="G462">
            <v>0</v>
          </cell>
          <cell r="H462">
            <v>0</v>
          </cell>
          <cell r="I462">
            <v>0</v>
          </cell>
        </row>
        <row r="463">
          <cell r="A463">
            <v>0</v>
          </cell>
          <cell r="B463" t="str">
            <v>M203.0025</v>
          </cell>
          <cell r="C463" t="str">
            <v>Megôm met</v>
          </cell>
          <cell r="D463" t="str">
            <v>ca</v>
          </cell>
          <cell r="E463">
            <v>0.09</v>
          </cell>
          <cell r="F463">
            <v>40127.500000000007</v>
          </cell>
          <cell r="G463">
            <v>0</v>
          </cell>
          <cell r="H463">
            <v>0</v>
          </cell>
          <cell r="I463">
            <v>3611.4750000000004</v>
          </cell>
        </row>
        <row r="464">
          <cell r="A464">
            <v>0</v>
          </cell>
          <cell r="B464" t="str">
            <v>M203.0007</v>
          </cell>
          <cell r="C464" t="str">
            <v>Hợp bộ thí nghiệm cao áp</v>
          </cell>
          <cell r="D464" t="str">
            <v>ca</v>
          </cell>
          <cell r="E464">
            <v>0.11899999999999999</v>
          </cell>
          <cell r="F464">
            <v>403740.11363636365</v>
          </cell>
          <cell r="G464">
            <v>0</v>
          </cell>
          <cell r="H464">
            <v>0</v>
          </cell>
          <cell r="I464">
            <v>48045.073522727274</v>
          </cell>
        </row>
        <row r="465">
          <cell r="A465">
            <v>0</v>
          </cell>
          <cell r="B465" t="str">
            <v>M203.0005</v>
          </cell>
          <cell r="C465" t="str">
            <v>Hợp bộ đo lường</v>
          </cell>
          <cell r="D465" t="str">
            <v>ca</v>
          </cell>
          <cell r="E465">
            <v>0.13500000000000001</v>
          </cell>
          <cell r="F465">
            <v>752668.63636363659</v>
          </cell>
          <cell r="G465">
            <v>0</v>
          </cell>
          <cell r="H465">
            <v>0</v>
          </cell>
          <cell r="I465">
            <v>101610.26590909094</v>
          </cell>
        </row>
        <row r="466">
          <cell r="A466">
            <v>0</v>
          </cell>
          <cell r="B466" t="str">
            <v>M203.0014</v>
          </cell>
          <cell r="C466" t="str">
            <v>Máy đo điện trở một chiều</v>
          </cell>
          <cell r="D466" t="str">
            <v>ca</v>
          </cell>
          <cell r="E466">
            <v>0.108</v>
          </cell>
          <cell r="F466">
            <v>142909.77272727276</v>
          </cell>
          <cell r="G466">
            <v>0</v>
          </cell>
          <cell r="H466">
            <v>0</v>
          </cell>
          <cell r="I466">
            <v>15434.255454545459</v>
          </cell>
        </row>
        <row r="467">
          <cell r="A467">
            <v>0</v>
          </cell>
          <cell r="B467" t="str">
            <v>M203.0019</v>
          </cell>
          <cell r="C467" t="str">
            <v>Máy đo tỷ số biến</v>
          </cell>
          <cell r="D467" t="str">
            <v>ca</v>
          </cell>
          <cell r="E467">
            <v>0.2</v>
          </cell>
          <cell r="F467">
            <v>120291.81818181821</v>
          </cell>
          <cell r="G467">
            <v>0</v>
          </cell>
          <cell r="H467">
            <v>0</v>
          </cell>
          <cell r="I467">
            <v>24058.363636363643</v>
          </cell>
        </row>
        <row r="468">
          <cell r="A468" t="str">
            <v>EA.33020</v>
          </cell>
          <cell r="B468">
            <v>0</v>
          </cell>
          <cell r="C468" t="str">
            <v>Thí nghiệm biến điện áp cảm ứng 3 pha - U 22-35kV</v>
          </cell>
          <cell r="D468" t="str">
            <v>Máy</v>
          </cell>
          <cell r="E468">
            <v>0</v>
          </cell>
          <cell r="F468">
            <v>0</v>
          </cell>
          <cell r="G468">
            <v>17772.488727272728</v>
          </cell>
          <cell r="H468">
            <v>1413923.2894736843</v>
          </cell>
          <cell r="I468">
            <v>222488.07238636367</v>
          </cell>
        </row>
        <row r="469">
          <cell r="A469">
            <v>0</v>
          </cell>
          <cell r="B469">
            <v>0</v>
          </cell>
          <cell r="C469" t="str">
            <v>Vật liệu</v>
          </cell>
          <cell r="D469">
            <v>0</v>
          </cell>
          <cell r="E469">
            <v>0</v>
          </cell>
          <cell r="F469">
            <v>0</v>
          </cell>
          <cell r="G469">
            <v>0</v>
          </cell>
          <cell r="H469">
            <v>0</v>
          </cell>
          <cell r="I469">
            <v>0</v>
          </cell>
        </row>
        <row r="470">
          <cell r="A470">
            <v>0</v>
          </cell>
          <cell r="B470" t="str">
            <v>VL221</v>
          </cell>
          <cell r="C470" t="str">
            <v>Điện năng</v>
          </cell>
          <cell r="D470" t="str">
            <v>Kwh</v>
          </cell>
          <cell r="E470">
            <v>1.6</v>
          </cell>
          <cell r="F470">
            <v>1622.01</v>
          </cell>
          <cell r="G470">
            <v>2595.2160000000003</v>
          </cell>
          <cell r="H470">
            <v>0</v>
          </cell>
          <cell r="I470">
            <v>0</v>
          </cell>
        </row>
        <row r="471">
          <cell r="A471">
            <v>0</v>
          </cell>
          <cell r="B471" t="str">
            <v>VL176</v>
          </cell>
          <cell r="C471" t="str">
            <v>Giẻ lau</v>
          </cell>
          <cell r="D471" t="str">
            <v>kg</v>
          </cell>
          <cell r="E471">
            <v>0.15</v>
          </cell>
          <cell r="F471">
            <v>5000</v>
          </cell>
          <cell r="G471">
            <v>750</v>
          </cell>
          <cell r="H471">
            <v>0</v>
          </cell>
          <cell r="I471">
            <v>0</v>
          </cell>
        </row>
        <row r="472">
          <cell r="A472">
            <v>0</v>
          </cell>
          <cell r="B472" t="str">
            <v>VL179</v>
          </cell>
          <cell r="C472" t="str">
            <v>Băng cách điện</v>
          </cell>
          <cell r="D472" t="str">
            <v>cuộn</v>
          </cell>
          <cell r="E472">
            <v>0.2</v>
          </cell>
          <cell r="F472">
            <v>5000</v>
          </cell>
          <cell r="G472">
            <v>1000</v>
          </cell>
          <cell r="H472">
            <v>0</v>
          </cell>
          <cell r="I472">
            <v>0</v>
          </cell>
        </row>
        <row r="473">
          <cell r="A473">
            <v>0</v>
          </cell>
          <cell r="B473" t="str">
            <v>VL186</v>
          </cell>
          <cell r="C473" t="str">
            <v>Giấy nhám số 0</v>
          </cell>
          <cell r="D473" t="str">
            <v>tờ</v>
          </cell>
          <cell r="E473">
            <v>0.2</v>
          </cell>
          <cell r="F473">
            <v>2000</v>
          </cell>
          <cell r="G473">
            <v>400</v>
          </cell>
          <cell r="H473">
            <v>0</v>
          </cell>
          <cell r="I473">
            <v>0</v>
          </cell>
        </row>
        <row r="474">
          <cell r="A474">
            <v>0</v>
          </cell>
          <cell r="B474" t="str">
            <v>VL177</v>
          </cell>
          <cell r="C474" t="str">
            <v>Cồn công nghiệp</v>
          </cell>
          <cell r="D474" t="str">
            <v>kg</v>
          </cell>
          <cell r="E474">
            <v>0.2</v>
          </cell>
          <cell r="F474">
            <v>20000</v>
          </cell>
          <cell r="G474">
            <v>4000</v>
          </cell>
          <cell r="H474">
            <v>0</v>
          </cell>
          <cell r="I474">
            <v>0</v>
          </cell>
        </row>
        <row r="475">
          <cell r="A475">
            <v>0</v>
          </cell>
          <cell r="B475" t="str">
            <v>VL198</v>
          </cell>
          <cell r="C475" t="str">
            <v>Dây điện 2x1,5mm2</v>
          </cell>
          <cell r="D475" t="str">
            <v>m</v>
          </cell>
          <cell r="E475">
            <v>1</v>
          </cell>
          <cell r="F475">
            <v>9027.2727272727261</v>
          </cell>
          <cell r="G475">
            <v>9027.2727272727261</v>
          </cell>
          <cell r="H475">
            <v>0</v>
          </cell>
          <cell r="I475">
            <v>0</v>
          </cell>
        </row>
        <row r="476">
          <cell r="A476">
            <v>0</v>
          </cell>
          <cell r="B476">
            <v>0</v>
          </cell>
          <cell r="C476" t="str">
            <v>Nhân công</v>
          </cell>
          <cell r="D476">
            <v>0</v>
          </cell>
          <cell r="E476">
            <v>0</v>
          </cell>
          <cell r="F476">
            <v>0</v>
          </cell>
          <cell r="G476">
            <v>0</v>
          </cell>
          <cell r="H476">
            <v>0</v>
          </cell>
          <cell r="I476">
            <v>0</v>
          </cell>
        </row>
        <row r="477">
          <cell r="A477">
            <v>0</v>
          </cell>
          <cell r="B477" t="str">
            <v>KS4</v>
          </cell>
          <cell r="C477" t="str">
            <v>Kỹ sư bậc 4,0/8</v>
          </cell>
          <cell r="D477" t="str">
            <v>công</v>
          </cell>
          <cell r="E477">
            <v>3.86</v>
          </cell>
          <cell r="F477">
            <v>237000</v>
          </cell>
          <cell r="G477">
            <v>0</v>
          </cell>
          <cell r="H477">
            <v>914820</v>
          </cell>
          <cell r="I477">
            <v>0</v>
          </cell>
        </row>
        <row r="478">
          <cell r="A478">
            <v>0</v>
          </cell>
          <cell r="B478" t="str">
            <v>N4507</v>
          </cell>
          <cell r="C478" t="str">
            <v xml:space="preserve"> Nhân công bậc 5,0/7 - Nhóm 4</v>
          </cell>
          <cell r="D478" t="str">
            <v>công</v>
          </cell>
          <cell r="E478">
            <v>1.65</v>
          </cell>
          <cell r="F478">
            <v>302486.8421052632</v>
          </cell>
          <cell r="G478">
            <v>0</v>
          </cell>
          <cell r="H478">
            <v>499103.28947368427</v>
          </cell>
          <cell r="I478">
            <v>0</v>
          </cell>
        </row>
        <row r="479">
          <cell r="A479">
            <v>0</v>
          </cell>
          <cell r="B479">
            <v>0</v>
          </cell>
          <cell r="C479" t="str">
            <v>Máy thi công</v>
          </cell>
          <cell r="D479">
            <v>0</v>
          </cell>
          <cell r="E479">
            <v>0</v>
          </cell>
          <cell r="F479">
            <v>0</v>
          </cell>
          <cell r="G479">
            <v>0</v>
          </cell>
          <cell r="H479">
            <v>0</v>
          </cell>
          <cell r="I479">
            <v>0</v>
          </cell>
        </row>
        <row r="480">
          <cell r="A480">
            <v>0</v>
          </cell>
          <cell r="B480" t="str">
            <v>M203.0025</v>
          </cell>
          <cell r="C480" t="str">
            <v>Megôm met</v>
          </cell>
          <cell r="D480" t="str">
            <v>ca</v>
          </cell>
          <cell r="E480">
            <v>0.1</v>
          </cell>
          <cell r="F480">
            <v>40127.500000000007</v>
          </cell>
          <cell r="G480">
            <v>0</v>
          </cell>
          <cell r="H480">
            <v>0</v>
          </cell>
          <cell r="I480">
            <v>4012.7500000000009</v>
          </cell>
        </row>
        <row r="481">
          <cell r="A481">
            <v>0</v>
          </cell>
          <cell r="B481" t="str">
            <v>M203.0007</v>
          </cell>
          <cell r="C481" t="str">
            <v>Hợp bộ thí nghiệm cao áp</v>
          </cell>
          <cell r="D481" t="str">
            <v>ca</v>
          </cell>
          <cell r="E481">
            <v>0.14899999999999999</v>
          </cell>
          <cell r="F481">
            <v>403740.11363636365</v>
          </cell>
          <cell r="G481">
            <v>0</v>
          </cell>
          <cell r="H481">
            <v>0</v>
          </cell>
          <cell r="I481">
            <v>60157.276931818182</v>
          </cell>
        </row>
        <row r="482">
          <cell r="A482">
            <v>0</v>
          </cell>
          <cell r="B482" t="str">
            <v>M203.0005</v>
          </cell>
          <cell r="C482" t="str">
            <v>Hợp bộ đo lường</v>
          </cell>
          <cell r="D482" t="str">
            <v>ca</v>
          </cell>
          <cell r="E482">
            <v>0.15</v>
          </cell>
          <cell r="F482">
            <v>752668.63636363659</v>
          </cell>
          <cell r="G482">
            <v>0</v>
          </cell>
          <cell r="H482">
            <v>0</v>
          </cell>
          <cell r="I482">
            <v>112900.29545454548</v>
          </cell>
        </row>
        <row r="483">
          <cell r="A483">
            <v>0</v>
          </cell>
          <cell r="B483" t="str">
            <v>M203.0014</v>
          </cell>
          <cell r="C483" t="str">
            <v>Máy đo điện trở một chiều</v>
          </cell>
          <cell r="D483" t="str">
            <v>ca</v>
          </cell>
          <cell r="E483">
            <v>0.12</v>
          </cell>
          <cell r="F483">
            <v>142909.77272727276</v>
          </cell>
          <cell r="G483">
            <v>0</v>
          </cell>
          <cell r="H483">
            <v>0</v>
          </cell>
          <cell r="I483">
            <v>17149.172727272729</v>
          </cell>
        </row>
        <row r="484">
          <cell r="A484">
            <v>0</v>
          </cell>
          <cell r="B484" t="str">
            <v>M203.0019</v>
          </cell>
          <cell r="C484" t="str">
            <v>Máy đo tỷ số biến</v>
          </cell>
          <cell r="D484" t="str">
            <v>ca</v>
          </cell>
          <cell r="E484">
            <v>0.23499999999999999</v>
          </cell>
          <cell r="F484">
            <v>120291.81818181821</v>
          </cell>
          <cell r="G484">
            <v>0</v>
          </cell>
          <cell r="H484">
            <v>0</v>
          </cell>
          <cell r="I484">
            <v>28268.577272727278</v>
          </cell>
        </row>
        <row r="485">
          <cell r="A485" t="str">
            <v>EA.33030</v>
          </cell>
          <cell r="B485">
            <v>0</v>
          </cell>
          <cell r="C485" t="str">
            <v>Thí nghiệm biến điện áp cảm ứng 1 pha - U &lt;=15kV</v>
          </cell>
          <cell r="D485" t="str">
            <v>Máy</v>
          </cell>
          <cell r="E485">
            <v>0</v>
          </cell>
          <cell r="F485">
            <v>0</v>
          </cell>
          <cell r="G485">
            <v>9831.2210336363642</v>
          </cell>
          <cell r="H485">
            <v>762173.28947368427</v>
          </cell>
          <cell r="I485">
            <v>172991.69045454549</v>
          </cell>
        </row>
        <row r="486">
          <cell r="A486">
            <v>0</v>
          </cell>
          <cell r="B486">
            <v>0</v>
          </cell>
          <cell r="C486" t="str">
            <v>Vật liệu</v>
          </cell>
          <cell r="D486">
            <v>0</v>
          </cell>
          <cell r="E486">
            <v>0</v>
          </cell>
          <cell r="F486">
            <v>0</v>
          </cell>
          <cell r="G486">
            <v>0</v>
          </cell>
          <cell r="H486">
            <v>0</v>
          </cell>
          <cell r="I486">
            <v>0</v>
          </cell>
        </row>
        <row r="487">
          <cell r="A487">
            <v>0</v>
          </cell>
          <cell r="B487" t="str">
            <v>VL221</v>
          </cell>
          <cell r="C487" t="str">
            <v>Điện năng</v>
          </cell>
          <cell r="D487" t="str">
            <v>Kwh</v>
          </cell>
          <cell r="E487">
            <v>1.0669999999999999</v>
          </cell>
          <cell r="F487">
            <v>1622.01</v>
          </cell>
          <cell r="G487">
            <v>1730.6846699999999</v>
          </cell>
          <cell r="H487">
            <v>0</v>
          </cell>
          <cell r="I487">
            <v>0</v>
          </cell>
        </row>
        <row r="488">
          <cell r="A488">
            <v>0</v>
          </cell>
          <cell r="B488" t="str">
            <v>VL176</v>
          </cell>
          <cell r="C488" t="str">
            <v>Giẻ lau</v>
          </cell>
          <cell r="D488" t="str">
            <v>kg</v>
          </cell>
          <cell r="E488">
            <v>0.08</v>
          </cell>
          <cell r="F488">
            <v>5000</v>
          </cell>
          <cell r="G488">
            <v>400</v>
          </cell>
          <cell r="H488">
            <v>0</v>
          </cell>
          <cell r="I488">
            <v>0</v>
          </cell>
        </row>
        <row r="489">
          <cell r="A489">
            <v>0</v>
          </cell>
          <cell r="B489" t="str">
            <v>VL179</v>
          </cell>
          <cell r="C489" t="str">
            <v>Băng cách điện</v>
          </cell>
          <cell r="D489" t="str">
            <v>cuộn</v>
          </cell>
          <cell r="E489">
            <v>0.107</v>
          </cell>
          <cell r="F489">
            <v>5000</v>
          </cell>
          <cell r="G489">
            <v>535</v>
          </cell>
          <cell r="H489">
            <v>0</v>
          </cell>
          <cell r="I489">
            <v>0</v>
          </cell>
        </row>
        <row r="490">
          <cell r="A490">
            <v>0</v>
          </cell>
          <cell r="B490" t="str">
            <v>VL186</v>
          </cell>
          <cell r="C490" t="str">
            <v>Giấy nhám số 0</v>
          </cell>
          <cell r="D490" t="str">
            <v>tờ</v>
          </cell>
          <cell r="E490">
            <v>0.107</v>
          </cell>
          <cell r="F490">
            <v>2000</v>
          </cell>
          <cell r="G490">
            <v>214</v>
          </cell>
          <cell r="H490">
            <v>0</v>
          </cell>
          <cell r="I490">
            <v>0</v>
          </cell>
        </row>
        <row r="491">
          <cell r="A491">
            <v>0</v>
          </cell>
          <cell r="B491" t="str">
            <v>VL177</v>
          </cell>
          <cell r="C491" t="str">
            <v>Cồn công nghiệp</v>
          </cell>
          <cell r="D491" t="str">
            <v>kg</v>
          </cell>
          <cell r="E491">
            <v>0.107</v>
          </cell>
          <cell r="F491">
            <v>20000</v>
          </cell>
          <cell r="G491">
            <v>2140</v>
          </cell>
          <cell r="H491">
            <v>0</v>
          </cell>
          <cell r="I491">
            <v>0</v>
          </cell>
        </row>
        <row r="492">
          <cell r="A492">
            <v>0</v>
          </cell>
          <cell r="B492" t="str">
            <v>VL198</v>
          </cell>
          <cell r="C492" t="str">
            <v>Dây điện 2x1,5mm2</v>
          </cell>
          <cell r="D492" t="str">
            <v>m</v>
          </cell>
          <cell r="E492">
            <v>0.53300000000000003</v>
          </cell>
          <cell r="F492">
            <v>9027.2727272727261</v>
          </cell>
          <cell r="G492">
            <v>4811.5363636363636</v>
          </cell>
          <cell r="H492">
            <v>0</v>
          </cell>
          <cell r="I492">
            <v>0</v>
          </cell>
        </row>
        <row r="493">
          <cell r="A493">
            <v>0</v>
          </cell>
          <cell r="B493">
            <v>0</v>
          </cell>
          <cell r="C493" t="str">
            <v>Nhân công</v>
          </cell>
          <cell r="D493">
            <v>0</v>
          </cell>
          <cell r="E493">
            <v>0</v>
          </cell>
          <cell r="F493">
            <v>0</v>
          </cell>
          <cell r="G493">
            <v>0</v>
          </cell>
          <cell r="H493">
            <v>0</v>
          </cell>
          <cell r="I493">
            <v>0</v>
          </cell>
        </row>
        <row r="494">
          <cell r="A494">
            <v>0</v>
          </cell>
          <cell r="B494" t="str">
            <v>KS4</v>
          </cell>
          <cell r="C494" t="str">
            <v>Kỹ sư bậc 4,0/8</v>
          </cell>
          <cell r="D494" t="str">
            <v>công</v>
          </cell>
          <cell r="E494">
            <v>2.08</v>
          </cell>
          <cell r="F494">
            <v>237000</v>
          </cell>
          <cell r="G494">
            <v>0</v>
          </cell>
          <cell r="H494">
            <v>492960</v>
          </cell>
          <cell r="I494">
            <v>0</v>
          </cell>
        </row>
        <row r="495">
          <cell r="A495">
            <v>0</v>
          </cell>
          <cell r="B495" t="str">
            <v>N4507</v>
          </cell>
          <cell r="C495" t="str">
            <v xml:space="preserve"> Nhân công bậc 5,0/7 - Nhóm 4</v>
          </cell>
          <cell r="D495" t="str">
            <v>công</v>
          </cell>
          <cell r="E495">
            <v>0.89</v>
          </cell>
          <cell r="F495">
            <v>302486.8421052632</v>
          </cell>
          <cell r="G495">
            <v>0</v>
          </cell>
          <cell r="H495">
            <v>269213.28947368427</v>
          </cell>
          <cell r="I495">
            <v>0</v>
          </cell>
        </row>
        <row r="496">
          <cell r="A496">
            <v>0</v>
          </cell>
          <cell r="B496">
            <v>0</v>
          </cell>
          <cell r="C496" t="str">
            <v>Máy thi công</v>
          </cell>
          <cell r="D496">
            <v>0</v>
          </cell>
          <cell r="E496">
            <v>0</v>
          </cell>
          <cell r="F496">
            <v>0</v>
          </cell>
          <cell r="G496">
            <v>0</v>
          </cell>
          <cell r="H496">
            <v>0</v>
          </cell>
          <cell r="I496">
            <v>0</v>
          </cell>
        </row>
        <row r="497">
          <cell r="A497">
            <v>0</v>
          </cell>
          <cell r="B497" t="str">
            <v>M203.0025</v>
          </cell>
          <cell r="C497" t="str">
            <v>Megôm met</v>
          </cell>
          <cell r="D497" t="str">
            <v>ca</v>
          </cell>
          <cell r="E497">
            <v>8.1000000000000003E-2</v>
          </cell>
          <cell r="F497">
            <v>40127.500000000007</v>
          </cell>
          <cell r="G497">
            <v>0</v>
          </cell>
          <cell r="H497">
            <v>0</v>
          </cell>
          <cell r="I497">
            <v>3250.3275000000008</v>
          </cell>
        </row>
        <row r="498">
          <cell r="A498">
            <v>0</v>
          </cell>
          <cell r="B498" t="str">
            <v>M203.0007</v>
          </cell>
          <cell r="C498" t="str">
            <v>Hợp bộ thí nghiệm cao áp</v>
          </cell>
          <cell r="D498" t="str">
            <v>ca</v>
          </cell>
          <cell r="E498">
            <v>0.108</v>
          </cell>
          <cell r="F498">
            <v>403740.11363636365</v>
          </cell>
          <cell r="G498">
            <v>0</v>
          </cell>
          <cell r="H498">
            <v>0</v>
          </cell>
          <cell r="I498">
            <v>43603.932272727274</v>
          </cell>
        </row>
        <row r="499">
          <cell r="A499">
            <v>0</v>
          </cell>
          <cell r="B499" t="str">
            <v>M203.0005</v>
          </cell>
          <cell r="C499" t="str">
            <v>Hợp bộ đo lường</v>
          </cell>
          <cell r="D499" t="str">
            <v>ca</v>
          </cell>
          <cell r="E499">
            <v>0.122</v>
          </cell>
          <cell r="F499">
            <v>752668.63636363659</v>
          </cell>
          <cell r="G499">
            <v>0</v>
          </cell>
          <cell r="H499">
            <v>0</v>
          </cell>
          <cell r="I499">
            <v>91825.573636363668</v>
          </cell>
        </row>
        <row r="500">
          <cell r="A500">
            <v>0</v>
          </cell>
          <cell r="B500" t="str">
            <v>M203.0014</v>
          </cell>
          <cell r="C500" t="str">
            <v>Máy đo điện trở một chiều</v>
          </cell>
          <cell r="D500" t="str">
            <v>ca</v>
          </cell>
          <cell r="E500">
            <v>9.7000000000000003E-2</v>
          </cell>
          <cell r="F500">
            <v>142909.77272727276</v>
          </cell>
          <cell r="G500">
            <v>0</v>
          </cell>
          <cell r="H500">
            <v>0</v>
          </cell>
          <cell r="I500">
            <v>13862.247954545459</v>
          </cell>
        </row>
        <row r="501">
          <cell r="A501">
            <v>0</v>
          </cell>
          <cell r="B501" t="str">
            <v>M203.0019</v>
          </cell>
          <cell r="C501" t="str">
            <v>Máy đo tỷ số biến</v>
          </cell>
          <cell r="D501" t="str">
            <v>ca</v>
          </cell>
          <cell r="E501">
            <v>0.17</v>
          </cell>
          <cell r="F501">
            <v>120291.81818181821</v>
          </cell>
          <cell r="G501">
            <v>0</v>
          </cell>
          <cell r="H501">
            <v>0</v>
          </cell>
          <cell r="I501">
            <v>20449.609090909096</v>
          </cell>
        </row>
        <row r="502">
          <cell r="A502" t="str">
            <v>EA.33040</v>
          </cell>
          <cell r="B502">
            <v>0</v>
          </cell>
          <cell r="C502" t="str">
            <v>Thí nghiệm biến điện áp cảm ứng 3 pha - U &lt;=15kV</v>
          </cell>
          <cell r="D502" t="str">
            <v>Máy</v>
          </cell>
          <cell r="E502">
            <v>0</v>
          </cell>
          <cell r="F502">
            <v>0</v>
          </cell>
          <cell r="G502">
            <v>15995.239854545454</v>
          </cell>
          <cell r="H502">
            <v>1273095.3947368423</v>
          </cell>
          <cell r="I502">
            <v>207051.11318181825</v>
          </cell>
        </row>
        <row r="503">
          <cell r="A503">
            <v>0</v>
          </cell>
          <cell r="B503">
            <v>0</v>
          </cell>
          <cell r="C503" t="str">
            <v>Vật liệu</v>
          </cell>
          <cell r="D503">
            <v>0</v>
          </cell>
          <cell r="E503">
            <v>0</v>
          </cell>
          <cell r="F503">
            <v>0</v>
          </cell>
          <cell r="G503">
            <v>0</v>
          </cell>
          <cell r="H503">
            <v>0</v>
          </cell>
          <cell r="I503">
            <v>0</v>
          </cell>
        </row>
        <row r="504">
          <cell r="A504">
            <v>0</v>
          </cell>
          <cell r="B504" t="str">
            <v>VL221</v>
          </cell>
          <cell r="C504" t="str">
            <v>Điện năng</v>
          </cell>
          <cell r="D504" t="str">
            <v>Kwh</v>
          </cell>
          <cell r="E504">
            <v>1.44</v>
          </cell>
          <cell r="F504">
            <v>1622.01</v>
          </cell>
          <cell r="G504">
            <v>2335.6943999999999</v>
          </cell>
          <cell r="H504">
            <v>0</v>
          </cell>
          <cell r="I504">
            <v>0</v>
          </cell>
        </row>
        <row r="505">
          <cell r="A505">
            <v>0</v>
          </cell>
          <cell r="B505" t="str">
            <v>VL176</v>
          </cell>
          <cell r="C505" t="str">
            <v>Giẻ lau</v>
          </cell>
          <cell r="D505" t="str">
            <v>kg</v>
          </cell>
          <cell r="E505">
            <v>0.13500000000000001</v>
          </cell>
          <cell r="F505">
            <v>5000</v>
          </cell>
          <cell r="G505">
            <v>675</v>
          </cell>
          <cell r="H505">
            <v>0</v>
          </cell>
          <cell r="I505">
            <v>0</v>
          </cell>
        </row>
        <row r="506">
          <cell r="A506">
            <v>0</v>
          </cell>
          <cell r="B506" t="str">
            <v>VL179</v>
          </cell>
          <cell r="C506" t="str">
            <v>Băng cách điện</v>
          </cell>
          <cell r="D506" t="str">
            <v>cuộn</v>
          </cell>
          <cell r="E506">
            <v>0.18</v>
          </cell>
          <cell r="F506">
            <v>5000</v>
          </cell>
          <cell r="G506">
            <v>900</v>
          </cell>
          <cell r="H506">
            <v>0</v>
          </cell>
          <cell r="I506">
            <v>0</v>
          </cell>
        </row>
        <row r="507">
          <cell r="A507">
            <v>0</v>
          </cell>
          <cell r="B507" t="str">
            <v>VL186</v>
          </cell>
          <cell r="C507" t="str">
            <v>Giấy nhám số 0</v>
          </cell>
          <cell r="D507" t="str">
            <v>tờ</v>
          </cell>
          <cell r="E507">
            <v>0.18</v>
          </cell>
          <cell r="F507">
            <v>2000</v>
          </cell>
          <cell r="G507">
            <v>360</v>
          </cell>
          <cell r="H507">
            <v>0</v>
          </cell>
          <cell r="I507">
            <v>0</v>
          </cell>
        </row>
        <row r="508">
          <cell r="A508">
            <v>0</v>
          </cell>
          <cell r="B508" t="str">
            <v>VL177</v>
          </cell>
          <cell r="C508" t="str">
            <v>Cồn công nghiệp</v>
          </cell>
          <cell r="D508" t="str">
            <v>kg</v>
          </cell>
          <cell r="E508">
            <v>0.18</v>
          </cell>
          <cell r="F508">
            <v>20000</v>
          </cell>
          <cell r="G508">
            <v>3600</v>
          </cell>
          <cell r="H508">
            <v>0</v>
          </cell>
          <cell r="I508">
            <v>0</v>
          </cell>
        </row>
        <row r="509">
          <cell r="A509">
            <v>0</v>
          </cell>
          <cell r="B509" t="str">
            <v>VL198</v>
          </cell>
          <cell r="C509" t="str">
            <v>Dây điện 2x1,5mm2</v>
          </cell>
          <cell r="D509" t="str">
            <v>m</v>
          </cell>
          <cell r="E509">
            <v>0.9</v>
          </cell>
          <cell r="F509">
            <v>9027.2727272727261</v>
          </cell>
          <cell r="G509">
            <v>8124.545454545454</v>
          </cell>
          <cell r="H509">
            <v>0</v>
          </cell>
          <cell r="I509">
            <v>0</v>
          </cell>
        </row>
        <row r="510">
          <cell r="A510">
            <v>0</v>
          </cell>
          <cell r="B510">
            <v>0</v>
          </cell>
          <cell r="C510" t="str">
            <v>Nhân công</v>
          </cell>
          <cell r="D510">
            <v>0</v>
          </cell>
          <cell r="E510">
            <v>0</v>
          </cell>
          <cell r="F510">
            <v>0</v>
          </cell>
          <cell r="G510">
            <v>0</v>
          </cell>
          <cell r="H510">
            <v>0</v>
          </cell>
          <cell r="I510">
            <v>0</v>
          </cell>
        </row>
        <row r="511">
          <cell r="A511">
            <v>0</v>
          </cell>
          <cell r="B511" t="str">
            <v>KS4</v>
          </cell>
          <cell r="C511" t="str">
            <v>Kỹ sư bậc 4,0/8</v>
          </cell>
          <cell r="D511" t="str">
            <v>công</v>
          </cell>
          <cell r="E511">
            <v>3.47</v>
          </cell>
          <cell r="F511">
            <v>237000</v>
          </cell>
          <cell r="G511">
            <v>0</v>
          </cell>
          <cell r="H511">
            <v>822390</v>
          </cell>
          <cell r="I511">
            <v>0</v>
          </cell>
        </row>
        <row r="512">
          <cell r="A512">
            <v>0</v>
          </cell>
          <cell r="B512" t="str">
            <v>N4507</v>
          </cell>
          <cell r="C512" t="str">
            <v xml:space="preserve"> Nhân công bậc 5,0/7 - Nhóm 4</v>
          </cell>
          <cell r="D512" t="str">
            <v>công</v>
          </cell>
          <cell r="E512">
            <v>1.49</v>
          </cell>
          <cell r="F512">
            <v>302486.8421052632</v>
          </cell>
          <cell r="G512">
            <v>0</v>
          </cell>
          <cell r="H512">
            <v>450705.39473684219</v>
          </cell>
          <cell r="I512">
            <v>0</v>
          </cell>
        </row>
        <row r="513">
          <cell r="A513">
            <v>0</v>
          </cell>
          <cell r="B513">
            <v>0</v>
          </cell>
          <cell r="C513" t="str">
            <v>Máy thi công</v>
          </cell>
          <cell r="D513">
            <v>0</v>
          </cell>
          <cell r="E513">
            <v>0</v>
          </cell>
          <cell r="F513">
            <v>0</v>
          </cell>
          <cell r="G513">
            <v>0</v>
          </cell>
          <cell r="H513">
            <v>0</v>
          </cell>
          <cell r="I513">
            <v>0</v>
          </cell>
        </row>
        <row r="514">
          <cell r="A514">
            <v>0</v>
          </cell>
          <cell r="B514" t="str">
            <v>M203.0025</v>
          </cell>
          <cell r="C514" t="str">
            <v>Megôm met</v>
          </cell>
          <cell r="D514" t="str">
            <v>ca</v>
          </cell>
          <cell r="E514">
            <v>9.2999999999999999E-2</v>
          </cell>
          <cell r="F514">
            <v>40127.500000000007</v>
          </cell>
          <cell r="G514">
            <v>0</v>
          </cell>
          <cell r="H514">
            <v>0</v>
          </cell>
          <cell r="I514">
            <v>3731.8575000000005</v>
          </cell>
        </row>
        <row r="515">
          <cell r="A515">
            <v>0</v>
          </cell>
          <cell r="B515" t="str">
            <v>M203.0007</v>
          </cell>
          <cell r="C515" t="str">
            <v>Hợp bộ thí nghiệm cao áp</v>
          </cell>
          <cell r="D515" t="str">
            <v>ca</v>
          </cell>
          <cell r="E515">
            <v>0.13800000000000001</v>
          </cell>
          <cell r="F515">
            <v>403740.11363636365</v>
          </cell>
          <cell r="G515">
            <v>0</v>
          </cell>
          <cell r="H515">
            <v>0</v>
          </cell>
          <cell r="I515">
            <v>55716.135681818188</v>
          </cell>
        </row>
        <row r="516">
          <cell r="A516">
            <v>0</v>
          </cell>
          <cell r="B516" t="str">
            <v>M203.0005</v>
          </cell>
          <cell r="C516" t="str">
            <v>Hợp bộ đo lường</v>
          </cell>
          <cell r="D516" t="str">
            <v>ca</v>
          </cell>
          <cell r="E516">
            <v>0.14000000000000001</v>
          </cell>
          <cell r="F516">
            <v>752668.63636363659</v>
          </cell>
          <cell r="G516">
            <v>0</v>
          </cell>
          <cell r="H516">
            <v>0</v>
          </cell>
          <cell r="I516">
            <v>105373.60909090913</v>
          </cell>
        </row>
        <row r="517">
          <cell r="A517">
            <v>0</v>
          </cell>
          <cell r="B517" t="str">
            <v>M203.0014</v>
          </cell>
          <cell r="C517" t="str">
            <v>Máy đo điện trở một chiều</v>
          </cell>
          <cell r="D517" t="str">
            <v>ca</v>
          </cell>
          <cell r="E517">
            <v>0.112</v>
          </cell>
          <cell r="F517">
            <v>142909.77272727276</v>
          </cell>
          <cell r="G517">
            <v>0</v>
          </cell>
          <cell r="H517">
            <v>0</v>
          </cell>
          <cell r="I517">
            <v>16005.89454545455</v>
          </cell>
        </row>
        <row r="518">
          <cell r="A518">
            <v>0</v>
          </cell>
          <cell r="B518" t="str">
            <v>M203.0019</v>
          </cell>
          <cell r="C518" t="str">
            <v>Máy đo tỷ số biến</v>
          </cell>
          <cell r="D518" t="str">
            <v>ca</v>
          </cell>
          <cell r="E518">
            <v>0.218</v>
          </cell>
          <cell r="F518">
            <v>120291.81818181821</v>
          </cell>
          <cell r="G518">
            <v>0</v>
          </cell>
          <cell r="H518">
            <v>0</v>
          </cell>
          <cell r="I518">
            <v>26223.616363636367</v>
          </cell>
        </row>
        <row r="519">
          <cell r="A519" t="str">
            <v>EA.41010</v>
          </cell>
          <cell r="B519">
            <v>0</v>
          </cell>
          <cell r="C519" t="str">
            <v>Thí nghiệm biến dòng điện 1 pha - U 66-110kV</v>
          </cell>
          <cell r="D519" t="str">
            <v>Máy</v>
          </cell>
          <cell r="E519">
            <v>0</v>
          </cell>
          <cell r="F519">
            <v>0</v>
          </cell>
          <cell r="G519">
            <v>20815.742272727271</v>
          </cell>
          <cell r="H519">
            <v>1170436.9736842106</v>
          </cell>
          <cell r="I519">
            <v>386922.18577334413</v>
          </cell>
        </row>
        <row r="520">
          <cell r="A520">
            <v>0</v>
          </cell>
          <cell r="B520">
            <v>0</v>
          </cell>
          <cell r="C520" t="str">
            <v>Vật liệu</v>
          </cell>
          <cell r="D520">
            <v>0</v>
          </cell>
          <cell r="E520">
            <v>0</v>
          </cell>
          <cell r="F520">
            <v>0</v>
          </cell>
          <cell r="G520">
            <v>0</v>
          </cell>
          <cell r="H520">
            <v>0</v>
          </cell>
          <cell r="I520">
            <v>0</v>
          </cell>
        </row>
        <row r="521">
          <cell r="A521">
            <v>0</v>
          </cell>
          <cell r="B521" t="str">
            <v>VL221</v>
          </cell>
          <cell r="C521" t="str">
            <v>Điện năng</v>
          </cell>
          <cell r="D521" t="str">
            <v>Kwh</v>
          </cell>
          <cell r="E521">
            <v>1.5</v>
          </cell>
          <cell r="F521">
            <v>1622.01</v>
          </cell>
          <cell r="G521">
            <v>2433.0149999999999</v>
          </cell>
          <cell r="H521">
            <v>0</v>
          </cell>
          <cell r="I521">
            <v>0</v>
          </cell>
        </row>
        <row r="522">
          <cell r="A522">
            <v>0</v>
          </cell>
          <cell r="B522" t="str">
            <v>VL176</v>
          </cell>
          <cell r="C522" t="str">
            <v>Giẻ lau</v>
          </cell>
          <cell r="D522" t="str">
            <v>kg</v>
          </cell>
          <cell r="E522">
            <v>0.15</v>
          </cell>
          <cell r="F522">
            <v>5000</v>
          </cell>
          <cell r="G522">
            <v>750</v>
          </cell>
          <cell r="H522">
            <v>0</v>
          </cell>
          <cell r="I522">
            <v>0</v>
          </cell>
        </row>
        <row r="523">
          <cell r="A523">
            <v>0</v>
          </cell>
          <cell r="B523" t="str">
            <v>VL186</v>
          </cell>
          <cell r="C523" t="str">
            <v>Giấy nhám số 0</v>
          </cell>
          <cell r="D523" t="str">
            <v>tờ</v>
          </cell>
          <cell r="E523">
            <v>0.15</v>
          </cell>
          <cell r="F523">
            <v>2000</v>
          </cell>
          <cell r="G523">
            <v>300</v>
          </cell>
          <cell r="H523">
            <v>0</v>
          </cell>
          <cell r="I523">
            <v>0</v>
          </cell>
        </row>
        <row r="524">
          <cell r="A524">
            <v>0</v>
          </cell>
          <cell r="B524" t="str">
            <v>VL177</v>
          </cell>
          <cell r="C524" t="str">
            <v>Cồn công nghiệp</v>
          </cell>
          <cell r="D524" t="str">
            <v>kg</v>
          </cell>
          <cell r="E524">
            <v>0.3</v>
          </cell>
          <cell r="F524">
            <v>20000</v>
          </cell>
          <cell r="G524">
            <v>6000</v>
          </cell>
          <cell r="H524">
            <v>0</v>
          </cell>
          <cell r="I524">
            <v>0</v>
          </cell>
        </row>
        <row r="525">
          <cell r="A525">
            <v>0</v>
          </cell>
          <cell r="B525" t="str">
            <v>VL179</v>
          </cell>
          <cell r="C525" t="str">
            <v>Băng cách điện</v>
          </cell>
          <cell r="D525" t="str">
            <v>cuộn</v>
          </cell>
          <cell r="E525">
            <v>0.1</v>
          </cell>
          <cell r="F525">
            <v>5000</v>
          </cell>
          <cell r="G525">
            <v>500</v>
          </cell>
          <cell r="H525">
            <v>0</v>
          </cell>
          <cell r="I525">
            <v>0</v>
          </cell>
        </row>
        <row r="526">
          <cell r="A526">
            <v>0</v>
          </cell>
          <cell r="B526" t="str">
            <v>VL198</v>
          </cell>
          <cell r="C526" t="str">
            <v>Dây điện 2x1,5mm2</v>
          </cell>
          <cell r="D526" t="str">
            <v>m</v>
          </cell>
          <cell r="E526">
            <v>1.2</v>
          </cell>
          <cell r="F526">
            <v>9027.2727272727261</v>
          </cell>
          <cell r="G526">
            <v>10832.72727272727</v>
          </cell>
          <cell r="H526">
            <v>0</v>
          </cell>
          <cell r="I526">
            <v>0</v>
          </cell>
        </row>
        <row r="527">
          <cell r="A527">
            <v>0</v>
          </cell>
          <cell r="B527">
            <v>0</v>
          </cell>
          <cell r="C527" t="str">
            <v>Nhân công</v>
          </cell>
          <cell r="D527">
            <v>0</v>
          </cell>
          <cell r="E527">
            <v>0</v>
          </cell>
          <cell r="F527">
            <v>0</v>
          </cell>
          <cell r="G527">
            <v>0</v>
          </cell>
          <cell r="H527">
            <v>0</v>
          </cell>
          <cell r="I527">
            <v>0</v>
          </cell>
        </row>
        <row r="528">
          <cell r="A528">
            <v>0</v>
          </cell>
          <cell r="B528" t="str">
            <v>KS4</v>
          </cell>
          <cell r="C528" t="str">
            <v>Kỹ sư bậc 4,0/8</v>
          </cell>
          <cell r="D528" t="str">
            <v>công</v>
          </cell>
          <cell r="E528">
            <v>3.19</v>
          </cell>
          <cell r="F528">
            <v>237000</v>
          </cell>
          <cell r="G528">
            <v>0</v>
          </cell>
          <cell r="H528">
            <v>756030</v>
          </cell>
          <cell r="I528">
            <v>0</v>
          </cell>
        </row>
        <row r="529">
          <cell r="A529">
            <v>0</v>
          </cell>
          <cell r="B529" t="str">
            <v>N4507</v>
          </cell>
          <cell r="C529" t="str">
            <v xml:space="preserve"> Nhân công bậc 5,0/7 - Nhóm 4</v>
          </cell>
          <cell r="D529" t="str">
            <v>công</v>
          </cell>
          <cell r="E529">
            <v>1.37</v>
          </cell>
          <cell r="F529">
            <v>302486.8421052632</v>
          </cell>
          <cell r="G529">
            <v>0</v>
          </cell>
          <cell r="H529">
            <v>414406.97368421062</v>
          </cell>
          <cell r="I529">
            <v>0</v>
          </cell>
        </row>
        <row r="530">
          <cell r="A530">
            <v>0</v>
          </cell>
          <cell r="B530">
            <v>0</v>
          </cell>
          <cell r="C530" t="str">
            <v>Máy thi công</v>
          </cell>
          <cell r="D530">
            <v>0</v>
          </cell>
          <cell r="E530">
            <v>0</v>
          </cell>
          <cell r="F530">
            <v>0</v>
          </cell>
          <cell r="G530">
            <v>0</v>
          </cell>
          <cell r="H530">
            <v>0</v>
          </cell>
          <cell r="I530">
            <v>0</v>
          </cell>
        </row>
        <row r="531">
          <cell r="A531">
            <v>0</v>
          </cell>
          <cell r="B531" t="str">
            <v>M203.0004</v>
          </cell>
          <cell r="C531" t="str">
            <v>Hợp bộ đo Tg</v>
          </cell>
          <cell r="D531" t="str">
            <v>ca</v>
          </cell>
          <cell r="E531">
            <v>0.12</v>
          </cell>
          <cell r="F531">
            <v>796170.45454545447</v>
          </cell>
          <cell r="G531">
            <v>0</v>
          </cell>
          <cell r="H531">
            <v>0</v>
          </cell>
          <cell r="I531">
            <v>95540.45454545453</v>
          </cell>
        </row>
        <row r="532">
          <cell r="A532">
            <v>0</v>
          </cell>
          <cell r="B532" t="str">
            <v>M203.0025</v>
          </cell>
          <cell r="C532" t="str">
            <v>Megôm met</v>
          </cell>
          <cell r="D532" t="str">
            <v>ca</v>
          </cell>
          <cell r="E532">
            <v>0.09</v>
          </cell>
          <cell r="F532">
            <v>40127.500000000007</v>
          </cell>
          <cell r="G532">
            <v>0</v>
          </cell>
          <cell r="H532">
            <v>0</v>
          </cell>
          <cell r="I532">
            <v>3611.4750000000004</v>
          </cell>
        </row>
        <row r="533">
          <cell r="A533">
            <v>0</v>
          </cell>
          <cell r="B533" t="str">
            <v>M203.0007</v>
          </cell>
          <cell r="C533" t="str">
            <v>Hợp bộ thí nghiệm cao áp</v>
          </cell>
          <cell r="D533" t="str">
            <v>ca</v>
          </cell>
          <cell r="E533">
            <v>0.15</v>
          </cell>
          <cell r="F533">
            <v>403740.11363636365</v>
          </cell>
          <cell r="G533">
            <v>0</v>
          </cell>
          <cell r="H533">
            <v>0</v>
          </cell>
          <cell r="I533">
            <v>60561.017045454544</v>
          </cell>
        </row>
        <row r="534">
          <cell r="A534">
            <v>0</v>
          </cell>
          <cell r="B534" t="str">
            <v>M203.0005</v>
          </cell>
          <cell r="C534" t="str">
            <v>Hợp bộ đo lường</v>
          </cell>
          <cell r="D534" t="str">
            <v>ca</v>
          </cell>
          <cell r="E534">
            <v>0.13500000000000001</v>
          </cell>
          <cell r="F534">
            <v>752668.63636363659</v>
          </cell>
          <cell r="G534">
            <v>0</v>
          </cell>
          <cell r="H534">
            <v>0</v>
          </cell>
          <cell r="I534">
            <v>101610.26590909094</v>
          </cell>
        </row>
        <row r="535">
          <cell r="A535">
            <v>0</v>
          </cell>
          <cell r="B535" t="str">
            <v>M203.0014</v>
          </cell>
          <cell r="C535" t="str">
            <v>Máy đo điện trở một chiều</v>
          </cell>
          <cell r="D535" t="str">
            <v>ca</v>
          </cell>
          <cell r="E535">
            <v>0.108</v>
          </cell>
          <cell r="F535">
            <v>142909.77272727276</v>
          </cell>
          <cell r="G535">
            <v>0</v>
          </cell>
          <cell r="H535">
            <v>0</v>
          </cell>
          <cell r="I535">
            <v>15434.255454545459</v>
          </cell>
        </row>
        <row r="536">
          <cell r="A536">
            <v>0</v>
          </cell>
          <cell r="B536" t="str">
            <v>M102.1802</v>
          </cell>
          <cell r="C536" t="str">
            <v>Xe thang nâng</v>
          </cell>
          <cell r="D536" t="str">
            <v>ca</v>
          </cell>
          <cell r="E536">
            <v>4.4999999999999998E-2</v>
          </cell>
          <cell r="F536">
            <v>1819914.2343571431</v>
          </cell>
          <cell r="G536">
            <v>0</v>
          </cell>
          <cell r="H536">
            <v>0</v>
          </cell>
          <cell r="I536">
            <v>81896.14054607143</v>
          </cell>
        </row>
        <row r="537">
          <cell r="A537">
            <v>0</v>
          </cell>
          <cell r="B537" t="str">
            <v>M203.0019</v>
          </cell>
          <cell r="C537" t="str">
            <v>Máy đo tỷ số biến</v>
          </cell>
          <cell r="D537" t="str">
            <v>ca</v>
          </cell>
          <cell r="E537">
            <v>0.23499999999999999</v>
          </cell>
          <cell r="F537">
            <v>120291.81818181821</v>
          </cell>
          <cell r="G537">
            <v>0</v>
          </cell>
          <cell r="H537">
            <v>0</v>
          </cell>
          <cell r="I537">
            <v>28268.577272727278</v>
          </cell>
        </row>
        <row r="538">
          <cell r="A538" t="str">
            <v>EA.41020</v>
          </cell>
          <cell r="B538">
            <v>0</v>
          </cell>
          <cell r="C538" t="str">
            <v>Thí nghiệm biến dòng điện 1 pha - U 220kV</v>
          </cell>
          <cell r="D538" t="str">
            <v>Máy</v>
          </cell>
          <cell r="E538">
            <v>0</v>
          </cell>
          <cell r="F538">
            <v>0</v>
          </cell>
          <cell r="G538">
            <v>26023.177840909088</v>
          </cell>
          <cell r="H538">
            <v>1747563.1578947371</v>
          </cell>
          <cell r="I538">
            <v>443680.35012694815</v>
          </cell>
        </row>
        <row r="539">
          <cell r="A539">
            <v>0</v>
          </cell>
          <cell r="B539">
            <v>0</v>
          </cell>
          <cell r="C539" t="str">
            <v>Vật liệu</v>
          </cell>
          <cell r="D539">
            <v>0</v>
          </cell>
          <cell r="E539">
            <v>0</v>
          </cell>
          <cell r="F539">
            <v>0</v>
          </cell>
          <cell r="G539">
            <v>0</v>
          </cell>
          <cell r="H539">
            <v>0</v>
          </cell>
          <cell r="I539">
            <v>0</v>
          </cell>
        </row>
        <row r="540">
          <cell r="A540">
            <v>0</v>
          </cell>
          <cell r="B540" t="str">
            <v>VL221</v>
          </cell>
          <cell r="C540" t="str">
            <v>Điện năng</v>
          </cell>
          <cell r="D540" t="str">
            <v>Kwh</v>
          </cell>
          <cell r="E540">
            <v>1.875</v>
          </cell>
          <cell r="F540">
            <v>1622.01</v>
          </cell>
          <cell r="G540">
            <v>3041.2687500000002</v>
          </cell>
          <cell r="H540">
            <v>0</v>
          </cell>
          <cell r="I540">
            <v>0</v>
          </cell>
        </row>
        <row r="541">
          <cell r="A541">
            <v>0</v>
          </cell>
          <cell r="B541" t="str">
            <v>VL176</v>
          </cell>
          <cell r="C541" t="str">
            <v>Giẻ lau</v>
          </cell>
          <cell r="D541" t="str">
            <v>kg</v>
          </cell>
          <cell r="E541">
            <v>0.188</v>
          </cell>
          <cell r="F541">
            <v>5000</v>
          </cell>
          <cell r="G541">
            <v>940</v>
          </cell>
          <cell r="H541">
            <v>0</v>
          </cell>
          <cell r="I541">
            <v>0</v>
          </cell>
        </row>
        <row r="542">
          <cell r="A542">
            <v>0</v>
          </cell>
          <cell r="B542" t="str">
            <v>VL186</v>
          </cell>
          <cell r="C542" t="str">
            <v>Giấy nhám số 0</v>
          </cell>
          <cell r="D542" t="str">
            <v>tờ</v>
          </cell>
          <cell r="E542">
            <v>0.188</v>
          </cell>
          <cell r="F542">
            <v>2000</v>
          </cell>
          <cell r="G542">
            <v>376</v>
          </cell>
          <cell r="H542">
            <v>0</v>
          </cell>
          <cell r="I542">
            <v>0</v>
          </cell>
        </row>
        <row r="543">
          <cell r="A543">
            <v>0</v>
          </cell>
          <cell r="B543" t="str">
            <v>VL177</v>
          </cell>
          <cell r="C543" t="str">
            <v>Cồn công nghiệp</v>
          </cell>
          <cell r="D543" t="str">
            <v>kg</v>
          </cell>
          <cell r="E543">
            <v>0.375</v>
          </cell>
          <cell r="F543">
            <v>20000</v>
          </cell>
          <cell r="G543">
            <v>7500</v>
          </cell>
          <cell r="H543">
            <v>0</v>
          </cell>
          <cell r="I543">
            <v>0</v>
          </cell>
        </row>
        <row r="544">
          <cell r="A544">
            <v>0</v>
          </cell>
          <cell r="B544" t="str">
            <v>VL179</v>
          </cell>
          <cell r="C544" t="str">
            <v>Băng cách điện</v>
          </cell>
          <cell r="D544" t="str">
            <v>cuộn</v>
          </cell>
          <cell r="E544">
            <v>0.125</v>
          </cell>
          <cell r="F544">
            <v>5000</v>
          </cell>
          <cell r="G544">
            <v>625</v>
          </cell>
          <cell r="H544">
            <v>0</v>
          </cell>
          <cell r="I544">
            <v>0</v>
          </cell>
        </row>
        <row r="545">
          <cell r="A545">
            <v>0</v>
          </cell>
          <cell r="B545" t="str">
            <v>VL198</v>
          </cell>
          <cell r="C545" t="str">
            <v>Dây điện 2x1,5mm2</v>
          </cell>
          <cell r="D545" t="str">
            <v>m</v>
          </cell>
          <cell r="E545">
            <v>1.5</v>
          </cell>
          <cell r="F545">
            <v>9027.2727272727261</v>
          </cell>
          <cell r="G545">
            <v>13540.909090909088</v>
          </cell>
          <cell r="H545">
            <v>0</v>
          </cell>
          <cell r="I545">
            <v>0</v>
          </cell>
        </row>
        <row r="546">
          <cell r="A546">
            <v>0</v>
          </cell>
          <cell r="B546">
            <v>0</v>
          </cell>
          <cell r="C546" t="str">
            <v>Nhân công</v>
          </cell>
          <cell r="D546">
            <v>0</v>
          </cell>
          <cell r="E546">
            <v>0</v>
          </cell>
          <cell r="F546">
            <v>0</v>
          </cell>
          <cell r="G546">
            <v>0</v>
          </cell>
          <cell r="H546">
            <v>0</v>
          </cell>
          <cell r="I546">
            <v>0</v>
          </cell>
        </row>
        <row r="547">
          <cell r="A547">
            <v>0</v>
          </cell>
          <cell r="B547" t="str">
            <v>KS4</v>
          </cell>
          <cell r="C547" t="str">
            <v>Kỹ sư bậc 4,0/8</v>
          </cell>
          <cell r="D547" t="str">
            <v>công</v>
          </cell>
          <cell r="E547">
            <v>4.7699999999999996</v>
          </cell>
          <cell r="F547">
            <v>237000</v>
          </cell>
          <cell r="G547">
            <v>0</v>
          </cell>
          <cell r="H547">
            <v>1130490</v>
          </cell>
          <cell r="I547">
            <v>0</v>
          </cell>
        </row>
        <row r="548">
          <cell r="A548">
            <v>0</v>
          </cell>
          <cell r="B548" t="str">
            <v>N4507</v>
          </cell>
          <cell r="C548" t="str">
            <v xml:space="preserve"> Nhân công bậc 5,0/7 - Nhóm 4</v>
          </cell>
          <cell r="D548" t="str">
            <v>công</v>
          </cell>
          <cell r="E548">
            <v>2.04</v>
          </cell>
          <cell r="F548">
            <v>302486.8421052632</v>
          </cell>
          <cell r="G548">
            <v>0</v>
          </cell>
          <cell r="H548">
            <v>617073.15789473697</v>
          </cell>
          <cell r="I548">
            <v>0</v>
          </cell>
        </row>
        <row r="549">
          <cell r="A549">
            <v>0</v>
          </cell>
          <cell r="B549">
            <v>0</v>
          </cell>
          <cell r="C549" t="str">
            <v>Máy thi công</v>
          </cell>
          <cell r="D549">
            <v>0</v>
          </cell>
          <cell r="E549">
            <v>0</v>
          </cell>
          <cell r="F549">
            <v>0</v>
          </cell>
          <cell r="G549">
            <v>0</v>
          </cell>
          <cell r="H549">
            <v>0</v>
          </cell>
          <cell r="I549">
            <v>0</v>
          </cell>
        </row>
        <row r="550">
          <cell r="A550">
            <v>0</v>
          </cell>
          <cell r="B550" t="str">
            <v>M203.0004</v>
          </cell>
          <cell r="C550" t="str">
            <v>Hợp bộ đo Tg</v>
          </cell>
          <cell r="D550" t="str">
            <v>ca</v>
          </cell>
          <cell r="E550">
            <v>0.13300000000000001</v>
          </cell>
          <cell r="F550">
            <v>796170.45454545447</v>
          </cell>
          <cell r="G550">
            <v>0</v>
          </cell>
          <cell r="H550">
            <v>0</v>
          </cell>
          <cell r="I550">
            <v>105890.67045454546</v>
          </cell>
        </row>
        <row r="551">
          <cell r="A551">
            <v>0</v>
          </cell>
          <cell r="B551" t="str">
            <v>M203.0025</v>
          </cell>
          <cell r="C551" t="str">
            <v>Megôm met</v>
          </cell>
          <cell r="D551" t="str">
            <v>ca</v>
          </cell>
          <cell r="E551">
            <v>0.1</v>
          </cell>
          <cell r="F551">
            <v>40127.500000000007</v>
          </cell>
          <cell r="G551">
            <v>0</v>
          </cell>
          <cell r="H551">
            <v>0</v>
          </cell>
          <cell r="I551">
            <v>4012.7500000000009</v>
          </cell>
        </row>
        <row r="552">
          <cell r="A552">
            <v>0</v>
          </cell>
          <cell r="B552" t="str">
            <v>M203.0007</v>
          </cell>
          <cell r="C552" t="str">
            <v>Hợp bộ thí nghiệm cao áp</v>
          </cell>
          <cell r="D552" t="str">
            <v>ca</v>
          </cell>
          <cell r="E552">
            <v>0.16600000000000001</v>
          </cell>
          <cell r="F552">
            <v>403740.11363636365</v>
          </cell>
          <cell r="G552">
            <v>0</v>
          </cell>
          <cell r="H552">
            <v>0</v>
          </cell>
          <cell r="I552">
            <v>67020.858863636371</v>
          </cell>
        </row>
        <row r="553">
          <cell r="A553">
            <v>0</v>
          </cell>
          <cell r="B553" t="str">
            <v>M203.0005</v>
          </cell>
          <cell r="C553" t="str">
            <v>Hợp bộ đo lường</v>
          </cell>
          <cell r="D553" t="str">
            <v>ca</v>
          </cell>
          <cell r="E553">
            <v>0.15</v>
          </cell>
          <cell r="F553">
            <v>752668.63636363659</v>
          </cell>
          <cell r="G553">
            <v>0</v>
          </cell>
          <cell r="H553">
            <v>0</v>
          </cell>
          <cell r="I553">
            <v>112900.29545454548</v>
          </cell>
        </row>
        <row r="554">
          <cell r="A554">
            <v>0</v>
          </cell>
          <cell r="B554" t="str">
            <v>M203.0014</v>
          </cell>
          <cell r="C554" t="str">
            <v>Máy đo điện trở một chiều</v>
          </cell>
          <cell r="D554" t="str">
            <v>ca</v>
          </cell>
          <cell r="E554">
            <v>0.12</v>
          </cell>
          <cell r="F554">
            <v>142909.77272727276</v>
          </cell>
          <cell r="G554">
            <v>0</v>
          </cell>
          <cell r="H554">
            <v>0</v>
          </cell>
          <cell r="I554">
            <v>17149.172727272729</v>
          </cell>
        </row>
        <row r="555">
          <cell r="A555">
            <v>0</v>
          </cell>
          <cell r="B555" t="str">
            <v>M102.1802</v>
          </cell>
          <cell r="C555" t="str">
            <v>Xe thang nâng</v>
          </cell>
          <cell r="D555" t="str">
            <v>ca</v>
          </cell>
          <cell r="E555">
            <v>0.05</v>
          </cell>
          <cell r="F555">
            <v>1819914.2343571431</v>
          </cell>
          <cell r="G555">
            <v>0</v>
          </cell>
          <cell r="H555">
            <v>0</v>
          </cell>
          <cell r="I555">
            <v>90995.711717857164</v>
          </cell>
        </row>
        <row r="556">
          <cell r="A556">
            <v>0</v>
          </cell>
          <cell r="B556" t="str">
            <v>M203.0019</v>
          </cell>
          <cell r="C556" t="str">
            <v>Máy đo tỷ số biến</v>
          </cell>
          <cell r="D556" t="str">
            <v>ca</v>
          </cell>
          <cell r="E556">
            <v>0.38</v>
          </cell>
          <cell r="F556">
            <v>120291.81818181821</v>
          </cell>
          <cell r="G556">
            <v>0</v>
          </cell>
          <cell r="H556">
            <v>0</v>
          </cell>
          <cell r="I556">
            <v>45710.890909090922</v>
          </cell>
        </row>
        <row r="557">
          <cell r="A557" t="str">
            <v>EA.42010</v>
          </cell>
          <cell r="B557">
            <v>0</v>
          </cell>
          <cell r="C557" t="str">
            <v>Thí nghiệm biến dòng điện 1 pha - U &lt;=1kV</v>
          </cell>
          <cell r="D557" t="str">
            <v>Máy</v>
          </cell>
          <cell r="E557">
            <v>0</v>
          </cell>
          <cell r="F557">
            <v>0</v>
          </cell>
          <cell r="G557">
            <v>4862.0575454545451</v>
          </cell>
          <cell r="H557">
            <v>420768.55263157899</v>
          </cell>
          <cell r="I557">
            <v>67208.909090909117</v>
          </cell>
        </row>
        <row r="558">
          <cell r="A558">
            <v>0</v>
          </cell>
          <cell r="B558">
            <v>0</v>
          </cell>
          <cell r="C558" t="str">
            <v>Vật liệu</v>
          </cell>
          <cell r="D558">
            <v>0</v>
          </cell>
          <cell r="E558">
            <v>0</v>
          </cell>
          <cell r="F558">
            <v>0</v>
          </cell>
          <cell r="G558">
            <v>0</v>
          </cell>
          <cell r="H558">
            <v>0</v>
          </cell>
          <cell r="I558">
            <v>0</v>
          </cell>
        </row>
        <row r="559">
          <cell r="A559">
            <v>0</v>
          </cell>
          <cell r="B559" t="str">
            <v>VL221</v>
          </cell>
          <cell r="C559" t="str">
            <v>Điện năng</v>
          </cell>
          <cell r="D559" t="str">
            <v>Kwh</v>
          </cell>
          <cell r="E559">
            <v>0.3</v>
          </cell>
          <cell r="F559">
            <v>1622.01</v>
          </cell>
          <cell r="G559">
            <v>486.60299999999995</v>
          </cell>
          <cell r="H559">
            <v>0</v>
          </cell>
          <cell r="I559">
            <v>0</v>
          </cell>
        </row>
        <row r="560">
          <cell r="A560">
            <v>0</v>
          </cell>
          <cell r="B560" t="str">
            <v>VL176</v>
          </cell>
          <cell r="C560" t="str">
            <v>Giẻ lau</v>
          </cell>
          <cell r="D560" t="str">
            <v>kg</v>
          </cell>
          <cell r="E560">
            <v>0.05</v>
          </cell>
          <cell r="F560">
            <v>5000</v>
          </cell>
          <cell r="G560">
            <v>250</v>
          </cell>
          <cell r="H560">
            <v>0</v>
          </cell>
          <cell r="I560">
            <v>0</v>
          </cell>
        </row>
        <row r="561">
          <cell r="A561">
            <v>0</v>
          </cell>
          <cell r="B561" t="str">
            <v>VL186</v>
          </cell>
          <cell r="C561" t="str">
            <v>Giấy nhám số 0</v>
          </cell>
          <cell r="D561" t="str">
            <v>tờ</v>
          </cell>
          <cell r="E561">
            <v>0.06</v>
          </cell>
          <cell r="F561">
            <v>2000</v>
          </cell>
          <cell r="G561">
            <v>120</v>
          </cell>
          <cell r="H561">
            <v>0</v>
          </cell>
          <cell r="I561">
            <v>0</v>
          </cell>
        </row>
        <row r="562">
          <cell r="A562">
            <v>0</v>
          </cell>
          <cell r="B562" t="str">
            <v>VL177</v>
          </cell>
          <cell r="C562" t="str">
            <v>Cồn công nghiệp</v>
          </cell>
          <cell r="D562" t="str">
            <v>kg</v>
          </cell>
          <cell r="E562">
            <v>0.1</v>
          </cell>
          <cell r="F562">
            <v>20000</v>
          </cell>
          <cell r="G562">
            <v>2000</v>
          </cell>
          <cell r="H562">
            <v>0</v>
          </cell>
          <cell r="I562">
            <v>0</v>
          </cell>
        </row>
        <row r="563">
          <cell r="A563">
            <v>0</v>
          </cell>
          <cell r="B563" t="str">
            <v>VL179</v>
          </cell>
          <cell r="C563" t="str">
            <v>Băng cách điện</v>
          </cell>
          <cell r="D563" t="str">
            <v>cuộn</v>
          </cell>
          <cell r="E563">
            <v>0.04</v>
          </cell>
          <cell r="F563">
            <v>5000</v>
          </cell>
          <cell r="G563">
            <v>200</v>
          </cell>
          <cell r="H563">
            <v>0</v>
          </cell>
          <cell r="I563">
            <v>0</v>
          </cell>
        </row>
        <row r="564">
          <cell r="A564">
            <v>0</v>
          </cell>
          <cell r="B564" t="str">
            <v>VL198</v>
          </cell>
          <cell r="C564" t="str">
            <v>Dây điện 2x1,5mm2</v>
          </cell>
          <cell r="D564" t="str">
            <v>m</v>
          </cell>
          <cell r="E564">
            <v>0.2</v>
          </cell>
          <cell r="F564">
            <v>9027.2727272727261</v>
          </cell>
          <cell r="G564">
            <v>1805.4545454545453</v>
          </cell>
          <cell r="H564">
            <v>0</v>
          </cell>
          <cell r="I564">
            <v>0</v>
          </cell>
        </row>
        <row r="565">
          <cell r="A565">
            <v>0</v>
          </cell>
          <cell r="B565">
            <v>0</v>
          </cell>
          <cell r="C565" t="str">
            <v>Nhân công</v>
          </cell>
          <cell r="D565">
            <v>0</v>
          </cell>
          <cell r="E565">
            <v>0</v>
          </cell>
          <cell r="F565">
            <v>0</v>
          </cell>
          <cell r="G565">
            <v>0</v>
          </cell>
          <cell r="H565">
            <v>0</v>
          </cell>
          <cell r="I565">
            <v>0</v>
          </cell>
        </row>
        <row r="566">
          <cell r="A566">
            <v>0</v>
          </cell>
          <cell r="B566" t="str">
            <v>KS4</v>
          </cell>
          <cell r="C566" t="str">
            <v>Kỹ sư bậc 4,0/8</v>
          </cell>
          <cell r="D566" t="str">
            <v>công</v>
          </cell>
          <cell r="E566">
            <v>1.1499999999999999</v>
          </cell>
          <cell r="F566">
            <v>237000</v>
          </cell>
          <cell r="G566">
            <v>0</v>
          </cell>
          <cell r="H566">
            <v>272550</v>
          </cell>
          <cell r="I566">
            <v>0</v>
          </cell>
        </row>
        <row r="567">
          <cell r="A567">
            <v>0</v>
          </cell>
          <cell r="B567" t="str">
            <v>N4507</v>
          </cell>
          <cell r="C567" t="str">
            <v xml:space="preserve"> Nhân công bậc 5,0/7 - Nhóm 4</v>
          </cell>
          <cell r="D567" t="str">
            <v>công</v>
          </cell>
          <cell r="E567">
            <v>0.49</v>
          </cell>
          <cell r="F567">
            <v>302486.8421052632</v>
          </cell>
          <cell r="G567">
            <v>0</v>
          </cell>
          <cell r="H567">
            <v>148218.55263157896</v>
          </cell>
          <cell r="I567">
            <v>0</v>
          </cell>
        </row>
        <row r="568">
          <cell r="A568">
            <v>0</v>
          </cell>
          <cell r="B568">
            <v>0</v>
          </cell>
          <cell r="C568" t="str">
            <v>Máy thi công</v>
          </cell>
          <cell r="D568">
            <v>0</v>
          </cell>
          <cell r="E568">
            <v>0</v>
          </cell>
          <cell r="F568">
            <v>0</v>
          </cell>
          <cell r="G568">
            <v>0</v>
          </cell>
          <cell r="H568">
            <v>0</v>
          </cell>
          <cell r="I568">
            <v>0</v>
          </cell>
        </row>
        <row r="569">
          <cell r="A569">
            <v>0</v>
          </cell>
          <cell r="B569" t="str">
            <v>M203.0025</v>
          </cell>
          <cell r="C569" t="str">
            <v>Megôm met</v>
          </cell>
          <cell r="D569" t="str">
            <v>ca</v>
          </cell>
          <cell r="E569">
            <v>0.04</v>
          </cell>
          <cell r="F569">
            <v>40127.500000000007</v>
          </cell>
          <cell r="G569">
            <v>0</v>
          </cell>
          <cell r="H569">
            <v>0</v>
          </cell>
          <cell r="I569">
            <v>1605.1000000000004</v>
          </cell>
        </row>
        <row r="570">
          <cell r="A570">
            <v>0</v>
          </cell>
          <cell r="B570" t="str">
            <v>M203.0005</v>
          </cell>
          <cell r="C570" t="str">
            <v>Hợp bộ đo lường</v>
          </cell>
          <cell r="D570" t="str">
            <v>ca</v>
          </cell>
          <cell r="E570">
            <v>0.05</v>
          </cell>
          <cell r="F570">
            <v>752668.63636363659</v>
          </cell>
          <cell r="G570">
            <v>0</v>
          </cell>
          <cell r="H570">
            <v>0</v>
          </cell>
          <cell r="I570">
            <v>37633.431818181831</v>
          </cell>
        </row>
        <row r="571">
          <cell r="A571">
            <v>0</v>
          </cell>
          <cell r="B571" t="str">
            <v>M203.0007</v>
          </cell>
          <cell r="C571" t="str">
            <v>Hợp bộ thí nghiệm cao áp</v>
          </cell>
          <cell r="D571" t="str">
            <v>ca</v>
          </cell>
          <cell r="E571">
            <v>0</v>
          </cell>
          <cell r="F571">
            <v>403740.11363636365</v>
          </cell>
          <cell r="G571">
            <v>0</v>
          </cell>
          <cell r="H571">
            <v>0</v>
          </cell>
          <cell r="I571">
            <v>0</v>
          </cell>
        </row>
        <row r="572">
          <cell r="A572">
            <v>0</v>
          </cell>
          <cell r="B572" t="str">
            <v>M203.0014</v>
          </cell>
          <cell r="C572" t="str">
            <v>Máy đo điện trở một chiều</v>
          </cell>
          <cell r="D572" t="str">
            <v>ca</v>
          </cell>
          <cell r="E572">
            <v>0.04</v>
          </cell>
          <cell r="F572">
            <v>142909.77272727276</v>
          </cell>
          <cell r="G572">
            <v>0</v>
          </cell>
          <cell r="H572">
            <v>0</v>
          </cell>
          <cell r="I572">
            <v>5716.390909090911</v>
          </cell>
        </row>
        <row r="573">
          <cell r="A573">
            <v>0</v>
          </cell>
          <cell r="B573" t="str">
            <v>M203.0019</v>
          </cell>
          <cell r="C573" t="str">
            <v>Máy đo tỷ số biến</v>
          </cell>
          <cell r="D573" t="str">
            <v>ca</v>
          </cell>
          <cell r="E573">
            <v>0.185</v>
          </cell>
          <cell r="F573">
            <v>120291.81818181821</v>
          </cell>
          <cell r="G573">
            <v>0</v>
          </cell>
          <cell r="H573">
            <v>0</v>
          </cell>
          <cell r="I573">
            <v>22253.986363636366</v>
          </cell>
        </row>
        <row r="574">
          <cell r="A574" t="str">
            <v>EA.42020</v>
          </cell>
          <cell r="B574">
            <v>0</v>
          </cell>
          <cell r="C574" t="str">
            <v>Thí nghiệm biến dòng điện 1 pha - U &lt;=15kV</v>
          </cell>
          <cell r="D574" t="str">
            <v>Máy</v>
          </cell>
          <cell r="E574">
            <v>0</v>
          </cell>
          <cell r="F574">
            <v>0</v>
          </cell>
          <cell r="G574">
            <v>13322.075054545454</v>
          </cell>
          <cell r="H574">
            <v>844561.97368421056</v>
          </cell>
          <cell r="I574">
            <v>141795.76250000004</v>
          </cell>
        </row>
        <row r="575">
          <cell r="A575">
            <v>0</v>
          </cell>
          <cell r="B575">
            <v>0</v>
          </cell>
          <cell r="C575" t="str">
            <v>Vật liệu</v>
          </cell>
          <cell r="D575">
            <v>0</v>
          </cell>
          <cell r="E575">
            <v>0</v>
          </cell>
          <cell r="F575">
            <v>0</v>
          </cell>
          <cell r="G575">
            <v>0</v>
          </cell>
          <cell r="H575">
            <v>0</v>
          </cell>
          <cell r="I575">
            <v>0</v>
          </cell>
        </row>
        <row r="576">
          <cell r="A576">
            <v>0</v>
          </cell>
          <cell r="B576" t="str">
            <v>VL221</v>
          </cell>
          <cell r="C576" t="str">
            <v>Điện năng</v>
          </cell>
          <cell r="D576" t="str">
            <v>Kwh</v>
          </cell>
          <cell r="E576">
            <v>0.96</v>
          </cell>
          <cell r="F576">
            <v>1622.01</v>
          </cell>
          <cell r="G576">
            <v>1557.1296</v>
          </cell>
          <cell r="H576">
            <v>0</v>
          </cell>
          <cell r="I576">
            <v>0</v>
          </cell>
        </row>
        <row r="577">
          <cell r="A577">
            <v>0</v>
          </cell>
          <cell r="B577" t="str">
            <v>VL176</v>
          </cell>
          <cell r="C577" t="str">
            <v>Giẻ lau</v>
          </cell>
          <cell r="D577" t="str">
            <v>kg</v>
          </cell>
          <cell r="E577">
            <v>9.6000000000000002E-2</v>
          </cell>
          <cell r="F577">
            <v>5000</v>
          </cell>
          <cell r="G577">
            <v>480</v>
          </cell>
          <cell r="H577">
            <v>0</v>
          </cell>
          <cell r="I577">
            <v>0</v>
          </cell>
        </row>
        <row r="578">
          <cell r="A578">
            <v>0</v>
          </cell>
          <cell r="B578" t="str">
            <v>VL186</v>
          </cell>
          <cell r="C578" t="str">
            <v>Giấy nhám số 0</v>
          </cell>
          <cell r="D578" t="str">
            <v>tờ</v>
          </cell>
          <cell r="E578">
            <v>9.6000000000000002E-2</v>
          </cell>
          <cell r="F578">
            <v>2000</v>
          </cell>
          <cell r="G578">
            <v>192</v>
          </cell>
          <cell r="H578">
            <v>0</v>
          </cell>
          <cell r="I578">
            <v>0</v>
          </cell>
        </row>
        <row r="579">
          <cell r="A579">
            <v>0</v>
          </cell>
          <cell r="B579" t="str">
            <v>VL177</v>
          </cell>
          <cell r="C579" t="str">
            <v>Cồn công nghiệp</v>
          </cell>
          <cell r="D579" t="str">
            <v>kg</v>
          </cell>
          <cell r="E579">
            <v>0.192</v>
          </cell>
          <cell r="F579">
            <v>20000</v>
          </cell>
          <cell r="G579">
            <v>3840</v>
          </cell>
          <cell r="H579">
            <v>0</v>
          </cell>
          <cell r="I579">
            <v>0</v>
          </cell>
        </row>
        <row r="580">
          <cell r="A580">
            <v>0</v>
          </cell>
          <cell r="B580" t="str">
            <v>VL179</v>
          </cell>
          <cell r="C580" t="str">
            <v>Băng cách điện</v>
          </cell>
          <cell r="D580" t="str">
            <v>cuộn</v>
          </cell>
          <cell r="E580">
            <v>6.4000000000000001E-2</v>
          </cell>
          <cell r="F580">
            <v>5000</v>
          </cell>
          <cell r="G580">
            <v>320</v>
          </cell>
          <cell r="H580">
            <v>0</v>
          </cell>
          <cell r="I580">
            <v>0</v>
          </cell>
        </row>
        <row r="581">
          <cell r="A581">
            <v>0</v>
          </cell>
          <cell r="B581" t="str">
            <v>VL198</v>
          </cell>
          <cell r="C581" t="str">
            <v>Dây điện 2x1,5mm2</v>
          </cell>
          <cell r="D581" t="str">
            <v>m</v>
          </cell>
          <cell r="E581">
            <v>0.76800000000000002</v>
          </cell>
          <cell r="F581">
            <v>9027.2727272727261</v>
          </cell>
          <cell r="G581">
            <v>6932.9454545454537</v>
          </cell>
          <cell r="H581">
            <v>0</v>
          </cell>
          <cell r="I581">
            <v>0</v>
          </cell>
        </row>
        <row r="582">
          <cell r="A582">
            <v>0</v>
          </cell>
          <cell r="B582">
            <v>0</v>
          </cell>
          <cell r="C582" t="str">
            <v>Nhân công</v>
          </cell>
          <cell r="D582">
            <v>0</v>
          </cell>
          <cell r="E582">
            <v>0</v>
          </cell>
          <cell r="F582">
            <v>0</v>
          </cell>
          <cell r="G582">
            <v>0</v>
          </cell>
          <cell r="H582">
            <v>0</v>
          </cell>
          <cell r="I582">
            <v>0</v>
          </cell>
        </row>
        <row r="583">
          <cell r="A583">
            <v>0</v>
          </cell>
          <cell r="B583" t="str">
            <v>KS4</v>
          </cell>
          <cell r="C583" t="str">
            <v>Kỹ sư bậc 4,0/8</v>
          </cell>
          <cell r="D583" t="str">
            <v>công</v>
          </cell>
          <cell r="E583">
            <v>2.2999999999999998</v>
          </cell>
          <cell r="F583">
            <v>237000</v>
          </cell>
          <cell r="G583">
            <v>0</v>
          </cell>
          <cell r="H583">
            <v>545100</v>
          </cell>
          <cell r="I583">
            <v>0</v>
          </cell>
        </row>
        <row r="584">
          <cell r="A584">
            <v>0</v>
          </cell>
          <cell r="B584" t="str">
            <v>N4507</v>
          </cell>
          <cell r="C584" t="str">
            <v xml:space="preserve"> Nhân công bậc 5,0/7 - Nhóm 4</v>
          </cell>
          <cell r="D584" t="str">
            <v>công</v>
          </cell>
          <cell r="E584">
            <v>0.99</v>
          </cell>
          <cell r="F584">
            <v>302486.8421052632</v>
          </cell>
          <cell r="G584">
            <v>0</v>
          </cell>
          <cell r="H584">
            <v>299461.97368421056</v>
          </cell>
          <cell r="I584">
            <v>0</v>
          </cell>
        </row>
        <row r="585">
          <cell r="A585">
            <v>0</v>
          </cell>
          <cell r="B585">
            <v>0</v>
          </cell>
          <cell r="C585" t="str">
            <v>Máy thi công</v>
          </cell>
          <cell r="D585">
            <v>0</v>
          </cell>
          <cell r="E585">
            <v>0</v>
          </cell>
          <cell r="F585">
            <v>0</v>
          </cell>
          <cell r="G585">
            <v>0</v>
          </cell>
          <cell r="H585">
            <v>0</v>
          </cell>
          <cell r="I585">
            <v>0</v>
          </cell>
        </row>
        <row r="586">
          <cell r="A586">
            <v>0</v>
          </cell>
          <cell r="B586" t="str">
            <v>M203.0025</v>
          </cell>
          <cell r="C586" t="str">
            <v>Megôm met</v>
          </cell>
          <cell r="D586" t="str">
            <v>ca</v>
          </cell>
          <cell r="E586">
            <v>6.5000000000000002E-2</v>
          </cell>
          <cell r="F586">
            <v>40127.500000000007</v>
          </cell>
          <cell r="G586">
            <v>0</v>
          </cell>
          <cell r="H586">
            <v>0</v>
          </cell>
          <cell r="I586">
            <v>2608.2875000000004</v>
          </cell>
        </row>
        <row r="587">
          <cell r="A587">
            <v>0</v>
          </cell>
          <cell r="B587" t="str">
            <v>M203.0005</v>
          </cell>
          <cell r="C587" t="str">
            <v>Hợp bộ đo lường</v>
          </cell>
          <cell r="D587" t="str">
            <v>ca</v>
          </cell>
          <cell r="E587">
            <v>9.7000000000000003E-2</v>
          </cell>
          <cell r="F587">
            <v>752668.63636363659</v>
          </cell>
          <cell r="G587">
            <v>0</v>
          </cell>
          <cell r="H587">
            <v>0</v>
          </cell>
          <cell r="I587">
            <v>73008.857727272756</v>
          </cell>
        </row>
        <row r="588">
          <cell r="A588">
            <v>0</v>
          </cell>
          <cell r="B588" t="str">
            <v>M203.0007</v>
          </cell>
          <cell r="C588" t="str">
            <v>Hợp bộ thí nghiệm cao áp</v>
          </cell>
          <cell r="D588" t="str">
            <v>ca</v>
          </cell>
          <cell r="E588">
            <v>0.108</v>
          </cell>
          <cell r="F588">
            <v>403740.11363636365</v>
          </cell>
          <cell r="G588">
            <v>0</v>
          </cell>
          <cell r="H588">
            <v>0</v>
          </cell>
          <cell r="I588">
            <v>43603.932272727274</v>
          </cell>
        </row>
        <row r="589">
          <cell r="A589">
            <v>0</v>
          </cell>
          <cell r="B589" t="str">
            <v>M203.0014</v>
          </cell>
          <cell r="C589" t="str">
            <v>Máy đo điện trở một chiều</v>
          </cell>
          <cell r="D589" t="str">
            <v>ca</v>
          </cell>
          <cell r="E589">
            <v>7.8E-2</v>
          </cell>
          <cell r="F589">
            <v>142909.77272727276</v>
          </cell>
          <cell r="G589">
            <v>0</v>
          </cell>
          <cell r="H589">
            <v>0</v>
          </cell>
          <cell r="I589">
            <v>11146.962272727276</v>
          </cell>
        </row>
        <row r="590">
          <cell r="A590">
            <v>0</v>
          </cell>
          <cell r="B590" t="str">
            <v>M203.0019</v>
          </cell>
          <cell r="C590" t="str">
            <v>Máy đo tỷ số biến</v>
          </cell>
          <cell r="D590" t="str">
            <v>ca</v>
          </cell>
          <cell r="E590">
            <v>9.5000000000000001E-2</v>
          </cell>
          <cell r="F590">
            <v>120291.81818181821</v>
          </cell>
          <cell r="G590">
            <v>0</v>
          </cell>
          <cell r="H590">
            <v>0</v>
          </cell>
          <cell r="I590">
            <v>11427.72272727273</v>
          </cell>
        </row>
        <row r="591">
          <cell r="A591" t="str">
            <v>EA.42030</v>
          </cell>
          <cell r="B591">
            <v>0</v>
          </cell>
          <cell r="C591" t="str">
            <v>Thí nghiệm biến dòng điện 1 pha - U 22-35kV</v>
          </cell>
          <cell r="D591" t="str">
            <v>Máy</v>
          </cell>
          <cell r="E591">
            <v>0</v>
          </cell>
          <cell r="F591">
            <v>0</v>
          </cell>
          <cell r="G591">
            <v>16652.593818181816</v>
          </cell>
          <cell r="H591">
            <v>1052248.8157894737</v>
          </cell>
          <cell r="I591">
            <v>180644.79443181824</v>
          </cell>
        </row>
        <row r="592">
          <cell r="A592">
            <v>0</v>
          </cell>
          <cell r="B592">
            <v>0</v>
          </cell>
          <cell r="C592" t="str">
            <v>Vật liệu</v>
          </cell>
          <cell r="D592">
            <v>0</v>
          </cell>
          <cell r="E592">
            <v>0</v>
          </cell>
          <cell r="F592">
            <v>0</v>
          </cell>
          <cell r="G592">
            <v>0</v>
          </cell>
          <cell r="H592">
            <v>0</v>
          </cell>
          <cell r="I592">
            <v>0</v>
          </cell>
        </row>
        <row r="593">
          <cell r="A593">
            <v>0</v>
          </cell>
          <cell r="B593" t="str">
            <v>VL221</v>
          </cell>
          <cell r="C593" t="str">
            <v>Điện năng</v>
          </cell>
          <cell r="D593" t="str">
            <v>Kwh</v>
          </cell>
          <cell r="E593">
            <v>1.2</v>
          </cell>
          <cell r="F593">
            <v>1622.01</v>
          </cell>
          <cell r="G593">
            <v>1946.4119999999998</v>
          </cell>
          <cell r="H593">
            <v>0</v>
          </cell>
          <cell r="I593">
            <v>0</v>
          </cell>
        </row>
        <row r="594">
          <cell r="A594">
            <v>0</v>
          </cell>
          <cell r="B594" t="str">
            <v>VL176</v>
          </cell>
          <cell r="C594" t="str">
            <v>Giẻ lau</v>
          </cell>
          <cell r="D594" t="str">
            <v>kg</v>
          </cell>
          <cell r="E594">
            <v>0.12</v>
          </cell>
          <cell r="F594">
            <v>5000</v>
          </cell>
          <cell r="G594">
            <v>600</v>
          </cell>
          <cell r="H594">
            <v>0</v>
          </cell>
          <cell r="I594">
            <v>0</v>
          </cell>
        </row>
        <row r="595">
          <cell r="A595">
            <v>0</v>
          </cell>
          <cell r="B595" t="str">
            <v>VL186</v>
          </cell>
          <cell r="C595" t="str">
            <v>Giấy nhám số 0</v>
          </cell>
          <cell r="D595" t="str">
            <v>tờ</v>
          </cell>
          <cell r="E595">
            <v>0.12</v>
          </cell>
          <cell r="F595">
            <v>2000</v>
          </cell>
          <cell r="G595">
            <v>240</v>
          </cell>
          <cell r="H595">
            <v>0</v>
          </cell>
          <cell r="I595">
            <v>0</v>
          </cell>
        </row>
        <row r="596">
          <cell r="A596">
            <v>0</v>
          </cell>
          <cell r="B596" t="str">
            <v>VL177</v>
          </cell>
          <cell r="C596" t="str">
            <v>Cồn công nghiệp</v>
          </cell>
          <cell r="D596" t="str">
            <v>kg</v>
          </cell>
          <cell r="E596">
            <v>0.24</v>
          </cell>
          <cell r="F596">
            <v>20000</v>
          </cell>
          <cell r="G596">
            <v>4800</v>
          </cell>
          <cell r="H596">
            <v>0</v>
          </cell>
          <cell r="I596">
            <v>0</v>
          </cell>
        </row>
        <row r="597">
          <cell r="A597">
            <v>0</v>
          </cell>
          <cell r="B597" t="str">
            <v>VL179</v>
          </cell>
          <cell r="C597" t="str">
            <v>Băng cách điện</v>
          </cell>
          <cell r="D597" t="str">
            <v>cuộn</v>
          </cell>
          <cell r="E597">
            <v>0.08</v>
          </cell>
          <cell r="F597">
            <v>5000</v>
          </cell>
          <cell r="G597">
            <v>400</v>
          </cell>
          <cell r="H597">
            <v>0</v>
          </cell>
          <cell r="I597">
            <v>0</v>
          </cell>
        </row>
        <row r="598">
          <cell r="A598">
            <v>0</v>
          </cell>
          <cell r="B598" t="str">
            <v>VL198</v>
          </cell>
          <cell r="C598" t="str">
            <v>Dây điện 2x1,5mm2</v>
          </cell>
          <cell r="D598" t="str">
            <v>m</v>
          </cell>
          <cell r="E598">
            <v>0.96</v>
          </cell>
          <cell r="F598">
            <v>9027.2727272727261</v>
          </cell>
          <cell r="G598">
            <v>8666.1818181818162</v>
          </cell>
          <cell r="H598">
            <v>0</v>
          </cell>
          <cell r="I598">
            <v>0</v>
          </cell>
        </row>
        <row r="599">
          <cell r="A599">
            <v>0</v>
          </cell>
          <cell r="B599">
            <v>0</v>
          </cell>
          <cell r="C599" t="str">
            <v>Nhân công</v>
          </cell>
          <cell r="D599">
            <v>0</v>
          </cell>
          <cell r="E599">
            <v>0</v>
          </cell>
          <cell r="F599">
            <v>0</v>
          </cell>
          <cell r="G599">
            <v>0</v>
          </cell>
          <cell r="H599">
            <v>0</v>
          </cell>
          <cell r="I599">
            <v>0</v>
          </cell>
        </row>
        <row r="600">
          <cell r="A600">
            <v>0</v>
          </cell>
          <cell r="B600" t="str">
            <v>KS4</v>
          </cell>
          <cell r="C600" t="str">
            <v>Kỹ sư bậc 4,0/8</v>
          </cell>
          <cell r="D600" t="str">
            <v>công</v>
          </cell>
          <cell r="E600">
            <v>2.87</v>
          </cell>
          <cell r="F600">
            <v>237000</v>
          </cell>
          <cell r="G600">
            <v>0</v>
          </cell>
          <cell r="H600">
            <v>680190</v>
          </cell>
          <cell r="I600">
            <v>0</v>
          </cell>
        </row>
        <row r="601">
          <cell r="A601">
            <v>0</v>
          </cell>
          <cell r="B601" t="str">
            <v>N4507</v>
          </cell>
          <cell r="C601" t="str">
            <v xml:space="preserve"> Nhân công bậc 5,0/7 - Nhóm 4</v>
          </cell>
          <cell r="D601" t="str">
            <v>công</v>
          </cell>
          <cell r="E601">
            <v>1.23</v>
          </cell>
          <cell r="F601">
            <v>302486.8421052632</v>
          </cell>
          <cell r="G601">
            <v>0</v>
          </cell>
          <cell r="H601">
            <v>372058.81578947371</v>
          </cell>
          <cell r="I601">
            <v>0</v>
          </cell>
        </row>
        <row r="602">
          <cell r="A602">
            <v>0</v>
          </cell>
          <cell r="B602">
            <v>0</v>
          </cell>
          <cell r="C602" t="str">
            <v>Máy thi công</v>
          </cell>
          <cell r="D602">
            <v>0</v>
          </cell>
          <cell r="E602">
            <v>0</v>
          </cell>
          <cell r="F602">
            <v>0</v>
          </cell>
          <cell r="G602">
            <v>0</v>
          </cell>
          <cell r="H602">
            <v>0</v>
          </cell>
          <cell r="I602">
            <v>0</v>
          </cell>
        </row>
        <row r="603">
          <cell r="A603">
            <v>0</v>
          </cell>
          <cell r="B603" t="str">
            <v>M203.0025</v>
          </cell>
          <cell r="C603" t="str">
            <v>Megôm met</v>
          </cell>
          <cell r="D603" t="str">
            <v>ca</v>
          </cell>
          <cell r="E603">
            <v>8.1000000000000003E-2</v>
          </cell>
          <cell r="F603">
            <v>40127.500000000007</v>
          </cell>
          <cell r="G603">
            <v>0</v>
          </cell>
          <cell r="H603">
            <v>0</v>
          </cell>
          <cell r="I603">
            <v>3250.3275000000008</v>
          </cell>
        </row>
        <row r="604">
          <cell r="A604">
            <v>0</v>
          </cell>
          <cell r="B604" t="str">
            <v>M203.0005</v>
          </cell>
          <cell r="C604" t="str">
            <v>Hợp bộ đo lường</v>
          </cell>
          <cell r="D604" t="str">
            <v>ca</v>
          </cell>
          <cell r="E604">
            <v>0.122</v>
          </cell>
          <cell r="F604">
            <v>752668.63636363659</v>
          </cell>
          <cell r="G604">
            <v>0</v>
          </cell>
          <cell r="H604">
            <v>0</v>
          </cell>
          <cell r="I604">
            <v>91825.573636363668</v>
          </cell>
        </row>
        <row r="605">
          <cell r="A605">
            <v>0</v>
          </cell>
          <cell r="B605" t="str">
            <v>M203.0007</v>
          </cell>
          <cell r="C605" t="str">
            <v>Hợp bộ thí nghiệm cao áp</v>
          </cell>
          <cell r="D605" t="str">
            <v>ca</v>
          </cell>
          <cell r="E605">
            <v>0.13500000000000001</v>
          </cell>
          <cell r="F605">
            <v>403740.11363636365</v>
          </cell>
          <cell r="G605">
            <v>0</v>
          </cell>
          <cell r="H605">
            <v>0</v>
          </cell>
          <cell r="I605">
            <v>54504.915340909094</v>
          </cell>
        </row>
        <row r="606">
          <cell r="A606">
            <v>0</v>
          </cell>
          <cell r="B606" t="str">
            <v>M203.0014</v>
          </cell>
          <cell r="C606" t="str">
            <v>Máy đo điện trở một chiều</v>
          </cell>
          <cell r="D606" t="str">
            <v>ca</v>
          </cell>
          <cell r="E606">
            <v>9.7000000000000003E-2</v>
          </cell>
          <cell r="F606">
            <v>142909.77272727276</v>
          </cell>
          <cell r="G606">
            <v>0</v>
          </cell>
          <cell r="H606">
            <v>0</v>
          </cell>
          <cell r="I606">
            <v>13862.247954545459</v>
          </cell>
        </row>
        <row r="607">
          <cell r="A607">
            <v>0</v>
          </cell>
          <cell r="B607" t="str">
            <v>M203.0019</v>
          </cell>
          <cell r="C607" t="str">
            <v>Máy đo tỷ số biến</v>
          </cell>
          <cell r="D607" t="str">
            <v>ca</v>
          </cell>
          <cell r="E607">
            <v>0.14299999999999999</v>
          </cell>
          <cell r="F607">
            <v>120291.81818181821</v>
          </cell>
          <cell r="G607">
            <v>0</v>
          </cell>
          <cell r="H607">
            <v>0</v>
          </cell>
          <cell r="I607">
            <v>17201.730000000003</v>
          </cell>
        </row>
        <row r="608">
          <cell r="A608" t="str">
            <v>EA.51010</v>
          </cell>
          <cell r="B608">
            <v>0</v>
          </cell>
          <cell r="C608" t="str">
            <v>Thí nghiệm kháng điện dầu 1 pha - U &lt;=35kV</v>
          </cell>
          <cell r="D608" t="str">
            <v>bộ</v>
          </cell>
          <cell r="E608">
            <v>0</v>
          </cell>
          <cell r="F608">
            <v>0</v>
          </cell>
          <cell r="G608">
            <v>22701.03</v>
          </cell>
          <cell r="H608">
            <v>1701628.8157894737</v>
          </cell>
          <cell r="I608">
            <v>225551.6671015585</v>
          </cell>
        </row>
        <row r="609">
          <cell r="A609">
            <v>0</v>
          </cell>
          <cell r="B609">
            <v>0</v>
          </cell>
          <cell r="C609" t="str">
            <v>Vật liệu</v>
          </cell>
          <cell r="D609">
            <v>0</v>
          </cell>
          <cell r="E609">
            <v>0</v>
          </cell>
          <cell r="F609">
            <v>0</v>
          </cell>
          <cell r="G609">
            <v>0</v>
          </cell>
          <cell r="H609">
            <v>0</v>
          </cell>
          <cell r="I609">
            <v>0</v>
          </cell>
        </row>
        <row r="610">
          <cell r="A610">
            <v>0</v>
          </cell>
          <cell r="B610" t="str">
            <v>VL221</v>
          </cell>
          <cell r="C610" t="str">
            <v>Điện năng</v>
          </cell>
          <cell r="D610" t="str">
            <v>Kwh</v>
          </cell>
          <cell r="E610">
            <v>1</v>
          </cell>
          <cell r="F610">
            <v>1622.01</v>
          </cell>
          <cell r="G610">
            <v>1622.01</v>
          </cell>
          <cell r="H610">
            <v>0</v>
          </cell>
          <cell r="I610">
            <v>0</v>
          </cell>
        </row>
        <row r="611">
          <cell r="A611">
            <v>0</v>
          </cell>
          <cell r="B611" t="str">
            <v>VL188</v>
          </cell>
          <cell r="C611" t="str">
            <v>Vải phin trắng 0,8m</v>
          </cell>
          <cell r="D611" t="str">
            <v>m</v>
          </cell>
          <cell r="E611">
            <v>0.23300000000000001</v>
          </cell>
          <cell r="F611">
            <v>8000</v>
          </cell>
          <cell r="G611">
            <v>1864</v>
          </cell>
          <cell r="H611">
            <v>0</v>
          </cell>
          <cell r="I611">
            <v>0</v>
          </cell>
        </row>
        <row r="612">
          <cell r="A612">
            <v>0</v>
          </cell>
          <cell r="B612" t="str">
            <v>VL176</v>
          </cell>
          <cell r="C612" t="str">
            <v>Giẻ lau</v>
          </cell>
          <cell r="D612" t="str">
            <v>kg</v>
          </cell>
          <cell r="E612">
            <v>0.16700000000000001</v>
          </cell>
          <cell r="F612">
            <v>5000</v>
          </cell>
          <cell r="G612">
            <v>835</v>
          </cell>
          <cell r="H612">
            <v>0</v>
          </cell>
          <cell r="I612">
            <v>0</v>
          </cell>
        </row>
        <row r="613">
          <cell r="A613">
            <v>0</v>
          </cell>
          <cell r="B613" t="str">
            <v>VL179</v>
          </cell>
          <cell r="C613" t="str">
            <v>Băng cách điện</v>
          </cell>
          <cell r="D613" t="str">
            <v>cuộn</v>
          </cell>
          <cell r="E613">
            <v>0.16700000000000001</v>
          </cell>
          <cell r="F613">
            <v>5000</v>
          </cell>
          <cell r="G613">
            <v>835</v>
          </cell>
          <cell r="H613">
            <v>0</v>
          </cell>
          <cell r="I613">
            <v>0</v>
          </cell>
        </row>
        <row r="614">
          <cell r="A614">
            <v>0</v>
          </cell>
          <cell r="B614" t="str">
            <v>VL177</v>
          </cell>
          <cell r="C614" t="str">
            <v>Cồn công nghiệp</v>
          </cell>
          <cell r="D614" t="str">
            <v>kg</v>
          </cell>
          <cell r="E614">
            <v>0.16700000000000001</v>
          </cell>
          <cell r="F614">
            <v>20000</v>
          </cell>
          <cell r="G614">
            <v>3340</v>
          </cell>
          <cell r="H614">
            <v>0</v>
          </cell>
          <cell r="I614">
            <v>0</v>
          </cell>
        </row>
        <row r="615">
          <cell r="A615">
            <v>0</v>
          </cell>
          <cell r="B615" t="str">
            <v>VL186</v>
          </cell>
          <cell r="C615" t="str">
            <v>Giấy nhám số 0</v>
          </cell>
          <cell r="D615" t="str">
            <v>tờ</v>
          </cell>
          <cell r="E615">
            <v>0.4</v>
          </cell>
          <cell r="F615">
            <v>2000</v>
          </cell>
          <cell r="G615">
            <v>800</v>
          </cell>
          <cell r="H615">
            <v>0</v>
          </cell>
          <cell r="I615">
            <v>0</v>
          </cell>
        </row>
        <row r="616">
          <cell r="A616">
            <v>0</v>
          </cell>
          <cell r="B616" t="str">
            <v>VL198</v>
          </cell>
          <cell r="C616" t="str">
            <v>Dây điện 2x1,5mm2</v>
          </cell>
          <cell r="D616" t="str">
            <v>m</v>
          </cell>
          <cell r="E616">
            <v>0.66700000000000004</v>
          </cell>
          <cell r="F616">
            <v>9027.2727272727261</v>
          </cell>
          <cell r="G616">
            <v>6021.1909090909085</v>
          </cell>
          <cell r="H616">
            <v>0</v>
          </cell>
          <cell r="I616">
            <v>0</v>
          </cell>
        </row>
        <row r="617">
          <cell r="A617">
            <v>0</v>
          </cell>
          <cell r="B617" t="str">
            <v>VL199</v>
          </cell>
          <cell r="C617" t="str">
            <v>Dây điện 7x2,5mm2</v>
          </cell>
          <cell r="D617" t="str">
            <v>m</v>
          </cell>
          <cell r="E617">
            <v>0.16700000000000001</v>
          </cell>
          <cell r="F617">
            <v>44214.545454545449</v>
          </cell>
          <cell r="G617">
            <v>7383.8290909090902</v>
          </cell>
          <cell r="H617">
            <v>0</v>
          </cell>
          <cell r="I617">
            <v>0</v>
          </cell>
        </row>
        <row r="618">
          <cell r="A618">
            <v>0</v>
          </cell>
          <cell r="B618">
            <v>0</v>
          </cell>
          <cell r="C618" t="str">
            <v>Nhân công</v>
          </cell>
          <cell r="D618">
            <v>0</v>
          </cell>
          <cell r="E618">
            <v>0</v>
          </cell>
          <cell r="F618">
            <v>0</v>
          </cell>
          <cell r="G618">
            <v>0</v>
          </cell>
          <cell r="H618">
            <v>0</v>
          </cell>
          <cell r="I618">
            <v>0</v>
          </cell>
        </row>
        <row r="619">
          <cell r="A619">
            <v>0</v>
          </cell>
          <cell r="B619" t="str">
            <v>KS4</v>
          </cell>
          <cell r="C619" t="str">
            <v>Kỹ sư bậc 4,0/8</v>
          </cell>
          <cell r="D619" t="str">
            <v>công</v>
          </cell>
          <cell r="E619">
            <v>4.6399999999999997</v>
          </cell>
          <cell r="F619">
            <v>237000</v>
          </cell>
          <cell r="G619">
            <v>0</v>
          </cell>
          <cell r="H619">
            <v>1099680</v>
          </cell>
          <cell r="I619">
            <v>0</v>
          </cell>
        </row>
        <row r="620">
          <cell r="A620">
            <v>0</v>
          </cell>
          <cell r="B620" t="str">
            <v>N4507</v>
          </cell>
          <cell r="C620" t="str">
            <v xml:space="preserve"> Nhân công bậc 5,0/7 - Nhóm 4</v>
          </cell>
          <cell r="D620" t="str">
            <v>công</v>
          </cell>
          <cell r="E620">
            <v>1.99</v>
          </cell>
          <cell r="F620">
            <v>302486.8421052632</v>
          </cell>
          <cell r="G620">
            <v>0</v>
          </cell>
          <cell r="H620">
            <v>601948.81578947383</v>
          </cell>
          <cell r="I620">
            <v>0</v>
          </cell>
        </row>
        <row r="621">
          <cell r="A621">
            <v>0</v>
          </cell>
          <cell r="B621">
            <v>0</v>
          </cell>
          <cell r="C621" t="str">
            <v>Máy thi công</v>
          </cell>
          <cell r="D621">
            <v>0</v>
          </cell>
          <cell r="E621">
            <v>0</v>
          </cell>
          <cell r="F621">
            <v>0</v>
          </cell>
          <cell r="G621">
            <v>0</v>
          </cell>
          <cell r="H621">
            <v>0</v>
          </cell>
          <cell r="I621">
            <v>0</v>
          </cell>
        </row>
        <row r="622">
          <cell r="A622">
            <v>0</v>
          </cell>
          <cell r="B622" t="str">
            <v>M203.0004</v>
          </cell>
          <cell r="C622" t="str">
            <v>Hợp bộ đo Tg</v>
          </cell>
          <cell r="D622" t="str">
            <v>ca</v>
          </cell>
          <cell r="E622">
            <v>0</v>
          </cell>
          <cell r="F622">
            <v>796170.45454545447</v>
          </cell>
          <cell r="G622">
            <v>0</v>
          </cell>
          <cell r="H622">
            <v>0</v>
          </cell>
          <cell r="I622">
            <v>0</v>
          </cell>
        </row>
        <row r="623">
          <cell r="A623">
            <v>0</v>
          </cell>
          <cell r="B623" t="str">
            <v>M203.0025</v>
          </cell>
          <cell r="C623" t="str">
            <v>Megôm met</v>
          </cell>
          <cell r="D623" t="str">
            <v>ca</v>
          </cell>
          <cell r="E623">
            <v>0.21</v>
          </cell>
          <cell r="F623">
            <v>40127.500000000007</v>
          </cell>
          <cell r="G623">
            <v>0</v>
          </cell>
          <cell r="H623">
            <v>0</v>
          </cell>
          <cell r="I623">
            <v>8426.7750000000015</v>
          </cell>
        </row>
        <row r="624">
          <cell r="A624">
            <v>0</v>
          </cell>
          <cell r="B624" t="str">
            <v>M203.0007</v>
          </cell>
          <cell r="C624" t="str">
            <v>Hợp bộ thí nghiệm cao áp</v>
          </cell>
          <cell r="D624" t="str">
            <v>ca</v>
          </cell>
          <cell r="E624">
            <v>0.13200000000000001</v>
          </cell>
          <cell r="F624">
            <v>403740.11363636365</v>
          </cell>
          <cell r="G624">
            <v>0</v>
          </cell>
          <cell r="H624">
            <v>0</v>
          </cell>
          <cell r="I624">
            <v>53293.695000000007</v>
          </cell>
        </row>
        <row r="625">
          <cell r="A625">
            <v>0</v>
          </cell>
          <cell r="B625" t="str">
            <v>M203.0005</v>
          </cell>
          <cell r="C625" t="str">
            <v>Hợp bộ đo lường</v>
          </cell>
          <cell r="D625" t="str">
            <v>ca</v>
          </cell>
          <cell r="E625">
            <v>0.105</v>
          </cell>
          <cell r="F625">
            <v>752668.63636363659</v>
          </cell>
          <cell r="G625">
            <v>0</v>
          </cell>
          <cell r="H625">
            <v>0</v>
          </cell>
          <cell r="I625">
            <v>79030.206818181832</v>
          </cell>
        </row>
        <row r="626">
          <cell r="A626">
            <v>0</v>
          </cell>
          <cell r="B626" t="str">
            <v>M203.0014</v>
          </cell>
          <cell r="C626" t="str">
            <v>Máy đo điện trở một chiều</v>
          </cell>
          <cell r="D626" t="str">
            <v>ca</v>
          </cell>
          <cell r="E626">
            <v>8.4000000000000005E-2</v>
          </cell>
          <cell r="F626">
            <v>142909.77272727276</v>
          </cell>
          <cell r="G626">
            <v>0</v>
          </cell>
          <cell r="H626">
            <v>0</v>
          </cell>
          <cell r="I626">
            <v>12004.420909090913</v>
          </cell>
        </row>
        <row r="627">
          <cell r="A627">
            <v>0</v>
          </cell>
          <cell r="B627" t="str">
            <v>M102.1802</v>
          </cell>
          <cell r="C627" t="str">
            <v>Xe thang nâng</v>
          </cell>
          <cell r="D627" t="str">
            <v>ca</v>
          </cell>
          <cell r="E627">
            <v>0.04</v>
          </cell>
          <cell r="F627">
            <v>1819914.2343571431</v>
          </cell>
          <cell r="G627">
            <v>0</v>
          </cell>
          <cell r="H627">
            <v>0</v>
          </cell>
          <cell r="I627">
            <v>72796.569374285726</v>
          </cell>
        </row>
        <row r="628">
          <cell r="A628">
            <v>0</v>
          </cell>
          <cell r="B628" t="str">
            <v>M203.0019</v>
          </cell>
          <cell r="C628" t="str">
            <v>Máy đo tỷ số biến</v>
          </cell>
          <cell r="D628" t="str">
            <v>ca</v>
          </cell>
          <cell r="E628">
            <v>0</v>
          </cell>
          <cell r="F628">
            <v>120291.81818181821</v>
          </cell>
          <cell r="G628">
            <v>0</v>
          </cell>
          <cell r="H628">
            <v>0</v>
          </cell>
          <cell r="I628">
            <v>0</v>
          </cell>
        </row>
        <row r="629">
          <cell r="A629" t="str">
            <v>EA.51020</v>
          </cell>
          <cell r="B629">
            <v>0</v>
          </cell>
          <cell r="C629" t="str">
            <v>Thí nghiệm kháng điện dầu 1 pha - U 500kV</v>
          </cell>
          <cell r="D629" t="str">
            <v>bộ</v>
          </cell>
          <cell r="E629">
            <v>0</v>
          </cell>
          <cell r="F629">
            <v>0</v>
          </cell>
          <cell r="G629">
            <v>68027.848181818175</v>
          </cell>
          <cell r="H629">
            <v>6808885.2631578948</v>
          </cell>
          <cell r="I629">
            <v>1295349.556841617</v>
          </cell>
        </row>
        <row r="630">
          <cell r="A630">
            <v>0</v>
          </cell>
          <cell r="B630">
            <v>0</v>
          </cell>
          <cell r="C630" t="str">
            <v>Vật liệu</v>
          </cell>
          <cell r="D630">
            <v>0</v>
          </cell>
          <cell r="E630">
            <v>0</v>
          </cell>
          <cell r="F630">
            <v>0</v>
          </cell>
          <cell r="G630">
            <v>0</v>
          </cell>
          <cell r="H630">
            <v>0</v>
          </cell>
          <cell r="I630">
            <v>0</v>
          </cell>
        </row>
        <row r="631">
          <cell r="A631">
            <v>0</v>
          </cell>
          <cell r="B631" t="str">
            <v>VL221</v>
          </cell>
          <cell r="C631" t="str">
            <v>Điện năng</v>
          </cell>
          <cell r="D631" t="str">
            <v>Kwh</v>
          </cell>
          <cell r="E631">
            <v>3</v>
          </cell>
          <cell r="F631">
            <v>1622.01</v>
          </cell>
          <cell r="G631">
            <v>4866.03</v>
          </cell>
          <cell r="H631">
            <v>0</v>
          </cell>
          <cell r="I631">
            <v>0</v>
          </cell>
        </row>
        <row r="632">
          <cell r="A632">
            <v>0</v>
          </cell>
          <cell r="B632" t="str">
            <v>VL188</v>
          </cell>
          <cell r="C632" t="str">
            <v>Vải phin trắng 0,8m</v>
          </cell>
          <cell r="D632" t="str">
            <v>m</v>
          </cell>
          <cell r="E632">
            <v>0.7</v>
          </cell>
          <cell r="F632">
            <v>8000</v>
          </cell>
          <cell r="G632">
            <v>5600</v>
          </cell>
          <cell r="H632">
            <v>0</v>
          </cell>
          <cell r="I632">
            <v>0</v>
          </cell>
        </row>
        <row r="633">
          <cell r="A633">
            <v>0</v>
          </cell>
          <cell r="B633" t="str">
            <v>VL176</v>
          </cell>
          <cell r="C633" t="str">
            <v>Giẻ lau</v>
          </cell>
          <cell r="D633" t="str">
            <v>kg</v>
          </cell>
          <cell r="E633">
            <v>0.5</v>
          </cell>
          <cell r="F633">
            <v>5000</v>
          </cell>
          <cell r="G633">
            <v>2500</v>
          </cell>
          <cell r="H633">
            <v>0</v>
          </cell>
          <cell r="I633">
            <v>0</v>
          </cell>
        </row>
        <row r="634">
          <cell r="A634">
            <v>0</v>
          </cell>
          <cell r="B634" t="str">
            <v>VL179</v>
          </cell>
          <cell r="C634" t="str">
            <v>Băng cách điện</v>
          </cell>
          <cell r="D634" t="str">
            <v>cuộn</v>
          </cell>
          <cell r="E634">
            <v>0.5</v>
          </cell>
          <cell r="F634">
            <v>5000</v>
          </cell>
          <cell r="G634">
            <v>2500</v>
          </cell>
          <cell r="H634">
            <v>0</v>
          </cell>
          <cell r="I634">
            <v>0</v>
          </cell>
        </row>
        <row r="635">
          <cell r="A635">
            <v>0</v>
          </cell>
          <cell r="B635" t="str">
            <v>VL177</v>
          </cell>
          <cell r="C635" t="str">
            <v>Cồn công nghiệp</v>
          </cell>
          <cell r="D635" t="str">
            <v>kg</v>
          </cell>
          <cell r="E635">
            <v>0.5</v>
          </cell>
          <cell r="F635">
            <v>20000</v>
          </cell>
          <cell r="G635">
            <v>10000</v>
          </cell>
          <cell r="H635">
            <v>0</v>
          </cell>
          <cell r="I635">
            <v>0</v>
          </cell>
        </row>
        <row r="636">
          <cell r="A636">
            <v>0</v>
          </cell>
          <cell r="B636" t="str">
            <v>VL186</v>
          </cell>
          <cell r="C636" t="str">
            <v>Giấy nhám số 0</v>
          </cell>
          <cell r="D636" t="str">
            <v>tờ</v>
          </cell>
          <cell r="E636">
            <v>1.2</v>
          </cell>
          <cell r="F636">
            <v>2000</v>
          </cell>
          <cell r="G636">
            <v>2400</v>
          </cell>
          <cell r="H636">
            <v>0</v>
          </cell>
          <cell r="I636">
            <v>0</v>
          </cell>
        </row>
        <row r="637">
          <cell r="A637">
            <v>0</v>
          </cell>
          <cell r="B637" t="str">
            <v>VL198</v>
          </cell>
          <cell r="C637" t="str">
            <v>Dây điện 2x1,5mm2</v>
          </cell>
          <cell r="D637" t="str">
            <v>m</v>
          </cell>
          <cell r="E637">
            <v>2</v>
          </cell>
          <cell r="F637">
            <v>9027.2727272727261</v>
          </cell>
          <cell r="G637">
            <v>18054.545454545452</v>
          </cell>
          <cell r="H637">
            <v>0</v>
          </cell>
          <cell r="I637">
            <v>0</v>
          </cell>
        </row>
        <row r="638">
          <cell r="A638">
            <v>0</v>
          </cell>
          <cell r="B638" t="str">
            <v>VL199</v>
          </cell>
          <cell r="C638" t="str">
            <v>Dây điện 7x2,5mm2</v>
          </cell>
          <cell r="D638" t="str">
            <v>m</v>
          </cell>
          <cell r="E638">
            <v>0.5</v>
          </cell>
          <cell r="F638">
            <v>44214.545454545449</v>
          </cell>
          <cell r="G638">
            <v>22107.272727272724</v>
          </cell>
          <cell r="H638">
            <v>0</v>
          </cell>
          <cell r="I638">
            <v>0</v>
          </cell>
        </row>
        <row r="639">
          <cell r="A639">
            <v>0</v>
          </cell>
          <cell r="B639">
            <v>0</v>
          </cell>
          <cell r="C639" t="str">
            <v>Nhân công</v>
          </cell>
          <cell r="D639">
            <v>0</v>
          </cell>
          <cell r="E639">
            <v>0</v>
          </cell>
          <cell r="F639">
            <v>0</v>
          </cell>
          <cell r="G639">
            <v>0</v>
          </cell>
          <cell r="H639">
            <v>0</v>
          </cell>
          <cell r="I639">
            <v>0</v>
          </cell>
        </row>
        <row r="640">
          <cell r="A640">
            <v>0</v>
          </cell>
          <cell r="B640" t="str">
            <v>KS4</v>
          </cell>
          <cell r="C640" t="str">
            <v>Kỹ sư bậc 4,0/8</v>
          </cell>
          <cell r="D640" t="str">
            <v>công</v>
          </cell>
          <cell r="E640">
            <v>18.57</v>
          </cell>
          <cell r="F640">
            <v>237000</v>
          </cell>
          <cell r="G640">
            <v>0</v>
          </cell>
          <cell r="H640">
            <v>4401090</v>
          </cell>
          <cell r="I640">
            <v>0</v>
          </cell>
        </row>
        <row r="641">
          <cell r="A641">
            <v>0</v>
          </cell>
          <cell r="B641" t="str">
            <v>N4507</v>
          </cell>
          <cell r="C641" t="str">
            <v xml:space="preserve"> Nhân công bậc 5,0/7 - Nhóm 4</v>
          </cell>
          <cell r="D641" t="str">
            <v>công</v>
          </cell>
          <cell r="E641">
            <v>7.96</v>
          </cell>
          <cell r="F641">
            <v>302486.8421052632</v>
          </cell>
          <cell r="G641">
            <v>0</v>
          </cell>
          <cell r="H641">
            <v>2407795.2631578953</v>
          </cell>
          <cell r="I641">
            <v>0</v>
          </cell>
        </row>
        <row r="642">
          <cell r="A642">
            <v>0</v>
          </cell>
          <cell r="B642">
            <v>0</v>
          </cell>
          <cell r="C642" t="str">
            <v>Máy thi công</v>
          </cell>
          <cell r="D642">
            <v>0</v>
          </cell>
          <cell r="E642">
            <v>0</v>
          </cell>
          <cell r="F642">
            <v>0</v>
          </cell>
          <cell r="G642">
            <v>0</v>
          </cell>
          <cell r="H642">
            <v>0</v>
          </cell>
          <cell r="I642">
            <v>0</v>
          </cell>
        </row>
        <row r="643">
          <cell r="A643">
            <v>0</v>
          </cell>
          <cell r="B643" t="str">
            <v>M203.0004</v>
          </cell>
          <cell r="C643" t="str">
            <v>Hợp bộ đo Tg</v>
          </cell>
          <cell r="D643" t="str">
            <v>ca</v>
          </cell>
          <cell r="E643">
            <v>0.59599999999999997</v>
          </cell>
          <cell r="F643">
            <v>796170.45454545447</v>
          </cell>
          <cell r="G643">
            <v>0</v>
          </cell>
          <cell r="H643">
            <v>0</v>
          </cell>
          <cell r="I643">
            <v>474517.59090909082</v>
          </cell>
        </row>
        <row r="644">
          <cell r="A644">
            <v>0</v>
          </cell>
          <cell r="B644" t="str">
            <v>M203.0025</v>
          </cell>
          <cell r="C644" t="str">
            <v>Megôm met</v>
          </cell>
          <cell r="D644" t="str">
            <v>ca</v>
          </cell>
          <cell r="E644">
            <v>0.63</v>
          </cell>
          <cell r="F644">
            <v>40127.500000000007</v>
          </cell>
          <cell r="G644">
            <v>0</v>
          </cell>
          <cell r="H644">
            <v>0</v>
          </cell>
          <cell r="I644">
            <v>25280.325000000004</v>
          </cell>
        </row>
        <row r="645">
          <cell r="A645">
            <v>0</v>
          </cell>
          <cell r="B645" t="str">
            <v>M203.0007</v>
          </cell>
          <cell r="C645" t="str">
            <v>Hợp bộ thí nghiệm cao áp</v>
          </cell>
          <cell r="D645" t="str">
            <v>ca</v>
          </cell>
          <cell r="E645">
            <v>0.39700000000000002</v>
          </cell>
          <cell r="F645">
            <v>403740.11363636365</v>
          </cell>
          <cell r="G645">
            <v>0</v>
          </cell>
          <cell r="H645">
            <v>0</v>
          </cell>
          <cell r="I645">
            <v>160284.82511363638</v>
          </cell>
        </row>
        <row r="646">
          <cell r="A646">
            <v>0</v>
          </cell>
          <cell r="B646" t="str">
            <v>M203.0005</v>
          </cell>
          <cell r="C646" t="str">
            <v>Hợp bộ đo lường</v>
          </cell>
          <cell r="D646" t="str">
            <v>ca</v>
          </cell>
          <cell r="E646">
            <v>0.315</v>
          </cell>
          <cell r="F646">
            <v>752668.63636363659</v>
          </cell>
          <cell r="G646">
            <v>0</v>
          </cell>
          <cell r="H646">
            <v>0</v>
          </cell>
          <cell r="I646">
            <v>237090.62045454554</v>
          </cell>
        </row>
        <row r="647">
          <cell r="A647">
            <v>0</v>
          </cell>
          <cell r="B647" t="str">
            <v>M203.0014</v>
          </cell>
          <cell r="C647" t="str">
            <v>Máy đo điện trở một chiều</v>
          </cell>
          <cell r="D647" t="str">
            <v>ca</v>
          </cell>
          <cell r="E647">
            <v>0.252</v>
          </cell>
          <cell r="F647">
            <v>142909.77272727276</v>
          </cell>
          <cell r="G647">
            <v>0</v>
          </cell>
          <cell r="H647">
            <v>0</v>
          </cell>
          <cell r="I647">
            <v>36013.26272727274</v>
          </cell>
        </row>
        <row r="648">
          <cell r="A648">
            <v>0</v>
          </cell>
          <cell r="B648" t="str">
            <v>M102.1802</v>
          </cell>
          <cell r="C648" t="str">
            <v>Xe thang nâng</v>
          </cell>
          <cell r="D648" t="str">
            <v>ca</v>
          </cell>
          <cell r="E648">
            <v>0.19900000000000001</v>
          </cell>
          <cell r="F648">
            <v>1819914.2343571431</v>
          </cell>
          <cell r="G648">
            <v>0</v>
          </cell>
          <cell r="H648">
            <v>0</v>
          </cell>
          <cell r="I648">
            <v>362162.93263707147</v>
          </cell>
        </row>
        <row r="649">
          <cell r="A649">
            <v>0</v>
          </cell>
          <cell r="B649" t="str">
            <v>M203.0019</v>
          </cell>
          <cell r="C649" t="str">
            <v>Máy đo tỷ số biến</v>
          </cell>
          <cell r="D649" t="str">
            <v>ca</v>
          </cell>
          <cell r="E649">
            <v>0</v>
          </cell>
          <cell r="F649">
            <v>120291.81818181821</v>
          </cell>
          <cell r="G649">
            <v>0</v>
          </cell>
          <cell r="H649">
            <v>0</v>
          </cell>
          <cell r="I649">
            <v>0</v>
          </cell>
        </row>
        <row r="650">
          <cell r="A650" t="str">
            <v>EA.51030</v>
          </cell>
          <cell r="B650">
            <v>0</v>
          </cell>
          <cell r="C650" t="str">
            <v>Thí nghiệm máy tạo trung tính</v>
          </cell>
          <cell r="D650" t="str">
            <v>bộ</v>
          </cell>
          <cell r="E650">
            <v>0</v>
          </cell>
          <cell r="F650">
            <v>0</v>
          </cell>
          <cell r="G650">
            <v>29503.814818181818</v>
          </cell>
          <cell r="H650">
            <v>2112262.5</v>
          </cell>
          <cell r="I650">
            <v>233133.46000000002</v>
          </cell>
        </row>
        <row r="651">
          <cell r="A651">
            <v>0</v>
          </cell>
          <cell r="B651">
            <v>0</v>
          </cell>
          <cell r="C651" t="str">
            <v>Vật liệu</v>
          </cell>
          <cell r="D651">
            <v>0</v>
          </cell>
          <cell r="E651">
            <v>0</v>
          </cell>
          <cell r="F651">
            <v>0</v>
          </cell>
          <cell r="G651">
            <v>0</v>
          </cell>
          <cell r="H651">
            <v>0</v>
          </cell>
          <cell r="I651">
            <v>0</v>
          </cell>
        </row>
        <row r="652">
          <cell r="A652">
            <v>0</v>
          </cell>
          <cell r="B652" t="str">
            <v>VL221</v>
          </cell>
          <cell r="C652" t="str">
            <v>Điện năng</v>
          </cell>
          <cell r="D652" t="str">
            <v>Kwh</v>
          </cell>
          <cell r="E652">
            <v>1.3</v>
          </cell>
          <cell r="F652">
            <v>1622.01</v>
          </cell>
          <cell r="G652">
            <v>2108.6130000000003</v>
          </cell>
          <cell r="H652">
            <v>0</v>
          </cell>
          <cell r="I652">
            <v>0</v>
          </cell>
        </row>
        <row r="653">
          <cell r="A653">
            <v>0</v>
          </cell>
          <cell r="B653" t="str">
            <v>VL188</v>
          </cell>
          <cell r="C653" t="str">
            <v>Vải phin trắng 0,8m</v>
          </cell>
          <cell r="D653" t="str">
            <v>m</v>
          </cell>
          <cell r="E653">
            <v>0.30299999999999999</v>
          </cell>
          <cell r="F653">
            <v>8000</v>
          </cell>
          <cell r="G653">
            <v>2424</v>
          </cell>
          <cell r="H653">
            <v>0</v>
          </cell>
          <cell r="I653">
            <v>0</v>
          </cell>
        </row>
        <row r="654">
          <cell r="A654">
            <v>0</v>
          </cell>
          <cell r="B654" t="str">
            <v>VL176</v>
          </cell>
          <cell r="C654" t="str">
            <v>Giẻ lau</v>
          </cell>
          <cell r="D654" t="str">
            <v>kg</v>
          </cell>
          <cell r="E654">
            <v>0.217</v>
          </cell>
          <cell r="F654">
            <v>5000</v>
          </cell>
          <cell r="G654">
            <v>1085</v>
          </cell>
          <cell r="H654">
            <v>0</v>
          </cell>
          <cell r="I654">
            <v>0</v>
          </cell>
        </row>
        <row r="655">
          <cell r="A655">
            <v>0</v>
          </cell>
          <cell r="B655" t="str">
            <v>VL179</v>
          </cell>
          <cell r="C655" t="str">
            <v>Băng cách điện</v>
          </cell>
          <cell r="D655" t="str">
            <v>cuộn</v>
          </cell>
          <cell r="E655">
            <v>0.217</v>
          </cell>
          <cell r="F655">
            <v>5000</v>
          </cell>
          <cell r="G655">
            <v>1085</v>
          </cell>
          <cell r="H655">
            <v>0</v>
          </cell>
          <cell r="I655">
            <v>0</v>
          </cell>
        </row>
        <row r="656">
          <cell r="A656">
            <v>0</v>
          </cell>
          <cell r="B656" t="str">
            <v>VL177</v>
          </cell>
          <cell r="C656" t="str">
            <v>Cồn công nghiệp</v>
          </cell>
          <cell r="D656" t="str">
            <v>kg</v>
          </cell>
          <cell r="E656">
            <v>0.217</v>
          </cell>
          <cell r="F656">
            <v>20000</v>
          </cell>
          <cell r="G656">
            <v>4340</v>
          </cell>
          <cell r="H656">
            <v>0</v>
          </cell>
          <cell r="I656">
            <v>0</v>
          </cell>
        </row>
        <row r="657">
          <cell r="A657">
            <v>0</v>
          </cell>
          <cell r="B657" t="str">
            <v>VL186</v>
          </cell>
          <cell r="C657" t="str">
            <v>Giấy nhám số 0</v>
          </cell>
          <cell r="D657" t="str">
            <v>tờ</v>
          </cell>
          <cell r="E657">
            <v>0.52</v>
          </cell>
          <cell r="F657">
            <v>2000</v>
          </cell>
          <cell r="G657">
            <v>1040</v>
          </cell>
          <cell r="H657">
            <v>0</v>
          </cell>
          <cell r="I657">
            <v>0</v>
          </cell>
        </row>
        <row r="658">
          <cell r="A658">
            <v>0</v>
          </cell>
          <cell r="B658" t="str">
            <v>VL198</v>
          </cell>
          <cell r="C658" t="str">
            <v>Dây điện 2x1,5mm2</v>
          </cell>
          <cell r="D658" t="str">
            <v>m</v>
          </cell>
          <cell r="E658">
            <v>0.86699999999999999</v>
          </cell>
          <cell r="F658">
            <v>9027.2727272727261</v>
          </cell>
          <cell r="G658">
            <v>7826.6454545454535</v>
          </cell>
          <cell r="H658">
            <v>0</v>
          </cell>
          <cell r="I658">
            <v>0</v>
          </cell>
        </row>
        <row r="659">
          <cell r="A659">
            <v>0</v>
          </cell>
          <cell r="B659" t="str">
            <v>VL199</v>
          </cell>
          <cell r="C659" t="str">
            <v>Dây điện 7x2,5mm2</v>
          </cell>
          <cell r="D659" t="str">
            <v>m</v>
          </cell>
          <cell r="E659">
            <v>0.217</v>
          </cell>
          <cell r="F659">
            <v>44214.545454545449</v>
          </cell>
          <cell r="G659">
            <v>9594.5563636363622</v>
          </cell>
          <cell r="H659">
            <v>0</v>
          </cell>
          <cell r="I659">
            <v>0</v>
          </cell>
        </row>
        <row r="660">
          <cell r="A660">
            <v>0</v>
          </cell>
          <cell r="B660">
            <v>0</v>
          </cell>
          <cell r="C660" t="str">
            <v>Nhân công</v>
          </cell>
          <cell r="D660">
            <v>0</v>
          </cell>
          <cell r="E660">
            <v>0</v>
          </cell>
          <cell r="F660">
            <v>0</v>
          </cell>
          <cell r="G660">
            <v>0</v>
          </cell>
          <cell r="H660">
            <v>0</v>
          </cell>
          <cell r="I660">
            <v>0</v>
          </cell>
        </row>
        <row r="661">
          <cell r="A661">
            <v>0</v>
          </cell>
          <cell r="B661" t="str">
            <v>KS4</v>
          </cell>
          <cell r="C661" t="str">
            <v>Kỹ sư bậc 4,0/8</v>
          </cell>
          <cell r="D661" t="str">
            <v>công</v>
          </cell>
          <cell r="E661">
            <v>5.76</v>
          </cell>
          <cell r="F661">
            <v>237000</v>
          </cell>
          <cell r="G661">
            <v>0</v>
          </cell>
          <cell r="H661">
            <v>1365120</v>
          </cell>
          <cell r="I661">
            <v>0</v>
          </cell>
        </row>
        <row r="662">
          <cell r="A662">
            <v>0</v>
          </cell>
          <cell r="B662" t="str">
            <v>N4507</v>
          </cell>
          <cell r="C662" t="str">
            <v xml:space="preserve"> Nhân công bậc 5,0/7 - Nhóm 4</v>
          </cell>
          <cell r="D662" t="str">
            <v>công</v>
          </cell>
          <cell r="E662">
            <v>2.4700000000000002</v>
          </cell>
          <cell r="F662">
            <v>302486.8421052632</v>
          </cell>
          <cell r="G662">
            <v>0</v>
          </cell>
          <cell r="H662">
            <v>747142.50000000012</v>
          </cell>
          <cell r="I662">
            <v>0</v>
          </cell>
        </row>
        <row r="663">
          <cell r="A663">
            <v>0</v>
          </cell>
          <cell r="B663">
            <v>0</v>
          </cell>
          <cell r="C663" t="str">
            <v>Máy thi công</v>
          </cell>
          <cell r="D663">
            <v>0</v>
          </cell>
          <cell r="E663">
            <v>0</v>
          </cell>
          <cell r="F663">
            <v>0</v>
          </cell>
          <cell r="G663">
            <v>0</v>
          </cell>
          <cell r="H663">
            <v>0</v>
          </cell>
          <cell r="I663">
            <v>0</v>
          </cell>
        </row>
        <row r="664">
          <cell r="A664">
            <v>0</v>
          </cell>
          <cell r="B664" t="str">
            <v>M203.0004</v>
          </cell>
          <cell r="C664" t="str">
            <v>Hợp bộ đo Tg</v>
          </cell>
          <cell r="D664" t="str">
            <v>ca</v>
          </cell>
          <cell r="E664">
            <v>0</v>
          </cell>
          <cell r="F664">
            <v>796170.45454545447</v>
          </cell>
          <cell r="G664">
            <v>0</v>
          </cell>
          <cell r="H664">
            <v>0</v>
          </cell>
          <cell r="I664">
            <v>0</v>
          </cell>
        </row>
        <row r="665">
          <cell r="A665">
            <v>0</v>
          </cell>
          <cell r="B665" t="str">
            <v>M203.0025</v>
          </cell>
          <cell r="C665" t="str">
            <v>Megôm met</v>
          </cell>
          <cell r="D665" t="str">
            <v>ca</v>
          </cell>
          <cell r="E665">
            <v>0.27300000000000002</v>
          </cell>
          <cell r="F665">
            <v>40127.500000000007</v>
          </cell>
          <cell r="G665">
            <v>0</v>
          </cell>
          <cell r="H665">
            <v>0</v>
          </cell>
          <cell r="I665">
            <v>10954.807500000003</v>
          </cell>
        </row>
        <row r="666">
          <cell r="A666">
            <v>0</v>
          </cell>
          <cell r="B666" t="str">
            <v>M203.0007</v>
          </cell>
          <cell r="C666" t="str">
            <v>Hợp bộ thí nghiệm cao áp</v>
          </cell>
          <cell r="D666" t="str">
            <v>ca</v>
          </cell>
          <cell r="E666">
            <v>0.17199999999999999</v>
          </cell>
          <cell r="F666">
            <v>403740.11363636365</v>
          </cell>
          <cell r="G666">
            <v>0</v>
          </cell>
          <cell r="H666">
            <v>0</v>
          </cell>
          <cell r="I666">
            <v>69443.299545454545</v>
          </cell>
        </row>
        <row r="667">
          <cell r="A667">
            <v>0</v>
          </cell>
          <cell r="B667" t="str">
            <v>M203.0005</v>
          </cell>
          <cell r="C667" t="str">
            <v>Hợp bộ đo lường</v>
          </cell>
          <cell r="D667" t="str">
            <v>ca</v>
          </cell>
          <cell r="E667">
            <v>0.13700000000000001</v>
          </cell>
          <cell r="F667">
            <v>752668.63636363659</v>
          </cell>
          <cell r="G667">
            <v>0</v>
          </cell>
          <cell r="H667">
            <v>0</v>
          </cell>
          <cell r="I667">
            <v>103115.60318181822</v>
          </cell>
        </row>
        <row r="668">
          <cell r="A668">
            <v>0</v>
          </cell>
          <cell r="B668" t="str">
            <v>M203.0014</v>
          </cell>
          <cell r="C668" t="str">
            <v>Máy đo điện trở một chiều</v>
          </cell>
          <cell r="D668" t="str">
            <v>ca</v>
          </cell>
          <cell r="E668">
            <v>0.109</v>
          </cell>
          <cell r="F668">
            <v>142909.77272727276</v>
          </cell>
          <cell r="G668">
            <v>0</v>
          </cell>
          <cell r="H668">
            <v>0</v>
          </cell>
          <cell r="I668">
            <v>15577.165227272731</v>
          </cell>
        </row>
        <row r="669">
          <cell r="A669">
            <v>0</v>
          </cell>
          <cell r="B669" t="str">
            <v>M102.1802</v>
          </cell>
          <cell r="C669" t="str">
            <v>Xe thang nâng</v>
          </cell>
          <cell r="D669" t="str">
            <v>ca</v>
          </cell>
          <cell r="E669">
            <v>0</v>
          </cell>
          <cell r="F669">
            <v>1819914.2343571431</v>
          </cell>
          <cell r="G669">
            <v>0</v>
          </cell>
          <cell r="H669">
            <v>0</v>
          </cell>
          <cell r="I669">
            <v>0</v>
          </cell>
        </row>
        <row r="670">
          <cell r="A670">
            <v>0</v>
          </cell>
          <cell r="B670" t="str">
            <v>M203.0019</v>
          </cell>
          <cell r="C670" t="str">
            <v>Máy đo tỷ số biến</v>
          </cell>
          <cell r="D670" t="str">
            <v>ca</v>
          </cell>
          <cell r="E670">
            <v>0.28299999999999997</v>
          </cell>
          <cell r="F670">
            <v>120291.81818181821</v>
          </cell>
          <cell r="G670">
            <v>0</v>
          </cell>
          <cell r="H670">
            <v>0</v>
          </cell>
          <cell r="I670">
            <v>34042.584545454549</v>
          </cell>
        </row>
        <row r="671">
          <cell r="A671" t="str">
            <v>EA.52010</v>
          </cell>
          <cell r="B671">
            <v>0</v>
          </cell>
          <cell r="C671" t="str">
            <v>Thí nghiệm kháng điện khô 1 pha</v>
          </cell>
          <cell r="D671" t="str">
            <v>bộ</v>
          </cell>
          <cell r="E671">
            <v>0</v>
          </cell>
          <cell r="F671">
            <v>0</v>
          </cell>
          <cell r="G671">
            <v>4069.9312154545451</v>
          </cell>
          <cell r="H671">
            <v>302580.39473684214</v>
          </cell>
          <cell r="I671">
            <v>83149.964545454568</v>
          </cell>
        </row>
        <row r="672">
          <cell r="A672">
            <v>0</v>
          </cell>
          <cell r="B672">
            <v>0</v>
          </cell>
          <cell r="C672" t="str">
            <v>Vật liệu</v>
          </cell>
          <cell r="D672">
            <v>0</v>
          </cell>
          <cell r="E672">
            <v>0</v>
          </cell>
          <cell r="F672">
            <v>0</v>
          </cell>
          <cell r="G672">
            <v>0</v>
          </cell>
          <cell r="H672">
            <v>0</v>
          </cell>
          <cell r="I672">
            <v>0</v>
          </cell>
        </row>
        <row r="673">
          <cell r="A673">
            <v>0</v>
          </cell>
          <cell r="B673" t="str">
            <v>VL221</v>
          </cell>
          <cell r="C673" t="str">
            <v>Điện năng</v>
          </cell>
          <cell r="D673" t="str">
            <v>Kwh</v>
          </cell>
          <cell r="E673">
            <v>0.26700000000000002</v>
          </cell>
          <cell r="F673">
            <v>1622.01</v>
          </cell>
          <cell r="G673">
            <v>433.07667000000004</v>
          </cell>
          <cell r="H673">
            <v>0</v>
          </cell>
          <cell r="I673">
            <v>0</v>
          </cell>
        </row>
        <row r="674">
          <cell r="A674">
            <v>0</v>
          </cell>
          <cell r="B674" t="str">
            <v>VL188</v>
          </cell>
          <cell r="C674" t="str">
            <v>Vải phin trắng 0,8m</v>
          </cell>
          <cell r="D674" t="str">
            <v>m</v>
          </cell>
          <cell r="E674">
            <v>6.2E-2</v>
          </cell>
          <cell r="F674">
            <v>8000</v>
          </cell>
          <cell r="G674">
            <v>496</v>
          </cell>
          <cell r="H674">
            <v>0</v>
          </cell>
          <cell r="I674">
            <v>0</v>
          </cell>
        </row>
        <row r="675">
          <cell r="A675">
            <v>0</v>
          </cell>
          <cell r="B675" t="str">
            <v>VL176</v>
          </cell>
          <cell r="C675" t="str">
            <v>Giẻ lau</v>
          </cell>
          <cell r="D675" t="str">
            <v>kg</v>
          </cell>
          <cell r="E675">
            <v>4.3999999999999997E-2</v>
          </cell>
          <cell r="F675">
            <v>5000</v>
          </cell>
          <cell r="G675">
            <v>220</v>
          </cell>
          <cell r="H675">
            <v>0</v>
          </cell>
          <cell r="I675">
            <v>0</v>
          </cell>
        </row>
        <row r="676">
          <cell r="A676">
            <v>0</v>
          </cell>
          <cell r="B676" t="str">
            <v>VL179</v>
          </cell>
          <cell r="C676" t="str">
            <v>Băng cách điện</v>
          </cell>
          <cell r="D676" t="str">
            <v>cuộn</v>
          </cell>
          <cell r="E676">
            <v>4.3999999999999997E-2</v>
          </cell>
          <cell r="F676">
            <v>5000</v>
          </cell>
          <cell r="G676">
            <v>220</v>
          </cell>
          <cell r="H676">
            <v>0</v>
          </cell>
          <cell r="I676">
            <v>0</v>
          </cell>
        </row>
        <row r="677">
          <cell r="A677">
            <v>0</v>
          </cell>
          <cell r="B677" t="str">
            <v>VL177</v>
          </cell>
          <cell r="C677" t="str">
            <v>Cồn công nghiệp</v>
          </cell>
          <cell r="D677" t="str">
            <v>kg</v>
          </cell>
          <cell r="E677">
            <v>4.3999999999999997E-2</v>
          </cell>
          <cell r="F677">
            <v>20000</v>
          </cell>
          <cell r="G677">
            <v>880</v>
          </cell>
          <cell r="H677">
            <v>0</v>
          </cell>
          <cell r="I677">
            <v>0</v>
          </cell>
        </row>
        <row r="678">
          <cell r="A678">
            <v>0</v>
          </cell>
          <cell r="B678" t="str">
            <v>VL186</v>
          </cell>
          <cell r="C678" t="str">
            <v>Giấy nhám số 0</v>
          </cell>
          <cell r="D678" t="str">
            <v>tờ</v>
          </cell>
          <cell r="E678">
            <v>0.107</v>
          </cell>
          <cell r="F678">
            <v>2000</v>
          </cell>
          <cell r="G678">
            <v>214</v>
          </cell>
          <cell r="H678">
            <v>0</v>
          </cell>
          <cell r="I678">
            <v>0</v>
          </cell>
        </row>
        <row r="679">
          <cell r="A679">
            <v>0</v>
          </cell>
          <cell r="B679" t="str">
            <v>VL198</v>
          </cell>
          <cell r="C679" t="str">
            <v>Dây điện 2x1,5mm2</v>
          </cell>
          <cell r="D679" t="str">
            <v>m</v>
          </cell>
          <cell r="E679">
            <v>0.17799999999999999</v>
          </cell>
          <cell r="F679">
            <v>9027.2727272727261</v>
          </cell>
          <cell r="G679">
            <v>1606.8545454545451</v>
          </cell>
          <cell r="H679">
            <v>0</v>
          </cell>
          <cell r="I679">
            <v>0</v>
          </cell>
        </row>
        <row r="680">
          <cell r="A680">
            <v>0</v>
          </cell>
          <cell r="B680">
            <v>0</v>
          </cell>
          <cell r="C680" t="str">
            <v>Nhân công</v>
          </cell>
          <cell r="D680">
            <v>0</v>
          </cell>
          <cell r="E680">
            <v>0</v>
          </cell>
          <cell r="F680">
            <v>0</v>
          </cell>
          <cell r="G680">
            <v>0</v>
          </cell>
          <cell r="H680">
            <v>0</v>
          </cell>
          <cell r="I680">
            <v>0</v>
          </cell>
        </row>
        <row r="681">
          <cell r="A681">
            <v>0</v>
          </cell>
          <cell r="B681" t="str">
            <v>KS4</v>
          </cell>
          <cell r="C681" t="str">
            <v>Kỹ sư bậc 4,0/8</v>
          </cell>
          <cell r="D681" t="str">
            <v>công</v>
          </cell>
          <cell r="E681">
            <v>0.83</v>
          </cell>
          <cell r="F681">
            <v>237000</v>
          </cell>
          <cell r="G681">
            <v>0</v>
          </cell>
          <cell r="H681">
            <v>196710</v>
          </cell>
          <cell r="I681">
            <v>0</v>
          </cell>
        </row>
        <row r="682">
          <cell r="A682">
            <v>0</v>
          </cell>
          <cell r="B682" t="str">
            <v>N4507</v>
          </cell>
          <cell r="C682" t="str">
            <v xml:space="preserve"> Nhân công bậc 5,0/7 - Nhóm 4</v>
          </cell>
          <cell r="D682" t="str">
            <v>công</v>
          </cell>
          <cell r="E682">
            <v>0.35</v>
          </cell>
          <cell r="F682">
            <v>302486.8421052632</v>
          </cell>
          <cell r="G682">
            <v>0</v>
          </cell>
          <cell r="H682">
            <v>105870.39473684212</v>
          </cell>
          <cell r="I682">
            <v>0</v>
          </cell>
        </row>
        <row r="683">
          <cell r="A683">
            <v>0</v>
          </cell>
          <cell r="B683">
            <v>0</v>
          </cell>
          <cell r="C683" t="str">
            <v>Máy thi công</v>
          </cell>
          <cell r="D683">
            <v>0</v>
          </cell>
          <cell r="E683">
            <v>0</v>
          </cell>
          <cell r="F683">
            <v>0</v>
          </cell>
          <cell r="G683">
            <v>0</v>
          </cell>
          <cell r="H683">
            <v>0</v>
          </cell>
          <cell r="I683">
            <v>0</v>
          </cell>
        </row>
        <row r="684">
          <cell r="A684">
            <v>0</v>
          </cell>
          <cell r="B684" t="str">
            <v>M203.0025</v>
          </cell>
          <cell r="C684" t="str">
            <v>Megôm met</v>
          </cell>
          <cell r="D684" t="str">
            <v>ca</v>
          </cell>
          <cell r="E684">
            <v>5.6000000000000001E-2</v>
          </cell>
          <cell r="F684">
            <v>40127.500000000007</v>
          </cell>
          <cell r="G684">
            <v>0</v>
          </cell>
          <cell r="H684">
            <v>0</v>
          </cell>
          <cell r="I684">
            <v>2247.1400000000003</v>
          </cell>
        </row>
        <row r="685">
          <cell r="A685">
            <v>0</v>
          </cell>
          <cell r="B685" t="str">
            <v>M203.0007</v>
          </cell>
          <cell r="C685" t="str">
            <v>Hợp bộ thí nghiệm cao áp</v>
          </cell>
          <cell r="D685" t="str">
            <v>ca</v>
          </cell>
          <cell r="E685">
            <v>3.5999999999999997E-2</v>
          </cell>
          <cell r="F685">
            <v>403740.11363636365</v>
          </cell>
          <cell r="G685">
            <v>0</v>
          </cell>
          <cell r="H685">
            <v>0</v>
          </cell>
          <cell r="I685">
            <v>14534.644090909091</v>
          </cell>
        </row>
        <row r="686">
          <cell r="A686">
            <v>0</v>
          </cell>
          <cell r="B686" t="str">
            <v>M203.0005</v>
          </cell>
          <cell r="C686" t="str">
            <v>Hợp bộ đo lường</v>
          </cell>
          <cell r="D686" t="str">
            <v>ca</v>
          </cell>
          <cell r="E686">
            <v>8.4000000000000005E-2</v>
          </cell>
          <cell r="F686">
            <v>752668.63636363659</v>
          </cell>
          <cell r="G686">
            <v>0</v>
          </cell>
          <cell r="H686">
            <v>0</v>
          </cell>
          <cell r="I686">
            <v>63224.16545454548</v>
          </cell>
        </row>
        <row r="687">
          <cell r="A687">
            <v>0</v>
          </cell>
          <cell r="B687" t="str">
            <v>M203.0014</v>
          </cell>
          <cell r="C687" t="str">
            <v>Máy đo điện trở một chiều</v>
          </cell>
          <cell r="D687" t="str">
            <v>ca</v>
          </cell>
          <cell r="E687">
            <v>2.1999999999999999E-2</v>
          </cell>
          <cell r="F687">
            <v>142909.77272727276</v>
          </cell>
          <cell r="G687">
            <v>0</v>
          </cell>
          <cell r="H687">
            <v>0</v>
          </cell>
          <cell r="I687">
            <v>3144.0150000000008</v>
          </cell>
        </row>
        <row r="688">
          <cell r="A688" t="str">
            <v>EA.52020</v>
          </cell>
          <cell r="B688">
            <v>0</v>
          </cell>
          <cell r="C688" t="str">
            <v>Thí nghiệm cuộn cản cao tần 1 pha</v>
          </cell>
          <cell r="D688" t="str">
            <v>bộ</v>
          </cell>
          <cell r="E688">
            <v>0</v>
          </cell>
          <cell r="F688">
            <v>0</v>
          </cell>
          <cell r="G688">
            <v>5114.1838754545452</v>
          </cell>
          <cell r="H688">
            <v>377204.21052631584</v>
          </cell>
          <cell r="I688">
            <v>85840.605454545468</v>
          </cell>
        </row>
        <row r="689">
          <cell r="A689">
            <v>0</v>
          </cell>
          <cell r="B689">
            <v>0</v>
          </cell>
          <cell r="C689" t="str">
            <v>Vật liệu</v>
          </cell>
          <cell r="D689">
            <v>0</v>
          </cell>
          <cell r="E689">
            <v>0</v>
          </cell>
          <cell r="F689">
            <v>0</v>
          </cell>
          <cell r="G689">
            <v>0</v>
          </cell>
          <cell r="H689">
            <v>0</v>
          </cell>
          <cell r="I689">
            <v>0</v>
          </cell>
        </row>
        <row r="690">
          <cell r="A690">
            <v>0</v>
          </cell>
          <cell r="B690" t="str">
            <v>VL221</v>
          </cell>
          <cell r="C690" t="str">
            <v>Điện năng</v>
          </cell>
          <cell r="D690" t="str">
            <v>Kwh</v>
          </cell>
          <cell r="E690">
            <v>0.33300000000000002</v>
          </cell>
          <cell r="F690">
            <v>1622.01</v>
          </cell>
          <cell r="G690">
            <v>540.12932999999998</v>
          </cell>
          <cell r="H690">
            <v>0</v>
          </cell>
          <cell r="I690">
            <v>0</v>
          </cell>
        </row>
        <row r="691">
          <cell r="A691">
            <v>0</v>
          </cell>
          <cell r="B691" t="str">
            <v>VL188</v>
          </cell>
          <cell r="C691" t="str">
            <v>Vải phin trắng 0,8m</v>
          </cell>
          <cell r="D691" t="str">
            <v>m</v>
          </cell>
          <cell r="E691">
            <v>7.8E-2</v>
          </cell>
          <cell r="F691">
            <v>8000</v>
          </cell>
          <cell r="G691">
            <v>624</v>
          </cell>
          <cell r="H691">
            <v>0</v>
          </cell>
          <cell r="I691">
            <v>0</v>
          </cell>
        </row>
        <row r="692">
          <cell r="A692">
            <v>0</v>
          </cell>
          <cell r="B692" t="str">
            <v>VL176</v>
          </cell>
          <cell r="C692" t="str">
            <v>Giẻ lau</v>
          </cell>
          <cell r="D692" t="str">
            <v>kg</v>
          </cell>
          <cell r="E692">
            <v>5.6000000000000001E-2</v>
          </cell>
          <cell r="F692">
            <v>5000</v>
          </cell>
          <cell r="G692">
            <v>280</v>
          </cell>
          <cell r="H692">
            <v>0</v>
          </cell>
          <cell r="I692">
            <v>0</v>
          </cell>
        </row>
        <row r="693">
          <cell r="A693">
            <v>0</v>
          </cell>
          <cell r="B693" t="str">
            <v>VL179</v>
          </cell>
          <cell r="C693" t="str">
            <v>Băng cách điện</v>
          </cell>
          <cell r="D693" t="str">
            <v>cuộn</v>
          </cell>
          <cell r="E693">
            <v>5.6000000000000001E-2</v>
          </cell>
          <cell r="F693">
            <v>5000</v>
          </cell>
          <cell r="G693">
            <v>280</v>
          </cell>
          <cell r="H693">
            <v>0</v>
          </cell>
          <cell r="I693">
            <v>0</v>
          </cell>
        </row>
        <row r="694">
          <cell r="A694">
            <v>0</v>
          </cell>
          <cell r="B694" t="str">
            <v>VL177</v>
          </cell>
          <cell r="C694" t="str">
            <v>Cồn công nghiệp</v>
          </cell>
          <cell r="D694" t="str">
            <v>kg</v>
          </cell>
          <cell r="E694">
            <v>5.6000000000000001E-2</v>
          </cell>
          <cell r="F694">
            <v>20000</v>
          </cell>
          <cell r="G694">
            <v>1120</v>
          </cell>
          <cell r="H694">
            <v>0</v>
          </cell>
          <cell r="I694">
            <v>0</v>
          </cell>
        </row>
        <row r="695">
          <cell r="A695">
            <v>0</v>
          </cell>
          <cell r="B695" t="str">
            <v>VL186</v>
          </cell>
          <cell r="C695" t="str">
            <v>Giấy nhám số 0</v>
          </cell>
          <cell r="D695" t="str">
            <v>tờ</v>
          </cell>
          <cell r="E695">
            <v>0.13300000000000001</v>
          </cell>
          <cell r="F695">
            <v>2000</v>
          </cell>
          <cell r="G695">
            <v>266</v>
          </cell>
          <cell r="H695">
            <v>0</v>
          </cell>
          <cell r="I695">
            <v>0</v>
          </cell>
        </row>
        <row r="696">
          <cell r="A696">
            <v>0</v>
          </cell>
          <cell r="B696" t="str">
            <v>VL198</v>
          </cell>
          <cell r="C696" t="str">
            <v>Dây điện 2x1,5mm2</v>
          </cell>
          <cell r="D696" t="str">
            <v>m</v>
          </cell>
          <cell r="E696">
            <v>0.222</v>
          </cell>
          <cell r="F696">
            <v>9027.2727272727261</v>
          </cell>
          <cell r="G696">
            <v>2004.0545454545452</v>
          </cell>
          <cell r="H696">
            <v>0</v>
          </cell>
          <cell r="I696">
            <v>0</v>
          </cell>
        </row>
        <row r="697">
          <cell r="A697">
            <v>0</v>
          </cell>
          <cell r="B697">
            <v>0</v>
          </cell>
          <cell r="C697" t="str">
            <v>Nhân công</v>
          </cell>
          <cell r="D697">
            <v>0</v>
          </cell>
          <cell r="E697">
            <v>0</v>
          </cell>
          <cell r="F697">
            <v>0</v>
          </cell>
          <cell r="G697">
            <v>0</v>
          </cell>
          <cell r="H697">
            <v>0</v>
          </cell>
          <cell r="I697">
            <v>0</v>
          </cell>
        </row>
        <row r="698">
          <cell r="A698">
            <v>0</v>
          </cell>
          <cell r="B698" t="str">
            <v>KS4</v>
          </cell>
          <cell r="C698" t="str">
            <v>Kỹ sư bậc 4,0/8</v>
          </cell>
          <cell r="D698" t="str">
            <v>công</v>
          </cell>
          <cell r="E698">
            <v>1.03</v>
          </cell>
          <cell r="F698">
            <v>237000</v>
          </cell>
          <cell r="G698">
            <v>0</v>
          </cell>
          <cell r="H698">
            <v>244110</v>
          </cell>
          <cell r="I698">
            <v>0</v>
          </cell>
        </row>
        <row r="699">
          <cell r="A699">
            <v>0</v>
          </cell>
          <cell r="B699" t="str">
            <v>N4507</v>
          </cell>
          <cell r="C699" t="str">
            <v xml:space="preserve"> Nhân công bậc 5,0/7 - Nhóm 4</v>
          </cell>
          <cell r="D699" t="str">
            <v>công</v>
          </cell>
          <cell r="E699">
            <v>0.44</v>
          </cell>
          <cell r="F699">
            <v>302486.8421052632</v>
          </cell>
          <cell r="G699">
            <v>0</v>
          </cell>
          <cell r="H699">
            <v>133094.21052631582</v>
          </cell>
          <cell r="I699">
            <v>0</v>
          </cell>
        </row>
        <row r="700">
          <cell r="A700">
            <v>0</v>
          </cell>
          <cell r="B700">
            <v>0</v>
          </cell>
          <cell r="C700" t="str">
            <v>Máy thi công</v>
          </cell>
          <cell r="D700">
            <v>0</v>
          </cell>
          <cell r="E700">
            <v>0</v>
          </cell>
          <cell r="F700">
            <v>0</v>
          </cell>
          <cell r="G700">
            <v>0</v>
          </cell>
          <cell r="H700">
            <v>0</v>
          </cell>
          <cell r="I700">
            <v>0</v>
          </cell>
        </row>
        <row r="701">
          <cell r="A701">
            <v>0</v>
          </cell>
          <cell r="B701" t="str">
            <v>M203.0025</v>
          </cell>
          <cell r="C701" t="str">
            <v>Megôm met</v>
          </cell>
          <cell r="D701" t="str">
            <v>ca</v>
          </cell>
          <cell r="E701">
            <v>7.0000000000000007E-2</v>
          </cell>
          <cell r="F701">
            <v>40127.500000000007</v>
          </cell>
          <cell r="G701">
            <v>0</v>
          </cell>
          <cell r="H701">
            <v>0</v>
          </cell>
          <cell r="I701">
            <v>2808.9250000000006</v>
          </cell>
        </row>
        <row r="702">
          <cell r="A702">
            <v>0</v>
          </cell>
          <cell r="B702" t="str">
            <v>M203.0007</v>
          </cell>
          <cell r="C702" t="str">
            <v>Hợp bộ thí nghiệm cao áp</v>
          </cell>
          <cell r="D702" t="str">
            <v>ca</v>
          </cell>
          <cell r="E702">
            <v>0</v>
          </cell>
          <cell r="F702">
            <v>403740.11363636365</v>
          </cell>
          <cell r="G702">
            <v>0</v>
          </cell>
          <cell r="H702">
            <v>0</v>
          </cell>
          <cell r="I702">
            <v>0</v>
          </cell>
        </row>
        <row r="703">
          <cell r="A703">
            <v>0</v>
          </cell>
          <cell r="B703" t="str">
            <v>M203.0005</v>
          </cell>
          <cell r="C703" t="str">
            <v>Hợp bộ đo lường</v>
          </cell>
          <cell r="D703" t="str">
            <v>ca</v>
          </cell>
          <cell r="E703">
            <v>0.105</v>
          </cell>
          <cell r="F703">
            <v>752668.63636363659</v>
          </cell>
          <cell r="G703">
            <v>0</v>
          </cell>
          <cell r="H703">
            <v>0</v>
          </cell>
          <cell r="I703">
            <v>79030.206818181832</v>
          </cell>
        </row>
        <row r="704">
          <cell r="A704">
            <v>0</v>
          </cell>
          <cell r="B704" t="str">
            <v>M203.0014</v>
          </cell>
          <cell r="C704" t="str">
            <v>Máy đo điện trở một chiều</v>
          </cell>
          <cell r="D704" t="str">
            <v>ca</v>
          </cell>
          <cell r="E704">
            <v>2.8000000000000001E-2</v>
          </cell>
          <cell r="F704">
            <v>142909.77272727276</v>
          </cell>
          <cell r="G704">
            <v>0</v>
          </cell>
          <cell r="H704">
            <v>0</v>
          </cell>
          <cell r="I704">
            <v>4001.4736363636375</v>
          </cell>
        </row>
        <row r="705">
          <cell r="A705" t="str">
            <v>EB.11010</v>
          </cell>
          <cell r="B705">
            <v>0</v>
          </cell>
          <cell r="C705" t="str">
            <v>Thí nghiệm máy cắt khí 3 pha - U 500kV</v>
          </cell>
          <cell r="D705" t="str">
            <v>bộ ( 3 pha )</v>
          </cell>
          <cell r="E705">
            <v>0</v>
          </cell>
          <cell r="F705">
            <v>0</v>
          </cell>
          <cell r="G705">
            <v>79022.018181818174</v>
          </cell>
          <cell r="H705">
            <v>10163183.684210528</v>
          </cell>
          <cell r="I705">
            <v>619878.83438022726</v>
          </cell>
        </row>
        <row r="706">
          <cell r="A706">
            <v>0</v>
          </cell>
          <cell r="B706">
            <v>0</v>
          </cell>
          <cell r="C706" t="str">
            <v>Vật liệu</v>
          </cell>
          <cell r="D706">
            <v>0</v>
          </cell>
          <cell r="E706">
            <v>0</v>
          </cell>
          <cell r="F706">
            <v>0</v>
          </cell>
          <cell r="G706">
            <v>0</v>
          </cell>
          <cell r="H706">
            <v>0</v>
          </cell>
          <cell r="I706">
            <v>0</v>
          </cell>
        </row>
        <row r="707">
          <cell r="A707">
            <v>0</v>
          </cell>
          <cell r="B707" t="str">
            <v>VL221</v>
          </cell>
          <cell r="C707" t="str">
            <v>Điện năng</v>
          </cell>
          <cell r="D707" t="str">
            <v>Kwh</v>
          </cell>
          <cell r="E707">
            <v>20</v>
          </cell>
          <cell r="F707">
            <v>1622.01</v>
          </cell>
          <cell r="G707">
            <v>32440.2</v>
          </cell>
          <cell r="H707">
            <v>0</v>
          </cell>
          <cell r="I707">
            <v>0</v>
          </cell>
        </row>
        <row r="708">
          <cell r="A708">
            <v>0</v>
          </cell>
          <cell r="B708" t="str">
            <v>VL177</v>
          </cell>
          <cell r="C708" t="str">
            <v>Cồn công nghiệp</v>
          </cell>
          <cell r="D708" t="str">
            <v>kg</v>
          </cell>
          <cell r="E708">
            <v>0.6</v>
          </cell>
          <cell r="F708">
            <v>20000</v>
          </cell>
          <cell r="G708">
            <v>12000</v>
          </cell>
          <cell r="H708">
            <v>0</v>
          </cell>
          <cell r="I708">
            <v>0</v>
          </cell>
        </row>
        <row r="709">
          <cell r="A709">
            <v>0</v>
          </cell>
          <cell r="B709" t="str">
            <v>VL188</v>
          </cell>
          <cell r="C709" t="str">
            <v>Vải phin trắng 0,8m</v>
          </cell>
          <cell r="D709" t="str">
            <v>m</v>
          </cell>
          <cell r="E709">
            <v>0.5</v>
          </cell>
          <cell r="F709">
            <v>8000</v>
          </cell>
          <cell r="G709">
            <v>4000</v>
          </cell>
          <cell r="H709">
            <v>0</v>
          </cell>
          <cell r="I709">
            <v>0</v>
          </cell>
        </row>
        <row r="710">
          <cell r="A710">
            <v>0</v>
          </cell>
          <cell r="B710" t="str">
            <v>VL176</v>
          </cell>
          <cell r="C710" t="str">
            <v>Giẻ lau</v>
          </cell>
          <cell r="D710" t="str">
            <v>kg</v>
          </cell>
          <cell r="E710">
            <v>0.5</v>
          </cell>
          <cell r="F710">
            <v>5000</v>
          </cell>
          <cell r="G710">
            <v>2500</v>
          </cell>
          <cell r="H710">
            <v>0</v>
          </cell>
          <cell r="I710">
            <v>0</v>
          </cell>
        </row>
        <row r="711">
          <cell r="A711">
            <v>0</v>
          </cell>
          <cell r="B711" t="str">
            <v>VL186</v>
          </cell>
          <cell r="C711" t="str">
            <v>Giấy nhám số 0</v>
          </cell>
          <cell r="D711" t="str">
            <v>tờ</v>
          </cell>
          <cell r="E711">
            <v>0.5</v>
          </cell>
          <cell r="F711">
            <v>2000</v>
          </cell>
          <cell r="G711">
            <v>1000</v>
          </cell>
          <cell r="H711">
            <v>0</v>
          </cell>
          <cell r="I711">
            <v>0</v>
          </cell>
        </row>
        <row r="712">
          <cell r="A712">
            <v>0</v>
          </cell>
          <cell r="B712" t="str">
            <v>VL198</v>
          </cell>
          <cell r="C712" t="str">
            <v>Dây điện 2x1,5mm2</v>
          </cell>
          <cell r="D712" t="str">
            <v>m</v>
          </cell>
          <cell r="E712">
            <v>3</v>
          </cell>
          <cell r="F712">
            <v>9027.2727272727261</v>
          </cell>
          <cell r="G712">
            <v>27081.818181818177</v>
          </cell>
          <cell r="H712">
            <v>0</v>
          </cell>
          <cell r="I712">
            <v>0</v>
          </cell>
        </row>
        <row r="713">
          <cell r="A713">
            <v>0</v>
          </cell>
          <cell r="B713">
            <v>0</v>
          </cell>
          <cell r="C713" t="str">
            <v>Nhân công</v>
          </cell>
          <cell r="D713">
            <v>0</v>
          </cell>
          <cell r="E713">
            <v>0</v>
          </cell>
          <cell r="F713">
            <v>0</v>
          </cell>
          <cell r="G713">
            <v>0</v>
          </cell>
          <cell r="H713">
            <v>0</v>
          </cell>
          <cell r="I713">
            <v>0</v>
          </cell>
        </row>
        <row r="714">
          <cell r="A714">
            <v>0</v>
          </cell>
          <cell r="B714" t="str">
            <v>KS4</v>
          </cell>
          <cell r="C714" t="str">
            <v>Kỹ sư bậc 4,0/8</v>
          </cell>
          <cell r="D714" t="str">
            <v>công</v>
          </cell>
          <cell r="E714">
            <v>27.72</v>
          </cell>
          <cell r="F714">
            <v>237000</v>
          </cell>
          <cell r="G714">
            <v>0</v>
          </cell>
          <cell r="H714">
            <v>6569640</v>
          </cell>
          <cell r="I714">
            <v>0</v>
          </cell>
        </row>
        <row r="715">
          <cell r="A715">
            <v>0</v>
          </cell>
          <cell r="B715" t="str">
            <v>N4507</v>
          </cell>
          <cell r="C715" t="str">
            <v xml:space="preserve"> Nhân công bậc 5,0/7 - Nhóm 4</v>
          </cell>
          <cell r="D715" t="str">
            <v>công</v>
          </cell>
          <cell r="E715">
            <v>11.88</v>
          </cell>
          <cell r="F715">
            <v>302486.8421052632</v>
          </cell>
          <cell r="G715">
            <v>0</v>
          </cell>
          <cell r="H715">
            <v>3593543.6842105272</v>
          </cell>
          <cell r="I715">
            <v>0</v>
          </cell>
        </row>
        <row r="716">
          <cell r="A716">
            <v>0</v>
          </cell>
          <cell r="B716">
            <v>0</v>
          </cell>
          <cell r="C716" t="str">
            <v>Máy thi công</v>
          </cell>
          <cell r="D716">
            <v>0</v>
          </cell>
          <cell r="E716">
            <v>0</v>
          </cell>
          <cell r="F716">
            <v>0</v>
          </cell>
          <cell r="G716">
            <v>0</v>
          </cell>
          <cell r="H716">
            <v>0</v>
          </cell>
          <cell r="I716">
            <v>0</v>
          </cell>
        </row>
        <row r="717">
          <cell r="A717">
            <v>0</v>
          </cell>
          <cell r="B717" t="str">
            <v>M203.0025</v>
          </cell>
          <cell r="C717" t="str">
            <v>Megôm met</v>
          </cell>
          <cell r="D717" t="str">
            <v>ca</v>
          </cell>
          <cell r="E717">
            <v>0.5</v>
          </cell>
          <cell r="F717">
            <v>40127.500000000007</v>
          </cell>
          <cell r="G717">
            <v>0</v>
          </cell>
          <cell r="H717">
            <v>0</v>
          </cell>
          <cell r="I717">
            <v>20063.750000000004</v>
          </cell>
        </row>
        <row r="718">
          <cell r="A718">
            <v>0</v>
          </cell>
          <cell r="B718" t="str">
            <v>M203.0007</v>
          </cell>
          <cell r="C718" t="str">
            <v>Hợp bộ thí nghiệm cao áp</v>
          </cell>
          <cell r="D718" t="str">
            <v>ca</v>
          </cell>
          <cell r="E718">
            <v>0.35</v>
          </cell>
          <cell r="F718">
            <v>403740.11363636365</v>
          </cell>
          <cell r="G718">
            <v>0</v>
          </cell>
          <cell r="H718">
            <v>0</v>
          </cell>
          <cell r="I718">
            <v>141309.03977272726</v>
          </cell>
        </row>
        <row r="719">
          <cell r="A719">
            <v>0</v>
          </cell>
          <cell r="B719" t="str">
            <v>M203.0026</v>
          </cell>
          <cell r="C719" t="str">
            <v>Thiết bị kiểm tra áp lực</v>
          </cell>
          <cell r="D719" t="str">
            <v>ca</v>
          </cell>
          <cell r="E719">
            <v>0.6</v>
          </cell>
          <cell r="F719">
            <v>68673.181818181838</v>
          </cell>
          <cell r="G719">
            <v>0</v>
          </cell>
          <cell r="H719">
            <v>0</v>
          </cell>
          <cell r="I719">
            <v>41203.909090909103</v>
          </cell>
        </row>
        <row r="720">
          <cell r="A720">
            <v>0</v>
          </cell>
          <cell r="B720" t="str">
            <v>M203.0020</v>
          </cell>
          <cell r="C720" t="str">
            <v>Máy chụp sóng</v>
          </cell>
          <cell r="D720" t="str">
            <v>ca</v>
          </cell>
          <cell r="E720">
            <v>0.48</v>
          </cell>
          <cell r="F720">
            <v>414683.97727272729</v>
          </cell>
          <cell r="G720">
            <v>0</v>
          </cell>
          <cell r="H720">
            <v>0</v>
          </cell>
          <cell r="I720">
            <v>199048.30909090908</v>
          </cell>
        </row>
        <row r="721">
          <cell r="A721">
            <v>0</v>
          </cell>
          <cell r="B721" t="str">
            <v>M203.0016</v>
          </cell>
          <cell r="C721" t="str">
            <v>Máy đo điện trở tiếp xúc</v>
          </cell>
          <cell r="D721" t="str">
            <v>ca</v>
          </cell>
          <cell r="E721">
            <v>0.12</v>
          </cell>
          <cell r="F721">
            <v>83447.159090909103</v>
          </cell>
          <cell r="G721">
            <v>0</v>
          </cell>
          <cell r="H721">
            <v>0</v>
          </cell>
          <cell r="I721">
            <v>10013.659090909092</v>
          </cell>
        </row>
        <row r="722">
          <cell r="A722">
            <v>0</v>
          </cell>
          <cell r="B722" t="str">
            <v>M203.0014</v>
          </cell>
          <cell r="C722" t="str">
            <v>Máy đo điện trở một chiều</v>
          </cell>
          <cell r="D722" t="str">
            <v>ca</v>
          </cell>
          <cell r="E722">
            <v>0.12</v>
          </cell>
          <cell r="F722">
            <v>142909.77272727276</v>
          </cell>
          <cell r="G722">
            <v>0</v>
          </cell>
          <cell r="H722">
            <v>0</v>
          </cell>
          <cell r="I722">
            <v>17149.172727272729</v>
          </cell>
        </row>
        <row r="723">
          <cell r="A723">
            <v>0</v>
          </cell>
          <cell r="B723" t="str">
            <v>M102.1802</v>
          </cell>
          <cell r="C723" t="str">
            <v>Xe thang nâng</v>
          </cell>
          <cell r="D723" t="str">
            <v>ca</v>
          </cell>
          <cell r="E723">
            <v>0.105</v>
          </cell>
          <cell r="F723">
            <v>1819914.2343571431</v>
          </cell>
          <cell r="G723">
            <v>0</v>
          </cell>
          <cell r="H723">
            <v>0</v>
          </cell>
          <cell r="I723">
            <v>191090.9946075</v>
          </cell>
        </row>
        <row r="724">
          <cell r="A724" t="str">
            <v>EB.11020</v>
          </cell>
          <cell r="B724">
            <v>0</v>
          </cell>
          <cell r="C724" t="str">
            <v>Thí nghiệm máy cắt khí 3 pha - U 220kV</v>
          </cell>
          <cell r="D724" t="str">
            <v>bộ ( 3 pha )</v>
          </cell>
          <cell r="E724">
            <v>0</v>
          </cell>
          <cell r="F724">
            <v>0</v>
          </cell>
          <cell r="G724">
            <v>55315.41272727272</v>
          </cell>
          <cell r="H724">
            <v>6098041.1842105258</v>
          </cell>
          <cell r="I724">
            <v>393592.5357175715</v>
          </cell>
        </row>
        <row r="725">
          <cell r="A725">
            <v>0</v>
          </cell>
          <cell r="B725">
            <v>0</v>
          </cell>
          <cell r="C725" t="str">
            <v>Vật liệu</v>
          </cell>
          <cell r="D725">
            <v>0</v>
          </cell>
          <cell r="E725">
            <v>0</v>
          </cell>
          <cell r="F725">
            <v>0</v>
          </cell>
          <cell r="G725">
            <v>0</v>
          </cell>
          <cell r="H725">
            <v>0</v>
          </cell>
          <cell r="I725">
            <v>0</v>
          </cell>
        </row>
        <row r="726">
          <cell r="A726">
            <v>0</v>
          </cell>
          <cell r="B726" t="str">
            <v>VL221</v>
          </cell>
          <cell r="C726" t="str">
            <v>Điện năng</v>
          </cell>
          <cell r="D726" t="str">
            <v>Kwh</v>
          </cell>
          <cell r="E726">
            <v>14</v>
          </cell>
          <cell r="F726">
            <v>1622.01</v>
          </cell>
          <cell r="G726">
            <v>22708.14</v>
          </cell>
          <cell r="H726">
            <v>0</v>
          </cell>
          <cell r="I726">
            <v>0</v>
          </cell>
        </row>
        <row r="727">
          <cell r="A727">
            <v>0</v>
          </cell>
          <cell r="B727" t="str">
            <v>VL177</v>
          </cell>
          <cell r="C727" t="str">
            <v>Cồn công nghiệp</v>
          </cell>
          <cell r="D727" t="str">
            <v>kg</v>
          </cell>
          <cell r="E727">
            <v>0.42</v>
          </cell>
          <cell r="F727">
            <v>20000</v>
          </cell>
          <cell r="G727">
            <v>8400</v>
          </cell>
          <cell r="H727">
            <v>0</v>
          </cell>
          <cell r="I727">
            <v>0</v>
          </cell>
        </row>
        <row r="728">
          <cell r="A728">
            <v>0</v>
          </cell>
          <cell r="B728" t="str">
            <v>VL188</v>
          </cell>
          <cell r="C728" t="str">
            <v>Vải phin trắng 0,8m</v>
          </cell>
          <cell r="D728" t="str">
            <v>m</v>
          </cell>
          <cell r="E728">
            <v>0.35</v>
          </cell>
          <cell r="F728">
            <v>8000</v>
          </cell>
          <cell r="G728">
            <v>2800</v>
          </cell>
          <cell r="H728">
            <v>0</v>
          </cell>
          <cell r="I728">
            <v>0</v>
          </cell>
        </row>
        <row r="729">
          <cell r="A729">
            <v>0</v>
          </cell>
          <cell r="B729" t="str">
            <v>VL176</v>
          </cell>
          <cell r="C729" t="str">
            <v>Giẻ lau</v>
          </cell>
          <cell r="D729" t="str">
            <v>kg</v>
          </cell>
          <cell r="E729">
            <v>0.35</v>
          </cell>
          <cell r="F729">
            <v>5000</v>
          </cell>
          <cell r="G729">
            <v>1750</v>
          </cell>
          <cell r="H729">
            <v>0</v>
          </cell>
          <cell r="I729">
            <v>0</v>
          </cell>
        </row>
        <row r="730">
          <cell r="A730">
            <v>0</v>
          </cell>
          <cell r="B730" t="str">
            <v>VL186</v>
          </cell>
          <cell r="C730" t="str">
            <v>Giấy nhám số 0</v>
          </cell>
          <cell r="D730" t="str">
            <v>tờ</v>
          </cell>
          <cell r="E730">
            <v>0.35</v>
          </cell>
          <cell r="F730">
            <v>2000</v>
          </cell>
          <cell r="G730">
            <v>700</v>
          </cell>
          <cell r="H730">
            <v>0</v>
          </cell>
          <cell r="I730">
            <v>0</v>
          </cell>
        </row>
        <row r="731">
          <cell r="A731">
            <v>0</v>
          </cell>
          <cell r="B731" t="str">
            <v>VL198</v>
          </cell>
          <cell r="C731" t="str">
            <v>Dây điện 2x1,5mm2</v>
          </cell>
          <cell r="D731" t="str">
            <v>m</v>
          </cell>
          <cell r="E731">
            <v>2.1</v>
          </cell>
          <cell r="F731">
            <v>9027.2727272727261</v>
          </cell>
          <cell r="G731">
            <v>18957.272727272724</v>
          </cell>
          <cell r="H731">
            <v>0</v>
          </cell>
          <cell r="I731">
            <v>0</v>
          </cell>
        </row>
        <row r="732">
          <cell r="A732">
            <v>0</v>
          </cell>
          <cell r="B732">
            <v>0</v>
          </cell>
          <cell r="C732" t="str">
            <v>Nhân công</v>
          </cell>
          <cell r="D732">
            <v>0</v>
          </cell>
          <cell r="E732">
            <v>0</v>
          </cell>
          <cell r="F732">
            <v>0</v>
          </cell>
          <cell r="G732">
            <v>0</v>
          </cell>
          <cell r="H732">
            <v>0</v>
          </cell>
          <cell r="I732">
            <v>0</v>
          </cell>
        </row>
        <row r="733">
          <cell r="A733">
            <v>0</v>
          </cell>
          <cell r="B733" t="str">
            <v>KS4</v>
          </cell>
          <cell r="C733" t="str">
            <v>Kỹ sư bậc 4,0/8</v>
          </cell>
          <cell r="D733" t="str">
            <v>công</v>
          </cell>
          <cell r="E733">
            <v>16.63</v>
          </cell>
          <cell r="F733">
            <v>237000</v>
          </cell>
          <cell r="G733">
            <v>0</v>
          </cell>
          <cell r="H733">
            <v>3941309.9999999995</v>
          </cell>
          <cell r="I733">
            <v>0</v>
          </cell>
        </row>
        <row r="734">
          <cell r="A734">
            <v>0</v>
          </cell>
          <cell r="B734" t="str">
            <v>N4507</v>
          </cell>
          <cell r="C734" t="str">
            <v xml:space="preserve"> Nhân công bậc 5,0/7 - Nhóm 4</v>
          </cell>
          <cell r="D734" t="str">
            <v>công</v>
          </cell>
          <cell r="E734">
            <v>7.13</v>
          </cell>
          <cell r="F734">
            <v>302486.8421052632</v>
          </cell>
          <cell r="G734">
            <v>0</v>
          </cell>
          <cell r="H734">
            <v>2156731.1842105268</v>
          </cell>
          <cell r="I734">
            <v>0</v>
          </cell>
        </row>
        <row r="735">
          <cell r="A735">
            <v>0</v>
          </cell>
          <cell r="B735">
            <v>0</v>
          </cell>
          <cell r="C735" t="str">
            <v>Máy thi công</v>
          </cell>
          <cell r="D735">
            <v>0</v>
          </cell>
          <cell r="E735">
            <v>0</v>
          </cell>
          <cell r="F735">
            <v>0</v>
          </cell>
          <cell r="G735">
            <v>0</v>
          </cell>
          <cell r="H735">
            <v>0</v>
          </cell>
          <cell r="I735">
            <v>0</v>
          </cell>
        </row>
        <row r="736">
          <cell r="A736">
            <v>0</v>
          </cell>
          <cell r="B736" t="str">
            <v>M203.0025</v>
          </cell>
          <cell r="C736" t="str">
            <v>Megôm met</v>
          </cell>
          <cell r="D736" t="str">
            <v>ca</v>
          </cell>
          <cell r="E736">
            <v>0.35</v>
          </cell>
          <cell r="F736">
            <v>40127.500000000007</v>
          </cell>
          <cell r="G736">
            <v>0</v>
          </cell>
          <cell r="H736">
            <v>0</v>
          </cell>
          <cell r="I736">
            <v>14044.625000000002</v>
          </cell>
        </row>
        <row r="737">
          <cell r="A737">
            <v>0</v>
          </cell>
          <cell r="B737" t="str">
            <v>M203.0007</v>
          </cell>
          <cell r="C737" t="str">
            <v>Hợp bộ thí nghiệm cao áp</v>
          </cell>
          <cell r="D737" t="str">
            <v>ca</v>
          </cell>
          <cell r="E737">
            <v>0.221</v>
          </cell>
          <cell r="F737">
            <v>403740.11363636365</v>
          </cell>
          <cell r="G737">
            <v>0</v>
          </cell>
          <cell r="H737">
            <v>0</v>
          </cell>
          <cell r="I737">
            <v>89226.565113636374</v>
          </cell>
        </row>
        <row r="738">
          <cell r="A738">
            <v>0</v>
          </cell>
          <cell r="B738" t="str">
            <v>M203.0026</v>
          </cell>
          <cell r="C738" t="str">
            <v>Thiết bị kiểm tra áp lực</v>
          </cell>
          <cell r="D738" t="str">
            <v>ca</v>
          </cell>
          <cell r="E738">
            <v>0.378</v>
          </cell>
          <cell r="F738">
            <v>68673.181818181838</v>
          </cell>
          <cell r="G738">
            <v>0</v>
          </cell>
          <cell r="H738">
            <v>0</v>
          </cell>
          <cell r="I738">
            <v>25958.462727272734</v>
          </cell>
        </row>
        <row r="739">
          <cell r="A739">
            <v>0</v>
          </cell>
          <cell r="B739" t="str">
            <v>M203.0020</v>
          </cell>
          <cell r="C739" t="str">
            <v>Máy chụp sóng</v>
          </cell>
          <cell r="D739" t="str">
            <v>ca</v>
          </cell>
          <cell r="E739">
            <v>0.30199999999999999</v>
          </cell>
          <cell r="F739">
            <v>414683.97727272729</v>
          </cell>
          <cell r="G739">
            <v>0</v>
          </cell>
          <cell r="H739">
            <v>0</v>
          </cell>
          <cell r="I739">
            <v>125234.56113636364</v>
          </cell>
        </row>
        <row r="740">
          <cell r="A740">
            <v>0</v>
          </cell>
          <cell r="B740" t="str">
            <v>M203.0016</v>
          </cell>
          <cell r="C740" t="str">
            <v>Máy đo điện trở tiếp xúc</v>
          </cell>
          <cell r="D740" t="str">
            <v>ca</v>
          </cell>
          <cell r="E740">
            <v>8.4000000000000005E-2</v>
          </cell>
          <cell r="F740">
            <v>83447.159090909103</v>
          </cell>
          <cell r="G740">
            <v>0</v>
          </cell>
          <cell r="H740">
            <v>0</v>
          </cell>
          <cell r="I740">
            <v>7009.5613636363651</v>
          </cell>
        </row>
        <row r="741">
          <cell r="A741">
            <v>0</v>
          </cell>
          <cell r="B741" t="str">
            <v>M203.0014</v>
          </cell>
          <cell r="C741" t="str">
            <v>Máy đo điện trở một chiều</v>
          </cell>
          <cell r="D741" t="str">
            <v>ca</v>
          </cell>
          <cell r="E741">
            <v>8.4000000000000005E-2</v>
          </cell>
          <cell r="F741">
            <v>142909.77272727276</v>
          </cell>
          <cell r="G741">
            <v>0</v>
          </cell>
          <cell r="H741">
            <v>0</v>
          </cell>
          <cell r="I741">
            <v>12004.420909090913</v>
          </cell>
        </row>
        <row r="742">
          <cell r="A742">
            <v>0</v>
          </cell>
          <cell r="B742" t="str">
            <v>M102.1802</v>
          </cell>
          <cell r="C742" t="str">
            <v>Xe thang nâng</v>
          </cell>
          <cell r="D742" t="str">
            <v>ca</v>
          </cell>
          <cell r="E742">
            <v>6.6000000000000003E-2</v>
          </cell>
          <cell r="F742">
            <v>1819914.2343571431</v>
          </cell>
          <cell r="G742">
            <v>0</v>
          </cell>
          <cell r="H742">
            <v>0</v>
          </cell>
          <cell r="I742">
            <v>120114.33946757145</v>
          </cell>
        </row>
        <row r="743">
          <cell r="A743" t="str">
            <v>EB.11030</v>
          </cell>
          <cell r="B743">
            <v>0</v>
          </cell>
          <cell r="C743" t="str">
            <v>Thí nghiệm máy cắt khí 3 pha - U 66-110kV</v>
          </cell>
          <cell r="D743" t="str">
            <v>bộ ( 3 pha )</v>
          </cell>
          <cell r="E743">
            <v>0</v>
          </cell>
          <cell r="F743">
            <v>0</v>
          </cell>
          <cell r="G743">
            <v>38720.788909090908</v>
          </cell>
          <cell r="H743">
            <v>4072907.3684210526</v>
          </cell>
          <cell r="I743">
            <v>275189.72512133769</v>
          </cell>
        </row>
        <row r="744">
          <cell r="A744">
            <v>0</v>
          </cell>
          <cell r="B744">
            <v>0</v>
          </cell>
          <cell r="C744" t="str">
            <v>Vật liệu</v>
          </cell>
          <cell r="D744">
            <v>0</v>
          </cell>
          <cell r="E744">
            <v>0</v>
          </cell>
          <cell r="F744">
            <v>0</v>
          </cell>
          <cell r="G744">
            <v>0</v>
          </cell>
          <cell r="H744">
            <v>0</v>
          </cell>
          <cell r="I744">
            <v>0</v>
          </cell>
        </row>
        <row r="745">
          <cell r="A745">
            <v>0</v>
          </cell>
          <cell r="B745" t="str">
            <v>VL221</v>
          </cell>
          <cell r="C745" t="str">
            <v>Điện năng</v>
          </cell>
          <cell r="D745" t="str">
            <v>Kwh</v>
          </cell>
          <cell r="E745">
            <v>9.8000000000000007</v>
          </cell>
          <cell r="F745">
            <v>1622.01</v>
          </cell>
          <cell r="G745">
            <v>15895.698</v>
          </cell>
          <cell r="H745">
            <v>0</v>
          </cell>
          <cell r="I745">
            <v>0</v>
          </cell>
        </row>
        <row r="746">
          <cell r="A746">
            <v>0</v>
          </cell>
          <cell r="B746" t="str">
            <v>VL177</v>
          </cell>
          <cell r="C746" t="str">
            <v>Cồn công nghiệp</v>
          </cell>
          <cell r="D746" t="str">
            <v>kg</v>
          </cell>
          <cell r="E746">
            <v>0.29399999999999998</v>
          </cell>
          <cell r="F746">
            <v>20000</v>
          </cell>
          <cell r="G746">
            <v>5880</v>
          </cell>
          <cell r="H746">
            <v>0</v>
          </cell>
          <cell r="I746">
            <v>0</v>
          </cell>
        </row>
        <row r="747">
          <cell r="A747">
            <v>0</v>
          </cell>
          <cell r="B747" t="str">
            <v>VL188</v>
          </cell>
          <cell r="C747" t="str">
            <v>Vải phin trắng 0,8m</v>
          </cell>
          <cell r="D747" t="str">
            <v>m</v>
          </cell>
          <cell r="E747">
            <v>0.245</v>
          </cell>
          <cell r="F747">
            <v>8000</v>
          </cell>
          <cell r="G747">
            <v>1960</v>
          </cell>
          <cell r="H747">
            <v>0</v>
          </cell>
          <cell r="I747">
            <v>0</v>
          </cell>
        </row>
        <row r="748">
          <cell r="A748">
            <v>0</v>
          </cell>
          <cell r="B748" t="str">
            <v>VL176</v>
          </cell>
          <cell r="C748" t="str">
            <v>Giẻ lau</v>
          </cell>
          <cell r="D748" t="str">
            <v>kg</v>
          </cell>
          <cell r="E748">
            <v>0.245</v>
          </cell>
          <cell r="F748">
            <v>5000</v>
          </cell>
          <cell r="G748">
            <v>1225</v>
          </cell>
          <cell r="H748">
            <v>0</v>
          </cell>
          <cell r="I748">
            <v>0</v>
          </cell>
        </row>
        <row r="749">
          <cell r="A749">
            <v>0</v>
          </cell>
          <cell r="B749" t="str">
            <v>VL186</v>
          </cell>
          <cell r="C749" t="str">
            <v>Giấy nhám số 0</v>
          </cell>
          <cell r="D749" t="str">
            <v>tờ</v>
          </cell>
          <cell r="E749">
            <v>0.245</v>
          </cell>
          <cell r="F749">
            <v>2000</v>
          </cell>
          <cell r="G749">
            <v>490</v>
          </cell>
          <cell r="H749">
            <v>0</v>
          </cell>
          <cell r="I749">
            <v>0</v>
          </cell>
        </row>
        <row r="750">
          <cell r="A750">
            <v>0</v>
          </cell>
          <cell r="B750" t="str">
            <v>VL198</v>
          </cell>
          <cell r="C750" t="str">
            <v>Dây điện 2x1,5mm2</v>
          </cell>
          <cell r="D750" t="str">
            <v>m</v>
          </cell>
          <cell r="E750">
            <v>1.47</v>
          </cell>
          <cell r="F750">
            <v>9027.2727272727261</v>
          </cell>
          <cell r="G750">
            <v>13270.090909090906</v>
          </cell>
          <cell r="H750">
            <v>0</v>
          </cell>
          <cell r="I750">
            <v>0</v>
          </cell>
        </row>
        <row r="751">
          <cell r="A751">
            <v>0</v>
          </cell>
          <cell r="B751">
            <v>0</v>
          </cell>
          <cell r="C751" t="str">
            <v>Nhân công</v>
          </cell>
          <cell r="D751">
            <v>0</v>
          </cell>
          <cell r="E751">
            <v>0</v>
          </cell>
          <cell r="F751">
            <v>0</v>
          </cell>
          <cell r="G751">
            <v>0</v>
          </cell>
          <cell r="H751">
            <v>0</v>
          </cell>
          <cell r="I751">
            <v>0</v>
          </cell>
        </row>
        <row r="752">
          <cell r="A752">
            <v>0</v>
          </cell>
          <cell r="B752" t="str">
            <v>KS4</v>
          </cell>
          <cell r="C752" t="str">
            <v>Kỹ sư bậc 4,0/8</v>
          </cell>
          <cell r="D752" t="str">
            <v>công</v>
          </cell>
          <cell r="E752">
            <v>11.11</v>
          </cell>
          <cell r="F752">
            <v>237000</v>
          </cell>
          <cell r="G752">
            <v>0</v>
          </cell>
          <cell r="H752">
            <v>2633070</v>
          </cell>
          <cell r="I752">
            <v>0</v>
          </cell>
        </row>
        <row r="753">
          <cell r="A753">
            <v>0</v>
          </cell>
          <cell r="B753" t="str">
            <v>N4507</v>
          </cell>
          <cell r="C753" t="str">
            <v xml:space="preserve"> Nhân công bậc 5,0/7 - Nhóm 4</v>
          </cell>
          <cell r="D753" t="str">
            <v>công</v>
          </cell>
          <cell r="E753">
            <v>4.76</v>
          </cell>
          <cell r="F753">
            <v>302486.8421052632</v>
          </cell>
          <cell r="G753">
            <v>0</v>
          </cell>
          <cell r="H753">
            <v>1439837.3684210528</v>
          </cell>
          <cell r="I753">
            <v>0</v>
          </cell>
        </row>
        <row r="754">
          <cell r="A754">
            <v>0</v>
          </cell>
          <cell r="B754">
            <v>0</v>
          </cell>
          <cell r="C754" t="str">
            <v>Máy thi công</v>
          </cell>
          <cell r="D754">
            <v>0</v>
          </cell>
          <cell r="E754">
            <v>0</v>
          </cell>
          <cell r="F754">
            <v>0</v>
          </cell>
          <cell r="G754">
            <v>0</v>
          </cell>
          <cell r="H754">
            <v>0</v>
          </cell>
          <cell r="I754">
            <v>0</v>
          </cell>
        </row>
        <row r="755">
          <cell r="A755">
            <v>0</v>
          </cell>
          <cell r="B755" t="str">
            <v>M203.0025</v>
          </cell>
          <cell r="C755" t="str">
            <v>Megôm met</v>
          </cell>
          <cell r="D755" t="str">
            <v>ca</v>
          </cell>
          <cell r="E755">
            <v>0.245</v>
          </cell>
          <cell r="F755">
            <v>40127.500000000007</v>
          </cell>
          <cell r="G755">
            <v>0</v>
          </cell>
          <cell r="H755">
            <v>0</v>
          </cell>
          <cell r="I755">
            <v>9831.2375000000011</v>
          </cell>
        </row>
        <row r="756">
          <cell r="A756">
            <v>0</v>
          </cell>
          <cell r="B756" t="str">
            <v>M203.0007</v>
          </cell>
          <cell r="C756" t="str">
            <v>Hợp bộ thí nghiệm cao áp</v>
          </cell>
          <cell r="D756" t="str">
            <v>ca</v>
          </cell>
          <cell r="E756">
            <v>0.154</v>
          </cell>
          <cell r="F756">
            <v>403740.11363636365</v>
          </cell>
          <cell r="G756">
            <v>0</v>
          </cell>
          <cell r="H756">
            <v>0</v>
          </cell>
          <cell r="I756">
            <v>62175.977500000001</v>
          </cell>
        </row>
        <row r="757">
          <cell r="A757">
            <v>0</v>
          </cell>
          <cell r="B757" t="str">
            <v>M203.0026</v>
          </cell>
          <cell r="C757" t="str">
            <v>Thiết bị kiểm tra áp lực</v>
          </cell>
          <cell r="D757" t="str">
            <v>ca</v>
          </cell>
          <cell r="E757">
            <v>0.26500000000000001</v>
          </cell>
          <cell r="F757">
            <v>68673.181818181838</v>
          </cell>
          <cell r="G757">
            <v>0</v>
          </cell>
          <cell r="H757">
            <v>0</v>
          </cell>
          <cell r="I757">
            <v>18198.393181818188</v>
          </cell>
        </row>
        <row r="758">
          <cell r="A758">
            <v>0</v>
          </cell>
          <cell r="B758" t="str">
            <v>M203.0020</v>
          </cell>
          <cell r="C758" t="str">
            <v>Máy chụp sóng</v>
          </cell>
          <cell r="D758" t="str">
            <v>ca</v>
          </cell>
          <cell r="E758">
            <v>0.21199999999999999</v>
          </cell>
          <cell r="F758">
            <v>414683.97727272729</v>
          </cell>
          <cell r="G758">
            <v>0</v>
          </cell>
          <cell r="H758">
            <v>0</v>
          </cell>
          <cell r="I758">
            <v>87913.003181818189</v>
          </cell>
        </row>
        <row r="759">
          <cell r="A759">
            <v>0</v>
          </cell>
          <cell r="B759" t="str">
            <v>M203.0016</v>
          </cell>
          <cell r="C759" t="str">
            <v>Máy đo điện trở tiếp xúc</v>
          </cell>
          <cell r="D759" t="str">
            <v>ca</v>
          </cell>
          <cell r="E759">
            <v>5.8999999999999997E-2</v>
          </cell>
          <cell r="F759">
            <v>83447.159090909103</v>
          </cell>
          <cell r="G759">
            <v>0</v>
          </cell>
          <cell r="H759">
            <v>0</v>
          </cell>
          <cell r="I759">
            <v>4923.3823863636371</v>
          </cell>
        </row>
        <row r="760">
          <cell r="A760">
            <v>0</v>
          </cell>
          <cell r="B760" t="str">
            <v>M203.0014</v>
          </cell>
          <cell r="C760" t="str">
            <v>Máy đo điện trở một chiều</v>
          </cell>
          <cell r="D760" t="str">
            <v>ca</v>
          </cell>
          <cell r="E760">
            <v>5.8999999999999997E-2</v>
          </cell>
          <cell r="F760">
            <v>142909.77272727276</v>
          </cell>
          <cell r="G760">
            <v>0</v>
          </cell>
          <cell r="H760">
            <v>0</v>
          </cell>
          <cell r="I760">
            <v>8431.6765909090918</v>
          </cell>
        </row>
        <row r="761">
          <cell r="A761">
            <v>0</v>
          </cell>
          <cell r="B761" t="str">
            <v>M102.1802</v>
          </cell>
          <cell r="C761" t="str">
            <v>Xe thang nâng</v>
          </cell>
          <cell r="D761" t="str">
            <v>ca</v>
          </cell>
          <cell r="E761">
            <v>4.5999999999999999E-2</v>
          </cell>
          <cell r="F761">
            <v>1819914.2343571431</v>
          </cell>
          <cell r="G761">
            <v>0</v>
          </cell>
          <cell r="H761">
            <v>0</v>
          </cell>
          <cell r="I761">
            <v>83716.054780428574</v>
          </cell>
        </row>
        <row r="762">
          <cell r="A762" t="str">
            <v>EB.11040</v>
          </cell>
          <cell r="B762">
            <v>0</v>
          </cell>
          <cell r="C762" t="str">
            <v>Thí nghiệm máy cắt khí 3 pha - U &lt;=35kV</v>
          </cell>
          <cell r="D762" t="str">
            <v>bộ ( 3 pha )</v>
          </cell>
          <cell r="E762">
            <v>0</v>
          </cell>
          <cell r="F762">
            <v>0</v>
          </cell>
          <cell r="G762">
            <v>27116.052236363634</v>
          </cell>
          <cell r="H762">
            <v>2828501.4473684211</v>
          </cell>
          <cell r="I762">
            <v>133864.26375000001</v>
          </cell>
        </row>
        <row r="763">
          <cell r="A763">
            <v>0</v>
          </cell>
          <cell r="B763">
            <v>0</v>
          </cell>
          <cell r="C763" t="str">
            <v>Vật liệu</v>
          </cell>
          <cell r="D763">
            <v>0</v>
          </cell>
          <cell r="E763">
            <v>0</v>
          </cell>
          <cell r="F763">
            <v>0</v>
          </cell>
          <cell r="G763">
            <v>0</v>
          </cell>
          <cell r="H763">
            <v>0</v>
          </cell>
          <cell r="I763">
            <v>0</v>
          </cell>
        </row>
        <row r="764">
          <cell r="A764">
            <v>0</v>
          </cell>
          <cell r="B764" t="str">
            <v>VL221</v>
          </cell>
          <cell r="C764" t="str">
            <v>Điện năng</v>
          </cell>
          <cell r="D764" t="str">
            <v>Kwh</v>
          </cell>
          <cell r="E764">
            <v>6.86</v>
          </cell>
          <cell r="F764">
            <v>1622.01</v>
          </cell>
          <cell r="G764">
            <v>11126.988600000001</v>
          </cell>
          <cell r="H764">
            <v>0</v>
          </cell>
          <cell r="I764">
            <v>0</v>
          </cell>
        </row>
        <row r="765">
          <cell r="A765">
            <v>0</v>
          </cell>
          <cell r="B765" t="str">
            <v>VL177</v>
          </cell>
          <cell r="C765" t="str">
            <v>Cồn công nghiệp</v>
          </cell>
          <cell r="D765" t="str">
            <v>kg</v>
          </cell>
          <cell r="E765">
            <v>0.20599999999999999</v>
          </cell>
          <cell r="F765">
            <v>20000</v>
          </cell>
          <cell r="G765">
            <v>4120</v>
          </cell>
          <cell r="H765">
            <v>0</v>
          </cell>
          <cell r="I765">
            <v>0</v>
          </cell>
        </row>
        <row r="766">
          <cell r="A766">
            <v>0</v>
          </cell>
          <cell r="B766" t="str">
            <v>VL188</v>
          </cell>
          <cell r="C766" t="str">
            <v>Vải phin trắng 0,8m</v>
          </cell>
          <cell r="D766" t="str">
            <v>m</v>
          </cell>
          <cell r="E766">
            <v>0.17199999999999999</v>
          </cell>
          <cell r="F766">
            <v>8000</v>
          </cell>
          <cell r="G766">
            <v>1376</v>
          </cell>
          <cell r="H766">
            <v>0</v>
          </cell>
          <cell r="I766">
            <v>0</v>
          </cell>
        </row>
        <row r="767">
          <cell r="A767">
            <v>0</v>
          </cell>
          <cell r="B767" t="str">
            <v>VL176</v>
          </cell>
          <cell r="C767" t="str">
            <v>Giẻ lau</v>
          </cell>
          <cell r="D767" t="str">
            <v>kg</v>
          </cell>
          <cell r="E767">
            <v>0.17199999999999999</v>
          </cell>
          <cell r="F767">
            <v>5000</v>
          </cell>
          <cell r="G767">
            <v>859.99999999999989</v>
          </cell>
          <cell r="H767">
            <v>0</v>
          </cell>
          <cell r="I767">
            <v>0</v>
          </cell>
        </row>
        <row r="768">
          <cell r="A768">
            <v>0</v>
          </cell>
          <cell r="B768" t="str">
            <v>VL186</v>
          </cell>
          <cell r="C768" t="str">
            <v>Giấy nhám số 0</v>
          </cell>
          <cell r="D768" t="str">
            <v>tờ</v>
          </cell>
          <cell r="E768">
            <v>0.17199999999999999</v>
          </cell>
          <cell r="F768">
            <v>2000</v>
          </cell>
          <cell r="G768">
            <v>344</v>
          </cell>
          <cell r="H768">
            <v>0</v>
          </cell>
          <cell r="I768">
            <v>0</v>
          </cell>
        </row>
        <row r="769">
          <cell r="A769">
            <v>0</v>
          </cell>
          <cell r="B769" t="str">
            <v>VL198</v>
          </cell>
          <cell r="C769" t="str">
            <v>Dây điện 2x1,5mm2</v>
          </cell>
          <cell r="D769" t="str">
            <v>m</v>
          </cell>
          <cell r="E769">
            <v>1.0289999999999999</v>
          </cell>
          <cell r="F769">
            <v>9027.2727272727261</v>
          </cell>
          <cell r="G769">
            <v>9289.0636363636349</v>
          </cell>
          <cell r="H769">
            <v>0</v>
          </cell>
          <cell r="I769">
            <v>0</v>
          </cell>
        </row>
        <row r="770">
          <cell r="A770">
            <v>0</v>
          </cell>
          <cell r="B770">
            <v>0</v>
          </cell>
          <cell r="C770" t="str">
            <v>Nhân công</v>
          </cell>
          <cell r="D770">
            <v>0</v>
          </cell>
          <cell r="E770">
            <v>0</v>
          </cell>
          <cell r="F770">
            <v>0</v>
          </cell>
          <cell r="G770">
            <v>0</v>
          </cell>
          <cell r="H770">
            <v>0</v>
          </cell>
          <cell r="I770">
            <v>0</v>
          </cell>
        </row>
        <row r="771">
          <cell r="A771">
            <v>0</v>
          </cell>
          <cell r="B771" t="str">
            <v>KS4</v>
          </cell>
          <cell r="C771" t="str">
            <v>Kỹ sư bậc 4,0/8</v>
          </cell>
          <cell r="D771" t="str">
            <v>công</v>
          </cell>
          <cell r="E771">
            <v>7.71</v>
          </cell>
          <cell r="F771">
            <v>237000</v>
          </cell>
          <cell r="G771">
            <v>0</v>
          </cell>
          <cell r="H771">
            <v>1827270</v>
          </cell>
          <cell r="I771">
            <v>0</v>
          </cell>
        </row>
        <row r="772">
          <cell r="A772">
            <v>0</v>
          </cell>
          <cell r="B772" t="str">
            <v>N4507</v>
          </cell>
          <cell r="C772" t="str">
            <v xml:space="preserve"> Nhân công bậc 5,0/7 - Nhóm 4</v>
          </cell>
          <cell r="D772" t="str">
            <v>công</v>
          </cell>
          <cell r="E772">
            <v>3.31</v>
          </cell>
          <cell r="F772">
            <v>302486.8421052632</v>
          </cell>
          <cell r="G772">
            <v>0</v>
          </cell>
          <cell r="H772">
            <v>1001231.4473684212</v>
          </cell>
          <cell r="I772">
            <v>0</v>
          </cell>
        </row>
        <row r="773">
          <cell r="A773">
            <v>0</v>
          </cell>
          <cell r="B773">
            <v>0</v>
          </cell>
          <cell r="C773" t="str">
            <v>Máy thi công</v>
          </cell>
          <cell r="D773">
            <v>0</v>
          </cell>
          <cell r="E773">
            <v>0</v>
          </cell>
          <cell r="F773">
            <v>0</v>
          </cell>
          <cell r="G773">
            <v>0</v>
          </cell>
          <cell r="H773">
            <v>0</v>
          </cell>
          <cell r="I773">
            <v>0</v>
          </cell>
        </row>
        <row r="774">
          <cell r="A774">
            <v>0</v>
          </cell>
          <cell r="B774" t="str">
            <v>M203.0025</v>
          </cell>
          <cell r="C774" t="str">
            <v>Megôm met</v>
          </cell>
          <cell r="D774" t="str">
            <v>ca</v>
          </cell>
          <cell r="E774">
            <v>0.17199999999999999</v>
          </cell>
          <cell r="F774">
            <v>40127.500000000007</v>
          </cell>
          <cell r="G774">
            <v>0</v>
          </cell>
          <cell r="H774">
            <v>0</v>
          </cell>
          <cell r="I774">
            <v>6901.93</v>
          </cell>
        </row>
        <row r="775">
          <cell r="A775">
            <v>0</v>
          </cell>
          <cell r="B775" t="str">
            <v>M203.0007</v>
          </cell>
          <cell r="C775" t="str">
            <v>Hợp bộ thí nghiệm cao áp</v>
          </cell>
          <cell r="D775" t="str">
            <v>ca</v>
          </cell>
          <cell r="E775">
            <v>0.108</v>
          </cell>
          <cell r="F775">
            <v>403740.11363636365</v>
          </cell>
          <cell r="G775">
            <v>0</v>
          </cell>
          <cell r="H775">
            <v>0</v>
          </cell>
          <cell r="I775">
            <v>43603.932272727274</v>
          </cell>
        </row>
        <row r="776">
          <cell r="A776">
            <v>0</v>
          </cell>
          <cell r="B776" t="str">
            <v>M203.0026</v>
          </cell>
          <cell r="C776" t="str">
            <v>Thiết bị kiểm tra áp lực</v>
          </cell>
          <cell r="D776" t="str">
            <v>ca</v>
          </cell>
          <cell r="E776">
            <v>0.185</v>
          </cell>
          <cell r="F776">
            <v>68673.181818181838</v>
          </cell>
          <cell r="G776">
            <v>0</v>
          </cell>
          <cell r="H776">
            <v>0</v>
          </cell>
          <cell r="I776">
            <v>12704.538636363641</v>
          </cell>
        </row>
        <row r="777">
          <cell r="A777">
            <v>0</v>
          </cell>
          <cell r="B777" t="str">
            <v>M203.0020</v>
          </cell>
          <cell r="C777" t="str">
            <v>Máy chụp sóng</v>
          </cell>
          <cell r="D777" t="str">
            <v>ca</v>
          </cell>
          <cell r="E777">
            <v>0.14799999999999999</v>
          </cell>
          <cell r="F777">
            <v>414683.97727272729</v>
          </cell>
          <cell r="G777">
            <v>0</v>
          </cell>
          <cell r="H777">
            <v>0</v>
          </cell>
          <cell r="I777">
            <v>61373.228636363638</v>
          </cell>
        </row>
        <row r="778">
          <cell r="A778">
            <v>0</v>
          </cell>
          <cell r="B778" t="str">
            <v>M203.0016</v>
          </cell>
          <cell r="C778" t="str">
            <v>Máy đo điện trở tiếp xúc</v>
          </cell>
          <cell r="D778" t="str">
            <v>ca</v>
          </cell>
          <cell r="E778">
            <v>4.1000000000000002E-2</v>
          </cell>
          <cell r="F778">
            <v>83447.159090909103</v>
          </cell>
          <cell r="G778">
            <v>0</v>
          </cell>
          <cell r="H778">
            <v>0</v>
          </cell>
          <cell r="I778">
            <v>3421.3335227272732</v>
          </cell>
        </row>
        <row r="779">
          <cell r="A779">
            <v>0</v>
          </cell>
          <cell r="B779" t="str">
            <v>M203.0014</v>
          </cell>
          <cell r="C779" t="str">
            <v>Máy đo điện trở một chiều</v>
          </cell>
          <cell r="D779" t="str">
            <v>ca</v>
          </cell>
          <cell r="E779">
            <v>4.1000000000000002E-2</v>
          </cell>
          <cell r="F779">
            <v>142909.77272727276</v>
          </cell>
          <cell r="G779">
            <v>0</v>
          </cell>
          <cell r="H779">
            <v>0</v>
          </cell>
          <cell r="I779">
            <v>5859.3006818181839</v>
          </cell>
        </row>
        <row r="780">
          <cell r="A780">
            <v>0</v>
          </cell>
          <cell r="B780" t="str">
            <v>M102.1802</v>
          </cell>
          <cell r="C780" t="str">
            <v>Xe thang nâng</v>
          </cell>
          <cell r="D780" t="str">
            <v>ca</v>
          </cell>
          <cell r="E780">
            <v>0</v>
          </cell>
          <cell r="F780">
            <v>1819914.2343571431</v>
          </cell>
          <cell r="G780">
            <v>0</v>
          </cell>
          <cell r="H780">
            <v>0</v>
          </cell>
          <cell r="I780">
            <v>0</v>
          </cell>
        </row>
        <row r="781">
          <cell r="A781" t="str">
            <v>EB.12010</v>
          </cell>
          <cell r="B781">
            <v>0</v>
          </cell>
          <cell r="C781" t="str">
            <v>Thí nghiệm máy cắt dầu 3 pha - U 220kV</v>
          </cell>
          <cell r="D781" t="str">
            <v>bộ ( 3 pha )</v>
          </cell>
          <cell r="E781">
            <v>0</v>
          </cell>
          <cell r="F781">
            <v>0</v>
          </cell>
          <cell r="G781">
            <v>65421.392727272716</v>
          </cell>
          <cell r="H781">
            <v>6236499.078947369</v>
          </cell>
          <cell r="I781">
            <v>694192.4430369417</v>
          </cell>
        </row>
        <row r="782">
          <cell r="A782">
            <v>0</v>
          </cell>
          <cell r="B782">
            <v>0</v>
          </cell>
          <cell r="C782" t="str">
            <v>Vật liệu</v>
          </cell>
          <cell r="D782">
            <v>0</v>
          </cell>
          <cell r="E782">
            <v>0</v>
          </cell>
          <cell r="F782">
            <v>0</v>
          </cell>
          <cell r="G782">
            <v>0</v>
          </cell>
          <cell r="H782">
            <v>0</v>
          </cell>
          <cell r="I782">
            <v>0</v>
          </cell>
        </row>
        <row r="783">
          <cell r="A783">
            <v>0</v>
          </cell>
          <cell r="B783" t="str">
            <v>VL221</v>
          </cell>
          <cell r="C783" t="str">
            <v>Điện năng</v>
          </cell>
          <cell r="D783" t="str">
            <v>Kwh</v>
          </cell>
          <cell r="E783">
            <v>12</v>
          </cell>
          <cell r="F783">
            <v>1622.01</v>
          </cell>
          <cell r="G783">
            <v>19464.12</v>
          </cell>
          <cell r="H783">
            <v>0</v>
          </cell>
          <cell r="I783">
            <v>0</v>
          </cell>
        </row>
        <row r="784">
          <cell r="A784">
            <v>0</v>
          </cell>
          <cell r="B784" t="str">
            <v>VL127</v>
          </cell>
          <cell r="C784" t="str">
            <v>Mỡ các loại</v>
          </cell>
          <cell r="D784" t="str">
            <v>kg</v>
          </cell>
          <cell r="E784">
            <v>0.2</v>
          </cell>
          <cell r="F784">
            <v>25000</v>
          </cell>
          <cell r="G784">
            <v>5000</v>
          </cell>
          <cell r="H784">
            <v>0</v>
          </cell>
          <cell r="I784">
            <v>0</v>
          </cell>
        </row>
        <row r="785">
          <cell r="A785">
            <v>0</v>
          </cell>
          <cell r="B785" t="str">
            <v>VL177</v>
          </cell>
          <cell r="C785" t="str">
            <v>Cồn công nghiệp</v>
          </cell>
          <cell r="D785" t="str">
            <v>kg</v>
          </cell>
          <cell r="E785">
            <v>0.4</v>
          </cell>
          <cell r="F785">
            <v>20000</v>
          </cell>
          <cell r="G785">
            <v>8000</v>
          </cell>
          <cell r="H785">
            <v>0</v>
          </cell>
          <cell r="I785">
            <v>0</v>
          </cell>
        </row>
        <row r="786">
          <cell r="A786">
            <v>0</v>
          </cell>
          <cell r="B786" t="str">
            <v>VL188</v>
          </cell>
          <cell r="C786" t="str">
            <v>Vải phin trắng 0,8m</v>
          </cell>
          <cell r="D786" t="str">
            <v>m</v>
          </cell>
          <cell r="E786">
            <v>1</v>
          </cell>
          <cell r="F786">
            <v>8000</v>
          </cell>
          <cell r="G786">
            <v>8000</v>
          </cell>
          <cell r="H786">
            <v>0</v>
          </cell>
          <cell r="I786">
            <v>0</v>
          </cell>
        </row>
        <row r="787">
          <cell r="A787">
            <v>0</v>
          </cell>
          <cell r="B787" t="str">
            <v>VL176</v>
          </cell>
          <cell r="C787" t="str">
            <v>Giẻ lau</v>
          </cell>
          <cell r="D787" t="str">
            <v>kg</v>
          </cell>
          <cell r="E787">
            <v>1</v>
          </cell>
          <cell r="F787">
            <v>5000</v>
          </cell>
          <cell r="G787">
            <v>5000</v>
          </cell>
          <cell r="H787">
            <v>0</v>
          </cell>
          <cell r="I787">
            <v>0</v>
          </cell>
        </row>
        <row r="788">
          <cell r="A788">
            <v>0</v>
          </cell>
          <cell r="B788" t="str">
            <v>VL186</v>
          </cell>
          <cell r="C788" t="str">
            <v>Giấy nhám số 0</v>
          </cell>
          <cell r="D788" t="str">
            <v>tờ</v>
          </cell>
          <cell r="E788">
            <v>0.5</v>
          </cell>
          <cell r="F788">
            <v>2000</v>
          </cell>
          <cell r="G788">
            <v>1000</v>
          </cell>
          <cell r="H788">
            <v>0</v>
          </cell>
          <cell r="I788">
            <v>0</v>
          </cell>
        </row>
        <row r="789">
          <cell r="A789">
            <v>0</v>
          </cell>
          <cell r="B789" t="str">
            <v>VL198</v>
          </cell>
          <cell r="C789" t="str">
            <v>Dây điện 2x1,5mm2</v>
          </cell>
          <cell r="D789" t="str">
            <v>m</v>
          </cell>
          <cell r="E789">
            <v>2.1</v>
          </cell>
          <cell r="F789">
            <v>9027.2727272727261</v>
          </cell>
          <cell r="G789">
            <v>18957.272727272724</v>
          </cell>
          <cell r="H789">
            <v>0</v>
          </cell>
          <cell r="I789">
            <v>0</v>
          </cell>
        </row>
        <row r="790">
          <cell r="A790">
            <v>0</v>
          </cell>
          <cell r="B790">
            <v>0</v>
          </cell>
          <cell r="C790" t="str">
            <v>Nhân công</v>
          </cell>
          <cell r="D790">
            <v>0</v>
          </cell>
          <cell r="E790">
            <v>0</v>
          </cell>
          <cell r="F790">
            <v>0</v>
          </cell>
          <cell r="G790">
            <v>0</v>
          </cell>
          <cell r="H790">
            <v>0</v>
          </cell>
          <cell r="I790">
            <v>0</v>
          </cell>
        </row>
        <row r="791">
          <cell r="A791">
            <v>0</v>
          </cell>
          <cell r="B791" t="str">
            <v>KS4</v>
          </cell>
          <cell r="C791" t="str">
            <v>Kỹ sư bậc 4,0/8</v>
          </cell>
          <cell r="D791" t="str">
            <v>công</v>
          </cell>
          <cell r="E791">
            <v>17.010000000000002</v>
          </cell>
          <cell r="F791">
            <v>237000</v>
          </cell>
          <cell r="G791">
            <v>0</v>
          </cell>
          <cell r="H791">
            <v>4031370.0000000005</v>
          </cell>
          <cell r="I791">
            <v>0</v>
          </cell>
        </row>
        <row r="792">
          <cell r="A792">
            <v>0</v>
          </cell>
          <cell r="B792" t="str">
            <v>N4507</v>
          </cell>
          <cell r="C792" t="str">
            <v xml:space="preserve"> Nhân công bậc 5,0/7 - Nhóm 4</v>
          </cell>
          <cell r="D792" t="str">
            <v>công</v>
          </cell>
          <cell r="E792">
            <v>7.29</v>
          </cell>
          <cell r="F792">
            <v>302486.8421052632</v>
          </cell>
          <cell r="G792">
            <v>0</v>
          </cell>
          <cell r="H792">
            <v>2205129.0789473685</v>
          </cell>
          <cell r="I792">
            <v>0</v>
          </cell>
        </row>
        <row r="793">
          <cell r="A793">
            <v>0</v>
          </cell>
          <cell r="B793">
            <v>0</v>
          </cell>
          <cell r="C793" t="str">
            <v>Máy thi công</v>
          </cell>
          <cell r="D793">
            <v>0</v>
          </cell>
          <cell r="E793">
            <v>0</v>
          </cell>
          <cell r="F793">
            <v>0</v>
          </cell>
          <cell r="G793">
            <v>0</v>
          </cell>
          <cell r="H793">
            <v>0</v>
          </cell>
          <cell r="I793">
            <v>0</v>
          </cell>
        </row>
        <row r="794">
          <cell r="A794">
            <v>0</v>
          </cell>
          <cell r="B794" t="str">
            <v>M203.0020</v>
          </cell>
          <cell r="C794" t="str">
            <v>Máy chụp sóng</v>
          </cell>
          <cell r="D794" t="str">
            <v>ca</v>
          </cell>
          <cell r="E794">
            <v>0.36299999999999999</v>
          </cell>
          <cell r="F794">
            <v>414683.97727272729</v>
          </cell>
          <cell r="G794">
            <v>0</v>
          </cell>
          <cell r="H794">
            <v>0</v>
          </cell>
          <cell r="I794">
            <v>150530.28375</v>
          </cell>
        </row>
        <row r="795">
          <cell r="A795">
            <v>0</v>
          </cell>
          <cell r="B795" t="str">
            <v>M203.0025</v>
          </cell>
          <cell r="C795" t="str">
            <v>Megôm met</v>
          </cell>
          <cell r="D795" t="str">
            <v>ca</v>
          </cell>
          <cell r="E795">
            <v>0.42</v>
          </cell>
          <cell r="F795">
            <v>40127.500000000007</v>
          </cell>
          <cell r="G795">
            <v>0</v>
          </cell>
          <cell r="H795">
            <v>0</v>
          </cell>
          <cell r="I795">
            <v>16853.550000000003</v>
          </cell>
        </row>
        <row r="796">
          <cell r="A796">
            <v>0</v>
          </cell>
          <cell r="B796" t="str">
            <v>M203.0007</v>
          </cell>
          <cell r="C796" t="str">
            <v>Hợp bộ thí nghiệm cao áp</v>
          </cell>
          <cell r="D796" t="str">
            <v>ca</v>
          </cell>
          <cell r="E796">
            <v>0.26500000000000001</v>
          </cell>
          <cell r="F796">
            <v>403740.11363636365</v>
          </cell>
          <cell r="G796">
            <v>0</v>
          </cell>
          <cell r="H796">
            <v>0</v>
          </cell>
          <cell r="I796">
            <v>106991.13011363638</v>
          </cell>
        </row>
        <row r="797">
          <cell r="A797">
            <v>0</v>
          </cell>
          <cell r="B797" t="str">
            <v>M203.0004</v>
          </cell>
          <cell r="C797" t="str">
            <v>Hợp bộ đo Tg</v>
          </cell>
          <cell r="D797" t="str">
            <v>ca</v>
          </cell>
          <cell r="E797">
            <v>0.318</v>
          </cell>
          <cell r="F797">
            <v>796170.45454545447</v>
          </cell>
          <cell r="G797">
            <v>0</v>
          </cell>
          <cell r="H797">
            <v>0</v>
          </cell>
          <cell r="I797">
            <v>253182.20454545453</v>
          </cell>
        </row>
        <row r="798">
          <cell r="A798">
            <v>0</v>
          </cell>
          <cell r="B798" t="str">
            <v>M203.0016</v>
          </cell>
          <cell r="C798" t="str">
            <v>Máy đo điện trở tiếp xúc</v>
          </cell>
          <cell r="D798" t="str">
            <v>ca</v>
          </cell>
          <cell r="E798">
            <v>0.10100000000000001</v>
          </cell>
          <cell r="F798">
            <v>83447.159090909103</v>
          </cell>
          <cell r="G798">
            <v>0</v>
          </cell>
          <cell r="H798">
            <v>0</v>
          </cell>
          <cell r="I798">
            <v>8428.1630681818206</v>
          </cell>
        </row>
        <row r="799">
          <cell r="A799">
            <v>0</v>
          </cell>
          <cell r="B799" t="str">
            <v>M203.0014</v>
          </cell>
          <cell r="C799" t="str">
            <v>Máy đo điện trở một chiều</v>
          </cell>
          <cell r="D799" t="str">
            <v>ca</v>
          </cell>
          <cell r="E799">
            <v>0.10100000000000001</v>
          </cell>
          <cell r="F799">
            <v>142909.77272727276</v>
          </cell>
          <cell r="G799">
            <v>0</v>
          </cell>
          <cell r="H799">
            <v>0</v>
          </cell>
          <cell r="I799">
            <v>14433.88704545455</v>
          </cell>
        </row>
        <row r="800">
          <cell r="A800">
            <v>0</v>
          </cell>
          <cell r="B800" t="str">
            <v>M102.1802</v>
          </cell>
          <cell r="C800" t="str">
            <v>Xe thang nâng</v>
          </cell>
          <cell r="D800" t="str">
            <v>ca</v>
          </cell>
          <cell r="E800">
            <v>7.9000000000000001E-2</v>
          </cell>
          <cell r="F800">
            <v>1819914.2343571431</v>
          </cell>
          <cell r="G800">
            <v>0</v>
          </cell>
          <cell r="H800">
            <v>0</v>
          </cell>
          <cell r="I800">
            <v>143773.22451421429</v>
          </cell>
        </row>
        <row r="801">
          <cell r="A801" t="str">
            <v>EB.12020</v>
          </cell>
          <cell r="B801">
            <v>0</v>
          </cell>
          <cell r="C801" t="str">
            <v>Thí nghiệm máy cắt dầu 3 pha - U 66-110kV</v>
          </cell>
          <cell r="D801" t="str">
            <v>bộ ( 3 pha )</v>
          </cell>
          <cell r="E801">
            <v>0</v>
          </cell>
          <cell r="F801">
            <v>0</v>
          </cell>
          <cell r="G801">
            <v>45794.97490909091</v>
          </cell>
          <cell r="H801">
            <v>4365352.8947368423</v>
          </cell>
          <cell r="I801">
            <v>446343.286736448</v>
          </cell>
        </row>
        <row r="802">
          <cell r="A802">
            <v>0</v>
          </cell>
          <cell r="B802">
            <v>0</v>
          </cell>
          <cell r="C802" t="str">
            <v>Vật liệu</v>
          </cell>
          <cell r="D802">
            <v>0</v>
          </cell>
          <cell r="E802">
            <v>0</v>
          </cell>
          <cell r="F802">
            <v>0</v>
          </cell>
          <cell r="G802">
            <v>0</v>
          </cell>
          <cell r="H802">
            <v>0</v>
          </cell>
          <cell r="I802">
            <v>0</v>
          </cell>
        </row>
        <row r="803">
          <cell r="A803">
            <v>0</v>
          </cell>
          <cell r="B803" t="str">
            <v>VL221</v>
          </cell>
          <cell r="C803" t="str">
            <v>Điện năng</v>
          </cell>
          <cell r="D803" t="str">
            <v>Kwh</v>
          </cell>
          <cell r="E803">
            <v>8.4</v>
          </cell>
          <cell r="F803">
            <v>1622.01</v>
          </cell>
          <cell r="G803">
            <v>13624.884</v>
          </cell>
          <cell r="H803">
            <v>0</v>
          </cell>
          <cell r="I803">
            <v>0</v>
          </cell>
        </row>
        <row r="804">
          <cell r="A804">
            <v>0</v>
          </cell>
          <cell r="B804" t="str">
            <v>VL127</v>
          </cell>
          <cell r="C804" t="str">
            <v>Mỡ các loại</v>
          </cell>
          <cell r="D804" t="str">
            <v>kg</v>
          </cell>
          <cell r="E804">
            <v>0.14000000000000001</v>
          </cell>
          <cell r="F804">
            <v>25000</v>
          </cell>
          <cell r="G804">
            <v>3500.0000000000005</v>
          </cell>
          <cell r="H804">
            <v>0</v>
          </cell>
          <cell r="I804">
            <v>0</v>
          </cell>
        </row>
        <row r="805">
          <cell r="A805">
            <v>0</v>
          </cell>
          <cell r="B805" t="str">
            <v>VL177</v>
          </cell>
          <cell r="C805" t="str">
            <v>Cồn công nghiệp</v>
          </cell>
          <cell r="D805" t="str">
            <v>kg</v>
          </cell>
          <cell r="E805">
            <v>0.28000000000000003</v>
          </cell>
          <cell r="F805">
            <v>20000</v>
          </cell>
          <cell r="G805">
            <v>5600.0000000000009</v>
          </cell>
          <cell r="H805">
            <v>0</v>
          </cell>
          <cell r="I805">
            <v>0</v>
          </cell>
        </row>
        <row r="806">
          <cell r="A806">
            <v>0</v>
          </cell>
          <cell r="B806" t="str">
            <v>VL188</v>
          </cell>
          <cell r="C806" t="str">
            <v>Vải phin trắng 0,8m</v>
          </cell>
          <cell r="D806" t="str">
            <v>m</v>
          </cell>
          <cell r="E806">
            <v>0.7</v>
          </cell>
          <cell r="F806">
            <v>8000</v>
          </cell>
          <cell r="G806">
            <v>5600</v>
          </cell>
          <cell r="H806">
            <v>0</v>
          </cell>
          <cell r="I806">
            <v>0</v>
          </cell>
        </row>
        <row r="807">
          <cell r="A807">
            <v>0</v>
          </cell>
          <cell r="B807" t="str">
            <v>VL176</v>
          </cell>
          <cell r="C807" t="str">
            <v>Giẻ lau</v>
          </cell>
          <cell r="D807" t="str">
            <v>kg</v>
          </cell>
          <cell r="E807">
            <v>0.7</v>
          </cell>
          <cell r="F807">
            <v>5000</v>
          </cell>
          <cell r="G807">
            <v>3500</v>
          </cell>
          <cell r="H807">
            <v>0</v>
          </cell>
          <cell r="I807">
            <v>0</v>
          </cell>
        </row>
        <row r="808">
          <cell r="A808">
            <v>0</v>
          </cell>
          <cell r="B808" t="str">
            <v>VL186</v>
          </cell>
          <cell r="C808" t="str">
            <v>Giấy nhám số 0</v>
          </cell>
          <cell r="D808" t="str">
            <v>tờ</v>
          </cell>
          <cell r="E808">
            <v>0.35</v>
          </cell>
          <cell r="F808">
            <v>2000</v>
          </cell>
          <cell r="G808">
            <v>700</v>
          </cell>
          <cell r="H808">
            <v>0</v>
          </cell>
          <cell r="I808">
            <v>0</v>
          </cell>
        </row>
        <row r="809">
          <cell r="A809">
            <v>0</v>
          </cell>
          <cell r="B809" t="str">
            <v>VL198</v>
          </cell>
          <cell r="C809" t="str">
            <v>Dây điện 2x1,5mm2</v>
          </cell>
          <cell r="D809" t="str">
            <v>m</v>
          </cell>
          <cell r="E809">
            <v>1.47</v>
          </cell>
          <cell r="F809">
            <v>9027.2727272727261</v>
          </cell>
          <cell r="G809">
            <v>13270.090909090906</v>
          </cell>
          <cell r="H809">
            <v>0</v>
          </cell>
          <cell r="I809">
            <v>0</v>
          </cell>
        </row>
        <row r="810">
          <cell r="A810">
            <v>0</v>
          </cell>
          <cell r="B810">
            <v>0</v>
          </cell>
          <cell r="C810" t="str">
            <v>Nhân công</v>
          </cell>
          <cell r="D810">
            <v>0</v>
          </cell>
          <cell r="E810">
            <v>0</v>
          </cell>
          <cell r="F810">
            <v>0</v>
          </cell>
          <cell r="G810">
            <v>0</v>
          </cell>
          <cell r="H810">
            <v>0</v>
          </cell>
          <cell r="I810">
            <v>0</v>
          </cell>
        </row>
        <row r="811">
          <cell r="A811">
            <v>0</v>
          </cell>
          <cell r="B811" t="str">
            <v>KS4</v>
          </cell>
          <cell r="C811" t="str">
            <v>Kỹ sư bậc 4,0/8</v>
          </cell>
          <cell r="D811" t="str">
            <v>công</v>
          </cell>
          <cell r="E811">
            <v>11.91</v>
          </cell>
          <cell r="F811">
            <v>237000</v>
          </cell>
          <cell r="G811">
            <v>0</v>
          </cell>
          <cell r="H811">
            <v>2822670</v>
          </cell>
          <cell r="I811">
            <v>0</v>
          </cell>
        </row>
        <row r="812">
          <cell r="A812">
            <v>0</v>
          </cell>
          <cell r="B812" t="str">
            <v>N4507</v>
          </cell>
          <cell r="C812" t="str">
            <v xml:space="preserve"> Nhân công bậc 5,0/7 - Nhóm 4</v>
          </cell>
          <cell r="D812" t="str">
            <v>công</v>
          </cell>
          <cell r="E812">
            <v>5.0999999999999996</v>
          </cell>
          <cell r="F812">
            <v>302486.8421052632</v>
          </cell>
          <cell r="G812">
            <v>0</v>
          </cell>
          <cell r="H812">
            <v>1542682.8947368423</v>
          </cell>
          <cell r="I812">
            <v>0</v>
          </cell>
        </row>
        <row r="813">
          <cell r="A813">
            <v>0</v>
          </cell>
          <cell r="B813">
            <v>0</v>
          </cell>
          <cell r="C813" t="str">
            <v>Máy thi công</v>
          </cell>
          <cell r="D813">
            <v>0</v>
          </cell>
          <cell r="E813">
            <v>0</v>
          </cell>
          <cell r="F813">
            <v>0</v>
          </cell>
          <cell r="G813">
            <v>0</v>
          </cell>
          <cell r="H813">
            <v>0</v>
          </cell>
          <cell r="I813">
            <v>0</v>
          </cell>
        </row>
        <row r="814">
          <cell r="A814">
            <v>0</v>
          </cell>
          <cell r="B814" t="str">
            <v>M203.0020</v>
          </cell>
          <cell r="C814" t="str">
            <v>Máy chụp sóng</v>
          </cell>
          <cell r="D814" t="str">
            <v>ca</v>
          </cell>
          <cell r="E814">
            <v>0.254</v>
          </cell>
          <cell r="F814">
            <v>414683.97727272729</v>
          </cell>
          <cell r="G814">
            <v>0</v>
          </cell>
          <cell r="H814">
            <v>0</v>
          </cell>
          <cell r="I814">
            <v>105329.73022727274</v>
          </cell>
        </row>
        <row r="815">
          <cell r="A815">
            <v>0</v>
          </cell>
          <cell r="B815" t="str">
            <v>M203.0025</v>
          </cell>
          <cell r="C815" t="str">
            <v>Megôm met</v>
          </cell>
          <cell r="D815" t="str">
            <v>ca</v>
          </cell>
          <cell r="E815">
            <v>0.29399999999999998</v>
          </cell>
          <cell r="F815">
            <v>40127.500000000007</v>
          </cell>
          <cell r="G815">
            <v>0</v>
          </cell>
          <cell r="H815">
            <v>0</v>
          </cell>
          <cell r="I815">
            <v>11797.485000000001</v>
          </cell>
        </row>
        <row r="816">
          <cell r="A816">
            <v>0</v>
          </cell>
          <cell r="B816" t="str">
            <v>M203.0007</v>
          </cell>
          <cell r="C816" t="str">
            <v>Hợp bộ thí nghiệm cao áp</v>
          </cell>
          <cell r="D816" t="str">
            <v>ca</v>
          </cell>
          <cell r="E816">
            <v>0.14399999999999999</v>
          </cell>
          <cell r="F816">
            <v>403740.11363636365</v>
          </cell>
          <cell r="G816">
            <v>0</v>
          </cell>
          <cell r="H816">
            <v>0</v>
          </cell>
          <cell r="I816">
            <v>58138.576363636363</v>
          </cell>
        </row>
        <row r="817">
          <cell r="A817">
            <v>0</v>
          </cell>
          <cell r="B817" t="str">
            <v>M203.0004</v>
          </cell>
          <cell r="C817" t="str">
            <v>Hợp bộ đo Tg</v>
          </cell>
          <cell r="D817" t="str">
            <v>ca</v>
          </cell>
          <cell r="E817">
            <v>0.222</v>
          </cell>
          <cell r="F817">
            <v>796170.45454545447</v>
          </cell>
          <cell r="G817">
            <v>0</v>
          </cell>
          <cell r="H817">
            <v>0</v>
          </cell>
          <cell r="I817">
            <v>176749.84090909088</v>
          </cell>
        </row>
        <row r="818">
          <cell r="A818">
            <v>0</v>
          </cell>
          <cell r="B818" t="str">
            <v>M203.0016</v>
          </cell>
          <cell r="C818" t="str">
            <v>Máy đo điện trở tiếp xúc</v>
          </cell>
          <cell r="D818" t="str">
            <v>ca</v>
          </cell>
          <cell r="E818">
            <v>7.0999999999999994E-2</v>
          </cell>
          <cell r="F818">
            <v>83447.159090909103</v>
          </cell>
          <cell r="G818">
            <v>0</v>
          </cell>
          <cell r="H818">
            <v>0</v>
          </cell>
          <cell r="I818">
            <v>5924.7482954545458</v>
          </cell>
        </row>
        <row r="819">
          <cell r="A819">
            <v>0</v>
          </cell>
          <cell r="B819" t="str">
            <v>M203.0014</v>
          </cell>
          <cell r="C819" t="str">
            <v>Máy đo điện trở một chiều</v>
          </cell>
          <cell r="D819" t="str">
            <v>ca</v>
          </cell>
          <cell r="E819">
            <v>7.0999999999999994E-2</v>
          </cell>
          <cell r="F819">
            <v>142909.77272727276</v>
          </cell>
          <cell r="G819">
            <v>0</v>
          </cell>
          <cell r="H819">
            <v>0</v>
          </cell>
          <cell r="I819">
            <v>10146.593863636366</v>
          </cell>
        </row>
        <row r="820">
          <cell r="A820">
            <v>0</v>
          </cell>
          <cell r="B820" t="str">
            <v>M102.1802</v>
          </cell>
          <cell r="C820" t="str">
            <v>Xe thang nâng</v>
          </cell>
          <cell r="D820" t="str">
            <v>ca</v>
          </cell>
          <cell r="E820">
            <v>4.2999999999999997E-2</v>
          </cell>
          <cell r="F820">
            <v>1819914.2343571431</v>
          </cell>
          <cell r="G820">
            <v>0</v>
          </cell>
          <cell r="H820">
            <v>0</v>
          </cell>
          <cell r="I820">
            <v>78256.312077357143</v>
          </cell>
        </row>
        <row r="821">
          <cell r="A821" t="str">
            <v>EB.12030</v>
          </cell>
          <cell r="B821">
            <v>0</v>
          </cell>
          <cell r="C821" t="str">
            <v>Thí nghiệm máy cắt dầu 3 pha - U &lt;=35kV</v>
          </cell>
          <cell r="D821" t="str">
            <v>bộ ( 3 pha )</v>
          </cell>
          <cell r="E821">
            <v>0</v>
          </cell>
          <cell r="F821">
            <v>0</v>
          </cell>
          <cell r="G821">
            <v>32056.482436363636</v>
          </cell>
          <cell r="H821">
            <v>3056458.0263157897</v>
          </cell>
          <cell r="I821">
            <v>275512.66988636361</v>
          </cell>
        </row>
        <row r="822">
          <cell r="A822">
            <v>0</v>
          </cell>
          <cell r="B822">
            <v>0</v>
          </cell>
          <cell r="C822" t="str">
            <v>Vật liệu</v>
          </cell>
          <cell r="D822">
            <v>0</v>
          </cell>
          <cell r="E822">
            <v>0</v>
          </cell>
          <cell r="F822">
            <v>0</v>
          </cell>
          <cell r="G822">
            <v>0</v>
          </cell>
          <cell r="H822">
            <v>0</v>
          </cell>
          <cell r="I822">
            <v>0</v>
          </cell>
        </row>
        <row r="823">
          <cell r="A823">
            <v>0</v>
          </cell>
          <cell r="B823" t="str">
            <v>VL221</v>
          </cell>
          <cell r="C823" t="str">
            <v>Điện năng</v>
          </cell>
          <cell r="D823" t="str">
            <v>Kwh</v>
          </cell>
          <cell r="E823">
            <v>5.88</v>
          </cell>
          <cell r="F823">
            <v>1622.01</v>
          </cell>
          <cell r="G823">
            <v>9537.4187999999995</v>
          </cell>
          <cell r="H823">
            <v>0</v>
          </cell>
          <cell r="I823">
            <v>0</v>
          </cell>
        </row>
        <row r="824">
          <cell r="A824">
            <v>0</v>
          </cell>
          <cell r="B824" t="str">
            <v>VL127</v>
          </cell>
          <cell r="C824" t="str">
            <v>Mỡ các loại</v>
          </cell>
          <cell r="D824" t="str">
            <v>kg</v>
          </cell>
          <cell r="E824">
            <v>9.8000000000000004E-2</v>
          </cell>
          <cell r="F824">
            <v>25000</v>
          </cell>
          <cell r="G824">
            <v>2450</v>
          </cell>
          <cell r="H824">
            <v>0</v>
          </cell>
          <cell r="I824">
            <v>0</v>
          </cell>
        </row>
        <row r="825">
          <cell r="A825">
            <v>0</v>
          </cell>
          <cell r="B825" t="str">
            <v>VL177</v>
          </cell>
          <cell r="C825" t="str">
            <v>Cồn công nghiệp</v>
          </cell>
          <cell r="D825" t="str">
            <v>kg</v>
          </cell>
          <cell r="E825">
            <v>0.19600000000000001</v>
          </cell>
          <cell r="F825">
            <v>20000</v>
          </cell>
          <cell r="G825">
            <v>3920</v>
          </cell>
          <cell r="H825">
            <v>0</v>
          </cell>
          <cell r="I825">
            <v>0</v>
          </cell>
        </row>
        <row r="826">
          <cell r="A826">
            <v>0</v>
          </cell>
          <cell r="B826" t="str">
            <v>VL188</v>
          </cell>
          <cell r="C826" t="str">
            <v>Vải phin trắng 0,8m</v>
          </cell>
          <cell r="D826" t="str">
            <v>m</v>
          </cell>
          <cell r="E826">
            <v>0.49</v>
          </cell>
          <cell r="F826">
            <v>8000</v>
          </cell>
          <cell r="G826">
            <v>3920</v>
          </cell>
          <cell r="H826">
            <v>0</v>
          </cell>
          <cell r="I826">
            <v>0</v>
          </cell>
        </row>
        <row r="827">
          <cell r="A827">
            <v>0</v>
          </cell>
          <cell r="B827" t="str">
            <v>VL176</v>
          </cell>
          <cell r="C827" t="str">
            <v>Giẻ lau</v>
          </cell>
          <cell r="D827" t="str">
            <v>kg</v>
          </cell>
          <cell r="E827">
            <v>0.49</v>
          </cell>
          <cell r="F827">
            <v>5000</v>
          </cell>
          <cell r="G827">
            <v>2450</v>
          </cell>
          <cell r="H827">
            <v>0</v>
          </cell>
          <cell r="I827">
            <v>0</v>
          </cell>
        </row>
        <row r="828">
          <cell r="A828">
            <v>0</v>
          </cell>
          <cell r="B828" t="str">
            <v>VL186</v>
          </cell>
          <cell r="C828" t="str">
            <v>Giấy nhám số 0</v>
          </cell>
          <cell r="D828" t="str">
            <v>tờ</v>
          </cell>
          <cell r="E828">
            <v>0.245</v>
          </cell>
          <cell r="F828">
            <v>2000</v>
          </cell>
          <cell r="G828">
            <v>490</v>
          </cell>
          <cell r="H828">
            <v>0</v>
          </cell>
          <cell r="I828">
            <v>0</v>
          </cell>
        </row>
        <row r="829">
          <cell r="A829">
            <v>0</v>
          </cell>
          <cell r="B829" t="str">
            <v>VL198</v>
          </cell>
          <cell r="C829" t="str">
            <v>Dây điện 2x1,5mm2</v>
          </cell>
          <cell r="D829" t="str">
            <v>m</v>
          </cell>
          <cell r="E829">
            <v>1.0289999999999999</v>
          </cell>
          <cell r="F829">
            <v>9027.2727272727261</v>
          </cell>
          <cell r="G829">
            <v>9289.0636363636349</v>
          </cell>
          <cell r="H829">
            <v>0</v>
          </cell>
          <cell r="I829">
            <v>0</v>
          </cell>
        </row>
        <row r="830">
          <cell r="A830">
            <v>0</v>
          </cell>
          <cell r="B830">
            <v>0</v>
          </cell>
          <cell r="C830" t="str">
            <v>Nhân công</v>
          </cell>
          <cell r="D830">
            <v>0</v>
          </cell>
          <cell r="E830">
            <v>0</v>
          </cell>
          <cell r="F830">
            <v>0</v>
          </cell>
          <cell r="G830">
            <v>0</v>
          </cell>
          <cell r="H830">
            <v>0</v>
          </cell>
          <cell r="I830">
            <v>0</v>
          </cell>
        </row>
        <row r="831">
          <cell r="A831">
            <v>0</v>
          </cell>
          <cell r="B831" t="str">
            <v>KS4</v>
          </cell>
          <cell r="C831" t="str">
            <v>Kỹ sư bậc 4,0/8</v>
          </cell>
          <cell r="D831" t="str">
            <v>công</v>
          </cell>
          <cell r="E831">
            <v>8.34</v>
          </cell>
          <cell r="F831">
            <v>237000</v>
          </cell>
          <cell r="G831">
            <v>0</v>
          </cell>
          <cell r="H831">
            <v>1976580</v>
          </cell>
          <cell r="I831">
            <v>0</v>
          </cell>
        </row>
        <row r="832">
          <cell r="A832">
            <v>0</v>
          </cell>
          <cell r="B832" t="str">
            <v>N4507</v>
          </cell>
          <cell r="C832" t="str">
            <v xml:space="preserve"> Nhân công bậc 5,0/7 - Nhóm 4</v>
          </cell>
          <cell r="D832" t="str">
            <v>công</v>
          </cell>
          <cell r="E832">
            <v>3.57</v>
          </cell>
          <cell r="F832">
            <v>302486.8421052632</v>
          </cell>
          <cell r="G832">
            <v>0</v>
          </cell>
          <cell r="H832">
            <v>1079878.0263157897</v>
          </cell>
          <cell r="I832">
            <v>0</v>
          </cell>
        </row>
        <row r="833">
          <cell r="A833">
            <v>0</v>
          </cell>
          <cell r="B833">
            <v>0</v>
          </cell>
          <cell r="C833" t="str">
            <v>Máy thi công</v>
          </cell>
          <cell r="D833">
            <v>0</v>
          </cell>
          <cell r="E833">
            <v>0</v>
          </cell>
          <cell r="F833">
            <v>0</v>
          </cell>
          <cell r="G833">
            <v>0</v>
          </cell>
          <cell r="H833">
            <v>0</v>
          </cell>
          <cell r="I833">
            <v>0</v>
          </cell>
        </row>
        <row r="834">
          <cell r="A834">
            <v>0</v>
          </cell>
          <cell r="B834" t="str">
            <v>M203.0020</v>
          </cell>
          <cell r="C834" t="str">
            <v>Máy chụp sóng</v>
          </cell>
          <cell r="D834" t="str">
            <v>ca</v>
          </cell>
          <cell r="E834">
            <v>0.17799999999999999</v>
          </cell>
          <cell r="F834">
            <v>414683.97727272729</v>
          </cell>
          <cell r="G834">
            <v>0</v>
          </cell>
          <cell r="H834">
            <v>0</v>
          </cell>
          <cell r="I834">
            <v>73813.747954545455</v>
          </cell>
        </row>
        <row r="835">
          <cell r="A835">
            <v>0</v>
          </cell>
          <cell r="B835" t="str">
            <v>M203.0025</v>
          </cell>
          <cell r="C835" t="str">
            <v>Megôm met</v>
          </cell>
          <cell r="D835" t="str">
            <v>ca</v>
          </cell>
          <cell r="E835">
            <v>0.20599999999999999</v>
          </cell>
          <cell r="F835">
            <v>40127.500000000007</v>
          </cell>
          <cell r="G835">
            <v>0</v>
          </cell>
          <cell r="H835">
            <v>0</v>
          </cell>
          <cell r="I835">
            <v>8266.2650000000012</v>
          </cell>
        </row>
        <row r="836">
          <cell r="A836">
            <v>0</v>
          </cell>
          <cell r="B836" t="str">
            <v>M203.0007</v>
          </cell>
          <cell r="C836" t="str">
            <v>Hợp bộ thí nghiệm cao áp</v>
          </cell>
          <cell r="D836" t="str">
            <v>ca</v>
          </cell>
          <cell r="E836">
            <v>0.14399999999999999</v>
          </cell>
          <cell r="F836">
            <v>403740.11363636365</v>
          </cell>
          <cell r="G836">
            <v>0</v>
          </cell>
          <cell r="H836">
            <v>0</v>
          </cell>
          <cell r="I836">
            <v>58138.576363636363</v>
          </cell>
        </row>
        <row r="837">
          <cell r="A837">
            <v>0</v>
          </cell>
          <cell r="B837" t="str">
            <v>M203.0004</v>
          </cell>
          <cell r="C837" t="str">
            <v>Hợp bộ đo Tg</v>
          </cell>
          <cell r="D837" t="str">
            <v>ca</v>
          </cell>
          <cell r="E837">
            <v>0.156</v>
          </cell>
          <cell r="F837">
            <v>796170.45454545447</v>
          </cell>
          <cell r="G837">
            <v>0</v>
          </cell>
          <cell r="H837">
            <v>0</v>
          </cell>
          <cell r="I837">
            <v>124202.5909090909</v>
          </cell>
        </row>
        <row r="838">
          <cell r="A838">
            <v>0</v>
          </cell>
          <cell r="B838" t="str">
            <v>M203.0016</v>
          </cell>
          <cell r="C838" t="str">
            <v>Máy đo điện trở tiếp xúc</v>
          </cell>
          <cell r="D838" t="str">
            <v>ca</v>
          </cell>
          <cell r="E838">
            <v>4.9000000000000002E-2</v>
          </cell>
          <cell r="F838">
            <v>83447.159090909103</v>
          </cell>
          <cell r="G838">
            <v>0</v>
          </cell>
          <cell r="H838">
            <v>0</v>
          </cell>
          <cell r="I838">
            <v>4088.9107954545461</v>
          </cell>
        </row>
        <row r="839">
          <cell r="A839">
            <v>0</v>
          </cell>
          <cell r="B839" t="str">
            <v>M203.0014</v>
          </cell>
          <cell r="C839" t="str">
            <v>Máy đo điện trở một chiều</v>
          </cell>
          <cell r="D839" t="str">
            <v>ca</v>
          </cell>
          <cell r="E839">
            <v>4.9000000000000002E-2</v>
          </cell>
          <cell r="F839">
            <v>142909.77272727276</v>
          </cell>
          <cell r="G839">
            <v>0</v>
          </cell>
          <cell r="H839">
            <v>0</v>
          </cell>
          <cell r="I839">
            <v>7002.5788636363659</v>
          </cell>
        </row>
        <row r="840">
          <cell r="A840" t="str">
            <v>EB.13010</v>
          </cell>
          <cell r="B840">
            <v>0</v>
          </cell>
          <cell r="C840" t="str">
            <v>Thí nghiệm máy cắt không khí 3 pha - U 220kV</v>
          </cell>
          <cell r="D840" t="str">
            <v>bộ ( 3 pha )</v>
          </cell>
          <cell r="E840">
            <v>0</v>
          </cell>
          <cell r="F840">
            <v>0</v>
          </cell>
          <cell r="G840">
            <v>82973.11909090908</v>
          </cell>
          <cell r="H840">
            <v>8731360.657894738</v>
          </cell>
          <cell r="I840">
            <v>472187.86303694162</v>
          </cell>
        </row>
        <row r="841">
          <cell r="A841">
            <v>0</v>
          </cell>
          <cell r="B841">
            <v>0</v>
          </cell>
          <cell r="C841" t="str">
            <v>Vật liệu</v>
          </cell>
          <cell r="D841">
            <v>0</v>
          </cell>
          <cell r="E841">
            <v>0</v>
          </cell>
          <cell r="F841">
            <v>0</v>
          </cell>
          <cell r="G841">
            <v>0</v>
          </cell>
          <cell r="H841">
            <v>0</v>
          </cell>
          <cell r="I841">
            <v>0</v>
          </cell>
        </row>
        <row r="842">
          <cell r="A842">
            <v>0</v>
          </cell>
          <cell r="B842" t="str">
            <v>VL221</v>
          </cell>
          <cell r="C842" t="str">
            <v>Điện năng</v>
          </cell>
          <cell r="D842" t="str">
            <v>Kwh</v>
          </cell>
          <cell r="E842">
            <v>21</v>
          </cell>
          <cell r="F842">
            <v>1622.01</v>
          </cell>
          <cell r="G842">
            <v>34062.21</v>
          </cell>
          <cell r="H842">
            <v>0</v>
          </cell>
          <cell r="I842">
            <v>0</v>
          </cell>
        </row>
        <row r="843">
          <cell r="A843">
            <v>0</v>
          </cell>
          <cell r="B843" t="str">
            <v>VL177</v>
          </cell>
          <cell r="C843" t="str">
            <v>Cồn công nghiệp</v>
          </cell>
          <cell r="D843" t="str">
            <v>kg</v>
          </cell>
          <cell r="E843">
            <v>0.63</v>
          </cell>
          <cell r="F843">
            <v>20000</v>
          </cell>
          <cell r="G843">
            <v>12600</v>
          </cell>
          <cell r="H843">
            <v>0</v>
          </cell>
          <cell r="I843">
            <v>0</v>
          </cell>
        </row>
        <row r="844">
          <cell r="A844">
            <v>0</v>
          </cell>
          <cell r="B844" t="str">
            <v>VL188</v>
          </cell>
          <cell r="C844" t="str">
            <v>Vải phin trắng 0,8m</v>
          </cell>
          <cell r="D844" t="str">
            <v>m</v>
          </cell>
          <cell r="E844">
            <v>0.52500000000000002</v>
          </cell>
          <cell r="F844">
            <v>8000</v>
          </cell>
          <cell r="G844">
            <v>4200</v>
          </cell>
          <cell r="H844">
            <v>0</v>
          </cell>
          <cell r="I844">
            <v>0</v>
          </cell>
        </row>
        <row r="845">
          <cell r="A845">
            <v>0</v>
          </cell>
          <cell r="B845" t="str">
            <v>VL176</v>
          </cell>
          <cell r="C845" t="str">
            <v>Giẻ lau</v>
          </cell>
          <cell r="D845" t="str">
            <v>kg</v>
          </cell>
          <cell r="E845">
            <v>0.52500000000000002</v>
          </cell>
          <cell r="F845">
            <v>5000</v>
          </cell>
          <cell r="G845">
            <v>2625</v>
          </cell>
          <cell r="H845">
            <v>0</v>
          </cell>
          <cell r="I845">
            <v>0</v>
          </cell>
        </row>
        <row r="846">
          <cell r="A846">
            <v>0</v>
          </cell>
          <cell r="B846" t="str">
            <v>VL186</v>
          </cell>
          <cell r="C846" t="str">
            <v>Giấy nhám số 0</v>
          </cell>
          <cell r="D846" t="str">
            <v>tờ</v>
          </cell>
          <cell r="E846">
            <v>0.52500000000000002</v>
          </cell>
          <cell r="F846">
            <v>2000</v>
          </cell>
          <cell r="G846">
            <v>1050</v>
          </cell>
          <cell r="H846">
            <v>0</v>
          </cell>
          <cell r="I846">
            <v>0</v>
          </cell>
        </row>
        <row r="847">
          <cell r="A847">
            <v>0</v>
          </cell>
          <cell r="B847" t="str">
            <v>VL198</v>
          </cell>
          <cell r="C847" t="str">
            <v>Dây điện 2x1,5mm2</v>
          </cell>
          <cell r="D847" t="str">
            <v>m</v>
          </cell>
          <cell r="E847">
            <v>3.15</v>
          </cell>
          <cell r="F847">
            <v>9027.2727272727261</v>
          </cell>
          <cell r="G847">
            <v>28435.909090909088</v>
          </cell>
          <cell r="H847">
            <v>0</v>
          </cell>
          <cell r="I847">
            <v>0</v>
          </cell>
        </row>
        <row r="848">
          <cell r="A848">
            <v>0</v>
          </cell>
          <cell r="B848">
            <v>0</v>
          </cell>
          <cell r="C848" t="str">
            <v>Nhân công</v>
          </cell>
          <cell r="D848">
            <v>0</v>
          </cell>
          <cell r="E848">
            <v>0</v>
          </cell>
          <cell r="F848">
            <v>0</v>
          </cell>
          <cell r="G848">
            <v>0</v>
          </cell>
          <cell r="H848">
            <v>0</v>
          </cell>
          <cell r="I848">
            <v>0</v>
          </cell>
        </row>
        <row r="849">
          <cell r="A849">
            <v>0</v>
          </cell>
          <cell r="B849" t="str">
            <v>KS4</v>
          </cell>
          <cell r="C849" t="str">
            <v>Kỹ sư bậc 4,0/8</v>
          </cell>
          <cell r="D849" t="str">
            <v>công</v>
          </cell>
          <cell r="E849">
            <v>23.81</v>
          </cell>
          <cell r="F849">
            <v>237000</v>
          </cell>
          <cell r="G849">
            <v>0</v>
          </cell>
          <cell r="H849">
            <v>5642970</v>
          </cell>
          <cell r="I849">
            <v>0</v>
          </cell>
        </row>
        <row r="850">
          <cell r="A850">
            <v>0</v>
          </cell>
          <cell r="B850" t="str">
            <v>N4507</v>
          </cell>
          <cell r="C850" t="str">
            <v xml:space="preserve"> Nhân công bậc 5,0/7 - Nhóm 4</v>
          </cell>
          <cell r="D850" t="str">
            <v>công</v>
          </cell>
          <cell r="E850">
            <v>10.210000000000001</v>
          </cell>
          <cell r="F850">
            <v>302486.8421052632</v>
          </cell>
          <cell r="G850">
            <v>0</v>
          </cell>
          <cell r="H850">
            <v>3088390.6578947376</v>
          </cell>
          <cell r="I850">
            <v>0</v>
          </cell>
        </row>
        <row r="851">
          <cell r="A851">
            <v>0</v>
          </cell>
          <cell r="B851">
            <v>0</v>
          </cell>
          <cell r="C851" t="str">
            <v>Máy thi công</v>
          </cell>
          <cell r="D851">
            <v>0</v>
          </cell>
          <cell r="E851">
            <v>0</v>
          </cell>
          <cell r="F851">
            <v>0</v>
          </cell>
          <cell r="G851">
            <v>0</v>
          </cell>
          <cell r="H851">
            <v>0</v>
          </cell>
          <cell r="I851">
            <v>0</v>
          </cell>
        </row>
        <row r="852">
          <cell r="A852">
            <v>0</v>
          </cell>
          <cell r="B852" t="str">
            <v>M203.0020</v>
          </cell>
          <cell r="C852" t="str">
            <v>Máy chụp sóng</v>
          </cell>
          <cell r="D852" t="str">
            <v>ca</v>
          </cell>
          <cell r="E852">
            <v>0.36299999999999999</v>
          </cell>
          <cell r="F852">
            <v>414683.97727272729</v>
          </cell>
          <cell r="G852">
            <v>0</v>
          </cell>
          <cell r="H852">
            <v>0</v>
          </cell>
          <cell r="I852">
            <v>150530.28375</v>
          </cell>
        </row>
        <row r="853">
          <cell r="A853">
            <v>0</v>
          </cell>
          <cell r="B853" t="str">
            <v>M203.0025</v>
          </cell>
          <cell r="C853" t="str">
            <v>Megôm met</v>
          </cell>
          <cell r="D853" t="str">
            <v>ca</v>
          </cell>
          <cell r="E853">
            <v>0.42</v>
          </cell>
          <cell r="F853">
            <v>40127.500000000007</v>
          </cell>
          <cell r="G853">
            <v>0</v>
          </cell>
          <cell r="H853">
            <v>0</v>
          </cell>
          <cell r="I853">
            <v>16853.550000000003</v>
          </cell>
        </row>
        <row r="854">
          <cell r="A854">
            <v>0</v>
          </cell>
          <cell r="B854" t="str">
            <v>M203.0007</v>
          </cell>
          <cell r="C854" t="str">
            <v>Hợp bộ thí nghiệm cao áp</v>
          </cell>
          <cell r="D854" t="str">
            <v>ca</v>
          </cell>
          <cell r="E854">
            <v>0.26500000000000001</v>
          </cell>
          <cell r="F854">
            <v>403740.11363636365</v>
          </cell>
          <cell r="G854">
            <v>0</v>
          </cell>
          <cell r="H854">
            <v>0</v>
          </cell>
          <cell r="I854">
            <v>106991.13011363638</v>
          </cell>
        </row>
        <row r="855">
          <cell r="A855">
            <v>0</v>
          </cell>
          <cell r="B855" t="str">
            <v>M203.0026</v>
          </cell>
          <cell r="C855" t="str">
            <v>Thiết bị kiểm tra áp lực</v>
          </cell>
          <cell r="D855" t="str">
            <v>ca</v>
          </cell>
          <cell r="E855">
            <v>0.45400000000000001</v>
          </cell>
          <cell r="F855">
            <v>68673.181818181838</v>
          </cell>
          <cell r="G855">
            <v>0</v>
          </cell>
          <cell r="H855">
            <v>0</v>
          </cell>
          <cell r="I855">
            <v>31177.624545454557</v>
          </cell>
        </row>
        <row r="856">
          <cell r="A856">
            <v>0</v>
          </cell>
          <cell r="B856" t="str">
            <v>M203.0016</v>
          </cell>
          <cell r="C856" t="str">
            <v>Máy đo điện trở tiếp xúc</v>
          </cell>
          <cell r="D856" t="str">
            <v>ca</v>
          </cell>
          <cell r="E856">
            <v>0.10100000000000001</v>
          </cell>
          <cell r="F856">
            <v>83447.159090909103</v>
          </cell>
          <cell r="G856">
            <v>0</v>
          </cell>
          <cell r="H856">
            <v>0</v>
          </cell>
          <cell r="I856">
            <v>8428.1630681818206</v>
          </cell>
        </row>
        <row r="857">
          <cell r="A857">
            <v>0</v>
          </cell>
          <cell r="B857" t="str">
            <v>M203.0014</v>
          </cell>
          <cell r="C857" t="str">
            <v>Máy đo điện trở một chiều</v>
          </cell>
          <cell r="D857" t="str">
            <v>ca</v>
          </cell>
          <cell r="E857">
            <v>0.10100000000000001</v>
          </cell>
          <cell r="F857">
            <v>142909.77272727276</v>
          </cell>
          <cell r="G857">
            <v>0</v>
          </cell>
          <cell r="H857">
            <v>0</v>
          </cell>
          <cell r="I857">
            <v>14433.88704545455</v>
          </cell>
        </row>
        <row r="858">
          <cell r="A858">
            <v>0</v>
          </cell>
          <cell r="B858" t="str">
            <v>M102.1802</v>
          </cell>
          <cell r="C858" t="str">
            <v>Xe thang nâng</v>
          </cell>
          <cell r="D858" t="str">
            <v>ca</v>
          </cell>
          <cell r="E858">
            <v>7.9000000000000001E-2</v>
          </cell>
          <cell r="F858">
            <v>1819914.2343571431</v>
          </cell>
          <cell r="G858">
            <v>0</v>
          </cell>
          <cell r="H858">
            <v>0</v>
          </cell>
          <cell r="I858">
            <v>143773.22451421429</v>
          </cell>
        </row>
        <row r="859">
          <cell r="A859" t="str">
            <v>EB.13020</v>
          </cell>
          <cell r="B859">
            <v>0</v>
          </cell>
          <cell r="C859" t="str">
            <v>Thí nghiệm máy cắt không khí 3 pha - U 66-110kV</v>
          </cell>
          <cell r="D859" t="str">
            <v>bộ ( 3 pha )</v>
          </cell>
          <cell r="E859">
            <v>0</v>
          </cell>
          <cell r="F859">
            <v>0</v>
          </cell>
          <cell r="G859">
            <v>58088.683363636359</v>
          </cell>
          <cell r="H859">
            <v>6110546.0526315793</v>
          </cell>
          <cell r="I859">
            <v>331643.74735127279</v>
          </cell>
        </row>
        <row r="860">
          <cell r="A860">
            <v>0</v>
          </cell>
          <cell r="B860">
            <v>0</v>
          </cell>
          <cell r="C860" t="str">
            <v>Vật liệu</v>
          </cell>
          <cell r="D860">
            <v>0</v>
          </cell>
          <cell r="E860">
            <v>0</v>
          </cell>
          <cell r="F860">
            <v>0</v>
          </cell>
          <cell r="G860">
            <v>0</v>
          </cell>
          <cell r="H860">
            <v>0</v>
          </cell>
          <cell r="I860">
            <v>0</v>
          </cell>
        </row>
        <row r="861">
          <cell r="A861">
            <v>0</v>
          </cell>
          <cell r="B861" t="str">
            <v>VL221</v>
          </cell>
          <cell r="C861" t="str">
            <v>Điện năng</v>
          </cell>
          <cell r="D861" t="str">
            <v>Kwh</v>
          </cell>
          <cell r="E861">
            <v>14.7</v>
          </cell>
          <cell r="F861">
            <v>1622.01</v>
          </cell>
          <cell r="G861">
            <v>23843.546999999999</v>
          </cell>
          <cell r="H861">
            <v>0</v>
          </cell>
          <cell r="I861">
            <v>0</v>
          </cell>
        </row>
        <row r="862">
          <cell r="A862">
            <v>0</v>
          </cell>
          <cell r="B862" t="str">
            <v>VL177</v>
          </cell>
          <cell r="C862" t="str">
            <v>Cồn công nghiệp</v>
          </cell>
          <cell r="D862" t="str">
            <v>kg</v>
          </cell>
          <cell r="E862">
            <v>0.441</v>
          </cell>
          <cell r="F862">
            <v>20000</v>
          </cell>
          <cell r="G862">
            <v>8820</v>
          </cell>
          <cell r="H862">
            <v>0</v>
          </cell>
          <cell r="I862">
            <v>0</v>
          </cell>
        </row>
        <row r="863">
          <cell r="A863">
            <v>0</v>
          </cell>
          <cell r="B863" t="str">
            <v>VL188</v>
          </cell>
          <cell r="C863" t="str">
            <v>Vải phin trắng 0,8m</v>
          </cell>
          <cell r="D863" t="str">
            <v>m</v>
          </cell>
          <cell r="E863">
            <v>0.36799999999999999</v>
          </cell>
          <cell r="F863">
            <v>8000</v>
          </cell>
          <cell r="G863">
            <v>2944</v>
          </cell>
          <cell r="H863">
            <v>0</v>
          </cell>
          <cell r="I863">
            <v>0</v>
          </cell>
        </row>
        <row r="864">
          <cell r="A864">
            <v>0</v>
          </cell>
          <cell r="B864" t="str">
            <v>VL176</v>
          </cell>
          <cell r="C864" t="str">
            <v>Giẻ lau</v>
          </cell>
          <cell r="D864" t="str">
            <v>kg</v>
          </cell>
          <cell r="E864">
            <v>0.36799999999999999</v>
          </cell>
          <cell r="F864">
            <v>5000</v>
          </cell>
          <cell r="G864">
            <v>1840</v>
          </cell>
          <cell r="H864">
            <v>0</v>
          </cell>
          <cell r="I864">
            <v>0</v>
          </cell>
        </row>
        <row r="865">
          <cell r="A865">
            <v>0</v>
          </cell>
          <cell r="B865" t="str">
            <v>VL186</v>
          </cell>
          <cell r="C865" t="str">
            <v>Giấy nhám số 0</v>
          </cell>
          <cell r="D865" t="str">
            <v>tờ</v>
          </cell>
          <cell r="E865">
            <v>0.36799999999999999</v>
          </cell>
          <cell r="F865">
            <v>2000</v>
          </cell>
          <cell r="G865">
            <v>736</v>
          </cell>
          <cell r="H865">
            <v>0</v>
          </cell>
          <cell r="I865">
            <v>0</v>
          </cell>
        </row>
        <row r="866">
          <cell r="A866">
            <v>0</v>
          </cell>
          <cell r="B866" t="str">
            <v>VL198</v>
          </cell>
          <cell r="C866" t="str">
            <v>Dây điện 2x1,5mm2</v>
          </cell>
          <cell r="D866" t="str">
            <v>m</v>
          </cell>
          <cell r="E866">
            <v>2.2050000000000001</v>
          </cell>
          <cell r="F866">
            <v>9027.2727272727261</v>
          </cell>
          <cell r="G866">
            <v>19905.13636363636</v>
          </cell>
          <cell r="H866">
            <v>0</v>
          </cell>
          <cell r="I866">
            <v>0</v>
          </cell>
        </row>
        <row r="867">
          <cell r="A867">
            <v>0</v>
          </cell>
          <cell r="B867">
            <v>0</v>
          </cell>
          <cell r="C867" t="str">
            <v>Nhân công</v>
          </cell>
          <cell r="D867">
            <v>0</v>
          </cell>
          <cell r="E867">
            <v>0</v>
          </cell>
          <cell r="F867">
            <v>0</v>
          </cell>
          <cell r="G867">
            <v>0</v>
          </cell>
          <cell r="H867">
            <v>0</v>
          </cell>
          <cell r="I867">
            <v>0</v>
          </cell>
        </row>
        <row r="868">
          <cell r="A868">
            <v>0</v>
          </cell>
          <cell r="B868" t="str">
            <v>KS4</v>
          </cell>
          <cell r="C868" t="str">
            <v>Kỹ sư bậc 4,0/8</v>
          </cell>
          <cell r="D868" t="str">
            <v>công</v>
          </cell>
          <cell r="E868">
            <v>16.670000000000002</v>
          </cell>
          <cell r="F868">
            <v>237000</v>
          </cell>
          <cell r="G868">
            <v>0</v>
          </cell>
          <cell r="H868">
            <v>3950790.0000000005</v>
          </cell>
          <cell r="I868">
            <v>0</v>
          </cell>
        </row>
        <row r="869">
          <cell r="A869">
            <v>0</v>
          </cell>
          <cell r="B869" t="str">
            <v>N4507</v>
          </cell>
          <cell r="C869" t="str">
            <v xml:space="preserve"> Nhân công bậc 5,0/7 - Nhóm 4</v>
          </cell>
          <cell r="D869" t="str">
            <v>công</v>
          </cell>
          <cell r="E869">
            <v>7.14</v>
          </cell>
          <cell r="F869">
            <v>302486.8421052632</v>
          </cell>
          <cell r="G869">
            <v>0</v>
          </cell>
          <cell r="H869">
            <v>2159756.0526315793</v>
          </cell>
          <cell r="I869">
            <v>0</v>
          </cell>
        </row>
        <row r="870">
          <cell r="A870">
            <v>0</v>
          </cell>
          <cell r="B870">
            <v>0</v>
          </cell>
          <cell r="C870" t="str">
            <v>Máy thi công</v>
          </cell>
          <cell r="D870">
            <v>0</v>
          </cell>
          <cell r="E870">
            <v>0</v>
          </cell>
          <cell r="F870">
            <v>0</v>
          </cell>
          <cell r="G870">
            <v>0</v>
          </cell>
          <cell r="H870">
            <v>0</v>
          </cell>
          <cell r="I870">
            <v>0</v>
          </cell>
        </row>
        <row r="871">
          <cell r="A871">
            <v>0</v>
          </cell>
          <cell r="B871" t="str">
            <v>M203.0020</v>
          </cell>
          <cell r="C871" t="str">
            <v>Máy chụp sóng</v>
          </cell>
          <cell r="D871" t="str">
            <v>ca</v>
          </cell>
          <cell r="E871">
            <v>0.254</v>
          </cell>
          <cell r="F871">
            <v>414683.97727272729</v>
          </cell>
          <cell r="G871">
            <v>0</v>
          </cell>
          <cell r="H871">
            <v>0</v>
          </cell>
          <cell r="I871">
            <v>105329.73022727274</v>
          </cell>
        </row>
        <row r="872">
          <cell r="A872">
            <v>0</v>
          </cell>
          <cell r="B872" t="str">
            <v>M203.0025</v>
          </cell>
          <cell r="C872" t="str">
            <v>Megôm met</v>
          </cell>
          <cell r="D872" t="str">
            <v>ca</v>
          </cell>
          <cell r="E872">
            <v>0.29399999999999998</v>
          </cell>
          <cell r="F872">
            <v>40127.500000000007</v>
          </cell>
          <cell r="G872">
            <v>0</v>
          </cell>
          <cell r="H872">
            <v>0</v>
          </cell>
          <cell r="I872">
            <v>11797.485000000001</v>
          </cell>
        </row>
        <row r="873">
          <cell r="A873">
            <v>0</v>
          </cell>
          <cell r="B873" t="str">
            <v>M203.0007</v>
          </cell>
          <cell r="C873" t="str">
            <v>Hợp bộ thí nghiệm cao áp</v>
          </cell>
          <cell r="D873" t="str">
            <v>ca</v>
          </cell>
          <cell r="E873">
            <v>0.185</v>
          </cell>
          <cell r="F873">
            <v>403740.11363636365</v>
          </cell>
          <cell r="G873">
            <v>0</v>
          </cell>
          <cell r="H873">
            <v>0</v>
          </cell>
          <cell r="I873">
            <v>74691.921022727271</v>
          </cell>
        </row>
        <row r="874">
          <cell r="A874">
            <v>0</v>
          </cell>
          <cell r="B874" t="str">
            <v>M203.0026</v>
          </cell>
          <cell r="C874" t="str">
            <v>Thiết bị kiểm tra áp lực</v>
          </cell>
          <cell r="D874" t="str">
            <v>ca</v>
          </cell>
          <cell r="E874">
            <v>0.318</v>
          </cell>
          <cell r="F874">
            <v>68673.181818181838</v>
          </cell>
          <cell r="G874">
            <v>0</v>
          </cell>
          <cell r="H874">
            <v>0</v>
          </cell>
          <cell r="I874">
            <v>21838.071818181827</v>
          </cell>
        </row>
        <row r="875">
          <cell r="A875">
            <v>0</v>
          </cell>
          <cell r="B875" t="str">
            <v>M203.0016</v>
          </cell>
          <cell r="C875" t="str">
            <v>Máy đo điện trở tiếp xúc</v>
          </cell>
          <cell r="D875" t="str">
            <v>ca</v>
          </cell>
          <cell r="E875">
            <v>7.0999999999999994E-2</v>
          </cell>
          <cell r="F875">
            <v>83447.159090909103</v>
          </cell>
          <cell r="G875">
            <v>0</v>
          </cell>
          <cell r="H875">
            <v>0</v>
          </cell>
          <cell r="I875">
            <v>5924.7482954545458</v>
          </cell>
        </row>
        <row r="876">
          <cell r="A876">
            <v>0</v>
          </cell>
          <cell r="B876" t="str">
            <v>M203.0014</v>
          </cell>
          <cell r="C876" t="str">
            <v>Máy đo điện trở một chiều</v>
          </cell>
          <cell r="D876" t="str">
            <v>ca</v>
          </cell>
          <cell r="E876">
            <v>7.0999999999999994E-2</v>
          </cell>
          <cell r="F876">
            <v>142909.77272727276</v>
          </cell>
          <cell r="G876">
            <v>0</v>
          </cell>
          <cell r="H876">
            <v>0</v>
          </cell>
          <cell r="I876">
            <v>10146.593863636366</v>
          </cell>
        </row>
        <row r="877">
          <cell r="A877">
            <v>0</v>
          </cell>
          <cell r="B877" t="str">
            <v>M102.1802</v>
          </cell>
          <cell r="C877" t="str">
            <v>Xe thang nâng</v>
          </cell>
          <cell r="D877" t="str">
            <v>ca</v>
          </cell>
          <cell r="E877">
            <v>5.6000000000000001E-2</v>
          </cell>
          <cell r="F877">
            <v>1819914.2343571431</v>
          </cell>
          <cell r="G877">
            <v>0</v>
          </cell>
          <cell r="H877">
            <v>0</v>
          </cell>
          <cell r="I877">
            <v>101915.19712400001</v>
          </cell>
        </row>
        <row r="878">
          <cell r="A878" t="str">
            <v>EB.13030</v>
          </cell>
          <cell r="B878">
            <v>0</v>
          </cell>
          <cell r="C878" t="str">
            <v>Thí nghiệm máy cắt không khí 3 pha - U &lt;=35kV</v>
          </cell>
          <cell r="D878" t="str">
            <v>bộ ( 3 pha )</v>
          </cell>
          <cell r="E878">
            <v>0</v>
          </cell>
          <cell r="F878">
            <v>0</v>
          </cell>
          <cell r="G878">
            <v>40663.591990909088</v>
          </cell>
          <cell r="H878">
            <v>4278224.2105263155</v>
          </cell>
          <cell r="I878">
            <v>160903.16375000001</v>
          </cell>
        </row>
        <row r="879">
          <cell r="A879">
            <v>0</v>
          </cell>
          <cell r="B879">
            <v>0</v>
          </cell>
          <cell r="C879" t="str">
            <v>Vật liệu</v>
          </cell>
          <cell r="D879">
            <v>0</v>
          </cell>
          <cell r="E879">
            <v>0</v>
          </cell>
          <cell r="F879">
            <v>0</v>
          </cell>
          <cell r="G879">
            <v>0</v>
          </cell>
          <cell r="H879">
            <v>0</v>
          </cell>
          <cell r="I879">
            <v>0</v>
          </cell>
        </row>
        <row r="880">
          <cell r="A880">
            <v>0</v>
          </cell>
          <cell r="B880" t="str">
            <v>VL221</v>
          </cell>
          <cell r="C880" t="str">
            <v>Điện năng</v>
          </cell>
          <cell r="D880" t="str">
            <v>Kwh</v>
          </cell>
          <cell r="E880">
            <v>10.29</v>
          </cell>
          <cell r="F880">
            <v>1622.01</v>
          </cell>
          <cell r="G880">
            <v>16690.482899999999</v>
          </cell>
          <cell r="H880">
            <v>0</v>
          </cell>
          <cell r="I880">
            <v>0</v>
          </cell>
        </row>
        <row r="881">
          <cell r="A881">
            <v>0</v>
          </cell>
          <cell r="B881" t="str">
            <v>VL177</v>
          </cell>
          <cell r="C881" t="str">
            <v>Cồn công nghiệp</v>
          </cell>
          <cell r="D881" t="str">
            <v>kg</v>
          </cell>
          <cell r="E881">
            <v>0.309</v>
          </cell>
          <cell r="F881">
            <v>20000</v>
          </cell>
          <cell r="G881">
            <v>6180</v>
          </cell>
          <cell r="H881">
            <v>0</v>
          </cell>
          <cell r="I881">
            <v>0</v>
          </cell>
        </row>
        <row r="882">
          <cell r="A882">
            <v>0</v>
          </cell>
          <cell r="B882" t="str">
            <v>VL188</v>
          </cell>
          <cell r="C882" t="str">
            <v>Vải phin trắng 0,8m</v>
          </cell>
          <cell r="D882" t="str">
            <v>m</v>
          </cell>
          <cell r="E882">
            <v>0.25700000000000001</v>
          </cell>
          <cell r="F882">
            <v>8000</v>
          </cell>
          <cell r="G882">
            <v>2056</v>
          </cell>
          <cell r="H882">
            <v>0</v>
          </cell>
          <cell r="I882">
            <v>0</v>
          </cell>
        </row>
        <row r="883">
          <cell r="A883">
            <v>0</v>
          </cell>
          <cell r="B883" t="str">
            <v>VL176</v>
          </cell>
          <cell r="C883" t="str">
            <v>Giẻ lau</v>
          </cell>
          <cell r="D883" t="str">
            <v>kg</v>
          </cell>
          <cell r="E883">
            <v>0.25700000000000001</v>
          </cell>
          <cell r="F883">
            <v>5000</v>
          </cell>
          <cell r="G883">
            <v>1285</v>
          </cell>
          <cell r="H883">
            <v>0</v>
          </cell>
          <cell r="I883">
            <v>0</v>
          </cell>
        </row>
        <row r="884">
          <cell r="A884">
            <v>0</v>
          </cell>
          <cell r="B884" t="str">
            <v>VL186</v>
          </cell>
          <cell r="C884" t="str">
            <v>Giấy nhám số 0</v>
          </cell>
          <cell r="D884" t="str">
            <v>tờ</v>
          </cell>
          <cell r="E884">
            <v>0.25700000000000001</v>
          </cell>
          <cell r="F884">
            <v>2000</v>
          </cell>
          <cell r="G884">
            <v>514</v>
          </cell>
          <cell r="H884">
            <v>0</v>
          </cell>
          <cell r="I884">
            <v>0</v>
          </cell>
        </row>
        <row r="885">
          <cell r="A885">
            <v>0</v>
          </cell>
          <cell r="B885" t="str">
            <v>VL198</v>
          </cell>
          <cell r="C885" t="str">
            <v>Dây điện 2x1,5mm2</v>
          </cell>
          <cell r="D885" t="str">
            <v>m</v>
          </cell>
          <cell r="E885">
            <v>1.544</v>
          </cell>
          <cell r="F885">
            <v>9027.2727272727261</v>
          </cell>
          <cell r="G885">
            <v>13938.109090909089</v>
          </cell>
          <cell r="H885">
            <v>0</v>
          </cell>
          <cell r="I885">
            <v>0</v>
          </cell>
        </row>
        <row r="886">
          <cell r="A886">
            <v>0</v>
          </cell>
          <cell r="B886">
            <v>0</v>
          </cell>
          <cell r="C886" t="str">
            <v>Nhân công</v>
          </cell>
          <cell r="D886">
            <v>0</v>
          </cell>
          <cell r="E886">
            <v>0</v>
          </cell>
          <cell r="F886">
            <v>0</v>
          </cell>
          <cell r="G886">
            <v>0</v>
          </cell>
          <cell r="H886">
            <v>0</v>
          </cell>
          <cell r="I886">
            <v>0</v>
          </cell>
        </row>
        <row r="887">
          <cell r="A887">
            <v>0</v>
          </cell>
          <cell r="B887" t="str">
            <v>KS4</v>
          </cell>
          <cell r="C887" t="str">
            <v>Kỹ sư bậc 4,0/8</v>
          </cell>
          <cell r="D887" t="str">
            <v>công</v>
          </cell>
          <cell r="E887">
            <v>11.67</v>
          </cell>
          <cell r="F887">
            <v>237000</v>
          </cell>
          <cell r="G887">
            <v>0</v>
          </cell>
          <cell r="H887">
            <v>2765790</v>
          </cell>
          <cell r="I887">
            <v>0</v>
          </cell>
        </row>
        <row r="888">
          <cell r="A888">
            <v>0</v>
          </cell>
          <cell r="B888" t="str">
            <v>N4507</v>
          </cell>
          <cell r="C888" t="str">
            <v xml:space="preserve"> Nhân công bậc 5,0/7 - Nhóm 4</v>
          </cell>
          <cell r="D888" t="str">
            <v>công</v>
          </cell>
          <cell r="E888">
            <v>5</v>
          </cell>
          <cell r="F888">
            <v>302486.8421052632</v>
          </cell>
          <cell r="G888">
            <v>0</v>
          </cell>
          <cell r="H888">
            <v>1512434.210526316</v>
          </cell>
          <cell r="I888">
            <v>0</v>
          </cell>
        </row>
        <row r="889">
          <cell r="A889">
            <v>0</v>
          </cell>
          <cell r="B889">
            <v>0</v>
          </cell>
          <cell r="C889" t="str">
            <v>Máy thi công</v>
          </cell>
          <cell r="D889">
            <v>0</v>
          </cell>
          <cell r="E889">
            <v>0</v>
          </cell>
          <cell r="F889">
            <v>0</v>
          </cell>
          <cell r="G889">
            <v>0</v>
          </cell>
          <cell r="H889">
            <v>0</v>
          </cell>
          <cell r="I889">
            <v>0</v>
          </cell>
        </row>
        <row r="890">
          <cell r="A890">
            <v>0</v>
          </cell>
          <cell r="B890" t="str">
            <v>M203.0020</v>
          </cell>
          <cell r="C890" t="str">
            <v>Máy chụp sóng</v>
          </cell>
          <cell r="D890" t="str">
            <v>ca</v>
          </cell>
          <cell r="E890">
            <v>0.17799999999999999</v>
          </cell>
          <cell r="F890">
            <v>414683.97727272729</v>
          </cell>
          <cell r="G890">
            <v>0</v>
          </cell>
          <cell r="H890">
            <v>0</v>
          </cell>
          <cell r="I890">
            <v>73813.747954545455</v>
          </cell>
        </row>
        <row r="891">
          <cell r="A891">
            <v>0</v>
          </cell>
          <cell r="B891" t="str">
            <v>M203.0025</v>
          </cell>
          <cell r="C891" t="str">
            <v>Megôm met</v>
          </cell>
          <cell r="D891" t="str">
            <v>ca</v>
          </cell>
          <cell r="E891">
            <v>0.20599999999999999</v>
          </cell>
          <cell r="F891">
            <v>40127.500000000007</v>
          </cell>
          <cell r="G891">
            <v>0</v>
          </cell>
          <cell r="H891">
            <v>0</v>
          </cell>
          <cell r="I891">
            <v>8266.2650000000012</v>
          </cell>
        </row>
        <row r="892">
          <cell r="A892">
            <v>0</v>
          </cell>
          <cell r="B892" t="str">
            <v>M203.0007</v>
          </cell>
          <cell r="C892" t="str">
            <v>Hợp bộ thí nghiệm cao áp</v>
          </cell>
          <cell r="D892" t="str">
            <v>ca</v>
          </cell>
          <cell r="E892">
            <v>0.13</v>
          </cell>
          <cell r="F892">
            <v>403740.11363636365</v>
          </cell>
          <cell r="G892">
            <v>0</v>
          </cell>
          <cell r="H892">
            <v>0</v>
          </cell>
          <cell r="I892">
            <v>52486.214772727275</v>
          </cell>
        </row>
        <row r="893">
          <cell r="A893">
            <v>0</v>
          </cell>
          <cell r="B893" t="str">
            <v>M203.0026</v>
          </cell>
          <cell r="C893" t="str">
            <v>Thiết bị kiểm tra áp lực</v>
          </cell>
          <cell r="D893" t="str">
            <v>ca</v>
          </cell>
          <cell r="E893">
            <v>0.222</v>
          </cell>
          <cell r="F893">
            <v>68673.181818181838</v>
          </cell>
          <cell r="G893">
            <v>0</v>
          </cell>
          <cell r="H893">
            <v>0</v>
          </cell>
          <cell r="I893">
            <v>15245.446363636369</v>
          </cell>
        </row>
        <row r="894">
          <cell r="A894">
            <v>0</v>
          </cell>
          <cell r="B894" t="str">
            <v>M203.0016</v>
          </cell>
          <cell r="C894" t="str">
            <v>Máy đo điện trở tiếp xúc</v>
          </cell>
          <cell r="D894" t="str">
            <v>ca</v>
          </cell>
          <cell r="E894">
            <v>4.9000000000000002E-2</v>
          </cell>
          <cell r="F894">
            <v>83447.159090909103</v>
          </cell>
          <cell r="G894">
            <v>0</v>
          </cell>
          <cell r="H894">
            <v>0</v>
          </cell>
          <cell r="I894">
            <v>4088.9107954545461</v>
          </cell>
        </row>
        <row r="895">
          <cell r="A895">
            <v>0</v>
          </cell>
          <cell r="B895" t="str">
            <v>M203.0014</v>
          </cell>
          <cell r="C895" t="str">
            <v>Máy đo điện trở một chiều</v>
          </cell>
          <cell r="D895" t="str">
            <v>ca</v>
          </cell>
          <cell r="E895">
            <v>4.9000000000000002E-2</v>
          </cell>
          <cell r="F895">
            <v>142909.77272727276</v>
          </cell>
          <cell r="G895">
            <v>0</v>
          </cell>
          <cell r="H895">
            <v>0</v>
          </cell>
          <cell r="I895">
            <v>7002.5788636363659</v>
          </cell>
        </row>
        <row r="896">
          <cell r="A896">
            <v>0</v>
          </cell>
          <cell r="B896" t="str">
            <v>M102.1802</v>
          </cell>
          <cell r="C896" t="str">
            <v>Xe thang nâng</v>
          </cell>
          <cell r="D896" t="str">
            <v>ca</v>
          </cell>
          <cell r="E896">
            <v>0</v>
          </cell>
          <cell r="F896">
            <v>1819914.2343571431</v>
          </cell>
          <cell r="G896">
            <v>0</v>
          </cell>
          <cell r="H896">
            <v>0</v>
          </cell>
          <cell r="I896">
            <v>0</v>
          </cell>
        </row>
        <row r="897">
          <cell r="A897" t="str">
            <v>EB.14010</v>
          </cell>
          <cell r="B897">
            <v>0</v>
          </cell>
          <cell r="C897" t="str">
            <v>Thí nghiệm máy cắt chân không 3 pha - U &lt;=35kV</v>
          </cell>
          <cell r="D897" t="str">
            <v>bộ ( 3 pha )</v>
          </cell>
          <cell r="E897">
            <v>0</v>
          </cell>
          <cell r="F897">
            <v>0</v>
          </cell>
          <cell r="G897">
            <v>18968.52838363636</v>
          </cell>
          <cell r="H897">
            <v>1996444.3421052634</v>
          </cell>
          <cell r="I897">
            <v>114299.17704545456</v>
          </cell>
        </row>
        <row r="898">
          <cell r="A898">
            <v>0</v>
          </cell>
          <cell r="B898">
            <v>0</v>
          </cell>
          <cell r="C898" t="str">
            <v>Vật liệu</v>
          </cell>
          <cell r="D898">
            <v>0</v>
          </cell>
          <cell r="E898">
            <v>0</v>
          </cell>
          <cell r="F898">
            <v>0</v>
          </cell>
          <cell r="G898">
            <v>0</v>
          </cell>
          <cell r="H898">
            <v>0</v>
          </cell>
          <cell r="I898">
            <v>0</v>
          </cell>
        </row>
        <row r="899">
          <cell r="A899">
            <v>0</v>
          </cell>
          <cell r="B899" t="str">
            <v>VL221</v>
          </cell>
          <cell r="C899" t="str">
            <v>Điện năng</v>
          </cell>
          <cell r="D899" t="str">
            <v>Kwh</v>
          </cell>
          <cell r="E899">
            <v>4.8019999999999996</v>
          </cell>
          <cell r="F899">
            <v>1622.01</v>
          </cell>
          <cell r="G899">
            <v>7788.8920199999993</v>
          </cell>
          <cell r="H899">
            <v>0</v>
          </cell>
          <cell r="I899">
            <v>0</v>
          </cell>
        </row>
        <row r="900">
          <cell r="A900">
            <v>0</v>
          </cell>
          <cell r="B900" t="str">
            <v>VL177</v>
          </cell>
          <cell r="C900" t="str">
            <v>Cồn công nghiệp</v>
          </cell>
          <cell r="D900" t="str">
            <v>kg</v>
          </cell>
          <cell r="E900">
            <v>0.14399999999999999</v>
          </cell>
          <cell r="F900">
            <v>20000</v>
          </cell>
          <cell r="G900">
            <v>2880</v>
          </cell>
          <cell r="H900">
            <v>0</v>
          </cell>
          <cell r="I900">
            <v>0</v>
          </cell>
        </row>
        <row r="901">
          <cell r="A901">
            <v>0</v>
          </cell>
          <cell r="B901" t="str">
            <v>VL188</v>
          </cell>
          <cell r="C901" t="str">
            <v>Vải phin trắng 0,8m</v>
          </cell>
          <cell r="D901" t="str">
            <v>m</v>
          </cell>
          <cell r="E901">
            <v>0.12</v>
          </cell>
          <cell r="F901">
            <v>8000</v>
          </cell>
          <cell r="G901">
            <v>960</v>
          </cell>
          <cell r="H901">
            <v>0</v>
          </cell>
          <cell r="I901">
            <v>0</v>
          </cell>
        </row>
        <row r="902">
          <cell r="A902">
            <v>0</v>
          </cell>
          <cell r="B902" t="str">
            <v>VL176</v>
          </cell>
          <cell r="C902" t="str">
            <v>Giẻ lau</v>
          </cell>
          <cell r="D902" t="str">
            <v>kg</v>
          </cell>
          <cell r="E902">
            <v>0.12</v>
          </cell>
          <cell r="F902">
            <v>5000</v>
          </cell>
          <cell r="G902">
            <v>600</v>
          </cell>
          <cell r="H902">
            <v>0</v>
          </cell>
          <cell r="I902">
            <v>0</v>
          </cell>
        </row>
        <row r="903">
          <cell r="A903">
            <v>0</v>
          </cell>
          <cell r="B903" t="str">
            <v>VL186</v>
          </cell>
          <cell r="C903" t="str">
            <v>Giấy nhám số 0</v>
          </cell>
          <cell r="D903" t="str">
            <v>tờ</v>
          </cell>
          <cell r="E903">
            <v>0.12</v>
          </cell>
          <cell r="F903">
            <v>2000</v>
          </cell>
          <cell r="G903">
            <v>240</v>
          </cell>
          <cell r="H903">
            <v>0</v>
          </cell>
          <cell r="I903">
            <v>0</v>
          </cell>
        </row>
        <row r="904">
          <cell r="A904">
            <v>0</v>
          </cell>
          <cell r="B904" t="str">
            <v>VL198</v>
          </cell>
          <cell r="C904" t="str">
            <v>Dây điện 2x1,5mm2</v>
          </cell>
          <cell r="D904" t="str">
            <v>m</v>
          </cell>
          <cell r="E904">
            <v>0.72</v>
          </cell>
          <cell r="F904">
            <v>9027.2727272727261</v>
          </cell>
          <cell r="G904">
            <v>6499.6363636363621</v>
          </cell>
          <cell r="H904">
            <v>0</v>
          </cell>
          <cell r="I904">
            <v>0</v>
          </cell>
        </row>
        <row r="905">
          <cell r="A905">
            <v>0</v>
          </cell>
          <cell r="B905">
            <v>0</v>
          </cell>
          <cell r="C905" t="str">
            <v>Nhân công</v>
          </cell>
          <cell r="D905">
            <v>0</v>
          </cell>
          <cell r="E905">
            <v>0</v>
          </cell>
          <cell r="F905">
            <v>0</v>
          </cell>
          <cell r="G905">
            <v>0</v>
          </cell>
          <cell r="H905">
            <v>0</v>
          </cell>
          <cell r="I905">
            <v>0</v>
          </cell>
        </row>
        <row r="906">
          <cell r="A906">
            <v>0</v>
          </cell>
          <cell r="B906" t="str">
            <v>KS4</v>
          </cell>
          <cell r="C906" t="str">
            <v>Kỹ sư bậc 4,0/8</v>
          </cell>
          <cell r="D906" t="str">
            <v>công</v>
          </cell>
          <cell r="E906">
            <v>5.45</v>
          </cell>
          <cell r="F906">
            <v>237000</v>
          </cell>
          <cell r="G906">
            <v>0</v>
          </cell>
          <cell r="H906">
            <v>1291650</v>
          </cell>
          <cell r="I906">
            <v>0</v>
          </cell>
        </row>
        <row r="907">
          <cell r="A907">
            <v>0</v>
          </cell>
          <cell r="B907" t="str">
            <v>N4507</v>
          </cell>
          <cell r="C907" t="str">
            <v xml:space="preserve"> Nhân công bậc 5,0/7 - Nhóm 4</v>
          </cell>
          <cell r="D907" t="str">
            <v>công</v>
          </cell>
          <cell r="E907">
            <v>2.33</v>
          </cell>
          <cell r="F907">
            <v>302486.8421052632</v>
          </cell>
          <cell r="G907">
            <v>0</v>
          </cell>
          <cell r="H907">
            <v>704794.34210526326</v>
          </cell>
          <cell r="I907">
            <v>0</v>
          </cell>
        </row>
        <row r="908">
          <cell r="A908">
            <v>0</v>
          </cell>
          <cell r="B908">
            <v>0</v>
          </cell>
          <cell r="C908" t="str">
            <v>Máy thi công</v>
          </cell>
          <cell r="D908">
            <v>0</v>
          </cell>
          <cell r="E908">
            <v>0</v>
          </cell>
          <cell r="F908">
            <v>0</v>
          </cell>
          <cell r="G908">
            <v>0</v>
          </cell>
          <cell r="H908">
            <v>0</v>
          </cell>
          <cell r="I908">
            <v>0</v>
          </cell>
        </row>
        <row r="909">
          <cell r="A909">
            <v>0</v>
          </cell>
          <cell r="B909" t="str">
            <v>M203.0020</v>
          </cell>
          <cell r="C909" t="str">
            <v>Máy chụp sóng</v>
          </cell>
          <cell r="D909" t="str">
            <v>ca</v>
          </cell>
          <cell r="E909">
            <v>0.104</v>
          </cell>
          <cell r="F909">
            <v>414683.97727272729</v>
          </cell>
          <cell r="G909">
            <v>0</v>
          </cell>
          <cell r="H909">
            <v>0</v>
          </cell>
          <cell r="I909">
            <v>43127.133636363636</v>
          </cell>
        </row>
        <row r="910">
          <cell r="A910">
            <v>0</v>
          </cell>
          <cell r="B910" t="str">
            <v>M203.0025</v>
          </cell>
          <cell r="C910" t="str">
            <v>Megôm met</v>
          </cell>
          <cell r="D910" t="str">
            <v>ca</v>
          </cell>
          <cell r="E910">
            <v>8.5999999999999993E-2</v>
          </cell>
          <cell r="F910">
            <v>40127.500000000007</v>
          </cell>
          <cell r="G910">
            <v>0</v>
          </cell>
          <cell r="H910">
            <v>0</v>
          </cell>
          <cell r="I910">
            <v>3450.9650000000001</v>
          </cell>
        </row>
        <row r="911">
          <cell r="A911">
            <v>0</v>
          </cell>
          <cell r="B911" t="str">
            <v>M203.0007</v>
          </cell>
          <cell r="C911" t="str">
            <v>Hợp bộ thí nghiệm cao áp</v>
          </cell>
          <cell r="D911" t="str">
            <v>ca</v>
          </cell>
          <cell r="E911">
            <v>0.13</v>
          </cell>
          <cell r="F911">
            <v>403740.11363636365</v>
          </cell>
          <cell r="G911">
            <v>0</v>
          </cell>
          <cell r="H911">
            <v>0</v>
          </cell>
          <cell r="I911">
            <v>52486.214772727275</v>
          </cell>
        </row>
        <row r="912">
          <cell r="A912">
            <v>0</v>
          </cell>
          <cell r="B912" t="str">
            <v>M203.0026</v>
          </cell>
          <cell r="C912" t="str">
            <v>Thiết bị kiểm tra áp lực</v>
          </cell>
          <cell r="D912" t="str">
            <v>ca</v>
          </cell>
          <cell r="E912">
            <v>0.09</v>
          </cell>
          <cell r="F912">
            <v>68673.181818181838</v>
          </cell>
          <cell r="G912">
            <v>0</v>
          </cell>
          <cell r="H912">
            <v>0</v>
          </cell>
          <cell r="I912">
            <v>6180.5863636363656</v>
          </cell>
        </row>
        <row r="913">
          <cell r="A913">
            <v>0</v>
          </cell>
          <cell r="B913" t="str">
            <v>M203.0016</v>
          </cell>
          <cell r="C913" t="str">
            <v>Máy đo điện trở tiếp xúc</v>
          </cell>
          <cell r="D913" t="str">
            <v>ca</v>
          </cell>
          <cell r="E913">
            <v>0.04</v>
          </cell>
          <cell r="F913">
            <v>83447.159090909103</v>
          </cell>
          <cell r="G913">
            <v>0</v>
          </cell>
          <cell r="H913">
            <v>0</v>
          </cell>
          <cell r="I913">
            <v>3337.886363636364</v>
          </cell>
        </row>
        <row r="914">
          <cell r="A914">
            <v>0</v>
          </cell>
          <cell r="B914" t="str">
            <v>M203.0014</v>
          </cell>
          <cell r="C914" t="str">
            <v>Máy đo điện trở một chiều</v>
          </cell>
          <cell r="D914" t="str">
            <v>ca</v>
          </cell>
          <cell r="E914">
            <v>0.04</v>
          </cell>
          <cell r="F914">
            <v>142909.77272727276</v>
          </cell>
          <cell r="G914">
            <v>0</v>
          </cell>
          <cell r="H914">
            <v>0</v>
          </cell>
          <cell r="I914">
            <v>5716.390909090911</v>
          </cell>
        </row>
        <row r="915">
          <cell r="A915" t="str">
            <v>EB.21010</v>
          </cell>
          <cell r="B915">
            <v>0</v>
          </cell>
          <cell r="C915" t="str">
            <v>Thí nghiệm dao cách ly 3 pha thao tác bằng điện - U 500kV</v>
          </cell>
          <cell r="D915" t="str">
            <v>bộ ( 3 pha )</v>
          </cell>
          <cell r="E915">
            <v>0</v>
          </cell>
          <cell r="F915">
            <v>0</v>
          </cell>
          <cell r="G915">
            <v>19920.096727272725</v>
          </cell>
          <cell r="H915">
            <v>2576595.3947368423</v>
          </cell>
          <cell r="I915">
            <v>133734.15684447403</v>
          </cell>
        </row>
        <row r="916">
          <cell r="A916">
            <v>0</v>
          </cell>
          <cell r="B916">
            <v>0</v>
          </cell>
          <cell r="C916" t="str">
            <v>Vật liệu</v>
          </cell>
          <cell r="D916">
            <v>0</v>
          </cell>
          <cell r="E916">
            <v>0</v>
          </cell>
          <cell r="F916">
            <v>0</v>
          </cell>
          <cell r="G916">
            <v>0</v>
          </cell>
          <cell r="H916">
            <v>0</v>
          </cell>
          <cell r="I916">
            <v>0</v>
          </cell>
        </row>
        <row r="917">
          <cell r="A917">
            <v>0</v>
          </cell>
          <cell r="B917" t="str">
            <v>VL221</v>
          </cell>
          <cell r="C917" t="str">
            <v>Điện năng</v>
          </cell>
          <cell r="D917" t="str">
            <v>Kwh</v>
          </cell>
          <cell r="E917">
            <v>2.4</v>
          </cell>
          <cell r="F917">
            <v>1622.01</v>
          </cell>
          <cell r="G917">
            <v>3892.8239999999996</v>
          </cell>
          <cell r="H917">
            <v>0</v>
          </cell>
          <cell r="I917">
            <v>0</v>
          </cell>
        </row>
        <row r="918">
          <cell r="A918">
            <v>0</v>
          </cell>
          <cell r="B918" t="str">
            <v>VL198</v>
          </cell>
          <cell r="C918" t="str">
            <v>Dây điện 2x1,5mm2</v>
          </cell>
          <cell r="D918" t="str">
            <v>m</v>
          </cell>
          <cell r="E918">
            <v>1</v>
          </cell>
          <cell r="F918">
            <v>9027.2727272727261</v>
          </cell>
          <cell r="G918">
            <v>9027.2727272727261</v>
          </cell>
          <cell r="H918">
            <v>0</v>
          </cell>
          <cell r="I918">
            <v>0</v>
          </cell>
        </row>
        <row r="919">
          <cell r="A919">
            <v>0</v>
          </cell>
          <cell r="B919" t="str">
            <v>VL176</v>
          </cell>
          <cell r="C919" t="str">
            <v>Giẻ lau</v>
          </cell>
          <cell r="D919" t="str">
            <v>kg</v>
          </cell>
          <cell r="E919">
            <v>0.2</v>
          </cell>
          <cell r="F919">
            <v>5000</v>
          </cell>
          <cell r="G919">
            <v>1000</v>
          </cell>
          <cell r="H919">
            <v>0</v>
          </cell>
          <cell r="I919">
            <v>0</v>
          </cell>
        </row>
        <row r="920">
          <cell r="A920">
            <v>0</v>
          </cell>
          <cell r="B920" t="str">
            <v>VL177</v>
          </cell>
          <cell r="C920" t="str">
            <v>Cồn công nghiệp</v>
          </cell>
          <cell r="D920" t="str">
            <v>kg</v>
          </cell>
          <cell r="E920">
            <v>0.2</v>
          </cell>
          <cell r="F920">
            <v>20000</v>
          </cell>
          <cell r="G920">
            <v>4000</v>
          </cell>
          <cell r="H920">
            <v>0</v>
          </cell>
          <cell r="I920">
            <v>0</v>
          </cell>
        </row>
        <row r="921">
          <cell r="A921">
            <v>0</v>
          </cell>
          <cell r="B921" t="str">
            <v>VL186</v>
          </cell>
          <cell r="C921" t="str">
            <v>Giấy nhám số 0</v>
          </cell>
          <cell r="D921" t="str">
            <v>tờ</v>
          </cell>
          <cell r="E921">
            <v>1</v>
          </cell>
          <cell r="F921">
            <v>2000</v>
          </cell>
          <cell r="G921">
            <v>2000</v>
          </cell>
          <cell r="H921">
            <v>0</v>
          </cell>
          <cell r="I921">
            <v>0</v>
          </cell>
        </row>
        <row r="922">
          <cell r="A922">
            <v>0</v>
          </cell>
          <cell r="B922">
            <v>0</v>
          </cell>
          <cell r="C922" t="str">
            <v>Nhân công</v>
          </cell>
          <cell r="D922">
            <v>0</v>
          </cell>
          <cell r="E922">
            <v>0</v>
          </cell>
          <cell r="F922">
            <v>0</v>
          </cell>
          <cell r="G922">
            <v>0</v>
          </cell>
          <cell r="H922">
            <v>0</v>
          </cell>
          <cell r="I922">
            <v>0</v>
          </cell>
        </row>
        <row r="923">
          <cell r="A923">
            <v>0</v>
          </cell>
          <cell r="B923" t="str">
            <v>KS4</v>
          </cell>
          <cell r="C923" t="str">
            <v>Kỹ sư bậc 4,0/8</v>
          </cell>
          <cell r="D923" t="str">
            <v>công</v>
          </cell>
          <cell r="E923">
            <v>7.03</v>
          </cell>
          <cell r="F923">
            <v>237000</v>
          </cell>
          <cell r="G923">
            <v>0</v>
          </cell>
          <cell r="H923">
            <v>1666110</v>
          </cell>
          <cell r="I923">
            <v>0</v>
          </cell>
        </row>
        <row r="924">
          <cell r="A924">
            <v>0</v>
          </cell>
          <cell r="B924" t="str">
            <v>N4507</v>
          </cell>
          <cell r="C924" t="str">
            <v xml:space="preserve"> Nhân công bậc 5,0/7 - Nhóm 4</v>
          </cell>
          <cell r="D924" t="str">
            <v>công</v>
          </cell>
          <cell r="E924">
            <v>3.01</v>
          </cell>
          <cell r="F924">
            <v>302486.8421052632</v>
          </cell>
          <cell r="G924">
            <v>0</v>
          </cell>
          <cell r="H924">
            <v>910485.39473684214</v>
          </cell>
          <cell r="I924">
            <v>0</v>
          </cell>
        </row>
        <row r="925">
          <cell r="A925">
            <v>0</v>
          </cell>
          <cell r="B925">
            <v>0</v>
          </cell>
          <cell r="C925" t="str">
            <v>Máy thi công</v>
          </cell>
          <cell r="D925">
            <v>0</v>
          </cell>
          <cell r="E925">
            <v>0</v>
          </cell>
          <cell r="F925">
            <v>0</v>
          </cell>
          <cell r="G925">
            <v>0</v>
          </cell>
          <cell r="H925">
            <v>0</v>
          </cell>
          <cell r="I925">
            <v>0</v>
          </cell>
        </row>
        <row r="926">
          <cell r="A926">
            <v>0</v>
          </cell>
          <cell r="B926" t="str">
            <v>M203.0016</v>
          </cell>
          <cell r="C926" t="str">
            <v>Máy đo điện trở tiếp xúc</v>
          </cell>
          <cell r="D926" t="str">
            <v>ca</v>
          </cell>
          <cell r="E926">
            <v>7.4999999999999997E-2</v>
          </cell>
          <cell r="F926">
            <v>83447.159090909103</v>
          </cell>
          <cell r="G926">
            <v>0</v>
          </cell>
          <cell r="H926">
            <v>0</v>
          </cell>
          <cell r="I926">
            <v>6258.5369318181829</v>
          </cell>
        </row>
        <row r="927">
          <cell r="A927">
            <v>0</v>
          </cell>
          <cell r="B927" t="str">
            <v>M203.0025</v>
          </cell>
          <cell r="C927" t="str">
            <v>Megôm met</v>
          </cell>
          <cell r="D927" t="str">
            <v>ca</v>
          </cell>
          <cell r="E927">
            <v>0.1</v>
          </cell>
          <cell r="F927">
            <v>40127.500000000007</v>
          </cell>
          <cell r="G927">
            <v>0</v>
          </cell>
          <cell r="H927">
            <v>0</v>
          </cell>
          <cell r="I927">
            <v>4012.7500000000009</v>
          </cell>
        </row>
        <row r="928">
          <cell r="A928">
            <v>0</v>
          </cell>
          <cell r="B928" t="str">
            <v>M203.0007</v>
          </cell>
          <cell r="C928" t="str">
            <v>Hợp bộ thí nghiệm cao áp</v>
          </cell>
          <cell r="D928" t="str">
            <v>ca</v>
          </cell>
          <cell r="E928">
            <v>0.13</v>
          </cell>
          <cell r="F928">
            <v>403740.11363636365</v>
          </cell>
          <cell r="G928">
            <v>0</v>
          </cell>
          <cell r="H928">
            <v>0</v>
          </cell>
          <cell r="I928">
            <v>52486.214772727275</v>
          </cell>
        </row>
        <row r="929">
          <cell r="A929">
            <v>0</v>
          </cell>
          <cell r="B929" t="str">
            <v>M102.1802</v>
          </cell>
          <cell r="C929" t="str">
            <v>Xe thang nâng</v>
          </cell>
          <cell r="D929" t="str">
            <v>ca</v>
          </cell>
          <cell r="E929">
            <v>3.9E-2</v>
          </cell>
          <cell r="F929">
            <v>1819914.2343571431</v>
          </cell>
          <cell r="G929">
            <v>0</v>
          </cell>
          <cell r="H929">
            <v>0</v>
          </cell>
          <cell r="I929">
            <v>70976.655139928582</v>
          </cell>
        </row>
        <row r="930">
          <cell r="A930" t="str">
            <v>EB.21020</v>
          </cell>
          <cell r="B930">
            <v>0</v>
          </cell>
          <cell r="C930" t="str">
            <v>Thí nghiệm dao cách ly 3 pha thao tác bằng điện - U 220kV</v>
          </cell>
          <cell r="D930" t="str">
            <v>bộ ( 3 pha )</v>
          </cell>
          <cell r="E930">
            <v>0</v>
          </cell>
          <cell r="F930">
            <v>0</v>
          </cell>
          <cell r="G930">
            <v>15936.077381818181</v>
          </cell>
          <cell r="H930">
            <v>2063303.2894736845</v>
          </cell>
          <cell r="I930">
            <v>120220.47331613638</v>
          </cell>
        </row>
        <row r="931">
          <cell r="A931">
            <v>0</v>
          </cell>
          <cell r="B931">
            <v>0</v>
          </cell>
          <cell r="C931" t="str">
            <v>Vật liệu</v>
          </cell>
          <cell r="D931">
            <v>0</v>
          </cell>
          <cell r="E931">
            <v>0</v>
          </cell>
          <cell r="F931">
            <v>0</v>
          </cell>
          <cell r="G931">
            <v>0</v>
          </cell>
          <cell r="H931">
            <v>0</v>
          </cell>
          <cell r="I931">
            <v>0</v>
          </cell>
        </row>
        <row r="932">
          <cell r="A932">
            <v>0</v>
          </cell>
          <cell r="B932" t="str">
            <v>VL221</v>
          </cell>
          <cell r="C932" t="str">
            <v>Điện năng</v>
          </cell>
          <cell r="D932" t="str">
            <v>Kwh</v>
          </cell>
          <cell r="E932">
            <v>1.92</v>
          </cell>
          <cell r="F932">
            <v>1622.01</v>
          </cell>
          <cell r="G932">
            <v>3114.2592</v>
          </cell>
          <cell r="H932">
            <v>0</v>
          </cell>
          <cell r="I932">
            <v>0</v>
          </cell>
        </row>
        <row r="933">
          <cell r="A933">
            <v>0</v>
          </cell>
          <cell r="B933" t="str">
            <v>VL198</v>
          </cell>
          <cell r="C933" t="str">
            <v>Dây điện 2x1,5mm2</v>
          </cell>
          <cell r="D933" t="str">
            <v>m</v>
          </cell>
          <cell r="E933">
            <v>0.8</v>
          </cell>
          <cell r="F933">
            <v>9027.2727272727261</v>
          </cell>
          <cell r="G933">
            <v>7221.8181818181811</v>
          </cell>
          <cell r="H933">
            <v>0</v>
          </cell>
          <cell r="I933">
            <v>0</v>
          </cell>
        </row>
        <row r="934">
          <cell r="A934">
            <v>0</v>
          </cell>
          <cell r="B934" t="str">
            <v>VL176</v>
          </cell>
          <cell r="C934" t="str">
            <v>Giẻ lau</v>
          </cell>
          <cell r="D934" t="str">
            <v>kg</v>
          </cell>
          <cell r="E934">
            <v>0.16</v>
          </cell>
          <cell r="F934">
            <v>5000</v>
          </cell>
          <cell r="G934">
            <v>800</v>
          </cell>
          <cell r="H934">
            <v>0</v>
          </cell>
          <cell r="I934">
            <v>0</v>
          </cell>
        </row>
        <row r="935">
          <cell r="A935">
            <v>0</v>
          </cell>
          <cell r="B935" t="str">
            <v>VL177</v>
          </cell>
          <cell r="C935" t="str">
            <v>Cồn công nghiệp</v>
          </cell>
          <cell r="D935" t="str">
            <v>kg</v>
          </cell>
          <cell r="E935">
            <v>0.16</v>
          </cell>
          <cell r="F935">
            <v>20000</v>
          </cell>
          <cell r="G935">
            <v>3200</v>
          </cell>
          <cell r="H935">
            <v>0</v>
          </cell>
          <cell r="I935">
            <v>0</v>
          </cell>
        </row>
        <row r="936">
          <cell r="A936">
            <v>0</v>
          </cell>
          <cell r="B936" t="str">
            <v>VL186</v>
          </cell>
          <cell r="C936" t="str">
            <v>Giấy nhám số 0</v>
          </cell>
          <cell r="D936" t="str">
            <v>tờ</v>
          </cell>
          <cell r="E936">
            <v>0.8</v>
          </cell>
          <cell r="F936">
            <v>2000</v>
          </cell>
          <cell r="G936">
            <v>1600</v>
          </cell>
          <cell r="H936">
            <v>0</v>
          </cell>
          <cell r="I936">
            <v>0</v>
          </cell>
        </row>
        <row r="937">
          <cell r="A937">
            <v>0</v>
          </cell>
          <cell r="B937">
            <v>0</v>
          </cell>
          <cell r="C937" t="str">
            <v>Nhân công</v>
          </cell>
          <cell r="D937">
            <v>0</v>
          </cell>
          <cell r="E937">
            <v>0</v>
          </cell>
          <cell r="F937">
            <v>0</v>
          </cell>
          <cell r="G937">
            <v>0</v>
          </cell>
          <cell r="H937">
            <v>0</v>
          </cell>
          <cell r="I937">
            <v>0</v>
          </cell>
        </row>
        <row r="938">
          <cell r="A938">
            <v>0</v>
          </cell>
          <cell r="B938" t="str">
            <v>KS4</v>
          </cell>
          <cell r="C938" t="str">
            <v>Kỹ sư bậc 4,0/8</v>
          </cell>
          <cell r="D938" t="str">
            <v>công</v>
          </cell>
          <cell r="E938">
            <v>5.63</v>
          </cell>
          <cell r="F938">
            <v>237000</v>
          </cell>
          <cell r="G938">
            <v>0</v>
          </cell>
          <cell r="H938">
            <v>1334310</v>
          </cell>
          <cell r="I938">
            <v>0</v>
          </cell>
        </row>
        <row r="939">
          <cell r="A939">
            <v>0</v>
          </cell>
          <cell r="B939" t="str">
            <v>N4507</v>
          </cell>
          <cell r="C939" t="str">
            <v xml:space="preserve"> Nhân công bậc 5,0/7 - Nhóm 4</v>
          </cell>
          <cell r="D939" t="str">
            <v>công</v>
          </cell>
          <cell r="E939">
            <v>2.41</v>
          </cell>
          <cell r="F939">
            <v>302486.8421052632</v>
          </cell>
          <cell r="G939">
            <v>0</v>
          </cell>
          <cell r="H939">
            <v>728993.28947368439</v>
          </cell>
          <cell r="I939">
            <v>0</v>
          </cell>
        </row>
        <row r="940">
          <cell r="A940">
            <v>0</v>
          </cell>
          <cell r="B940">
            <v>0</v>
          </cell>
          <cell r="C940" t="str">
            <v>Máy thi công</v>
          </cell>
          <cell r="D940">
            <v>0</v>
          </cell>
          <cell r="E940">
            <v>0</v>
          </cell>
          <cell r="F940">
            <v>0</v>
          </cell>
          <cell r="G940">
            <v>0</v>
          </cell>
          <cell r="H940">
            <v>0</v>
          </cell>
          <cell r="I940">
            <v>0</v>
          </cell>
        </row>
        <row r="941">
          <cell r="A941">
            <v>0</v>
          </cell>
          <cell r="B941" t="str">
            <v>M203.0016</v>
          </cell>
          <cell r="C941" t="str">
            <v>Máy đo điện trở tiếp xúc</v>
          </cell>
          <cell r="D941" t="str">
            <v>ca</v>
          </cell>
          <cell r="E941">
            <v>6.8000000000000005E-2</v>
          </cell>
          <cell r="F941">
            <v>83447.159090909103</v>
          </cell>
          <cell r="G941">
            <v>0</v>
          </cell>
          <cell r="H941">
            <v>0</v>
          </cell>
          <cell r="I941">
            <v>5674.4068181818193</v>
          </cell>
        </row>
        <row r="942">
          <cell r="A942">
            <v>0</v>
          </cell>
          <cell r="B942" t="str">
            <v>M203.0025</v>
          </cell>
          <cell r="C942" t="str">
            <v>Megôm met</v>
          </cell>
          <cell r="D942" t="str">
            <v>ca</v>
          </cell>
          <cell r="E942">
            <v>0.09</v>
          </cell>
          <cell r="F942">
            <v>40127.500000000007</v>
          </cell>
          <cell r="G942">
            <v>0</v>
          </cell>
          <cell r="H942">
            <v>0</v>
          </cell>
          <cell r="I942">
            <v>3611.4750000000004</v>
          </cell>
        </row>
        <row r="943">
          <cell r="A943">
            <v>0</v>
          </cell>
          <cell r="B943" t="str">
            <v>M203.0007</v>
          </cell>
          <cell r="C943" t="str">
            <v>Hợp bộ thí nghiệm cao áp</v>
          </cell>
          <cell r="D943" t="str">
            <v>ca</v>
          </cell>
          <cell r="E943">
            <v>0.11700000000000001</v>
          </cell>
          <cell r="F943">
            <v>403740.11363636365</v>
          </cell>
          <cell r="G943">
            <v>0</v>
          </cell>
          <cell r="H943">
            <v>0</v>
          </cell>
          <cell r="I943">
            <v>47237.59329545455</v>
          </cell>
        </row>
        <row r="944">
          <cell r="A944">
            <v>0</v>
          </cell>
          <cell r="B944" t="str">
            <v>M102.1802</v>
          </cell>
          <cell r="C944" t="str">
            <v>Xe thang nâng</v>
          </cell>
          <cell r="D944" t="str">
            <v>ca</v>
          </cell>
          <cell r="E944">
            <v>3.5000000000000003E-2</v>
          </cell>
          <cell r="F944">
            <v>1819914.2343571431</v>
          </cell>
          <cell r="G944">
            <v>0</v>
          </cell>
          <cell r="H944">
            <v>0</v>
          </cell>
          <cell r="I944">
            <v>63696.998202500014</v>
          </cell>
        </row>
        <row r="945">
          <cell r="A945" t="str">
            <v>EB.21030</v>
          </cell>
          <cell r="B945">
            <v>0</v>
          </cell>
          <cell r="C945" t="str">
            <v>Thí nghiệm dao cách ly 3 pha thao tác bằng điện - U 66-110kV</v>
          </cell>
          <cell r="D945" t="str">
            <v>bộ ( 3 pha )</v>
          </cell>
          <cell r="E945">
            <v>0</v>
          </cell>
          <cell r="F945">
            <v>0</v>
          </cell>
          <cell r="G945">
            <v>12748.861905454545</v>
          </cell>
          <cell r="H945">
            <v>1650299.605263158</v>
          </cell>
          <cell r="I945">
            <v>108970.57163579221</v>
          </cell>
        </row>
        <row r="946">
          <cell r="A946">
            <v>0</v>
          </cell>
          <cell r="B946">
            <v>0</v>
          </cell>
          <cell r="C946" t="str">
            <v>Vật liệu</v>
          </cell>
          <cell r="D946">
            <v>0</v>
          </cell>
          <cell r="E946">
            <v>0</v>
          </cell>
          <cell r="F946">
            <v>0</v>
          </cell>
          <cell r="G946">
            <v>0</v>
          </cell>
          <cell r="H946">
            <v>0</v>
          </cell>
          <cell r="I946">
            <v>0</v>
          </cell>
        </row>
        <row r="947">
          <cell r="A947">
            <v>0</v>
          </cell>
          <cell r="B947" t="str">
            <v>VL221</v>
          </cell>
          <cell r="C947" t="str">
            <v>Điện năng</v>
          </cell>
          <cell r="D947" t="str">
            <v>Kwh</v>
          </cell>
          <cell r="E947">
            <v>1.536</v>
          </cell>
          <cell r="F947">
            <v>1622.01</v>
          </cell>
          <cell r="G947">
            <v>2491.4073600000002</v>
          </cell>
          <cell r="H947">
            <v>0</v>
          </cell>
          <cell r="I947">
            <v>0</v>
          </cell>
        </row>
        <row r="948">
          <cell r="A948">
            <v>0</v>
          </cell>
          <cell r="B948" t="str">
            <v>VL198</v>
          </cell>
          <cell r="C948" t="str">
            <v>Dây điện 2x1,5mm2</v>
          </cell>
          <cell r="D948" t="str">
            <v>m</v>
          </cell>
          <cell r="E948">
            <v>0.64</v>
          </cell>
          <cell r="F948">
            <v>9027.2727272727261</v>
          </cell>
          <cell r="G948">
            <v>5777.454545454545</v>
          </cell>
          <cell r="H948">
            <v>0</v>
          </cell>
          <cell r="I948">
            <v>0</v>
          </cell>
        </row>
        <row r="949">
          <cell r="A949">
            <v>0</v>
          </cell>
          <cell r="B949" t="str">
            <v>VL176</v>
          </cell>
          <cell r="C949" t="str">
            <v>Giẻ lau</v>
          </cell>
          <cell r="D949" t="str">
            <v>kg</v>
          </cell>
          <cell r="E949">
            <v>0.128</v>
          </cell>
          <cell r="F949">
            <v>5000</v>
          </cell>
          <cell r="G949">
            <v>640</v>
          </cell>
          <cell r="H949">
            <v>0</v>
          </cell>
          <cell r="I949">
            <v>0</v>
          </cell>
        </row>
        <row r="950">
          <cell r="A950">
            <v>0</v>
          </cell>
          <cell r="B950" t="str">
            <v>VL177</v>
          </cell>
          <cell r="C950" t="str">
            <v>Cồn công nghiệp</v>
          </cell>
          <cell r="D950" t="str">
            <v>kg</v>
          </cell>
          <cell r="E950">
            <v>0.128</v>
          </cell>
          <cell r="F950">
            <v>20000</v>
          </cell>
          <cell r="G950">
            <v>2560</v>
          </cell>
          <cell r="H950">
            <v>0</v>
          </cell>
          <cell r="I950">
            <v>0</v>
          </cell>
        </row>
        <row r="951">
          <cell r="A951">
            <v>0</v>
          </cell>
          <cell r="B951" t="str">
            <v>VL186</v>
          </cell>
          <cell r="C951" t="str">
            <v>Giấy nhám số 0</v>
          </cell>
          <cell r="D951" t="str">
            <v>tờ</v>
          </cell>
          <cell r="E951">
            <v>0.64</v>
          </cell>
          <cell r="F951">
            <v>2000</v>
          </cell>
          <cell r="G951">
            <v>1280</v>
          </cell>
          <cell r="H951">
            <v>0</v>
          </cell>
          <cell r="I951">
            <v>0</v>
          </cell>
        </row>
        <row r="952">
          <cell r="A952">
            <v>0</v>
          </cell>
          <cell r="B952">
            <v>0</v>
          </cell>
          <cell r="C952" t="str">
            <v>Nhân công</v>
          </cell>
          <cell r="D952">
            <v>0</v>
          </cell>
          <cell r="E952">
            <v>0</v>
          </cell>
          <cell r="F952">
            <v>0</v>
          </cell>
          <cell r="G952">
            <v>0</v>
          </cell>
          <cell r="H952">
            <v>0</v>
          </cell>
          <cell r="I952">
            <v>0</v>
          </cell>
        </row>
        <row r="953">
          <cell r="A953">
            <v>0</v>
          </cell>
          <cell r="B953" t="str">
            <v>KS4</v>
          </cell>
          <cell r="C953" t="str">
            <v>Kỹ sư bậc 4,0/8</v>
          </cell>
          <cell r="D953" t="str">
            <v>công</v>
          </cell>
          <cell r="E953">
            <v>4.5</v>
          </cell>
          <cell r="F953">
            <v>237000</v>
          </cell>
          <cell r="G953">
            <v>0</v>
          </cell>
          <cell r="H953">
            <v>1066500</v>
          </cell>
          <cell r="I953">
            <v>0</v>
          </cell>
        </row>
        <row r="954">
          <cell r="A954">
            <v>0</v>
          </cell>
          <cell r="B954" t="str">
            <v>N4507</v>
          </cell>
          <cell r="C954" t="str">
            <v xml:space="preserve"> Nhân công bậc 5,0/7 - Nhóm 4</v>
          </cell>
          <cell r="D954" t="str">
            <v>công</v>
          </cell>
          <cell r="E954">
            <v>1.93</v>
          </cell>
          <cell r="F954">
            <v>302486.8421052632</v>
          </cell>
          <cell r="G954">
            <v>0</v>
          </cell>
          <cell r="H954">
            <v>583799.60526315798</v>
          </cell>
          <cell r="I954">
            <v>0</v>
          </cell>
        </row>
        <row r="955">
          <cell r="A955">
            <v>0</v>
          </cell>
          <cell r="B955">
            <v>0</v>
          </cell>
          <cell r="C955" t="str">
            <v>Máy thi công</v>
          </cell>
          <cell r="D955">
            <v>0</v>
          </cell>
          <cell r="E955">
            <v>0</v>
          </cell>
          <cell r="F955">
            <v>0</v>
          </cell>
          <cell r="G955">
            <v>0</v>
          </cell>
          <cell r="H955">
            <v>0</v>
          </cell>
          <cell r="I955">
            <v>0</v>
          </cell>
        </row>
        <row r="956">
          <cell r="A956">
            <v>0</v>
          </cell>
          <cell r="B956" t="str">
            <v>M203.0016</v>
          </cell>
          <cell r="C956" t="str">
            <v>Máy đo điện trở tiếp xúc</v>
          </cell>
          <cell r="D956" t="str">
            <v>ca</v>
          </cell>
          <cell r="E956">
            <v>6.0999999999999999E-2</v>
          </cell>
          <cell r="F956">
            <v>83447.159090909103</v>
          </cell>
          <cell r="G956">
            <v>0</v>
          </cell>
          <cell r="H956">
            <v>0</v>
          </cell>
          <cell r="I956">
            <v>5090.2767045454548</v>
          </cell>
        </row>
        <row r="957">
          <cell r="A957">
            <v>0</v>
          </cell>
          <cell r="B957" t="str">
            <v>M203.0025</v>
          </cell>
          <cell r="C957" t="str">
            <v>Megôm met</v>
          </cell>
          <cell r="D957" t="str">
            <v>ca</v>
          </cell>
          <cell r="E957">
            <v>8.1000000000000003E-2</v>
          </cell>
          <cell r="F957">
            <v>40127.500000000007</v>
          </cell>
          <cell r="G957">
            <v>0</v>
          </cell>
          <cell r="H957">
            <v>0</v>
          </cell>
          <cell r="I957">
            <v>3250.3275000000008</v>
          </cell>
        </row>
        <row r="958">
          <cell r="A958">
            <v>0</v>
          </cell>
          <cell r="B958" t="str">
            <v>M203.0007</v>
          </cell>
          <cell r="C958" t="str">
            <v>Hợp bộ thí nghiệm cao áp</v>
          </cell>
          <cell r="D958" t="str">
            <v>ca</v>
          </cell>
          <cell r="E958">
            <v>0.105</v>
          </cell>
          <cell r="F958">
            <v>403740.11363636365</v>
          </cell>
          <cell r="G958">
            <v>0</v>
          </cell>
          <cell r="H958">
            <v>0</v>
          </cell>
          <cell r="I958">
            <v>42392.711931818179</v>
          </cell>
        </row>
        <row r="959">
          <cell r="A959">
            <v>0</v>
          </cell>
          <cell r="B959" t="str">
            <v>M102.1802</v>
          </cell>
          <cell r="C959" t="str">
            <v>Xe thang nâng</v>
          </cell>
          <cell r="D959" t="str">
            <v>ca</v>
          </cell>
          <cell r="E959">
            <v>3.2000000000000001E-2</v>
          </cell>
          <cell r="F959">
            <v>1819914.2343571431</v>
          </cell>
          <cell r="G959">
            <v>0</v>
          </cell>
          <cell r="H959">
            <v>0</v>
          </cell>
          <cell r="I959">
            <v>58237.255499428582</v>
          </cell>
        </row>
        <row r="960">
          <cell r="A960" t="str">
            <v>EB.21040</v>
          </cell>
          <cell r="B960">
            <v>0</v>
          </cell>
          <cell r="C960" t="str">
            <v>Thí nghiệm dao cách ly 3 pha thao tác bằng điện - U &lt;=35kV</v>
          </cell>
          <cell r="D960" t="str">
            <v>bộ ( 3 pha )</v>
          </cell>
          <cell r="E960">
            <v>0</v>
          </cell>
          <cell r="F960">
            <v>0</v>
          </cell>
          <cell r="G960">
            <v>10189.413926363635</v>
          </cell>
          <cell r="H960">
            <v>1316659.7368421054</v>
          </cell>
          <cell r="I960">
            <v>45874.212045454551</v>
          </cell>
        </row>
        <row r="961">
          <cell r="A961">
            <v>0</v>
          </cell>
          <cell r="B961">
            <v>0</v>
          </cell>
          <cell r="C961" t="str">
            <v>Vật liệu</v>
          </cell>
          <cell r="D961">
            <v>0</v>
          </cell>
          <cell r="E961">
            <v>0</v>
          </cell>
          <cell r="F961">
            <v>0</v>
          </cell>
          <cell r="G961">
            <v>0</v>
          </cell>
          <cell r="H961">
            <v>0</v>
          </cell>
          <cell r="I961">
            <v>0</v>
          </cell>
        </row>
        <row r="962">
          <cell r="A962">
            <v>0</v>
          </cell>
          <cell r="B962" t="str">
            <v>VL221</v>
          </cell>
          <cell r="C962" t="str">
            <v>Điện năng</v>
          </cell>
          <cell r="D962" t="str">
            <v>Kwh</v>
          </cell>
          <cell r="E962">
            <v>1.2290000000000001</v>
          </cell>
          <cell r="F962">
            <v>1622.01</v>
          </cell>
          <cell r="G962">
            <v>1993.4502900000002</v>
          </cell>
          <cell r="H962">
            <v>0</v>
          </cell>
          <cell r="I962">
            <v>0</v>
          </cell>
        </row>
        <row r="963">
          <cell r="A963">
            <v>0</v>
          </cell>
          <cell r="B963" t="str">
            <v>VL198</v>
          </cell>
          <cell r="C963" t="str">
            <v>Dây điện 2x1,5mm2</v>
          </cell>
          <cell r="D963" t="str">
            <v>m</v>
          </cell>
          <cell r="E963">
            <v>0.51200000000000001</v>
          </cell>
          <cell r="F963">
            <v>9027.2727272727261</v>
          </cell>
          <cell r="G963">
            <v>4621.9636363636355</v>
          </cell>
          <cell r="H963">
            <v>0</v>
          </cell>
          <cell r="I963">
            <v>0</v>
          </cell>
        </row>
        <row r="964">
          <cell r="A964">
            <v>0</v>
          </cell>
          <cell r="B964" t="str">
            <v>VL176</v>
          </cell>
          <cell r="C964" t="str">
            <v>Giẻ lau</v>
          </cell>
          <cell r="D964" t="str">
            <v>kg</v>
          </cell>
          <cell r="E964">
            <v>0.10199999999999999</v>
          </cell>
          <cell r="F964">
            <v>5000</v>
          </cell>
          <cell r="G964">
            <v>509.99999999999994</v>
          </cell>
          <cell r="H964">
            <v>0</v>
          </cell>
          <cell r="I964">
            <v>0</v>
          </cell>
        </row>
        <row r="965">
          <cell r="A965">
            <v>0</v>
          </cell>
          <cell r="B965" t="str">
            <v>VL177</v>
          </cell>
          <cell r="C965" t="str">
            <v>Cồn công nghiệp</v>
          </cell>
          <cell r="D965" t="str">
            <v>kg</v>
          </cell>
          <cell r="E965">
            <v>0.10199999999999999</v>
          </cell>
          <cell r="F965">
            <v>20000</v>
          </cell>
          <cell r="G965">
            <v>2039.9999999999998</v>
          </cell>
          <cell r="H965">
            <v>0</v>
          </cell>
          <cell r="I965">
            <v>0</v>
          </cell>
        </row>
        <row r="966">
          <cell r="A966">
            <v>0</v>
          </cell>
          <cell r="B966" t="str">
            <v>VL186</v>
          </cell>
          <cell r="C966" t="str">
            <v>Giấy nhám số 0</v>
          </cell>
          <cell r="D966" t="str">
            <v>tờ</v>
          </cell>
          <cell r="E966">
            <v>0.51200000000000001</v>
          </cell>
          <cell r="F966">
            <v>2000</v>
          </cell>
          <cell r="G966">
            <v>1024</v>
          </cell>
          <cell r="H966">
            <v>0</v>
          </cell>
          <cell r="I966">
            <v>0</v>
          </cell>
        </row>
        <row r="967">
          <cell r="A967">
            <v>0</v>
          </cell>
          <cell r="B967">
            <v>0</v>
          </cell>
          <cell r="C967" t="str">
            <v>Nhân công</v>
          </cell>
          <cell r="D967">
            <v>0</v>
          </cell>
          <cell r="E967">
            <v>0</v>
          </cell>
          <cell r="F967">
            <v>0</v>
          </cell>
          <cell r="G967">
            <v>0</v>
          </cell>
          <cell r="H967">
            <v>0</v>
          </cell>
          <cell r="I967">
            <v>0</v>
          </cell>
        </row>
        <row r="968">
          <cell r="A968">
            <v>0</v>
          </cell>
          <cell r="B968" t="str">
            <v>KS4</v>
          </cell>
          <cell r="C968" t="str">
            <v>Kỹ sư bậc 4,0/8</v>
          </cell>
          <cell r="D968" t="str">
            <v>công</v>
          </cell>
          <cell r="E968">
            <v>3.59</v>
          </cell>
          <cell r="F968">
            <v>237000</v>
          </cell>
          <cell r="G968">
            <v>0</v>
          </cell>
          <cell r="H968">
            <v>850830</v>
          </cell>
          <cell r="I968">
            <v>0</v>
          </cell>
        </row>
        <row r="969">
          <cell r="A969">
            <v>0</v>
          </cell>
          <cell r="B969" t="str">
            <v>N4507</v>
          </cell>
          <cell r="C969" t="str">
            <v xml:space="preserve"> Nhân công bậc 5,0/7 - Nhóm 4</v>
          </cell>
          <cell r="D969" t="str">
            <v>công</v>
          </cell>
          <cell r="E969">
            <v>1.54</v>
          </cell>
          <cell r="F969">
            <v>302486.8421052632</v>
          </cell>
          <cell r="G969">
            <v>0</v>
          </cell>
          <cell r="H969">
            <v>465829.73684210534</v>
          </cell>
          <cell r="I969">
            <v>0</v>
          </cell>
        </row>
        <row r="970">
          <cell r="A970">
            <v>0</v>
          </cell>
          <cell r="B970">
            <v>0</v>
          </cell>
          <cell r="C970" t="str">
            <v>Máy thi công</v>
          </cell>
          <cell r="D970">
            <v>0</v>
          </cell>
          <cell r="E970">
            <v>0</v>
          </cell>
          <cell r="F970">
            <v>0</v>
          </cell>
          <cell r="G970">
            <v>0</v>
          </cell>
          <cell r="H970">
            <v>0</v>
          </cell>
          <cell r="I970">
            <v>0</v>
          </cell>
        </row>
        <row r="971">
          <cell r="A971">
            <v>0</v>
          </cell>
          <cell r="B971" t="str">
            <v>M203.0016</v>
          </cell>
          <cell r="C971" t="str">
            <v>Máy đo điện trở tiếp xúc</v>
          </cell>
          <cell r="D971" t="str">
            <v>ca</v>
          </cell>
          <cell r="E971">
            <v>5.5E-2</v>
          </cell>
          <cell r="F971">
            <v>83447.159090909103</v>
          </cell>
          <cell r="G971">
            <v>0</v>
          </cell>
          <cell r="H971">
            <v>0</v>
          </cell>
          <cell r="I971">
            <v>4589.5937500000009</v>
          </cell>
        </row>
        <row r="972">
          <cell r="A972">
            <v>0</v>
          </cell>
          <cell r="B972" t="str">
            <v>M203.0025</v>
          </cell>
          <cell r="C972" t="str">
            <v>Megôm met</v>
          </cell>
          <cell r="D972" t="str">
            <v>ca</v>
          </cell>
          <cell r="E972">
            <v>7.2999999999999995E-2</v>
          </cell>
          <cell r="F972">
            <v>40127.500000000007</v>
          </cell>
          <cell r="G972">
            <v>0</v>
          </cell>
          <cell r="H972">
            <v>0</v>
          </cell>
          <cell r="I972">
            <v>2929.3075000000003</v>
          </cell>
        </row>
        <row r="973">
          <cell r="A973">
            <v>0</v>
          </cell>
          <cell r="B973" t="str">
            <v>M203.0007</v>
          </cell>
          <cell r="C973" t="str">
            <v>Hợp bộ thí nghiệm cao áp</v>
          </cell>
          <cell r="D973" t="str">
            <v>ca</v>
          </cell>
          <cell r="E973">
            <v>9.5000000000000001E-2</v>
          </cell>
          <cell r="F973">
            <v>403740.11363636365</v>
          </cell>
          <cell r="G973">
            <v>0</v>
          </cell>
          <cell r="H973">
            <v>0</v>
          </cell>
          <cell r="I973">
            <v>38355.310795454548</v>
          </cell>
        </row>
        <row r="974">
          <cell r="A974">
            <v>0</v>
          </cell>
          <cell r="B974" t="str">
            <v>M102.1802</v>
          </cell>
          <cell r="C974" t="str">
            <v>Xe thang nâng</v>
          </cell>
          <cell r="D974" t="str">
            <v>ca</v>
          </cell>
          <cell r="E974">
            <v>0</v>
          </cell>
          <cell r="F974">
            <v>1819914.2343571431</v>
          </cell>
          <cell r="G974">
            <v>0</v>
          </cell>
          <cell r="H974">
            <v>0</v>
          </cell>
          <cell r="I974">
            <v>0</v>
          </cell>
        </row>
        <row r="975">
          <cell r="A975" t="str">
            <v>EB.22010</v>
          </cell>
          <cell r="B975">
            <v>0</v>
          </cell>
          <cell r="C975" t="str">
            <v>Thí nghiệm dao cách ly 3 pha thao tác bằng cơ khí - U 500kV</v>
          </cell>
          <cell r="D975" t="str">
            <v>bộ ( 3 pha )</v>
          </cell>
          <cell r="E975">
            <v>0</v>
          </cell>
          <cell r="F975">
            <v>0</v>
          </cell>
          <cell r="G975">
            <v>18460.287727272727</v>
          </cell>
          <cell r="H975">
            <v>2078833.0263157897</v>
          </cell>
          <cell r="I975">
            <v>128713.78613284416</v>
          </cell>
        </row>
        <row r="976">
          <cell r="A976">
            <v>0</v>
          </cell>
          <cell r="B976">
            <v>0</v>
          </cell>
          <cell r="C976" t="str">
            <v>Vật liệu</v>
          </cell>
          <cell r="D976">
            <v>0</v>
          </cell>
          <cell r="E976">
            <v>0</v>
          </cell>
          <cell r="F976">
            <v>0</v>
          </cell>
          <cell r="G976">
            <v>0</v>
          </cell>
          <cell r="H976">
            <v>0</v>
          </cell>
          <cell r="I976">
            <v>0</v>
          </cell>
        </row>
        <row r="977">
          <cell r="A977">
            <v>0</v>
          </cell>
          <cell r="B977" t="str">
            <v>VL221</v>
          </cell>
          <cell r="C977" t="str">
            <v>Điện năng</v>
          </cell>
          <cell r="D977" t="str">
            <v>Kwh</v>
          </cell>
          <cell r="E977">
            <v>1.5</v>
          </cell>
          <cell r="F977">
            <v>1622.01</v>
          </cell>
          <cell r="G977">
            <v>2433.0149999999999</v>
          </cell>
          <cell r="H977">
            <v>0</v>
          </cell>
          <cell r="I977">
            <v>0</v>
          </cell>
        </row>
        <row r="978">
          <cell r="A978">
            <v>0</v>
          </cell>
          <cell r="B978" t="str">
            <v>VL198</v>
          </cell>
          <cell r="C978" t="str">
            <v>Dây điện 2x1,5mm2</v>
          </cell>
          <cell r="D978" t="str">
            <v>m</v>
          </cell>
          <cell r="E978">
            <v>1</v>
          </cell>
          <cell r="F978">
            <v>9027.2727272727261</v>
          </cell>
          <cell r="G978">
            <v>9027.2727272727261</v>
          </cell>
          <cell r="H978">
            <v>0</v>
          </cell>
          <cell r="I978">
            <v>0</v>
          </cell>
        </row>
        <row r="979">
          <cell r="A979">
            <v>0</v>
          </cell>
          <cell r="B979" t="str">
            <v>VL176</v>
          </cell>
          <cell r="C979" t="str">
            <v>Giẻ lau</v>
          </cell>
          <cell r="D979" t="str">
            <v>kg</v>
          </cell>
          <cell r="E979">
            <v>0.2</v>
          </cell>
          <cell r="F979">
            <v>5000</v>
          </cell>
          <cell r="G979">
            <v>1000</v>
          </cell>
          <cell r="H979">
            <v>0</v>
          </cell>
          <cell r="I979">
            <v>0</v>
          </cell>
        </row>
        <row r="980">
          <cell r="A980">
            <v>0</v>
          </cell>
          <cell r="B980" t="str">
            <v>VL177</v>
          </cell>
          <cell r="C980" t="str">
            <v>Cồn công nghiệp</v>
          </cell>
          <cell r="D980" t="str">
            <v>kg</v>
          </cell>
          <cell r="E980">
            <v>0.2</v>
          </cell>
          <cell r="F980">
            <v>20000</v>
          </cell>
          <cell r="G980">
            <v>4000</v>
          </cell>
          <cell r="H980">
            <v>0</v>
          </cell>
          <cell r="I980">
            <v>0</v>
          </cell>
        </row>
        <row r="981">
          <cell r="A981">
            <v>0</v>
          </cell>
          <cell r="B981" t="str">
            <v>VL186</v>
          </cell>
          <cell r="C981" t="str">
            <v>Giấy nhám số 0</v>
          </cell>
          <cell r="D981" t="str">
            <v>tờ</v>
          </cell>
          <cell r="E981">
            <v>1</v>
          </cell>
          <cell r="F981">
            <v>2000</v>
          </cell>
          <cell r="G981">
            <v>2000</v>
          </cell>
          <cell r="H981">
            <v>0</v>
          </cell>
          <cell r="I981">
            <v>0</v>
          </cell>
        </row>
        <row r="982">
          <cell r="A982">
            <v>0</v>
          </cell>
          <cell r="B982">
            <v>0</v>
          </cell>
          <cell r="C982" t="str">
            <v>Nhân công</v>
          </cell>
          <cell r="D982">
            <v>0</v>
          </cell>
          <cell r="E982">
            <v>0</v>
          </cell>
          <cell r="F982">
            <v>0</v>
          </cell>
          <cell r="G982">
            <v>0</v>
          </cell>
          <cell r="H982">
            <v>0</v>
          </cell>
          <cell r="I982">
            <v>0</v>
          </cell>
        </row>
        <row r="983">
          <cell r="A983">
            <v>0</v>
          </cell>
          <cell r="B983" t="str">
            <v>KS4</v>
          </cell>
          <cell r="C983" t="str">
            <v>Kỹ sư bậc 4,0/8</v>
          </cell>
          <cell r="D983" t="str">
            <v>công</v>
          </cell>
          <cell r="E983">
            <v>5.67</v>
          </cell>
          <cell r="F983">
            <v>237000</v>
          </cell>
          <cell r="G983">
            <v>0</v>
          </cell>
          <cell r="H983">
            <v>1343790</v>
          </cell>
          <cell r="I983">
            <v>0</v>
          </cell>
        </row>
        <row r="984">
          <cell r="A984">
            <v>0</v>
          </cell>
          <cell r="B984" t="str">
            <v>N4507</v>
          </cell>
          <cell r="C984" t="str">
            <v xml:space="preserve"> Nhân công bậc 5,0/7 - Nhóm 4</v>
          </cell>
          <cell r="D984" t="str">
            <v>công</v>
          </cell>
          <cell r="E984">
            <v>2.4300000000000002</v>
          </cell>
          <cell r="F984">
            <v>302486.8421052632</v>
          </cell>
          <cell r="G984">
            <v>0</v>
          </cell>
          <cell r="H984">
            <v>735043.02631578967</v>
          </cell>
          <cell r="I984">
            <v>0</v>
          </cell>
        </row>
        <row r="985">
          <cell r="A985">
            <v>0</v>
          </cell>
          <cell r="B985">
            <v>0</v>
          </cell>
          <cell r="C985" t="str">
            <v>Máy thi công</v>
          </cell>
          <cell r="D985">
            <v>0</v>
          </cell>
          <cell r="E985">
            <v>0</v>
          </cell>
          <cell r="F985">
            <v>0</v>
          </cell>
          <cell r="G985">
            <v>0</v>
          </cell>
          <cell r="H985">
            <v>0</v>
          </cell>
          <cell r="I985">
            <v>0</v>
          </cell>
        </row>
        <row r="986">
          <cell r="A986">
            <v>0</v>
          </cell>
          <cell r="B986" t="str">
            <v>M203.0016</v>
          </cell>
          <cell r="C986" t="str">
            <v>Máy đo điện trở tiếp xúc</v>
          </cell>
          <cell r="D986" t="str">
            <v>ca</v>
          </cell>
          <cell r="E986">
            <v>5.6000000000000001E-2</v>
          </cell>
          <cell r="F986">
            <v>83447.159090909103</v>
          </cell>
          <cell r="G986">
            <v>0</v>
          </cell>
          <cell r="H986">
            <v>0</v>
          </cell>
          <cell r="I986">
            <v>4673.0409090909097</v>
          </cell>
        </row>
        <row r="987">
          <cell r="A987">
            <v>0</v>
          </cell>
          <cell r="B987" t="str">
            <v>M203.0025</v>
          </cell>
          <cell r="C987" t="str">
            <v>Megôm met</v>
          </cell>
          <cell r="D987" t="str">
            <v>ca</v>
          </cell>
          <cell r="E987">
            <v>0.1</v>
          </cell>
          <cell r="F987">
            <v>40127.500000000007</v>
          </cell>
          <cell r="G987">
            <v>0</v>
          </cell>
          <cell r="H987">
            <v>0</v>
          </cell>
          <cell r="I987">
            <v>4012.7500000000009</v>
          </cell>
        </row>
        <row r="988">
          <cell r="A988">
            <v>0</v>
          </cell>
          <cell r="B988" t="str">
            <v>M203.0007</v>
          </cell>
          <cell r="C988" t="str">
            <v>Hợp bộ thí nghiệm cao áp</v>
          </cell>
          <cell r="D988" t="str">
            <v>ca</v>
          </cell>
          <cell r="E988">
            <v>0.126</v>
          </cell>
          <cell r="F988">
            <v>403740.11363636365</v>
          </cell>
          <cell r="G988">
            <v>0</v>
          </cell>
          <cell r="H988">
            <v>0</v>
          </cell>
          <cell r="I988">
            <v>50871.254318181818</v>
          </cell>
        </row>
        <row r="989">
          <cell r="A989">
            <v>0</v>
          </cell>
          <cell r="B989" t="str">
            <v>M102.1802</v>
          </cell>
          <cell r="C989" t="str">
            <v>Xe thang nâng</v>
          </cell>
          <cell r="D989" t="str">
            <v>ca</v>
          </cell>
          <cell r="E989">
            <v>3.7999999999999999E-2</v>
          </cell>
          <cell r="F989">
            <v>1819914.2343571431</v>
          </cell>
          <cell r="G989">
            <v>0</v>
          </cell>
          <cell r="H989">
            <v>0</v>
          </cell>
          <cell r="I989">
            <v>69156.740905571438</v>
          </cell>
        </row>
        <row r="990">
          <cell r="A990" t="str">
            <v>EB.22020</v>
          </cell>
          <cell r="B990">
            <v>0</v>
          </cell>
          <cell r="C990" t="str">
            <v>Thí nghiệm dao cách ly 3 pha thao tác bằng cơ khí - U 220kV</v>
          </cell>
          <cell r="D990" t="str">
            <v>bộ ( 3 pha )</v>
          </cell>
          <cell r="E990">
            <v>0</v>
          </cell>
          <cell r="F990">
            <v>0</v>
          </cell>
          <cell r="G990">
            <v>14768.23018181818</v>
          </cell>
          <cell r="H990">
            <v>1662804.4736842106</v>
          </cell>
          <cell r="I990">
            <v>115283.54976359742</v>
          </cell>
        </row>
        <row r="991">
          <cell r="A991">
            <v>0</v>
          </cell>
          <cell r="B991">
            <v>0</v>
          </cell>
          <cell r="C991" t="str">
            <v>Vật liệu</v>
          </cell>
          <cell r="D991">
            <v>0</v>
          </cell>
          <cell r="E991">
            <v>0</v>
          </cell>
          <cell r="F991">
            <v>0</v>
          </cell>
          <cell r="G991">
            <v>0</v>
          </cell>
          <cell r="H991">
            <v>0</v>
          </cell>
          <cell r="I991">
            <v>0</v>
          </cell>
        </row>
        <row r="992">
          <cell r="A992">
            <v>0</v>
          </cell>
          <cell r="B992" t="str">
            <v>VL221</v>
          </cell>
          <cell r="C992" t="str">
            <v>Điện năng</v>
          </cell>
          <cell r="D992" t="str">
            <v>Kwh</v>
          </cell>
          <cell r="E992">
            <v>1.2</v>
          </cell>
          <cell r="F992">
            <v>1622.01</v>
          </cell>
          <cell r="G992">
            <v>1946.4119999999998</v>
          </cell>
          <cell r="H992">
            <v>0</v>
          </cell>
          <cell r="I992">
            <v>0</v>
          </cell>
        </row>
        <row r="993">
          <cell r="A993">
            <v>0</v>
          </cell>
          <cell r="B993" t="str">
            <v>VL198</v>
          </cell>
          <cell r="C993" t="str">
            <v>Dây điện 2x1,5mm2</v>
          </cell>
          <cell r="D993" t="str">
            <v>m</v>
          </cell>
          <cell r="E993">
            <v>0.8</v>
          </cell>
          <cell r="F993">
            <v>9027.2727272727261</v>
          </cell>
          <cell r="G993">
            <v>7221.8181818181811</v>
          </cell>
          <cell r="H993">
            <v>0</v>
          </cell>
          <cell r="I993">
            <v>0</v>
          </cell>
        </row>
        <row r="994">
          <cell r="A994">
            <v>0</v>
          </cell>
          <cell r="B994" t="str">
            <v>VL176</v>
          </cell>
          <cell r="C994" t="str">
            <v>Giẻ lau</v>
          </cell>
          <cell r="D994" t="str">
            <v>kg</v>
          </cell>
          <cell r="E994">
            <v>0.16</v>
          </cell>
          <cell r="F994">
            <v>5000</v>
          </cell>
          <cell r="G994">
            <v>800</v>
          </cell>
          <cell r="H994">
            <v>0</v>
          </cell>
          <cell r="I994">
            <v>0</v>
          </cell>
        </row>
        <row r="995">
          <cell r="A995">
            <v>0</v>
          </cell>
          <cell r="B995" t="str">
            <v>VL177</v>
          </cell>
          <cell r="C995" t="str">
            <v>Cồn công nghiệp</v>
          </cell>
          <cell r="D995" t="str">
            <v>kg</v>
          </cell>
          <cell r="E995">
            <v>0.16</v>
          </cell>
          <cell r="F995">
            <v>20000</v>
          </cell>
          <cell r="G995">
            <v>3200</v>
          </cell>
          <cell r="H995">
            <v>0</v>
          </cell>
          <cell r="I995">
            <v>0</v>
          </cell>
        </row>
        <row r="996">
          <cell r="A996">
            <v>0</v>
          </cell>
          <cell r="B996" t="str">
            <v>VL186</v>
          </cell>
          <cell r="C996" t="str">
            <v>Giấy nhám số 0</v>
          </cell>
          <cell r="D996" t="str">
            <v>tờ</v>
          </cell>
          <cell r="E996">
            <v>0.8</v>
          </cell>
          <cell r="F996">
            <v>2000</v>
          </cell>
          <cell r="G996">
            <v>1600</v>
          </cell>
          <cell r="H996">
            <v>0</v>
          </cell>
          <cell r="I996">
            <v>0</v>
          </cell>
        </row>
        <row r="997">
          <cell r="A997">
            <v>0</v>
          </cell>
          <cell r="B997">
            <v>0</v>
          </cell>
          <cell r="C997" t="str">
            <v>Nhân công</v>
          </cell>
          <cell r="D997">
            <v>0</v>
          </cell>
          <cell r="E997">
            <v>0</v>
          </cell>
          <cell r="F997">
            <v>0</v>
          </cell>
          <cell r="G997">
            <v>0</v>
          </cell>
          <cell r="H997">
            <v>0</v>
          </cell>
          <cell r="I997">
            <v>0</v>
          </cell>
        </row>
        <row r="998">
          <cell r="A998">
            <v>0</v>
          </cell>
          <cell r="B998" t="str">
            <v>KS4</v>
          </cell>
          <cell r="C998" t="str">
            <v>Kỹ sư bậc 4,0/8</v>
          </cell>
          <cell r="D998" t="str">
            <v>công</v>
          </cell>
          <cell r="E998">
            <v>4.54</v>
          </cell>
          <cell r="F998">
            <v>237000</v>
          </cell>
          <cell r="G998">
            <v>0</v>
          </cell>
          <cell r="H998">
            <v>1075980</v>
          </cell>
          <cell r="I998">
            <v>0</v>
          </cell>
        </row>
        <row r="999">
          <cell r="A999">
            <v>0</v>
          </cell>
          <cell r="B999" t="str">
            <v>N4507</v>
          </cell>
          <cell r="C999" t="str">
            <v xml:space="preserve"> Nhân công bậc 5,0/7 - Nhóm 4</v>
          </cell>
          <cell r="D999" t="str">
            <v>công</v>
          </cell>
          <cell r="E999">
            <v>1.94</v>
          </cell>
          <cell r="F999">
            <v>302486.8421052632</v>
          </cell>
          <cell r="G999">
            <v>0</v>
          </cell>
          <cell r="H999">
            <v>586824.47368421056</v>
          </cell>
          <cell r="I999">
            <v>0</v>
          </cell>
        </row>
        <row r="1000">
          <cell r="A1000">
            <v>0</v>
          </cell>
          <cell r="B1000">
            <v>0</v>
          </cell>
          <cell r="C1000" t="str">
            <v>Máy thi công</v>
          </cell>
          <cell r="D1000">
            <v>0</v>
          </cell>
          <cell r="E1000">
            <v>0</v>
          </cell>
          <cell r="F1000">
            <v>0</v>
          </cell>
          <cell r="G1000">
            <v>0</v>
          </cell>
          <cell r="H1000">
            <v>0</v>
          </cell>
          <cell r="I1000">
            <v>0</v>
          </cell>
        </row>
        <row r="1001">
          <cell r="A1001">
            <v>0</v>
          </cell>
          <cell r="B1001" t="str">
            <v>M203.0016</v>
          </cell>
          <cell r="C1001" t="str">
            <v>Máy đo điện trở tiếp xúc</v>
          </cell>
          <cell r="D1001" t="str">
            <v>ca</v>
          </cell>
          <cell r="E1001">
            <v>0.05</v>
          </cell>
          <cell r="F1001">
            <v>83447.159090909103</v>
          </cell>
          <cell r="G1001">
            <v>0</v>
          </cell>
          <cell r="H1001">
            <v>0</v>
          </cell>
          <cell r="I1001">
            <v>4172.357954545455</v>
          </cell>
        </row>
        <row r="1002">
          <cell r="A1002">
            <v>0</v>
          </cell>
          <cell r="B1002" t="str">
            <v>M203.0025</v>
          </cell>
          <cell r="C1002" t="str">
            <v>Megôm met</v>
          </cell>
          <cell r="D1002" t="str">
            <v>ca</v>
          </cell>
          <cell r="E1002">
            <v>0.09</v>
          </cell>
          <cell r="F1002">
            <v>40127.500000000007</v>
          </cell>
          <cell r="G1002">
            <v>0</v>
          </cell>
          <cell r="H1002">
            <v>0</v>
          </cell>
          <cell r="I1002">
            <v>3611.4750000000004</v>
          </cell>
        </row>
        <row r="1003">
          <cell r="A1003">
            <v>0</v>
          </cell>
          <cell r="B1003" t="str">
            <v>M203.0007</v>
          </cell>
          <cell r="C1003" t="str">
            <v>Hợp bộ thí nghiệm cao áp</v>
          </cell>
          <cell r="D1003" t="str">
            <v>ca</v>
          </cell>
          <cell r="E1003">
            <v>0.113</v>
          </cell>
          <cell r="F1003">
            <v>403740.11363636365</v>
          </cell>
          <cell r="G1003">
            <v>0</v>
          </cell>
          <cell r="H1003">
            <v>0</v>
          </cell>
          <cell r="I1003">
            <v>45622.632840909093</v>
          </cell>
        </row>
        <row r="1004">
          <cell r="A1004">
            <v>0</v>
          </cell>
          <cell r="B1004" t="str">
            <v>M102.1802</v>
          </cell>
          <cell r="C1004" t="str">
            <v>Xe thang nâng</v>
          </cell>
          <cell r="D1004" t="str">
            <v>ca</v>
          </cell>
          <cell r="E1004">
            <v>3.4000000000000002E-2</v>
          </cell>
          <cell r="F1004">
            <v>1819914.2343571431</v>
          </cell>
          <cell r="G1004">
            <v>0</v>
          </cell>
          <cell r="H1004">
            <v>0</v>
          </cell>
          <cell r="I1004">
            <v>61877.08396814287</v>
          </cell>
        </row>
        <row r="1005">
          <cell r="A1005" t="str">
            <v>EB.22030</v>
          </cell>
          <cell r="B1005">
            <v>0</v>
          </cell>
          <cell r="C1005" t="str">
            <v>Thí nghiệm dao cách ly 3 pha thao tác bằng cơ khí - U 66-110kV</v>
          </cell>
          <cell r="D1005" t="str">
            <v>bộ ( 3 pha )</v>
          </cell>
          <cell r="E1005">
            <v>0</v>
          </cell>
          <cell r="F1005">
            <v>0</v>
          </cell>
          <cell r="G1005">
            <v>11814.584145454544</v>
          </cell>
          <cell r="H1005">
            <v>1332189.4736842106</v>
          </cell>
          <cell r="I1005">
            <v>104604.28251507143</v>
          </cell>
        </row>
        <row r="1006">
          <cell r="A1006">
            <v>0</v>
          </cell>
          <cell r="B1006">
            <v>0</v>
          </cell>
          <cell r="C1006" t="str">
            <v>Vật liệu</v>
          </cell>
          <cell r="D1006">
            <v>0</v>
          </cell>
          <cell r="E1006">
            <v>0</v>
          </cell>
          <cell r="F1006">
            <v>0</v>
          </cell>
          <cell r="G1006">
            <v>0</v>
          </cell>
          <cell r="H1006">
            <v>0</v>
          </cell>
          <cell r="I1006">
            <v>0</v>
          </cell>
        </row>
        <row r="1007">
          <cell r="A1007">
            <v>0</v>
          </cell>
          <cell r="B1007" t="str">
            <v>VL221</v>
          </cell>
          <cell r="C1007" t="str">
            <v>Điện năng</v>
          </cell>
          <cell r="D1007" t="str">
            <v>Kwh</v>
          </cell>
          <cell r="E1007">
            <v>0.96</v>
          </cell>
          <cell r="F1007">
            <v>1622.01</v>
          </cell>
          <cell r="G1007">
            <v>1557.1296</v>
          </cell>
          <cell r="H1007">
            <v>0</v>
          </cell>
          <cell r="I1007">
            <v>0</v>
          </cell>
        </row>
        <row r="1008">
          <cell r="A1008">
            <v>0</v>
          </cell>
          <cell r="B1008" t="str">
            <v>VL198</v>
          </cell>
          <cell r="C1008" t="str">
            <v>Dây điện 2x1,5mm2</v>
          </cell>
          <cell r="D1008" t="str">
            <v>m</v>
          </cell>
          <cell r="E1008">
            <v>0.64</v>
          </cell>
          <cell r="F1008">
            <v>9027.2727272727261</v>
          </cell>
          <cell r="G1008">
            <v>5777.454545454545</v>
          </cell>
          <cell r="H1008">
            <v>0</v>
          </cell>
          <cell r="I1008">
            <v>0</v>
          </cell>
        </row>
        <row r="1009">
          <cell r="A1009">
            <v>0</v>
          </cell>
          <cell r="B1009" t="str">
            <v>VL176</v>
          </cell>
          <cell r="C1009" t="str">
            <v>Giẻ lau</v>
          </cell>
          <cell r="D1009" t="str">
            <v>kg</v>
          </cell>
          <cell r="E1009">
            <v>0.128</v>
          </cell>
          <cell r="F1009">
            <v>5000</v>
          </cell>
          <cell r="G1009">
            <v>640</v>
          </cell>
          <cell r="H1009">
            <v>0</v>
          </cell>
          <cell r="I1009">
            <v>0</v>
          </cell>
        </row>
        <row r="1010">
          <cell r="A1010">
            <v>0</v>
          </cell>
          <cell r="B1010" t="str">
            <v>VL177</v>
          </cell>
          <cell r="C1010" t="str">
            <v>Cồn công nghiệp</v>
          </cell>
          <cell r="D1010" t="str">
            <v>kg</v>
          </cell>
          <cell r="E1010">
            <v>0.128</v>
          </cell>
          <cell r="F1010">
            <v>20000</v>
          </cell>
          <cell r="G1010">
            <v>2560</v>
          </cell>
          <cell r="H1010">
            <v>0</v>
          </cell>
          <cell r="I1010">
            <v>0</v>
          </cell>
        </row>
        <row r="1011">
          <cell r="A1011">
            <v>0</v>
          </cell>
          <cell r="B1011" t="str">
            <v>VL186</v>
          </cell>
          <cell r="C1011" t="str">
            <v>Giấy nhám số 0</v>
          </cell>
          <cell r="D1011" t="str">
            <v>tờ</v>
          </cell>
          <cell r="E1011">
            <v>0.64</v>
          </cell>
          <cell r="F1011">
            <v>2000</v>
          </cell>
          <cell r="G1011">
            <v>1280</v>
          </cell>
          <cell r="H1011">
            <v>0</v>
          </cell>
          <cell r="I1011">
            <v>0</v>
          </cell>
        </row>
        <row r="1012">
          <cell r="A1012">
            <v>0</v>
          </cell>
          <cell r="B1012">
            <v>0</v>
          </cell>
          <cell r="C1012" t="str">
            <v>Nhân công</v>
          </cell>
          <cell r="D1012">
            <v>0</v>
          </cell>
          <cell r="E1012">
            <v>0</v>
          </cell>
          <cell r="F1012">
            <v>0</v>
          </cell>
          <cell r="G1012">
            <v>0</v>
          </cell>
          <cell r="H1012">
            <v>0</v>
          </cell>
          <cell r="I1012">
            <v>0</v>
          </cell>
        </row>
        <row r="1013">
          <cell r="A1013">
            <v>0</v>
          </cell>
          <cell r="B1013" t="str">
            <v>KS4</v>
          </cell>
          <cell r="C1013" t="str">
            <v>Kỹ sư bậc 4,0/8</v>
          </cell>
          <cell r="D1013" t="str">
            <v>công</v>
          </cell>
          <cell r="E1013">
            <v>3.63</v>
          </cell>
          <cell r="F1013">
            <v>237000</v>
          </cell>
          <cell r="G1013">
            <v>0</v>
          </cell>
          <cell r="H1013">
            <v>860310</v>
          </cell>
          <cell r="I1013">
            <v>0</v>
          </cell>
        </row>
        <row r="1014">
          <cell r="A1014">
            <v>0</v>
          </cell>
          <cell r="B1014" t="str">
            <v>N4507</v>
          </cell>
          <cell r="C1014" t="str">
            <v xml:space="preserve"> Nhân công bậc 5,0/7 - Nhóm 4</v>
          </cell>
          <cell r="D1014" t="str">
            <v>công</v>
          </cell>
          <cell r="E1014">
            <v>1.56</v>
          </cell>
          <cell r="F1014">
            <v>302486.8421052632</v>
          </cell>
          <cell r="G1014">
            <v>0</v>
          </cell>
          <cell r="H1014">
            <v>471879.47368421062</v>
          </cell>
          <cell r="I1014">
            <v>0</v>
          </cell>
        </row>
        <row r="1015">
          <cell r="A1015">
            <v>0</v>
          </cell>
          <cell r="B1015">
            <v>0</v>
          </cell>
          <cell r="C1015" t="str">
            <v>Máy thi công</v>
          </cell>
          <cell r="D1015">
            <v>0</v>
          </cell>
          <cell r="E1015">
            <v>0</v>
          </cell>
          <cell r="F1015">
            <v>0</v>
          </cell>
          <cell r="G1015">
            <v>0</v>
          </cell>
          <cell r="H1015">
            <v>0</v>
          </cell>
          <cell r="I1015">
            <v>0</v>
          </cell>
        </row>
        <row r="1016">
          <cell r="A1016">
            <v>0</v>
          </cell>
          <cell r="B1016" t="str">
            <v>M203.0016</v>
          </cell>
          <cell r="C1016" t="str">
            <v>Máy đo điện trở tiếp xúc</v>
          </cell>
          <cell r="D1016" t="str">
            <v>ca</v>
          </cell>
          <cell r="E1016">
            <v>4.4999999999999998E-2</v>
          </cell>
          <cell r="F1016">
            <v>83447.159090909103</v>
          </cell>
          <cell r="G1016">
            <v>0</v>
          </cell>
          <cell r="H1016">
            <v>0</v>
          </cell>
          <cell r="I1016">
            <v>3755.1221590909095</v>
          </cell>
        </row>
        <row r="1017">
          <cell r="A1017">
            <v>0</v>
          </cell>
          <cell r="B1017" t="str">
            <v>M203.0025</v>
          </cell>
          <cell r="C1017" t="str">
            <v>Megôm met</v>
          </cell>
          <cell r="D1017" t="str">
            <v>ca</v>
          </cell>
          <cell r="E1017">
            <v>8.1000000000000003E-2</v>
          </cell>
          <cell r="F1017">
            <v>40127.500000000007</v>
          </cell>
          <cell r="G1017">
            <v>0</v>
          </cell>
          <cell r="H1017">
            <v>0</v>
          </cell>
          <cell r="I1017">
            <v>3250.3275000000008</v>
          </cell>
        </row>
        <row r="1018">
          <cell r="A1018">
            <v>0</v>
          </cell>
          <cell r="B1018" t="str">
            <v>M203.0007</v>
          </cell>
          <cell r="C1018" t="str">
            <v>Hợp bộ thí nghiệm cao áp</v>
          </cell>
          <cell r="D1018" t="str">
            <v>ca</v>
          </cell>
          <cell r="E1018">
            <v>0.10199999999999999</v>
          </cell>
          <cell r="F1018">
            <v>403740.11363636365</v>
          </cell>
          <cell r="G1018">
            <v>0</v>
          </cell>
          <cell r="H1018">
            <v>0</v>
          </cell>
          <cell r="I1018">
            <v>41181.491590909092</v>
          </cell>
        </row>
        <row r="1019">
          <cell r="A1019">
            <v>0</v>
          </cell>
          <cell r="B1019" t="str">
            <v>M102.1802</v>
          </cell>
          <cell r="C1019" t="str">
            <v>Xe thang nâng</v>
          </cell>
          <cell r="D1019" t="str">
            <v>ca</v>
          </cell>
          <cell r="E1019">
            <v>3.1E-2</v>
          </cell>
          <cell r="F1019">
            <v>1819914.2343571431</v>
          </cell>
          <cell r="G1019">
            <v>0</v>
          </cell>
          <cell r="H1019">
            <v>0</v>
          </cell>
          <cell r="I1019">
            <v>56417.341265071431</v>
          </cell>
        </row>
        <row r="1020">
          <cell r="A1020" t="str">
            <v>EB.22040</v>
          </cell>
          <cell r="B1020">
            <v>0</v>
          </cell>
          <cell r="C1020" t="str">
            <v>Thí nghiệm dao cách ly 3 pha thao tác bằng cơ khí - U &lt;=35kV</v>
          </cell>
          <cell r="D1020" t="str">
            <v>bộ ( 3 pha )</v>
          </cell>
          <cell r="E1020">
            <v>0</v>
          </cell>
          <cell r="F1020">
            <v>0</v>
          </cell>
          <cell r="G1020">
            <v>9441.6673163636351</v>
          </cell>
          <cell r="H1020">
            <v>1060013.6842105263</v>
          </cell>
          <cell r="I1020">
            <v>43494.731477272726</v>
          </cell>
        </row>
        <row r="1021">
          <cell r="A1021">
            <v>0</v>
          </cell>
          <cell r="B1021">
            <v>0</v>
          </cell>
          <cell r="C1021" t="str">
            <v>Vật liệu</v>
          </cell>
          <cell r="D1021">
            <v>0</v>
          </cell>
          <cell r="E1021">
            <v>0</v>
          </cell>
          <cell r="F1021">
            <v>0</v>
          </cell>
          <cell r="G1021">
            <v>0</v>
          </cell>
          <cell r="H1021">
            <v>0</v>
          </cell>
          <cell r="I1021">
            <v>0</v>
          </cell>
        </row>
        <row r="1022">
          <cell r="A1022">
            <v>0</v>
          </cell>
          <cell r="B1022" t="str">
            <v>VL221</v>
          </cell>
          <cell r="C1022" t="str">
            <v>Điện năng</v>
          </cell>
          <cell r="D1022" t="str">
            <v>Kwh</v>
          </cell>
          <cell r="E1022">
            <v>0.76800000000000002</v>
          </cell>
          <cell r="F1022">
            <v>1622.01</v>
          </cell>
          <cell r="G1022">
            <v>1245.7036800000001</v>
          </cell>
          <cell r="H1022">
            <v>0</v>
          </cell>
          <cell r="I1022">
            <v>0</v>
          </cell>
        </row>
        <row r="1023">
          <cell r="A1023">
            <v>0</v>
          </cell>
          <cell r="B1023" t="str">
            <v>VL198</v>
          </cell>
          <cell r="C1023" t="str">
            <v>Dây điện 2x1,5mm2</v>
          </cell>
          <cell r="D1023" t="str">
            <v>m</v>
          </cell>
          <cell r="E1023">
            <v>0.51200000000000001</v>
          </cell>
          <cell r="F1023">
            <v>9027.2727272727261</v>
          </cell>
          <cell r="G1023">
            <v>4621.9636363636355</v>
          </cell>
          <cell r="H1023">
            <v>0</v>
          </cell>
          <cell r="I1023">
            <v>0</v>
          </cell>
        </row>
        <row r="1024">
          <cell r="A1024">
            <v>0</v>
          </cell>
          <cell r="B1024" t="str">
            <v>VL176</v>
          </cell>
          <cell r="C1024" t="str">
            <v>Giẻ lau</v>
          </cell>
          <cell r="D1024" t="str">
            <v>kg</v>
          </cell>
          <cell r="E1024">
            <v>0.10199999999999999</v>
          </cell>
          <cell r="F1024">
            <v>5000</v>
          </cell>
          <cell r="G1024">
            <v>509.99999999999994</v>
          </cell>
          <cell r="H1024">
            <v>0</v>
          </cell>
          <cell r="I1024">
            <v>0</v>
          </cell>
        </row>
        <row r="1025">
          <cell r="A1025">
            <v>0</v>
          </cell>
          <cell r="B1025" t="str">
            <v>VL177</v>
          </cell>
          <cell r="C1025" t="str">
            <v>Cồn công nghiệp</v>
          </cell>
          <cell r="D1025" t="str">
            <v>kg</v>
          </cell>
          <cell r="E1025">
            <v>0.10199999999999999</v>
          </cell>
          <cell r="F1025">
            <v>20000</v>
          </cell>
          <cell r="G1025">
            <v>2039.9999999999998</v>
          </cell>
          <cell r="H1025">
            <v>0</v>
          </cell>
          <cell r="I1025">
            <v>0</v>
          </cell>
        </row>
        <row r="1026">
          <cell r="A1026">
            <v>0</v>
          </cell>
          <cell r="B1026" t="str">
            <v>VL186</v>
          </cell>
          <cell r="C1026" t="str">
            <v>Giấy nhám số 0</v>
          </cell>
          <cell r="D1026" t="str">
            <v>tờ</v>
          </cell>
          <cell r="E1026">
            <v>0.51200000000000001</v>
          </cell>
          <cell r="F1026">
            <v>2000</v>
          </cell>
          <cell r="G1026">
            <v>1024</v>
          </cell>
          <cell r="H1026">
            <v>0</v>
          </cell>
          <cell r="I1026">
            <v>0</v>
          </cell>
        </row>
        <row r="1027">
          <cell r="A1027">
            <v>0</v>
          </cell>
          <cell r="B1027">
            <v>0</v>
          </cell>
          <cell r="C1027" t="str">
            <v>Nhân công</v>
          </cell>
          <cell r="D1027">
            <v>0</v>
          </cell>
          <cell r="E1027">
            <v>0</v>
          </cell>
          <cell r="F1027">
            <v>0</v>
          </cell>
          <cell r="G1027">
            <v>0</v>
          </cell>
          <cell r="H1027">
            <v>0</v>
          </cell>
          <cell r="I1027">
            <v>0</v>
          </cell>
        </row>
        <row r="1028">
          <cell r="A1028">
            <v>0</v>
          </cell>
          <cell r="B1028" t="str">
            <v>KS4</v>
          </cell>
          <cell r="C1028" t="str">
            <v>Kỹ sư bậc 4,0/8</v>
          </cell>
          <cell r="D1028" t="str">
            <v>công</v>
          </cell>
          <cell r="E1028">
            <v>2.89</v>
          </cell>
          <cell r="F1028">
            <v>237000</v>
          </cell>
          <cell r="G1028">
            <v>0</v>
          </cell>
          <cell r="H1028">
            <v>684930</v>
          </cell>
          <cell r="I1028">
            <v>0</v>
          </cell>
        </row>
        <row r="1029">
          <cell r="A1029">
            <v>0</v>
          </cell>
          <cell r="B1029" t="str">
            <v>N4507</v>
          </cell>
          <cell r="C1029" t="str">
            <v xml:space="preserve"> Nhân công bậc 5,0/7 - Nhóm 4</v>
          </cell>
          <cell r="D1029" t="str">
            <v>công</v>
          </cell>
          <cell r="E1029">
            <v>1.24</v>
          </cell>
          <cell r="F1029">
            <v>302486.8421052632</v>
          </cell>
          <cell r="G1029">
            <v>0</v>
          </cell>
          <cell r="H1029">
            <v>375083.68421052635</v>
          </cell>
          <cell r="I1029">
            <v>0</v>
          </cell>
        </row>
        <row r="1030">
          <cell r="A1030">
            <v>0</v>
          </cell>
          <cell r="B1030">
            <v>0</v>
          </cell>
          <cell r="C1030" t="str">
            <v>Máy thi công</v>
          </cell>
          <cell r="D1030">
            <v>0</v>
          </cell>
          <cell r="E1030">
            <v>0</v>
          </cell>
          <cell r="F1030">
            <v>0</v>
          </cell>
          <cell r="G1030">
            <v>0</v>
          </cell>
          <cell r="H1030">
            <v>0</v>
          </cell>
          <cell r="I1030">
            <v>0</v>
          </cell>
        </row>
        <row r="1031">
          <cell r="A1031">
            <v>0</v>
          </cell>
          <cell r="B1031" t="str">
            <v>M203.0016</v>
          </cell>
          <cell r="C1031" t="str">
            <v>Máy đo điện trở tiếp xúc</v>
          </cell>
          <cell r="D1031" t="str">
            <v>ca</v>
          </cell>
          <cell r="E1031">
            <v>4.1000000000000002E-2</v>
          </cell>
          <cell r="F1031">
            <v>83447.159090909103</v>
          </cell>
          <cell r="G1031">
            <v>0</v>
          </cell>
          <cell r="H1031">
            <v>0</v>
          </cell>
          <cell r="I1031">
            <v>3421.3335227272732</v>
          </cell>
        </row>
        <row r="1032">
          <cell r="A1032">
            <v>0</v>
          </cell>
          <cell r="B1032" t="str">
            <v>M203.0025</v>
          </cell>
          <cell r="C1032" t="str">
            <v>Megôm met</v>
          </cell>
          <cell r="D1032" t="str">
            <v>ca</v>
          </cell>
          <cell r="E1032">
            <v>7.2999999999999995E-2</v>
          </cell>
          <cell r="F1032">
            <v>40127.500000000007</v>
          </cell>
          <cell r="G1032">
            <v>0</v>
          </cell>
          <cell r="H1032">
            <v>0</v>
          </cell>
          <cell r="I1032">
            <v>2929.3075000000003</v>
          </cell>
        </row>
        <row r="1033">
          <cell r="A1033">
            <v>0</v>
          </cell>
          <cell r="B1033" t="str">
            <v>M203.0007</v>
          </cell>
          <cell r="C1033" t="str">
            <v>Hợp bộ thí nghiệm cao áp</v>
          </cell>
          <cell r="D1033" t="str">
            <v>ca</v>
          </cell>
          <cell r="E1033">
            <v>9.1999999999999998E-2</v>
          </cell>
          <cell r="F1033">
            <v>403740.11363636365</v>
          </cell>
          <cell r="G1033">
            <v>0</v>
          </cell>
          <cell r="H1033">
            <v>0</v>
          </cell>
          <cell r="I1033">
            <v>37144.090454545454</v>
          </cell>
        </row>
        <row r="1034">
          <cell r="A1034">
            <v>0</v>
          </cell>
          <cell r="B1034" t="str">
            <v>M102.1802</v>
          </cell>
          <cell r="C1034" t="str">
            <v>Xe thang nâng</v>
          </cell>
          <cell r="D1034" t="str">
            <v>ca</v>
          </cell>
          <cell r="E1034">
            <v>0</v>
          </cell>
          <cell r="F1034">
            <v>1819914.2343571431</v>
          </cell>
          <cell r="G1034">
            <v>0</v>
          </cell>
          <cell r="H1034">
            <v>0</v>
          </cell>
          <cell r="I1034">
            <v>0</v>
          </cell>
        </row>
        <row r="1035">
          <cell r="A1035" t="str">
            <v>EB.30020</v>
          </cell>
          <cell r="B1035">
            <v>0</v>
          </cell>
          <cell r="C1035" t="str">
            <v>Thí nghiệm thanh cái - U 220kV</v>
          </cell>
          <cell r="D1035" t="str">
            <v>phân đoạn</v>
          </cell>
          <cell r="E1035">
            <v>0</v>
          </cell>
          <cell r="F1035">
            <v>0</v>
          </cell>
          <cell r="G1035">
            <v>15936.077381818181</v>
          </cell>
          <cell r="H1035">
            <v>664909.73684210528</v>
          </cell>
          <cell r="I1035">
            <v>107419.8298176104</v>
          </cell>
        </row>
        <row r="1036">
          <cell r="A1036">
            <v>0</v>
          </cell>
          <cell r="B1036">
            <v>0</v>
          </cell>
          <cell r="C1036" t="str">
            <v>Vật liệu</v>
          </cell>
          <cell r="D1036">
            <v>0</v>
          </cell>
          <cell r="E1036">
            <v>0</v>
          </cell>
          <cell r="F1036">
            <v>0</v>
          </cell>
          <cell r="G1036">
            <v>0</v>
          </cell>
          <cell r="H1036">
            <v>0</v>
          </cell>
          <cell r="I1036">
            <v>0</v>
          </cell>
        </row>
        <row r="1037">
          <cell r="A1037">
            <v>0</v>
          </cell>
          <cell r="B1037" t="str">
            <v>VL221</v>
          </cell>
          <cell r="C1037" t="str">
            <v>Điện năng</v>
          </cell>
          <cell r="D1037" t="str">
            <v>Kwh</v>
          </cell>
          <cell r="E1037">
            <v>1.92</v>
          </cell>
          <cell r="F1037">
            <v>1622.01</v>
          </cell>
          <cell r="G1037">
            <v>3114.2592</v>
          </cell>
          <cell r="H1037">
            <v>0</v>
          </cell>
          <cell r="I1037">
            <v>0</v>
          </cell>
        </row>
        <row r="1038">
          <cell r="A1038">
            <v>0</v>
          </cell>
          <cell r="B1038" t="str">
            <v>VL198</v>
          </cell>
          <cell r="C1038" t="str">
            <v>Dây điện 2x1,5mm2</v>
          </cell>
          <cell r="D1038" t="str">
            <v>m</v>
          </cell>
          <cell r="E1038">
            <v>0.8</v>
          </cell>
          <cell r="F1038">
            <v>9027.2727272727261</v>
          </cell>
          <cell r="G1038">
            <v>7221.8181818181811</v>
          </cell>
          <cell r="H1038">
            <v>0</v>
          </cell>
          <cell r="I1038">
            <v>0</v>
          </cell>
        </row>
        <row r="1039">
          <cell r="A1039">
            <v>0</v>
          </cell>
          <cell r="B1039" t="str">
            <v>VL176</v>
          </cell>
          <cell r="C1039" t="str">
            <v>Giẻ lau</v>
          </cell>
          <cell r="D1039" t="str">
            <v>kg</v>
          </cell>
          <cell r="E1039">
            <v>0.16</v>
          </cell>
          <cell r="F1039">
            <v>5000</v>
          </cell>
          <cell r="G1039">
            <v>800</v>
          </cell>
          <cell r="H1039">
            <v>0</v>
          </cell>
          <cell r="I1039">
            <v>0</v>
          </cell>
        </row>
        <row r="1040">
          <cell r="A1040">
            <v>0</v>
          </cell>
          <cell r="B1040" t="str">
            <v>VL177</v>
          </cell>
          <cell r="C1040" t="str">
            <v>Cồn công nghiệp</v>
          </cell>
          <cell r="D1040" t="str">
            <v>kg</v>
          </cell>
          <cell r="E1040">
            <v>0.16</v>
          </cell>
          <cell r="F1040">
            <v>20000</v>
          </cell>
          <cell r="G1040">
            <v>3200</v>
          </cell>
          <cell r="H1040">
            <v>0</v>
          </cell>
          <cell r="I1040">
            <v>0</v>
          </cell>
        </row>
        <row r="1041">
          <cell r="A1041">
            <v>0</v>
          </cell>
          <cell r="B1041" t="str">
            <v>VL186</v>
          </cell>
          <cell r="C1041" t="str">
            <v>Giấy nhám số 0</v>
          </cell>
          <cell r="D1041" t="str">
            <v>tờ</v>
          </cell>
          <cell r="E1041">
            <v>0.8</v>
          </cell>
          <cell r="F1041">
            <v>2000</v>
          </cell>
          <cell r="G1041">
            <v>1600</v>
          </cell>
          <cell r="H1041">
            <v>0</v>
          </cell>
          <cell r="I1041">
            <v>0</v>
          </cell>
        </row>
        <row r="1042">
          <cell r="A1042">
            <v>0</v>
          </cell>
          <cell r="B1042">
            <v>0</v>
          </cell>
          <cell r="C1042" t="str">
            <v>Nhân công</v>
          </cell>
          <cell r="D1042">
            <v>0</v>
          </cell>
          <cell r="E1042">
            <v>0</v>
          </cell>
          <cell r="F1042">
            <v>0</v>
          </cell>
          <cell r="G1042">
            <v>0</v>
          </cell>
          <cell r="H1042">
            <v>0</v>
          </cell>
          <cell r="I1042">
            <v>0</v>
          </cell>
        </row>
        <row r="1043">
          <cell r="A1043">
            <v>0</v>
          </cell>
          <cell r="B1043" t="str">
            <v>KS4</v>
          </cell>
          <cell r="C1043" t="str">
            <v>Kỹ sư bậc 4,0/8</v>
          </cell>
          <cell r="D1043" t="str">
            <v>công</v>
          </cell>
          <cell r="E1043">
            <v>1.81</v>
          </cell>
          <cell r="F1043">
            <v>237000</v>
          </cell>
          <cell r="G1043">
            <v>0</v>
          </cell>
          <cell r="H1043">
            <v>428970</v>
          </cell>
          <cell r="I1043">
            <v>0</v>
          </cell>
        </row>
        <row r="1044">
          <cell r="A1044">
            <v>0</v>
          </cell>
          <cell r="B1044" t="str">
            <v>N4507</v>
          </cell>
          <cell r="C1044" t="str">
            <v xml:space="preserve"> Nhân công bậc 5,0/7 - Nhóm 4</v>
          </cell>
          <cell r="D1044" t="str">
            <v>công</v>
          </cell>
          <cell r="E1044">
            <v>0.78</v>
          </cell>
          <cell r="F1044">
            <v>302486.8421052632</v>
          </cell>
          <cell r="G1044">
            <v>0</v>
          </cell>
          <cell r="H1044">
            <v>235939.73684210531</v>
          </cell>
          <cell r="I1044">
            <v>0</v>
          </cell>
        </row>
        <row r="1045">
          <cell r="A1045">
            <v>0</v>
          </cell>
          <cell r="B1045">
            <v>0</v>
          </cell>
          <cell r="C1045" t="str">
            <v>Máy thi công</v>
          </cell>
          <cell r="D1045">
            <v>0</v>
          </cell>
          <cell r="E1045">
            <v>0</v>
          </cell>
          <cell r="F1045">
            <v>0</v>
          </cell>
          <cell r="G1045">
            <v>0</v>
          </cell>
          <cell r="H1045">
            <v>0</v>
          </cell>
          <cell r="I1045">
            <v>0</v>
          </cell>
        </row>
        <row r="1046">
          <cell r="A1046">
            <v>0</v>
          </cell>
          <cell r="B1046" t="str">
            <v>M203.0025</v>
          </cell>
          <cell r="C1046" t="str">
            <v>Megôm met</v>
          </cell>
          <cell r="D1046" t="str">
            <v>ca</v>
          </cell>
          <cell r="E1046">
            <v>0.06</v>
          </cell>
          <cell r="F1046">
            <v>40127.500000000007</v>
          </cell>
          <cell r="G1046">
            <v>0</v>
          </cell>
          <cell r="H1046">
            <v>0</v>
          </cell>
          <cell r="I1046">
            <v>2407.6500000000005</v>
          </cell>
        </row>
        <row r="1047">
          <cell r="A1047">
            <v>0</v>
          </cell>
          <cell r="B1047" t="str">
            <v>M203.0016</v>
          </cell>
          <cell r="C1047" t="str">
            <v>Máy đo điện trở tiếp xúc</v>
          </cell>
          <cell r="D1047" t="str">
            <v>ca</v>
          </cell>
          <cell r="E1047">
            <v>3.7999999999999999E-2</v>
          </cell>
          <cell r="F1047">
            <v>83447.159090909103</v>
          </cell>
          <cell r="G1047">
            <v>0</v>
          </cell>
          <cell r="H1047">
            <v>0</v>
          </cell>
          <cell r="I1047">
            <v>3170.9920454545459</v>
          </cell>
        </row>
        <row r="1048">
          <cell r="A1048">
            <v>0</v>
          </cell>
          <cell r="B1048" t="str">
            <v>M203.0007</v>
          </cell>
          <cell r="C1048" t="str">
            <v>Hợp bộ thí nghiệm cao áp</v>
          </cell>
          <cell r="D1048" t="str">
            <v>ca</v>
          </cell>
          <cell r="E1048">
            <v>0.108</v>
          </cell>
          <cell r="F1048">
            <v>403740.11363636365</v>
          </cell>
          <cell r="G1048">
            <v>0</v>
          </cell>
          <cell r="H1048">
            <v>0</v>
          </cell>
          <cell r="I1048">
            <v>43603.932272727274</v>
          </cell>
        </row>
        <row r="1049">
          <cell r="A1049">
            <v>0</v>
          </cell>
          <cell r="B1049" t="str">
            <v>M102.1802</v>
          </cell>
          <cell r="C1049" t="str">
            <v>Xe thang nâng</v>
          </cell>
          <cell r="D1049" t="str">
            <v>ca</v>
          </cell>
          <cell r="E1049">
            <v>3.2000000000000001E-2</v>
          </cell>
          <cell r="F1049">
            <v>1819914.2343571431</v>
          </cell>
          <cell r="G1049">
            <v>0</v>
          </cell>
          <cell r="H1049">
            <v>0</v>
          </cell>
          <cell r="I1049">
            <v>58237.255499428582</v>
          </cell>
        </row>
        <row r="1050">
          <cell r="A1050" t="str">
            <v>EB.30030</v>
          </cell>
          <cell r="B1050">
            <v>0</v>
          </cell>
          <cell r="C1050" t="str">
            <v>Thí nghiệm thanh cái - U 66-110kV</v>
          </cell>
          <cell r="D1050" t="str">
            <v>phân đoạn</v>
          </cell>
          <cell r="E1050">
            <v>0</v>
          </cell>
          <cell r="F1050">
            <v>0</v>
          </cell>
          <cell r="G1050">
            <v>12748.861905454545</v>
          </cell>
          <cell r="H1050">
            <v>531191.84210526315</v>
          </cell>
          <cell r="I1050">
            <v>86552.401797831175</v>
          </cell>
        </row>
        <row r="1051">
          <cell r="A1051">
            <v>0</v>
          </cell>
          <cell r="B1051">
            <v>0</v>
          </cell>
          <cell r="C1051" t="str">
            <v>Vật liệu</v>
          </cell>
          <cell r="D1051">
            <v>0</v>
          </cell>
          <cell r="E1051">
            <v>0</v>
          </cell>
          <cell r="F1051">
            <v>0</v>
          </cell>
          <cell r="G1051">
            <v>0</v>
          </cell>
          <cell r="H1051">
            <v>0</v>
          </cell>
          <cell r="I1051">
            <v>0</v>
          </cell>
        </row>
        <row r="1052">
          <cell r="A1052">
            <v>0</v>
          </cell>
          <cell r="B1052" t="str">
            <v>VL221</v>
          </cell>
          <cell r="C1052" t="str">
            <v>Điện năng</v>
          </cell>
          <cell r="D1052" t="str">
            <v>Kwh</v>
          </cell>
          <cell r="E1052">
            <v>1.536</v>
          </cell>
          <cell r="F1052">
            <v>1622.01</v>
          </cell>
          <cell r="G1052">
            <v>2491.4073600000002</v>
          </cell>
          <cell r="H1052">
            <v>0</v>
          </cell>
          <cell r="I1052">
            <v>0</v>
          </cell>
        </row>
        <row r="1053">
          <cell r="A1053">
            <v>0</v>
          </cell>
          <cell r="B1053" t="str">
            <v>VL198</v>
          </cell>
          <cell r="C1053" t="str">
            <v>Dây điện 2x1,5mm2</v>
          </cell>
          <cell r="D1053" t="str">
            <v>m</v>
          </cell>
          <cell r="E1053">
            <v>0.64</v>
          </cell>
          <cell r="F1053">
            <v>9027.2727272727261</v>
          </cell>
          <cell r="G1053">
            <v>5777.454545454545</v>
          </cell>
          <cell r="H1053">
            <v>0</v>
          </cell>
          <cell r="I1053">
            <v>0</v>
          </cell>
        </row>
        <row r="1054">
          <cell r="A1054">
            <v>0</v>
          </cell>
          <cell r="B1054" t="str">
            <v>VL176</v>
          </cell>
          <cell r="C1054" t="str">
            <v>Giẻ lau</v>
          </cell>
          <cell r="D1054" t="str">
            <v>kg</v>
          </cell>
          <cell r="E1054">
            <v>0.128</v>
          </cell>
          <cell r="F1054">
            <v>5000</v>
          </cell>
          <cell r="G1054">
            <v>640</v>
          </cell>
          <cell r="H1054">
            <v>0</v>
          </cell>
          <cell r="I1054">
            <v>0</v>
          </cell>
        </row>
        <row r="1055">
          <cell r="A1055">
            <v>0</v>
          </cell>
          <cell r="B1055" t="str">
            <v>VL177</v>
          </cell>
          <cell r="C1055" t="str">
            <v>Cồn công nghiệp</v>
          </cell>
          <cell r="D1055" t="str">
            <v>kg</v>
          </cell>
          <cell r="E1055">
            <v>0.128</v>
          </cell>
          <cell r="F1055">
            <v>20000</v>
          </cell>
          <cell r="G1055">
            <v>2560</v>
          </cell>
          <cell r="H1055">
            <v>0</v>
          </cell>
          <cell r="I1055">
            <v>0</v>
          </cell>
        </row>
        <row r="1056">
          <cell r="A1056">
            <v>0</v>
          </cell>
          <cell r="B1056" t="str">
            <v>VL186</v>
          </cell>
          <cell r="C1056" t="str">
            <v>Giấy nhám số 0</v>
          </cell>
          <cell r="D1056" t="str">
            <v>tờ</v>
          </cell>
          <cell r="E1056">
            <v>0.64</v>
          </cell>
          <cell r="F1056">
            <v>2000</v>
          </cell>
          <cell r="G1056">
            <v>1280</v>
          </cell>
          <cell r="H1056">
            <v>0</v>
          </cell>
          <cell r="I1056">
            <v>0</v>
          </cell>
        </row>
        <row r="1057">
          <cell r="A1057">
            <v>0</v>
          </cell>
          <cell r="B1057">
            <v>0</v>
          </cell>
          <cell r="C1057" t="str">
            <v>Nhân công</v>
          </cell>
          <cell r="D1057">
            <v>0</v>
          </cell>
          <cell r="E1057">
            <v>0</v>
          </cell>
          <cell r="F1057">
            <v>0</v>
          </cell>
          <cell r="G1057">
            <v>0</v>
          </cell>
          <cell r="H1057">
            <v>0</v>
          </cell>
          <cell r="I1057">
            <v>0</v>
          </cell>
        </row>
        <row r="1058">
          <cell r="A1058">
            <v>0</v>
          </cell>
          <cell r="B1058" t="str">
            <v>KS4</v>
          </cell>
          <cell r="C1058" t="str">
            <v>Kỹ sư bậc 4,0/8</v>
          </cell>
          <cell r="D1058" t="str">
            <v>công</v>
          </cell>
          <cell r="E1058">
            <v>1.45</v>
          </cell>
          <cell r="F1058">
            <v>237000</v>
          </cell>
          <cell r="G1058">
            <v>0</v>
          </cell>
          <cell r="H1058">
            <v>343650</v>
          </cell>
          <cell r="I1058">
            <v>0</v>
          </cell>
        </row>
        <row r="1059">
          <cell r="A1059">
            <v>0</v>
          </cell>
          <cell r="B1059" t="str">
            <v>N4507</v>
          </cell>
          <cell r="C1059" t="str">
            <v xml:space="preserve"> Nhân công bậc 5,0/7 - Nhóm 4</v>
          </cell>
          <cell r="D1059" t="str">
            <v>công</v>
          </cell>
          <cell r="E1059">
            <v>0.62</v>
          </cell>
          <cell r="F1059">
            <v>302486.8421052632</v>
          </cell>
          <cell r="G1059">
            <v>0</v>
          </cell>
          <cell r="H1059">
            <v>187541.84210526317</v>
          </cell>
          <cell r="I1059">
            <v>0</v>
          </cell>
        </row>
        <row r="1060">
          <cell r="A1060">
            <v>0</v>
          </cell>
          <cell r="B1060">
            <v>0</v>
          </cell>
          <cell r="C1060" t="str">
            <v>Máy thi công</v>
          </cell>
          <cell r="D1060">
            <v>0</v>
          </cell>
          <cell r="E1060">
            <v>0</v>
          </cell>
          <cell r="F1060">
            <v>0</v>
          </cell>
          <cell r="G1060">
            <v>0</v>
          </cell>
          <cell r="H1060">
            <v>0</v>
          </cell>
          <cell r="I1060">
            <v>0</v>
          </cell>
        </row>
        <row r="1061">
          <cell r="A1061">
            <v>0</v>
          </cell>
          <cell r="B1061" t="str">
            <v>M203.0025</v>
          </cell>
          <cell r="C1061" t="str">
            <v>Megôm met</v>
          </cell>
          <cell r="D1061" t="str">
            <v>ca</v>
          </cell>
          <cell r="E1061">
            <v>4.8000000000000001E-2</v>
          </cell>
          <cell r="F1061">
            <v>40127.500000000007</v>
          </cell>
          <cell r="G1061">
            <v>0</v>
          </cell>
          <cell r="H1061">
            <v>0</v>
          </cell>
          <cell r="I1061">
            <v>1926.1200000000003</v>
          </cell>
        </row>
        <row r="1062">
          <cell r="A1062">
            <v>0</v>
          </cell>
          <cell r="B1062" t="str">
            <v>M203.0016</v>
          </cell>
          <cell r="C1062" t="str">
            <v>Máy đo điện trở tiếp xúc</v>
          </cell>
          <cell r="D1062" t="str">
            <v>ca</v>
          </cell>
          <cell r="E1062">
            <v>3.1E-2</v>
          </cell>
          <cell r="F1062">
            <v>83447.159090909103</v>
          </cell>
          <cell r="G1062">
            <v>0</v>
          </cell>
          <cell r="H1062">
            <v>0</v>
          </cell>
          <cell r="I1062">
            <v>2586.8619318181823</v>
          </cell>
        </row>
        <row r="1063">
          <cell r="A1063">
            <v>0</v>
          </cell>
          <cell r="B1063" t="str">
            <v>M203.0007</v>
          </cell>
          <cell r="C1063" t="str">
            <v>Hợp bộ thí nghiệm cao áp</v>
          </cell>
          <cell r="D1063" t="str">
            <v>ca</v>
          </cell>
          <cell r="E1063">
            <v>8.5999999999999993E-2</v>
          </cell>
          <cell r="F1063">
            <v>403740.11363636365</v>
          </cell>
          <cell r="G1063">
            <v>0</v>
          </cell>
          <cell r="H1063">
            <v>0</v>
          </cell>
          <cell r="I1063">
            <v>34721.649772727273</v>
          </cell>
        </row>
        <row r="1064">
          <cell r="A1064">
            <v>0</v>
          </cell>
          <cell r="B1064" t="str">
            <v>M102.1802</v>
          </cell>
          <cell r="C1064" t="str">
            <v>Xe thang nâng</v>
          </cell>
          <cell r="D1064" t="str">
            <v>ca</v>
          </cell>
          <cell r="E1064">
            <v>2.5999999999999999E-2</v>
          </cell>
          <cell r="F1064">
            <v>1819914.2343571431</v>
          </cell>
          <cell r="G1064">
            <v>0</v>
          </cell>
          <cell r="H1064">
            <v>0</v>
          </cell>
          <cell r="I1064">
            <v>47317.770093285719</v>
          </cell>
        </row>
        <row r="1065">
          <cell r="A1065" t="str">
            <v>EB.30040</v>
          </cell>
          <cell r="B1065">
            <v>0</v>
          </cell>
          <cell r="C1065" t="str">
            <v>Thí nghiệm thanh cái - U &lt;=35kV</v>
          </cell>
          <cell r="D1065" t="str">
            <v>phân đoạn</v>
          </cell>
          <cell r="E1065">
            <v>0</v>
          </cell>
          <cell r="F1065">
            <v>0</v>
          </cell>
          <cell r="G1065">
            <v>10189.413926363635</v>
          </cell>
          <cell r="H1065">
            <v>426163.42105263157</v>
          </cell>
          <cell r="I1065">
            <v>31469.091818181823</v>
          </cell>
        </row>
        <row r="1066">
          <cell r="A1066">
            <v>0</v>
          </cell>
          <cell r="B1066">
            <v>0</v>
          </cell>
          <cell r="C1066" t="str">
            <v>Vật liệu</v>
          </cell>
          <cell r="D1066">
            <v>0</v>
          </cell>
          <cell r="E1066">
            <v>0</v>
          </cell>
          <cell r="F1066">
            <v>0</v>
          </cell>
          <cell r="G1066">
            <v>0</v>
          </cell>
          <cell r="H1066">
            <v>0</v>
          </cell>
          <cell r="I1066">
            <v>0</v>
          </cell>
        </row>
        <row r="1067">
          <cell r="A1067">
            <v>0</v>
          </cell>
          <cell r="B1067" t="str">
            <v>VL221</v>
          </cell>
          <cell r="C1067" t="str">
            <v>Điện năng</v>
          </cell>
          <cell r="D1067" t="str">
            <v>Kwh</v>
          </cell>
          <cell r="E1067">
            <v>1.2290000000000001</v>
          </cell>
          <cell r="F1067">
            <v>1622.01</v>
          </cell>
          <cell r="G1067">
            <v>1993.4502900000002</v>
          </cell>
          <cell r="H1067">
            <v>0</v>
          </cell>
          <cell r="I1067">
            <v>0</v>
          </cell>
        </row>
        <row r="1068">
          <cell r="A1068">
            <v>0</v>
          </cell>
          <cell r="B1068" t="str">
            <v>VL198</v>
          </cell>
          <cell r="C1068" t="str">
            <v>Dây điện 2x1,5mm2</v>
          </cell>
          <cell r="D1068" t="str">
            <v>m</v>
          </cell>
          <cell r="E1068">
            <v>0.51200000000000001</v>
          </cell>
          <cell r="F1068">
            <v>9027.2727272727261</v>
          </cell>
          <cell r="G1068">
            <v>4621.9636363636355</v>
          </cell>
          <cell r="H1068">
            <v>0</v>
          </cell>
          <cell r="I1068">
            <v>0</v>
          </cell>
        </row>
        <row r="1069">
          <cell r="A1069">
            <v>0</v>
          </cell>
          <cell r="B1069" t="str">
            <v>VL176</v>
          </cell>
          <cell r="C1069" t="str">
            <v>Giẻ lau</v>
          </cell>
          <cell r="D1069" t="str">
            <v>kg</v>
          </cell>
          <cell r="E1069">
            <v>0.10199999999999999</v>
          </cell>
          <cell r="F1069">
            <v>5000</v>
          </cell>
          <cell r="G1069">
            <v>509.99999999999994</v>
          </cell>
          <cell r="H1069">
            <v>0</v>
          </cell>
          <cell r="I1069">
            <v>0</v>
          </cell>
        </row>
        <row r="1070">
          <cell r="A1070">
            <v>0</v>
          </cell>
          <cell r="B1070" t="str">
            <v>VL177</v>
          </cell>
          <cell r="C1070" t="str">
            <v>Cồn công nghiệp</v>
          </cell>
          <cell r="D1070" t="str">
            <v>kg</v>
          </cell>
          <cell r="E1070">
            <v>0.10199999999999999</v>
          </cell>
          <cell r="F1070">
            <v>20000</v>
          </cell>
          <cell r="G1070">
            <v>2039.9999999999998</v>
          </cell>
          <cell r="H1070">
            <v>0</v>
          </cell>
          <cell r="I1070">
            <v>0</v>
          </cell>
        </row>
        <row r="1071">
          <cell r="A1071">
            <v>0</v>
          </cell>
          <cell r="B1071" t="str">
            <v>VL186</v>
          </cell>
          <cell r="C1071" t="str">
            <v>Giấy nhám số 0</v>
          </cell>
          <cell r="D1071" t="str">
            <v>tờ</v>
          </cell>
          <cell r="E1071">
            <v>0.51200000000000001</v>
          </cell>
          <cell r="F1071">
            <v>2000</v>
          </cell>
          <cell r="G1071">
            <v>1024</v>
          </cell>
          <cell r="H1071">
            <v>0</v>
          </cell>
          <cell r="I1071">
            <v>0</v>
          </cell>
        </row>
        <row r="1072">
          <cell r="A1072">
            <v>0</v>
          </cell>
          <cell r="B1072">
            <v>0</v>
          </cell>
          <cell r="C1072" t="str">
            <v>Nhân công</v>
          </cell>
          <cell r="D1072">
            <v>0</v>
          </cell>
          <cell r="E1072">
            <v>0</v>
          </cell>
          <cell r="F1072">
            <v>0</v>
          </cell>
          <cell r="G1072">
            <v>0</v>
          </cell>
          <cell r="H1072">
            <v>0</v>
          </cell>
          <cell r="I1072">
            <v>0</v>
          </cell>
        </row>
        <row r="1073">
          <cell r="A1073">
            <v>0</v>
          </cell>
          <cell r="B1073" t="str">
            <v>KS4</v>
          </cell>
          <cell r="C1073" t="str">
            <v>Kỹ sư bậc 4,0/8</v>
          </cell>
          <cell r="D1073" t="str">
            <v>công</v>
          </cell>
          <cell r="E1073">
            <v>1.1599999999999999</v>
          </cell>
          <cell r="F1073">
            <v>237000</v>
          </cell>
          <cell r="G1073">
            <v>0</v>
          </cell>
          <cell r="H1073">
            <v>274920</v>
          </cell>
          <cell r="I1073">
            <v>0</v>
          </cell>
        </row>
        <row r="1074">
          <cell r="A1074">
            <v>0</v>
          </cell>
          <cell r="B1074" t="str">
            <v>N4507</v>
          </cell>
          <cell r="C1074" t="str">
            <v xml:space="preserve"> Nhân công bậc 5,0/7 - Nhóm 4</v>
          </cell>
          <cell r="D1074" t="str">
            <v>công</v>
          </cell>
          <cell r="E1074">
            <v>0.5</v>
          </cell>
          <cell r="F1074">
            <v>302486.8421052632</v>
          </cell>
          <cell r="G1074">
            <v>0</v>
          </cell>
          <cell r="H1074">
            <v>151243.4210526316</v>
          </cell>
          <cell r="I1074">
            <v>0</v>
          </cell>
        </row>
        <row r="1075">
          <cell r="A1075">
            <v>0</v>
          </cell>
          <cell r="B1075">
            <v>0</v>
          </cell>
          <cell r="C1075" t="str">
            <v>Máy thi công</v>
          </cell>
          <cell r="D1075">
            <v>0</v>
          </cell>
          <cell r="E1075">
            <v>0</v>
          </cell>
          <cell r="F1075">
            <v>0</v>
          </cell>
          <cell r="G1075">
            <v>0</v>
          </cell>
          <cell r="H1075">
            <v>0</v>
          </cell>
          <cell r="I1075">
            <v>0</v>
          </cell>
        </row>
        <row r="1076">
          <cell r="A1076">
            <v>0</v>
          </cell>
          <cell r="B1076" t="str">
            <v>M203.0025</v>
          </cell>
          <cell r="C1076" t="str">
            <v>Megôm met</v>
          </cell>
          <cell r="D1076" t="str">
            <v>ca</v>
          </cell>
          <cell r="E1076">
            <v>3.7999999999999999E-2</v>
          </cell>
          <cell r="F1076">
            <v>40127.500000000007</v>
          </cell>
          <cell r="G1076">
            <v>0</v>
          </cell>
          <cell r="H1076">
            <v>0</v>
          </cell>
          <cell r="I1076">
            <v>1524.8450000000003</v>
          </cell>
        </row>
        <row r="1077">
          <cell r="A1077">
            <v>0</v>
          </cell>
          <cell r="B1077" t="str">
            <v>M203.0016</v>
          </cell>
          <cell r="C1077" t="str">
            <v>Máy đo điện trở tiếp xúc</v>
          </cell>
          <cell r="D1077" t="str">
            <v>ca</v>
          </cell>
          <cell r="E1077">
            <v>2.5000000000000001E-2</v>
          </cell>
          <cell r="F1077">
            <v>83447.159090909103</v>
          </cell>
          <cell r="G1077">
            <v>0</v>
          </cell>
          <cell r="H1077">
            <v>0</v>
          </cell>
          <cell r="I1077">
            <v>2086.1789772727275</v>
          </cell>
        </row>
        <row r="1078">
          <cell r="A1078">
            <v>0</v>
          </cell>
          <cell r="B1078" t="str">
            <v>M203.0007</v>
          </cell>
          <cell r="C1078" t="str">
            <v>Hợp bộ thí nghiệm cao áp</v>
          </cell>
          <cell r="D1078" t="str">
            <v>ca</v>
          </cell>
          <cell r="E1078">
            <v>6.9000000000000006E-2</v>
          </cell>
          <cell r="F1078">
            <v>403740.11363636365</v>
          </cell>
          <cell r="G1078">
            <v>0</v>
          </cell>
          <cell r="H1078">
            <v>0</v>
          </cell>
          <cell r="I1078">
            <v>27858.067840909094</v>
          </cell>
        </row>
        <row r="1079">
          <cell r="A1079">
            <v>0</v>
          </cell>
          <cell r="B1079" t="str">
            <v>M102.1802</v>
          </cell>
          <cell r="C1079" t="str">
            <v>Xe thang nâng</v>
          </cell>
          <cell r="D1079" t="str">
            <v>ca</v>
          </cell>
          <cell r="E1079">
            <v>0</v>
          </cell>
          <cell r="F1079">
            <v>1819914.2343571431</v>
          </cell>
          <cell r="G1079">
            <v>0</v>
          </cell>
          <cell r="H1079">
            <v>0</v>
          </cell>
          <cell r="I1079">
            <v>0</v>
          </cell>
        </row>
        <row r="1080">
          <cell r="A1080" t="str">
            <v>EB.41010</v>
          </cell>
          <cell r="B1080">
            <v>0</v>
          </cell>
          <cell r="C1080" t="str">
            <v>Thí nghiệm cách điện dứng, điện áp 66-500kV</v>
          </cell>
          <cell r="D1080" t="str">
            <v>quả</v>
          </cell>
          <cell r="E1080">
            <v>0</v>
          </cell>
          <cell r="F1080">
            <v>0</v>
          </cell>
          <cell r="G1080">
            <v>2639.3302727272726</v>
          </cell>
          <cell r="H1080">
            <v>15529.736842105263</v>
          </cell>
          <cell r="I1080">
            <v>23841.643479935068</v>
          </cell>
        </row>
        <row r="1081">
          <cell r="A1081">
            <v>0</v>
          </cell>
          <cell r="B1081">
            <v>0</v>
          </cell>
          <cell r="C1081" t="str">
            <v>Vật liệu</v>
          </cell>
          <cell r="D1081">
            <v>0</v>
          </cell>
          <cell r="E1081">
            <v>0</v>
          </cell>
          <cell r="F1081">
            <v>0</v>
          </cell>
          <cell r="G1081">
            <v>0</v>
          </cell>
          <cell r="H1081">
            <v>0</v>
          </cell>
          <cell r="I1081">
            <v>0</v>
          </cell>
        </row>
        <row r="1082">
          <cell r="A1082">
            <v>0</v>
          </cell>
          <cell r="B1082" t="str">
            <v>VL221</v>
          </cell>
          <cell r="C1082" t="str">
            <v>Điện năng</v>
          </cell>
          <cell r="D1082" t="str">
            <v>Kwh</v>
          </cell>
          <cell r="E1082">
            <v>0.3</v>
          </cell>
          <cell r="F1082">
            <v>1622.01</v>
          </cell>
          <cell r="G1082">
            <v>486.60299999999995</v>
          </cell>
          <cell r="H1082">
            <v>0</v>
          </cell>
          <cell r="I1082">
            <v>0</v>
          </cell>
        </row>
        <row r="1083">
          <cell r="A1083">
            <v>0</v>
          </cell>
          <cell r="B1083" t="str">
            <v>VL177</v>
          </cell>
          <cell r="C1083" t="str">
            <v>Cồn công nghiệp</v>
          </cell>
          <cell r="D1083" t="str">
            <v>kg</v>
          </cell>
          <cell r="E1083">
            <v>0.05</v>
          </cell>
          <cell r="F1083">
            <v>20000</v>
          </cell>
          <cell r="G1083">
            <v>1000</v>
          </cell>
          <cell r="H1083">
            <v>0</v>
          </cell>
          <cell r="I1083">
            <v>0</v>
          </cell>
        </row>
        <row r="1084">
          <cell r="A1084">
            <v>0</v>
          </cell>
          <cell r="B1084" t="str">
            <v>VL198</v>
          </cell>
          <cell r="C1084" t="str">
            <v>Dây điện 2x1,5mm2</v>
          </cell>
          <cell r="D1084" t="str">
            <v>m</v>
          </cell>
          <cell r="E1084">
            <v>0.1</v>
          </cell>
          <cell r="F1084">
            <v>9027.2727272727261</v>
          </cell>
          <cell r="G1084">
            <v>902.72727272727263</v>
          </cell>
          <cell r="H1084">
            <v>0</v>
          </cell>
          <cell r="I1084">
            <v>0</v>
          </cell>
        </row>
        <row r="1085">
          <cell r="A1085">
            <v>0</v>
          </cell>
          <cell r="B1085" t="str">
            <v>VL176</v>
          </cell>
          <cell r="C1085" t="str">
            <v>Giẻ lau</v>
          </cell>
          <cell r="D1085" t="str">
            <v>kg</v>
          </cell>
          <cell r="E1085">
            <v>0.05</v>
          </cell>
          <cell r="F1085">
            <v>5000</v>
          </cell>
          <cell r="G1085">
            <v>250</v>
          </cell>
          <cell r="H1085">
            <v>0</v>
          </cell>
          <cell r="I1085">
            <v>0</v>
          </cell>
        </row>
        <row r="1086">
          <cell r="A1086">
            <v>0</v>
          </cell>
          <cell r="B1086">
            <v>0</v>
          </cell>
          <cell r="C1086" t="str">
            <v>Nhân công</v>
          </cell>
          <cell r="D1086">
            <v>0</v>
          </cell>
          <cell r="E1086">
            <v>0</v>
          </cell>
          <cell r="F1086">
            <v>0</v>
          </cell>
          <cell r="G1086">
            <v>0</v>
          </cell>
          <cell r="H1086">
            <v>0</v>
          </cell>
          <cell r="I1086">
            <v>0</v>
          </cell>
        </row>
        <row r="1087">
          <cell r="A1087">
            <v>0</v>
          </cell>
          <cell r="B1087" t="str">
            <v>KS4</v>
          </cell>
          <cell r="C1087" t="str">
            <v>Kỹ sư bậc 4,0/8</v>
          </cell>
          <cell r="D1087" t="str">
            <v>công</v>
          </cell>
          <cell r="E1087">
            <v>0.04</v>
          </cell>
          <cell r="F1087">
            <v>237000</v>
          </cell>
          <cell r="G1087">
            <v>0</v>
          </cell>
          <cell r="H1087">
            <v>9480</v>
          </cell>
          <cell r="I1087">
            <v>0</v>
          </cell>
        </row>
        <row r="1088">
          <cell r="A1088">
            <v>0</v>
          </cell>
          <cell r="B1088" t="str">
            <v>N4507</v>
          </cell>
          <cell r="C1088" t="str">
            <v xml:space="preserve"> Nhân công bậc 5,0/7 - Nhóm 4</v>
          </cell>
          <cell r="D1088" t="str">
            <v>công</v>
          </cell>
          <cell r="E1088">
            <v>0.02</v>
          </cell>
          <cell r="F1088">
            <v>302486.8421052632</v>
          </cell>
          <cell r="G1088">
            <v>0</v>
          </cell>
          <cell r="H1088">
            <v>6049.7368421052643</v>
          </cell>
          <cell r="I1088">
            <v>0</v>
          </cell>
        </row>
        <row r="1089">
          <cell r="A1089">
            <v>0</v>
          </cell>
          <cell r="B1089">
            <v>0</v>
          </cell>
          <cell r="C1089" t="str">
            <v>Máy thi công</v>
          </cell>
          <cell r="D1089">
            <v>0</v>
          </cell>
          <cell r="E1089">
            <v>0</v>
          </cell>
          <cell r="F1089">
            <v>0</v>
          </cell>
          <cell r="G1089">
            <v>0</v>
          </cell>
          <cell r="H1089">
            <v>0</v>
          </cell>
          <cell r="I1089">
            <v>0</v>
          </cell>
        </row>
        <row r="1090">
          <cell r="A1090">
            <v>0</v>
          </cell>
          <cell r="B1090" t="str">
            <v>M203.0025</v>
          </cell>
          <cell r="C1090" t="str">
            <v>Megôm met</v>
          </cell>
          <cell r="D1090" t="str">
            <v>ca</v>
          </cell>
          <cell r="E1090">
            <v>0.04</v>
          </cell>
          <cell r="F1090">
            <v>40127.500000000007</v>
          </cell>
          <cell r="G1090">
            <v>0</v>
          </cell>
          <cell r="H1090">
            <v>0</v>
          </cell>
          <cell r="I1090">
            <v>1605.1000000000004</v>
          </cell>
        </row>
        <row r="1091">
          <cell r="A1091">
            <v>0</v>
          </cell>
          <cell r="B1091" t="str">
            <v>M203.0007</v>
          </cell>
          <cell r="C1091" t="str">
            <v>Hợp bộ thí nghiệm cao áp</v>
          </cell>
          <cell r="D1091" t="str">
            <v>ca</v>
          </cell>
          <cell r="E1091">
            <v>0.01</v>
          </cell>
          <cell r="F1091">
            <v>403740.11363636365</v>
          </cell>
          <cell r="G1091">
            <v>0</v>
          </cell>
          <cell r="H1091">
            <v>0</v>
          </cell>
          <cell r="I1091">
            <v>4037.4011363636364</v>
          </cell>
        </row>
        <row r="1092">
          <cell r="A1092">
            <v>0</v>
          </cell>
          <cell r="B1092" t="str">
            <v>M102.1802</v>
          </cell>
          <cell r="C1092" t="str">
            <v>Xe thang nâng</v>
          </cell>
          <cell r="D1092" t="str">
            <v>ca</v>
          </cell>
          <cell r="E1092">
            <v>0.01</v>
          </cell>
          <cell r="F1092">
            <v>1819914.2343571431</v>
          </cell>
          <cell r="G1092">
            <v>0</v>
          </cell>
          <cell r="H1092">
            <v>0</v>
          </cell>
          <cell r="I1092">
            <v>18199.142343571431</v>
          </cell>
        </row>
        <row r="1093">
          <cell r="A1093" t="str">
            <v>EB.41020</v>
          </cell>
          <cell r="B1093">
            <v>0</v>
          </cell>
          <cell r="C1093" t="str">
            <v>Thí nghiệm cách điện dứng, điện áp 3-35kV</v>
          </cell>
          <cell r="D1093" t="str">
            <v>quả</v>
          </cell>
          <cell r="E1093">
            <v>0</v>
          </cell>
          <cell r="F1093">
            <v>0</v>
          </cell>
          <cell r="G1093">
            <v>1319.6651363636363</v>
          </cell>
          <cell r="H1093">
            <v>10134.868421052632</v>
          </cell>
          <cell r="I1093">
            <v>3628.7307954545458</v>
          </cell>
        </row>
        <row r="1094">
          <cell r="A1094">
            <v>0</v>
          </cell>
          <cell r="B1094">
            <v>0</v>
          </cell>
          <cell r="C1094" t="str">
            <v>Vật liệu</v>
          </cell>
          <cell r="D1094">
            <v>0</v>
          </cell>
          <cell r="E1094">
            <v>0</v>
          </cell>
          <cell r="F1094">
            <v>0</v>
          </cell>
          <cell r="G1094">
            <v>0</v>
          </cell>
          <cell r="H1094">
            <v>0</v>
          </cell>
          <cell r="I1094">
            <v>0</v>
          </cell>
        </row>
        <row r="1095">
          <cell r="A1095">
            <v>0</v>
          </cell>
          <cell r="B1095" t="str">
            <v>VL221</v>
          </cell>
          <cell r="C1095" t="str">
            <v>Điện năng</v>
          </cell>
          <cell r="D1095" t="str">
            <v>Kwh</v>
          </cell>
          <cell r="E1095">
            <v>0.15</v>
          </cell>
          <cell r="F1095">
            <v>1622.01</v>
          </cell>
          <cell r="G1095">
            <v>243.30149999999998</v>
          </cell>
          <cell r="H1095">
            <v>0</v>
          </cell>
          <cell r="I1095">
            <v>0</v>
          </cell>
        </row>
        <row r="1096">
          <cell r="A1096">
            <v>0</v>
          </cell>
          <cell r="B1096" t="str">
            <v>VL177</v>
          </cell>
          <cell r="C1096" t="str">
            <v>Cồn công nghiệp</v>
          </cell>
          <cell r="D1096" t="str">
            <v>kg</v>
          </cell>
          <cell r="E1096">
            <v>2.5000000000000001E-2</v>
          </cell>
          <cell r="F1096">
            <v>20000</v>
          </cell>
          <cell r="G1096">
            <v>500</v>
          </cell>
          <cell r="H1096">
            <v>0</v>
          </cell>
          <cell r="I1096">
            <v>0</v>
          </cell>
        </row>
        <row r="1097">
          <cell r="A1097">
            <v>0</v>
          </cell>
          <cell r="B1097" t="str">
            <v>VL198</v>
          </cell>
          <cell r="C1097" t="str">
            <v>Dây điện 2x1,5mm2</v>
          </cell>
          <cell r="D1097" t="str">
            <v>m</v>
          </cell>
          <cell r="E1097">
            <v>0.05</v>
          </cell>
          <cell r="F1097">
            <v>9027.2727272727261</v>
          </cell>
          <cell r="G1097">
            <v>451.36363636363632</v>
          </cell>
          <cell r="H1097">
            <v>0</v>
          </cell>
          <cell r="I1097">
            <v>0</v>
          </cell>
        </row>
        <row r="1098">
          <cell r="A1098">
            <v>0</v>
          </cell>
          <cell r="B1098" t="str">
            <v>VL176</v>
          </cell>
          <cell r="C1098" t="str">
            <v>Giẻ lau</v>
          </cell>
          <cell r="D1098" t="str">
            <v>kg</v>
          </cell>
          <cell r="E1098">
            <v>2.5000000000000001E-2</v>
          </cell>
          <cell r="F1098">
            <v>5000</v>
          </cell>
          <cell r="G1098">
            <v>125</v>
          </cell>
          <cell r="H1098">
            <v>0</v>
          </cell>
          <cell r="I1098">
            <v>0</v>
          </cell>
        </row>
        <row r="1099">
          <cell r="A1099">
            <v>0</v>
          </cell>
          <cell r="B1099">
            <v>0</v>
          </cell>
          <cell r="C1099" t="str">
            <v>Nhân công</v>
          </cell>
          <cell r="D1099">
            <v>0</v>
          </cell>
          <cell r="E1099">
            <v>0</v>
          </cell>
          <cell r="F1099">
            <v>0</v>
          </cell>
          <cell r="G1099">
            <v>0</v>
          </cell>
          <cell r="H1099">
            <v>0</v>
          </cell>
          <cell r="I1099">
            <v>0</v>
          </cell>
        </row>
        <row r="1100">
          <cell r="A1100">
            <v>0</v>
          </cell>
          <cell r="B1100" t="str">
            <v>KS4</v>
          </cell>
          <cell r="C1100" t="str">
            <v>Kỹ sư bậc 4,0/8</v>
          </cell>
          <cell r="D1100" t="str">
            <v>công</v>
          </cell>
          <cell r="E1100">
            <v>0.03</v>
          </cell>
          <cell r="F1100">
            <v>237000</v>
          </cell>
          <cell r="G1100">
            <v>0</v>
          </cell>
          <cell r="H1100">
            <v>7110</v>
          </cell>
          <cell r="I1100">
            <v>0</v>
          </cell>
        </row>
        <row r="1101">
          <cell r="A1101">
            <v>0</v>
          </cell>
          <cell r="B1101" t="str">
            <v>N4507</v>
          </cell>
          <cell r="C1101" t="str">
            <v xml:space="preserve"> Nhân công bậc 5,0/7 - Nhóm 4</v>
          </cell>
          <cell r="D1101" t="str">
            <v>công</v>
          </cell>
          <cell r="E1101">
            <v>0.01</v>
          </cell>
          <cell r="F1101">
            <v>302486.8421052632</v>
          </cell>
          <cell r="G1101">
            <v>0</v>
          </cell>
          <cell r="H1101">
            <v>3024.8684210526321</v>
          </cell>
          <cell r="I1101">
            <v>0</v>
          </cell>
        </row>
        <row r="1102">
          <cell r="A1102">
            <v>0</v>
          </cell>
          <cell r="B1102">
            <v>0</v>
          </cell>
          <cell r="C1102" t="str">
            <v>Máy thi công</v>
          </cell>
          <cell r="D1102">
            <v>0</v>
          </cell>
          <cell r="E1102">
            <v>0</v>
          </cell>
          <cell r="F1102">
            <v>0</v>
          </cell>
          <cell r="G1102">
            <v>0</v>
          </cell>
          <cell r="H1102">
            <v>0</v>
          </cell>
          <cell r="I1102">
            <v>0</v>
          </cell>
        </row>
        <row r="1103">
          <cell r="A1103">
            <v>0</v>
          </cell>
          <cell r="B1103" t="str">
            <v>M203.0025</v>
          </cell>
          <cell r="C1103" t="str">
            <v>Megôm met</v>
          </cell>
          <cell r="D1103" t="str">
            <v>ca</v>
          </cell>
          <cell r="E1103">
            <v>0.02</v>
          </cell>
          <cell r="F1103">
            <v>40127.500000000007</v>
          </cell>
          <cell r="G1103">
            <v>0</v>
          </cell>
          <cell r="H1103">
            <v>0</v>
          </cell>
          <cell r="I1103">
            <v>802.55000000000018</v>
          </cell>
        </row>
        <row r="1104">
          <cell r="A1104">
            <v>0</v>
          </cell>
          <cell r="B1104" t="str">
            <v>M203.0007</v>
          </cell>
          <cell r="C1104" t="str">
            <v>Hợp bộ thí nghiệm cao áp</v>
          </cell>
          <cell r="D1104" t="str">
            <v>ca</v>
          </cell>
          <cell r="E1104">
            <v>7.0000000000000001E-3</v>
          </cell>
          <cell r="F1104">
            <v>403740.11363636365</v>
          </cell>
          <cell r="G1104">
            <v>0</v>
          </cell>
          <cell r="H1104">
            <v>0</v>
          </cell>
          <cell r="I1104">
            <v>2826.1807954545457</v>
          </cell>
        </row>
        <row r="1105">
          <cell r="A1105">
            <v>0</v>
          </cell>
          <cell r="B1105" t="str">
            <v>M102.1802</v>
          </cell>
          <cell r="C1105" t="str">
            <v>Xe thang nâng</v>
          </cell>
          <cell r="D1105" t="str">
            <v>ca</v>
          </cell>
          <cell r="E1105">
            <v>0</v>
          </cell>
          <cell r="F1105">
            <v>1819914.2343571431</v>
          </cell>
          <cell r="G1105">
            <v>0</v>
          </cell>
          <cell r="H1105">
            <v>0</v>
          </cell>
          <cell r="I1105">
            <v>0</v>
          </cell>
        </row>
        <row r="1106">
          <cell r="A1106" t="str">
            <v>EB.41030</v>
          </cell>
          <cell r="B1106">
            <v>0</v>
          </cell>
          <cell r="C1106" t="str">
            <v>Thí nghiệm cách điện treo để rời từng bát</v>
          </cell>
          <cell r="D1106" t="str">
            <v>bát</v>
          </cell>
          <cell r="E1106">
            <v>0</v>
          </cell>
          <cell r="F1106">
            <v>0</v>
          </cell>
          <cell r="G1106">
            <v>672.33256818181815</v>
          </cell>
          <cell r="H1106">
            <v>7764.8684210526317</v>
          </cell>
          <cell r="I1106">
            <v>2419.9755681818183</v>
          </cell>
        </row>
        <row r="1107">
          <cell r="A1107">
            <v>0</v>
          </cell>
          <cell r="B1107">
            <v>0</v>
          </cell>
          <cell r="C1107" t="str">
            <v>Vật liệu</v>
          </cell>
          <cell r="D1107">
            <v>0</v>
          </cell>
          <cell r="E1107">
            <v>0</v>
          </cell>
          <cell r="F1107">
            <v>0</v>
          </cell>
          <cell r="G1107">
            <v>0</v>
          </cell>
          <cell r="H1107">
            <v>0</v>
          </cell>
          <cell r="I1107">
            <v>0</v>
          </cell>
        </row>
        <row r="1108">
          <cell r="A1108">
            <v>0</v>
          </cell>
          <cell r="B1108" t="str">
            <v>VL221</v>
          </cell>
          <cell r="C1108" t="str">
            <v>Điện năng</v>
          </cell>
          <cell r="D1108" t="str">
            <v>Kwh</v>
          </cell>
          <cell r="E1108">
            <v>7.4999999999999997E-2</v>
          </cell>
          <cell r="F1108">
            <v>1622.01</v>
          </cell>
          <cell r="G1108">
            <v>121.65074999999999</v>
          </cell>
          <cell r="H1108">
            <v>0</v>
          </cell>
          <cell r="I1108">
            <v>0</v>
          </cell>
        </row>
        <row r="1109">
          <cell r="A1109">
            <v>0</v>
          </cell>
          <cell r="B1109" t="str">
            <v>VL177</v>
          </cell>
          <cell r="C1109" t="str">
            <v>Cồn công nghiệp</v>
          </cell>
          <cell r="D1109" t="str">
            <v>kg</v>
          </cell>
          <cell r="E1109">
            <v>1.2999999999999999E-2</v>
          </cell>
          <cell r="F1109">
            <v>20000</v>
          </cell>
          <cell r="G1109">
            <v>260</v>
          </cell>
          <cell r="H1109">
            <v>0</v>
          </cell>
          <cell r="I1109">
            <v>0</v>
          </cell>
        </row>
        <row r="1110">
          <cell r="A1110">
            <v>0</v>
          </cell>
          <cell r="B1110" t="str">
            <v>VL198</v>
          </cell>
          <cell r="C1110" t="str">
            <v>Dây điện 2x1,5mm2</v>
          </cell>
          <cell r="D1110" t="str">
            <v>m</v>
          </cell>
          <cell r="E1110">
            <v>2.5000000000000001E-2</v>
          </cell>
          <cell r="F1110">
            <v>9027.2727272727261</v>
          </cell>
          <cell r="G1110">
            <v>225.68181818181816</v>
          </cell>
          <cell r="H1110">
            <v>0</v>
          </cell>
          <cell r="I1110">
            <v>0</v>
          </cell>
        </row>
        <row r="1111">
          <cell r="A1111">
            <v>0</v>
          </cell>
          <cell r="B1111" t="str">
            <v>VL176</v>
          </cell>
          <cell r="C1111" t="str">
            <v>Giẻ lau</v>
          </cell>
          <cell r="D1111" t="str">
            <v>kg</v>
          </cell>
          <cell r="E1111">
            <v>1.2999999999999999E-2</v>
          </cell>
          <cell r="F1111">
            <v>5000</v>
          </cell>
          <cell r="G1111">
            <v>65</v>
          </cell>
          <cell r="H1111">
            <v>0</v>
          </cell>
          <cell r="I1111">
            <v>0</v>
          </cell>
        </row>
        <row r="1112">
          <cell r="A1112">
            <v>0</v>
          </cell>
          <cell r="B1112">
            <v>0</v>
          </cell>
          <cell r="C1112" t="str">
            <v>Nhân công</v>
          </cell>
          <cell r="D1112">
            <v>0</v>
          </cell>
          <cell r="E1112">
            <v>0</v>
          </cell>
          <cell r="F1112">
            <v>0</v>
          </cell>
          <cell r="G1112">
            <v>0</v>
          </cell>
          <cell r="H1112">
            <v>0</v>
          </cell>
          <cell r="I1112">
            <v>0</v>
          </cell>
        </row>
        <row r="1113">
          <cell r="A1113">
            <v>0</v>
          </cell>
          <cell r="B1113" t="str">
            <v>KS4</v>
          </cell>
          <cell r="C1113" t="str">
            <v>Kỹ sư bậc 4,0/8</v>
          </cell>
          <cell r="D1113" t="str">
            <v>công</v>
          </cell>
          <cell r="E1113">
            <v>0.02</v>
          </cell>
          <cell r="F1113">
            <v>237000</v>
          </cell>
          <cell r="G1113">
            <v>0</v>
          </cell>
          <cell r="H1113">
            <v>4740</v>
          </cell>
          <cell r="I1113">
            <v>0</v>
          </cell>
        </row>
        <row r="1114">
          <cell r="A1114">
            <v>0</v>
          </cell>
          <cell r="B1114" t="str">
            <v>N4507</v>
          </cell>
          <cell r="C1114" t="str">
            <v xml:space="preserve"> Nhân công bậc 5,0/7 - Nhóm 4</v>
          </cell>
          <cell r="D1114" t="str">
            <v>công</v>
          </cell>
          <cell r="E1114">
            <v>0.01</v>
          </cell>
          <cell r="F1114">
            <v>302486.8421052632</v>
          </cell>
          <cell r="G1114">
            <v>0</v>
          </cell>
          <cell r="H1114">
            <v>3024.8684210526321</v>
          </cell>
          <cell r="I1114">
            <v>0</v>
          </cell>
        </row>
        <row r="1115">
          <cell r="A1115">
            <v>0</v>
          </cell>
          <cell r="B1115">
            <v>0</v>
          </cell>
          <cell r="C1115" t="str">
            <v>Máy thi công</v>
          </cell>
          <cell r="D1115">
            <v>0</v>
          </cell>
          <cell r="E1115">
            <v>0</v>
          </cell>
          <cell r="F1115">
            <v>0</v>
          </cell>
          <cell r="G1115">
            <v>0</v>
          </cell>
          <cell r="H1115">
            <v>0</v>
          </cell>
          <cell r="I1115">
            <v>0</v>
          </cell>
        </row>
        <row r="1116">
          <cell r="A1116">
            <v>0</v>
          </cell>
          <cell r="B1116" t="str">
            <v>M203.0025</v>
          </cell>
          <cell r="C1116" t="str">
            <v>Megôm met</v>
          </cell>
          <cell r="D1116" t="str">
            <v>ca</v>
          </cell>
          <cell r="E1116">
            <v>0.01</v>
          </cell>
          <cell r="F1116">
            <v>40127.500000000007</v>
          </cell>
          <cell r="G1116">
            <v>0</v>
          </cell>
          <cell r="H1116">
            <v>0</v>
          </cell>
          <cell r="I1116">
            <v>401.27500000000009</v>
          </cell>
        </row>
        <row r="1117">
          <cell r="A1117">
            <v>0</v>
          </cell>
          <cell r="B1117" t="str">
            <v>M203.0007</v>
          </cell>
          <cell r="C1117" t="str">
            <v>Hợp bộ thí nghiệm cao áp</v>
          </cell>
          <cell r="D1117" t="str">
            <v>ca</v>
          </cell>
          <cell r="E1117">
            <v>5.0000000000000001E-3</v>
          </cell>
          <cell r="F1117">
            <v>403740.11363636365</v>
          </cell>
          <cell r="G1117">
            <v>0</v>
          </cell>
          <cell r="H1117">
            <v>0</v>
          </cell>
          <cell r="I1117">
            <v>2018.7005681818182</v>
          </cell>
        </row>
        <row r="1118">
          <cell r="A1118">
            <v>0</v>
          </cell>
          <cell r="B1118" t="str">
            <v>M102.1802</v>
          </cell>
          <cell r="C1118" t="str">
            <v>Xe thang nâng</v>
          </cell>
          <cell r="D1118" t="str">
            <v>ca</v>
          </cell>
          <cell r="E1118">
            <v>0</v>
          </cell>
          <cell r="F1118">
            <v>1819914.2343571431</v>
          </cell>
          <cell r="G1118">
            <v>0</v>
          </cell>
          <cell r="H1118">
            <v>0</v>
          </cell>
          <cell r="I1118">
            <v>0</v>
          </cell>
        </row>
        <row r="1119">
          <cell r="A1119" t="str">
            <v>EB.41040</v>
          </cell>
          <cell r="B1119">
            <v>0</v>
          </cell>
          <cell r="C1119" t="str">
            <v>Thí nghiệm cách điện treo đã lắp thành chuỗi</v>
          </cell>
          <cell r="D1119" t="str">
            <v>chuỗi</v>
          </cell>
          <cell r="E1119">
            <v>0</v>
          </cell>
          <cell r="F1119">
            <v>0</v>
          </cell>
          <cell r="G1119">
            <v>473.45743909090902</v>
          </cell>
          <cell r="H1119">
            <v>5394.8684210526317</v>
          </cell>
          <cell r="I1119">
            <v>1895.8529545454548</v>
          </cell>
        </row>
        <row r="1120">
          <cell r="A1120">
            <v>0</v>
          </cell>
          <cell r="B1120">
            <v>0</v>
          </cell>
          <cell r="C1120" t="str">
            <v>Vật liệu</v>
          </cell>
          <cell r="D1120">
            <v>0</v>
          </cell>
          <cell r="E1120">
            <v>0</v>
          </cell>
          <cell r="F1120">
            <v>0</v>
          </cell>
          <cell r="G1120">
            <v>0</v>
          </cell>
          <cell r="H1120">
            <v>0</v>
          </cell>
          <cell r="I1120">
            <v>0</v>
          </cell>
        </row>
        <row r="1121">
          <cell r="A1121">
            <v>0</v>
          </cell>
          <cell r="B1121" t="str">
            <v>VL221</v>
          </cell>
          <cell r="C1121" t="str">
            <v>Điện năng</v>
          </cell>
          <cell r="D1121" t="str">
            <v>Kwh</v>
          </cell>
          <cell r="E1121">
            <v>5.2999999999999999E-2</v>
          </cell>
          <cell r="F1121">
            <v>1622.01</v>
          </cell>
          <cell r="G1121">
            <v>85.966529999999992</v>
          </cell>
          <cell r="H1121">
            <v>0</v>
          </cell>
          <cell r="I1121">
            <v>0</v>
          </cell>
        </row>
        <row r="1122">
          <cell r="A1122">
            <v>0</v>
          </cell>
          <cell r="B1122" t="str">
            <v>VL177</v>
          </cell>
          <cell r="C1122" t="str">
            <v>Cồn công nghiệp</v>
          </cell>
          <cell r="D1122" t="str">
            <v>kg</v>
          </cell>
          <cell r="E1122">
            <v>8.9999999999999993E-3</v>
          </cell>
          <cell r="F1122">
            <v>20000</v>
          </cell>
          <cell r="G1122">
            <v>180</v>
          </cell>
          <cell r="H1122">
            <v>0</v>
          </cell>
          <cell r="I1122">
            <v>0</v>
          </cell>
        </row>
        <row r="1123">
          <cell r="A1123">
            <v>0</v>
          </cell>
          <cell r="B1123" t="str">
            <v>VL198</v>
          </cell>
          <cell r="C1123" t="str">
            <v>Dây điện 2x1,5mm2</v>
          </cell>
          <cell r="D1123" t="str">
            <v>m</v>
          </cell>
          <cell r="E1123">
            <v>1.7999999999999999E-2</v>
          </cell>
          <cell r="F1123">
            <v>9027.2727272727261</v>
          </cell>
          <cell r="G1123">
            <v>162.49090909090907</v>
          </cell>
          <cell r="H1123">
            <v>0</v>
          </cell>
          <cell r="I1123">
            <v>0</v>
          </cell>
        </row>
        <row r="1124">
          <cell r="A1124">
            <v>0</v>
          </cell>
          <cell r="B1124" t="str">
            <v>VL176</v>
          </cell>
          <cell r="C1124" t="str">
            <v>Giẻ lau</v>
          </cell>
          <cell r="D1124" t="str">
            <v>kg</v>
          </cell>
          <cell r="E1124">
            <v>8.9999999999999993E-3</v>
          </cell>
          <cell r="F1124">
            <v>5000</v>
          </cell>
          <cell r="G1124">
            <v>45</v>
          </cell>
          <cell r="H1124">
            <v>0</v>
          </cell>
          <cell r="I1124">
            <v>0</v>
          </cell>
        </row>
        <row r="1125">
          <cell r="A1125">
            <v>0</v>
          </cell>
          <cell r="B1125">
            <v>0</v>
          </cell>
          <cell r="C1125" t="str">
            <v>Nhân công</v>
          </cell>
          <cell r="D1125">
            <v>0</v>
          </cell>
          <cell r="E1125">
            <v>0</v>
          </cell>
          <cell r="F1125">
            <v>0</v>
          </cell>
          <cell r="G1125">
            <v>0</v>
          </cell>
          <cell r="H1125">
            <v>0</v>
          </cell>
          <cell r="I1125">
            <v>0</v>
          </cell>
        </row>
        <row r="1126">
          <cell r="A1126">
            <v>0</v>
          </cell>
          <cell r="B1126" t="str">
            <v>KS4</v>
          </cell>
          <cell r="C1126" t="str">
            <v>Kỹ sư bậc 4,0/8</v>
          </cell>
          <cell r="D1126" t="str">
            <v>công</v>
          </cell>
          <cell r="E1126">
            <v>0.01</v>
          </cell>
          <cell r="F1126">
            <v>237000</v>
          </cell>
          <cell r="G1126">
            <v>0</v>
          </cell>
          <cell r="H1126">
            <v>2370</v>
          </cell>
          <cell r="I1126">
            <v>0</v>
          </cell>
        </row>
        <row r="1127">
          <cell r="A1127">
            <v>0</v>
          </cell>
          <cell r="B1127" t="str">
            <v>N4507</v>
          </cell>
          <cell r="C1127" t="str">
            <v xml:space="preserve"> Nhân công bậc 5,0/7 - Nhóm 4</v>
          </cell>
          <cell r="D1127" t="str">
            <v>công</v>
          </cell>
          <cell r="E1127">
            <v>0.01</v>
          </cell>
          <cell r="F1127">
            <v>302486.8421052632</v>
          </cell>
          <cell r="G1127">
            <v>0</v>
          </cell>
          <cell r="H1127">
            <v>3024.8684210526321</v>
          </cell>
          <cell r="I1127">
            <v>0</v>
          </cell>
        </row>
        <row r="1128">
          <cell r="A1128">
            <v>0</v>
          </cell>
          <cell r="B1128">
            <v>0</v>
          </cell>
          <cell r="C1128" t="str">
            <v>Máy thi công</v>
          </cell>
          <cell r="D1128">
            <v>0</v>
          </cell>
          <cell r="E1128">
            <v>0</v>
          </cell>
          <cell r="F1128">
            <v>0</v>
          </cell>
          <cell r="G1128">
            <v>0</v>
          </cell>
          <cell r="H1128">
            <v>0</v>
          </cell>
          <cell r="I1128">
            <v>0</v>
          </cell>
        </row>
        <row r="1129">
          <cell r="A1129">
            <v>0</v>
          </cell>
          <cell r="B1129" t="str">
            <v>M203.0025</v>
          </cell>
          <cell r="C1129" t="str">
            <v>Megôm met</v>
          </cell>
          <cell r="D1129" t="str">
            <v>ca</v>
          </cell>
          <cell r="E1129">
            <v>7.0000000000000001E-3</v>
          </cell>
          <cell r="F1129">
            <v>40127.500000000007</v>
          </cell>
          <cell r="G1129">
            <v>0</v>
          </cell>
          <cell r="H1129">
            <v>0</v>
          </cell>
          <cell r="I1129">
            <v>280.89250000000004</v>
          </cell>
        </row>
        <row r="1130">
          <cell r="A1130">
            <v>0</v>
          </cell>
          <cell r="B1130" t="str">
            <v>M203.0007</v>
          </cell>
          <cell r="C1130" t="str">
            <v>Hợp bộ thí nghiệm cao áp</v>
          </cell>
          <cell r="D1130" t="str">
            <v>ca</v>
          </cell>
          <cell r="E1130">
            <v>4.0000000000000001E-3</v>
          </cell>
          <cell r="F1130">
            <v>403740.11363636365</v>
          </cell>
          <cell r="G1130">
            <v>0</v>
          </cell>
          <cell r="H1130">
            <v>0</v>
          </cell>
          <cell r="I1130">
            <v>1614.9604545454547</v>
          </cell>
        </row>
        <row r="1131">
          <cell r="A1131">
            <v>0</v>
          </cell>
          <cell r="B1131" t="str">
            <v>M102.1802</v>
          </cell>
          <cell r="C1131" t="str">
            <v>Xe thang nâng</v>
          </cell>
          <cell r="D1131" t="str">
            <v>ca</v>
          </cell>
          <cell r="E1131">
            <v>0</v>
          </cell>
          <cell r="F1131">
            <v>1819914.2343571431</v>
          </cell>
          <cell r="G1131">
            <v>0</v>
          </cell>
          <cell r="H1131">
            <v>0</v>
          </cell>
          <cell r="I1131">
            <v>0</v>
          </cell>
        </row>
        <row r="1132">
          <cell r="A1132" t="str">
            <v>EB.42020</v>
          </cell>
          <cell r="B1132">
            <v>0</v>
          </cell>
          <cell r="C1132" t="str">
            <v>Thí nghiệm cách điện xuyên, điện áp 220kV</v>
          </cell>
          <cell r="D1132" t="str">
            <v>cái</v>
          </cell>
          <cell r="E1132">
            <v>0</v>
          </cell>
          <cell r="F1132">
            <v>0</v>
          </cell>
          <cell r="G1132">
            <v>10701.787604545454</v>
          </cell>
          <cell r="H1132">
            <v>562251.31578947371</v>
          </cell>
          <cell r="I1132">
            <v>189998.39629488313</v>
          </cell>
        </row>
        <row r="1133">
          <cell r="A1133">
            <v>0</v>
          </cell>
          <cell r="B1133">
            <v>0</v>
          </cell>
          <cell r="C1133" t="str">
            <v>Vật liệu</v>
          </cell>
          <cell r="D1133">
            <v>0</v>
          </cell>
          <cell r="E1133">
            <v>0</v>
          </cell>
          <cell r="F1133">
            <v>0</v>
          </cell>
          <cell r="G1133">
            <v>0</v>
          </cell>
          <cell r="H1133">
            <v>0</v>
          </cell>
          <cell r="I1133">
            <v>0</v>
          </cell>
        </row>
        <row r="1134">
          <cell r="A1134">
            <v>0</v>
          </cell>
          <cell r="B1134" t="str">
            <v>VL221</v>
          </cell>
          <cell r="C1134" t="str">
            <v>Điện năng</v>
          </cell>
          <cell r="D1134" t="str">
            <v>Kwh</v>
          </cell>
          <cell r="E1134">
            <v>1.2150000000000001</v>
          </cell>
          <cell r="F1134">
            <v>1622.01</v>
          </cell>
          <cell r="G1134">
            <v>1970.74215</v>
          </cell>
          <cell r="H1134">
            <v>0</v>
          </cell>
          <cell r="I1134">
            <v>0</v>
          </cell>
        </row>
        <row r="1135">
          <cell r="A1135">
            <v>0</v>
          </cell>
          <cell r="B1135" t="str">
            <v>VL177</v>
          </cell>
          <cell r="C1135" t="str">
            <v>Cồn công nghiệp</v>
          </cell>
          <cell r="D1135" t="str">
            <v>kg</v>
          </cell>
          <cell r="E1135">
            <v>0.20300000000000001</v>
          </cell>
          <cell r="F1135">
            <v>20000</v>
          </cell>
          <cell r="G1135">
            <v>4060.0000000000005</v>
          </cell>
          <cell r="H1135">
            <v>0</v>
          </cell>
          <cell r="I1135">
            <v>0</v>
          </cell>
        </row>
        <row r="1136">
          <cell r="A1136">
            <v>0</v>
          </cell>
          <cell r="B1136" t="str">
            <v>VL198</v>
          </cell>
          <cell r="C1136" t="str">
            <v>Dây điện 2x1,5mm2</v>
          </cell>
          <cell r="D1136" t="str">
            <v>m</v>
          </cell>
          <cell r="E1136">
            <v>0.40500000000000003</v>
          </cell>
          <cell r="F1136">
            <v>9027.2727272727261</v>
          </cell>
          <cell r="G1136">
            <v>3656.0454545454545</v>
          </cell>
          <cell r="H1136">
            <v>0</v>
          </cell>
          <cell r="I1136">
            <v>0</v>
          </cell>
        </row>
        <row r="1137">
          <cell r="A1137">
            <v>0</v>
          </cell>
          <cell r="B1137" t="str">
            <v>VL176</v>
          </cell>
          <cell r="C1137" t="str">
            <v>Giẻ lau</v>
          </cell>
          <cell r="D1137" t="str">
            <v>kg</v>
          </cell>
          <cell r="E1137">
            <v>0.20300000000000001</v>
          </cell>
          <cell r="F1137">
            <v>5000</v>
          </cell>
          <cell r="G1137">
            <v>1015.0000000000001</v>
          </cell>
          <cell r="H1137">
            <v>0</v>
          </cell>
          <cell r="I1137">
            <v>0</v>
          </cell>
        </row>
        <row r="1138">
          <cell r="A1138">
            <v>0</v>
          </cell>
          <cell r="B1138">
            <v>0</v>
          </cell>
          <cell r="C1138" t="str">
            <v>Nhân công</v>
          </cell>
          <cell r="D1138">
            <v>0</v>
          </cell>
          <cell r="E1138">
            <v>0</v>
          </cell>
          <cell r="F1138">
            <v>0</v>
          </cell>
          <cell r="G1138">
            <v>0</v>
          </cell>
          <cell r="H1138">
            <v>0</v>
          </cell>
          <cell r="I1138">
            <v>0</v>
          </cell>
        </row>
        <row r="1139">
          <cell r="A1139">
            <v>0</v>
          </cell>
          <cell r="B1139" t="str">
            <v>KS4</v>
          </cell>
          <cell r="C1139" t="str">
            <v>Kỹ sư bậc 4,0/8</v>
          </cell>
          <cell r="D1139" t="str">
            <v>công</v>
          </cell>
          <cell r="E1139">
            <v>1.53</v>
          </cell>
          <cell r="F1139">
            <v>237000</v>
          </cell>
          <cell r="G1139">
            <v>0</v>
          </cell>
          <cell r="H1139">
            <v>362610</v>
          </cell>
          <cell r="I1139">
            <v>0</v>
          </cell>
        </row>
        <row r="1140">
          <cell r="A1140">
            <v>0</v>
          </cell>
          <cell r="B1140" t="str">
            <v>N4507</v>
          </cell>
          <cell r="C1140" t="str">
            <v xml:space="preserve"> Nhân công bậc 5,0/7 - Nhóm 4</v>
          </cell>
          <cell r="D1140" t="str">
            <v>công</v>
          </cell>
          <cell r="E1140">
            <v>0.66</v>
          </cell>
          <cell r="F1140">
            <v>302486.8421052632</v>
          </cell>
          <cell r="G1140">
            <v>0</v>
          </cell>
          <cell r="H1140">
            <v>199641.31578947374</v>
          </cell>
          <cell r="I1140">
            <v>0</v>
          </cell>
        </row>
        <row r="1141">
          <cell r="A1141">
            <v>0</v>
          </cell>
          <cell r="B1141">
            <v>0</v>
          </cell>
          <cell r="C1141" t="str">
            <v>Máy thi công</v>
          </cell>
          <cell r="D1141">
            <v>0</v>
          </cell>
          <cell r="E1141">
            <v>0</v>
          </cell>
          <cell r="F1141">
            <v>0</v>
          </cell>
          <cell r="G1141">
            <v>0</v>
          </cell>
          <cell r="H1141">
            <v>0</v>
          </cell>
          <cell r="I1141">
            <v>0</v>
          </cell>
        </row>
        <row r="1142">
          <cell r="A1142">
            <v>0</v>
          </cell>
          <cell r="B1142" t="str">
            <v>M203.0025</v>
          </cell>
          <cell r="C1142" t="str">
            <v>Megôm met</v>
          </cell>
          <cell r="D1142" t="str">
            <v>ca</v>
          </cell>
          <cell r="E1142">
            <v>8.4000000000000005E-2</v>
          </cell>
          <cell r="F1142">
            <v>40127.500000000007</v>
          </cell>
          <cell r="G1142">
            <v>0</v>
          </cell>
          <cell r="H1142">
            <v>0</v>
          </cell>
          <cell r="I1142">
            <v>3370.7100000000009</v>
          </cell>
        </row>
        <row r="1143">
          <cell r="A1143">
            <v>0</v>
          </cell>
          <cell r="B1143" t="str">
            <v>M203.0004</v>
          </cell>
          <cell r="C1143" t="str">
            <v>Hợp bộ đo Tg</v>
          </cell>
          <cell r="D1143" t="str">
            <v>ca</v>
          </cell>
          <cell r="E1143">
            <v>0.107</v>
          </cell>
          <cell r="F1143">
            <v>796170.45454545447</v>
          </cell>
          <cell r="G1143">
            <v>0</v>
          </cell>
          <cell r="H1143">
            <v>0</v>
          </cell>
          <cell r="I1143">
            <v>85190.238636363632</v>
          </cell>
        </row>
        <row r="1144">
          <cell r="A1144">
            <v>0</v>
          </cell>
          <cell r="B1144" t="str">
            <v>M203.0007</v>
          </cell>
          <cell r="C1144" t="str">
            <v>Hợp bộ thí nghiệm cao áp</v>
          </cell>
          <cell r="D1144" t="str">
            <v>ca</v>
          </cell>
          <cell r="E1144">
            <v>0.107</v>
          </cell>
          <cell r="F1144">
            <v>403740.11363636365</v>
          </cell>
          <cell r="G1144">
            <v>0</v>
          </cell>
          <cell r="H1144">
            <v>0</v>
          </cell>
          <cell r="I1144">
            <v>43200.192159090911</v>
          </cell>
        </row>
        <row r="1145">
          <cell r="A1145">
            <v>0</v>
          </cell>
          <cell r="B1145" t="str">
            <v>M102.1802</v>
          </cell>
          <cell r="C1145" t="str">
            <v>Xe thang nâng</v>
          </cell>
          <cell r="D1145" t="str">
            <v>ca</v>
          </cell>
          <cell r="E1145">
            <v>3.2000000000000001E-2</v>
          </cell>
          <cell r="F1145">
            <v>1819914.2343571431</v>
          </cell>
          <cell r="G1145">
            <v>0</v>
          </cell>
          <cell r="H1145">
            <v>0</v>
          </cell>
          <cell r="I1145">
            <v>58237.255499428582</v>
          </cell>
        </row>
        <row r="1146">
          <cell r="A1146" t="str">
            <v>EB.42030</v>
          </cell>
          <cell r="B1146">
            <v>0</v>
          </cell>
          <cell r="C1146" t="str">
            <v>Thí nghiệm cách điện xuyên, điện áp 66-110kV</v>
          </cell>
          <cell r="D1146" t="str">
            <v>cái</v>
          </cell>
          <cell r="E1146">
            <v>0</v>
          </cell>
          <cell r="F1146">
            <v>0</v>
          </cell>
          <cell r="G1146">
            <v>9619.433485454545</v>
          </cell>
          <cell r="H1146">
            <v>446433.15789473685</v>
          </cell>
          <cell r="I1146">
            <v>153198.62145692206</v>
          </cell>
        </row>
        <row r="1147">
          <cell r="A1147">
            <v>0</v>
          </cell>
          <cell r="B1147">
            <v>0</v>
          </cell>
          <cell r="C1147" t="str">
            <v>Vật liệu</v>
          </cell>
          <cell r="D1147">
            <v>0</v>
          </cell>
          <cell r="E1147">
            <v>0</v>
          </cell>
          <cell r="F1147">
            <v>0</v>
          </cell>
          <cell r="G1147">
            <v>0</v>
          </cell>
          <cell r="H1147">
            <v>0</v>
          </cell>
          <cell r="I1147">
            <v>0</v>
          </cell>
        </row>
        <row r="1148">
          <cell r="A1148">
            <v>0</v>
          </cell>
          <cell r="B1148" t="str">
            <v>VL221</v>
          </cell>
          <cell r="C1148" t="str">
            <v>Điện năng</v>
          </cell>
          <cell r="D1148" t="str">
            <v>Kwh</v>
          </cell>
          <cell r="E1148">
            <v>1.0940000000000001</v>
          </cell>
          <cell r="F1148">
            <v>1622.01</v>
          </cell>
          <cell r="G1148">
            <v>1774.4789400000002</v>
          </cell>
          <cell r="H1148">
            <v>0</v>
          </cell>
          <cell r="I1148">
            <v>0</v>
          </cell>
        </row>
        <row r="1149">
          <cell r="A1149">
            <v>0</v>
          </cell>
          <cell r="B1149" t="str">
            <v>VL177</v>
          </cell>
          <cell r="C1149" t="str">
            <v>Cồn công nghiệp</v>
          </cell>
          <cell r="D1149" t="str">
            <v>kg</v>
          </cell>
          <cell r="E1149">
            <v>0.182</v>
          </cell>
          <cell r="F1149">
            <v>20000</v>
          </cell>
          <cell r="G1149">
            <v>3640</v>
          </cell>
          <cell r="H1149">
            <v>0</v>
          </cell>
          <cell r="I1149">
            <v>0</v>
          </cell>
        </row>
        <row r="1150">
          <cell r="A1150">
            <v>0</v>
          </cell>
          <cell r="B1150" t="str">
            <v>VL198</v>
          </cell>
          <cell r="C1150" t="str">
            <v>Dây điện 2x1,5mm2</v>
          </cell>
          <cell r="D1150" t="str">
            <v>m</v>
          </cell>
          <cell r="E1150">
            <v>0.36499999999999999</v>
          </cell>
          <cell r="F1150">
            <v>9027.2727272727261</v>
          </cell>
          <cell r="G1150">
            <v>3294.954545454545</v>
          </cell>
          <cell r="H1150">
            <v>0</v>
          </cell>
          <cell r="I1150">
            <v>0</v>
          </cell>
        </row>
        <row r="1151">
          <cell r="A1151">
            <v>0</v>
          </cell>
          <cell r="B1151" t="str">
            <v>VL176</v>
          </cell>
          <cell r="C1151" t="str">
            <v>Giẻ lau</v>
          </cell>
          <cell r="D1151" t="str">
            <v>kg</v>
          </cell>
          <cell r="E1151">
            <v>0.182</v>
          </cell>
          <cell r="F1151">
            <v>5000</v>
          </cell>
          <cell r="G1151">
            <v>910</v>
          </cell>
          <cell r="H1151">
            <v>0</v>
          </cell>
          <cell r="I1151">
            <v>0</v>
          </cell>
        </row>
        <row r="1152">
          <cell r="A1152">
            <v>0</v>
          </cell>
          <cell r="B1152">
            <v>0</v>
          </cell>
          <cell r="C1152" t="str">
            <v>Nhân công</v>
          </cell>
          <cell r="D1152">
            <v>0</v>
          </cell>
          <cell r="E1152">
            <v>0</v>
          </cell>
          <cell r="F1152">
            <v>0</v>
          </cell>
          <cell r="G1152">
            <v>0</v>
          </cell>
          <cell r="H1152">
            <v>0</v>
          </cell>
          <cell r="I1152">
            <v>0</v>
          </cell>
        </row>
        <row r="1153">
          <cell r="A1153">
            <v>0</v>
          </cell>
          <cell r="B1153" t="str">
            <v>KS4</v>
          </cell>
          <cell r="C1153" t="str">
            <v>Kỹ sư bậc 4,0/8</v>
          </cell>
          <cell r="D1153" t="str">
            <v>công</v>
          </cell>
          <cell r="E1153">
            <v>1.22</v>
          </cell>
          <cell r="F1153">
            <v>237000</v>
          </cell>
          <cell r="G1153">
            <v>0</v>
          </cell>
          <cell r="H1153">
            <v>289140</v>
          </cell>
          <cell r="I1153">
            <v>0</v>
          </cell>
        </row>
        <row r="1154">
          <cell r="A1154">
            <v>0</v>
          </cell>
          <cell r="B1154" t="str">
            <v>N4507</v>
          </cell>
          <cell r="C1154" t="str">
            <v xml:space="preserve"> Nhân công bậc 5,0/7 - Nhóm 4</v>
          </cell>
          <cell r="D1154" t="str">
            <v>công</v>
          </cell>
          <cell r="E1154">
            <v>0.52</v>
          </cell>
          <cell r="F1154">
            <v>302486.8421052632</v>
          </cell>
          <cell r="G1154">
            <v>0</v>
          </cell>
          <cell r="H1154">
            <v>157293.15789473688</v>
          </cell>
          <cell r="I1154">
            <v>0</v>
          </cell>
        </row>
        <row r="1155">
          <cell r="A1155">
            <v>0</v>
          </cell>
          <cell r="B1155">
            <v>0</v>
          </cell>
          <cell r="C1155" t="str">
            <v>Máy thi công</v>
          </cell>
          <cell r="D1155">
            <v>0</v>
          </cell>
          <cell r="E1155">
            <v>0</v>
          </cell>
          <cell r="F1155">
            <v>0</v>
          </cell>
          <cell r="G1155">
            <v>0</v>
          </cell>
          <cell r="H1155">
            <v>0</v>
          </cell>
          <cell r="I1155">
            <v>0</v>
          </cell>
        </row>
        <row r="1156">
          <cell r="A1156">
            <v>0</v>
          </cell>
          <cell r="B1156" t="str">
            <v>M203.0025</v>
          </cell>
          <cell r="C1156" t="str">
            <v>Megôm met</v>
          </cell>
          <cell r="D1156" t="str">
            <v>ca</v>
          </cell>
          <cell r="E1156">
            <v>6.7000000000000004E-2</v>
          </cell>
          <cell r="F1156">
            <v>40127.500000000007</v>
          </cell>
          <cell r="G1156">
            <v>0</v>
          </cell>
          <cell r="H1156">
            <v>0</v>
          </cell>
          <cell r="I1156">
            <v>2688.5425000000005</v>
          </cell>
        </row>
        <row r="1157">
          <cell r="A1157">
            <v>0</v>
          </cell>
          <cell r="B1157" t="str">
            <v>M203.0004</v>
          </cell>
          <cell r="C1157" t="str">
            <v>Hợp bộ đo Tg</v>
          </cell>
          <cell r="D1157" t="str">
            <v>ca</v>
          </cell>
          <cell r="E1157">
            <v>8.5999999999999993E-2</v>
          </cell>
          <cell r="F1157">
            <v>796170.45454545447</v>
          </cell>
          <cell r="G1157">
            <v>0</v>
          </cell>
          <cell r="H1157">
            <v>0</v>
          </cell>
          <cell r="I1157">
            <v>68470.659090909074</v>
          </cell>
        </row>
        <row r="1158">
          <cell r="A1158">
            <v>0</v>
          </cell>
          <cell r="B1158" t="str">
            <v>M203.0007</v>
          </cell>
          <cell r="C1158" t="str">
            <v>Hợp bộ thí nghiệm cao áp</v>
          </cell>
          <cell r="D1158" t="str">
            <v>ca</v>
          </cell>
          <cell r="E1158">
            <v>8.5999999999999993E-2</v>
          </cell>
          <cell r="F1158">
            <v>403740.11363636365</v>
          </cell>
          <cell r="G1158">
            <v>0</v>
          </cell>
          <cell r="H1158">
            <v>0</v>
          </cell>
          <cell r="I1158">
            <v>34721.649772727273</v>
          </cell>
        </row>
        <row r="1159">
          <cell r="A1159">
            <v>0</v>
          </cell>
          <cell r="B1159" t="str">
            <v>M102.1802</v>
          </cell>
          <cell r="C1159" t="str">
            <v>Xe thang nâng</v>
          </cell>
          <cell r="D1159" t="str">
            <v>ca</v>
          </cell>
          <cell r="E1159">
            <v>2.5999999999999999E-2</v>
          </cell>
          <cell r="F1159">
            <v>1819914.2343571431</v>
          </cell>
          <cell r="G1159">
            <v>0</v>
          </cell>
          <cell r="H1159">
            <v>0</v>
          </cell>
          <cell r="I1159">
            <v>47317.770093285719</v>
          </cell>
        </row>
        <row r="1160">
          <cell r="A1160" t="str">
            <v>EB.42040</v>
          </cell>
          <cell r="B1160">
            <v>0</v>
          </cell>
          <cell r="C1160" t="str">
            <v>Thí nghiệm cách điện xuyên, điện áp 22-35kV</v>
          </cell>
          <cell r="D1160" t="str">
            <v>cái</v>
          </cell>
          <cell r="E1160">
            <v>0</v>
          </cell>
          <cell r="F1160">
            <v>0</v>
          </cell>
          <cell r="G1160">
            <v>5950.993113636363</v>
          </cell>
          <cell r="H1160">
            <v>359304.47368421056</v>
          </cell>
          <cell r="I1160">
            <v>83760.803636363635</v>
          </cell>
        </row>
        <row r="1161">
          <cell r="A1161">
            <v>0</v>
          </cell>
          <cell r="B1161">
            <v>0</v>
          </cell>
          <cell r="C1161" t="str">
            <v>Vật liệu</v>
          </cell>
          <cell r="D1161">
            <v>0</v>
          </cell>
          <cell r="E1161">
            <v>0</v>
          </cell>
          <cell r="F1161">
            <v>0</v>
          </cell>
          <cell r="G1161">
            <v>0</v>
          </cell>
          <cell r="H1161">
            <v>0</v>
          </cell>
          <cell r="I1161">
            <v>0</v>
          </cell>
        </row>
        <row r="1162">
          <cell r="A1162">
            <v>0</v>
          </cell>
          <cell r="B1162" t="str">
            <v>VL221</v>
          </cell>
          <cell r="C1162" t="str">
            <v>Điện năng</v>
          </cell>
          <cell r="D1162" t="str">
            <v>Kwh</v>
          </cell>
          <cell r="E1162">
            <v>0.67500000000000004</v>
          </cell>
          <cell r="F1162">
            <v>1622.01</v>
          </cell>
          <cell r="G1162">
            <v>1094.8567500000001</v>
          </cell>
          <cell r="H1162">
            <v>0</v>
          </cell>
          <cell r="I1162">
            <v>0</v>
          </cell>
        </row>
        <row r="1163">
          <cell r="A1163">
            <v>0</v>
          </cell>
          <cell r="B1163" t="str">
            <v>VL177</v>
          </cell>
          <cell r="C1163" t="str">
            <v>Cồn công nghiệp</v>
          </cell>
          <cell r="D1163" t="str">
            <v>kg</v>
          </cell>
          <cell r="E1163">
            <v>0.113</v>
          </cell>
          <cell r="F1163">
            <v>20000</v>
          </cell>
          <cell r="G1163">
            <v>2260</v>
          </cell>
          <cell r="H1163">
            <v>0</v>
          </cell>
          <cell r="I1163">
            <v>0</v>
          </cell>
        </row>
        <row r="1164">
          <cell r="A1164">
            <v>0</v>
          </cell>
          <cell r="B1164" t="str">
            <v>VL198</v>
          </cell>
          <cell r="C1164" t="str">
            <v>Dây điện 2x1,5mm2</v>
          </cell>
          <cell r="D1164" t="str">
            <v>m</v>
          </cell>
          <cell r="E1164">
            <v>0.22500000000000001</v>
          </cell>
          <cell r="F1164">
            <v>9027.2727272727261</v>
          </cell>
          <cell r="G1164">
            <v>2031.1363636363635</v>
          </cell>
          <cell r="H1164">
            <v>0</v>
          </cell>
          <cell r="I1164">
            <v>0</v>
          </cell>
        </row>
        <row r="1165">
          <cell r="A1165">
            <v>0</v>
          </cell>
          <cell r="B1165" t="str">
            <v>VL176</v>
          </cell>
          <cell r="C1165" t="str">
            <v>Giẻ lau</v>
          </cell>
          <cell r="D1165" t="str">
            <v>kg</v>
          </cell>
          <cell r="E1165">
            <v>0.113</v>
          </cell>
          <cell r="F1165">
            <v>5000</v>
          </cell>
          <cell r="G1165">
            <v>565</v>
          </cell>
          <cell r="H1165">
            <v>0</v>
          </cell>
          <cell r="I1165">
            <v>0</v>
          </cell>
        </row>
        <row r="1166">
          <cell r="A1166">
            <v>0</v>
          </cell>
          <cell r="B1166">
            <v>0</v>
          </cell>
          <cell r="C1166" t="str">
            <v>Nhân công</v>
          </cell>
          <cell r="D1166">
            <v>0</v>
          </cell>
          <cell r="E1166">
            <v>0</v>
          </cell>
          <cell r="F1166">
            <v>0</v>
          </cell>
          <cell r="G1166">
            <v>0</v>
          </cell>
          <cell r="H1166">
            <v>0</v>
          </cell>
          <cell r="I1166">
            <v>0</v>
          </cell>
        </row>
        <row r="1167">
          <cell r="A1167">
            <v>0</v>
          </cell>
          <cell r="B1167" t="str">
            <v>KS4</v>
          </cell>
          <cell r="C1167" t="str">
            <v>Kỹ sư bậc 4,0/8</v>
          </cell>
          <cell r="D1167" t="str">
            <v>công</v>
          </cell>
          <cell r="E1167">
            <v>0.98</v>
          </cell>
          <cell r="F1167">
            <v>237000</v>
          </cell>
          <cell r="G1167">
            <v>0</v>
          </cell>
          <cell r="H1167">
            <v>232260</v>
          </cell>
          <cell r="I1167">
            <v>0</v>
          </cell>
        </row>
        <row r="1168">
          <cell r="A1168">
            <v>0</v>
          </cell>
          <cell r="B1168" t="str">
            <v>N4507</v>
          </cell>
          <cell r="C1168" t="str">
            <v xml:space="preserve"> Nhân công bậc 5,0/7 - Nhóm 4</v>
          </cell>
          <cell r="D1168" t="str">
            <v>công</v>
          </cell>
          <cell r="E1168">
            <v>0.42</v>
          </cell>
          <cell r="F1168">
            <v>302486.8421052632</v>
          </cell>
          <cell r="G1168">
            <v>0</v>
          </cell>
          <cell r="H1168">
            <v>127044.47368421053</v>
          </cell>
          <cell r="I1168">
            <v>0</v>
          </cell>
        </row>
        <row r="1169">
          <cell r="A1169">
            <v>0</v>
          </cell>
          <cell r="B1169">
            <v>0</v>
          </cell>
          <cell r="C1169" t="str">
            <v>Máy thi công</v>
          </cell>
          <cell r="D1169">
            <v>0</v>
          </cell>
          <cell r="E1169">
            <v>0</v>
          </cell>
          <cell r="F1169">
            <v>0</v>
          </cell>
          <cell r="G1169">
            <v>0</v>
          </cell>
          <cell r="H1169">
            <v>0</v>
          </cell>
          <cell r="I1169">
            <v>0</v>
          </cell>
        </row>
        <row r="1170">
          <cell r="A1170">
            <v>0</v>
          </cell>
          <cell r="B1170" t="str">
            <v>M203.0025</v>
          </cell>
          <cell r="C1170" t="str">
            <v>Megôm met</v>
          </cell>
          <cell r="D1170" t="str">
            <v>ca</v>
          </cell>
          <cell r="E1170">
            <v>5.3999999999999999E-2</v>
          </cell>
          <cell r="F1170">
            <v>40127.500000000007</v>
          </cell>
          <cell r="G1170">
            <v>0</v>
          </cell>
          <cell r="H1170">
            <v>0</v>
          </cell>
          <cell r="I1170">
            <v>2166.8850000000002</v>
          </cell>
        </row>
        <row r="1171">
          <cell r="A1171">
            <v>0</v>
          </cell>
          <cell r="B1171" t="str">
            <v>M203.0004</v>
          </cell>
          <cell r="C1171" t="str">
            <v>Hợp bộ đo Tg</v>
          </cell>
          <cell r="D1171" t="str">
            <v>ca</v>
          </cell>
          <cell r="E1171">
            <v>6.8000000000000005E-2</v>
          </cell>
          <cell r="F1171">
            <v>796170.45454545447</v>
          </cell>
          <cell r="G1171">
            <v>0</v>
          </cell>
          <cell r="H1171">
            <v>0</v>
          </cell>
          <cell r="I1171">
            <v>54139.590909090904</v>
          </cell>
        </row>
        <row r="1172">
          <cell r="A1172">
            <v>0</v>
          </cell>
          <cell r="B1172" t="str">
            <v>M203.0007</v>
          </cell>
          <cell r="C1172" t="str">
            <v>Hợp bộ thí nghiệm cao áp</v>
          </cell>
          <cell r="D1172" t="str">
            <v>ca</v>
          </cell>
          <cell r="E1172">
            <v>6.8000000000000005E-2</v>
          </cell>
          <cell r="F1172">
            <v>403740.11363636365</v>
          </cell>
          <cell r="G1172">
            <v>0</v>
          </cell>
          <cell r="H1172">
            <v>0</v>
          </cell>
          <cell r="I1172">
            <v>27454.327727272728</v>
          </cell>
        </row>
        <row r="1173">
          <cell r="A1173">
            <v>0</v>
          </cell>
          <cell r="B1173" t="str">
            <v>M102.1802</v>
          </cell>
          <cell r="C1173" t="str">
            <v>Xe thang nâng</v>
          </cell>
          <cell r="D1173" t="str">
            <v>ca</v>
          </cell>
          <cell r="E1173">
            <v>0</v>
          </cell>
          <cell r="F1173">
            <v>1819914.2343571431</v>
          </cell>
          <cell r="G1173">
            <v>0</v>
          </cell>
          <cell r="H1173">
            <v>0</v>
          </cell>
          <cell r="I1173">
            <v>0</v>
          </cell>
        </row>
        <row r="1174">
          <cell r="A1174" t="str">
            <v>EB.50010</v>
          </cell>
          <cell r="B1174">
            <v>0</v>
          </cell>
          <cell r="C1174" t="str">
            <v>Thí nghiệm tụ điện, điện áp &gt;1kV</v>
          </cell>
          <cell r="D1174" t="str">
            <v>tụ</v>
          </cell>
          <cell r="E1174">
            <v>0</v>
          </cell>
          <cell r="F1174">
            <v>0</v>
          </cell>
          <cell r="G1174">
            <v>2375.3972454545456</v>
          </cell>
          <cell r="H1174">
            <v>143852.76315789475</v>
          </cell>
          <cell r="I1174">
            <v>33280.390340909093</v>
          </cell>
        </row>
        <row r="1175">
          <cell r="A1175">
            <v>0</v>
          </cell>
          <cell r="B1175">
            <v>0</v>
          </cell>
          <cell r="C1175" t="str">
            <v>Vật liệu</v>
          </cell>
          <cell r="D1175">
            <v>0</v>
          </cell>
          <cell r="E1175">
            <v>0</v>
          </cell>
          <cell r="F1175">
            <v>0</v>
          </cell>
          <cell r="G1175">
            <v>0</v>
          </cell>
          <cell r="H1175">
            <v>0</v>
          </cell>
          <cell r="I1175">
            <v>0</v>
          </cell>
        </row>
        <row r="1176">
          <cell r="A1176">
            <v>0</v>
          </cell>
          <cell r="B1176" t="str">
            <v>VL221</v>
          </cell>
          <cell r="C1176" t="str">
            <v>Điện năng</v>
          </cell>
          <cell r="D1176" t="str">
            <v>Kwh</v>
          </cell>
          <cell r="E1176">
            <v>0.27</v>
          </cell>
          <cell r="F1176">
            <v>1622.01</v>
          </cell>
          <cell r="G1176">
            <v>437.9427</v>
          </cell>
          <cell r="H1176">
            <v>0</v>
          </cell>
          <cell r="I1176">
            <v>0</v>
          </cell>
        </row>
        <row r="1177">
          <cell r="A1177">
            <v>0</v>
          </cell>
          <cell r="B1177" t="str">
            <v>VL177</v>
          </cell>
          <cell r="C1177" t="str">
            <v>Cồn công nghiệp</v>
          </cell>
          <cell r="D1177" t="str">
            <v>kg</v>
          </cell>
          <cell r="E1177">
            <v>4.4999999999999998E-2</v>
          </cell>
          <cell r="F1177">
            <v>20000</v>
          </cell>
          <cell r="G1177">
            <v>900</v>
          </cell>
          <cell r="H1177">
            <v>0</v>
          </cell>
          <cell r="I1177">
            <v>0</v>
          </cell>
        </row>
        <row r="1178">
          <cell r="A1178">
            <v>0</v>
          </cell>
          <cell r="B1178" t="str">
            <v>VL198</v>
          </cell>
          <cell r="C1178" t="str">
            <v>Dây điện 2x1,5mm2</v>
          </cell>
          <cell r="D1178" t="str">
            <v>m</v>
          </cell>
          <cell r="E1178">
            <v>0.09</v>
          </cell>
          <cell r="F1178">
            <v>9027.2727272727261</v>
          </cell>
          <cell r="G1178">
            <v>812.45454545454527</v>
          </cell>
          <cell r="H1178">
            <v>0</v>
          </cell>
          <cell r="I1178">
            <v>0</v>
          </cell>
        </row>
        <row r="1179">
          <cell r="A1179">
            <v>0</v>
          </cell>
          <cell r="B1179" t="str">
            <v>VL176</v>
          </cell>
          <cell r="C1179" t="str">
            <v>Giẻ lau</v>
          </cell>
          <cell r="D1179" t="str">
            <v>kg</v>
          </cell>
          <cell r="E1179">
            <v>4.4999999999999998E-2</v>
          </cell>
          <cell r="F1179">
            <v>5000</v>
          </cell>
          <cell r="G1179">
            <v>225</v>
          </cell>
          <cell r="H1179">
            <v>0</v>
          </cell>
          <cell r="I1179">
            <v>0</v>
          </cell>
        </row>
        <row r="1180">
          <cell r="A1180">
            <v>0</v>
          </cell>
          <cell r="B1180">
            <v>0</v>
          </cell>
          <cell r="C1180" t="str">
            <v>Nhân công</v>
          </cell>
          <cell r="D1180">
            <v>0</v>
          </cell>
          <cell r="E1180">
            <v>0</v>
          </cell>
          <cell r="F1180">
            <v>0</v>
          </cell>
          <cell r="G1180">
            <v>0</v>
          </cell>
          <cell r="H1180">
            <v>0</v>
          </cell>
          <cell r="I1180">
            <v>0</v>
          </cell>
        </row>
        <row r="1181">
          <cell r="A1181">
            <v>0</v>
          </cell>
          <cell r="B1181" t="str">
            <v>KS4</v>
          </cell>
          <cell r="C1181" t="str">
            <v>Kỹ sư bậc 4,0/8</v>
          </cell>
          <cell r="D1181" t="str">
            <v>công</v>
          </cell>
          <cell r="E1181">
            <v>0.39</v>
          </cell>
          <cell r="F1181">
            <v>237000</v>
          </cell>
          <cell r="G1181">
            <v>0</v>
          </cell>
          <cell r="H1181">
            <v>92430</v>
          </cell>
          <cell r="I1181">
            <v>0</v>
          </cell>
        </row>
        <row r="1182">
          <cell r="A1182">
            <v>0</v>
          </cell>
          <cell r="B1182" t="str">
            <v>N4507</v>
          </cell>
          <cell r="C1182" t="str">
            <v xml:space="preserve"> Nhân công bậc 5,0/7 - Nhóm 4</v>
          </cell>
          <cell r="D1182" t="str">
            <v>công</v>
          </cell>
          <cell r="E1182">
            <v>0.17</v>
          </cell>
          <cell r="F1182">
            <v>302486.8421052632</v>
          </cell>
          <cell r="G1182">
            <v>0</v>
          </cell>
          <cell r="H1182">
            <v>51422.763157894748</v>
          </cell>
          <cell r="I1182">
            <v>0</v>
          </cell>
        </row>
        <row r="1183">
          <cell r="A1183">
            <v>0</v>
          </cell>
          <cell r="B1183">
            <v>0</v>
          </cell>
          <cell r="C1183" t="str">
            <v>Máy thi công</v>
          </cell>
          <cell r="D1183">
            <v>0</v>
          </cell>
          <cell r="E1183">
            <v>0</v>
          </cell>
          <cell r="F1183">
            <v>0</v>
          </cell>
          <cell r="G1183">
            <v>0</v>
          </cell>
          <cell r="H1183">
            <v>0</v>
          </cell>
          <cell r="I1183">
            <v>0</v>
          </cell>
        </row>
        <row r="1184">
          <cell r="A1184">
            <v>0</v>
          </cell>
          <cell r="B1184" t="str">
            <v>M203.0025</v>
          </cell>
          <cell r="C1184" t="str">
            <v>Megôm met</v>
          </cell>
          <cell r="D1184" t="str">
            <v>ca</v>
          </cell>
          <cell r="E1184">
            <v>2.1999999999999999E-2</v>
          </cell>
          <cell r="F1184">
            <v>40127.500000000007</v>
          </cell>
          <cell r="G1184">
            <v>0</v>
          </cell>
          <cell r="H1184">
            <v>0</v>
          </cell>
          <cell r="I1184">
            <v>882.80500000000006</v>
          </cell>
        </row>
        <row r="1185">
          <cell r="A1185">
            <v>0</v>
          </cell>
          <cell r="B1185" t="str">
            <v>M203.0004</v>
          </cell>
          <cell r="C1185" t="str">
            <v>Hợp bộ đo Tg</v>
          </cell>
          <cell r="D1185" t="str">
            <v>ca</v>
          </cell>
          <cell r="E1185">
            <v>2.7E-2</v>
          </cell>
          <cell r="F1185">
            <v>796170.45454545447</v>
          </cell>
          <cell r="G1185">
            <v>0</v>
          </cell>
          <cell r="H1185">
            <v>0</v>
          </cell>
          <cell r="I1185">
            <v>21496.602272727272</v>
          </cell>
        </row>
        <row r="1186">
          <cell r="A1186">
            <v>0</v>
          </cell>
          <cell r="B1186" t="str">
            <v>M203.0007</v>
          </cell>
          <cell r="C1186" t="str">
            <v>Hợp bộ thí nghiệm cao áp</v>
          </cell>
          <cell r="D1186" t="str">
            <v>ca</v>
          </cell>
          <cell r="E1186">
            <v>2.7E-2</v>
          </cell>
          <cell r="F1186">
            <v>403740.11363636365</v>
          </cell>
          <cell r="G1186">
            <v>0</v>
          </cell>
          <cell r="H1186">
            <v>0</v>
          </cell>
          <cell r="I1186">
            <v>10900.983068181818</v>
          </cell>
        </row>
        <row r="1187">
          <cell r="A1187" t="str">
            <v>EB.50020</v>
          </cell>
          <cell r="B1187">
            <v>0</v>
          </cell>
          <cell r="C1187" t="str">
            <v>Thí nghiệm tụ điện, điện áp &lt;=1kV</v>
          </cell>
          <cell r="D1187" t="str">
            <v>tụ</v>
          </cell>
          <cell r="E1187">
            <v>0</v>
          </cell>
          <cell r="F1187">
            <v>0</v>
          </cell>
          <cell r="G1187">
            <v>1900.3177963636363</v>
          </cell>
          <cell r="H1187">
            <v>112793.28947368421</v>
          </cell>
          <cell r="I1187">
            <v>27080.199999999997</v>
          </cell>
        </row>
        <row r="1188">
          <cell r="A1188">
            <v>0</v>
          </cell>
          <cell r="B1188">
            <v>0</v>
          </cell>
          <cell r="C1188" t="str">
            <v>Vật liệu</v>
          </cell>
          <cell r="D1188">
            <v>0</v>
          </cell>
          <cell r="E1188">
            <v>0</v>
          </cell>
          <cell r="F1188">
            <v>0</v>
          </cell>
          <cell r="G1188">
            <v>0</v>
          </cell>
          <cell r="H1188">
            <v>0</v>
          </cell>
          <cell r="I1188">
            <v>0</v>
          </cell>
        </row>
        <row r="1189">
          <cell r="A1189">
            <v>0</v>
          </cell>
          <cell r="B1189" t="str">
            <v>VL221</v>
          </cell>
          <cell r="C1189" t="str">
            <v>Điện năng</v>
          </cell>
          <cell r="D1189" t="str">
            <v>Kwh</v>
          </cell>
          <cell r="E1189">
            <v>0.216</v>
          </cell>
          <cell r="F1189">
            <v>1622.01</v>
          </cell>
          <cell r="G1189">
            <v>350.35415999999998</v>
          </cell>
          <cell r="H1189">
            <v>0</v>
          </cell>
          <cell r="I1189">
            <v>0</v>
          </cell>
        </row>
        <row r="1190">
          <cell r="A1190">
            <v>0</v>
          </cell>
          <cell r="B1190" t="str">
            <v>VL177</v>
          </cell>
          <cell r="C1190" t="str">
            <v>Cồn công nghiệp</v>
          </cell>
          <cell r="D1190" t="str">
            <v>kg</v>
          </cell>
          <cell r="E1190">
            <v>3.5999999999999997E-2</v>
          </cell>
          <cell r="F1190">
            <v>20000</v>
          </cell>
          <cell r="G1190">
            <v>720</v>
          </cell>
          <cell r="H1190">
            <v>0</v>
          </cell>
          <cell r="I1190">
            <v>0</v>
          </cell>
        </row>
        <row r="1191">
          <cell r="A1191">
            <v>0</v>
          </cell>
          <cell r="B1191" t="str">
            <v>VL198</v>
          </cell>
          <cell r="C1191" t="str">
            <v>Dây điện 2x1,5mm2</v>
          </cell>
          <cell r="D1191" t="str">
            <v>m</v>
          </cell>
          <cell r="E1191">
            <v>7.1999999999999995E-2</v>
          </cell>
          <cell r="F1191">
            <v>9027.2727272727261</v>
          </cell>
          <cell r="G1191">
            <v>649.96363636363628</v>
          </cell>
          <cell r="H1191">
            <v>0</v>
          </cell>
          <cell r="I1191">
            <v>0</v>
          </cell>
        </row>
        <row r="1192">
          <cell r="A1192">
            <v>0</v>
          </cell>
          <cell r="B1192" t="str">
            <v>VL176</v>
          </cell>
          <cell r="C1192" t="str">
            <v>Giẻ lau</v>
          </cell>
          <cell r="D1192" t="str">
            <v>kg</v>
          </cell>
          <cell r="E1192">
            <v>3.5999999999999997E-2</v>
          </cell>
          <cell r="F1192">
            <v>5000</v>
          </cell>
          <cell r="G1192">
            <v>180</v>
          </cell>
          <cell r="H1192">
            <v>0</v>
          </cell>
          <cell r="I1192">
            <v>0</v>
          </cell>
        </row>
        <row r="1193">
          <cell r="A1193">
            <v>0</v>
          </cell>
          <cell r="B1193">
            <v>0</v>
          </cell>
          <cell r="C1193" t="str">
            <v>Nhân công</v>
          </cell>
          <cell r="D1193">
            <v>0</v>
          </cell>
          <cell r="E1193">
            <v>0</v>
          </cell>
          <cell r="F1193">
            <v>0</v>
          </cell>
          <cell r="G1193">
            <v>0</v>
          </cell>
          <cell r="H1193">
            <v>0</v>
          </cell>
          <cell r="I1193">
            <v>0</v>
          </cell>
        </row>
        <row r="1194">
          <cell r="A1194">
            <v>0</v>
          </cell>
          <cell r="B1194" t="str">
            <v>KS4</v>
          </cell>
          <cell r="C1194" t="str">
            <v>Kỹ sư bậc 4,0/8</v>
          </cell>
          <cell r="D1194" t="str">
            <v>công</v>
          </cell>
          <cell r="E1194">
            <v>0.31</v>
          </cell>
          <cell r="F1194">
            <v>237000</v>
          </cell>
          <cell r="G1194">
            <v>0</v>
          </cell>
          <cell r="H1194">
            <v>73470</v>
          </cell>
          <cell r="I1194">
            <v>0</v>
          </cell>
        </row>
        <row r="1195">
          <cell r="A1195">
            <v>0</v>
          </cell>
          <cell r="B1195" t="str">
            <v>N4507</v>
          </cell>
          <cell r="C1195" t="str">
            <v xml:space="preserve"> Nhân công bậc 5,0/7 - Nhóm 4</v>
          </cell>
          <cell r="D1195" t="str">
            <v>công</v>
          </cell>
          <cell r="E1195">
            <v>0.13</v>
          </cell>
          <cell r="F1195">
            <v>302486.8421052632</v>
          </cell>
          <cell r="G1195">
            <v>0</v>
          </cell>
          <cell r="H1195">
            <v>39323.289473684221</v>
          </cell>
          <cell r="I1195">
            <v>0</v>
          </cell>
        </row>
        <row r="1196">
          <cell r="A1196">
            <v>0</v>
          </cell>
          <cell r="B1196">
            <v>0</v>
          </cell>
          <cell r="C1196" t="str">
            <v>Máy thi công</v>
          </cell>
          <cell r="D1196">
            <v>0</v>
          </cell>
          <cell r="E1196">
            <v>0</v>
          </cell>
          <cell r="F1196">
            <v>0</v>
          </cell>
          <cell r="G1196">
            <v>0</v>
          </cell>
          <cell r="H1196">
            <v>0</v>
          </cell>
          <cell r="I1196">
            <v>0</v>
          </cell>
        </row>
        <row r="1197">
          <cell r="A1197">
            <v>0</v>
          </cell>
          <cell r="B1197" t="str">
            <v>M203.0025</v>
          </cell>
          <cell r="C1197" t="str">
            <v>Megôm met</v>
          </cell>
          <cell r="D1197" t="str">
            <v>ca</v>
          </cell>
          <cell r="E1197">
            <v>1.7000000000000001E-2</v>
          </cell>
          <cell r="F1197">
            <v>40127.500000000007</v>
          </cell>
          <cell r="G1197">
            <v>0</v>
          </cell>
          <cell r="H1197">
            <v>0</v>
          </cell>
          <cell r="I1197">
            <v>682.16750000000013</v>
          </cell>
        </row>
        <row r="1198">
          <cell r="A1198">
            <v>0</v>
          </cell>
          <cell r="B1198" t="str">
            <v>M203.0004</v>
          </cell>
          <cell r="C1198" t="str">
            <v>Hợp bộ đo Tg</v>
          </cell>
          <cell r="D1198" t="str">
            <v>ca</v>
          </cell>
          <cell r="E1198">
            <v>2.1999999999999999E-2</v>
          </cell>
          <cell r="F1198">
            <v>796170.45454545447</v>
          </cell>
          <cell r="G1198">
            <v>0</v>
          </cell>
          <cell r="H1198">
            <v>0</v>
          </cell>
          <cell r="I1198">
            <v>17515.749999999996</v>
          </cell>
        </row>
        <row r="1199">
          <cell r="A1199">
            <v>0</v>
          </cell>
          <cell r="B1199" t="str">
            <v>M203.0007</v>
          </cell>
          <cell r="C1199" t="str">
            <v>Hợp bộ thí nghiệm cao áp</v>
          </cell>
          <cell r="D1199" t="str">
            <v>ca</v>
          </cell>
          <cell r="E1199">
            <v>2.1999999999999999E-2</v>
          </cell>
          <cell r="F1199">
            <v>403740.11363636365</v>
          </cell>
          <cell r="G1199">
            <v>0</v>
          </cell>
          <cell r="H1199">
            <v>0</v>
          </cell>
          <cell r="I1199">
            <v>8882.2824999999993</v>
          </cell>
        </row>
        <row r="1200">
          <cell r="A1200" t="str">
            <v>EB.60010</v>
          </cell>
          <cell r="B1200">
            <v>0</v>
          </cell>
          <cell r="C1200" t="str">
            <v>Thí nghiệm cáp lực, điện áp &gt;=220kV</v>
          </cell>
          <cell r="D1200" t="str">
            <v>sợi</v>
          </cell>
          <cell r="E1200">
            <v>0</v>
          </cell>
          <cell r="F1200">
            <v>0</v>
          </cell>
          <cell r="G1200">
            <v>37779.723054545451</v>
          </cell>
          <cell r="H1200">
            <v>1216212.2763157894</v>
          </cell>
          <cell r="I1200">
            <v>281170.86215909093</v>
          </cell>
        </row>
        <row r="1201">
          <cell r="A1201">
            <v>0</v>
          </cell>
          <cell r="B1201">
            <v>0</v>
          </cell>
          <cell r="C1201" t="str">
            <v>Vật liệu</v>
          </cell>
          <cell r="D1201">
            <v>0</v>
          </cell>
          <cell r="E1201">
            <v>0</v>
          </cell>
          <cell r="F1201">
            <v>0</v>
          </cell>
          <cell r="G1201">
            <v>0</v>
          </cell>
          <cell r="H1201">
            <v>0</v>
          </cell>
          <cell r="I1201">
            <v>0</v>
          </cell>
        </row>
        <row r="1202">
          <cell r="A1202">
            <v>0</v>
          </cell>
          <cell r="B1202" t="str">
            <v>VL221</v>
          </cell>
          <cell r="C1202" t="str">
            <v>Điện năng</v>
          </cell>
          <cell r="D1202" t="str">
            <v>Kwh</v>
          </cell>
          <cell r="E1202">
            <v>5.76</v>
          </cell>
          <cell r="F1202">
            <v>1622.01</v>
          </cell>
          <cell r="G1202">
            <v>9342.7775999999994</v>
          </cell>
          <cell r="H1202">
            <v>0</v>
          </cell>
          <cell r="I1202">
            <v>0</v>
          </cell>
        </row>
        <row r="1203">
          <cell r="A1203">
            <v>0</v>
          </cell>
          <cell r="B1203" t="str">
            <v>VL177</v>
          </cell>
          <cell r="C1203" t="str">
            <v>Cồn công nghiệp</v>
          </cell>
          <cell r="D1203" t="str">
            <v>kg</v>
          </cell>
          <cell r="E1203">
            <v>0.76800000000000002</v>
          </cell>
          <cell r="F1203">
            <v>20000</v>
          </cell>
          <cell r="G1203">
            <v>15360</v>
          </cell>
          <cell r="H1203">
            <v>0</v>
          </cell>
          <cell r="I1203">
            <v>0</v>
          </cell>
        </row>
        <row r="1204">
          <cell r="A1204">
            <v>0</v>
          </cell>
          <cell r="B1204" t="str">
            <v>VL198</v>
          </cell>
          <cell r="C1204" t="str">
            <v>Dây điện 2x1,5mm2</v>
          </cell>
          <cell r="D1204" t="str">
            <v>m</v>
          </cell>
          <cell r="E1204">
            <v>0.76800000000000002</v>
          </cell>
          <cell r="F1204">
            <v>9027.2727272727261</v>
          </cell>
          <cell r="G1204">
            <v>6932.9454545454537</v>
          </cell>
          <cell r="H1204">
            <v>0</v>
          </cell>
          <cell r="I1204">
            <v>0</v>
          </cell>
        </row>
        <row r="1205">
          <cell r="A1205">
            <v>0</v>
          </cell>
          <cell r="B1205" t="str">
            <v>VL188</v>
          </cell>
          <cell r="C1205" t="str">
            <v>Vải phin trắng 0,8m</v>
          </cell>
          <cell r="D1205" t="str">
            <v>m</v>
          </cell>
          <cell r="E1205">
            <v>0.76800000000000002</v>
          </cell>
          <cell r="F1205">
            <v>8000</v>
          </cell>
          <cell r="G1205">
            <v>6144</v>
          </cell>
          <cell r="H1205">
            <v>0</v>
          </cell>
          <cell r="I1205">
            <v>0</v>
          </cell>
        </row>
        <row r="1206">
          <cell r="A1206">
            <v>0</v>
          </cell>
          <cell r="B1206">
            <v>0</v>
          </cell>
          <cell r="C1206" t="str">
            <v>Nhân công</v>
          </cell>
          <cell r="D1206">
            <v>0</v>
          </cell>
          <cell r="E1206">
            <v>0</v>
          </cell>
          <cell r="F1206">
            <v>0</v>
          </cell>
          <cell r="G1206">
            <v>0</v>
          </cell>
          <cell r="H1206">
            <v>0</v>
          </cell>
          <cell r="I1206">
            <v>0</v>
          </cell>
        </row>
        <row r="1207">
          <cell r="A1207">
            <v>0</v>
          </cell>
          <cell r="B1207" t="str">
            <v>KS3</v>
          </cell>
          <cell r="C1207" t="str">
            <v>Kỹ sư bậc 3,0/8</v>
          </cell>
          <cell r="D1207" t="str">
            <v>công</v>
          </cell>
          <cell r="E1207">
            <v>3.76</v>
          </cell>
          <cell r="F1207">
            <v>213300</v>
          </cell>
          <cell r="G1207">
            <v>0</v>
          </cell>
          <cell r="H1207">
            <v>802008</v>
          </cell>
          <cell r="I1207">
            <v>0</v>
          </cell>
        </row>
        <row r="1208">
          <cell r="A1208">
            <v>0</v>
          </cell>
          <cell r="B1208" t="str">
            <v>N4407</v>
          </cell>
          <cell r="C1208" t="str">
            <v xml:space="preserve"> Nhân công bậc 4,0/7 - Nhóm 4</v>
          </cell>
          <cell r="D1208" t="str">
            <v>công</v>
          </cell>
          <cell r="E1208">
            <v>1.61</v>
          </cell>
          <cell r="F1208">
            <v>257269.73684210525</v>
          </cell>
          <cell r="G1208">
            <v>0</v>
          </cell>
          <cell r="H1208">
            <v>414204.2763157895</v>
          </cell>
          <cell r="I1208">
            <v>0</v>
          </cell>
        </row>
        <row r="1209">
          <cell r="A1209">
            <v>0</v>
          </cell>
          <cell r="B1209">
            <v>0</v>
          </cell>
          <cell r="C1209" t="str">
            <v>Máy thi công</v>
          </cell>
          <cell r="D1209">
            <v>0</v>
          </cell>
          <cell r="E1209">
            <v>0</v>
          </cell>
          <cell r="F1209">
            <v>0</v>
          </cell>
          <cell r="G1209">
            <v>0</v>
          </cell>
          <cell r="H1209">
            <v>0</v>
          </cell>
          <cell r="I1209">
            <v>0</v>
          </cell>
        </row>
        <row r="1210">
          <cell r="A1210">
            <v>0</v>
          </cell>
          <cell r="B1210" t="str">
            <v>M203.0025</v>
          </cell>
          <cell r="C1210" t="str">
            <v>Megôm met</v>
          </cell>
          <cell r="D1210" t="str">
            <v>ca</v>
          </cell>
          <cell r="E1210">
            <v>0.09</v>
          </cell>
          <cell r="F1210">
            <v>40127.500000000007</v>
          </cell>
          <cell r="G1210">
            <v>0</v>
          </cell>
          <cell r="H1210">
            <v>0</v>
          </cell>
          <cell r="I1210">
            <v>3611.4750000000004</v>
          </cell>
        </row>
        <row r="1211">
          <cell r="A1211">
            <v>0</v>
          </cell>
          <cell r="B1211" t="str">
            <v>M203.0004</v>
          </cell>
          <cell r="C1211" t="str">
            <v>Hợp bộ đo Tg</v>
          </cell>
          <cell r="D1211" t="str">
            <v>ca</v>
          </cell>
          <cell r="E1211">
            <v>0.126</v>
          </cell>
          <cell r="F1211">
            <v>796170.45454545447</v>
          </cell>
          <cell r="G1211">
            <v>0</v>
          </cell>
          <cell r="H1211">
            <v>0</v>
          </cell>
          <cell r="I1211">
            <v>100317.47727272726</v>
          </cell>
        </row>
        <row r="1212">
          <cell r="A1212">
            <v>0</v>
          </cell>
          <cell r="B1212" t="str">
            <v>M203.0007</v>
          </cell>
          <cell r="C1212" t="str">
            <v>Hợp bộ thí nghiệm cao áp</v>
          </cell>
          <cell r="D1212" t="str">
            <v>ca</v>
          </cell>
          <cell r="E1212">
            <v>0.439</v>
          </cell>
          <cell r="F1212">
            <v>403740.11363636365</v>
          </cell>
          <cell r="G1212">
            <v>0</v>
          </cell>
          <cell r="H1212">
            <v>0</v>
          </cell>
          <cell r="I1212">
            <v>177241.90988636363</v>
          </cell>
        </row>
        <row r="1213">
          <cell r="A1213" t="str">
            <v>EB.60020</v>
          </cell>
          <cell r="B1213">
            <v>0</v>
          </cell>
          <cell r="C1213" t="str">
            <v>Thí nghiệm cáp lực, điện áp 66-110kV</v>
          </cell>
          <cell r="D1213" t="str">
            <v>sợi</v>
          </cell>
          <cell r="E1213">
            <v>0</v>
          </cell>
          <cell r="F1213">
            <v>0</v>
          </cell>
          <cell r="G1213">
            <v>25186.482036363635</v>
          </cell>
          <cell r="H1213">
            <v>1078184.7236842106</v>
          </cell>
          <cell r="I1213">
            <v>225015.17579545453</v>
          </cell>
        </row>
        <row r="1214">
          <cell r="A1214">
            <v>0</v>
          </cell>
          <cell r="B1214">
            <v>0</v>
          </cell>
          <cell r="C1214" t="str">
            <v>Vật liệu</v>
          </cell>
          <cell r="D1214">
            <v>0</v>
          </cell>
          <cell r="E1214">
            <v>0</v>
          </cell>
          <cell r="F1214">
            <v>0</v>
          </cell>
          <cell r="G1214">
            <v>0</v>
          </cell>
          <cell r="H1214">
            <v>0</v>
          </cell>
          <cell r="I1214">
            <v>0</v>
          </cell>
        </row>
        <row r="1215">
          <cell r="A1215">
            <v>0</v>
          </cell>
          <cell r="B1215" t="str">
            <v>VL221</v>
          </cell>
          <cell r="C1215" t="str">
            <v>Điện năng</v>
          </cell>
          <cell r="D1215" t="str">
            <v>Kwh</v>
          </cell>
          <cell r="E1215">
            <v>3.84</v>
          </cell>
          <cell r="F1215">
            <v>1622.01</v>
          </cell>
          <cell r="G1215">
            <v>6228.5183999999999</v>
          </cell>
          <cell r="H1215">
            <v>0</v>
          </cell>
          <cell r="I1215">
            <v>0</v>
          </cell>
        </row>
        <row r="1216">
          <cell r="A1216">
            <v>0</v>
          </cell>
          <cell r="B1216" t="str">
            <v>VL177</v>
          </cell>
          <cell r="C1216" t="str">
            <v>Cồn công nghiệp</v>
          </cell>
          <cell r="D1216" t="str">
            <v>kg</v>
          </cell>
          <cell r="E1216">
            <v>0.51200000000000001</v>
          </cell>
          <cell r="F1216">
            <v>20000</v>
          </cell>
          <cell r="G1216">
            <v>10240</v>
          </cell>
          <cell r="H1216">
            <v>0</v>
          </cell>
          <cell r="I1216">
            <v>0</v>
          </cell>
        </row>
        <row r="1217">
          <cell r="A1217">
            <v>0</v>
          </cell>
          <cell r="B1217" t="str">
            <v>VL198</v>
          </cell>
          <cell r="C1217" t="str">
            <v>Dây điện 2x1,5mm2</v>
          </cell>
          <cell r="D1217" t="str">
            <v>m</v>
          </cell>
          <cell r="E1217">
            <v>0.51200000000000001</v>
          </cell>
          <cell r="F1217">
            <v>9027.2727272727261</v>
          </cell>
          <cell r="G1217">
            <v>4621.9636363636355</v>
          </cell>
          <cell r="H1217">
            <v>0</v>
          </cell>
          <cell r="I1217">
            <v>0</v>
          </cell>
        </row>
        <row r="1218">
          <cell r="A1218">
            <v>0</v>
          </cell>
          <cell r="B1218" t="str">
            <v>VL188</v>
          </cell>
          <cell r="C1218" t="str">
            <v>Vải phin trắng 0,8m</v>
          </cell>
          <cell r="D1218" t="str">
            <v>m</v>
          </cell>
          <cell r="E1218">
            <v>0.51200000000000001</v>
          </cell>
          <cell r="F1218">
            <v>8000</v>
          </cell>
          <cell r="G1218">
            <v>4096</v>
          </cell>
          <cell r="H1218">
            <v>0</v>
          </cell>
          <cell r="I1218">
            <v>0</v>
          </cell>
        </row>
        <row r="1219">
          <cell r="A1219">
            <v>0</v>
          </cell>
          <cell r="B1219">
            <v>0</v>
          </cell>
          <cell r="C1219" t="str">
            <v>Nhân công</v>
          </cell>
          <cell r="D1219">
            <v>0</v>
          </cell>
          <cell r="E1219">
            <v>0</v>
          </cell>
          <cell r="F1219">
            <v>0</v>
          </cell>
          <cell r="G1219">
            <v>0</v>
          </cell>
          <cell r="H1219">
            <v>0</v>
          </cell>
          <cell r="I1219">
            <v>0</v>
          </cell>
        </row>
        <row r="1220">
          <cell r="A1220">
            <v>0</v>
          </cell>
          <cell r="B1220" t="str">
            <v>KS3</v>
          </cell>
          <cell r="C1220" t="str">
            <v>Kỹ sư bậc 3,0/8</v>
          </cell>
          <cell r="D1220" t="str">
            <v>công</v>
          </cell>
          <cell r="E1220">
            <v>3.33</v>
          </cell>
          <cell r="F1220">
            <v>213300</v>
          </cell>
          <cell r="G1220">
            <v>0</v>
          </cell>
          <cell r="H1220">
            <v>710289</v>
          </cell>
          <cell r="I1220">
            <v>0</v>
          </cell>
        </row>
        <row r="1221">
          <cell r="A1221">
            <v>0</v>
          </cell>
          <cell r="B1221" t="str">
            <v>N4407</v>
          </cell>
          <cell r="C1221" t="str">
            <v xml:space="preserve"> Nhân công bậc 4,0/7 - Nhóm 4</v>
          </cell>
          <cell r="D1221" t="str">
            <v>công</v>
          </cell>
          <cell r="E1221">
            <v>1.43</v>
          </cell>
          <cell r="F1221">
            <v>257269.73684210525</v>
          </cell>
          <cell r="G1221">
            <v>0</v>
          </cell>
          <cell r="H1221">
            <v>367895.7236842105</v>
          </cell>
          <cell r="I1221">
            <v>0</v>
          </cell>
        </row>
        <row r="1222">
          <cell r="A1222">
            <v>0</v>
          </cell>
          <cell r="B1222">
            <v>0</v>
          </cell>
          <cell r="C1222" t="str">
            <v>Máy thi công</v>
          </cell>
          <cell r="D1222">
            <v>0</v>
          </cell>
          <cell r="E1222">
            <v>0</v>
          </cell>
          <cell r="F1222">
            <v>0</v>
          </cell>
          <cell r="G1222">
            <v>0</v>
          </cell>
          <cell r="H1222">
            <v>0</v>
          </cell>
          <cell r="I1222">
            <v>0</v>
          </cell>
        </row>
        <row r="1223">
          <cell r="A1223">
            <v>0</v>
          </cell>
          <cell r="B1223" t="str">
            <v>M203.0025</v>
          </cell>
          <cell r="C1223" t="str">
            <v>Megôm met</v>
          </cell>
          <cell r="D1223" t="str">
            <v>ca</v>
          </cell>
          <cell r="E1223">
            <v>7.1999999999999995E-2</v>
          </cell>
          <cell r="F1223">
            <v>40127.500000000007</v>
          </cell>
          <cell r="G1223">
            <v>0</v>
          </cell>
          <cell r="H1223">
            <v>0</v>
          </cell>
          <cell r="I1223">
            <v>2889.1800000000003</v>
          </cell>
        </row>
        <row r="1224">
          <cell r="A1224">
            <v>0</v>
          </cell>
          <cell r="B1224" t="str">
            <v>M203.0004</v>
          </cell>
          <cell r="C1224" t="str">
            <v>Hợp bộ đo Tg</v>
          </cell>
          <cell r="D1224" t="str">
            <v>ca</v>
          </cell>
          <cell r="E1224">
            <v>0.10100000000000001</v>
          </cell>
          <cell r="F1224">
            <v>796170.45454545447</v>
          </cell>
          <cell r="G1224">
            <v>0</v>
          </cell>
          <cell r="H1224">
            <v>0</v>
          </cell>
          <cell r="I1224">
            <v>80413.215909090912</v>
          </cell>
        </row>
        <row r="1225">
          <cell r="A1225">
            <v>0</v>
          </cell>
          <cell r="B1225" t="str">
            <v>M203.0007</v>
          </cell>
          <cell r="C1225" t="str">
            <v>Hợp bộ thí nghiệm cao áp</v>
          </cell>
          <cell r="D1225" t="str">
            <v>ca</v>
          </cell>
          <cell r="E1225">
            <v>0.35099999999999998</v>
          </cell>
          <cell r="F1225">
            <v>403740.11363636365</v>
          </cell>
          <cell r="G1225">
            <v>0</v>
          </cell>
          <cell r="H1225">
            <v>0</v>
          </cell>
          <cell r="I1225">
            <v>141712.77988636363</v>
          </cell>
        </row>
        <row r="1226">
          <cell r="A1226" t="str">
            <v>EB.60030</v>
          </cell>
          <cell r="B1226">
            <v>0</v>
          </cell>
          <cell r="C1226" t="str">
            <v>Thí nghiệm cáp lực, điện áp &gt;1-35kV</v>
          </cell>
          <cell r="D1226" t="str">
            <v>sợi</v>
          </cell>
          <cell r="E1226">
            <v>0</v>
          </cell>
          <cell r="F1226">
            <v>0</v>
          </cell>
          <cell r="G1226">
            <v>6296.6205090909089</v>
          </cell>
          <cell r="H1226">
            <v>251273.01315789472</v>
          </cell>
          <cell r="I1226">
            <v>99520.151022727267</v>
          </cell>
        </row>
        <row r="1227">
          <cell r="A1227">
            <v>0</v>
          </cell>
          <cell r="B1227">
            <v>0</v>
          </cell>
          <cell r="C1227" t="str">
            <v>Vật liệu</v>
          </cell>
          <cell r="D1227">
            <v>0</v>
          </cell>
          <cell r="E1227">
            <v>0</v>
          </cell>
          <cell r="F1227">
            <v>0</v>
          </cell>
          <cell r="G1227">
            <v>0</v>
          </cell>
          <cell r="H1227">
            <v>0</v>
          </cell>
          <cell r="I1227">
            <v>0</v>
          </cell>
        </row>
        <row r="1228">
          <cell r="A1228">
            <v>0</v>
          </cell>
          <cell r="B1228" t="str">
            <v>VL221</v>
          </cell>
          <cell r="C1228" t="str">
            <v>Điện năng</v>
          </cell>
          <cell r="D1228" t="str">
            <v>Kwh</v>
          </cell>
          <cell r="E1228">
            <v>0.96</v>
          </cell>
          <cell r="F1228">
            <v>1622.01</v>
          </cell>
          <cell r="G1228">
            <v>1557.1296</v>
          </cell>
          <cell r="H1228">
            <v>0</v>
          </cell>
          <cell r="I1228">
            <v>0</v>
          </cell>
        </row>
        <row r="1229">
          <cell r="A1229">
            <v>0</v>
          </cell>
          <cell r="B1229" t="str">
            <v>VL177</v>
          </cell>
          <cell r="C1229" t="str">
            <v>Cồn công nghiệp</v>
          </cell>
          <cell r="D1229" t="str">
            <v>kg</v>
          </cell>
          <cell r="E1229">
            <v>0.128</v>
          </cell>
          <cell r="F1229">
            <v>20000</v>
          </cell>
          <cell r="G1229">
            <v>2560</v>
          </cell>
          <cell r="H1229">
            <v>0</v>
          </cell>
          <cell r="I1229">
            <v>0</v>
          </cell>
        </row>
        <row r="1230">
          <cell r="A1230">
            <v>0</v>
          </cell>
          <cell r="B1230" t="str">
            <v>VL198</v>
          </cell>
          <cell r="C1230" t="str">
            <v>Dây điện 2x1,5mm2</v>
          </cell>
          <cell r="D1230" t="str">
            <v>m</v>
          </cell>
          <cell r="E1230">
            <v>0.128</v>
          </cell>
          <cell r="F1230">
            <v>9027.2727272727261</v>
          </cell>
          <cell r="G1230">
            <v>1155.4909090909089</v>
          </cell>
          <cell r="H1230">
            <v>0</v>
          </cell>
          <cell r="I1230">
            <v>0</v>
          </cell>
        </row>
        <row r="1231">
          <cell r="A1231">
            <v>0</v>
          </cell>
          <cell r="B1231" t="str">
            <v>VL188</v>
          </cell>
          <cell r="C1231" t="str">
            <v>Vải phin trắng 0,8m</v>
          </cell>
          <cell r="D1231" t="str">
            <v>m</v>
          </cell>
          <cell r="E1231">
            <v>0.128</v>
          </cell>
          <cell r="F1231">
            <v>8000</v>
          </cell>
          <cell r="G1231">
            <v>1024</v>
          </cell>
          <cell r="H1231">
            <v>0</v>
          </cell>
          <cell r="I1231">
            <v>0</v>
          </cell>
        </row>
        <row r="1232">
          <cell r="A1232">
            <v>0</v>
          </cell>
          <cell r="B1232">
            <v>0</v>
          </cell>
          <cell r="C1232" t="str">
            <v>Nhân công</v>
          </cell>
          <cell r="D1232">
            <v>0</v>
          </cell>
          <cell r="E1232">
            <v>0</v>
          </cell>
          <cell r="F1232">
            <v>0</v>
          </cell>
          <cell r="G1232">
            <v>0</v>
          </cell>
          <cell r="H1232">
            <v>0</v>
          </cell>
          <cell r="I1232">
            <v>0</v>
          </cell>
        </row>
        <row r="1233">
          <cell r="A1233">
            <v>0</v>
          </cell>
          <cell r="B1233" t="str">
            <v>KS3</v>
          </cell>
          <cell r="C1233" t="str">
            <v>Kỹ sư bậc 3,0/8</v>
          </cell>
          <cell r="D1233" t="str">
            <v>công</v>
          </cell>
          <cell r="E1233">
            <v>0.78</v>
          </cell>
          <cell r="F1233">
            <v>213300</v>
          </cell>
          <cell r="G1233">
            <v>0</v>
          </cell>
          <cell r="H1233">
            <v>166374</v>
          </cell>
          <cell r="I1233">
            <v>0</v>
          </cell>
        </row>
        <row r="1234">
          <cell r="A1234">
            <v>0</v>
          </cell>
          <cell r="B1234" t="str">
            <v>N4407</v>
          </cell>
          <cell r="C1234" t="str">
            <v xml:space="preserve"> Nhân công bậc 4,0/7 - Nhóm 4</v>
          </cell>
          <cell r="D1234" t="str">
            <v>công</v>
          </cell>
          <cell r="E1234">
            <v>0.33</v>
          </cell>
          <cell r="F1234">
            <v>257269.73684210525</v>
          </cell>
          <cell r="G1234">
            <v>0</v>
          </cell>
          <cell r="H1234">
            <v>84899.013157894733</v>
          </cell>
          <cell r="I1234">
            <v>0</v>
          </cell>
        </row>
        <row r="1235">
          <cell r="A1235">
            <v>0</v>
          </cell>
          <cell r="B1235">
            <v>0</v>
          </cell>
          <cell r="C1235" t="str">
            <v>Máy thi công</v>
          </cell>
          <cell r="D1235">
            <v>0</v>
          </cell>
          <cell r="E1235">
            <v>0</v>
          </cell>
          <cell r="F1235">
            <v>0</v>
          </cell>
          <cell r="G1235">
            <v>0</v>
          </cell>
          <cell r="H1235">
            <v>0</v>
          </cell>
          <cell r="I1235">
            <v>0</v>
          </cell>
        </row>
        <row r="1236">
          <cell r="A1236">
            <v>0</v>
          </cell>
          <cell r="B1236" t="str">
            <v>M203.0025</v>
          </cell>
          <cell r="C1236" t="str">
            <v>Megôm met</v>
          </cell>
          <cell r="D1236" t="str">
            <v>ca</v>
          </cell>
          <cell r="E1236">
            <v>5.8000000000000003E-2</v>
          </cell>
          <cell r="F1236">
            <v>40127.500000000007</v>
          </cell>
          <cell r="G1236">
            <v>0</v>
          </cell>
          <cell r="H1236">
            <v>0</v>
          </cell>
          <cell r="I1236">
            <v>2327.3950000000004</v>
          </cell>
        </row>
        <row r="1237">
          <cell r="A1237">
            <v>0</v>
          </cell>
          <cell r="B1237" t="str">
            <v>M203.0004</v>
          </cell>
          <cell r="C1237" t="str">
            <v>Hợp bộ đo Tg</v>
          </cell>
          <cell r="D1237" t="str">
            <v>ca</v>
          </cell>
          <cell r="E1237">
            <v>8.1000000000000003E-2</v>
          </cell>
          <cell r="F1237">
            <v>796170.45454545447</v>
          </cell>
          <cell r="G1237">
            <v>0</v>
          </cell>
          <cell r="H1237">
            <v>0</v>
          </cell>
          <cell r="I1237">
            <v>64489.806818181816</v>
          </cell>
        </row>
        <row r="1238">
          <cell r="A1238">
            <v>0</v>
          </cell>
          <cell r="B1238" t="str">
            <v>M203.0007</v>
          </cell>
          <cell r="C1238" t="str">
            <v>Hợp bộ thí nghiệm cao áp</v>
          </cell>
          <cell r="D1238" t="str">
            <v>ca</v>
          </cell>
          <cell r="E1238">
            <v>8.1000000000000003E-2</v>
          </cell>
          <cell r="F1238">
            <v>403740.11363636365</v>
          </cell>
          <cell r="G1238">
            <v>0</v>
          </cell>
          <cell r="H1238">
            <v>0</v>
          </cell>
          <cell r="I1238">
            <v>32702.949204545457</v>
          </cell>
        </row>
        <row r="1239">
          <cell r="A1239" t="str">
            <v>EB.60040</v>
          </cell>
          <cell r="B1239">
            <v>0</v>
          </cell>
          <cell r="C1239" t="str">
            <v>Thí nghiệm cáp lực, điện áp &lt;=1kV</v>
          </cell>
          <cell r="D1239" t="str">
            <v>sợi</v>
          </cell>
          <cell r="E1239">
            <v>0</v>
          </cell>
          <cell r="F1239">
            <v>0</v>
          </cell>
          <cell r="G1239">
            <v>117.35454545454543</v>
          </cell>
          <cell r="H1239">
            <v>24782.092105263157</v>
          </cell>
          <cell r="I1239">
            <v>1845.8650000000002</v>
          </cell>
        </row>
        <row r="1240">
          <cell r="A1240">
            <v>0</v>
          </cell>
          <cell r="B1240">
            <v>0</v>
          </cell>
          <cell r="C1240" t="str">
            <v>Vật liệu</v>
          </cell>
          <cell r="D1240">
            <v>0</v>
          </cell>
          <cell r="E1240">
            <v>0</v>
          </cell>
          <cell r="F1240">
            <v>0</v>
          </cell>
          <cell r="G1240">
            <v>0</v>
          </cell>
          <cell r="H1240">
            <v>0</v>
          </cell>
          <cell r="I1240">
            <v>0</v>
          </cell>
        </row>
        <row r="1241">
          <cell r="A1241">
            <v>0</v>
          </cell>
          <cell r="B1241" t="str">
            <v>VL221</v>
          </cell>
          <cell r="C1241" t="str">
            <v>Điện năng</v>
          </cell>
          <cell r="D1241" t="str">
            <v>Kwh</v>
          </cell>
          <cell r="E1241">
            <v>0</v>
          </cell>
          <cell r="F1241">
            <v>1622.01</v>
          </cell>
          <cell r="G1241">
            <v>0</v>
          </cell>
          <cell r="H1241">
            <v>0</v>
          </cell>
          <cell r="I1241">
            <v>0</v>
          </cell>
        </row>
        <row r="1242">
          <cell r="A1242">
            <v>0</v>
          </cell>
          <cell r="B1242" t="str">
            <v>VL177</v>
          </cell>
          <cell r="C1242" t="str">
            <v>Cồn công nghiệp</v>
          </cell>
          <cell r="D1242" t="str">
            <v>kg</v>
          </cell>
          <cell r="E1242">
            <v>0</v>
          </cell>
          <cell r="F1242">
            <v>20000</v>
          </cell>
          <cell r="G1242">
            <v>0</v>
          </cell>
          <cell r="H1242">
            <v>0</v>
          </cell>
          <cell r="I1242">
            <v>0</v>
          </cell>
        </row>
        <row r="1243">
          <cell r="A1243">
            <v>0</v>
          </cell>
          <cell r="B1243" t="str">
            <v>VL198</v>
          </cell>
          <cell r="C1243" t="str">
            <v>Dây điện 2x1,5mm2</v>
          </cell>
          <cell r="D1243" t="str">
            <v>m</v>
          </cell>
          <cell r="E1243">
            <v>1.2999999999999999E-2</v>
          </cell>
          <cell r="F1243">
            <v>9027.2727272727261</v>
          </cell>
          <cell r="G1243">
            <v>117.35454545454543</v>
          </cell>
          <cell r="H1243">
            <v>0</v>
          </cell>
          <cell r="I1243">
            <v>0</v>
          </cell>
        </row>
        <row r="1244">
          <cell r="A1244">
            <v>0</v>
          </cell>
          <cell r="B1244" t="str">
            <v>VL188</v>
          </cell>
          <cell r="C1244" t="str">
            <v>Vải phin trắng 0,8m</v>
          </cell>
          <cell r="D1244" t="str">
            <v>m</v>
          </cell>
          <cell r="E1244">
            <v>0</v>
          </cell>
          <cell r="F1244">
            <v>8000</v>
          </cell>
          <cell r="G1244">
            <v>0</v>
          </cell>
          <cell r="H1244">
            <v>0</v>
          </cell>
          <cell r="I1244">
            <v>0</v>
          </cell>
        </row>
        <row r="1245">
          <cell r="A1245">
            <v>0</v>
          </cell>
          <cell r="B1245">
            <v>0</v>
          </cell>
          <cell r="C1245" t="str">
            <v>Nhân công</v>
          </cell>
          <cell r="D1245">
            <v>0</v>
          </cell>
          <cell r="E1245">
            <v>0</v>
          </cell>
          <cell r="F1245">
            <v>0</v>
          </cell>
          <cell r="G1245">
            <v>0</v>
          </cell>
          <cell r="H1245">
            <v>0</v>
          </cell>
          <cell r="I1245">
            <v>0</v>
          </cell>
        </row>
        <row r="1246">
          <cell r="A1246">
            <v>0</v>
          </cell>
          <cell r="B1246" t="str">
            <v>KS3</v>
          </cell>
          <cell r="C1246" t="str">
            <v>Kỹ sư bậc 3,0/8</v>
          </cell>
          <cell r="D1246" t="str">
            <v>công</v>
          </cell>
          <cell r="E1246">
            <v>0.08</v>
          </cell>
          <cell r="F1246">
            <v>213300</v>
          </cell>
          <cell r="G1246">
            <v>0</v>
          </cell>
          <cell r="H1246">
            <v>17064</v>
          </cell>
          <cell r="I1246">
            <v>0</v>
          </cell>
        </row>
        <row r="1247">
          <cell r="A1247">
            <v>0</v>
          </cell>
          <cell r="B1247" t="str">
            <v>N4407</v>
          </cell>
          <cell r="C1247" t="str">
            <v xml:space="preserve"> Nhân công bậc 4,0/7 - Nhóm 4</v>
          </cell>
          <cell r="D1247" t="str">
            <v>công</v>
          </cell>
          <cell r="E1247">
            <v>0.03</v>
          </cell>
          <cell r="F1247">
            <v>257269.73684210525</v>
          </cell>
          <cell r="G1247">
            <v>0</v>
          </cell>
          <cell r="H1247">
            <v>7718.0921052631575</v>
          </cell>
          <cell r="I1247">
            <v>0</v>
          </cell>
        </row>
        <row r="1248">
          <cell r="A1248">
            <v>0</v>
          </cell>
          <cell r="B1248">
            <v>0</v>
          </cell>
          <cell r="C1248" t="str">
            <v>Máy thi công</v>
          </cell>
          <cell r="D1248">
            <v>0</v>
          </cell>
          <cell r="E1248">
            <v>0</v>
          </cell>
          <cell r="F1248">
            <v>0</v>
          </cell>
          <cell r="G1248">
            <v>0</v>
          </cell>
          <cell r="H1248">
            <v>0</v>
          </cell>
          <cell r="I1248">
            <v>0</v>
          </cell>
        </row>
        <row r="1249">
          <cell r="A1249">
            <v>0</v>
          </cell>
          <cell r="B1249" t="str">
            <v>M203.0025</v>
          </cell>
          <cell r="C1249" t="str">
            <v>Megôm met</v>
          </cell>
          <cell r="D1249" t="str">
            <v>ca</v>
          </cell>
          <cell r="E1249">
            <v>4.5999999999999999E-2</v>
          </cell>
          <cell r="F1249">
            <v>40127.500000000007</v>
          </cell>
          <cell r="G1249">
            <v>0</v>
          </cell>
          <cell r="H1249">
            <v>0</v>
          </cell>
          <cell r="I1249">
            <v>1845.8650000000002</v>
          </cell>
        </row>
        <row r="1250">
          <cell r="A1250">
            <v>0</v>
          </cell>
          <cell r="B1250" t="str">
            <v>M203.0004</v>
          </cell>
          <cell r="C1250" t="str">
            <v>Hợp bộ đo Tg</v>
          </cell>
          <cell r="D1250" t="str">
            <v>ca</v>
          </cell>
          <cell r="E1250">
            <v>0</v>
          </cell>
          <cell r="F1250">
            <v>796170.45454545447</v>
          </cell>
          <cell r="G1250">
            <v>0</v>
          </cell>
          <cell r="H1250">
            <v>0</v>
          </cell>
          <cell r="I1250">
            <v>0</v>
          </cell>
        </row>
        <row r="1251">
          <cell r="A1251">
            <v>0</v>
          </cell>
          <cell r="B1251" t="str">
            <v>M203.0007</v>
          </cell>
          <cell r="C1251" t="str">
            <v>Hợp bộ thí nghiệm cao áp</v>
          </cell>
          <cell r="D1251" t="str">
            <v>ca</v>
          </cell>
          <cell r="E1251">
            <v>0</v>
          </cell>
          <cell r="F1251">
            <v>403740.11363636365</v>
          </cell>
          <cell r="G1251">
            <v>0</v>
          </cell>
          <cell r="H1251">
            <v>0</v>
          </cell>
          <cell r="I1251">
            <v>0</v>
          </cell>
        </row>
        <row r="1252">
          <cell r="A1252" t="str">
            <v>EB.71010</v>
          </cell>
          <cell r="B1252">
            <v>0</v>
          </cell>
          <cell r="C1252" t="str">
            <v>Thí nghiệm Aptomat và khởi động từ, dòng điện &gt;2000A</v>
          </cell>
          <cell r="D1252" t="str">
            <v>cái</v>
          </cell>
          <cell r="E1252">
            <v>0</v>
          </cell>
          <cell r="F1252">
            <v>0</v>
          </cell>
          <cell r="G1252">
            <v>7771.4845454545448</v>
          </cell>
          <cell r="H1252">
            <v>597848.09210526315</v>
          </cell>
          <cell r="I1252">
            <v>96459.30636363638</v>
          </cell>
        </row>
        <row r="1253">
          <cell r="A1253">
            <v>0</v>
          </cell>
          <cell r="B1253">
            <v>0</v>
          </cell>
          <cell r="C1253" t="str">
            <v>Vật liệu</v>
          </cell>
          <cell r="D1253">
            <v>0</v>
          </cell>
          <cell r="E1253">
            <v>0</v>
          </cell>
          <cell r="F1253">
            <v>0</v>
          </cell>
          <cell r="G1253">
            <v>0</v>
          </cell>
          <cell r="H1253">
            <v>0</v>
          </cell>
          <cell r="I1253">
            <v>0</v>
          </cell>
        </row>
        <row r="1254">
          <cell r="A1254">
            <v>0</v>
          </cell>
          <cell r="B1254" t="str">
            <v>VL221</v>
          </cell>
          <cell r="C1254" t="str">
            <v>Điện năng</v>
          </cell>
          <cell r="D1254" t="str">
            <v>Kwh</v>
          </cell>
          <cell r="E1254">
            <v>3</v>
          </cell>
          <cell r="F1254">
            <v>1622.01</v>
          </cell>
          <cell r="G1254">
            <v>4866.03</v>
          </cell>
          <cell r="H1254">
            <v>0</v>
          </cell>
          <cell r="I1254">
            <v>0</v>
          </cell>
        </row>
        <row r="1255">
          <cell r="A1255">
            <v>0</v>
          </cell>
          <cell r="B1255" t="str">
            <v>VL198</v>
          </cell>
          <cell r="C1255" t="str">
            <v>Dây điện 2x1,5mm2</v>
          </cell>
          <cell r="D1255" t="str">
            <v>m</v>
          </cell>
          <cell r="E1255">
            <v>0.2</v>
          </cell>
          <cell r="F1255">
            <v>9027.2727272727261</v>
          </cell>
          <cell r="G1255">
            <v>1805.4545454545453</v>
          </cell>
          <cell r="H1255">
            <v>0</v>
          </cell>
          <cell r="I1255">
            <v>0</v>
          </cell>
        </row>
        <row r="1256">
          <cell r="A1256">
            <v>0</v>
          </cell>
          <cell r="B1256" t="str">
            <v>VL176</v>
          </cell>
          <cell r="C1256" t="str">
            <v>Giẻ lau</v>
          </cell>
          <cell r="D1256" t="str">
            <v>kg</v>
          </cell>
          <cell r="E1256">
            <v>0.1</v>
          </cell>
          <cell r="F1256">
            <v>5000</v>
          </cell>
          <cell r="G1256">
            <v>500</v>
          </cell>
          <cell r="H1256">
            <v>0</v>
          </cell>
          <cell r="I1256">
            <v>0</v>
          </cell>
        </row>
        <row r="1257">
          <cell r="A1257">
            <v>0</v>
          </cell>
          <cell r="B1257" t="str">
            <v>VL186</v>
          </cell>
          <cell r="C1257" t="str">
            <v>Giấy nhám số 0</v>
          </cell>
          <cell r="D1257" t="str">
            <v>tờ</v>
          </cell>
          <cell r="E1257">
            <v>0.3</v>
          </cell>
          <cell r="F1257">
            <v>2000</v>
          </cell>
          <cell r="G1257">
            <v>600</v>
          </cell>
          <cell r="H1257">
            <v>0</v>
          </cell>
          <cell r="I1257">
            <v>0</v>
          </cell>
        </row>
        <row r="1258">
          <cell r="A1258">
            <v>0</v>
          </cell>
          <cell r="B1258">
            <v>0</v>
          </cell>
          <cell r="C1258" t="str">
            <v>Nhân công</v>
          </cell>
          <cell r="D1258">
            <v>0</v>
          </cell>
          <cell r="E1258">
            <v>0</v>
          </cell>
          <cell r="F1258">
            <v>0</v>
          </cell>
          <cell r="G1258">
            <v>0</v>
          </cell>
          <cell r="H1258">
            <v>0</v>
          </cell>
          <cell r="I1258">
            <v>0</v>
          </cell>
        </row>
        <row r="1259">
          <cell r="A1259">
            <v>0</v>
          </cell>
          <cell r="B1259" t="str">
            <v>KS3</v>
          </cell>
          <cell r="C1259" t="str">
            <v>Kỹ sư bậc 3,0/8</v>
          </cell>
          <cell r="D1259" t="str">
            <v>công</v>
          </cell>
          <cell r="E1259">
            <v>1.85</v>
          </cell>
          <cell r="F1259">
            <v>213300</v>
          </cell>
          <cell r="G1259">
            <v>0</v>
          </cell>
          <cell r="H1259">
            <v>394605</v>
          </cell>
          <cell r="I1259">
            <v>0</v>
          </cell>
        </row>
        <row r="1260">
          <cell r="A1260">
            <v>0</v>
          </cell>
          <cell r="B1260" t="str">
            <v>N4407</v>
          </cell>
          <cell r="C1260" t="str">
            <v xml:space="preserve"> Nhân công bậc 4,0/7 - Nhóm 4</v>
          </cell>
          <cell r="D1260" t="str">
            <v>công</v>
          </cell>
          <cell r="E1260">
            <v>0.79</v>
          </cell>
          <cell r="F1260">
            <v>257269.73684210525</v>
          </cell>
          <cell r="G1260">
            <v>0</v>
          </cell>
          <cell r="H1260">
            <v>203243.09210526315</v>
          </cell>
          <cell r="I1260">
            <v>0</v>
          </cell>
        </row>
        <row r="1261">
          <cell r="A1261">
            <v>0</v>
          </cell>
          <cell r="B1261">
            <v>0</v>
          </cell>
          <cell r="C1261" t="str">
            <v>Máy thi công</v>
          </cell>
          <cell r="D1261">
            <v>0</v>
          </cell>
          <cell r="E1261">
            <v>0</v>
          </cell>
          <cell r="F1261">
            <v>0</v>
          </cell>
          <cell r="G1261">
            <v>0</v>
          </cell>
          <cell r="H1261">
            <v>0</v>
          </cell>
          <cell r="I1261">
            <v>0</v>
          </cell>
        </row>
        <row r="1262">
          <cell r="A1262">
            <v>0</v>
          </cell>
          <cell r="B1262" t="str">
            <v>M203.0027</v>
          </cell>
          <cell r="C1262" t="str">
            <v>Thiết bị tạo dòng điện</v>
          </cell>
          <cell r="D1262" t="str">
            <v>ca</v>
          </cell>
          <cell r="E1262">
            <v>0.20399999999999999</v>
          </cell>
          <cell r="F1262">
            <v>397537.95454545459</v>
          </cell>
          <cell r="G1262">
            <v>0</v>
          </cell>
          <cell r="H1262">
            <v>0</v>
          </cell>
          <cell r="I1262">
            <v>81097.742727272736</v>
          </cell>
        </row>
        <row r="1263">
          <cell r="A1263">
            <v>0</v>
          </cell>
          <cell r="B1263" t="str">
            <v>M203.0025</v>
          </cell>
          <cell r="C1263" t="str">
            <v>Megôm met</v>
          </cell>
          <cell r="D1263" t="str">
            <v>ca</v>
          </cell>
          <cell r="E1263">
            <v>0.1</v>
          </cell>
          <cell r="F1263">
            <v>40127.500000000007</v>
          </cell>
          <cell r="G1263">
            <v>0</v>
          </cell>
          <cell r="H1263">
            <v>0</v>
          </cell>
          <cell r="I1263">
            <v>4012.7500000000009</v>
          </cell>
        </row>
        <row r="1264">
          <cell r="A1264">
            <v>0</v>
          </cell>
          <cell r="B1264" t="str">
            <v>M203.0016</v>
          </cell>
          <cell r="C1264" t="str">
            <v>Máy đo điện trở tiếp xúc</v>
          </cell>
          <cell r="D1264" t="str">
            <v>ca</v>
          </cell>
          <cell r="E1264">
            <v>0.13600000000000001</v>
          </cell>
          <cell r="F1264">
            <v>83447.159090909103</v>
          </cell>
          <cell r="G1264">
            <v>0</v>
          </cell>
          <cell r="H1264">
            <v>0</v>
          </cell>
          <cell r="I1264">
            <v>11348.813636363639</v>
          </cell>
        </row>
        <row r="1265">
          <cell r="A1265" t="str">
            <v>EB.71020</v>
          </cell>
          <cell r="B1265">
            <v>0</v>
          </cell>
          <cell r="C1265" t="str">
            <v>Thí nghiệm Aptomat và khởi động từ, dòng điện 1000-2000A</v>
          </cell>
          <cell r="D1265" t="str">
            <v>cái</v>
          </cell>
          <cell r="E1265">
            <v>0</v>
          </cell>
          <cell r="F1265">
            <v>0</v>
          </cell>
          <cell r="G1265">
            <v>6217.1876363636356</v>
          </cell>
          <cell r="H1265">
            <v>428199.75</v>
          </cell>
          <cell r="I1265">
            <v>77104.626931818188</v>
          </cell>
        </row>
        <row r="1266">
          <cell r="A1266">
            <v>0</v>
          </cell>
          <cell r="B1266">
            <v>0</v>
          </cell>
          <cell r="C1266" t="str">
            <v>Vật liệu</v>
          </cell>
          <cell r="D1266">
            <v>0</v>
          </cell>
          <cell r="E1266">
            <v>0</v>
          </cell>
          <cell r="F1266">
            <v>0</v>
          </cell>
          <cell r="G1266">
            <v>0</v>
          </cell>
          <cell r="H1266">
            <v>0</v>
          </cell>
          <cell r="I1266">
            <v>0</v>
          </cell>
        </row>
        <row r="1267">
          <cell r="A1267">
            <v>0</v>
          </cell>
          <cell r="B1267" t="str">
            <v>VL221</v>
          </cell>
          <cell r="C1267" t="str">
            <v>Điện năng</v>
          </cell>
          <cell r="D1267" t="str">
            <v>Kwh</v>
          </cell>
          <cell r="E1267">
            <v>2.4</v>
          </cell>
          <cell r="F1267">
            <v>1622.01</v>
          </cell>
          <cell r="G1267">
            <v>3892.8239999999996</v>
          </cell>
          <cell r="H1267">
            <v>0</v>
          </cell>
          <cell r="I1267">
            <v>0</v>
          </cell>
        </row>
        <row r="1268">
          <cell r="A1268">
            <v>0</v>
          </cell>
          <cell r="B1268" t="str">
            <v>VL198</v>
          </cell>
          <cell r="C1268" t="str">
            <v>Dây điện 2x1,5mm2</v>
          </cell>
          <cell r="D1268" t="str">
            <v>m</v>
          </cell>
          <cell r="E1268">
            <v>0.16</v>
          </cell>
          <cell r="F1268">
            <v>9027.2727272727261</v>
          </cell>
          <cell r="G1268">
            <v>1444.3636363636363</v>
          </cell>
          <cell r="H1268">
            <v>0</v>
          </cell>
          <cell r="I1268">
            <v>0</v>
          </cell>
        </row>
        <row r="1269">
          <cell r="A1269">
            <v>0</v>
          </cell>
          <cell r="B1269" t="str">
            <v>VL176</v>
          </cell>
          <cell r="C1269" t="str">
            <v>Giẻ lau</v>
          </cell>
          <cell r="D1269" t="str">
            <v>kg</v>
          </cell>
          <cell r="E1269">
            <v>0.08</v>
          </cell>
          <cell r="F1269">
            <v>5000</v>
          </cell>
          <cell r="G1269">
            <v>400</v>
          </cell>
          <cell r="H1269">
            <v>0</v>
          </cell>
          <cell r="I1269">
            <v>0</v>
          </cell>
        </row>
        <row r="1270">
          <cell r="A1270">
            <v>0</v>
          </cell>
          <cell r="B1270" t="str">
            <v>VL186</v>
          </cell>
          <cell r="C1270" t="str">
            <v>Giấy nhám số 0</v>
          </cell>
          <cell r="D1270" t="str">
            <v>tờ</v>
          </cell>
          <cell r="E1270">
            <v>0.24</v>
          </cell>
          <cell r="F1270">
            <v>2000</v>
          </cell>
          <cell r="G1270">
            <v>480</v>
          </cell>
          <cell r="H1270">
            <v>0</v>
          </cell>
          <cell r="I1270">
            <v>0</v>
          </cell>
        </row>
        <row r="1271">
          <cell r="A1271">
            <v>0</v>
          </cell>
          <cell r="B1271">
            <v>0</v>
          </cell>
          <cell r="C1271" t="str">
            <v>Nhân công</v>
          </cell>
          <cell r="D1271">
            <v>0</v>
          </cell>
          <cell r="E1271">
            <v>0</v>
          </cell>
          <cell r="F1271">
            <v>0</v>
          </cell>
          <cell r="G1271">
            <v>0</v>
          </cell>
          <cell r="H1271">
            <v>0</v>
          </cell>
          <cell r="I1271">
            <v>0</v>
          </cell>
        </row>
        <row r="1272">
          <cell r="A1272">
            <v>0</v>
          </cell>
          <cell r="B1272" t="str">
            <v>KS3</v>
          </cell>
          <cell r="C1272" t="str">
            <v>Kỹ sư bậc 3,0/8</v>
          </cell>
          <cell r="D1272" t="str">
            <v>công</v>
          </cell>
          <cell r="E1272">
            <v>1.32</v>
          </cell>
          <cell r="F1272">
            <v>213300</v>
          </cell>
          <cell r="G1272">
            <v>0</v>
          </cell>
          <cell r="H1272">
            <v>281556</v>
          </cell>
          <cell r="I1272">
            <v>0</v>
          </cell>
        </row>
        <row r="1273">
          <cell r="A1273">
            <v>0</v>
          </cell>
          <cell r="B1273" t="str">
            <v>N4407</v>
          </cell>
          <cell r="C1273" t="str">
            <v xml:space="preserve"> Nhân công bậc 4,0/7 - Nhóm 4</v>
          </cell>
          <cell r="D1273" t="str">
            <v>công</v>
          </cell>
          <cell r="E1273">
            <v>0.56999999999999995</v>
          </cell>
          <cell r="F1273">
            <v>257269.73684210525</v>
          </cell>
          <cell r="G1273">
            <v>0</v>
          </cell>
          <cell r="H1273">
            <v>146643.74999999997</v>
          </cell>
          <cell r="I1273">
            <v>0</v>
          </cell>
        </row>
        <row r="1274">
          <cell r="A1274">
            <v>0</v>
          </cell>
          <cell r="B1274">
            <v>0</v>
          </cell>
          <cell r="C1274" t="str">
            <v>Máy thi công</v>
          </cell>
          <cell r="D1274">
            <v>0</v>
          </cell>
          <cell r="E1274">
            <v>0</v>
          </cell>
          <cell r="F1274">
            <v>0</v>
          </cell>
          <cell r="G1274">
            <v>0</v>
          </cell>
          <cell r="H1274">
            <v>0</v>
          </cell>
          <cell r="I1274">
            <v>0</v>
          </cell>
        </row>
        <row r="1275">
          <cell r="A1275">
            <v>0</v>
          </cell>
          <cell r="B1275" t="str">
            <v>M203.0027</v>
          </cell>
          <cell r="C1275" t="str">
            <v>Thiết bị tạo dòng điện</v>
          </cell>
          <cell r="D1275" t="str">
            <v>ca</v>
          </cell>
          <cell r="E1275">
            <v>0.16300000000000001</v>
          </cell>
          <cell r="F1275">
            <v>397537.95454545459</v>
          </cell>
          <cell r="G1275">
            <v>0</v>
          </cell>
          <cell r="H1275">
            <v>0</v>
          </cell>
          <cell r="I1275">
            <v>64798.686590909099</v>
          </cell>
        </row>
        <row r="1276">
          <cell r="A1276">
            <v>0</v>
          </cell>
          <cell r="B1276" t="str">
            <v>M203.0025</v>
          </cell>
          <cell r="C1276" t="str">
            <v>Megôm met</v>
          </cell>
          <cell r="D1276" t="str">
            <v>ca</v>
          </cell>
          <cell r="E1276">
            <v>0.08</v>
          </cell>
          <cell r="F1276">
            <v>40127.500000000007</v>
          </cell>
          <cell r="G1276">
            <v>0</v>
          </cell>
          <cell r="H1276">
            <v>0</v>
          </cell>
          <cell r="I1276">
            <v>3210.2000000000007</v>
          </cell>
        </row>
        <row r="1277">
          <cell r="A1277">
            <v>0</v>
          </cell>
          <cell r="B1277" t="str">
            <v>M203.0016</v>
          </cell>
          <cell r="C1277" t="str">
            <v>Máy đo điện trở tiếp xúc</v>
          </cell>
          <cell r="D1277" t="str">
            <v>ca</v>
          </cell>
          <cell r="E1277">
            <v>0.109</v>
          </cell>
          <cell r="F1277">
            <v>83447.159090909103</v>
          </cell>
          <cell r="G1277">
            <v>0</v>
          </cell>
          <cell r="H1277">
            <v>0</v>
          </cell>
          <cell r="I1277">
            <v>9095.740340909093</v>
          </cell>
        </row>
        <row r="1278">
          <cell r="A1278" t="str">
            <v>EB.71030</v>
          </cell>
          <cell r="B1278">
            <v>0</v>
          </cell>
          <cell r="C1278" t="str">
            <v>Thí nghiệm Aptomat và khởi động từ, dòng điện 500-&lt;1000A</v>
          </cell>
          <cell r="D1278" t="str">
            <v>cái</v>
          </cell>
          <cell r="E1278">
            <v>0</v>
          </cell>
          <cell r="F1278">
            <v>0</v>
          </cell>
          <cell r="G1278">
            <v>4973.7501090909091</v>
          </cell>
          <cell r="H1278">
            <v>301276.89473684214</v>
          </cell>
          <cell r="I1278">
            <v>61905.534886363646</v>
          </cell>
        </row>
        <row r="1279">
          <cell r="A1279">
            <v>0</v>
          </cell>
          <cell r="B1279">
            <v>0</v>
          </cell>
          <cell r="C1279" t="str">
            <v>Vật liệu</v>
          </cell>
          <cell r="D1279">
            <v>0</v>
          </cell>
          <cell r="E1279">
            <v>0</v>
          </cell>
          <cell r="F1279">
            <v>0</v>
          </cell>
          <cell r="G1279">
            <v>0</v>
          </cell>
          <cell r="H1279">
            <v>0</v>
          </cell>
          <cell r="I1279">
            <v>0</v>
          </cell>
        </row>
        <row r="1280">
          <cell r="A1280">
            <v>0</v>
          </cell>
          <cell r="B1280" t="str">
            <v>VL221</v>
          </cell>
          <cell r="C1280" t="str">
            <v>Điện năng</v>
          </cell>
          <cell r="D1280" t="str">
            <v>Kwh</v>
          </cell>
          <cell r="E1280">
            <v>1.92</v>
          </cell>
          <cell r="F1280">
            <v>1622.01</v>
          </cell>
          <cell r="G1280">
            <v>3114.2592</v>
          </cell>
          <cell r="H1280">
            <v>0</v>
          </cell>
          <cell r="I1280">
            <v>0</v>
          </cell>
        </row>
        <row r="1281">
          <cell r="A1281">
            <v>0</v>
          </cell>
          <cell r="B1281" t="str">
            <v>VL198</v>
          </cell>
          <cell r="C1281" t="str">
            <v>Dây điện 2x1,5mm2</v>
          </cell>
          <cell r="D1281" t="str">
            <v>m</v>
          </cell>
          <cell r="E1281">
            <v>0.128</v>
          </cell>
          <cell r="F1281">
            <v>9027.2727272727261</v>
          </cell>
          <cell r="G1281">
            <v>1155.4909090909089</v>
          </cell>
          <cell r="H1281">
            <v>0</v>
          </cell>
          <cell r="I1281">
            <v>0</v>
          </cell>
        </row>
        <row r="1282">
          <cell r="A1282">
            <v>0</v>
          </cell>
          <cell r="B1282" t="str">
            <v>VL176</v>
          </cell>
          <cell r="C1282" t="str">
            <v>Giẻ lau</v>
          </cell>
          <cell r="D1282" t="str">
            <v>kg</v>
          </cell>
          <cell r="E1282">
            <v>6.4000000000000001E-2</v>
          </cell>
          <cell r="F1282">
            <v>5000</v>
          </cell>
          <cell r="G1282">
            <v>320</v>
          </cell>
          <cell r="H1282">
            <v>0</v>
          </cell>
          <cell r="I1282">
            <v>0</v>
          </cell>
        </row>
        <row r="1283">
          <cell r="A1283">
            <v>0</v>
          </cell>
          <cell r="B1283" t="str">
            <v>VL186</v>
          </cell>
          <cell r="C1283" t="str">
            <v>Giấy nhám số 0</v>
          </cell>
          <cell r="D1283" t="str">
            <v>tờ</v>
          </cell>
          <cell r="E1283">
            <v>0.192</v>
          </cell>
          <cell r="F1283">
            <v>2000</v>
          </cell>
          <cell r="G1283">
            <v>384</v>
          </cell>
          <cell r="H1283">
            <v>0</v>
          </cell>
          <cell r="I1283">
            <v>0</v>
          </cell>
        </row>
        <row r="1284">
          <cell r="A1284">
            <v>0</v>
          </cell>
          <cell r="B1284">
            <v>0</v>
          </cell>
          <cell r="C1284" t="str">
            <v>Nhân công</v>
          </cell>
          <cell r="D1284">
            <v>0</v>
          </cell>
          <cell r="E1284">
            <v>0</v>
          </cell>
          <cell r="F1284">
            <v>0</v>
          </cell>
          <cell r="G1284">
            <v>0</v>
          </cell>
          <cell r="H1284">
            <v>0</v>
          </cell>
          <cell r="I1284">
            <v>0</v>
          </cell>
        </row>
        <row r="1285">
          <cell r="A1285">
            <v>0</v>
          </cell>
          <cell r="B1285" t="str">
            <v>KS3</v>
          </cell>
          <cell r="C1285" t="str">
            <v>Kỹ sư bậc 3,0/8</v>
          </cell>
          <cell r="D1285" t="str">
            <v>công</v>
          </cell>
          <cell r="E1285">
            <v>0.93</v>
          </cell>
          <cell r="F1285">
            <v>213300</v>
          </cell>
          <cell r="G1285">
            <v>0</v>
          </cell>
          <cell r="H1285">
            <v>198369</v>
          </cell>
          <cell r="I1285">
            <v>0</v>
          </cell>
        </row>
        <row r="1286">
          <cell r="A1286">
            <v>0</v>
          </cell>
          <cell r="B1286" t="str">
            <v>N4407</v>
          </cell>
          <cell r="C1286" t="str">
            <v xml:space="preserve"> Nhân công bậc 4,0/7 - Nhóm 4</v>
          </cell>
          <cell r="D1286" t="str">
            <v>công</v>
          </cell>
          <cell r="E1286">
            <v>0.4</v>
          </cell>
          <cell r="F1286">
            <v>257269.73684210525</v>
          </cell>
          <cell r="G1286">
            <v>0</v>
          </cell>
          <cell r="H1286">
            <v>102907.89473684211</v>
          </cell>
          <cell r="I1286">
            <v>0</v>
          </cell>
        </row>
        <row r="1287">
          <cell r="A1287">
            <v>0</v>
          </cell>
          <cell r="B1287">
            <v>0</v>
          </cell>
          <cell r="C1287" t="str">
            <v>Máy thi công</v>
          </cell>
          <cell r="D1287">
            <v>0</v>
          </cell>
          <cell r="E1287">
            <v>0</v>
          </cell>
          <cell r="F1287">
            <v>0</v>
          </cell>
          <cell r="G1287">
            <v>0</v>
          </cell>
          <cell r="H1287">
            <v>0</v>
          </cell>
          <cell r="I1287">
            <v>0</v>
          </cell>
        </row>
        <row r="1288">
          <cell r="A1288">
            <v>0</v>
          </cell>
          <cell r="B1288" t="str">
            <v>M203.0027</v>
          </cell>
          <cell r="C1288" t="str">
            <v>Thiết bị tạo dòng điện</v>
          </cell>
          <cell r="D1288" t="str">
            <v>ca</v>
          </cell>
          <cell r="E1288">
            <v>0.13100000000000001</v>
          </cell>
          <cell r="F1288">
            <v>397537.95454545459</v>
          </cell>
          <cell r="G1288">
            <v>0</v>
          </cell>
          <cell r="H1288">
            <v>0</v>
          </cell>
          <cell r="I1288">
            <v>52077.472045454553</v>
          </cell>
        </row>
        <row r="1289">
          <cell r="A1289">
            <v>0</v>
          </cell>
          <cell r="B1289" t="str">
            <v>M203.0025</v>
          </cell>
          <cell r="C1289" t="str">
            <v>Megôm met</v>
          </cell>
          <cell r="D1289" t="str">
            <v>ca</v>
          </cell>
          <cell r="E1289">
            <v>6.4000000000000001E-2</v>
          </cell>
          <cell r="F1289">
            <v>40127.500000000007</v>
          </cell>
          <cell r="G1289">
            <v>0</v>
          </cell>
          <cell r="H1289">
            <v>0</v>
          </cell>
          <cell r="I1289">
            <v>2568.1600000000003</v>
          </cell>
        </row>
        <row r="1290">
          <cell r="A1290">
            <v>0</v>
          </cell>
          <cell r="B1290" t="str">
            <v>M203.0016</v>
          </cell>
          <cell r="C1290" t="str">
            <v>Máy đo điện trở tiếp xúc</v>
          </cell>
          <cell r="D1290" t="str">
            <v>ca</v>
          </cell>
          <cell r="E1290">
            <v>8.6999999999999994E-2</v>
          </cell>
          <cell r="F1290">
            <v>83447.159090909103</v>
          </cell>
          <cell r="G1290">
            <v>0</v>
          </cell>
          <cell r="H1290">
            <v>0</v>
          </cell>
          <cell r="I1290">
            <v>7259.9028409090915</v>
          </cell>
        </row>
        <row r="1291">
          <cell r="A1291" t="str">
            <v>EB.71040</v>
          </cell>
          <cell r="B1291">
            <v>0</v>
          </cell>
          <cell r="C1291" t="str">
            <v>Thí nghiệm Aptomat và khởi động từ, dòng điện 300-&lt;500A</v>
          </cell>
          <cell r="D1291" t="str">
            <v>cái</v>
          </cell>
          <cell r="E1291">
            <v>0</v>
          </cell>
          <cell r="F1291">
            <v>0</v>
          </cell>
          <cell r="G1291">
            <v>3975.1891781818181</v>
          </cell>
          <cell r="H1291">
            <v>240168.31578947368</v>
          </cell>
          <cell r="I1291">
            <v>49231.750909090915</v>
          </cell>
        </row>
        <row r="1292">
          <cell r="A1292">
            <v>0</v>
          </cell>
          <cell r="B1292">
            <v>0</v>
          </cell>
          <cell r="C1292" t="str">
            <v>Vật liệu</v>
          </cell>
          <cell r="D1292">
            <v>0</v>
          </cell>
          <cell r="E1292">
            <v>0</v>
          </cell>
          <cell r="F1292">
            <v>0</v>
          </cell>
          <cell r="G1292">
            <v>0</v>
          </cell>
          <cell r="H1292">
            <v>0</v>
          </cell>
          <cell r="I1292">
            <v>0</v>
          </cell>
        </row>
        <row r="1293">
          <cell r="A1293">
            <v>0</v>
          </cell>
          <cell r="B1293" t="str">
            <v>VL221</v>
          </cell>
          <cell r="C1293" t="str">
            <v>Điện năng</v>
          </cell>
          <cell r="D1293" t="str">
            <v>Kwh</v>
          </cell>
          <cell r="E1293">
            <v>1.536</v>
          </cell>
          <cell r="F1293">
            <v>1622.01</v>
          </cell>
          <cell r="G1293">
            <v>2491.4073600000002</v>
          </cell>
          <cell r="H1293">
            <v>0</v>
          </cell>
          <cell r="I1293">
            <v>0</v>
          </cell>
        </row>
        <row r="1294">
          <cell r="A1294">
            <v>0</v>
          </cell>
          <cell r="B1294" t="str">
            <v>VL198</v>
          </cell>
          <cell r="C1294" t="str">
            <v>Dây điện 2x1,5mm2</v>
          </cell>
          <cell r="D1294" t="str">
            <v>m</v>
          </cell>
          <cell r="E1294">
            <v>0.10199999999999999</v>
          </cell>
          <cell r="F1294">
            <v>9027.2727272727261</v>
          </cell>
          <cell r="G1294">
            <v>920.78181818181804</v>
          </cell>
          <cell r="H1294">
            <v>0</v>
          </cell>
          <cell r="I1294">
            <v>0</v>
          </cell>
        </row>
        <row r="1295">
          <cell r="A1295">
            <v>0</v>
          </cell>
          <cell r="B1295" t="str">
            <v>VL176</v>
          </cell>
          <cell r="C1295" t="str">
            <v>Giẻ lau</v>
          </cell>
          <cell r="D1295" t="str">
            <v>kg</v>
          </cell>
          <cell r="E1295">
            <v>5.0999999999999997E-2</v>
          </cell>
          <cell r="F1295">
            <v>5000</v>
          </cell>
          <cell r="G1295">
            <v>254.99999999999997</v>
          </cell>
          <cell r="H1295">
            <v>0</v>
          </cell>
          <cell r="I1295">
            <v>0</v>
          </cell>
        </row>
        <row r="1296">
          <cell r="A1296">
            <v>0</v>
          </cell>
          <cell r="B1296" t="str">
            <v>VL186</v>
          </cell>
          <cell r="C1296" t="str">
            <v>Giấy nhám số 0</v>
          </cell>
          <cell r="D1296" t="str">
            <v>tờ</v>
          </cell>
          <cell r="E1296">
            <v>0.154</v>
          </cell>
          <cell r="F1296">
            <v>2000</v>
          </cell>
          <cell r="G1296">
            <v>308</v>
          </cell>
          <cell r="H1296">
            <v>0</v>
          </cell>
          <cell r="I1296">
            <v>0</v>
          </cell>
        </row>
        <row r="1297">
          <cell r="A1297">
            <v>0</v>
          </cell>
          <cell r="B1297">
            <v>0</v>
          </cell>
          <cell r="C1297" t="str">
            <v>Nhân công</v>
          </cell>
          <cell r="D1297">
            <v>0</v>
          </cell>
          <cell r="E1297">
            <v>0</v>
          </cell>
          <cell r="F1297">
            <v>0</v>
          </cell>
          <cell r="G1297">
            <v>0</v>
          </cell>
          <cell r="H1297">
            <v>0</v>
          </cell>
          <cell r="I1297">
            <v>0</v>
          </cell>
        </row>
        <row r="1298">
          <cell r="A1298">
            <v>0</v>
          </cell>
          <cell r="B1298" t="str">
            <v>KS3</v>
          </cell>
          <cell r="C1298" t="str">
            <v>Kỹ sư bậc 3,0/8</v>
          </cell>
          <cell r="D1298" t="str">
            <v>công</v>
          </cell>
          <cell r="E1298">
            <v>0.74</v>
          </cell>
          <cell r="F1298">
            <v>213300</v>
          </cell>
          <cell r="G1298">
            <v>0</v>
          </cell>
          <cell r="H1298">
            <v>157842</v>
          </cell>
          <cell r="I1298">
            <v>0</v>
          </cell>
        </row>
        <row r="1299">
          <cell r="A1299">
            <v>0</v>
          </cell>
          <cell r="B1299" t="str">
            <v>N4407</v>
          </cell>
          <cell r="C1299" t="str">
            <v xml:space="preserve"> Nhân công bậc 4,0/7 - Nhóm 4</v>
          </cell>
          <cell r="D1299" t="str">
            <v>công</v>
          </cell>
          <cell r="E1299">
            <v>0.32</v>
          </cell>
          <cell r="F1299">
            <v>257269.73684210525</v>
          </cell>
          <cell r="G1299">
            <v>0</v>
          </cell>
          <cell r="H1299">
            <v>82326.31578947368</v>
          </cell>
          <cell r="I1299">
            <v>0</v>
          </cell>
        </row>
        <row r="1300">
          <cell r="A1300">
            <v>0</v>
          </cell>
          <cell r="B1300">
            <v>0</v>
          </cell>
          <cell r="C1300" t="str">
            <v>Máy thi công</v>
          </cell>
          <cell r="D1300">
            <v>0</v>
          </cell>
          <cell r="E1300">
            <v>0</v>
          </cell>
          <cell r="F1300">
            <v>0</v>
          </cell>
          <cell r="G1300">
            <v>0</v>
          </cell>
          <cell r="H1300">
            <v>0</v>
          </cell>
          <cell r="I1300">
            <v>0</v>
          </cell>
        </row>
        <row r="1301">
          <cell r="A1301">
            <v>0</v>
          </cell>
          <cell r="B1301" t="str">
            <v>M203.0027</v>
          </cell>
          <cell r="C1301" t="str">
            <v>Thiết bị tạo dòng điện</v>
          </cell>
          <cell r="D1301" t="str">
            <v>ca</v>
          </cell>
          <cell r="E1301">
            <v>0.104</v>
          </cell>
          <cell r="F1301">
            <v>397537.95454545459</v>
          </cell>
          <cell r="G1301">
            <v>0</v>
          </cell>
          <cell r="H1301">
            <v>0</v>
          </cell>
          <cell r="I1301">
            <v>41343.947272727273</v>
          </cell>
        </row>
        <row r="1302">
          <cell r="A1302">
            <v>0</v>
          </cell>
          <cell r="B1302" t="str">
            <v>M203.0025</v>
          </cell>
          <cell r="C1302" t="str">
            <v>Megôm met</v>
          </cell>
          <cell r="D1302" t="str">
            <v>ca</v>
          </cell>
          <cell r="E1302">
            <v>5.0999999999999997E-2</v>
          </cell>
          <cell r="F1302">
            <v>40127.500000000007</v>
          </cell>
          <cell r="G1302">
            <v>0</v>
          </cell>
          <cell r="H1302">
            <v>0</v>
          </cell>
          <cell r="I1302">
            <v>2046.5025000000003</v>
          </cell>
        </row>
        <row r="1303">
          <cell r="A1303">
            <v>0</v>
          </cell>
          <cell r="B1303" t="str">
            <v>M203.0016</v>
          </cell>
          <cell r="C1303" t="str">
            <v>Máy đo điện trở tiếp xúc</v>
          </cell>
          <cell r="D1303" t="str">
            <v>ca</v>
          </cell>
          <cell r="E1303">
            <v>7.0000000000000007E-2</v>
          </cell>
          <cell r="F1303">
            <v>83447.159090909103</v>
          </cell>
          <cell r="G1303">
            <v>0</v>
          </cell>
          <cell r="H1303">
            <v>0</v>
          </cell>
          <cell r="I1303">
            <v>5841.3011363636379</v>
          </cell>
        </row>
        <row r="1304">
          <cell r="A1304" t="str">
            <v>EB.72010</v>
          </cell>
          <cell r="B1304">
            <v>0</v>
          </cell>
          <cell r="C1304" t="str">
            <v>Thí nghiệm Aptomat và khởi động từ, dòng điện &lt;300A</v>
          </cell>
          <cell r="D1304" t="str">
            <v>cái</v>
          </cell>
          <cell r="E1304">
            <v>0</v>
          </cell>
          <cell r="F1304">
            <v>0</v>
          </cell>
          <cell r="G1304">
            <v>2789.6243863636364</v>
          </cell>
          <cell r="H1304">
            <v>212813.5263157895</v>
          </cell>
          <cell r="I1304">
            <v>34553.771477272727</v>
          </cell>
        </row>
        <row r="1305">
          <cell r="A1305">
            <v>0</v>
          </cell>
          <cell r="B1305">
            <v>0</v>
          </cell>
          <cell r="C1305" t="str">
            <v>Vật liệu</v>
          </cell>
          <cell r="D1305">
            <v>0</v>
          </cell>
          <cell r="E1305">
            <v>0</v>
          </cell>
          <cell r="F1305">
            <v>0</v>
          </cell>
          <cell r="G1305">
            <v>0</v>
          </cell>
          <cell r="H1305">
            <v>0</v>
          </cell>
          <cell r="I1305">
            <v>0</v>
          </cell>
        </row>
        <row r="1306">
          <cell r="A1306">
            <v>0</v>
          </cell>
          <cell r="B1306" t="str">
            <v>VL221</v>
          </cell>
          <cell r="C1306" t="str">
            <v>Điện năng</v>
          </cell>
          <cell r="D1306" t="str">
            <v>Kwh</v>
          </cell>
          <cell r="E1306">
            <v>1.075</v>
          </cell>
          <cell r="F1306">
            <v>1622.01</v>
          </cell>
          <cell r="G1306">
            <v>1743.66075</v>
          </cell>
          <cell r="H1306">
            <v>0</v>
          </cell>
          <cell r="I1306">
            <v>0</v>
          </cell>
        </row>
        <row r="1307">
          <cell r="A1307">
            <v>0</v>
          </cell>
          <cell r="B1307" t="str">
            <v>VL198</v>
          </cell>
          <cell r="C1307" t="str">
            <v>Dây điện 2x1,5mm2</v>
          </cell>
          <cell r="D1307" t="str">
            <v>m</v>
          </cell>
          <cell r="E1307">
            <v>7.1999999999999995E-2</v>
          </cell>
          <cell r="F1307">
            <v>9027.2727272727261</v>
          </cell>
          <cell r="G1307">
            <v>649.96363636363628</v>
          </cell>
          <cell r="H1307">
            <v>0</v>
          </cell>
          <cell r="I1307">
            <v>0</v>
          </cell>
        </row>
        <row r="1308">
          <cell r="A1308">
            <v>0</v>
          </cell>
          <cell r="B1308" t="str">
            <v>VL176</v>
          </cell>
          <cell r="C1308" t="str">
            <v>Giẻ lau</v>
          </cell>
          <cell r="D1308" t="str">
            <v>kg</v>
          </cell>
          <cell r="E1308">
            <v>3.5999999999999997E-2</v>
          </cell>
          <cell r="F1308">
            <v>5000</v>
          </cell>
          <cell r="G1308">
            <v>180</v>
          </cell>
          <cell r="H1308">
            <v>0</v>
          </cell>
          <cell r="I1308">
            <v>0</v>
          </cell>
        </row>
        <row r="1309">
          <cell r="A1309">
            <v>0</v>
          </cell>
          <cell r="B1309" t="str">
            <v>VL186</v>
          </cell>
          <cell r="C1309" t="str">
            <v>Giấy nhám số 0</v>
          </cell>
          <cell r="D1309" t="str">
            <v>tờ</v>
          </cell>
          <cell r="E1309">
            <v>0.108</v>
          </cell>
          <cell r="F1309">
            <v>2000</v>
          </cell>
          <cell r="G1309">
            <v>216</v>
          </cell>
          <cell r="H1309">
            <v>0</v>
          </cell>
          <cell r="I1309">
            <v>0</v>
          </cell>
        </row>
        <row r="1310">
          <cell r="A1310">
            <v>0</v>
          </cell>
          <cell r="B1310">
            <v>0</v>
          </cell>
          <cell r="C1310" t="str">
            <v>Nhân công</v>
          </cell>
          <cell r="D1310">
            <v>0</v>
          </cell>
          <cell r="E1310">
            <v>0</v>
          </cell>
          <cell r="F1310">
            <v>0</v>
          </cell>
          <cell r="G1310">
            <v>0</v>
          </cell>
          <cell r="H1310">
            <v>0</v>
          </cell>
          <cell r="I1310">
            <v>0</v>
          </cell>
        </row>
        <row r="1311">
          <cell r="A1311">
            <v>0</v>
          </cell>
          <cell r="B1311" t="str">
            <v>KS3</v>
          </cell>
          <cell r="C1311" t="str">
            <v>Kỹ sư bậc 3,0/8</v>
          </cell>
          <cell r="D1311" t="str">
            <v>công</v>
          </cell>
          <cell r="E1311">
            <v>0.66</v>
          </cell>
          <cell r="F1311">
            <v>213300</v>
          </cell>
          <cell r="G1311">
            <v>0</v>
          </cell>
          <cell r="H1311">
            <v>140778</v>
          </cell>
          <cell r="I1311">
            <v>0</v>
          </cell>
        </row>
        <row r="1312">
          <cell r="A1312">
            <v>0</v>
          </cell>
          <cell r="B1312" t="str">
            <v>N4407</v>
          </cell>
          <cell r="C1312" t="str">
            <v xml:space="preserve"> Nhân công bậc 4,0/7 - Nhóm 4</v>
          </cell>
          <cell r="D1312" t="str">
            <v>công</v>
          </cell>
          <cell r="E1312">
            <v>0.28000000000000003</v>
          </cell>
          <cell r="F1312">
            <v>257269.73684210525</v>
          </cell>
          <cell r="G1312">
            <v>0</v>
          </cell>
          <cell r="H1312">
            <v>72035.526315789481</v>
          </cell>
          <cell r="I1312">
            <v>0</v>
          </cell>
        </row>
        <row r="1313">
          <cell r="A1313">
            <v>0</v>
          </cell>
          <cell r="B1313">
            <v>0</v>
          </cell>
          <cell r="C1313" t="str">
            <v>Máy thi công</v>
          </cell>
          <cell r="D1313">
            <v>0</v>
          </cell>
          <cell r="E1313">
            <v>0</v>
          </cell>
          <cell r="F1313">
            <v>0</v>
          </cell>
          <cell r="G1313">
            <v>0</v>
          </cell>
          <cell r="H1313">
            <v>0</v>
          </cell>
          <cell r="I1313">
            <v>0</v>
          </cell>
        </row>
        <row r="1314">
          <cell r="A1314">
            <v>0</v>
          </cell>
          <cell r="B1314" t="str">
            <v>M203.0027</v>
          </cell>
          <cell r="C1314" t="str">
            <v>Thiết bị tạo dòng điện</v>
          </cell>
          <cell r="D1314" t="str">
            <v>ca</v>
          </cell>
          <cell r="E1314">
            <v>7.2999999999999995E-2</v>
          </cell>
          <cell r="F1314">
            <v>397537.95454545459</v>
          </cell>
          <cell r="G1314">
            <v>0</v>
          </cell>
          <cell r="H1314">
            <v>0</v>
          </cell>
          <cell r="I1314">
            <v>29020.270681818183</v>
          </cell>
        </row>
        <row r="1315">
          <cell r="A1315">
            <v>0</v>
          </cell>
          <cell r="B1315" t="str">
            <v>M203.0025</v>
          </cell>
          <cell r="C1315" t="str">
            <v>Megôm met</v>
          </cell>
          <cell r="D1315" t="str">
            <v>ca</v>
          </cell>
          <cell r="E1315">
            <v>3.5999999999999997E-2</v>
          </cell>
          <cell r="F1315">
            <v>40127.500000000007</v>
          </cell>
          <cell r="G1315">
            <v>0</v>
          </cell>
          <cell r="H1315">
            <v>0</v>
          </cell>
          <cell r="I1315">
            <v>1444.5900000000001</v>
          </cell>
        </row>
        <row r="1316">
          <cell r="A1316">
            <v>0</v>
          </cell>
          <cell r="B1316" t="str">
            <v>M203.0016</v>
          </cell>
          <cell r="C1316" t="str">
            <v>Máy đo điện trở tiếp xúc</v>
          </cell>
          <cell r="D1316" t="str">
            <v>ca</v>
          </cell>
          <cell r="E1316">
            <v>4.9000000000000002E-2</v>
          </cell>
          <cell r="F1316">
            <v>83447.159090909103</v>
          </cell>
          <cell r="G1316">
            <v>0</v>
          </cell>
          <cell r="H1316">
            <v>0</v>
          </cell>
          <cell r="I1316">
            <v>4088.9107954545461</v>
          </cell>
        </row>
        <row r="1317">
          <cell r="A1317" t="str">
            <v>EB.72020</v>
          </cell>
          <cell r="B1317">
            <v>0</v>
          </cell>
          <cell r="C1317" t="str">
            <v>Thí nghiệm Aptomat và khởi động từ, dòng điện &lt;=100A</v>
          </cell>
          <cell r="D1317" t="str">
            <v>cái</v>
          </cell>
          <cell r="E1317">
            <v>0</v>
          </cell>
          <cell r="F1317">
            <v>0</v>
          </cell>
          <cell r="G1317">
            <v>1947.7371663636363</v>
          </cell>
          <cell r="H1317">
            <v>149571.94736842107</v>
          </cell>
          <cell r="I1317">
            <v>24114.826590909095</v>
          </cell>
        </row>
        <row r="1318">
          <cell r="A1318">
            <v>0</v>
          </cell>
          <cell r="B1318">
            <v>0</v>
          </cell>
          <cell r="C1318" t="str">
            <v>Vật liệu</v>
          </cell>
          <cell r="D1318">
            <v>0</v>
          </cell>
          <cell r="E1318">
            <v>0</v>
          </cell>
          <cell r="F1318">
            <v>0</v>
          </cell>
          <cell r="G1318">
            <v>0</v>
          </cell>
          <cell r="H1318">
            <v>0</v>
          </cell>
          <cell r="I1318">
            <v>0</v>
          </cell>
        </row>
        <row r="1319">
          <cell r="A1319">
            <v>0</v>
          </cell>
          <cell r="B1319" t="str">
            <v>VL221</v>
          </cell>
          <cell r="C1319" t="str">
            <v>Điện năng</v>
          </cell>
          <cell r="D1319" t="str">
            <v>Kwh</v>
          </cell>
          <cell r="E1319">
            <v>0.753</v>
          </cell>
          <cell r="F1319">
            <v>1622.01</v>
          </cell>
          <cell r="G1319">
            <v>1221.3735300000001</v>
          </cell>
          <cell r="H1319">
            <v>0</v>
          </cell>
          <cell r="I1319">
            <v>0</v>
          </cell>
        </row>
        <row r="1320">
          <cell r="A1320">
            <v>0</v>
          </cell>
          <cell r="B1320" t="str">
            <v>VL198</v>
          </cell>
          <cell r="C1320" t="str">
            <v>Dây điện 2x1,5mm2</v>
          </cell>
          <cell r="D1320" t="str">
            <v>m</v>
          </cell>
          <cell r="E1320">
            <v>0.05</v>
          </cell>
          <cell r="F1320">
            <v>9027.2727272727261</v>
          </cell>
          <cell r="G1320">
            <v>451.36363636363632</v>
          </cell>
          <cell r="H1320">
            <v>0</v>
          </cell>
          <cell r="I1320">
            <v>0</v>
          </cell>
        </row>
        <row r="1321">
          <cell r="A1321">
            <v>0</v>
          </cell>
          <cell r="B1321" t="str">
            <v>VL176</v>
          </cell>
          <cell r="C1321" t="str">
            <v>Giẻ lau</v>
          </cell>
          <cell r="D1321" t="str">
            <v>kg</v>
          </cell>
          <cell r="E1321">
            <v>2.5000000000000001E-2</v>
          </cell>
          <cell r="F1321">
            <v>5000</v>
          </cell>
          <cell r="G1321">
            <v>125</v>
          </cell>
          <cell r="H1321">
            <v>0</v>
          </cell>
          <cell r="I1321">
            <v>0</v>
          </cell>
        </row>
        <row r="1322">
          <cell r="A1322">
            <v>0</v>
          </cell>
          <cell r="B1322" t="str">
            <v>VL186</v>
          </cell>
          <cell r="C1322" t="str">
            <v>Giấy nhám số 0</v>
          </cell>
          <cell r="D1322" t="str">
            <v>tờ</v>
          </cell>
          <cell r="E1322">
            <v>7.4999999999999997E-2</v>
          </cell>
          <cell r="F1322">
            <v>2000</v>
          </cell>
          <cell r="G1322">
            <v>150</v>
          </cell>
          <cell r="H1322">
            <v>0</v>
          </cell>
          <cell r="I1322">
            <v>0</v>
          </cell>
        </row>
        <row r="1323">
          <cell r="A1323">
            <v>0</v>
          </cell>
          <cell r="B1323">
            <v>0</v>
          </cell>
          <cell r="C1323" t="str">
            <v>Nhân công</v>
          </cell>
          <cell r="D1323">
            <v>0</v>
          </cell>
          <cell r="E1323">
            <v>0</v>
          </cell>
          <cell r="F1323">
            <v>0</v>
          </cell>
          <cell r="G1323">
            <v>0</v>
          </cell>
          <cell r="H1323">
            <v>0</v>
          </cell>
          <cell r="I1323">
            <v>0</v>
          </cell>
        </row>
        <row r="1324">
          <cell r="A1324">
            <v>0</v>
          </cell>
          <cell r="B1324" t="str">
            <v>KS3</v>
          </cell>
          <cell r="C1324" t="str">
            <v>Kỹ sư bậc 3,0/8</v>
          </cell>
          <cell r="D1324" t="str">
            <v>công</v>
          </cell>
          <cell r="E1324">
            <v>0.46</v>
          </cell>
          <cell r="F1324">
            <v>213300</v>
          </cell>
          <cell r="G1324">
            <v>0</v>
          </cell>
          <cell r="H1324">
            <v>98118</v>
          </cell>
          <cell r="I1324">
            <v>0</v>
          </cell>
        </row>
        <row r="1325">
          <cell r="A1325">
            <v>0</v>
          </cell>
          <cell r="B1325" t="str">
            <v>N4407</v>
          </cell>
          <cell r="C1325" t="str">
            <v xml:space="preserve"> Nhân công bậc 4,0/7 - Nhóm 4</v>
          </cell>
          <cell r="D1325" t="str">
            <v>công</v>
          </cell>
          <cell r="E1325">
            <v>0.2</v>
          </cell>
          <cell r="F1325">
            <v>257269.73684210525</v>
          </cell>
          <cell r="G1325">
            <v>0</v>
          </cell>
          <cell r="H1325">
            <v>51453.947368421053</v>
          </cell>
          <cell r="I1325">
            <v>0</v>
          </cell>
        </row>
        <row r="1326">
          <cell r="A1326">
            <v>0</v>
          </cell>
          <cell r="B1326">
            <v>0</v>
          </cell>
          <cell r="C1326" t="str">
            <v>Máy thi công</v>
          </cell>
          <cell r="D1326">
            <v>0</v>
          </cell>
          <cell r="E1326">
            <v>0</v>
          </cell>
          <cell r="F1326">
            <v>0</v>
          </cell>
          <cell r="G1326">
            <v>0</v>
          </cell>
          <cell r="H1326">
            <v>0</v>
          </cell>
          <cell r="I1326">
            <v>0</v>
          </cell>
        </row>
        <row r="1327">
          <cell r="A1327">
            <v>0</v>
          </cell>
          <cell r="B1327" t="str">
            <v>M203.0027</v>
          </cell>
          <cell r="C1327" t="str">
            <v>Thiết bị tạo dòng điện</v>
          </cell>
          <cell r="D1327" t="str">
            <v>ca</v>
          </cell>
          <cell r="E1327">
            <v>5.0999999999999997E-2</v>
          </cell>
          <cell r="F1327">
            <v>397537.95454545459</v>
          </cell>
          <cell r="G1327">
            <v>0</v>
          </cell>
          <cell r="H1327">
            <v>0</v>
          </cell>
          <cell r="I1327">
            <v>20274.435681818184</v>
          </cell>
        </row>
        <row r="1328">
          <cell r="A1328">
            <v>0</v>
          </cell>
          <cell r="B1328" t="str">
            <v>M203.0025</v>
          </cell>
          <cell r="C1328" t="str">
            <v>Megôm met</v>
          </cell>
          <cell r="D1328" t="str">
            <v>ca</v>
          </cell>
          <cell r="E1328">
            <v>2.5000000000000001E-2</v>
          </cell>
          <cell r="F1328">
            <v>40127.500000000007</v>
          </cell>
          <cell r="G1328">
            <v>0</v>
          </cell>
          <cell r="H1328">
            <v>0</v>
          </cell>
          <cell r="I1328">
            <v>1003.1875000000002</v>
          </cell>
        </row>
        <row r="1329">
          <cell r="A1329">
            <v>0</v>
          </cell>
          <cell r="B1329" t="str">
            <v>M203.0016</v>
          </cell>
          <cell r="C1329" t="str">
            <v>Máy đo điện trở tiếp xúc</v>
          </cell>
          <cell r="D1329" t="str">
            <v>ca</v>
          </cell>
          <cell r="E1329">
            <v>3.4000000000000002E-2</v>
          </cell>
          <cell r="F1329">
            <v>83447.159090909103</v>
          </cell>
          <cell r="G1329">
            <v>0</v>
          </cell>
          <cell r="H1329">
            <v>0</v>
          </cell>
          <cell r="I1329">
            <v>2837.2034090909096</v>
          </cell>
        </row>
        <row r="1330">
          <cell r="A1330" t="str">
            <v>EB.72030</v>
          </cell>
          <cell r="B1330">
            <v>0</v>
          </cell>
          <cell r="C1330" t="str">
            <v>Thí nghiệm Aptomat và khởi động từ, dòng điện &lt;=50A</v>
          </cell>
          <cell r="D1330" t="str">
            <v>cái</v>
          </cell>
          <cell r="E1330">
            <v>0</v>
          </cell>
          <cell r="F1330">
            <v>0</v>
          </cell>
          <cell r="G1330">
            <v>1479.8260836363634</v>
          </cell>
          <cell r="H1330">
            <v>113245.46052631579</v>
          </cell>
          <cell r="I1330">
            <v>18436.028863636366</v>
          </cell>
        </row>
        <row r="1331">
          <cell r="A1331">
            <v>0</v>
          </cell>
          <cell r="B1331">
            <v>0</v>
          </cell>
          <cell r="C1331" t="str">
            <v>Vật liệu</v>
          </cell>
          <cell r="D1331">
            <v>0</v>
          </cell>
          <cell r="E1331">
            <v>0</v>
          </cell>
          <cell r="F1331">
            <v>0</v>
          </cell>
          <cell r="G1331">
            <v>0</v>
          </cell>
          <cell r="H1331">
            <v>0</v>
          </cell>
          <cell r="I1331">
            <v>0</v>
          </cell>
        </row>
        <row r="1332">
          <cell r="A1332">
            <v>0</v>
          </cell>
          <cell r="B1332" t="str">
            <v>VL221</v>
          </cell>
          <cell r="C1332" t="str">
            <v>Điện năng</v>
          </cell>
          <cell r="D1332" t="str">
            <v>Kwh</v>
          </cell>
          <cell r="E1332">
            <v>0.57199999999999995</v>
          </cell>
          <cell r="F1332">
            <v>1622.01</v>
          </cell>
          <cell r="G1332">
            <v>927.78971999999987</v>
          </cell>
          <cell r="H1332">
            <v>0</v>
          </cell>
          <cell r="I1332">
            <v>0</v>
          </cell>
        </row>
        <row r="1333">
          <cell r="A1333">
            <v>0</v>
          </cell>
          <cell r="B1333" t="str">
            <v>VL198</v>
          </cell>
          <cell r="C1333" t="str">
            <v>Dây điện 2x1,5mm2</v>
          </cell>
          <cell r="D1333" t="str">
            <v>m</v>
          </cell>
          <cell r="E1333">
            <v>3.7999999999999999E-2</v>
          </cell>
          <cell r="F1333">
            <v>9027.2727272727261</v>
          </cell>
          <cell r="G1333">
            <v>343.0363636363636</v>
          </cell>
          <cell r="H1333">
            <v>0</v>
          </cell>
          <cell r="I1333">
            <v>0</v>
          </cell>
        </row>
        <row r="1334">
          <cell r="A1334">
            <v>0</v>
          </cell>
          <cell r="B1334" t="str">
            <v>VL176</v>
          </cell>
          <cell r="C1334" t="str">
            <v>Giẻ lau</v>
          </cell>
          <cell r="D1334" t="str">
            <v>kg</v>
          </cell>
          <cell r="E1334">
            <v>1.9E-2</v>
          </cell>
          <cell r="F1334">
            <v>5000</v>
          </cell>
          <cell r="G1334">
            <v>95</v>
          </cell>
          <cell r="H1334">
            <v>0</v>
          </cell>
          <cell r="I1334">
            <v>0</v>
          </cell>
        </row>
        <row r="1335">
          <cell r="A1335">
            <v>0</v>
          </cell>
          <cell r="B1335" t="str">
            <v>VL186</v>
          </cell>
          <cell r="C1335" t="str">
            <v>Giấy nhám số 0</v>
          </cell>
          <cell r="D1335" t="str">
            <v>tờ</v>
          </cell>
          <cell r="E1335">
            <v>5.7000000000000002E-2</v>
          </cell>
          <cell r="F1335">
            <v>2000</v>
          </cell>
          <cell r="G1335">
            <v>114</v>
          </cell>
          <cell r="H1335">
            <v>0</v>
          </cell>
          <cell r="I1335">
            <v>0</v>
          </cell>
        </row>
        <row r="1336">
          <cell r="A1336">
            <v>0</v>
          </cell>
          <cell r="B1336">
            <v>0</v>
          </cell>
          <cell r="C1336" t="str">
            <v>Nhân công</v>
          </cell>
          <cell r="D1336">
            <v>0</v>
          </cell>
          <cell r="E1336">
            <v>0</v>
          </cell>
          <cell r="F1336">
            <v>0</v>
          </cell>
          <cell r="G1336">
            <v>0</v>
          </cell>
          <cell r="H1336">
            <v>0</v>
          </cell>
          <cell r="I1336">
            <v>0</v>
          </cell>
        </row>
        <row r="1337">
          <cell r="A1337">
            <v>0</v>
          </cell>
          <cell r="B1337" t="str">
            <v>KS3</v>
          </cell>
          <cell r="C1337" t="str">
            <v>Kỹ sư bậc 3,0/8</v>
          </cell>
          <cell r="D1337" t="str">
            <v>công</v>
          </cell>
          <cell r="E1337">
            <v>0.35</v>
          </cell>
          <cell r="F1337">
            <v>213300</v>
          </cell>
          <cell r="G1337">
            <v>0</v>
          </cell>
          <cell r="H1337">
            <v>74655</v>
          </cell>
          <cell r="I1337">
            <v>0</v>
          </cell>
        </row>
        <row r="1338">
          <cell r="A1338">
            <v>0</v>
          </cell>
          <cell r="B1338" t="str">
            <v>N4407</v>
          </cell>
          <cell r="C1338" t="str">
            <v xml:space="preserve"> Nhân công bậc 4,0/7 - Nhóm 4</v>
          </cell>
          <cell r="D1338" t="str">
            <v>công</v>
          </cell>
          <cell r="E1338">
            <v>0.15</v>
          </cell>
          <cell r="F1338">
            <v>257269.73684210525</v>
          </cell>
          <cell r="G1338">
            <v>0</v>
          </cell>
          <cell r="H1338">
            <v>38590.460526315786</v>
          </cell>
          <cell r="I1338">
            <v>0</v>
          </cell>
        </row>
        <row r="1339">
          <cell r="A1339">
            <v>0</v>
          </cell>
          <cell r="B1339">
            <v>0</v>
          </cell>
          <cell r="C1339" t="str">
            <v>Máy thi công</v>
          </cell>
          <cell r="D1339">
            <v>0</v>
          </cell>
          <cell r="E1339">
            <v>0</v>
          </cell>
          <cell r="F1339">
            <v>0</v>
          </cell>
          <cell r="G1339">
            <v>0</v>
          </cell>
          <cell r="H1339">
            <v>0</v>
          </cell>
          <cell r="I1339">
            <v>0</v>
          </cell>
        </row>
        <row r="1340">
          <cell r="A1340">
            <v>0</v>
          </cell>
          <cell r="B1340" t="str">
            <v>M203.0027</v>
          </cell>
          <cell r="C1340" t="str">
            <v>Thiết bị tạo dòng điện</v>
          </cell>
          <cell r="D1340" t="str">
            <v>ca</v>
          </cell>
          <cell r="E1340">
            <v>3.9E-2</v>
          </cell>
          <cell r="F1340">
            <v>397537.95454545459</v>
          </cell>
          <cell r="G1340">
            <v>0</v>
          </cell>
          <cell r="H1340">
            <v>0</v>
          </cell>
          <cell r="I1340">
            <v>15503.980227272728</v>
          </cell>
        </row>
        <row r="1341">
          <cell r="A1341">
            <v>0</v>
          </cell>
          <cell r="B1341" t="str">
            <v>M203.0025</v>
          </cell>
          <cell r="C1341" t="str">
            <v>Megôm met</v>
          </cell>
          <cell r="D1341" t="str">
            <v>ca</v>
          </cell>
          <cell r="E1341">
            <v>1.9E-2</v>
          </cell>
          <cell r="F1341">
            <v>40127.500000000007</v>
          </cell>
          <cell r="G1341">
            <v>0</v>
          </cell>
          <cell r="H1341">
            <v>0</v>
          </cell>
          <cell r="I1341">
            <v>762.42250000000013</v>
          </cell>
        </row>
        <row r="1342">
          <cell r="A1342">
            <v>0</v>
          </cell>
          <cell r="B1342" t="str">
            <v>M203.0016</v>
          </cell>
          <cell r="C1342" t="str">
            <v>Máy đo điện trở tiếp xúc</v>
          </cell>
          <cell r="D1342" t="str">
            <v>ca</v>
          </cell>
          <cell r="E1342">
            <v>2.5999999999999999E-2</v>
          </cell>
          <cell r="F1342">
            <v>83447.159090909103</v>
          </cell>
          <cell r="G1342">
            <v>0</v>
          </cell>
          <cell r="H1342">
            <v>0</v>
          </cell>
          <cell r="I1342">
            <v>2169.6261363636368</v>
          </cell>
        </row>
        <row r="1343">
          <cell r="A1343" t="str">
            <v>EB.72040</v>
          </cell>
          <cell r="B1343">
            <v>0</v>
          </cell>
          <cell r="C1343" t="str">
            <v>Thí nghiệm Aptomat và khởi động từ, dòng điện &lt;=10A</v>
          </cell>
          <cell r="D1343" t="str">
            <v>cái</v>
          </cell>
          <cell r="E1343">
            <v>0</v>
          </cell>
          <cell r="F1343">
            <v>0</v>
          </cell>
          <cell r="G1343">
            <v>886.97670272727282</v>
          </cell>
          <cell r="H1343">
            <v>67947.276315789466</v>
          </cell>
          <cell r="I1343">
            <v>10919.93</v>
          </cell>
        </row>
        <row r="1344">
          <cell r="A1344">
            <v>0</v>
          </cell>
          <cell r="B1344">
            <v>0</v>
          </cell>
          <cell r="C1344" t="str">
            <v>Vật liệu</v>
          </cell>
          <cell r="D1344">
            <v>0</v>
          </cell>
          <cell r="E1344">
            <v>0</v>
          </cell>
          <cell r="F1344">
            <v>0</v>
          </cell>
          <cell r="G1344">
            <v>0</v>
          </cell>
          <cell r="H1344">
            <v>0</v>
          </cell>
          <cell r="I1344">
            <v>0</v>
          </cell>
        </row>
        <row r="1345">
          <cell r="A1345">
            <v>0</v>
          </cell>
          <cell r="B1345" t="str">
            <v>VL221</v>
          </cell>
          <cell r="C1345" t="str">
            <v>Điện năng</v>
          </cell>
          <cell r="D1345" t="str">
            <v>Kwh</v>
          </cell>
          <cell r="E1345">
            <v>0.34300000000000003</v>
          </cell>
          <cell r="F1345">
            <v>1622.01</v>
          </cell>
          <cell r="G1345">
            <v>556.3494300000001</v>
          </cell>
          <cell r="H1345">
            <v>0</v>
          </cell>
          <cell r="I1345">
            <v>0</v>
          </cell>
        </row>
        <row r="1346">
          <cell r="A1346">
            <v>0</v>
          </cell>
          <cell r="B1346" t="str">
            <v>VL198</v>
          </cell>
          <cell r="C1346" t="str">
            <v>Dây điện 2x1,5mm2</v>
          </cell>
          <cell r="D1346" t="str">
            <v>m</v>
          </cell>
          <cell r="E1346">
            <v>2.3E-2</v>
          </cell>
          <cell r="F1346">
            <v>9027.2727272727261</v>
          </cell>
          <cell r="G1346">
            <v>207.6272727272727</v>
          </cell>
          <cell r="H1346">
            <v>0</v>
          </cell>
          <cell r="I1346">
            <v>0</v>
          </cell>
        </row>
        <row r="1347">
          <cell r="A1347">
            <v>0</v>
          </cell>
          <cell r="B1347" t="str">
            <v>VL176</v>
          </cell>
          <cell r="C1347" t="str">
            <v>Giẻ lau</v>
          </cell>
          <cell r="D1347" t="str">
            <v>kg</v>
          </cell>
          <cell r="E1347">
            <v>1.0999999999999999E-2</v>
          </cell>
          <cell r="F1347">
            <v>5000</v>
          </cell>
          <cell r="G1347">
            <v>55</v>
          </cell>
          <cell r="H1347">
            <v>0</v>
          </cell>
          <cell r="I1347">
            <v>0</v>
          </cell>
        </row>
        <row r="1348">
          <cell r="A1348">
            <v>0</v>
          </cell>
          <cell r="B1348" t="str">
            <v>VL186</v>
          </cell>
          <cell r="C1348" t="str">
            <v>Giấy nhám số 0</v>
          </cell>
          <cell r="D1348" t="str">
            <v>tờ</v>
          </cell>
          <cell r="E1348">
            <v>3.4000000000000002E-2</v>
          </cell>
          <cell r="F1348">
            <v>2000</v>
          </cell>
          <cell r="G1348">
            <v>68</v>
          </cell>
          <cell r="H1348">
            <v>0</v>
          </cell>
          <cell r="I1348">
            <v>0</v>
          </cell>
        </row>
        <row r="1349">
          <cell r="A1349">
            <v>0</v>
          </cell>
          <cell r="B1349">
            <v>0</v>
          </cell>
          <cell r="C1349" t="str">
            <v>Nhân công</v>
          </cell>
          <cell r="D1349">
            <v>0</v>
          </cell>
          <cell r="E1349">
            <v>0</v>
          </cell>
          <cell r="F1349">
            <v>0</v>
          </cell>
          <cell r="G1349">
            <v>0</v>
          </cell>
          <cell r="H1349">
            <v>0</v>
          </cell>
          <cell r="I1349">
            <v>0</v>
          </cell>
        </row>
        <row r="1350">
          <cell r="A1350">
            <v>0</v>
          </cell>
          <cell r="B1350" t="str">
            <v>KS3</v>
          </cell>
          <cell r="C1350" t="str">
            <v>Kỹ sư bậc 3,0/8</v>
          </cell>
          <cell r="D1350" t="str">
            <v>công</v>
          </cell>
          <cell r="E1350">
            <v>0.21</v>
          </cell>
          <cell r="F1350">
            <v>213300</v>
          </cell>
          <cell r="G1350">
            <v>0</v>
          </cell>
          <cell r="H1350">
            <v>44793</v>
          </cell>
          <cell r="I1350">
            <v>0</v>
          </cell>
        </row>
        <row r="1351">
          <cell r="A1351">
            <v>0</v>
          </cell>
          <cell r="B1351" t="str">
            <v>N4407</v>
          </cell>
          <cell r="C1351" t="str">
            <v xml:space="preserve"> Nhân công bậc 4,0/7 - Nhóm 4</v>
          </cell>
          <cell r="D1351" t="str">
            <v>công</v>
          </cell>
          <cell r="E1351">
            <v>0.09</v>
          </cell>
          <cell r="F1351">
            <v>257269.73684210525</v>
          </cell>
          <cell r="G1351">
            <v>0</v>
          </cell>
          <cell r="H1351">
            <v>23154.276315789473</v>
          </cell>
          <cell r="I1351">
            <v>0</v>
          </cell>
        </row>
        <row r="1352">
          <cell r="A1352">
            <v>0</v>
          </cell>
          <cell r="B1352">
            <v>0</v>
          </cell>
          <cell r="C1352" t="str">
            <v>Máy thi công</v>
          </cell>
          <cell r="D1352">
            <v>0</v>
          </cell>
          <cell r="E1352">
            <v>0</v>
          </cell>
          <cell r="F1352">
            <v>0</v>
          </cell>
          <cell r="G1352">
            <v>0</v>
          </cell>
          <cell r="H1352">
            <v>0</v>
          </cell>
          <cell r="I1352">
            <v>0</v>
          </cell>
        </row>
        <row r="1353">
          <cell r="A1353">
            <v>0</v>
          </cell>
          <cell r="B1353" t="str">
            <v>M203.0027</v>
          </cell>
          <cell r="C1353" t="str">
            <v>Thiết bị tạo dòng điện</v>
          </cell>
          <cell r="D1353" t="str">
            <v>ca</v>
          </cell>
          <cell r="E1353">
            <v>2.3E-2</v>
          </cell>
          <cell r="F1353">
            <v>397537.95454545459</v>
          </cell>
          <cell r="G1353">
            <v>0</v>
          </cell>
          <cell r="H1353">
            <v>0</v>
          </cell>
          <cell r="I1353">
            <v>9143.3729545454553</v>
          </cell>
        </row>
        <row r="1354">
          <cell r="A1354">
            <v>0</v>
          </cell>
          <cell r="B1354" t="str">
            <v>M203.0025</v>
          </cell>
          <cell r="C1354" t="str">
            <v>Megôm met</v>
          </cell>
          <cell r="D1354" t="str">
            <v>ca</v>
          </cell>
          <cell r="E1354">
            <v>1.0999999999999999E-2</v>
          </cell>
          <cell r="F1354">
            <v>40127.500000000007</v>
          </cell>
          <cell r="G1354">
            <v>0</v>
          </cell>
          <cell r="H1354">
            <v>0</v>
          </cell>
          <cell r="I1354">
            <v>441.40250000000003</v>
          </cell>
        </row>
        <row r="1355">
          <cell r="A1355">
            <v>0</v>
          </cell>
          <cell r="B1355" t="str">
            <v>M203.0016</v>
          </cell>
          <cell r="C1355" t="str">
            <v>Máy đo điện trở tiếp xúc</v>
          </cell>
          <cell r="D1355" t="str">
            <v>ca</v>
          </cell>
          <cell r="E1355">
            <v>1.6E-2</v>
          </cell>
          <cell r="F1355">
            <v>83447.159090909103</v>
          </cell>
          <cell r="G1355">
            <v>0</v>
          </cell>
          <cell r="H1355">
            <v>0</v>
          </cell>
          <cell r="I1355">
            <v>1335.1545454545458</v>
          </cell>
        </row>
        <row r="1356">
          <cell r="A1356" t="str">
            <v>EC.11010</v>
          </cell>
          <cell r="B1356">
            <v>0</v>
          </cell>
          <cell r="C1356" t="str">
            <v>Thí nghiệm chống sét van 1 pha , điện áp 500kV</v>
          </cell>
          <cell r="D1356" t="str">
            <v>bộ ( 1 pha )</v>
          </cell>
          <cell r="E1356">
            <v>0</v>
          </cell>
          <cell r="F1356">
            <v>0</v>
          </cell>
          <cell r="G1356">
            <v>5116.4595454545452</v>
          </cell>
          <cell r="H1356">
            <v>413502.63157894742</v>
          </cell>
          <cell r="I1356">
            <v>199236.36647760391</v>
          </cell>
        </row>
        <row r="1357">
          <cell r="A1357">
            <v>0</v>
          </cell>
          <cell r="B1357">
            <v>0</v>
          </cell>
          <cell r="C1357" t="str">
            <v>Vật liệu</v>
          </cell>
          <cell r="D1357">
            <v>0</v>
          </cell>
          <cell r="E1357">
            <v>0</v>
          </cell>
          <cell r="F1357">
            <v>0</v>
          </cell>
          <cell r="G1357">
            <v>0</v>
          </cell>
          <cell r="H1357">
            <v>0</v>
          </cell>
          <cell r="I1357">
            <v>0</v>
          </cell>
        </row>
        <row r="1358">
          <cell r="A1358">
            <v>0</v>
          </cell>
          <cell r="B1358" t="str">
            <v>VL221</v>
          </cell>
          <cell r="C1358" t="str">
            <v>Điện năng</v>
          </cell>
          <cell r="D1358" t="str">
            <v>Kwh</v>
          </cell>
          <cell r="E1358">
            <v>0.5</v>
          </cell>
          <cell r="F1358">
            <v>1622.01</v>
          </cell>
          <cell r="G1358">
            <v>811.005</v>
          </cell>
          <cell r="H1358">
            <v>0</v>
          </cell>
          <cell r="I1358">
            <v>0</v>
          </cell>
        </row>
        <row r="1359">
          <cell r="A1359">
            <v>0</v>
          </cell>
          <cell r="B1359" t="str">
            <v>VL177</v>
          </cell>
          <cell r="C1359" t="str">
            <v>Cồn công nghiệp</v>
          </cell>
          <cell r="D1359" t="str">
            <v>kg</v>
          </cell>
          <cell r="E1359">
            <v>0.1</v>
          </cell>
          <cell r="F1359">
            <v>20000</v>
          </cell>
          <cell r="G1359">
            <v>2000</v>
          </cell>
          <cell r="H1359">
            <v>0</v>
          </cell>
          <cell r="I1359">
            <v>0</v>
          </cell>
        </row>
        <row r="1360">
          <cell r="A1360">
            <v>0</v>
          </cell>
          <cell r="B1360" t="str">
            <v>VL198</v>
          </cell>
          <cell r="C1360" t="str">
            <v>Dây điện 2x1,5mm2</v>
          </cell>
          <cell r="D1360" t="str">
            <v>m</v>
          </cell>
          <cell r="E1360">
            <v>0.2</v>
          </cell>
          <cell r="F1360">
            <v>9027.2727272727261</v>
          </cell>
          <cell r="G1360">
            <v>1805.4545454545453</v>
          </cell>
          <cell r="H1360">
            <v>0</v>
          </cell>
          <cell r="I1360">
            <v>0</v>
          </cell>
        </row>
        <row r="1361">
          <cell r="A1361">
            <v>0</v>
          </cell>
          <cell r="B1361" t="str">
            <v>VL176</v>
          </cell>
          <cell r="C1361" t="str">
            <v>Giẻ lau</v>
          </cell>
          <cell r="D1361" t="str">
            <v>kg</v>
          </cell>
          <cell r="E1361">
            <v>0.1</v>
          </cell>
          <cell r="F1361">
            <v>5000</v>
          </cell>
          <cell r="G1361">
            <v>500</v>
          </cell>
          <cell r="H1361">
            <v>0</v>
          </cell>
          <cell r="I1361">
            <v>0</v>
          </cell>
        </row>
        <row r="1362">
          <cell r="A1362">
            <v>0</v>
          </cell>
          <cell r="B1362">
            <v>0</v>
          </cell>
          <cell r="C1362" t="str">
            <v>Nhân công</v>
          </cell>
          <cell r="D1362">
            <v>0</v>
          </cell>
          <cell r="E1362">
            <v>0</v>
          </cell>
          <cell r="F1362">
            <v>0</v>
          </cell>
          <cell r="G1362">
            <v>0</v>
          </cell>
          <cell r="H1362">
            <v>0</v>
          </cell>
          <cell r="I1362">
            <v>0</v>
          </cell>
        </row>
        <row r="1363">
          <cell r="A1363">
            <v>0</v>
          </cell>
          <cell r="B1363" t="str">
            <v>KS4</v>
          </cell>
          <cell r="C1363" t="str">
            <v>Kỹ sư bậc 4,0/8</v>
          </cell>
          <cell r="D1363" t="str">
            <v>công</v>
          </cell>
          <cell r="E1363">
            <v>1.03</v>
          </cell>
          <cell r="F1363">
            <v>237000</v>
          </cell>
          <cell r="G1363">
            <v>0</v>
          </cell>
          <cell r="H1363">
            <v>244110</v>
          </cell>
          <cell r="I1363">
            <v>0</v>
          </cell>
        </row>
        <row r="1364">
          <cell r="A1364">
            <v>0</v>
          </cell>
          <cell r="B1364" t="str">
            <v>N4507</v>
          </cell>
          <cell r="C1364" t="str">
            <v xml:space="preserve"> Nhân công bậc 5,0/7 - Nhóm 4</v>
          </cell>
          <cell r="D1364" t="str">
            <v>công</v>
          </cell>
          <cell r="E1364">
            <v>0.56000000000000005</v>
          </cell>
          <cell r="F1364">
            <v>302486.8421052632</v>
          </cell>
          <cell r="G1364">
            <v>0</v>
          </cell>
          <cell r="H1364">
            <v>169392.63157894742</v>
          </cell>
          <cell r="I1364">
            <v>0</v>
          </cell>
        </row>
        <row r="1365">
          <cell r="A1365">
            <v>0</v>
          </cell>
          <cell r="B1365">
            <v>0</v>
          </cell>
          <cell r="C1365" t="str">
            <v>Máy thi công</v>
          </cell>
          <cell r="D1365">
            <v>0</v>
          </cell>
          <cell r="E1365">
            <v>0</v>
          </cell>
          <cell r="F1365">
            <v>0</v>
          </cell>
          <cell r="G1365">
            <v>0</v>
          </cell>
          <cell r="H1365">
            <v>0</v>
          </cell>
          <cell r="I1365">
            <v>0</v>
          </cell>
        </row>
        <row r="1366">
          <cell r="A1366">
            <v>0</v>
          </cell>
          <cell r="B1366" t="str">
            <v>M203.0025</v>
          </cell>
          <cell r="C1366" t="str">
            <v>Megôm met</v>
          </cell>
          <cell r="D1366" t="str">
            <v>ca</v>
          </cell>
          <cell r="E1366">
            <v>0.14599999999999999</v>
          </cell>
          <cell r="F1366">
            <v>40127.500000000007</v>
          </cell>
          <cell r="G1366">
            <v>0</v>
          </cell>
          <cell r="H1366">
            <v>0</v>
          </cell>
          <cell r="I1366">
            <v>5858.6150000000007</v>
          </cell>
        </row>
        <row r="1367">
          <cell r="A1367">
            <v>0</v>
          </cell>
          <cell r="B1367" t="str">
            <v>M203.0007</v>
          </cell>
          <cell r="C1367" t="str">
            <v>Hợp bộ thí nghiệm cao áp</v>
          </cell>
          <cell r="D1367" t="str">
            <v>ca</v>
          </cell>
          <cell r="E1367">
            <v>0.20399999999999999</v>
          </cell>
          <cell r="F1367">
            <v>403740.11363636365</v>
          </cell>
          <cell r="G1367">
            <v>0</v>
          </cell>
          <cell r="H1367">
            <v>0</v>
          </cell>
          <cell r="I1367">
            <v>82362.983181818185</v>
          </cell>
        </row>
        <row r="1368">
          <cell r="A1368">
            <v>0</v>
          </cell>
          <cell r="B1368" t="str">
            <v>M102.1802</v>
          </cell>
          <cell r="C1368" t="str">
            <v>Xe thang nâng</v>
          </cell>
          <cell r="D1368" t="str">
            <v>ca</v>
          </cell>
          <cell r="E1368">
            <v>6.0999999999999999E-2</v>
          </cell>
          <cell r="F1368">
            <v>1819914.2343571431</v>
          </cell>
          <cell r="G1368">
            <v>0</v>
          </cell>
          <cell r="H1368">
            <v>0</v>
          </cell>
          <cell r="I1368">
            <v>111014.76829578572</v>
          </cell>
        </row>
        <row r="1369">
          <cell r="A1369" t="str">
            <v>EC.11020</v>
          </cell>
          <cell r="B1369">
            <v>0</v>
          </cell>
          <cell r="C1369" t="str">
            <v>Thí nghiệm chống sét van 1 pha , điện áp 220kV</v>
          </cell>
          <cell r="D1369" t="str">
            <v>bộ ( 1 pha )</v>
          </cell>
          <cell r="E1369">
            <v>0</v>
          </cell>
          <cell r="F1369">
            <v>0</v>
          </cell>
          <cell r="G1369">
            <v>4604.8135909090906</v>
          </cell>
          <cell r="H1369">
            <v>366258.55263157899</v>
          </cell>
          <cell r="I1369">
            <v>176528.77672346754</v>
          </cell>
        </row>
        <row r="1370">
          <cell r="A1370">
            <v>0</v>
          </cell>
          <cell r="B1370">
            <v>0</v>
          </cell>
          <cell r="C1370" t="str">
            <v>Vật liệu</v>
          </cell>
          <cell r="D1370">
            <v>0</v>
          </cell>
          <cell r="E1370">
            <v>0</v>
          </cell>
          <cell r="F1370">
            <v>0</v>
          </cell>
          <cell r="G1370">
            <v>0</v>
          </cell>
          <cell r="H1370">
            <v>0</v>
          </cell>
          <cell r="I1370">
            <v>0</v>
          </cell>
        </row>
        <row r="1371">
          <cell r="A1371">
            <v>0</v>
          </cell>
          <cell r="B1371" t="str">
            <v>VL221</v>
          </cell>
          <cell r="C1371" t="str">
            <v>Điện năng</v>
          </cell>
          <cell r="D1371" t="str">
            <v>Kwh</v>
          </cell>
          <cell r="E1371">
            <v>0.45</v>
          </cell>
          <cell r="F1371">
            <v>1622.01</v>
          </cell>
          <cell r="G1371">
            <v>729.90449999999998</v>
          </cell>
          <cell r="H1371">
            <v>0</v>
          </cell>
          <cell r="I1371">
            <v>0</v>
          </cell>
        </row>
        <row r="1372">
          <cell r="A1372">
            <v>0</v>
          </cell>
          <cell r="B1372" t="str">
            <v>VL177</v>
          </cell>
          <cell r="C1372" t="str">
            <v>Cồn công nghiệp</v>
          </cell>
          <cell r="D1372" t="str">
            <v>kg</v>
          </cell>
          <cell r="E1372">
            <v>0.09</v>
          </cell>
          <cell r="F1372">
            <v>20000</v>
          </cell>
          <cell r="G1372">
            <v>1800</v>
          </cell>
          <cell r="H1372">
            <v>0</v>
          </cell>
          <cell r="I1372">
            <v>0</v>
          </cell>
        </row>
        <row r="1373">
          <cell r="A1373">
            <v>0</v>
          </cell>
          <cell r="B1373" t="str">
            <v>VL198</v>
          </cell>
          <cell r="C1373" t="str">
            <v>Dây điện 2x1,5mm2</v>
          </cell>
          <cell r="D1373" t="str">
            <v>m</v>
          </cell>
          <cell r="E1373">
            <v>0.18</v>
          </cell>
          <cell r="F1373">
            <v>9027.2727272727261</v>
          </cell>
          <cell r="G1373">
            <v>1624.9090909090905</v>
          </cell>
          <cell r="H1373">
            <v>0</v>
          </cell>
          <cell r="I1373">
            <v>0</v>
          </cell>
        </row>
        <row r="1374">
          <cell r="A1374">
            <v>0</v>
          </cell>
          <cell r="B1374" t="str">
            <v>VL176</v>
          </cell>
          <cell r="C1374" t="str">
            <v>Giẻ lau</v>
          </cell>
          <cell r="D1374" t="str">
            <v>kg</v>
          </cell>
          <cell r="E1374">
            <v>0.09</v>
          </cell>
          <cell r="F1374">
            <v>5000</v>
          </cell>
          <cell r="G1374">
            <v>450</v>
          </cell>
          <cell r="H1374">
            <v>0</v>
          </cell>
          <cell r="I1374">
            <v>0</v>
          </cell>
        </row>
        <row r="1375">
          <cell r="A1375">
            <v>0</v>
          </cell>
          <cell r="B1375">
            <v>0</v>
          </cell>
          <cell r="C1375" t="str">
            <v>Nhân công</v>
          </cell>
          <cell r="D1375">
            <v>0</v>
          </cell>
          <cell r="E1375">
            <v>0</v>
          </cell>
          <cell r="F1375">
            <v>0</v>
          </cell>
          <cell r="G1375">
            <v>0</v>
          </cell>
          <cell r="H1375">
            <v>0</v>
          </cell>
          <cell r="I1375">
            <v>0</v>
          </cell>
        </row>
        <row r="1376">
          <cell r="A1376">
            <v>0</v>
          </cell>
          <cell r="B1376" t="str">
            <v>KS4</v>
          </cell>
          <cell r="C1376" t="str">
            <v>Kỹ sư bậc 4,0/8</v>
          </cell>
          <cell r="D1376" t="str">
            <v>công</v>
          </cell>
          <cell r="E1376">
            <v>0.92</v>
          </cell>
          <cell r="F1376">
            <v>237000</v>
          </cell>
          <cell r="G1376">
            <v>0</v>
          </cell>
          <cell r="H1376">
            <v>218040</v>
          </cell>
          <cell r="I1376">
            <v>0</v>
          </cell>
        </row>
        <row r="1377">
          <cell r="A1377">
            <v>0</v>
          </cell>
          <cell r="B1377" t="str">
            <v>N4507</v>
          </cell>
          <cell r="C1377" t="str">
            <v xml:space="preserve"> Nhân công bậc 5,0/7 - Nhóm 4</v>
          </cell>
          <cell r="D1377" t="str">
            <v>công</v>
          </cell>
          <cell r="E1377">
            <v>0.49</v>
          </cell>
          <cell r="F1377">
            <v>302486.8421052632</v>
          </cell>
          <cell r="G1377">
            <v>0</v>
          </cell>
          <cell r="H1377">
            <v>148218.55263157896</v>
          </cell>
          <cell r="I1377">
            <v>0</v>
          </cell>
        </row>
        <row r="1378">
          <cell r="A1378">
            <v>0</v>
          </cell>
          <cell r="B1378">
            <v>0</v>
          </cell>
          <cell r="C1378" t="str">
            <v>Máy thi công</v>
          </cell>
          <cell r="D1378">
            <v>0</v>
          </cell>
          <cell r="E1378">
            <v>0</v>
          </cell>
          <cell r="F1378">
            <v>0</v>
          </cell>
          <cell r="G1378">
            <v>0</v>
          </cell>
          <cell r="H1378">
            <v>0</v>
          </cell>
          <cell r="I1378">
            <v>0</v>
          </cell>
        </row>
        <row r="1379">
          <cell r="A1379">
            <v>0</v>
          </cell>
          <cell r="B1379" t="str">
            <v>M203.0025</v>
          </cell>
          <cell r="C1379" t="str">
            <v>Megôm met</v>
          </cell>
          <cell r="D1379" t="str">
            <v>ca</v>
          </cell>
          <cell r="E1379">
            <v>0.129</v>
          </cell>
          <cell r="F1379">
            <v>40127.500000000007</v>
          </cell>
          <cell r="G1379">
            <v>0</v>
          </cell>
          <cell r="H1379">
            <v>0</v>
          </cell>
          <cell r="I1379">
            <v>5176.4475000000011</v>
          </cell>
        </row>
        <row r="1380">
          <cell r="A1380">
            <v>0</v>
          </cell>
          <cell r="B1380" t="str">
            <v>M203.0007</v>
          </cell>
          <cell r="C1380" t="str">
            <v>Hợp bộ thí nghiệm cao áp</v>
          </cell>
          <cell r="D1380" t="str">
            <v>ca</v>
          </cell>
          <cell r="E1380">
            <v>0.18099999999999999</v>
          </cell>
          <cell r="F1380">
            <v>403740.11363636365</v>
          </cell>
          <cell r="G1380">
            <v>0</v>
          </cell>
          <cell r="H1380">
            <v>0</v>
          </cell>
          <cell r="I1380">
            <v>73076.960568181821</v>
          </cell>
        </row>
        <row r="1381">
          <cell r="A1381">
            <v>0</v>
          </cell>
          <cell r="B1381" t="str">
            <v>M102.1802</v>
          </cell>
          <cell r="C1381" t="str">
            <v>Xe thang nâng</v>
          </cell>
          <cell r="D1381" t="str">
            <v>ca</v>
          </cell>
          <cell r="E1381">
            <v>5.3999999999999999E-2</v>
          </cell>
          <cell r="F1381">
            <v>1819914.2343571431</v>
          </cell>
          <cell r="G1381">
            <v>0</v>
          </cell>
          <cell r="H1381">
            <v>0</v>
          </cell>
          <cell r="I1381">
            <v>98275.368655285725</v>
          </cell>
        </row>
        <row r="1382">
          <cell r="A1382" t="str">
            <v>EC.11030</v>
          </cell>
          <cell r="B1382">
            <v>0</v>
          </cell>
          <cell r="C1382" t="str">
            <v>Thí nghiệm chống sét van 1 pha , điện áp 66-110kV</v>
          </cell>
          <cell r="D1382" t="str">
            <v>bộ ( 1 pha )</v>
          </cell>
          <cell r="E1382">
            <v>0</v>
          </cell>
          <cell r="F1382">
            <v>0</v>
          </cell>
          <cell r="G1382">
            <v>4144.3322318181818</v>
          </cell>
          <cell r="H1382">
            <v>332829.07894736843</v>
          </cell>
          <cell r="I1382">
            <v>159640.22600622728</v>
          </cell>
        </row>
        <row r="1383">
          <cell r="A1383">
            <v>0</v>
          </cell>
          <cell r="B1383">
            <v>0</v>
          </cell>
          <cell r="C1383" t="str">
            <v>Vật liệu</v>
          </cell>
          <cell r="D1383">
            <v>0</v>
          </cell>
          <cell r="E1383">
            <v>0</v>
          </cell>
          <cell r="F1383">
            <v>0</v>
          </cell>
          <cell r="G1383">
            <v>0</v>
          </cell>
          <cell r="H1383">
            <v>0</v>
          </cell>
          <cell r="I1383">
            <v>0</v>
          </cell>
        </row>
        <row r="1384">
          <cell r="A1384">
            <v>0</v>
          </cell>
          <cell r="B1384" t="str">
            <v>VL221</v>
          </cell>
          <cell r="C1384" t="str">
            <v>Điện năng</v>
          </cell>
          <cell r="D1384" t="str">
            <v>Kwh</v>
          </cell>
          <cell r="E1384">
            <v>0.40500000000000003</v>
          </cell>
          <cell r="F1384">
            <v>1622.01</v>
          </cell>
          <cell r="G1384">
            <v>656.91405000000009</v>
          </cell>
          <cell r="H1384">
            <v>0</v>
          </cell>
          <cell r="I1384">
            <v>0</v>
          </cell>
        </row>
        <row r="1385">
          <cell r="A1385">
            <v>0</v>
          </cell>
          <cell r="B1385" t="str">
            <v>VL177</v>
          </cell>
          <cell r="C1385" t="str">
            <v>Cồn công nghiệp</v>
          </cell>
          <cell r="D1385" t="str">
            <v>kg</v>
          </cell>
          <cell r="E1385">
            <v>8.1000000000000003E-2</v>
          </cell>
          <cell r="F1385">
            <v>20000</v>
          </cell>
          <cell r="G1385">
            <v>1620</v>
          </cell>
          <cell r="H1385">
            <v>0</v>
          </cell>
          <cell r="I1385">
            <v>0</v>
          </cell>
        </row>
        <row r="1386">
          <cell r="A1386">
            <v>0</v>
          </cell>
          <cell r="B1386" t="str">
            <v>VL198</v>
          </cell>
          <cell r="C1386" t="str">
            <v>Dây điện 2x1,5mm2</v>
          </cell>
          <cell r="D1386" t="str">
            <v>m</v>
          </cell>
          <cell r="E1386">
            <v>0.16200000000000001</v>
          </cell>
          <cell r="F1386">
            <v>9027.2727272727261</v>
          </cell>
          <cell r="G1386">
            <v>1462.4181818181817</v>
          </cell>
          <cell r="H1386">
            <v>0</v>
          </cell>
          <cell r="I1386">
            <v>0</v>
          </cell>
        </row>
        <row r="1387">
          <cell r="A1387">
            <v>0</v>
          </cell>
          <cell r="B1387" t="str">
            <v>VL176</v>
          </cell>
          <cell r="C1387" t="str">
            <v>Giẻ lau</v>
          </cell>
          <cell r="D1387" t="str">
            <v>kg</v>
          </cell>
          <cell r="E1387">
            <v>8.1000000000000003E-2</v>
          </cell>
          <cell r="F1387">
            <v>5000</v>
          </cell>
          <cell r="G1387">
            <v>405</v>
          </cell>
          <cell r="H1387">
            <v>0</v>
          </cell>
          <cell r="I1387">
            <v>0</v>
          </cell>
        </row>
        <row r="1388">
          <cell r="A1388">
            <v>0</v>
          </cell>
          <cell r="B1388">
            <v>0</v>
          </cell>
          <cell r="C1388" t="str">
            <v>Nhân công</v>
          </cell>
          <cell r="D1388">
            <v>0</v>
          </cell>
          <cell r="E1388">
            <v>0</v>
          </cell>
          <cell r="F1388">
            <v>0</v>
          </cell>
          <cell r="G1388">
            <v>0</v>
          </cell>
          <cell r="H1388">
            <v>0</v>
          </cell>
          <cell r="I1388">
            <v>0</v>
          </cell>
        </row>
        <row r="1389">
          <cell r="A1389">
            <v>0</v>
          </cell>
          <cell r="B1389" t="str">
            <v>KS4</v>
          </cell>
          <cell r="C1389" t="str">
            <v>Kỹ sư bậc 4,0/8</v>
          </cell>
          <cell r="D1389" t="str">
            <v>công</v>
          </cell>
          <cell r="E1389">
            <v>0.83</v>
          </cell>
          <cell r="F1389">
            <v>237000</v>
          </cell>
          <cell r="G1389">
            <v>0</v>
          </cell>
          <cell r="H1389">
            <v>196710</v>
          </cell>
          <cell r="I1389">
            <v>0</v>
          </cell>
        </row>
        <row r="1390">
          <cell r="A1390">
            <v>0</v>
          </cell>
          <cell r="B1390" t="str">
            <v>N4507</v>
          </cell>
          <cell r="C1390" t="str">
            <v xml:space="preserve"> Nhân công bậc 5,0/7 - Nhóm 4</v>
          </cell>
          <cell r="D1390" t="str">
            <v>công</v>
          </cell>
          <cell r="E1390">
            <v>0.45</v>
          </cell>
          <cell r="F1390">
            <v>302486.8421052632</v>
          </cell>
          <cell r="G1390">
            <v>0</v>
          </cell>
          <cell r="H1390">
            <v>136119.07894736846</v>
          </cell>
          <cell r="I1390">
            <v>0</v>
          </cell>
        </row>
        <row r="1391">
          <cell r="A1391">
            <v>0</v>
          </cell>
          <cell r="B1391">
            <v>0</v>
          </cell>
          <cell r="C1391" t="str">
            <v>Máy thi công</v>
          </cell>
          <cell r="D1391">
            <v>0</v>
          </cell>
          <cell r="E1391">
            <v>0</v>
          </cell>
          <cell r="F1391">
            <v>0</v>
          </cell>
          <cell r="G1391">
            <v>0</v>
          </cell>
          <cell r="H1391">
            <v>0</v>
          </cell>
          <cell r="I1391">
            <v>0</v>
          </cell>
        </row>
        <row r="1392">
          <cell r="A1392">
            <v>0</v>
          </cell>
          <cell r="B1392" t="str">
            <v>M203.0025</v>
          </cell>
          <cell r="C1392" t="str">
            <v>Megôm met</v>
          </cell>
          <cell r="D1392" t="str">
            <v>ca</v>
          </cell>
          <cell r="E1392">
            <v>0.11600000000000001</v>
          </cell>
          <cell r="F1392">
            <v>40127.500000000007</v>
          </cell>
          <cell r="G1392">
            <v>0</v>
          </cell>
          <cell r="H1392">
            <v>0</v>
          </cell>
          <cell r="I1392">
            <v>4654.7900000000009</v>
          </cell>
        </row>
        <row r="1393">
          <cell r="A1393">
            <v>0</v>
          </cell>
          <cell r="B1393" t="str">
            <v>M203.0007</v>
          </cell>
          <cell r="C1393" t="str">
            <v>Hợp bộ thí nghiệm cao áp</v>
          </cell>
          <cell r="D1393" t="str">
            <v>ca</v>
          </cell>
          <cell r="E1393">
            <v>0.16300000000000001</v>
          </cell>
          <cell r="F1393">
            <v>403740.11363636365</v>
          </cell>
          <cell r="G1393">
            <v>0</v>
          </cell>
          <cell r="H1393">
            <v>0</v>
          </cell>
          <cell r="I1393">
            <v>65809.638522727284</v>
          </cell>
        </row>
        <row r="1394">
          <cell r="A1394">
            <v>0</v>
          </cell>
          <cell r="B1394" t="str">
            <v>M102.1802</v>
          </cell>
          <cell r="C1394" t="str">
            <v>Xe thang nâng</v>
          </cell>
          <cell r="D1394" t="str">
            <v>ca</v>
          </cell>
          <cell r="E1394">
            <v>4.9000000000000002E-2</v>
          </cell>
          <cell r="F1394">
            <v>1819914.2343571431</v>
          </cell>
          <cell r="G1394">
            <v>0</v>
          </cell>
          <cell r="H1394">
            <v>0</v>
          </cell>
          <cell r="I1394">
            <v>89175.797483500006</v>
          </cell>
        </row>
        <row r="1395">
          <cell r="A1395" t="str">
            <v>EC.11040</v>
          </cell>
          <cell r="B1395">
            <v>0</v>
          </cell>
          <cell r="C1395" t="str">
            <v>Thí nghiệm chống sét van 1 pha , điện áp 22-35kV</v>
          </cell>
          <cell r="D1395" t="str">
            <v>bộ ( 1 pha )</v>
          </cell>
          <cell r="E1395">
            <v>0</v>
          </cell>
          <cell r="F1395">
            <v>0</v>
          </cell>
          <cell r="G1395">
            <v>3324.0766945454543</v>
          </cell>
          <cell r="H1395">
            <v>111733.02631578948</v>
          </cell>
          <cell r="I1395">
            <v>23366.938636363637</v>
          </cell>
        </row>
        <row r="1396">
          <cell r="A1396">
            <v>0</v>
          </cell>
          <cell r="B1396">
            <v>0</v>
          </cell>
          <cell r="C1396" t="str">
            <v>Vật liệu</v>
          </cell>
          <cell r="D1396">
            <v>0</v>
          </cell>
          <cell r="E1396">
            <v>0</v>
          </cell>
          <cell r="F1396">
            <v>0</v>
          </cell>
          <cell r="G1396">
            <v>0</v>
          </cell>
          <cell r="H1396">
            <v>0</v>
          </cell>
          <cell r="I1396">
            <v>0</v>
          </cell>
        </row>
        <row r="1397">
          <cell r="A1397">
            <v>0</v>
          </cell>
          <cell r="B1397" t="str">
            <v>VL221</v>
          </cell>
          <cell r="C1397" t="str">
            <v>Điện năng</v>
          </cell>
          <cell r="D1397" t="str">
            <v>Kwh</v>
          </cell>
          <cell r="E1397">
            <v>0.32400000000000001</v>
          </cell>
          <cell r="F1397">
            <v>1622.01</v>
          </cell>
          <cell r="G1397">
            <v>525.53124000000003</v>
          </cell>
          <cell r="H1397">
            <v>0</v>
          </cell>
          <cell r="I1397">
            <v>0</v>
          </cell>
        </row>
        <row r="1398">
          <cell r="A1398">
            <v>0</v>
          </cell>
          <cell r="B1398" t="str">
            <v>VL177</v>
          </cell>
          <cell r="C1398" t="str">
            <v>Cồn công nghiệp</v>
          </cell>
          <cell r="D1398" t="str">
            <v>kg</v>
          </cell>
          <cell r="E1398">
            <v>6.5000000000000002E-2</v>
          </cell>
          <cell r="F1398">
            <v>20000</v>
          </cell>
          <cell r="G1398">
            <v>1300</v>
          </cell>
          <cell r="H1398">
            <v>0</v>
          </cell>
          <cell r="I1398">
            <v>0</v>
          </cell>
        </row>
        <row r="1399">
          <cell r="A1399">
            <v>0</v>
          </cell>
          <cell r="B1399" t="str">
            <v>VL198</v>
          </cell>
          <cell r="C1399" t="str">
            <v>Dây điện 2x1,5mm2</v>
          </cell>
          <cell r="D1399" t="str">
            <v>m</v>
          </cell>
          <cell r="E1399">
            <v>0.13</v>
          </cell>
          <cell r="F1399">
            <v>9027.2727272727261</v>
          </cell>
          <cell r="G1399">
            <v>1173.5454545454545</v>
          </cell>
          <cell r="H1399">
            <v>0</v>
          </cell>
          <cell r="I1399">
            <v>0</v>
          </cell>
        </row>
        <row r="1400">
          <cell r="A1400">
            <v>0</v>
          </cell>
          <cell r="B1400" t="str">
            <v>VL176</v>
          </cell>
          <cell r="C1400" t="str">
            <v>Giẻ lau</v>
          </cell>
          <cell r="D1400" t="str">
            <v>kg</v>
          </cell>
          <cell r="E1400">
            <v>6.5000000000000002E-2</v>
          </cell>
          <cell r="F1400">
            <v>5000</v>
          </cell>
          <cell r="G1400">
            <v>325</v>
          </cell>
          <cell r="H1400">
            <v>0</v>
          </cell>
          <cell r="I1400">
            <v>0</v>
          </cell>
        </row>
        <row r="1401">
          <cell r="A1401">
            <v>0</v>
          </cell>
          <cell r="B1401">
            <v>0</v>
          </cell>
          <cell r="C1401" t="str">
            <v>Nhân công</v>
          </cell>
          <cell r="D1401">
            <v>0</v>
          </cell>
          <cell r="E1401">
            <v>0</v>
          </cell>
          <cell r="F1401">
            <v>0</v>
          </cell>
          <cell r="G1401">
            <v>0</v>
          </cell>
          <cell r="H1401">
            <v>0</v>
          </cell>
          <cell r="I1401">
            <v>0</v>
          </cell>
        </row>
        <row r="1402">
          <cell r="A1402">
            <v>0</v>
          </cell>
          <cell r="B1402" t="str">
            <v>KS4</v>
          </cell>
          <cell r="C1402" t="str">
            <v>Kỹ sư bậc 4,0/8</v>
          </cell>
          <cell r="D1402" t="str">
            <v>công</v>
          </cell>
          <cell r="E1402">
            <v>0.28000000000000003</v>
          </cell>
          <cell r="F1402">
            <v>237000</v>
          </cell>
          <cell r="G1402">
            <v>0</v>
          </cell>
          <cell r="H1402">
            <v>66360</v>
          </cell>
          <cell r="I1402">
            <v>0</v>
          </cell>
        </row>
        <row r="1403">
          <cell r="A1403">
            <v>0</v>
          </cell>
          <cell r="B1403" t="str">
            <v>N4507</v>
          </cell>
          <cell r="C1403" t="str">
            <v xml:space="preserve"> Nhân công bậc 5,0/7 - Nhóm 4</v>
          </cell>
          <cell r="D1403" t="str">
            <v>công</v>
          </cell>
          <cell r="E1403">
            <v>0.15</v>
          </cell>
          <cell r="F1403">
            <v>302486.8421052632</v>
          </cell>
          <cell r="G1403">
            <v>0</v>
          </cell>
          <cell r="H1403">
            <v>45373.026315789481</v>
          </cell>
          <cell r="I1403">
            <v>0</v>
          </cell>
        </row>
        <row r="1404">
          <cell r="A1404">
            <v>0</v>
          </cell>
          <cell r="B1404">
            <v>0</v>
          </cell>
          <cell r="C1404" t="str">
            <v>Máy thi công</v>
          </cell>
          <cell r="D1404">
            <v>0</v>
          </cell>
          <cell r="E1404">
            <v>0</v>
          </cell>
          <cell r="F1404">
            <v>0</v>
          </cell>
          <cell r="G1404">
            <v>0</v>
          </cell>
          <cell r="H1404">
            <v>0</v>
          </cell>
          <cell r="I1404">
            <v>0</v>
          </cell>
        </row>
        <row r="1405">
          <cell r="A1405">
            <v>0</v>
          </cell>
          <cell r="B1405" t="str">
            <v>M203.0025</v>
          </cell>
          <cell r="C1405" t="str">
            <v>Megôm met</v>
          </cell>
          <cell r="D1405" t="str">
            <v>ca</v>
          </cell>
          <cell r="E1405">
            <v>3.9E-2</v>
          </cell>
          <cell r="F1405">
            <v>40127.500000000007</v>
          </cell>
          <cell r="G1405">
            <v>0</v>
          </cell>
          <cell r="H1405">
            <v>0</v>
          </cell>
          <cell r="I1405">
            <v>1564.9725000000003</v>
          </cell>
        </row>
        <row r="1406">
          <cell r="A1406">
            <v>0</v>
          </cell>
          <cell r="B1406" t="str">
            <v>M203.0007</v>
          </cell>
          <cell r="C1406" t="str">
            <v>Hợp bộ thí nghiệm cao áp</v>
          </cell>
          <cell r="D1406" t="str">
            <v>ca</v>
          </cell>
          <cell r="E1406">
            <v>5.3999999999999999E-2</v>
          </cell>
          <cell r="F1406">
            <v>403740.11363636365</v>
          </cell>
          <cell r="G1406">
            <v>0</v>
          </cell>
          <cell r="H1406">
            <v>0</v>
          </cell>
          <cell r="I1406">
            <v>21801.966136363637</v>
          </cell>
        </row>
        <row r="1407">
          <cell r="A1407">
            <v>0</v>
          </cell>
          <cell r="B1407" t="str">
            <v>M102.1802</v>
          </cell>
          <cell r="C1407" t="str">
            <v>Xe thang nâng</v>
          </cell>
          <cell r="D1407" t="str">
            <v>ca</v>
          </cell>
          <cell r="E1407">
            <v>0</v>
          </cell>
          <cell r="F1407">
            <v>1819914.2343571431</v>
          </cell>
          <cell r="G1407">
            <v>0</v>
          </cell>
          <cell r="H1407">
            <v>0</v>
          </cell>
          <cell r="I1407">
            <v>0</v>
          </cell>
        </row>
        <row r="1408">
          <cell r="A1408" t="str">
            <v>EC.12010</v>
          </cell>
          <cell r="B1408">
            <v>0</v>
          </cell>
          <cell r="C1408" t="str">
            <v>Thí nghiệm chống sét van 1 pha , điện áp 10-15kV</v>
          </cell>
          <cell r="D1408" t="str">
            <v>bộ ( 1 pha )</v>
          </cell>
          <cell r="E1408">
            <v>0</v>
          </cell>
          <cell r="F1408">
            <v>0</v>
          </cell>
          <cell r="G1408">
            <v>2658.9369536363633</v>
          </cell>
          <cell r="H1408">
            <v>77798.368421052626</v>
          </cell>
          <cell r="I1408">
            <v>19008.517499999998</v>
          </cell>
        </row>
        <row r="1409">
          <cell r="A1409">
            <v>0</v>
          </cell>
          <cell r="B1409">
            <v>0</v>
          </cell>
          <cell r="C1409" t="str">
            <v>Vật liệu</v>
          </cell>
          <cell r="D1409">
            <v>0</v>
          </cell>
          <cell r="E1409">
            <v>0</v>
          </cell>
          <cell r="F1409">
            <v>0</v>
          </cell>
          <cell r="G1409">
            <v>0</v>
          </cell>
          <cell r="H1409">
            <v>0</v>
          </cell>
          <cell r="I1409">
            <v>0</v>
          </cell>
        </row>
        <row r="1410">
          <cell r="A1410">
            <v>0</v>
          </cell>
          <cell r="B1410" t="str">
            <v>VL221</v>
          </cell>
          <cell r="C1410" t="str">
            <v>Điện năng</v>
          </cell>
          <cell r="D1410" t="str">
            <v>Kwh</v>
          </cell>
          <cell r="E1410">
            <v>0.25900000000000001</v>
          </cell>
          <cell r="F1410">
            <v>1622.01</v>
          </cell>
          <cell r="G1410">
            <v>420.10059000000001</v>
          </cell>
          <cell r="H1410">
            <v>0</v>
          </cell>
          <cell r="I1410">
            <v>0</v>
          </cell>
        </row>
        <row r="1411">
          <cell r="A1411">
            <v>0</v>
          </cell>
          <cell r="B1411" t="str">
            <v>VL177</v>
          </cell>
          <cell r="C1411" t="str">
            <v>Cồn công nghiệp</v>
          </cell>
          <cell r="D1411" t="str">
            <v>kg</v>
          </cell>
          <cell r="E1411">
            <v>5.1999999999999998E-2</v>
          </cell>
          <cell r="F1411">
            <v>20000</v>
          </cell>
          <cell r="G1411">
            <v>1040</v>
          </cell>
          <cell r="H1411">
            <v>0</v>
          </cell>
          <cell r="I1411">
            <v>0</v>
          </cell>
        </row>
        <row r="1412">
          <cell r="A1412">
            <v>0</v>
          </cell>
          <cell r="B1412" t="str">
            <v>VL198</v>
          </cell>
          <cell r="C1412" t="str">
            <v>Dây điện 2x1,5mm2</v>
          </cell>
          <cell r="D1412" t="str">
            <v>m</v>
          </cell>
          <cell r="E1412">
            <v>0.104</v>
          </cell>
          <cell r="F1412">
            <v>9027.2727272727261</v>
          </cell>
          <cell r="G1412">
            <v>938.83636363636344</v>
          </cell>
          <cell r="H1412">
            <v>0</v>
          </cell>
          <cell r="I1412">
            <v>0</v>
          </cell>
        </row>
        <row r="1413">
          <cell r="A1413">
            <v>0</v>
          </cell>
          <cell r="B1413" t="str">
            <v>VL176</v>
          </cell>
          <cell r="C1413" t="str">
            <v>Giẻ lau</v>
          </cell>
          <cell r="D1413" t="str">
            <v>kg</v>
          </cell>
          <cell r="E1413">
            <v>5.1999999999999998E-2</v>
          </cell>
          <cell r="F1413">
            <v>5000</v>
          </cell>
          <cell r="G1413">
            <v>260</v>
          </cell>
          <cell r="H1413">
            <v>0</v>
          </cell>
          <cell r="I1413">
            <v>0</v>
          </cell>
        </row>
        <row r="1414">
          <cell r="A1414">
            <v>0</v>
          </cell>
          <cell r="B1414">
            <v>0</v>
          </cell>
          <cell r="C1414" t="str">
            <v>Nhân công</v>
          </cell>
          <cell r="D1414">
            <v>0</v>
          </cell>
          <cell r="E1414">
            <v>0</v>
          </cell>
          <cell r="F1414">
            <v>0</v>
          </cell>
          <cell r="G1414">
            <v>0</v>
          </cell>
          <cell r="H1414">
            <v>0</v>
          </cell>
          <cell r="I1414">
            <v>0</v>
          </cell>
        </row>
        <row r="1415">
          <cell r="A1415">
            <v>0</v>
          </cell>
          <cell r="B1415" t="str">
            <v>KS3</v>
          </cell>
          <cell r="C1415" t="str">
            <v>Kỹ sư bậc 3,0/8</v>
          </cell>
          <cell r="D1415" t="str">
            <v>công</v>
          </cell>
          <cell r="E1415">
            <v>0.22</v>
          </cell>
          <cell r="F1415">
            <v>213300</v>
          </cell>
          <cell r="G1415">
            <v>0</v>
          </cell>
          <cell r="H1415">
            <v>46926</v>
          </cell>
          <cell r="I1415">
            <v>0</v>
          </cell>
        </row>
        <row r="1416">
          <cell r="A1416">
            <v>0</v>
          </cell>
          <cell r="B1416" t="str">
            <v>N4407</v>
          </cell>
          <cell r="C1416" t="str">
            <v xml:space="preserve"> Nhân công bậc 4,0/7 - Nhóm 4</v>
          </cell>
          <cell r="D1416" t="str">
            <v>công</v>
          </cell>
          <cell r="E1416">
            <v>0.12</v>
          </cell>
          <cell r="F1416">
            <v>257269.73684210525</v>
          </cell>
          <cell r="G1416">
            <v>0</v>
          </cell>
          <cell r="H1416">
            <v>30872.36842105263</v>
          </cell>
          <cell r="I1416">
            <v>0</v>
          </cell>
        </row>
        <row r="1417">
          <cell r="A1417">
            <v>0</v>
          </cell>
          <cell r="B1417">
            <v>0</v>
          </cell>
          <cell r="C1417" t="str">
            <v>Máy thi công</v>
          </cell>
          <cell r="D1417">
            <v>0</v>
          </cell>
          <cell r="E1417">
            <v>0</v>
          </cell>
          <cell r="F1417">
            <v>0</v>
          </cell>
          <cell r="G1417">
            <v>0</v>
          </cell>
          <cell r="H1417">
            <v>0</v>
          </cell>
          <cell r="I1417">
            <v>0</v>
          </cell>
        </row>
        <row r="1418">
          <cell r="A1418">
            <v>0</v>
          </cell>
          <cell r="B1418" t="str">
            <v>M203.0025</v>
          </cell>
          <cell r="C1418" t="str">
            <v>Megôm met</v>
          </cell>
          <cell r="D1418" t="str">
            <v>ca</v>
          </cell>
          <cell r="E1418">
            <v>3.1E-2</v>
          </cell>
          <cell r="F1418">
            <v>40127.500000000007</v>
          </cell>
          <cell r="G1418">
            <v>0</v>
          </cell>
          <cell r="H1418">
            <v>0</v>
          </cell>
          <cell r="I1418">
            <v>1243.9525000000003</v>
          </cell>
        </row>
        <row r="1419">
          <cell r="A1419">
            <v>0</v>
          </cell>
          <cell r="B1419" t="str">
            <v>M203.0007</v>
          </cell>
          <cell r="C1419" t="str">
            <v>Hợp bộ thí nghiệm cao áp</v>
          </cell>
          <cell r="D1419" t="str">
            <v>ca</v>
          </cell>
          <cell r="E1419">
            <v>4.3999999999999997E-2</v>
          </cell>
          <cell r="F1419">
            <v>403740.11363636365</v>
          </cell>
          <cell r="G1419">
            <v>0</v>
          </cell>
          <cell r="H1419">
            <v>0</v>
          </cell>
          <cell r="I1419">
            <v>17764.564999999999</v>
          </cell>
        </row>
        <row r="1420">
          <cell r="A1420">
            <v>0</v>
          </cell>
          <cell r="B1420" t="str">
            <v>M203.0009</v>
          </cell>
          <cell r="C1420" t="str">
            <v>Máy điều chỉnh điện áp 1 pha</v>
          </cell>
          <cell r="D1420" t="str">
            <v>ca</v>
          </cell>
          <cell r="E1420">
            <v>0</v>
          </cell>
          <cell r="F1420">
            <v>16679.43181818182</v>
          </cell>
          <cell r="G1420">
            <v>0</v>
          </cell>
          <cell r="H1420">
            <v>0</v>
          </cell>
          <cell r="I1420">
            <v>0</v>
          </cell>
        </row>
        <row r="1421">
          <cell r="A1421" t="str">
            <v>EC.12020</v>
          </cell>
          <cell r="B1421">
            <v>0</v>
          </cell>
          <cell r="C1421" t="str">
            <v>Thí nghiệm chống sét van 1 pha , điện áp 3-6kV</v>
          </cell>
          <cell r="D1421" t="str">
            <v>bộ ( 1 pha )</v>
          </cell>
          <cell r="E1421">
            <v>0</v>
          </cell>
          <cell r="F1421">
            <v>0</v>
          </cell>
          <cell r="G1421">
            <v>2392.4646936363633</v>
          </cell>
          <cell r="H1421">
            <v>70959.671052631573</v>
          </cell>
          <cell r="I1421">
            <v>16869.434431818183</v>
          </cell>
        </row>
        <row r="1422">
          <cell r="A1422">
            <v>0</v>
          </cell>
          <cell r="B1422">
            <v>0</v>
          </cell>
          <cell r="C1422" t="str">
            <v>Vật liệu</v>
          </cell>
          <cell r="D1422">
            <v>0</v>
          </cell>
          <cell r="E1422">
            <v>0</v>
          </cell>
          <cell r="F1422">
            <v>0</v>
          </cell>
          <cell r="G1422">
            <v>0</v>
          </cell>
          <cell r="H1422">
            <v>0</v>
          </cell>
          <cell r="I1422">
            <v>0</v>
          </cell>
        </row>
        <row r="1423">
          <cell r="A1423">
            <v>0</v>
          </cell>
          <cell r="B1423" t="str">
            <v>VL221</v>
          </cell>
          <cell r="C1423" t="str">
            <v>Điện năng</v>
          </cell>
          <cell r="D1423" t="str">
            <v>Kwh</v>
          </cell>
          <cell r="E1423">
            <v>0.23300000000000001</v>
          </cell>
          <cell r="F1423">
            <v>1622.01</v>
          </cell>
          <cell r="G1423">
            <v>377.92833000000002</v>
          </cell>
          <cell r="H1423">
            <v>0</v>
          </cell>
          <cell r="I1423">
            <v>0</v>
          </cell>
        </row>
        <row r="1424">
          <cell r="A1424">
            <v>0</v>
          </cell>
          <cell r="B1424" t="str">
            <v>VL177</v>
          </cell>
          <cell r="C1424" t="str">
            <v>Cồn công nghiệp</v>
          </cell>
          <cell r="D1424" t="str">
            <v>kg</v>
          </cell>
          <cell r="E1424">
            <v>4.7E-2</v>
          </cell>
          <cell r="F1424">
            <v>20000</v>
          </cell>
          <cell r="G1424">
            <v>940</v>
          </cell>
          <cell r="H1424">
            <v>0</v>
          </cell>
          <cell r="I1424">
            <v>0</v>
          </cell>
        </row>
        <row r="1425">
          <cell r="A1425">
            <v>0</v>
          </cell>
          <cell r="B1425" t="str">
            <v>VL198</v>
          </cell>
          <cell r="C1425" t="str">
            <v>Dây điện 2x1,5mm2</v>
          </cell>
          <cell r="D1425" t="str">
            <v>m</v>
          </cell>
          <cell r="E1425">
            <v>9.2999999999999999E-2</v>
          </cell>
          <cell r="F1425">
            <v>9027.2727272727261</v>
          </cell>
          <cell r="G1425">
            <v>839.53636363636349</v>
          </cell>
          <cell r="H1425">
            <v>0</v>
          </cell>
          <cell r="I1425">
            <v>0</v>
          </cell>
        </row>
        <row r="1426">
          <cell r="A1426">
            <v>0</v>
          </cell>
          <cell r="B1426" t="str">
            <v>VL176</v>
          </cell>
          <cell r="C1426" t="str">
            <v>Giẻ lau</v>
          </cell>
          <cell r="D1426" t="str">
            <v>kg</v>
          </cell>
          <cell r="E1426">
            <v>4.7E-2</v>
          </cell>
          <cell r="F1426">
            <v>5000</v>
          </cell>
          <cell r="G1426">
            <v>235</v>
          </cell>
          <cell r="H1426">
            <v>0</v>
          </cell>
          <cell r="I1426">
            <v>0</v>
          </cell>
        </row>
        <row r="1427">
          <cell r="A1427">
            <v>0</v>
          </cell>
          <cell r="B1427">
            <v>0</v>
          </cell>
          <cell r="C1427" t="str">
            <v>Nhân công</v>
          </cell>
          <cell r="D1427">
            <v>0</v>
          </cell>
          <cell r="E1427">
            <v>0</v>
          </cell>
          <cell r="F1427">
            <v>0</v>
          </cell>
          <cell r="G1427">
            <v>0</v>
          </cell>
          <cell r="H1427">
            <v>0</v>
          </cell>
          <cell r="I1427">
            <v>0</v>
          </cell>
        </row>
        <row r="1428">
          <cell r="A1428">
            <v>0</v>
          </cell>
          <cell r="B1428" t="str">
            <v>KS3</v>
          </cell>
          <cell r="C1428" t="str">
            <v>Kỹ sư bậc 3,0/8</v>
          </cell>
          <cell r="D1428" t="str">
            <v>công</v>
          </cell>
          <cell r="E1428">
            <v>0.2</v>
          </cell>
          <cell r="F1428">
            <v>213300</v>
          </cell>
          <cell r="G1428">
            <v>0</v>
          </cell>
          <cell r="H1428">
            <v>42660</v>
          </cell>
          <cell r="I1428">
            <v>0</v>
          </cell>
        </row>
        <row r="1429">
          <cell r="A1429">
            <v>0</v>
          </cell>
          <cell r="B1429" t="str">
            <v>N4407</v>
          </cell>
          <cell r="C1429" t="str">
            <v xml:space="preserve"> Nhân công bậc 4,0/7 - Nhóm 4</v>
          </cell>
          <cell r="D1429" t="str">
            <v>công</v>
          </cell>
          <cell r="E1429">
            <v>0.11</v>
          </cell>
          <cell r="F1429">
            <v>257269.73684210525</v>
          </cell>
          <cell r="G1429">
            <v>0</v>
          </cell>
          <cell r="H1429">
            <v>28299.671052631576</v>
          </cell>
          <cell r="I1429">
            <v>0</v>
          </cell>
        </row>
        <row r="1430">
          <cell r="A1430">
            <v>0</v>
          </cell>
          <cell r="B1430">
            <v>0</v>
          </cell>
          <cell r="C1430" t="str">
            <v>Máy thi công</v>
          </cell>
          <cell r="D1430">
            <v>0</v>
          </cell>
          <cell r="E1430">
            <v>0</v>
          </cell>
          <cell r="F1430">
            <v>0</v>
          </cell>
          <cell r="G1430">
            <v>0</v>
          </cell>
          <cell r="H1430">
            <v>0</v>
          </cell>
          <cell r="I1430">
            <v>0</v>
          </cell>
        </row>
        <row r="1431">
          <cell r="A1431">
            <v>0</v>
          </cell>
          <cell r="B1431" t="str">
            <v>M203.0025</v>
          </cell>
          <cell r="C1431" t="str">
            <v>Megôm met</v>
          </cell>
          <cell r="D1431" t="str">
            <v>ca</v>
          </cell>
          <cell r="E1431">
            <v>2.8000000000000001E-2</v>
          </cell>
          <cell r="F1431">
            <v>40127.500000000007</v>
          </cell>
          <cell r="G1431">
            <v>0</v>
          </cell>
          <cell r="H1431">
            <v>0</v>
          </cell>
          <cell r="I1431">
            <v>1123.5700000000002</v>
          </cell>
        </row>
        <row r="1432">
          <cell r="A1432">
            <v>0</v>
          </cell>
          <cell r="B1432" t="str">
            <v>M203.0007</v>
          </cell>
          <cell r="C1432" t="str">
            <v>Hợp bộ thí nghiệm cao áp</v>
          </cell>
          <cell r="D1432" t="str">
            <v>ca</v>
          </cell>
          <cell r="E1432">
            <v>3.9E-2</v>
          </cell>
          <cell r="F1432">
            <v>403740.11363636365</v>
          </cell>
          <cell r="G1432">
            <v>0</v>
          </cell>
          <cell r="H1432">
            <v>0</v>
          </cell>
          <cell r="I1432">
            <v>15745.864431818181</v>
          </cell>
        </row>
        <row r="1433">
          <cell r="A1433">
            <v>0</v>
          </cell>
          <cell r="B1433" t="str">
            <v>M203.0009</v>
          </cell>
          <cell r="C1433" t="str">
            <v>Máy điều chỉnh điện áp 1 pha</v>
          </cell>
          <cell r="D1433" t="str">
            <v>ca</v>
          </cell>
          <cell r="E1433">
            <v>0</v>
          </cell>
          <cell r="F1433">
            <v>16679.43181818182</v>
          </cell>
          <cell r="G1433">
            <v>0</v>
          </cell>
          <cell r="H1433">
            <v>0</v>
          </cell>
          <cell r="I1433">
            <v>0</v>
          </cell>
        </row>
        <row r="1434">
          <cell r="A1434" t="str">
            <v>EC.12030</v>
          </cell>
          <cell r="B1434">
            <v>0</v>
          </cell>
          <cell r="C1434" t="str">
            <v>Thí nghiệm chống sét van 1 pha , điện áp &lt;1kV</v>
          </cell>
          <cell r="D1434" t="str">
            <v>bộ ( 1 pha )</v>
          </cell>
          <cell r="E1434">
            <v>0</v>
          </cell>
          <cell r="F1434">
            <v>0</v>
          </cell>
          <cell r="G1434">
            <v>575</v>
          </cell>
          <cell r="H1434">
            <v>34193.486842105267</v>
          </cell>
          <cell r="I1434">
            <v>8636.5872727272726</v>
          </cell>
        </row>
        <row r="1435">
          <cell r="A1435">
            <v>0</v>
          </cell>
          <cell r="B1435">
            <v>0</v>
          </cell>
          <cell r="C1435" t="str">
            <v>Vật liệu</v>
          </cell>
          <cell r="D1435">
            <v>0</v>
          </cell>
          <cell r="E1435">
            <v>0</v>
          </cell>
          <cell r="F1435">
            <v>0</v>
          </cell>
          <cell r="G1435">
            <v>0</v>
          </cell>
          <cell r="H1435">
            <v>0</v>
          </cell>
          <cell r="I1435">
            <v>0</v>
          </cell>
        </row>
        <row r="1436">
          <cell r="A1436">
            <v>0</v>
          </cell>
          <cell r="B1436" t="str">
            <v>VL221</v>
          </cell>
          <cell r="C1436" t="str">
            <v>Điện năng</v>
          </cell>
          <cell r="D1436" t="str">
            <v>Kwh</v>
          </cell>
          <cell r="E1436">
            <v>0</v>
          </cell>
          <cell r="F1436">
            <v>1622.01</v>
          </cell>
          <cell r="G1436">
            <v>0</v>
          </cell>
          <cell r="H1436">
            <v>0</v>
          </cell>
          <cell r="I1436">
            <v>0</v>
          </cell>
        </row>
        <row r="1437">
          <cell r="A1437">
            <v>0</v>
          </cell>
          <cell r="B1437" t="str">
            <v>VL177</v>
          </cell>
          <cell r="C1437" t="str">
            <v>Cồn công nghiệp</v>
          </cell>
          <cell r="D1437" t="str">
            <v>kg</v>
          </cell>
          <cell r="E1437">
            <v>2.3E-2</v>
          </cell>
          <cell r="F1437">
            <v>20000</v>
          </cell>
          <cell r="G1437">
            <v>460</v>
          </cell>
          <cell r="H1437">
            <v>0</v>
          </cell>
          <cell r="I1437">
            <v>0</v>
          </cell>
        </row>
        <row r="1438">
          <cell r="A1438">
            <v>0</v>
          </cell>
          <cell r="B1438" t="str">
            <v>VL198</v>
          </cell>
          <cell r="C1438" t="str">
            <v>Dây điện 2x1,5mm2</v>
          </cell>
          <cell r="D1438" t="str">
            <v>m</v>
          </cell>
          <cell r="E1438">
            <v>0</v>
          </cell>
          <cell r="F1438">
            <v>9027.2727272727261</v>
          </cell>
          <cell r="G1438">
            <v>0</v>
          </cell>
          <cell r="H1438">
            <v>0</v>
          </cell>
          <cell r="I1438">
            <v>0</v>
          </cell>
        </row>
        <row r="1439">
          <cell r="A1439">
            <v>0</v>
          </cell>
          <cell r="B1439" t="str">
            <v>VL176</v>
          </cell>
          <cell r="C1439" t="str">
            <v>Giẻ lau</v>
          </cell>
          <cell r="D1439" t="str">
            <v>kg</v>
          </cell>
          <cell r="E1439">
            <v>2.3E-2</v>
          </cell>
          <cell r="F1439">
            <v>5000</v>
          </cell>
          <cell r="G1439">
            <v>115</v>
          </cell>
          <cell r="H1439">
            <v>0</v>
          </cell>
          <cell r="I1439">
            <v>0</v>
          </cell>
        </row>
        <row r="1440">
          <cell r="A1440">
            <v>0</v>
          </cell>
          <cell r="B1440">
            <v>0</v>
          </cell>
          <cell r="C1440" t="str">
            <v>Nhân công</v>
          </cell>
          <cell r="D1440">
            <v>0</v>
          </cell>
          <cell r="E1440">
            <v>0</v>
          </cell>
          <cell r="F1440">
            <v>0</v>
          </cell>
          <cell r="G1440">
            <v>0</v>
          </cell>
          <cell r="H1440">
            <v>0</v>
          </cell>
          <cell r="I1440">
            <v>0</v>
          </cell>
        </row>
        <row r="1441">
          <cell r="A1441">
            <v>0</v>
          </cell>
          <cell r="B1441" t="str">
            <v>KS3</v>
          </cell>
          <cell r="C1441" t="str">
            <v>Kỹ sư bậc 3,0/8</v>
          </cell>
          <cell r="D1441" t="str">
            <v>công</v>
          </cell>
          <cell r="E1441">
            <v>0.1</v>
          </cell>
          <cell r="F1441">
            <v>213300</v>
          </cell>
          <cell r="G1441">
            <v>0</v>
          </cell>
          <cell r="H1441">
            <v>21330</v>
          </cell>
          <cell r="I1441">
            <v>0</v>
          </cell>
        </row>
        <row r="1442">
          <cell r="A1442">
            <v>0</v>
          </cell>
          <cell r="B1442" t="str">
            <v>N4407</v>
          </cell>
          <cell r="C1442" t="str">
            <v xml:space="preserve"> Nhân công bậc 4,0/7 - Nhóm 4</v>
          </cell>
          <cell r="D1442" t="str">
            <v>công</v>
          </cell>
          <cell r="E1442">
            <v>0.05</v>
          </cell>
          <cell r="F1442">
            <v>257269.73684210525</v>
          </cell>
          <cell r="G1442">
            <v>0</v>
          </cell>
          <cell r="H1442">
            <v>12863.486842105263</v>
          </cell>
          <cell r="I1442">
            <v>0</v>
          </cell>
        </row>
        <row r="1443">
          <cell r="A1443">
            <v>0</v>
          </cell>
          <cell r="B1443">
            <v>0</v>
          </cell>
          <cell r="C1443" t="str">
            <v>Máy thi công</v>
          </cell>
          <cell r="D1443">
            <v>0</v>
          </cell>
          <cell r="E1443">
            <v>0</v>
          </cell>
          <cell r="F1443">
            <v>0</v>
          </cell>
          <cell r="G1443">
            <v>0</v>
          </cell>
          <cell r="H1443">
            <v>0</v>
          </cell>
          <cell r="I1443">
            <v>0</v>
          </cell>
        </row>
        <row r="1444">
          <cell r="A1444">
            <v>0</v>
          </cell>
          <cell r="B1444" t="str">
            <v>M203.0025</v>
          </cell>
          <cell r="C1444" t="str">
            <v>Megôm met</v>
          </cell>
          <cell r="D1444" t="str">
            <v>ca</v>
          </cell>
          <cell r="E1444">
            <v>1.4E-2</v>
          </cell>
          <cell r="F1444">
            <v>40127.500000000007</v>
          </cell>
          <cell r="G1444">
            <v>0</v>
          </cell>
          <cell r="H1444">
            <v>0</v>
          </cell>
          <cell r="I1444">
            <v>561.78500000000008</v>
          </cell>
        </row>
        <row r="1445">
          <cell r="A1445">
            <v>0</v>
          </cell>
          <cell r="B1445" t="str">
            <v>M203.0007</v>
          </cell>
          <cell r="C1445" t="str">
            <v>Hợp bộ thí nghiệm cao áp</v>
          </cell>
          <cell r="D1445" t="str">
            <v>ca</v>
          </cell>
          <cell r="E1445">
            <v>0.02</v>
          </cell>
          <cell r="F1445">
            <v>403740.11363636365</v>
          </cell>
          <cell r="G1445">
            <v>0</v>
          </cell>
          <cell r="H1445">
            <v>0</v>
          </cell>
          <cell r="I1445">
            <v>8074.8022727272728</v>
          </cell>
        </row>
        <row r="1446">
          <cell r="A1446">
            <v>0</v>
          </cell>
          <cell r="B1446" t="str">
            <v>M203.0009</v>
          </cell>
          <cell r="C1446" t="str">
            <v>Máy điều chỉnh điện áp 1 pha</v>
          </cell>
          <cell r="D1446" t="str">
            <v>ca</v>
          </cell>
          <cell r="E1446">
            <v>0</v>
          </cell>
          <cell r="F1446">
            <v>16679.43181818182</v>
          </cell>
          <cell r="G1446">
            <v>0</v>
          </cell>
          <cell r="H1446">
            <v>0</v>
          </cell>
          <cell r="I1446">
            <v>0</v>
          </cell>
        </row>
        <row r="1447">
          <cell r="A1447" t="str">
            <v>EC.12040</v>
          </cell>
          <cell r="B1447">
            <v>0</v>
          </cell>
          <cell r="C1447" t="str">
            <v>Thí nghiệm thiết bị đếm sét</v>
          </cell>
          <cell r="D1447" t="str">
            <v>bộ</v>
          </cell>
          <cell r="E1447">
            <v>0</v>
          </cell>
          <cell r="F1447">
            <v>0</v>
          </cell>
          <cell r="G1447">
            <v>1189.0569881818183</v>
          </cell>
          <cell r="H1447">
            <v>41032.184210526313</v>
          </cell>
          <cell r="I1447">
            <v>1667.943181818182</v>
          </cell>
        </row>
        <row r="1448">
          <cell r="A1448">
            <v>0</v>
          </cell>
          <cell r="B1448">
            <v>0</v>
          </cell>
          <cell r="C1448" t="str">
            <v>Vật liệu</v>
          </cell>
          <cell r="D1448">
            <v>0</v>
          </cell>
          <cell r="E1448">
            <v>0</v>
          </cell>
          <cell r="F1448">
            <v>0</v>
          </cell>
          <cell r="G1448">
            <v>0</v>
          </cell>
          <cell r="H1448">
            <v>0</v>
          </cell>
          <cell r="I1448">
            <v>0</v>
          </cell>
        </row>
        <row r="1449">
          <cell r="A1449">
            <v>0</v>
          </cell>
          <cell r="B1449" t="str">
            <v>VL221</v>
          </cell>
          <cell r="C1449" t="str">
            <v>Điện năng</v>
          </cell>
          <cell r="D1449" t="str">
            <v>Kwh</v>
          </cell>
          <cell r="E1449">
            <v>0.11700000000000001</v>
          </cell>
          <cell r="F1449">
            <v>1622.01</v>
          </cell>
          <cell r="G1449">
            <v>189.77517</v>
          </cell>
          <cell r="H1449">
            <v>0</v>
          </cell>
          <cell r="I1449">
            <v>0</v>
          </cell>
        </row>
        <row r="1450">
          <cell r="A1450">
            <v>0</v>
          </cell>
          <cell r="B1450" t="str">
            <v>VL177</v>
          </cell>
          <cell r="C1450" t="str">
            <v>Cồn công nghiệp</v>
          </cell>
          <cell r="D1450" t="str">
            <v>kg</v>
          </cell>
          <cell r="E1450">
            <v>2.3E-2</v>
          </cell>
          <cell r="F1450">
            <v>20000</v>
          </cell>
          <cell r="G1450">
            <v>460</v>
          </cell>
          <cell r="H1450">
            <v>0</v>
          </cell>
          <cell r="I1450">
            <v>0</v>
          </cell>
        </row>
        <row r="1451">
          <cell r="A1451">
            <v>0</v>
          </cell>
          <cell r="B1451" t="str">
            <v>VL198</v>
          </cell>
          <cell r="C1451" t="str">
            <v>Dây điện 2x1,5mm2</v>
          </cell>
          <cell r="D1451" t="str">
            <v>m</v>
          </cell>
          <cell r="E1451">
            <v>4.7E-2</v>
          </cell>
          <cell r="F1451">
            <v>9027.2727272727261</v>
          </cell>
          <cell r="G1451">
            <v>424.28181818181815</v>
          </cell>
          <cell r="H1451">
            <v>0</v>
          </cell>
          <cell r="I1451">
            <v>0</v>
          </cell>
        </row>
        <row r="1452">
          <cell r="A1452">
            <v>0</v>
          </cell>
          <cell r="B1452" t="str">
            <v>VL176</v>
          </cell>
          <cell r="C1452" t="str">
            <v>Giẻ lau</v>
          </cell>
          <cell r="D1452" t="str">
            <v>kg</v>
          </cell>
          <cell r="E1452">
            <v>2.3E-2</v>
          </cell>
          <cell r="F1452">
            <v>5000</v>
          </cell>
          <cell r="G1452">
            <v>115</v>
          </cell>
          <cell r="H1452">
            <v>0</v>
          </cell>
          <cell r="I1452">
            <v>0</v>
          </cell>
        </row>
        <row r="1453">
          <cell r="A1453">
            <v>0</v>
          </cell>
          <cell r="B1453">
            <v>0</v>
          </cell>
          <cell r="C1453" t="str">
            <v>Nhân công</v>
          </cell>
          <cell r="D1453">
            <v>0</v>
          </cell>
          <cell r="E1453">
            <v>0</v>
          </cell>
          <cell r="F1453">
            <v>0</v>
          </cell>
          <cell r="G1453">
            <v>0</v>
          </cell>
          <cell r="H1453">
            <v>0</v>
          </cell>
          <cell r="I1453">
            <v>0</v>
          </cell>
        </row>
        <row r="1454">
          <cell r="A1454">
            <v>0</v>
          </cell>
          <cell r="B1454" t="str">
            <v>KS3</v>
          </cell>
          <cell r="C1454" t="str">
            <v>Kỹ sư bậc 3,0/8</v>
          </cell>
          <cell r="D1454" t="str">
            <v>công</v>
          </cell>
          <cell r="E1454">
            <v>0.12</v>
          </cell>
          <cell r="F1454">
            <v>213300</v>
          </cell>
          <cell r="G1454">
            <v>0</v>
          </cell>
          <cell r="H1454">
            <v>25596</v>
          </cell>
          <cell r="I1454">
            <v>0</v>
          </cell>
        </row>
        <row r="1455">
          <cell r="A1455">
            <v>0</v>
          </cell>
          <cell r="B1455" t="str">
            <v>N4407</v>
          </cell>
          <cell r="C1455" t="str">
            <v xml:space="preserve"> Nhân công bậc 4,0/7 - Nhóm 4</v>
          </cell>
          <cell r="D1455" t="str">
            <v>công</v>
          </cell>
          <cell r="E1455">
            <v>0.06</v>
          </cell>
          <cell r="F1455">
            <v>257269.73684210525</v>
          </cell>
          <cell r="G1455">
            <v>0</v>
          </cell>
          <cell r="H1455">
            <v>15436.184210526315</v>
          </cell>
          <cell r="I1455">
            <v>0</v>
          </cell>
        </row>
        <row r="1456">
          <cell r="A1456">
            <v>0</v>
          </cell>
          <cell r="B1456">
            <v>0</v>
          </cell>
          <cell r="C1456" t="str">
            <v>Máy thi công</v>
          </cell>
          <cell r="D1456">
            <v>0</v>
          </cell>
          <cell r="E1456">
            <v>0</v>
          </cell>
          <cell r="F1456">
            <v>0</v>
          </cell>
          <cell r="G1456">
            <v>0</v>
          </cell>
          <cell r="H1456">
            <v>0</v>
          </cell>
          <cell r="I1456">
            <v>0</v>
          </cell>
        </row>
        <row r="1457">
          <cell r="A1457">
            <v>0</v>
          </cell>
          <cell r="B1457" t="str">
            <v>M203.0025</v>
          </cell>
          <cell r="C1457" t="str">
            <v>Megôm met</v>
          </cell>
          <cell r="D1457" t="str">
            <v>ca</v>
          </cell>
          <cell r="E1457">
            <v>0</v>
          </cell>
          <cell r="F1457">
            <v>40127.500000000007</v>
          </cell>
          <cell r="G1457">
            <v>0</v>
          </cell>
          <cell r="H1457">
            <v>0</v>
          </cell>
          <cell r="I1457">
            <v>0</v>
          </cell>
        </row>
        <row r="1458">
          <cell r="A1458">
            <v>0</v>
          </cell>
          <cell r="B1458" t="str">
            <v>M203.0007</v>
          </cell>
          <cell r="C1458" t="str">
            <v>Hợp bộ thí nghiệm cao áp</v>
          </cell>
          <cell r="D1458" t="str">
            <v>ca</v>
          </cell>
          <cell r="E1458">
            <v>0</v>
          </cell>
          <cell r="F1458">
            <v>403740.11363636365</v>
          </cell>
          <cell r="G1458">
            <v>0</v>
          </cell>
          <cell r="H1458">
            <v>0</v>
          </cell>
          <cell r="I1458">
            <v>0</v>
          </cell>
        </row>
        <row r="1459">
          <cell r="A1459">
            <v>0</v>
          </cell>
          <cell r="B1459" t="str">
            <v>M203.0009</v>
          </cell>
          <cell r="C1459" t="str">
            <v>Máy điều chỉnh điện áp 1 pha</v>
          </cell>
          <cell r="D1459" t="str">
            <v>ca</v>
          </cell>
          <cell r="E1459">
            <v>0.1</v>
          </cell>
          <cell r="F1459">
            <v>16679.43181818182</v>
          </cell>
          <cell r="G1459">
            <v>0</v>
          </cell>
          <cell r="H1459">
            <v>0</v>
          </cell>
          <cell r="I1459">
            <v>1667.943181818182</v>
          </cell>
        </row>
        <row r="1460">
          <cell r="A1460" t="str">
            <v>EC.21010</v>
          </cell>
          <cell r="B1460">
            <v>0</v>
          </cell>
          <cell r="C1460" t="str">
            <v>Thí nghiệm tiếp địa trạm biến áp 500kV</v>
          </cell>
          <cell r="D1460" t="str">
            <v>H.thống</v>
          </cell>
          <cell r="E1460">
            <v>0</v>
          </cell>
          <cell r="F1460">
            <v>0</v>
          </cell>
          <cell r="G1460">
            <v>45136.363636363632</v>
          </cell>
          <cell r="H1460">
            <v>3345704.0526315789</v>
          </cell>
          <cell r="I1460">
            <v>78990.326704545456</v>
          </cell>
        </row>
        <row r="1461">
          <cell r="A1461">
            <v>0</v>
          </cell>
          <cell r="B1461">
            <v>0</v>
          </cell>
          <cell r="C1461" t="str">
            <v>Vật liệu</v>
          </cell>
          <cell r="D1461">
            <v>0</v>
          </cell>
          <cell r="E1461">
            <v>0</v>
          </cell>
          <cell r="F1461">
            <v>0</v>
          </cell>
          <cell r="G1461">
            <v>0</v>
          </cell>
          <cell r="H1461">
            <v>0</v>
          </cell>
          <cell r="I1461">
            <v>0</v>
          </cell>
        </row>
        <row r="1462">
          <cell r="A1462">
            <v>0</v>
          </cell>
          <cell r="B1462" t="str">
            <v>VL198</v>
          </cell>
          <cell r="C1462" t="str">
            <v>Dây điện 2x1,5mm2</v>
          </cell>
          <cell r="D1462" t="str">
            <v>m</v>
          </cell>
          <cell r="E1462">
            <v>5</v>
          </cell>
          <cell r="F1462">
            <v>9027.2727272727261</v>
          </cell>
          <cell r="G1462">
            <v>45136.363636363632</v>
          </cell>
          <cell r="H1462">
            <v>0</v>
          </cell>
          <cell r="I1462">
            <v>0</v>
          </cell>
        </row>
        <row r="1463">
          <cell r="A1463">
            <v>0</v>
          </cell>
          <cell r="B1463">
            <v>0</v>
          </cell>
          <cell r="C1463" t="str">
            <v>Nhân công</v>
          </cell>
          <cell r="D1463">
            <v>0</v>
          </cell>
          <cell r="E1463">
            <v>0</v>
          </cell>
          <cell r="F1463">
            <v>0</v>
          </cell>
          <cell r="G1463">
            <v>0</v>
          </cell>
          <cell r="H1463">
            <v>0</v>
          </cell>
          <cell r="I1463">
            <v>0</v>
          </cell>
        </row>
        <row r="1464">
          <cell r="A1464">
            <v>0</v>
          </cell>
          <cell r="B1464" t="str">
            <v>KS3</v>
          </cell>
          <cell r="C1464" t="str">
            <v>Kỹ sư bậc 3,0/8</v>
          </cell>
          <cell r="D1464" t="str">
            <v>công</v>
          </cell>
          <cell r="E1464">
            <v>9.51</v>
          </cell>
          <cell r="F1464">
            <v>213300</v>
          </cell>
          <cell r="G1464">
            <v>0</v>
          </cell>
          <cell r="H1464">
            <v>2028483</v>
          </cell>
          <cell r="I1464">
            <v>0</v>
          </cell>
        </row>
        <row r="1465">
          <cell r="A1465">
            <v>0</v>
          </cell>
          <cell r="B1465" t="str">
            <v>N4407</v>
          </cell>
          <cell r="C1465" t="str">
            <v xml:space="preserve"> Nhân công bậc 4,0/7 - Nhóm 4</v>
          </cell>
          <cell r="D1465" t="str">
            <v>công</v>
          </cell>
          <cell r="E1465">
            <v>5.12</v>
          </cell>
          <cell r="F1465">
            <v>257269.73684210525</v>
          </cell>
          <cell r="G1465">
            <v>0</v>
          </cell>
          <cell r="H1465">
            <v>1317221.0526315789</v>
          </cell>
          <cell r="I1465">
            <v>0</v>
          </cell>
        </row>
        <row r="1466">
          <cell r="A1466">
            <v>0</v>
          </cell>
          <cell r="B1466">
            <v>0</v>
          </cell>
          <cell r="C1466" t="str">
            <v>Máy thi công</v>
          </cell>
          <cell r="D1466">
            <v>0</v>
          </cell>
          <cell r="E1466">
            <v>0</v>
          </cell>
          <cell r="F1466">
            <v>0</v>
          </cell>
          <cell r="G1466">
            <v>0</v>
          </cell>
          <cell r="H1466">
            <v>0</v>
          </cell>
          <cell r="I1466">
            <v>0</v>
          </cell>
        </row>
        <row r="1467">
          <cell r="A1467">
            <v>0</v>
          </cell>
          <cell r="B1467" t="str">
            <v>M203.0015</v>
          </cell>
          <cell r="C1467" t="str">
            <v>Máy đo điện trở tiếp địa</v>
          </cell>
          <cell r="D1467" t="str">
            <v>ca</v>
          </cell>
          <cell r="E1467">
            <v>1.625</v>
          </cell>
          <cell r="F1467">
            <v>48609.431818181816</v>
          </cell>
          <cell r="G1467">
            <v>0</v>
          </cell>
          <cell r="H1467">
            <v>0</v>
          </cell>
          <cell r="I1467">
            <v>78990.326704545456</v>
          </cell>
        </row>
        <row r="1468">
          <cell r="A1468" t="str">
            <v>EC.21020</v>
          </cell>
          <cell r="B1468">
            <v>0</v>
          </cell>
          <cell r="C1468" t="str">
            <v>Thí nghiệm tiếp địa trạm biến áp 220kV</v>
          </cell>
          <cell r="D1468" t="str">
            <v>H.thống</v>
          </cell>
          <cell r="E1468">
            <v>0</v>
          </cell>
          <cell r="F1468">
            <v>0</v>
          </cell>
          <cell r="G1468">
            <v>36109.090909090904</v>
          </cell>
          <cell r="H1468">
            <v>2703745.8947368423</v>
          </cell>
          <cell r="I1468">
            <v>63192.26136363636</v>
          </cell>
        </row>
        <row r="1469">
          <cell r="A1469">
            <v>0</v>
          </cell>
          <cell r="B1469">
            <v>0</v>
          </cell>
          <cell r="C1469" t="str">
            <v>Vật liệu</v>
          </cell>
          <cell r="D1469">
            <v>0</v>
          </cell>
          <cell r="E1469">
            <v>0</v>
          </cell>
          <cell r="F1469">
            <v>0</v>
          </cell>
          <cell r="G1469">
            <v>0</v>
          </cell>
          <cell r="H1469">
            <v>0</v>
          </cell>
          <cell r="I1469">
            <v>0</v>
          </cell>
        </row>
        <row r="1470">
          <cell r="A1470">
            <v>0</v>
          </cell>
          <cell r="B1470" t="str">
            <v>VL198</v>
          </cell>
          <cell r="C1470" t="str">
            <v>Dây điện 2x1,5mm2</v>
          </cell>
          <cell r="D1470" t="str">
            <v>m</v>
          </cell>
          <cell r="E1470">
            <v>4</v>
          </cell>
          <cell r="F1470">
            <v>9027.2727272727261</v>
          </cell>
          <cell r="G1470">
            <v>36109.090909090904</v>
          </cell>
          <cell r="H1470">
            <v>0</v>
          </cell>
          <cell r="I1470">
            <v>0</v>
          </cell>
        </row>
        <row r="1471">
          <cell r="A1471">
            <v>0</v>
          </cell>
          <cell r="B1471">
            <v>0</v>
          </cell>
          <cell r="C1471" t="str">
            <v>Nhân công</v>
          </cell>
          <cell r="D1471">
            <v>0</v>
          </cell>
          <cell r="E1471">
            <v>0</v>
          </cell>
          <cell r="F1471">
            <v>0</v>
          </cell>
          <cell r="G1471">
            <v>0</v>
          </cell>
          <cell r="H1471">
            <v>0</v>
          </cell>
          <cell r="I1471">
            <v>0</v>
          </cell>
        </row>
        <row r="1472">
          <cell r="A1472">
            <v>0</v>
          </cell>
          <cell r="B1472" t="str">
            <v>KS3</v>
          </cell>
          <cell r="C1472" t="str">
            <v>Kỹ sư bậc 3,0/8</v>
          </cell>
          <cell r="D1472" t="str">
            <v>công</v>
          </cell>
          <cell r="E1472">
            <v>7.61</v>
          </cell>
          <cell r="F1472">
            <v>213300</v>
          </cell>
          <cell r="G1472">
            <v>0</v>
          </cell>
          <cell r="H1472">
            <v>1623213</v>
          </cell>
          <cell r="I1472">
            <v>0</v>
          </cell>
        </row>
        <row r="1473">
          <cell r="A1473">
            <v>0</v>
          </cell>
          <cell r="B1473" t="str">
            <v>N4407</v>
          </cell>
          <cell r="C1473" t="str">
            <v xml:space="preserve"> Nhân công bậc 4,0/7 - Nhóm 4</v>
          </cell>
          <cell r="D1473" t="str">
            <v>công</v>
          </cell>
          <cell r="E1473">
            <v>4.2</v>
          </cell>
          <cell r="F1473">
            <v>257269.73684210525</v>
          </cell>
          <cell r="G1473">
            <v>0</v>
          </cell>
          <cell r="H1473">
            <v>1080532.894736842</v>
          </cell>
          <cell r="I1473">
            <v>0</v>
          </cell>
        </row>
        <row r="1474">
          <cell r="A1474">
            <v>0</v>
          </cell>
          <cell r="B1474">
            <v>0</v>
          </cell>
          <cell r="C1474" t="str">
            <v>Máy thi công</v>
          </cell>
          <cell r="D1474">
            <v>0</v>
          </cell>
          <cell r="E1474">
            <v>0</v>
          </cell>
          <cell r="F1474">
            <v>0</v>
          </cell>
          <cell r="G1474">
            <v>0</v>
          </cell>
          <cell r="H1474">
            <v>0</v>
          </cell>
          <cell r="I1474">
            <v>0</v>
          </cell>
        </row>
        <row r="1475">
          <cell r="A1475">
            <v>0</v>
          </cell>
          <cell r="B1475" t="str">
            <v>M203.0015</v>
          </cell>
          <cell r="C1475" t="str">
            <v>Máy đo điện trở tiếp địa</v>
          </cell>
          <cell r="D1475" t="str">
            <v>ca</v>
          </cell>
          <cell r="E1475">
            <v>1.3</v>
          </cell>
          <cell r="F1475">
            <v>48609.431818181816</v>
          </cell>
          <cell r="G1475">
            <v>0</v>
          </cell>
          <cell r="H1475">
            <v>0</v>
          </cell>
          <cell r="I1475">
            <v>63192.26136363636</v>
          </cell>
        </row>
        <row r="1476">
          <cell r="A1476" t="str">
            <v>EC.21030</v>
          </cell>
          <cell r="B1476">
            <v>0</v>
          </cell>
          <cell r="C1476" t="str">
            <v>Thí nghiệm tiếp địa trạm biến áp 66-110kV</v>
          </cell>
          <cell r="D1476" t="str">
            <v>H.thống</v>
          </cell>
          <cell r="E1476">
            <v>0</v>
          </cell>
          <cell r="F1476">
            <v>0</v>
          </cell>
          <cell r="G1476">
            <v>28887.272727272724</v>
          </cell>
          <cell r="H1476">
            <v>2140708.7368421052</v>
          </cell>
          <cell r="I1476">
            <v>50553.80909090909</v>
          </cell>
        </row>
        <row r="1477">
          <cell r="A1477">
            <v>0</v>
          </cell>
          <cell r="B1477">
            <v>0</v>
          </cell>
          <cell r="C1477" t="str">
            <v>Vật liệu</v>
          </cell>
          <cell r="D1477">
            <v>0</v>
          </cell>
          <cell r="E1477">
            <v>0</v>
          </cell>
          <cell r="F1477">
            <v>0</v>
          </cell>
          <cell r="G1477">
            <v>0</v>
          </cell>
          <cell r="H1477">
            <v>0</v>
          </cell>
          <cell r="I1477">
            <v>0</v>
          </cell>
        </row>
        <row r="1478">
          <cell r="A1478">
            <v>0</v>
          </cell>
          <cell r="B1478" t="str">
            <v>VL198</v>
          </cell>
          <cell r="C1478" t="str">
            <v>Dây điện 2x1,5mm2</v>
          </cell>
          <cell r="D1478" t="str">
            <v>m</v>
          </cell>
          <cell r="E1478">
            <v>3.2</v>
          </cell>
          <cell r="F1478">
            <v>9027.2727272727261</v>
          </cell>
          <cell r="G1478">
            <v>28887.272727272724</v>
          </cell>
          <cell r="H1478">
            <v>0</v>
          </cell>
          <cell r="I1478">
            <v>0</v>
          </cell>
        </row>
        <row r="1479">
          <cell r="A1479">
            <v>0</v>
          </cell>
          <cell r="B1479">
            <v>0</v>
          </cell>
          <cell r="C1479" t="str">
            <v>Nhân công</v>
          </cell>
          <cell r="D1479">
            <v>0</v>
          </cell>
          <cell r="E1479">
            <v>0</v>
          </cell>
          <cell r="F1479">
            <v>0</v>
          </cell>
          <cell r="G1479">
            <v>0</v>
          </cell>
          <cell r="H1479">
            <v>0</v>
          </cell>
          <cell r="I1479">
            <v>0</v>
          </cell>
        </row>
        <row r="1480">
          <cell r="A1480">
            <v>0</v>
          </cell>
          <cell r="B1480" t="str">
            <v>KS3</v>
          </cell>
          <cell r="C1480" t="str">
            <v>Kỹ sư bậc 3,0/8</v>
          </cell>
          <cell r="D1480" t="str">
            <v>công</v>
          </cell>
          <cell r="E1480">
            <v>6.08</v>
          </cell>
          <cell r="F1480">
            <v>213300</v>
          </cell>
          <cell r="G1480">
            <v>0</v>
          </cell>
          <cell r="H1480">
            <v>1296864</v>
          </cell>
          <cell r="I1480">
            <v>0</v>
          </cell>
        </row>
        <row r="1481">
          <cell r="A1481">
            <v>0</v>
          </cell>
          <cell r="B1481" t="str">
            <v>N4407</v>
          </cell>
          <cell r="C1481" t="str">
            <v xml:space="preserve"> Nhân công bậc 4,0/7 - Nhóm 4</v>
          </cell>
          <cell r="D1481" t="str">
            <v>công</v>
          </cell>
          <cell r="E1481">
            <v>3.28</v>
          </cell>
          <cell r="F1481">
            <v>257269.73684210525</v>
          </cell>
          <cell r="G1481">
            <v>0</v>
          </cell>
          <cell r="H1481">
            <v>843844.73684210517</v>
          </cell>
          <cell r="I1481">
            <v>0</v>
          </cell>
        </row>
        <row r="1482">
          <cell r="A1482">
            <v>0</v>
          </cell>
          <cell r="B1482">
            <v>0</v>
          </cell>
          <cell r="C1482" t="str">
            <v>Máy thi công</v>
          </cell>
          <cell r="D1482">
            <v>0</v>
          </cell>
          <cell r="E1482">
            <v>0</v>
          </cell>
          <cell r="F1482">
            <v>0</v>
          </cell>
          <cell r="G1482">
            <v>0</v>
          </cell>
          <cell r="H1482">
            <v>0</v>
          </cell>
          <cell r="I1482">
            <v>0</v>
          </cell>
        </row>
        <row r="1483">
          <cell r="A1483">
            <v>0</v>
          </cell>
          <cell r="B1483" t="str">
            <v>M203.0015</v>
          </cell>
          <cell r="C1483" t="str">
            <v>Máy đo điện trở tiếp địa</v>
          </cell>
          <cell r="D1483" t="str">
            <v>ca</v>
          </cell>
          <cell r="E1483">
            <v>1.04</v>
          </cell>
          <cell r="F1483">
            <v>48609.431818181816</v>
          </cell>
          <cell r="G1483">
            <v>0</v>
          </cell>
          <cell r="H1483">
            <v>0</v>
          </cell>
          <cell r="I1483">
            <v>50553.80909090909</v>
          </cell>
        </row>
        <row r="1484">
          <cell r="A1484" t="str">
            <v>EC.21040</v>
          </cell>
          <cell r="B1484">
            <v>0</v>
          </cell>
          <cell r="C1484" t="str">
            <v>Thí nghiệm tiếp địa trạm biến áp &lt;=35kV</v>
          </cell>
          <cell r="D1484" t="str">
            <v>H.thống</v>
          </cell>
          <cell r="E1484">
            <v>0</v>
          </cell>
          <cell r="F1484">
            <v>0</v>
          </cell>
          <cell r="G1484">
            <v>14443.636363636362</v>
          </cell>
          <cell r="H1484">
            <v>1070354.3684210526</v>
          </cell>
          <cell r="I1484">
            <v>25276.904545454545</v>
          </cell>
        </row>
        <row r="1485">
          <cell r="A1485">
            <v>0</v>
          </cell>
          <cell r="B1485">
            <v>0</v>
          </cell>
          <cell r="C1485" t="str">
            <v>Vật liệu</v>
          </cell>
          <cell r="D1485">
            <v>0</v>
          </cell>
          <cell r="E1485">
            <v>0</v>
          </cell>
          <cell r="F1485">
            <v>0</v>
          </cell>
          <cell r="G1485">
            <v>0</v>
          </cell>
          <cell r="H1485">
            <v>0</v>
          </cell>
          <cell r="I1485">
            <v>0</v>
          </cell>
        </row>
        <row r="1486">
          <cell r="A1486">
            <v>0</v>
          </cell>
          <cell r="B1486" t="str">
            <v>VL198</v>
          </cell>
          <cell r="C1486" t="str">
            <v>Dây điện 2x1,5mm2</v>
          </cell>
          <cell r="D1486" t="str">
            <v>m</v>
          </cell>
          <cell r="E1486">
            <v>1.6</v>
          </cell>
          <cell r="F1486">
            <v>9027.2727272727261</v>
          </cell>
          <cell r="G1486">
            <v>14443.636363636362</v>
          </cell>
          <cell r="H1486">
            <v>0</v>
          </cell>
          <cell r="I1486">
            <v>0</v>
          </cell>
        </row>
        <row r="1487">
          <cell r="A1487">
            <v>0</v>
          </cell>
          <cell r="B1487">
            <v>0</v>
          </cell>
          <cell r="C1487" t="str">
            <v>Nhân công</v>
          </cell>
          <cell r="D1487">
            <v>0</v>
          </cell>
          <cell r="E1487">
            <v>0</v>
          </cell>
          <cell r="F1487">
            <v>0</v>
          </cell>
          <cell r="G1487">
            <v>0</v>
          </cell>
          <cell r="H1487">
            <v>0</v>
          </cell>
          <cell r="I1487">
            <v>0</v>
          </cell>
        </row>
        <row r="1488">
          <cell r="A1488">
            <v>0</v>
          </cell>
          <cell r="B1488" t="str">
            <v>KS3</v>
          </cell>
          <cell r="C1488" t="str">
            <v>Kỹ sư bậc 3,0/8</v>
          </cell>
          <cell r="D1488" t="str">
            <v>công</v>
          </cell>
          <cell r="E1488">
            <v>3.04</v>
          </cell>
          <cell r="F1488">
            <v>213300</v>
          </cell>
          <cell r="G1488">
            <v>0</v>
          </cell>
          <cell r="H1488">
            <v>648432</v>
          </cell>
          <cell r="I1488">
            <v>0</v>
          </cell>
        </row>
        <row r="1489">
          <cell r="A1489">
            <v>0</v>
          </cell>
          <cell r="B1489" t="str">
            <v>N4407</v>
          </cell>
          <cell r="C1489" t="str">
            <v xml:space="preserve"> Nhân công bậc 4,0/7 - Nhóm 4</v>
          </cell>
          <cell r="D1489" t="str">
            <v>công</v>
          </cell>
          <cell r="E1489">
            <v>1.64</v>
          </cell>
          <cell r="F1489">
            <v>257269.73684210525</v>
          </cell>
          <cell r="G1489">
            <v>0</v>
          </cell>
          <cell r="H1489">
            <v>421922.36842105258</v>
          </cell>
          <cell r="I1489">
            <v>0</v>
          </cell>
        </row>
        <row r="1490">
          <cell r="A1490">
            <v>0</v>
          </cell>
          <cell r="B1490">
            <v>0</v>
          </cell>
          <cell r="C1490" t="str">
            <v>Máy thi công</v>
          </cell>
          <cell r="D1490">
            <v>0</v>
          </cell>
          <cell r="E1490">
            <v>0</v>
          </cell>
          <cell r="F1490">
            <v>0</v>
          </cell>
          <cell r="G1490">
            <v>0</v>
          </cell>
          <cell r="H1490">
            <v>0</v>
          </cell>
          <cell r="I1490">
            <v>0</v>
          </cell>
        </row>
        <row r="1491">
          <cell r="A1491">
            <v>0</v>
          </cell>
          <cell r="B1491" t="str">
            <v>M203.0015</v>
          </cell>
          <cell r="C1491" t="str">
            <v>Máy đo điện trở tiếp địa</v>
          </cell>
          <cell r="D1491" t="str">
            <v>ca</v>
          </cell>
          <cell r="E1491">
            <v>0.52</v>
          </cell>
          <cell r="F1491">
            <v>48609.431818181816</v>
          </cell>
          <cell r="G1491">
            <v>0</v>
          </cell>
          <cell r="H1491">
            <v>0</v>
          </cell>
          <cell r="I1491">
            <v>25276.904545454545</v>
          </cell>
        </row>
        <row r="1492">
          <cell r="A1492" t="str">
            <v>EC.22010</v>
          </cell>
          <cell r="B1492">
            <v>0</v>
          </cell>
          <cell r="C1492" t="str">
            <v>Thí nghiệm tiếp đất cột điện, cột thu lôi ( cột thép )</v>
          </cell>
          <cell r="D1492" t="str">
            <v>Vị trí</v>
          </cell>
          <cell r="E1492">
            <v>0</v>
          </cell>
          <cell r="F1492">
            <v>0</v>
          </cell>
          <cell r="G1492">
            <v>1895.7272727272725</v>
          </cell>
          <cell r="H1492">
            <v>191923.22368421053</v>
          </cell>
          <cell r="I1492">
            <v>5103.9903409090903</v>
          </cell>
        </row>
        <row r="1493">
          <cell r="A1493">
            <v>0</v>
          </cell>
          <cell r="B1493">
            <v>0</v>
          </cell>
          <cell r="C1493" t="str">
            <v>Vật liệu</v>
          </cell>
          <cell r="D1493">
            <v>0</v>
          </cell>
          <cell r="E1493">
            <v>0</v>
          </cell>
          <cell r="F1493">
            <v>0</v>
          </cell>
          <cell r="G1493">
            <v>0</v>
          </cell>
          <cell r="H1493">
            <v>0</v>
          </cell>
          <cell r="I1493">
            <v>0</v>
          </cell>
        </row>
        <row r="1494">
          <cell r="A1494">
            <v>0</v>
          </cell>
          <cell r="B1494" t="str">
            <v>VL198</v>
          </cell>
          <cell r="C1494" t="str">
            <v>Dây điện 2x1,5mm2</v>
          </cell>
          <cell r="D1494" t="str">
            <v>m</v>
          </cell>
          <cell r="E1494">
            <v>0.21</v>
          </cell>
          <cell r="F1494">
            <v>9027.2727272727261</v>
          </cell>
          <cell r="G1494">
            <v>1895.7272727272725</v>
          </cell>
          <cell r="H1494">
            <v>0</v>
          </cell>
          <cell r="I1494">
            <v>0</v>
          </cell>
        </row>
        <row r="1495">
          <cell r="A1495">
            <v>0</v>
          </cell>
          <cell r="B1495">
            <v>0</v>
          </cell>
          <cell r="C1495" t="str">
            <v>Nhân công</v>
          </cell>
          <cell r="D1495">
            <v>0</v>
          </cell>
          <cell r="E1495">
            <v>0</v>
          </cell>
          <cell r="F1495">
            <v>0</v>
          </cell>
          <cell r="G1495">
            <v>0</v>
          </cell>
          <cell r="H1495">
            <v>0</v>
          </cell>
          <cell r="I1495">
            <v>0</v>
          </cell>
        </row>
        <row r="1496">
          <cell r="A1496">
            <v>0</v>
          </cell>
          <cell r="B1496" t="str">
            <v>KS3</v>
          </cell>
          <cell r="C1496" t="str">
            <v>Kỹ sư bậc 3,0/8</v>
          </cell>
          <cell r="D1496" t="str">
            <v>công</v>
          </cell>
          <cell r="E1496">
            <v>0.55000000000000004</v>
          </cell>
          <cell r="F1496">
            <v>213300</v>
          </cell>
          <cell r="G1496">
            <v>0</v>
          </cell>
          <cell r="H1496">
            <v>117315.00000000001</v>
          </cell>
          <cell r="I1496">
            <v>0</v>
          </cell>
        </row>
        <row r="1497">
          <cell r="A1497">
            <v>0</v>
          </cell>
          <cell r="B1497" t="str">
            <v>N4407</v>
          </cell>
          <cell r="C1497" t="str">
            <v xml:space="preserve"> Nhân công bậc 4,0/7 - Nhóm 4</v>
          </cell>
          <cell r="D1497" t="str">
            <v>công</v>
          </cell>
          <cell r="E1497">
            <v>0.28999999999999998</v>
          </cell>
          <cell r="F1497">
            <v>257269.73684210525</v>
          </cell>
          <cell r="G1497">
            <v>0</v>
          </cell>
          <cell r="H1497">
            <v>74608.223684210519</v>
          </cell>
          <cell r="I1497">
            <v>0</v>
          </cell>
        </row>
        <row r="1498">
          <cell r="A1498">
            <v>0</v>
          </cell>
          <cell r="B1498">
            <v>0</v>
          </cell>
          <cell r="C1498" t="str">
            <v>Máy thi công</v>
          </cell>
          <cell r="D1498">
            <v>0</v>
          </cell>
          <cell r="E1498">
            <v>0</v>
          </cell>
          <cell r="F1498">
            <v>0</v>
          </cell>
          <cell r="G1498">
            <v>0</v>
          </cell>
          <cell r="H1498">
            <v>0</v>
          </cell>
          <cell r="I1498">
            <v>0</v>
          </cell>
        </row>
        <row r="1499">
          <cell r="A1499">
            <v>0</v>
          </cell>
          <cell r="B1499" t="str">
            <v>M203.0015</v>
          </cell>
          <cell r="C1499" t="str">
            <v>Máy đo điện trở tiếp địa</v>
          </cell>
          <cell r="D1499" t="str">
            <v>ca</v>
          </cell>
          <cell r="E1499">
            <v>0.105</v>
          </cell>
          <cell r="F1499">
            <v>48609.431818181816</v>
          </cell>
          <cell r="G1499">
            <v>0</v>
          </cell>
          <cell r="H1499">
            <v>0</v>
          </cell>
          <cell r="I1499">
            <v>5103.9903409090903</v>
          </cell>
        </row>
        <row r="1500">
          <cell r="A1500" t="str">
            <v>EC.22020</v>
          </cell>
          <cell r="B1500">
            <v>0</v>
          </cell>
          <cell r="C1500" t="str">
            <v>Thí nghiệm tiếp đất cột điện, cột thu lôi ( cột bê tông )</v>
          </cell>
          <cell r="D1500" t="str">
            <v>Vị trí</v>
          </cell>
          <cell r="E1500">
            <v>0</v>
          </cell>
          <cell r="F1500">
            <v>0</v>
          </cell>
          <cell r="G1500">
            <v>1327.0090909090907</v>
          </cell>
          <cell r="H1500">
            <v>135080.64473684211</v>
          </cell>
          <cell r="I1500">
            <v>3597.0979545454543</v>
          </cell>
        </row>
        <row r="1501">
          <cell r="A1501">
            <v>0</v>
          </cell>
          <cell r="B1501">
            <v>0</v>
          </cell>
          <cell r="C1501" t="str">
            <v>Vật liệu</v>
          </cell>
          <cell r="D1501">
            <v>0</v>
          </cell>
          <cell r="E1501">
            <v>0</v>
          </cell>
          <cell r="F1501">
            <v>0</v>
          </cell>
          <cell r="G1501">
            <v>0</v>
          </cell>
          <cell r="H1501">
            <v>0</v>
          </cell>
          <cell r="I1501">
            <v>0</v>
          </cell>
        </row>
        <row r="1502">
          <cell r="A1502">
            <v>0</v>
          </cell>
          <cell r="B1502" t="str">
            <v>VL198</v>
          </cell>
          <cell r="C1502" t="str">
            <v>Dây điện 2x1,5mm2</v>
          </cell>
          <cell r="D1502" t="str">
            <v>m</v>
          </cell>
          <cell r="E1502">
            <v>0.14699999999999999</v>
          </cell>
          <cell r="F1502">
            <v>9027.2727272727261</v>
          </cell>
          <cell r="G1502">
            <v>1327.0090909090907</v>
          </cell>
          <cell r="H1502">
            <v>0</v>
          </cell>
          <cell r="I1502">
            <v>0</v>
          </cell>
        </row>
        <row r="1503">
          <cell r="A1503">
            <v>0</v>
          </cell>
          <cell r="B1503">
            <v>0</v>
          </cell>
          <cell r="C1503" t="str">
            <v>Nhân công</v>
          </cell>
          <cell r="D1503">
            <v>0</v>
          </cell>
          <cell r="E1503">
            <v>0</v>
          </cell>
          <cell r="F1503">
            <v>0</v>
          </cell>
          <cell r="G1503">
            <v>0</v>
          </cell>
          <cell r="H1503">
            <v>0</v>
          </cell>
          <cell r="I1503">
            <v>0</v>
          </cell>
        </row>
        <row r="1504">
          <cell r="A1504">
            <v>0</v>
          </cell>
          <cell r="B1504" t="str">
            <v>KS3</v>
          </cell>
          <cell r="C1504" t="str">
            <v>Kỹ sư bậc 3,0/8</v>
          </cell>
          <cell r="D1504" t="str">
            <v>công</v>
          </cell>
          <cell r="E1504">
            <v>0.38</v>
          </cell>
          <cell r="F1504">
            <v>213300</v>
          </cell>
          <cell r="G1504">
            <v>0</v>
          </cell>
          <cell r="H1504">
            <v>81054</v>
          </cell>
          <cell r="I1504">
            <v>0</v>
          </cell>
        </row>
        <row r="1505">
          <cell r="A1505">
            <v>0</v>
          </cell>
          <cell r="B1505" t="str">
            <v>N4407</v>
          </cell>
          <cell r="C1505" t="str">
            <v xml:space="preserve"> Nhân công bậc 4,0/7 - Nhóm 4</v>
          </cell>
          <cell r="D1505" t="str">
            <v>công</v>
          </cell>
          <cell r="E1505">
            <v>0.21</v>
          </cell>
          <cell r="F1505">
            <v>257269.73684210525</v>
          </cell>
          <cell r="G1505">
            <v>0</v>
          </cell>
          <cell r="H1505">
            <v>54026.6447368421</v>
          </cell>
          <cell r="I1505">
            <v>0</v>
          </cell>
        </row>
        <row r="1506">
          <cell r="A1506">
            <v>0</v>
          </cell>
          <cell r="B1506">
            <v>0</v>
          </cell>
          <cell r="C1506" t="str">
            <v>Máy thi công</v>
          </cell>
          <cell r="D1506">
            <v>0</v>
          </cell>
          <cell r="E1506">
            <v>0</v>
          </cell>
          <cell r="F1506">
            <v>0</v>
          </cell>
          <cell r="G1506">
            <v>0</v>
          </cell>
          <cell r="H1506">
            <v>0</v>
          </cell>
          <cell r="I1506">
            <v>0</v>
          </cell>
        </row>
        <row r="1507">
          <cell r="A1507">
            <v>0</v>
          </cell>
          <cell r="B1507" t="str">
            <v>M203.0015</v>
          </cell>
          <cell r="C1507" t="str">
            <v>Máy đo điện trở tiếp địa</v>
          </cell>
          <cell r="D1507" t="str">
            <v>ca</v>
          </cell>
          <cell r="E1507">
            <v>7.3999999999999996E-2</v>
          </cell>
          <cell r="F1507">
            <v>48609.431818181816</v>
          </cell>
          <cell r="G1507">
            <v>0</v>
          </cell>
          <cell r="H1507">
            <v>0</v>
          </cell>
          <cell r="I1507">
            <v>3597.0979545454543</v>
          </cell>
        </row>
        <row r="1508">
          <cell r="A1508" t="str">
            <v>ED.11010</v>
          </cell>
          <cell r="B1508">
            <v>0</v>
          </cell>
          <cell r="C1508" t="str">
            <v>Thí nghiệm Rơle so lệch (kỹ thuật số) máy biến áp</v>
          </cell>
          <cell r="D1508" t="str">
            <v>bộ</v>
          </cell>
          <cell r="E1508">
            <v>0</v>
          </cell>
          <cell r="F1508">
            <v>0</v>
          </cell>
          <cell r="G1508">
            <v>1576.8040000000001</v>
          </cell>
          <cell r="H1508">
            <v>1554042.8571428573</v>
          </cell>
          <cell r="I1508">
            <v>185711.08181818185</v>
          </cell>
        </row>
        <row r="1509">
          <cell r="A1509">
            <v>0</v>
          </cell>
          <cell r="B1509">
            <v>0</v>
          </cell>
          <cell r="C1509" t="str">
            <v>Vật liệu</v>
          </cell>
          <cell r="D1509">
            <v>0</v>
          </cell>
          <cell r="E1509">
            <v>0</v>
          </cell>
          <cell r="F1509">
            <v>0</v>
          </cell>
          <cell r="G1509">
            <v>0</v>
          </cell>
          <cell r="H1509">
            <v>0</v>
          </cell>
          <cell r="I1509">
            <v>0</v>
          </cell>
        </row>
        <row r="1510">
          <cell r="A1510">
            <v>0</v>
          </cell>
          <cell r="B1510" t="str">
            <v>VL221</v>
          </cell>
          <cell r="C1510" t="str">
            <v>Điện năng</v>
          </cell>
          <cell r="D1510" t="str">
            <v>Kwh</v>
          </cell>
          <cell r="E1510">
            <v>0.4</v>
          </cell>
          <cell r="F1510">
            <v>1622.01</v>
          </cell>
          <cell r="G1510">
            <v>648.80400000000009</v>
          </cell>
          <cell r="H1510">
            <v>0</v>
          </cell>
          <cell r="I1510">
            <v>0</v>
          </cell>
        </row>
        <row r="1511">
          <cell r="A1511">
            <v>0</v>
          </cell>
          <cell r="B1511" t="str">
            <v>VL188</v>
          </cell>
          <cell r="C1511" t="str">
            <v>Vải phin trắng 0,8m</v>
          </cell>
          <cell r="D1511" t="str">
            <v>m</v>
          </cell>
          <cell r="E1511">
            <v>1.6E-2</v>
          </cell>
          <cell r="F1511">
            <v>8000</v>
          </cell>
          <cell r="G1511">
            <v>128</v>
          </cell>
          <cell r="H1511">
            <v>0</v>
          </cell>
          <cell r="I1511">
            <v>0</v>
          </cell>
        </row>
        <row r="1512">
          <cell r="A1512">
            <v>0</v>
          </cell>
          <cell r="B1512" t="str">
            <v>VL177</v>
          </cell>
          <cell r="C1512" t="str">
            <v>Cồn công nghiệp</v>
          </cell>
          <cell r="D1512" t="str">
            <v>kg</v>
          </cell>
          <cell r="E1512">
            <v>0.04</v>
          </cell>
          <cell r="F1512">
            <v>20000</v>
          </cell>
          <cell r="G1512">
            <v>800</v>
          </cell>
          <cell r="H1512">
            <v>0</v>
          </cell>
          <cell r="I1512">
            <v>0</v>
          </cell>
        </row>
        <row r="1513">
          <cell r="A1513">
            <v>0</v>
          </cell>
          <cell r="B1513">
            <v>0</v>
          </cell>
          <cell r="C1513" t="str">
            <v>Nhân công</v>
          </cell>
          <cell r="D1513">
            <v>0</v>
          </cell>
          <cell r="E1513">
            <v>0</v>
          </cell>
          <cell r="F1513">
            <v>0</v>
          </cell>
          <cell r="G1513">
            <v>0</v>
          </cell>
          <cell r="H1513">
            <v>0</v>
          </cell>
          <cell r="I1513">
            <v>0</v>
          </cell>
        </row>
        <row r="1514">
          <cell r="A1514">
            <v>0</v>
          </cell>
          <cell r="B1514" t="str">
            <v>KS5</v>
          </cell>
          <cell r="C1514" t="str">
            <v>Kỹ sư bậc 5,0/8</v>
          </cell>
          <cell r="D1514" t="str">
            <v>công</v>
          </cell>
          <cell r="E1514">
            <v>6</v>
          </cell>
          <cell r="F1514">
            <v>259007.14285714287</v>
          </cell>
          <cell r="G1514">
            <v>0</v>
          </cell>
          <cell r="H1514">
            <v>1554042.8571428573</v>
          </cell>
          <cell r="I1514">
            <v>0</v>
          </cell>
        </row>
        <row r="1515">
          <cell r="A1515">
            <v>0</v>
          </cell>
          <cell r="B1515">
            <v>0</v>
          </cell>
          <cell r="C1515" t="str">
            <v>Máy thi công</v>
          </cell>
          <cell r="D1515">
            <v>0</v>
          </cell>
          <cell r="E1515">
            <v>0</v>
          </cell>
          <cell r="F1515">
            <v>0</v>
          </cell>
          <cell r="G1515">
            <v>0</v>
          </cell>
          <cell r="H1515">
            <v>0</v>
          </cell>
          <cell r="I1515">
            <v>0</v>
          </cell>
        </row>
        <row r="1516">
          <cell r="A1516">
            <v>0</v>
          </cell>
          <cell r="B1516" t="str">
            <v>M203.0025</v>
          </cell>
          <cell r="C1516" t="str">
            <v>Megôm met</v>
          </cell>
          <cell r="D1516" t="str">
            <v>ca</v>
          </cell>
          <cell r="E1516">
            <v>0.08</v>
          </cell>
          <cell r="F1516">
            <v>40127.500000000007</v>
          </cell>
          <cell r="G1516">
            <v>0</v>
          </cell>
          <cell r="H1516">
            <v>0</v>
          </cell>
          <cell r="I1516">
            <v>3210.2000000000007</v>
          </cell>
        </row>
        <row r="1517">
          <cell r="A1517">
            <v>0</v>
          </cell>
          <cell r="B1517" t="str">
            <v>M203.0008</v>
          </cell>
          <cell r="C1517" t="str">
            <v>Hợp bộ thí nghiệm rơ le</v>
          </cell>
          <cell r="D1517" t="str">
            <v>ca</v>
          </cell>
          <cell r="E1517">
            <v>0.24</v>
          </cell>
          <cell r="F1517">
            <v>760420.34090909106</v>
          </cell>
          <cell r="G1517">
            <v>0</v>
          </cell>
          <cell r="H1517">
            <v>0</v>
          </cell>
          <cell r="I1517">
            <v>182500.88181818184</v>
          </cell>
        </row>
        <row r="1518">
          <cell r="A1518" t="str">
            <v>ED.11020</v>
          </cell>
          <cell r="B1518">
            <v>0</v>
          </cell>
          <cell r="C1518" t="str">
            <v>Thí nghiệm Rơle so lệch (kỹ thuật số) thanh cái</v>
          </cell>
          <cell r="D1518" t="str">
            <v>bộ</v>
          </cell>
          <cell r="E1518">
            <v>0</v>
          </cell>
          <cell r="F1518">
            <v>0</v>
          </cell>
          <cell r="G1518">
            <v>3153.6080000000002</v>
          </cell>
          <cell r="H1518">
            <v>3108085.7142857146</v>
          </cell>
          <cell r="I1518">
            <v>371422.16363636369</v>
          </cell>
        </row>
        <row r="1519">
          <cell r="A1519">
            <v>0</v>
          </cell>
          <cell r="B1519">
            <v>0</v>
          </cell>
          <cell r="C1519" t="str">
            <v>Vật liệu</v>
          </cell>
          <cell r="D1519">
            <v>0</v>
          </cell>
          <cell r="E1519">
            <v>0</v>
          </cell>
          <cell r="F1519">
            <v>0</v>
          </cell>
          <cell r="G1519">
            <v>0</v>
          </cell>
          <cell r="H1519">
            <v>0</v>
          </cell>
          <cell r="I1519">
            <v>0</v>
          </cell>
        </row>
        <row r="1520">
          <cell r="A1520">
            <v>0</v>
          </cell>
          <cell r="B1520" t="str">
            <v>VL221</v>
          </cell>
          <cell r="C1520" t="str">
            <v>Điện năng</v>
          </cell>
          <cell r="D1520" t="str">
            <v>Kwh</v>
          </cell>
          <cell r="E1520">
            <v>0.8</v>
          </cell>
          <cell r="F1520">
            <v>1622.01</v>
          </cell>
          <cell r="G1520">
            <v>1297.6080000000002</v>
          </cell>
          <cell r="H1520">
            <v>0</v>
          </cell>
          <cell r="I1520">
            <v>0</v>
          </cell>
        </row>
        <row r="1521">
          <cell r="A1521">
            <v>0</v>
          </cell>
          <cell r="B1521" t="str">
            <v>VL188</v>
          </cell>
          <cell r="C1521" t="str">
            <v>Vải phin trắng 0,8m</v>
          </cell>
          <cell r="D1521" t="str">
            <v>m</v>
          </cell>
          <cell r="E1521">
            <v>3.2000000000000001E-2</v>
          </cell>
          <cell r="F1521">
            <v>8000</v>
          </cell>
          <cell r="G1521">
            <v>256</v>
          </cell>
          <cell r="H1521">
            <v>0</v>
          </cell>
          <cell r="I1521">
            <v>0</v>
          </cell>
        </row>
        <row r="1522">
          <cell r="A1522">
            <v>0</v>
          </cell>
          <cell r="B1522" t="str">
            <v>VL177</v>
          </cell>
          <cell r="C1522" t="str">
            <v>Cồn công nghiệp</v>
          </cell>
          <cell r="D1522" t="str">
            <v>kg</v>
          </cell>
          <cell r="E1522">
            <v>0.08</v>
          </cell>
          <cell r="F1522">
            <v>20000</v>
          </cell>
          <cell r="G1522">
            <v>1600</v>
          </cell>
          <cell r="H1522">
            <v>0</v>
          </cell>
          <cell r="I1522">
            <v>0</v>
          </cell>
        </row>
        <row r="1523">
          <cell r="A1523">
            <v>0</v>
          </cell>
          <cell r="B1523">
            <v>0</v>
          </cell>
          <cell r="C1523" t="str">
            <v>Nhân công</v>
          </cell>
          <cell r="D1523">
            <v>0</v>
          </cell>
          <cell r="E1523">
            <v>0</v>
          </cell>
          <cell r="F1523">
            <v>0</v>
          </cell>
          <cell r="G1523">
            <v>0</v>
          </cell>
          <cell r="H1523">
            <v>0</v>
          </cell>
          <cell r="I1523">
            <v>0</v>
          </cell>
        </row>
        <row r="1524">
          <cell r="A1524">
            <v>0</v>
          </cell>
          <cell r="B1524" t="str">
            <v>KS5</v>
          </cell>
          <cell r="C1524" t="str">
            <v>Kỹ sư bậc 5,0/8</v>
          </cell>
          <cell r="D1524" t="str">
            <v>công</v>
          </cell>
          <cell r="E1524">
            <v>12</v>
          </cell>
          <cell r="F1524">
            <v>259007.14285714287</v>
          </cell>
          <cell r="G1524">
            <v>0</v>
          </cell>
          <cell r="H1524">
            <v>3108085.7142857146</v>
          </cell>
          <cell r="I1524">
            <v>0</v>
          </cell>
        </row>
        <row r="1525">
          <cell r="A1525">
            <v>0</v>
          </cell>
          <cell r="B1525">
            <v>0</v>
          </cell>
          <cell r="C1525" t="str">
            <v>Máy thi công</v>
          </cell>
          <cell r="D1525">
            <v>0</v>
          </cell>
          <cell r="E1525">
            <v>0</v>
          </cell>
          <cell r="F1525">
            <v>0</v>
          </cell>
          <cell r="G1525">
            <v>0</v>
          </cell>
          <cell r="H1525">
            <v>0</v>
          </cell>
          <cell r="I1525">
            <v>0</v>
          </cell>
        </row>
        <row r="1526">
          <cell r="A1526">
            <v>0</v>
          </cell>
          <cell r="B1526" t="str">
            <v>M203.0025</v>
          </cell>
          <cell r="C1526" t="str">
            <v>Megôm met</v>
          </cell>
          <cell r="D1526" t="str">
            <v>ca</v>
          </cell>
          <cell r="E1526">
            <v>0.16</v>
          </cell>
          <cell r="F1526">
            <v>40127.500000000007</v>
          </cell>
          <cell r="G1526">
            <v>0</v>
          </cell>
          <cell r="H1526">
            <v>0</v>
          </cell>
          <cell r="I1526">
            <v>6420.4000000000015</v>
          </cell>
        </row>
        <row r="1527">
          <cell r="A1527">
            <v>0</v>
          </cell>
          <cell r="B1527" t="str">
            <v>M203.0008</v>
          </cell>
          <cell r="C1527" t="str">
            <v>Hợp bộ thí nghiệm rơ le</v>
          </cell>
          <cell r="D1527" t="str">
            <v>ca</v>
          </cell>
          <cell r="E1527">
            <v>0.48</v>
          </cell>
          <cell r="F1527">
            <v>760420.34090909106</v>
          </cell>
          <cell r="G1527">
            <v>0</v>
          </cell>
          <cell r="H1527">
            <v>0</v>
          </cell>
          <cell r="I1527">
            <v>365001.76363636367</v>
          </cell>
        </row>
        <row r="1528">
          <cell r="A1528" t="str">
            <v>ED.11030</v>
          </cell>
          <cell r="B1528">
            <v>0</v>
          </cell>
          <cell r="C1528" t="str">
            <v>Thí nghiệm Rơle so lệch (kỹ thuật số) dọc đường dây</v>
          </cell>
          <cell r="D1528" t="str">
            <v>bộ</v>
          </cell>
          <cell r="E1528">
            <v>0</v>
          </cell>
          <cell r="F1528">
            <v>0</v>
          </cell>
          <cell r="G1528">
            <v>1890.5648000000001</v>
          </cell>
          <cell r="H1528">
            <v>1864851.4285714286</v>
          </cell>
          <cell r="I1528">
            <v>222853.29818181819</v>
          </cell>
        </row>
        <row r="1529">
          <cell r="A1529">
            <v>0</v>
          </cell>
          <cell r="B1529">
            <v>0</v>
          </cell>
          <cell r="C1529" t="str">
            <v>Vật liệu</v>
          </cell>
          <cell r="D1529">
            <v>0</v>
          </cell>
          <cell r="E1529">
            <v>0</v>
          </cell>
          <cell r="F1529">
            <v>0</v>
          </cell>
          <cell r="G1529">
            <v>0</v>
          </cell>
          <cell r="H1529">
            <v>0</v>
          </cell>
          <cell r="I1529">
            <v>0</v>
          </cell>
        </row>
        <row r="1530">
          <cell r="A1530">
            <v>0</v>
          </cell>
          <cell r="B1530" t="str">
            <v>VL221</v>
          </cell>
          <cell r="C1530" t="str">
            <v>Điện năng</v>
          </cell>
          <cell r="D1530" t="str">
            <v>Kwh</v>
          </cell>
          <cell r="E1530">
            <v>0.48</v>
          </cell>
          <cell r="F1530">
            <v>1622.01</v>
          </cell>
          <cell r="G1530">
            <v>778.56479999999999</v>
          </cell>
          <cell r="H1530">
            <v>0</v>
          </cell>
          <cell r="I1530">
            <v>0</v>
          </cell>
        </row>
        <row r="1531">
          <cell r="A1531">
            <v>0</v>
          </cell>
          <cell r="B1531" t="str">
            <v>VL188</v>
          </cell>
          <cell r="C1531" t="str">
            <v>Vải phin trắng 0,8m</v>
          </cell>
          <cell r="D1531" t="str">
            <v>m</v>
          </cell>
          <cell r="E1531">
            <v>1.9E-2</v>
          </cell>
          <cell r="F1531">
            <v>8000</v>
          </cell>
          <cell r="G1531">
            <v>152</v>
          </cell>
          <cell r="H1531">
            <v>0</v>
          </cell>
          <cell r="I1531">
            <v>0</v>
          </cell>
        </row>
        <row r="1532">
          <cell r="A1532">
            <v>0</v>
          </cell>
          <cell r="B1532" t="str">
            <v>VL177</v>
          </cell>
          <cell r="C1532" t="str">
            <v>Cồn công nghiệp</v>
          </cell>
          <cell r="D1532" t="str">
            <v>kg</v>
          </cell>
          <cell r="E1532">
            <v>4.8000000000000001E-2</v>
          </cell>
          <cell r="F1532">
            <v>20000</v>
          </cell>
          <cell r="G1532">
            <v>960</v>
          </cell>
          <cell r="H1532">
            <v>0</v>
          </cell>
          <cell r="I1532">
            <v>0</v>
          </cell>
        </row>
        <row r="1533">
          <cell r="A1533">
            <v>0</v>
          </cell>
          <cell r="B1533">
            <v>0</v>
          </cell>
          <cell r="C1533" t="str">
            <v>Nhân công</v>
          </cell>
          <cell r="D1533">
            <v>0</v>
          </cell>
          <cell r="E1533">
            <v>0</v>
          </cell>
          <cell r="F1533">
            <v>0</v>
          </cell>
          <cell r="G1533">
            <v>0</v>
          </cell>
          <cell r="H1533">
            <v>0</v>
          </cell>
          <cell r="I1533">
            <v>0</v>
          </cell>
        </row>
        <row r="1534">
          <cell r="A1534">
            <v>0</v>
          </cell>
          <cell r="B1534" t="str">
            <v>KS5</v>
          </cell>
          <cell r="C1534" t="str">
            <v>Kỹ sư bậc 5,0/8</v>
          </cell>
          <cell r="D1534" t="str">
            <v>công</v>
          </cell>
          <cell r="E1534">
            <v>7.2</v>
          </cell>
          <cell r="F1534">
            <v>259007.14285714287</v>
          </cell>
          <cell r="G1534">
            <v>0</v>
          </cell>
          <cell r="H1534">
            <v>1864851.4285714286</v>
          </cell>
          <cell r="I1534">
            <v>0</v>
          </cell>
        </row>
        <row r="1535">
          <cell r="A1535">
            <v>0</v>
          </cell>
          <cell r="B1535">
            <v>0</v>
          </cell>
          <cell r="C1535" t="str">
            <v>Máy thi công</v>
          </cell>
          <cell r="D1535">
            <v>0</v>
          </cell>
          <cell r="E1535">
            <v>0</v>
          </cell>
          <cell r="F1535">
            <v>0</v>
          </cell>
          <cell r="G1535">
            <v>0</v>
          </cell>
          <cell r="H1535">
            <v>0</v>
          </cell>
          <cell r="I1535">
            <v>0</v>
          </cell>
        </row>
        <row r="1536">
          <cell r="A1536">
            <v>0</v>
          </cell>
          <cell r="B1536" t="str">
            <v>M203.0025</v>
          </cell>
          <cell r="C1536" t="str">
            <v>Megôm met</v>
          </cell>
          <cell r="D1536" t="str">
            <v>ca</v>
          </cell>
          <cell r="E1536">
            <v>9.6000000000000002E-2</v>
          </cell>
          <cell r="F1536">
            <v>40127.500000000007</v>
          </cell>
          <cell r="G1536">
            <v>0</v>
          </cell>
          <cell r="H1536">
            <v>0</v>
          </cell>
          <cell r="I1536">
            <v>3852.2400000000007</v>
          </cell>
        </row>
        <row r="1537">
          <cell r="A1537">
            <v>0</v>
          </cell>
          <cell r="B1537" t="str">
            <v>M203.0008</v>
          </cell>
          <cell r="C1537" t="str">
            <v>Hợp bộ thí nghiệm rơ le</v>
          </cell>
          <cell r="D1537" t="str">
            <v>ca</v>
          </cell>
          <cell r="E1537">
            <v>0.28799999999999998</v>
          </cell>
          <cell r="F1537">
            <v>760420.34090909106</v>
          </cell>
          <cell r="G1537">
            <v>0</v>
          </cell>
          <cell r="H1537">
            <v>0</v>
          </cell>
          <cell r="I1537">
            <v>219001.0581818182</v>
          </cell>
        </row>
        <row r="1538">
          <cell r="A1538" t="str">
            <v>ED.12010</v>
          </cell>
          <cell r="B1538">
            <v>0</v>
          </cell>
          <cell r="C1538" t="str">
            <v>Thí nghiệm Rơle khoảng cách điện từ, điện tử</v>
          </cell>
          <cell r="D1538" t="str">
            <v>bộ</v>
          </cell>
          <cell r="E1538">
            <v>0</v>
          </cell>
          <cell r="F1538">
            <v>0</v>
          </cell>
          <cell r="G1538">
            <v>5044.0200000000004</v>
          </cell>
          <cell r="H1538">
            <v>2486468.5714285714</v>
          </cell>
          <cell r="I1538">
            <v>359783.10215909098</v>
          </cell>
        </row>
        <row r="1539">
          <cell r="A1539">
            <v>0</v>
          </cell>
          <cell r="B1539">
            <v>0</v>
          </cell>
          <cell r="C1539" t="str">
            <v>Vật liệu</v>
          </cell>
          <cell r="D1539">
            <v>0</v>
          </cell>
          <cell r="E1539">
            <v>0</v>
          </cell>
          <cell r="F1539">
            <v>0</v>
          </cell>
          <cell r="G1539">
            <v>0</v>
          </cell>
          <cell r="H1539">
            <v>0</v>
          </cell>
          <cell r="I1539">
            <v>0</v>
          </cell>
        </row>
        <row r="1540">
          <cell r="A1540">
            <v>0</v>
          </cell>
          <cell r="B1540" t="str">
            <v>VL221</v>
          </cell>
          <cell r="C1540" t="str">
            <v>Điện năng</v>
          </cell>
          <cell r="D1540" t="str">
            <v>Kwh</v>
          </cell>
          <cell r="E1540">
            <v>2</v>
          </cell>
          <cell r="F1540">
            <v>1622.01</v>
          </cell>
          <cell r="G1540">
            <v>3244.02</v>
          </cell>
          <cell r="H1540">
            <v>0</v>
          </cell>
          <cell r="I1540">
            <v>0</v>
          </cell>
        </row>
        <row r="1541">
          <cell r="A1541">
            <v>0</v>
          </cell>
          <cell r="B1541" t="str">
            <v>VL188</v>
          </cell>
          <cell r="C1541" t="str">
            <v>Vải phin trắng 0,8m</v>
          </cell>
          <cell r="D1541" t="str">
            <v>m</v>
          </cell>
          <cell r="E1541">
            <v>0.1</v>
          </cell>
          <cell r="F1541">
            <v>8000</v>
          </cell>
          <cell r="G1541">
            <v>800</v>
          </cell>
          <cell r="H1541">
            <v>0</v>
          </cell>
          <cell r="I1541">
            <v>0</v>
          </cell>
        </row>
        <row r="1542">
          <cell r="A1542">
            <v>0</v>
          </cell>
          <cell r="B1542" t="str">
            <v>VL177</v>
          </cell>
          <cell r="C1542" t="str">
            <v>Cồn công nghiệp</v>
          </cell>
          <cell r="D1542" t="str">
            <v>kg</v>
          </cell>
          <cell r="E1542">
            <v>0.05</v>
          </cell>
          <cell r="F1542">
            <v>20000</v>
          </cell>
          <cell r="G1542">
            <v>1000</v>
          </cell>
          <cell r="H1542">
            <v>0</v>
          </cell>
          <cell r="I1542">
            <v>0</v>
          </cell>
        </row>
        <row r="1543">
          <cell r="A1543">
            <v>0</v>
          </cell>
          <cell r="B1543">
            <v>0</v>
          </cell>
          <cell r="C1543" t="str">
            <v>Nhân công</v>
          </cell>
          <cell r="D1543">
            <v>0</v>
          </cell>
          <cell r="E1543">
            <v>0</v>
          </cell>
          <cell r="F1543">
            <v>0</v>
          </cell>
          <cell r="G1543">
            <v>0</v>
          </cell>
          <cell r="H1543">
            <v>0</v>
          </cell>
          <cell r="I1543">
            <v>0</v>
          </cell>
        </row>
        <row r="1544">
          <cell r="A1544">
            <v>0</v>
          </cell>
          <cell r="B1544" t="str">
            <v>KS5</v>
          </cell>
          <cell r="C1544" t="str">
            <v>Kỹ sư bậc 5,0/8</v>
          </cell>
          <cell r="D1544" t="str">
            <v>công</v>
          </cell>
          <cell r="E1544">
            <v>9.6</v>
          </cell>
          <cell r="F1544">
            <v>259007.14285714287</v>
          </cell>
          <cell r="G1544">
            <v>0</v>
          </cell>
          <cell r="H1544">
            <v>2486468.5714285714</v>
          </cell>
          <cell r="I1544">
            <v>0</v>
          </cell>
        </row>
        <row r="1545">
          <cell r="A1545">
            <v>0</v>
          </cell>
          <cell r="B1545">
            <v>0</v>
          </cell>
          <cell r="C1545" t="str">
            <v>Máy thi công</v>
          </cell>
          <cell r="D1545">
            <v>0</v>
          </cell>
          <cell r="E1545">
            <v>0</v>
          </cell>
          <cell r="F1545">
            <v>0</v>
          </cell>
          <cell r="G1545">
            <v>0</v>
          </cell>
          <cell r="H1545">
            <v>0</v>
          </cell>
          <cell r="I1545">
            <v>0</v>
          </cell>
        </row>
        <row r="1546">
          <cell r="A1546">
            <v>0</v>
          </cell>
          <cell r="B1546" t="str">
            <v>M203.0025</v>
          </cell>
          <cell r="C1546" t="str">
            <v>Megôm met</v>
          </cell>
          <cell r="D1546" t="str">
            <v>ca</v>
          </cell>
          <cell r="E1546">
            <v>0.23</v>
          </cell>
          <cell r="F1546">
            <v>40127.500000000007</v>
          </cell>
          <cell r="G1546">
            <v>0</v>
          </cell>
          <cell r="H1546">
            <v>0</v>
          </cell>
          <cell r="I1546">
            <v>9229.3250000000025</v>
          </cell>
        </row>
        <row r="1547">
          <cell r="A1547">
            <v>0</v>
          </cell>
          <cell r="B1547" t="str">
            <v>M203.0008</v>
          </cell>
          <cell r="C1547" t="str">
            <v>Hợp bộ thí nghiệm rơ le</v>
          </cell>
          <cell r="D1547" t="str">
            <v>ca</v>
          </cell>
          <cell r="E1547">
            <v>0.46100000000000002</v>
          </cell>
          <cell r="F1547">
            <v>760420.34090909106</v>
          </cell>
          <cell r="G1547">
            <v>0</v>
          </cell>
          <cell r="H1547">
            <v>0</v>
          </cell>
          <cell r="I1547">
            <v>350553.77715909097</v>
          </cell>
        </row>
        <row r="1548">
          <cell r="A1548" t="str">
            <v>ED.12020</v>
          </cell>
          <cell r="B1548">
            <v>0</v>
          </cell>
          <cell r="C1548" t="str">
            <v>Thí nghiệm Rơle khoảng cách kỹ thuật số</v>
          </cell>
          <cell r="D1548" t="str">
            <v>bộ</v>
          </cell>
          <cell r="E1548">
            <v>0</v>
          </cell>
          <cell r="F1548">
            <v>0</v>
          </cell>
          <cell r="G1548">
            <v>4539.6180000000004</v>
          </cell>
          <cell r="H1548">
            <v>2072057.142857143</v>
          </cell>
          <cell r="I1548">
            <v>299705.89090909093</v>
          </cell>
        </row>
        <row r="1549">
          <cell r="A1549">
            <v>0</v>
          </cell>
          <cell r="B1549">
            <v>0</v>
          </cell>
          <cell r="C1549" t="str">
            <v>Vật liệu</v>
          </cell>
          <cell r="D1549">
            <v>0</v>
          </cell>
          <cell r="E1549">
            <v>0</v>
          </cell>
          <cell r="F1549">
            <v>0</v>
          </cell>
          <cell r="G1549">
            <v>0</v>
          </cell>
          <cell r="H1549">
            <v>0</v>
          </cell>
          <cell r="I1549">
            <v>0</v>
          </cell>
        </row>
        <row r="1550">
          <cell r="A1550">
            <v>0</v>
          </cell>
          <cell r="B1550" t="str">
            <v>VL221</v>
          </cell>
          <cell r="C1550" t="str">
            <v>Điện năng</v>
          </cell>
          <cell r="D1550" t="str">
            <v>Kwh</v>
          </cell>
          <cell r="E1550">
            <v>1.8</v>
          </cell>
          <cell r="F1550">
            <v>1622.01</v>
          </cell>
          <cell r="G1550">
            <v>2919.6179999999999</v>
          </cell>
          <cell r="H1550">
            <v>0</v>
          </cell>
          <cell r="I1550">
            <v>0</v>
          </cell>
        </row>
        <row r="1551">
          <cell r="A1551">
            <v>0</v>
          </cell>
          <cell r="B1551" t="str">
            <v>VL188</v>
          </cell>
          <cell r="C1551" t="str">
            <v>Vải phin trắng 0,8m</v>
          </cell>
          <cell r="D1551" t="str">
            <v>m</v>
          </cell>
          <cell r="E1551">
            <v>0.09</v>
          </cell>
          <cell r="F1551">
            <v>8000</v>
          </cell>
          <cell r="G1551">
            <v>720</v>
          </cell>
          <cell r="H1551">
            <v>0</v>
          </cell>
          <cell r="I1551">
            <v>0</v>
          </cell>
        </row>
        <row r="1552">
          <cell r="A1552">
            <v>0</v>
          </cell>
          <cell r="B1552" t="str">
            <v>VL177</v>
          </cell>
          <cell r="C1552" t="str">
            <v>Cồn công nghiệp</v>
          </cell>
          <cell r="D1552" t="str">
            <v>kg</v>
          </cell>
          <cell r="E1552">
            <v>4.4999999999999998E-2</v>
          </cell>
          <cell r="F1552">
            <v>20000</v>
          </cell>
          <cell r="G1552">
            <v>900</v>
          </cell>
          <cell r="H1552">
            <v>0</v>
          </cell>
          <cell r="I1552">
            <v>0</v>
          </cell>
        </row>
        <row r="1553">
          <cell r="A1553">
            <v>0</v>
          </cell>
          <cell r="B1553">
            <v>0</v>
          </cell>
          <cell r="C1553" t="str">
            <v>Nhân công</v>
          </cell>
          <cell r="D1553">
            <v>0</v>
          </cell>
          <cell r="E1553">
            <v>0</v>
          </cell>
          <cell r="F1553">
            <v>0</v>
          </cell>
          <cell r="G1553">
            <v>0</v>
          </cell>
          <cell r="H1553">
            <v>0</v>
          </cell>
          <cell r="I1553">
            <v>0</v>
          </cell>
        </row>
        <row r="1554">
          <cell r="A1554">
            <v>0</v>
          </cell>
          <cell r="B1554" t="str">
            <v>KS5</v>
          </cell>
          <cell r="C1554" t="str">
            <v>Kỹ sư bậc 5,0/8</v>
          </cell>
          <cell r="D1554" t="str">
            <v>công</v>
          </cell>
          <cell r="E1554">
            <v>8</v>
          </cell>
          <cell r="F1554">
            <v>259007.14285714287</v>
          </cell>
          <cell r="G1554">
            <v>0</v>
          </cell>
          <cell r="H1554">
            <v>2072057.142857143</v>
          </cell>
          <cell r="I1554">
            <v>0</v>
          </cell>
        </row>
        <row r="1555">
          <cell r="A1555">
            <v>0</v>
          </cell>
          <cell r="B1555">
            <v>0</v>
          </cell>
          <cell r="C1555" t="str">
            <v>Máy thi công</v>
          </cell>
          <cell r="D1555">
            <v>0</v>
          </cell>
          <cell r="E1555">
            <v>0</v>
          </cell>
          <cell r="F1555">
            <v>0</v>
          </cell>
          <cell r="G1555">
            <v>0</v>
          </cell>
          <cell r="H1555">
            <v>0</v>
          </cell>
          <cell r="I1555">
            <v>0</v>
          </cell>
        </row>
        <row r="1556">
          <cell r="A1556">
            <v>0</v>
          </cell>
          <cell r="B1556" t="str">
            <v>M203.0025</v>
          </cell>
          <cell r="C1556" t="str">
            <v>Megôm met</v>
          </cell>
          <cell r="D1556" t="str">
            <v>ca</v>
          </cell>
          <cell r="E1556">
            <v>0.192</v>
          </cell>
          <cell r="F1556">
            <v>40127.500000000007</v>
          </cell>
          <cell r="G1556">
            <v>0</v>
          </cell>
          <cell r="H1556">
            <v>0</v>
          </cell>
          <cell r="I1556">
            <v>7704.4800000000014</v>
          </cell>
        </row>
        <row r="1557">
          <cell r="A1557">
            <v>0</v>
          </cell>
          <cell r="B1557" t="str">
            <v>M203.0008</v>
          </cell>
          <cell r="C1557" t="str">
            <v>Hợp bộ thí nghiệm rơ le</v>
          </cell>
          <cell r="D1557" t="str">
            <v>ca</v>
          </cell>
          <cell r="E1557">
            <v>0.38400000000000001</v>
          </cell>
          <cell r="F1557">
            <v>760420.34090909106</v>
          </cell>
          <cell r="G1557">
            <v>0</v>
          </cell>
          <cell r="H1557">
            <v>0</v>
          </cell>
          <cell r="I1557">
            <v>292001.41090909095</v>
          </cell>
        </row>
        <row r="1558">
          <cell r="A1558" t="str">
            <v>ED.13010</v>
          </cell>
          <cell r="B1558">
            <v>0</v>
          </cell>
          <cell r="C1558" t="str">
            <v>Thí nghiệm Rơle điện áp - điện từ, điện tử</v>
          </cell>
          <cell r="D1558" t="str">
            <v>bộ</v>
          </cell>
          <cell r="E1558">
            <v>0</v>
          </cell>
          <cell r="F1558">
            <v>0</v>
          </cell>
          <cell r="G1558">
            <v>2782.01</v>
          </cell>
          <cell r="H1558">
            <v>523194.42857142858</v>
          </cell>
          <cell r="I1558">
            <v>127475.73125000003</v>
          </cell>
        </row>
        <row r="1559">
          <cell r="A1559">
            <v>0</v>
          </cell>
          <cell r="B1559">
            <v>0</v>
          </cell>
          <cell r="C1559" t="str">
            <v>Vật liệu</v>
          </cell>
          <cell r="D1559">
            <v>0</v>
          </cell>
          <cell r="E1559">
            <v>0</v>
          </cell>
          <cell r="F1559">
            <v>0</v>
          </cell>
          <cell r="G1559">
            <v>0</v>
          </cell>
          <cell r="H1559">
            <v>0</v>
          </cell>
          <cell r="I1559">
            <v>0</v>
          </cell>
        </row>
        <row r="1560">
          <cell r="A1560">
            <v>0</v>
          </cell>
          <cell r="B1560" t="str">
            <v>VL221</v>
          </cell>
          <cell r="C1560" t="str">
            <v>Điện năng</v>
          </cell>
          <cell r="D1560" t="str">
            <v>Kwh</v>
          </cell>
          <cell r="E1560">
            <v>1</v>
          </cell>
          <cell r="F1560">
            <v>1622.01</v>
          </cell>
          <cell r="G1560">
            <v>1622.01</v>
          </cell>
          <cell r="H1560">
            <v>0</v>
          </cell>
          <cell r="I1560">
            <v>0</v>
          </cell>
        </row>
        <row r="1561">
          <cell r="A1561">
            <v>0</v>
          </cell>
          <cell r="B1561" t="str">
            <v>VL188</v>
          </cell>
          <cell r="C1561" t="str">
            <v>Vải phin trắng 0,8m</v>
          </cell>
          <cell r="D1561" t="str">
            <v>m</v>
          </cell>
          <cell r="E1561">
            <v>0.02</v>
          </cell>
          <cell r="F1561">
            <v>8000</v>
          </cell>
          <cell r="G1561">
            <v>160</v>
          </cell>
          <cell r="H1561">
            <v>0</v>
          </cell>
          <cell r="I1561">
            <v>0</v>
          </cell>
        </row>
        <row r="1562">
          <cell r="A1562">
            <v>0</v>
          </cell>
          <cell r="B1562" t="str">
            <v>VL177</v>
          </cell>
          <cell r="C1562" t="str">
            <v>Cồn công nghiệp</v>
          </cell>
          <cell r="D1562" t="str">
            <v>kg</v>
          </cell>
          <cell r="E1562">
            <v>0.05</v>
          </cell>
          <cell r="F1562">
            <v>20000</v>
          </cell>
          <cell r="G1562">
            <v>1000</v>
          </cell>
          <cell r="H1562">
            <v>0</v>
          </cell>
          <cell r="I1562">
            <v>0</v>
          </cell>
        </row>
        <row r="1563">
          <cell r="A1563">
            <v>0</v>
          </cell>
          <cell r="B1563">
            <v>0</v>
          </cell>
          <cell r="C1563" t="str">
            <v>Nhân công</v>
          </cell>
          <cell r="D1563">
            <v>0</v>
          </cell>
          <cell r="E1563">
            <v>0</v>
          </cell>
          <cell r="F1563">
            <v>0</v>
          </cell>
          <cell r="G1563">
            <v>0</v>
          </cell>
          <cell r="H1563">
            <v>0</v>
          </cell>
          <cell r="I1563">
            <v>0</v>
          </cell>
        </row>
        <row r="1564">
          <cell r="A1564">
            <v>0</v>
          </cell>
          <cell r="B1564" t="str">
            <v>KS5</v>
          </cell>
          <cell r="C1564" t="str">
            <v>Kỹ sư bậc 5,0/8</v>
          </cell>
          <cell r="D1564" t="str">
            <v>công</v>
          </cell>
          <cell r="E1564">
            <v>2.02</v>
          </cell>
          <cell r="F1564">
            <v>259007.14285714287</v>
          </cell>
          <cell r="G1564">
            <v>0</v>
          </cell>
          <cell r="H1564">
            <v>523194.42857142858</v>
          </cell>
          <cell r="I1564">
            <v>0</v>
          </cell>
        </row>
        <row r="1565">
          <cell r="A1565">
            <v>0</v>
          </cell>
          <cell r="B1565">
            <v>0</v>
          </cell>
          <cell r="C1565" t="str">
            <v>Máy thi công</v>
          </cell>
          <cell r="D1565">
            <v>0</v>
          </cell>
          <cell r="E1565">
            <v>0</v>
          </cell>
          <cell r="F1565">
            <v>0</v>
          </cell>
          <cell r="G1565">
            <v>0</v>
          </cell>
          <cell r="H1565">
            <v>0</v>
          </cell>
          <cell r="I1565">
            <v>0</v>
          </cell>
        </row>
        <row r="1566">
          <cell r="A1566">
            <v>0</v>
          </cell>
          <cell r="B1566" t="str">
            <v>M203.0025</v>
          </cell>
          <cell r="C1566" t="str">
            <v>Megôm met</v>
          </cell>
          <cell r="D1566" t="str">
            <v>ca</v>
          </cell>
          <cell r="E1566">
            <v>0.05</v>
          </cell>
          <cell r="F1566">
            <v>40127.500000000007</v>
          </cell>
          <cell r="G1566">
            <v>0</v>
          </cell>
          <cell r="H1566">
            <v>0</v>
          </cell>
          <cell r="I1566">
            <v>2006.3750000000005</v>
          </cell>
        </row>
        <row r="1567">
          <cell r="A1567">
            <v>0</v>
          </cell>
          <cell r="B1567" t="str">
            <v>M203.0008</v>
          </cell>
          <cell r="C1567" t="str">
            <v>Hợp bộ thí nghiệm rơ le</v>
          </cell>
          <cell r="D1567" t="str">
            <v>ca</v>
          </cell>
          <cell r="E1567">
            <v>0.16500000000000001</v>
          </cell>
          <cell r="F1567">
            <v>760420.34090909106</v>
          </cell>
          <cell r="G1567">
            <v>0</v>
          </cell>
          <cell r="H1567">
            <v>0</v>
          </cell>
          <cell r="I1567">
            <v>125469.35625000003</v>
          </cell>
        </row>
        <row r="1568">
          <cell r="A1568" t="str">
            <v>ED.13020</v>
          </cell>
          <cell r="B1568">
            <v>0</v>
          </cell>
          <cell r="C1568" t="str">
            <v>Thí nghiệm Rơle điện áp - kỹ thuật số</v>
          </cell>
          <cell r="D1568" t="str">
            <v>bộ</v>
          </cell>
          <cell r="E1568">
            <v>0</v>
          </cell>
          <cell r="F1568">
            <v>0</v>
          </cell>
          <cell r="G1568">
            <v>1391.0050000000001</v>
          </cell>
          <cell r="H1568">
            <v>435132</v>
          </cell>
          <cell r="I1568">
            <v>105862.94170454548</v>
          </cell>
        </row>
        <row r="1569">
          <cell r="A1569">
            <v>0</v>
          </cell>
          <cell r="B1569">
            <v>0</v>
          </cell>
          <cell r="C1569" t="str">
            <v>Vật liệu</v>
          </cell>
          <cell r="D1569">
            <v>0</v>
          </cell>
          <cell r="E1569">
            <v>0</v>
          </cell>
          <cell r="F1569">
            <v>0</v>
          </cell>
          <cell r="G1569">
            <v>0</v>
          </cell>
          <cell r="H1569">
            <v>0</v>
          </cell>
          <cell r="I1569">
            <v>0</v>
          </cell>
        </row>
        <row r="1570">
          <cell r="A1570">
            <v>0</v>
          </cell>
          <cell r="B1570" t="str">
            <v>VL221</v>
          </cell>
          <cell r="C1570" t="str">
            <v>Điện năng</v>
          </cell>
          <cell r="D1570" t="str">
            <v>Kwh</v>
          </cell>
          <cell r="E1570">
            <v>0.5</v>
          </cell>
          <cell r="F1570">
            <v>1622.01</v>
          </cell>
          <cell r="G1570">
            <v>811.005</v>
          </cell>
          <cell r="H1570">
            <v>0</v>
          </cell>
          <cell r="I1570">
            <v>0</v>
          </cell>
        </row>
        <row r="1571">
          <cell r="A1571">
            <v>0</v>
          </cell>
          <cell r="B1571" t="str">
            <v>VL188</v>
          </cell>
          <cell r="C1571" t="str">
            <v>Vải phin trắng 0,8m</v>
          </cell>
          <cell r="D1571" t="str">
            <v>m</v>
          </cell>
          <cell r="E1571">
            <v>0.01</v>
          </cell>
          <cell r="F1571">
            <v>8000</v>
          </cell>
          <cell r="G1571">
            <v>80</v>
          </cell>
          <cell r="H1571">
            <v>0</v>
          </cell>
          <cell r="I1571">
            <v>0</v>
          </cell>
        </row>
        <row r="1572">
          <cell r="A1572">
            <v>0</v>
          </cell>
          <cell r="B1572" t="str">
            <v>VL177</v>
          </cell>
          <cell r="C1572" t="str">
            <v>Cồn công nghiệp</v>
          </cell>
          <cell r="D1572" t="str">
            <v>kg</v>
          </cell>
          <cell r="E1572">
            <v>2.5000000000000001E-2</v>
          </cell>
          <cell r="F1572">
            <v>20000</v>
          </cell>
          <cell r="G1572">
            <v>500</v>
          </cell>
          <cell r="H1572">
            <v>0</v>
          </cell>
          <cell r="I1572">
            <v>0</v>
          </cell>
        </row>
        <row r="1573">
          <cell r="A1573">
            <v>0</v>
          </cell>
          <cell r="B1573">
            <v>0</v>
          </cell>
          <cell r="C1573" t="str">
            <v>Nhân công</v>
          </cell>
          <cell r="D1573">
            <v>0</v>
          </cell>
          <cell r="E1573">
            <v>0</v>
          </cell>
          <cell r="F1573">
            <v>0</v>
          </cell>
          <cell r="G1573">
            <v>0</v>
          </cell>
          <cell r="H1573">
            <v>0</v>
          </cell>
          <cell r="I1573">
            <v>0</v>
          </cell>
        </row>
        <row r="1574">
          <cell r="A1574">
            <v>0</v>
          </cell>
          <cell r="B1574" t="str">
            <v>KS5</v>
          </cell>
          <cell r="C1574" t="str">
            <v>Kỹ sư bậc 5,0/8</v>
          </cell>
          <cell r="D1574" t="str">
            <v>công</v>
          </cell>
          <cell r="E1574">
            <v>1.68</v>
          </cell>
          <cell r="F1574">
            <v>259007.14285714287</v>
          </cell>
          <cell r="G1574">
            <v>0</v>
          </cell>
          <cell r="H1574">
            <v>435132</v>
          </cell>
          <cell r="I1574">
            <v>0</v>
          </cell>
        </row>
        <row r="1575">
          <cell r="A1575">
            <v>0</v>
          </cell>
          <cell r="B1575">
            <v>0</v>
          </cell>
          <cell r="C1575" t="str">
            <v>Máy thi công</v>
          </cell>
          <cell r="D1575">
            <v>0</v>
          </cell>
          <cell r="E1575">
            <v>0</v>
          </cell>
          <cell r="F1575">
            <v>0</v>
          </cell>
          <cell r="G1575">
            <v>0</v>
          </cell>
          <cell r="H1575">
            <v>0</v>
          </cell>
          <cell r="I1575">
            <v>0</v>
          </cell>
        </row>
        <row r="1576">
          <cell r="A1576">
            <v>0</v>
          </cell>
          <cell r="B1576" t="str">
            <v>M203.0025</v>
          </cell>
          <cell r="C1576" t="str">
            <v>Megôm met</v>
          </cell>
          <cell r="D1576" t="str">
            <v>ca</v>
          </cell>
          <cell r="E1576">
            <v>4.2000000000000003E-2</v>
          </cell>
          <cell r="F1576">
            <v>40127.500000000007</v>
          </cell>
          <cell r="G1576">
            <v>0</v>
          </cell>
          <cell r="H1576">
            <v>0</v>
          </cell>
          <cell r="I1576">
            <v>1685.3550000000005</v>
          </cell>
        </row>
        <row r="1577">
          <cell r="A1577">
            <v>0</v>
          </cell>
          <cell r="B1577" t="str">
            <v>M203.0008</v>
          </cell>
          <cell r="C1577" t="str">
            <v>Hợp bộ thí nghiệm rơ le</v>
          </cell>
          <cell r="D1577" t="str">
            <v>ca</v>
          </cell>
          <cell r="E1577">
            <v>0.13700000000000001</v>
          </cell>
          <cell r="F1577">
            <v>760420.34090909106</v>
          </cell>
          <cell r="G1577">
            <v>0</v>
          </cell>
          <cell r="H1577">
            <v>0</v>
          </cell>
          <cell r="I1577">
            <v>104177.58670454548</v>
          </cell>
        </row>
        <row r="1578">
          <cell r="A1578" t="str">
            <v>ED.13030</v>
          </cell>
          <cell r="B1578">
            <v>0</v>
          </cell>
          <cell r="C1578" t="str">
            <v>Thí nghiệm Rơle dòng điện - điện từ, điện tử</v>
          </cell>
          <cell r="D1578" t="str">
            <v>bộ</v>
          </cell>
          <cell r="E1578">
            <v>0</v>
          </cell>
          <cell r="F1578">
            <v>0</v>
          </cell>
          <cell r="G1578">
            <v>3106.4119999999998</v>
          </cell>
          <cell r="H1578">
            <v>745940.57142857148</v>
          </cell>
          <cell r="I1578">
            <v>181587.96011363639</v>
          </cell>
        </row>
        <row r="1579">
          <cell r="A1579">
            <v>0</v>
          </cell>
          <cell r="B1579">
            <v>0</v>
          </cell>
          <cell r="C1579" t="str">
            <v>Vật liệu</v>
          </cell>
          <cell r="D1579">
            <v>0</v>
          </cell>
          <cell r="E1579">
            <v>0</v>
          </cell>
          <cell r="F1579">
            <v>0</v>
          </cell>
          <cell r="G1579">
            <v>0</v>
          </cell>
          <cell r="H1579">
            <v>0</v>
          </cell>
          <cell r="I1579">
            <v>0</v>
          </cell>
        </row>
        <row r="1580">
          <cell r="A1580">
            <v>0</v>
          </cell>
          <cell r="B1580" t="str">
            <v>VL221</v>
          </cell>
          <cell r="C1580" t="str">
            <v>Điện năng</v>
          </cell>
          <cell r="D1580" t="str">
            <v>Kwh</v>
          </cell>
          <cell r="E1580">
            <v>1.2</v>
          </cell>
          <cell r="F1580">
            <v>1622.01</v>
          </cell>
          <cell r="G1580">
            <v>1946.4119999999998</v>
          </cell>
          <cell r="H1580">
            <v>0</v>
          </cell>
          <cell r="I1580">
            <v>0</v>
          </cell>
        </row>
        <row r="1581">
          <cell r="A1581">
            <v>0</v>
          </cell>
          <cell r="B1581" t="str">
            <v>VL188</v>
          </cell>
          <cell r="C1581" t="str">
            <v>Vải phin trắng 0,8m</v>
          </cell>
          <cell r="D1581" t="str">
            <v>m</v>
          </cell>
          <cell r="E1581">
            <v>0.02</v>
          </cell>
          <cell r="F1581">
            <v>8000</v>
          </cell>
          <cell r="G1581">
            <v>160</v>
          </cell>
          <cell r="H1581">
            <v>0</v>
          </cell>
          <cell r="I1581">
            <v>0</v>
          </cell>
        </row>
        <row r="1582">
          <cell r="A1582">
            <v>0</v>
          </cell>
          <cell r="B1582" t="str">
            <v>VL177</v>
          </cell>
          <cell r="C1582" t="str">
            <v>Cồn công nghiệp</v>
          </cell>
          <cell r="D1582" t="str">
            <v>kg</v>
          </cell>
          <cell r="E1582">
            <v>0.05</v>
          </cell>
          <cell r="F1582">
            <v>20000</v>
          </cell>
          <cell r="G1582">
            <v>1000</v>
          </cell>
          <cell r="H1582">
            <v>0</v>
          </cell>
          <cell r="I1582">
            <v>0</v>
          </cell>
        </row>
        <row r="1583">
          <cell r="A1583">
            <v>0</v>
          </cell>
          <cell r="B1583">
            <v>0</v>
          </cell>
          <cell r="C1583" t="str">
            <v>Nhân công</v>
          </cell>
          <cell r="D1583">
            <v>0</v>
          </cell>
          <cell r="E1583">
            <v>0</v>
          </cell>
          <cell r="F1583">
            <v>0</v>
          </cell>
          <cell r="G1583">
            <v>0</v>
          </cell>
          <cell r="H1583">
            <v>0</v>
          </cell>
          <cell r="I1583">
            <v>0</v>
          </cell>
        </row>
        <row r="1584">
          <cell r="A1584">
            <v>0</v>
          </cell>
          <cell r="B1584" t="str">
            <v>KS5</v>
          </cell>
          <cell r="C1584" t="str">
            <v>Kỹ sư bậc 5,0/8</v>
          </cell>
          <cell r="D1584" t="str">
            <v>công</v>
          </cell>
          <cell r="E1584">
            <v>2.88</v>
          </cell>
          <cell r="F1584">
            <v>259007.14285714287</v>
          </cell>
          <cell r="G1584">
            <v>0</v>
          </cell>
          <cell r="H1584">
            <v>745940.57142857148</v>
          </cell>
          <cell r="I1584">
            <v>0</v>
          </cell>
        </row>
        <row r="1585">
          <cell r="A1585">
            <v>0</v>
          </cell>
          <cell r="B1585">
            <v>0</v>
          </cell>
          <cell r="C1585" t="str">
            <v>Máy thi công</v>
          </cell>
          <cell r="D1585">
            <v>0</v>
          </cell>
          <cell r="E1585">
            <v>0</v>
          </cell>
          <cell r="F1585">
            <v>0</v>
          </cell>
          <cell r="G1585">
            <v>0</v>
          </cell>
          <cell r="H1585">
            <v>0</v>
          </cell>
          <cell r="I1585">
            <v>0</v>
          </cell>
        </row>
        <row r="1586">
          <cell r="A1586">
            <v>0</v>
          </cell>
          <cell r="B1586" t="str">
            <v>M203.0025</v>
          </cell>
          <cell r="C1586" t="str">
            <v>Megôm met</v>
          </cell>
          <cell r="D1586" t="str">
            <v>ca</v>
          </cell>
          <cell r="E1586">
            <v>7.1999999999999995E-2</v>
          </cell>
          <cell r="F1586">
            <v>40127.500000000007</v>
          </cell>
          <cell r="G1586">
            <v>0</v>
          </cell>
          <cell r="H1586">
            <v>0</v>
          </cell>
          <cell r="I1586">
            <v>2889.1800000000003</v>
          </cell>
        </row>
        <row r="1587">
          <cell r="A1587">
            <v>0</v>
          </cell>
          <cell r="B1587" t="str">
            <v>M203.0008</v>
          </cell>
          <cell r="C1587" t="str">
            <v>Hợp bộ thí nghiệm rơ le</v>
          </cell>
          <cell r="D1587" t="str">
            <v>ca</v>
          </cell>
          <cell r="E1587">
            <v>0.23499999999999999</v>
          </cell>
          <cell r="F1587">
            <v>760420.34090909106</v>
          </cell>
          <cell r="G1587">
            <v>0</v>
          </cell>
          <cell r="H1587">
            <v>0</v>
          </cell>
          <cell r="I1587">
            <v>178698.7801136364</v>
          </cell>
        </row>
        <row r="1588">
          <cell r="A1588" t="str">
            <v>ED.13040</v>
          </cell>
          <cell r="B1588">
            <v>0</v>
          </cell>
          <cell r="C1588" t="str">
            <v>Thí nghiệm Rơle dòng điện - kỹ thuật số</v>
          </cell>
          <cell r="D1588" t="str">
            <v>bộ</v>
          </cell>
          <cell r="E1588">
            <v>0</v>
          </cell>
          <cell r="F1588">
            <v>0</v>
          </cell>
          <cell r="G1588">
            <v>1553.2059999999999</v>
          </cell>
          <cell r="H1588">
            <v>621617.14285714284</v>
          </cell>
          <cell r="I1588">
            <v>151450.03681818183</v>
          </cell>
        </row>
        <row r="1589">
          <cell r="A1589">
            <v>0</v>
          </cell>
          <cell r="B1589">
            <v>0</v>
          </cell>
          <cell r="C1589" t="str">
            <v>Vật liệu</v>
          </cell>
          <cell r="D1589">
            <v>0</v>
          </cell>
          <cell r="E1589">
            <v>0</v>
          </cell>
          <cell r="F1589">
            <v>0</v>
          </cell>
          <cell r="G1589">
            <v>0</v>
          </cell>
          <cell r="H1589">
            <v>0</v>
          </cell>
          <cell r="I1589">
            <v>0</v>
          </cell>
        </row>
        <row r="1590">
          <cell r="A1590">
            <v>0</v>
          </cell>
          <cell r="B1590" t="str">
            <v>VL221</v>
          </cell>
          <cell r="C1590" t="str">
            <v>Điện năng</v>
          </cell>
          <cell r="D1590" t="str">
            <v>Kwh</v>
          </cell>
          <cell r="E1590">
            <v>0.6</v>
          </cell>
          <cell r="F1590">
            <v>1622.01</v>
          </cell>
          <cell r="G1590">
            <v>973.2059999999999</v>
          </cell>
          <cell r="H1590">
            <v>0</v>
          </cell>
          <cell r="I1590">
            <v>0</v>
          </cell>
        </row>
        <row r="1591">
          <cell r="A1591">
            <v>0</v>
          </cell>
          <cell r="B1591" t="str">
            <v>VL188</v>
          </cell>
          <cell r="C1591" t="str">
            <v>Vải phin trắng 0,8m</v>
          </cell>
          <cell r="D1591" t="str">
            <v>m</v>
          </cell>
          <cell r="E1591">
            <v>0.01</v>
          </cell>
          <cell r="F1591">
            <v>8000</v>
          </cell>
          <cell r="G1591">
            <v>80</v>
          </cell>
          <cell r="H1591">
            <v>0</v>
          </cell>
          <cell r="I1591">
            <v>0</v>
          </cell>
        </row>
        <row r="1592">
          <cell r="A1592">
            <v>0</v>
          </cell>
          <cell r="B1592" t="str">
            <v>VL177</v>
          </cell>
          <cell r="C1592" t="str">
            <v>Cồn công nghiệp</v>
          </cell>
          <cell r="D1592" t="str">
            <v>kg</v>
          </cell>
          <cell r="E1592">
            <v>2.5000000000000001E-2</v>
          </cell>
          <cell r="F1592">
            <v>20000</v>
          </cell>
          <cell r="G1592">
            <v>500</v>
          </cell>
          <cell r="H1592">
            <v>0</v>
          </cell>
          <cell r="I1592">
            <v>0</v>
          </cell>
        </row>
        <row r="1593">
          <cell r="A1593">
            <v>0</v>
          </cell>
          <cell r="B1593">
            <v>0</v>
          </cell>
          <cell r="C1593" t="str">
            <v>Nhân công</v>
          </cell>
          <cell r="D1593">
            <v>0</v>
          </cell>
          <cell r="E1593">
            <v>0</v>
          </cell>
          <cell r="F1593">
            <v>0</v>
          </cell>
          <cell r="G1593">
            <v>0</v>
          </cell>
          <cell r="H1593">
            <v>0</v>
          </cell>
          <cell r="I1593">
            <v>0</v>
          </cell>
        </row>
        <row r="1594">
          <cell r="A1594">
            <v>0</v>
          </cell>
          <cell r="B1594" t="str">
            <v>KS5</v>
          </cell>
          <cell r="C1594" t="str">
            <v>Kỹ sư bậc 5,0/8</v>
          </cell>
          <cell r="D1594" t="str">
            <v>công</v>
          </cell>
          <cell r="E1594">
            <v>2.4</v>
          </cell>
          <cell r="F1594">
            <v>259007.14285714287</v>
          </cell>
          <cell r="G1594">
            <v>0</v>
          </cell>
          <cell r="H1594">
            <v>621617.14285714284</v>
          </cell>
          <cell r="I1594">
            <v>0</v>
          </cell>
        </row>
        <row r="1595">
          <cell r="A1595">
            <v>0</v>
          </cell>
          <cell r="B1595">
            <v>0</v>
          </cell>
          <cell r="C1595" t="str">
            <v>Máy thi công</v>
          </cell>
          <cell r="D1595">
            <v>0</v>
          </cell>
          <cell r="E1595">
            <v>0</v>
          </cell>
          <cell r="F1595">
            <v>0</v>
          </cell>
          <cell r="G1595">
            <v>0</v>
          </cell>
          <cell r="H1595">
            <v>0</v>
          </cell>
          <cell r="I1595">
            <v>0</v>
          </cell>
        </row>
        <row r="1596">
          <cell r="A1596">
            <v>0</v>
          </cell>
          <cell r="B1596" t="str">
            <v>M203.0025</v>
          </cell>
          <cell r="C1596" t="str">
            <v>Megôm met</v>
          </cell>
          <cell r="D1596" t="str">
            <v>ca</v>
          </cell>
          <cell r="E1596">
            <v>0.06</v>
          </cell>
          <cell r="F1596">
            <v>40127.500000000007</v>
          </cell>
          <cell r="G1596">
            <v>0</v>
          </cell>
          <cell r="H1596">
            <v>0</v>
          </cell>
          <cell r="I1596">
            <v>2407.6500000000005</v>
          </cell>
        </row>
        <row r="1597">
          <cell r="A1597">
            <v>0</v>
          </cell>
          <cell r="B1597" t="str">
            <v>M203.0008</v>
          </cell>
          <cell r="C1597" t="str">
            <v>Hợp bộ thí nghiệm rơ le</v>
          </cell>
          <cell r="D1597" t="str">
            <v>ca</v>
          </cell>
          <cell r="E1597">
            <v>0.19600000000000001</v>
          </cell>
          <cell r="F1597">
            <v>760420.34090909106</v>
          </cell>
          <cell r="G1597">
            <v>0</v>
          </cell>
          <cell r="H1597">
            <v>0</v>
          </cell>
          <cell r="I1597">
            <v>149042.38681818184</v>
          </cell>
        </row>
        <row r="1598">
          <cell r="A1598" t="str">
            <v>ED.14010</v>
          </cell>
          <cell r="B1598">
            <v>0</v>
          </cell>
          <cell r="C1598" t="str">
            <v>Thí nghiệm Rơle trung gian, thời gian - điện từ, điện tử</v>
          </cell>
          <cell r="D1598" t="str">
            <v>bộ</v>
          </cell>
          <cell r="E1598">
            <v>0</v>
          </cell>
          <cell r="F1598">
            <v>0</v>
          </cell>
          <cell r="G1598">
            <v>1576.8040000000001</v>
          </cell>
          <cell r="H1598">
            <v>137273.78571428574</v>
          </cell>
          <cell r="I1598">
            <v>60478.486250000016</v>
          </cell>
        </row>
        <row r="1599">
          <cell r="A1599">
            <v>0</v>
          </cell>
          <cell r="B1599">
            <v>0</v>
          </cell>
          <cell r="C1599" t="str">
            <v>Vật liệu</v>
          </cell>
          <cell r="D1599">
            <v>0</v>
          </cell>
          <cell r="E1599">
            <v>0</v>
          </cell>
          <cell r="F1599">
            <v>0</v>
          </cell>
          <cell r="G1599">
            <v>0</v>
          </cell>
          <cell r="H1599">
            <v>0</v>
          </cell>
          <cell r="I1599">
            <v>0</v>
          </cell>
        </row>
        <row r="1600">
          <cell r="A1600">
            <v>0</v>
          </cell>
          <cell r="B1600" t="str">
            <v>VL221</v>
          </cell>
          <cell r="C1600" t="str">
            <v>Điện năng</v>
          </cell>
          <cell r="D1600" t="str">
            <v>Kwh</v>
          </cell>
          <cell r="E1600">
            <v>0.4</v>
          </cell>
          <cell r="F1600">
            <v>1622.01</v>
          </cell>
          <cell r="G1600">
            <v>648.80400000000009</v>
          </cell>
          <cell r="H1600">
            <v>0</v>
          </cell>
          <cell r="I1600">
            <v>0</v>
          </cell>
        </row>
        <row r="1601">
          <cell r="A1601">
            <v>0</v>
          </cell>
          <cell r="B1601" t="str">
            <v>VL188</v>
          </cell>
          <cell r="C1601" t="str">
            <v>Vải phin trắng 0,8m</v>
          </cell>
          <cell r="D1601" t="str">
            <v>m</v>
          </cell>
          <cell r="E1601">
            <v>1.6E-2</v>
          </cell>
          <cell r="F1601">
            <v>8000</v>
          </cell>
          <cell r="G1601">
            <v>128</v>
          </cell>
          <cell r="H1601">
            <v>0</v>
          </cell>
          <cell r="I1601">
            <v>0</v>
          </cell>
        </row>
        <row r="1602">
          <cell r="A1602">
            <v>0</v>
          </cell>
          <cell r="B1602" t="str">
            <v>VL177</v>
          </cell>
          <cell r="C1602" t="str">
            <v>Cồn công nghiệp</v>
          </cell>
          <cell r="D1602" t="str">
            <v>kg</v>
          </cell>
          <cell r="E1602">
            <v>0.04</v>
          </cell>
          <cell r="F1602">
            <v>20000</v>
          </cell>
          <cell r="G1602">
            <v>800</v>
          </cell>
          <cell r="H1602">
            <v>0</v>
          </cell>
          <cell r="I1602">
            <v>0</v>
          </cell>
        </row>
        <row r="1603">
          <cell r="A1603">
            <v>0</v>
          </cell>
          <cell r="B1603">
            <v>0</v>
          </cell>
          <cell r="C1603" t="str">
            <v>Nhân công</v>
          </cell>
          <cell r="D1603">
            <v>0</v>
          </cell>
          <cell r="E1603">
            <v>0</v>
          </cell>
          <cell r="F1603">
            <v>0</v>
          </cell>
          <cell r="G1603">
            <v>0</v>
          </cell>
          <cell r="H1603">
            <v>0</v>
          </cell>
          <cell r="I1603">
            <v>0</v>
          </cell>
        </row>
        <row r="1604">
          <cell r="A1604">
            <v>0</v>
          </cell>
          <cell r="B1604" t="str">
            <v>KS5</v>
          </cell>
          <cell r="C1604" t="str">
            <v>Kỹ sư bậc 5,0/8</v>
          </cell>
          <cell r="D1604" t="str">
            <v>công</v>
          </cell>
          <cell r="E1604">
            <v>0.53</v>
          </cell>
          <cell r="F1604">
            <v>259007.14285714287</v>
          </cell>
          <cell r="G1604">
            <v>0</v>
          </cell>
          <cell r="H1604">
            <v>137273.78571428574</v>
          </cell>
          <cell r="I1604">
            <v>0</v>
          </cell>
        </row>
        <row r="1605">
          <cell r="A1605">
            <v>0</v>
          </cell>
          <cell r="B1605">
            <v>0</v>
          </cell>
          <cell r="C1605" t="str">
            <v>Máy thi công</v>
          </cell>
          <cell r="D1605">
            <v>0</v>
          </cell>
          <cell r="E1605">
            <v>0</v>
          </cell>
          <cell r="F1605">
            <v>0</v>
          </cell>
          <cell r="G1605">
            <v>0</v>
          </cell>
          <cell r="H1605">
            <v>0</v>
          </cell>
          <cell r="I1605">
            <v>0</v>
          </cell>
        </row>
        <row r="1606">
          <cell r="A1606">
            <v>0</v>
          </cell>
          <cell r="B1606" t="str">
            <v>M203.0025</v>
          </cell>
          <cell r="C1606" t="str">
            <v>Megôm met</v>
          </cell>
          <cell r="D1606" t="str">
            <v>ca</v>
          </cell>
          <cell r="E1606">
            <v>4.8000000000000001E-2</v>
          </cell>
          <cell r="F1606">
            <v>40127.500000000007</v>
          </cell>
          <cell r="G1606">
            <v>0</v>
          </cell>
          <cell r="H1606">
            <v>0</v>
          </cell>
          <cell r="I1606">
            <v>1926.1200000000003</v>
          </cell>
        </row>
        <row r="1607">
          <cell r="A1607">
            <v>0</v>
          </cell>
          <cell r="B1607" t="str">
            <v>M203.0008</v>
          </cell>
          <cell r="C1607" t="str">
            <v>Hợp bộ thí nghiệm rơ le</v>
          </cell>
          <cell r="D1607" t="str">
            <v>ca</v>
          </cell>
          <cell r="E1607">
            <v>7.6999999999999999E-2</v>
          </cell>
          <cell r="F1607">
            <v>760420.34090909106</v>
          </cell>
          <cell r="G1607">
            <v>0</v>
          </cell>
          <cell r="H1607">
            <v>0</v>
          </cell>
          <cell r="I1607">
            <v>58552.366250000014</v>
          </cell>
        </row>
        <row r="1608">
          <cell r="A1608" t="str">
            <v>ED.14020</v>
          </cell>
          <cell r="B1608">
            <v>0</v>
          </cell>
          <cell r="C1608" t="str">
            <v>Thí nghiệm Rơle trung gian, thời gian - kỹ thuật số</v>
          </cell>
          <cell r="D1608" t="str">
            <v>bộ</v>
          </cell>
          <cell r="E1608">
            <v>0</v>
          </cell>
          <cell r="F1608">
            <v>0</v>
          </cell>
          <cell r="G1608">
            <v>1068.402</v>
          </cell>
          <cell r="H1608">
            <v>113963.14285714287</v>
          </cell>
          <cell r="I1608">
            <v>50272.00181818183</v>
          </cell>
        </row>
        <row r="1609">
          <cell r="A1609">
            <v>0</v>
          </cell>
          <cell r="B1609">
            <v>0</v>
          </cell>
          <cell r="C1609" t="str">
            <v>Vật liệu</v>
          </cell>
          <cell r="D1609">
            <v>0</v>
          </cell>
          <cell r="E1609">
            <v>0</v>
          </cell>
          <cell r="F1609">
            <v>0</v>
          </cell>
          <cell r="G1609">
            <v>0</v>
          </cell>
          <cell r="H1609">
            <v>0</v>
          </cell>
          <cell r="I1609">
            <v>0</v>
          </cell>
        </row>
        <row r="1610">
          <cell r="A1610">
            <v>0</v>
          </cell>
          <cell r="B1610" t="str">
            <v>VL221</v>
          </cell>
          <cell r="C1610" t="str">
            <v>Điện năng</v>
          </cell>
          <cell r="D1610" t="str">
            <v>Kwh</v>
          </cell>
          <cell r="E1610">
            <v>0.2</v>
          </cell>
          <cell r="F1610">
            <v>1622.01</v>
          </cell>
          <cell r="G1610">
            <v>324.40200000000004</v>
          </cell>
          <cell r="H1610">
            <v>0</v>
          </cell>
          <cell r="I1610">
            <v>0</v>
          </cell>
        </row>
        <row r="1611">
          <cell r="A1611">
            <v>0</v>
          </cell>
          <cell r="B1611" t="str">
            <v>VL188</v>
          </cell>
          <cell r="C1611" t="str">
            <v>Vải phin trắng 0,8m</v>
          </cell>
          <cell r="D1611" t="str">
            <v>m</v>
          </cell>
          <cell r="E1611">
            <v>1.2999999999999999E-2</v>
          </cell>
          <cell r="F1611">
            <v>8000</v>
          </cell>
          <cell r="G1611">
            <v>104</v>
          </cell>
          <cell r="H1611">
            <v>0</v>
          </cell>
          <cell r="I1611">
            <v>0</v>
          </cell>
        </row>
        <row r="1612">
          <cell r="A1612">
            <v>0</v>
          </cell>
          <cell r="B1612" t="str">
            <v>VL177</v>
          </cell>
          <cell r="C1612" t="str">
            <v>Cồn công nghiệp</v>
          </cell>
          <cell r="D1612" t="str">
            <v>kg</v>
          </cell>
          <cell r="E1612">
            <v>3.2000000000000001E-2</v>
          </cell>
          <cell r="F1612">
            <v>20000</v>
          </cell>
          <cell r="G1612">
            <v>640</v>
          </cell>
          <cell r="H1612">
            <v>0</v>
          </cell>
          <cell r="I1612">
            <v>0</v>
          </cell>
        </row>
        <row r="1613">
          <cell r="A1613">
            <v>0</v>
          </cell>
          <cell r="B1613">
            <v>0</v>
          </cell>
          <cell r="C1613" t="str">
            <v>Nhân công</v>
          </cell>
          <cell r="D1613">
            <v>0</v>
          </cell>
          <cell r="E1613">
            <v>0</v>
          </cell>
          <cell r="F1613">
            <v>0</v>
          </cell>
          <cell r="G1613">
            <v>0</v>
          </cell>
          <cell r="H1613">
            <v>0</v>
          </cell>
          <cell r="I1613">
            <v>0</v>
          </cell>
        </row>
        <row r="1614">
          <cell r="A1614">
            <v>0</v>
          </cell>
          <cell r="B1614" t="str">
            <v>KS5</v>
          </cell>
          <cell r="C1614" t="str">
            <v>Kỹ sư bậc 5,0/8</v>
          </cell>
          <cell r="D1614" t="str">
            <v>công</v>
          </cell>
          <cell r="E1614">
            <v>0.44</v>
          </cell>
          <cell r="F1614">
            <v>259007.14285714287</v>
          </cell>
          <cell r="G1614">
            <v>0</v>
          </cell>
          <cell r="H1614">
            <v>113963.14285714287</v>
          </cell>
          <cell r="I1614">
            <v>0</v>
          </cell>
        </row>
        <row r="1615">
          <cell r="A1615">
            <v>0</v>
          </cell>
          <cell r="B1615">
            <v>0</v>
          </cell>
          <cell r="C1615" t="str">
            <v>Máy thi công</v>
          </cell>
          <cell r="D1615">
            <v>0</v>
          </cell>
          <cell r="E1615">
            <v>0</v>
          </cell>
          <cell r="F1615">
            <v>0</v>
          </cell>
          <cell r="G1615">
            <v>0</v>
          </cell>
          <cell r="H1615">
            <v>0</v>
          </cell>
          <cell r="I1615">
            <v>0</v>
          </cell>
        </row>
        <row r="1616">
          <cell r="A1616">
            <v>0</v>
          </cell>
          <cell r="B1616" t="str">
            <v>M203.0025</v>
          </cell>
          <cell r="C1616" t="str">
            <v>Megôm met</v>
          </cell>
          <cell r="D1616" t="str">
            <v>ca</v>
          </cell>
          <cell r="E1616">
            <v>0.04</v>
          </cell>
          <cell r="F1616">
            <v>40127.500000000007</v>
          </cell>
          <cell r="G1616">
            <v>0</v>
          </cell>
          <cell r="H1616">
            <v>0</v>
          </cell>
          <cell r="I1616">
            <v>1605.1000000000004</v>
          </cell>
        </row>
        <row r="1617">
          <cell r="A1617">
            <v>0</v>
          </cell>
          <cell r="B1617" t="str">
            <v>M203.0008</v>
          </cell>
          <cell r="C1617" t="str">
            <v>Hợp bộ thí nghiệm rơ le</v>
          </cell>
          <cell r="D1617" t="str">
            <v>ca</v>
          </cell>
          <cell r="E1617">
            <v>6.4000000000000001E-2</v>
          </cell>
          <cell r="F1617">
            <v>760420.34090909106</v>
          </cell>
          <cell r="G1617">
            <v>0</v>
          </cell>
          <cell r="H1617">
            <v>0</v>
          </cell>
          <cell r="I1617">
            <v>48666.901818181832</v>
          </cell>
        </row>
        <row r="1618">
          <cell r="A1618" t="str">
            <v>ED.14030</v>
          </cell>
          <cell r="B1618">
            <v>0</v>
          </cell>
          <cell r="C1618" t="str">
            <v>Thí nghiệm Rơle tín hiệu - điện từ, điện tử</v>
          </cell>
          <cell r="D1618" t="str">
            <v>bộ</v>
          </cell>
          <cell r="E1618">
            <v>0</v>
          </cell>
          <cell r="F1618">
            <v>0</v>
          </cell>
          <cell r="G1618">
            <v>1252.402</v>
          </cell>
          <cell r="H1618">
            <v>124323.42857142858</v>
          </cell>
          <cell r="I1618">
            <v>54194.486022727287</v>
          </cell>
        </row>
        <row r="1619">
          <cell r="A1619">
            <v>0</v>
          </cell>
          <cell r="B1619">
            <v>0</v>
          </cell>
          <cell r="C1619" t="str">
            <v>Vật liệu</v>
          </cell>
          <cell r="D1619">
            <v>0</v>
          </cell>
          <cell r="E1619">
            <v>0</v>
          </cell>
          <cell r="F1619">
            <v>0</v>
          </cell>
          <cell r="G1619">
            <v>0</v>
          </cell>
          <cell r="H1619">
            <v>0</v>
          </cell>
          <cell r="I1619">
            <v>0</v>
          </cell>
        </row>
        <row r="1620">
          <cell r="A1620">
            <v>0</v>
          </cell>
          <cell r="B1620" t="str">
            <v>VL221</v>
          </cell>
          <cell r="C1620" t="str">
            <v>Điện năng</v>
          </cell>
          <cell r="D1620" t="str">
            <v>Kwh</v>
          </cell>
          <cell r="E1620">
            <v>0.2</v>
          </cell>
          <cell r="F1620">
            <v>1622.01</v>
          </cell>
          <cell r="G1620">
            <v>324.40200000000004</v>
          </cell>
          <cell r="H1620">
            <v>0</v>
          </cell>
          <cell r="I1620">
            <v>0</v>
          </cell>
        </row>
        <row r="1621">
          <cell r="A1621">
            <v>0</v>
          </cell>
          <cell r="B1621" t="str">
            <v>VL188</v>
          </cell>
          <cell r="C1621" t="str">
            <v>Vải phin trắng 0,8m</v>
          </cell>
          <cell r="D1621" t="str">
            <v>m</v>
          </cell>
          <cell r="E1621">
            <v>1.6E-2</v>
          </cell>
          <cell r="F1621">
            <v>8000</v>
          </cell>
          <cell r="G1621">
            <v>128</v>
          </cell>
          <cell r="H1621">
            <v>0</v>
          </cell>
          <cell r="I1621">
            <v>0</v>
          </cell>
        </row>
        <row r="1622">
          <cell r="A1622">
            <v>0</v>
          </cell>
          <cell r="B1622" t="str">
            <v>VL177</v>
          </cell>
          <cell r="C1622" t="str">
            <v>Cồn công nghiệp</v>
          </cell>
          <cell r="D1622" t="str">
            <v>kg</v>
          </cell>
          <cell r="E1622">
            <v>0.04</v>
          </cell>
          <cell r="F1622">
            <v>20000</v>
          </cell>
          <cell r="G1622">
            <v>800</v>
          </cell>
          <cell r="H1622">
            <v>0</v>
          </cell>
          <cell r="I1622">
            <v>0</v>
          </cell>
        </row>
        <row r="1623">
          <cell r="A1623">
            <v>0</v>
          </cell>
          <cell r="B1623">
            <v>0</v>
          </cell>
          <cell r="C1623" t="str">
            <v>Nhân công</v>
          </cell>
          <cell r="D1623">
            <v>0</v>
          </cell>
          <cell r="E1623">
            <v>0</v>
          </cell>
          <cell r="F1623">
            <v>0</v>
          </cell>
          <cell r="G1623">
            <v>0</v>
          </cell>
          <cell r="H1623">
            <v>0</v>
          </cell>
          <cell r="I1623">
            <v>0</v>
          </cell>
        </row>
        <row r="1624">
          <cell r="A1624">
            <v>0</v>
          </cell>
          <cell r="B1624" t="str">
            <v>KS5</v>
          </cell>
          <cell r="C1624" t="str">
            <v>Kỹ sư bậc 5,0/8</v>
          </cell>
          <cell r="D1624" t="str">
            <v>công</v>
          </cell>
          <cell r="E1624">
            <v>0.48</v>
          </cell>
          <cell r="F1624">
            <v>259007.14285714287</v>
          </cell>
          <cell r="G1624">
            <v>0</v>
          </cell>
          <cell r="H1624">
            <v>124323.42857142858</v>
          </cell>
          <cell r="I1624">
            <v>0</v>
          </cell>
        </row>
        <row r="1625">
          <cell r="A1625">
            <v>0</v>
          </cell>
          <cell r="B1625">
            <v>0</v>
          </cell>
          <cell r="C1625" t="str">
            <v>Máy thi công</v>
          </cell>
          <cell r="D1625">
            <v>0</v>
          </cell>
          <cell r="E1625">
            <v>0</v>
          </cell>
          <cell r="F1625">
            <v>0</v>
          </cell>
          <cell r="G1625">
            <v>0</v>
          </cell>
          <cell r="H1625">
            <v>0</v>
          </cell>
          <cell r="I1625">
            <v>0</v>
          </cell>
        </row>
        <row r="1626">
          <cell r="A1626">
            <v>0</v>
          </cell>
          <cell r="B1626" t="str">
            <v>M203.0025</v>
          </cell>
          <cell r="C1626" t="str">
            <v>Megôm met</v>
          </cell>
          <cell r="D1626" t="str">
            <v>ca</v>
          </cell>
          <cell r="E1626">
            <v>4.2999999999999997E-2</v>
          </cell>
          <cell r="F1626">
            <v>40127.500000000007</v>
          </cell>
          <cell r="G1626">
            <v>0</v>
          </cell>
          <cell r="H1626">
            <v>0</v>
          </cell>
          <cell r="I1626">
            <v>1725.4825000000001</v>
          </cell>
        </row>
        <row r="1627">
          <cell r="A1627">
            <v>0</v>
          </cell>
          <cell r="B1627" t="str">
            <v>M203.0008</v>
          </cell>
          <cell r="C1627" t="str">
            <v>Hợp bộ thí nghiệm rơ le</v>
          </cell>
          <cell r="D1627" t="str">
            <v>ca</v>
          </cell>
          <cell r="E1627">
            <v>6.9000000000000006E-2</v>
          </cell>
          <cell r="F1627">
            <v>760420.34090909106</v>
          </cell>
          <cell r="G1627">
            <v>0</v>
          </cell>
          <cell r="H1627">
            <v>0</v>
          </cell>
          <cell r="I1627">
            <v>52469.003522727289</v>
          </cell>
        </row>
        <row r="1628">
          <cell r="A1628" t="str">
            <v>ED.14040</v>
          </cell>
          <cell r="B1628">
            <v>0</v>
          </cell>
          <cell r="C1628" t="str">
            <v>Thí nghiệm Rơle tín hiệu - kỹ thuật số</v>
          </cell>
          <cell r="D1628" t="str">
            <v>bộ</v>
          </cell>
          <cell r="E1628">
            <v>0</v>
          </cell>
          <cell r="F1628">
            <v>0</v>
          </cell>
          <cell r="G1628">
            <v>906.20100000000002</v>
          </cell>
          <cell r="H1628">
            <v>103602.85714285716</v>
          </cell>
          <cell r="I1628">
            <v>45548.969772727287</v>
          </cell>
        </row>
        <row r="1629">
          <cell r="A1629">
            <v>0</v>
          </cell>
          <cell r="B1629">
            <v>0</v>
          </cell>
          <cell r="C1629" t="str">
            <v>Vật liệu</v>
          </cell>
          <cell r="D1629">
            <v>0</v>
          </cell>
          <cell r="E1629">
            <v>0</v>
          </cell>
          <cell r="F1629">
            <v>0</v>
          </cell>
          <cell r="G1629">
            <v>0</v>
          </cell>
          <cell r="H1629">
            <v>0</v>
          </cell>
          <cell r="I1629">
            <v>0</v>
          </cell>
        </row>
        <row r="1630">
          <cell r="A1630">
            <v>0</v>
          </cell>
          <cell r="B1630" t="str">
            <v>VL221</v>
          </cell>
          <cell r="C1630" t="str">
            <v>Điện năng</v>
          </cell>
          <cell r="D1630" t="str">
            <v>Kwh</v>
          </cell>
          <cell r="E1630">
            <v>0.1</v>
          </cell>
          <cell r="F1630">
            <v>1622.01</v>
          </cell>
          <cell r="G1630">
            <v>162.20100000000002</v>
          </cell>
          <cell r="H1630">
            <v>0</v>
          </cell>
          <cell r="I1630">
            <v>0</v>
          </cell>
        </row>
        <row r="1631">
          <cell r="A1631">
            <v>0</v>
          </cell>
          <cell r="B1631" t="str">
            <v>VL188</v>
          </cell>
          <cell r="C1631" t="str">
            <v>Vải phin trắng 0,8m</v>
          </cell>
          <cell r="D1631" t="str">
            <v>m</v>
          </cell>
          <cell r="E1631">
            <v>1.2999999999999999E-2</v>
          </cell>
          <cell r="F1631">
            <v>8000</v>
          </cell>
          <cell r="G1631">
            <v>104</v>
          </cell>
          <cell r="H1631">
            <v>0</v>
          </cell>
          <cell r="I1631">
            <v>0</v>
          </cell>
        </row>
        <row r="1632">
          <cell r="A1632">
            <v>0</v>
          </cell>
          <cell r="B1632" t="str">
            <v>VL177</v>
          </cell>
          <cell r="C1632" t="str">
            <v>Cồn công nghiệp</v>
          </cell>
          <cell r="D1632" t="str">
            <v>kg</v>
          </cell>
          <cell r="E1632">
            <v>3.2000000000000001E-2</v>
          </cell>
          <cell r="F1632">
            <v>20000</v>
          </cell>
          <cell r="G1632">
            <v>640</v>
          </cell>
          <cell r="H1632">
            <v>0</v>
          </cell>
          <cell r="I1632">
            <v>0</v>
          </cell>
        </row>
        <row r="1633">
          <cell r="A1633">
            <v>0</v>
          </cell>
          <cell r="B1633">
            <v>0</v>
          </cell>
          <cell r="C1633" t="str">
            <v>Nhân công</v>
          </cell>
          <cell r="D1633">
            <v>0</v>
          </cell>
          <cell r="E1633">
            <v>0</v>
          </cell>
          <cell r="F1633">
            <v>0</v>
          </cell>
          <cell r="G1633">
            <v>0</v>
          </cell>
          <cell r="H1633">
            <v>0</v>
          </cell>
          <cell r="I1633">
            <v>0</v>
          </cell>
        </row>
        <row r="1634">
          <cell r="A1634">
            <v>0</v>
          </cell>
          <cell r="B1634" t="str">
            <v>KS5</v>
          </cell>
          <cell r="C1634" t="str">
            <v>Kỹ sư bậc 5,0/8</v>
          </cell>
          <cell r="D1634" t="str">
            <v>công</v>
          </cell>
          <cell r="E1634">
            <v>0.4</v>
          </cell>
          <cell r="F1634">
            <v>259007.14285714287</v>
          </cell>
          <cell r="G1634">
            <v>0</v>
          </cell>
          <cell r="H1634">
            <v>103602.85714285716</v>
          </cell>
          <cell r="I1634">
            <v>0</v>
          </cell>
        </row>
        <row r="1635">
          <cell r="A1635">
            <v>0</v>
          </cell>
          <cell r="B1635">
            <v>0</v>
          </cell>
          <cell r="C1635" t="str">
            <v>Máy thi công</v>
          </cell>
          <cell r="D1635">
            <v>0</v>
          </cell>
          <cell r="E1635">
            <v>0</v>
          </cell>
          <cell r="F1635">
            <v>0</v>
          </cell>
          <cell r="G1635">
            <v>0</v>
          </cell>
          <cell r="H1635">
            <v>0</v>
          </cell>
          <cell r="I1635">
            <v>0</v>
          </cell>
        </row>
        <row r="1636">
          <cell r="A1636">
            <v>0</v>
          </cell>
          <cell r="B1636" t="str">
            <v>M203.0025</v>
          </cell>
          <cell r="C1636" t="str">
            <v>Megôm met</v>
          </cell>
          <cell r="D1636" t="str">
            <v>ca</v>
          </cell>
          <cell r="E1636">
            <v>3.5999999999999997E-2</v>
          </cell>
          <cell r="F1636">
            <v>40127.500000000007</v>
          </cell>
          <cell r="G1636">
            <v>0</v>
          </cell>
          <cell r="H1636">
            <v>0</v>
          </cell>
          <cell r="I1636">
            <v>1444.5900000000001</v>
          </cell>
        </row>
        <row r="1637">
          <cell r="A1637">
            <v>0</v>
          </cell>
          <cell r="B1637" t="str">
            <v>M203.0008</v>
          </cell>
          <cell r="C1637" t="str">
            <v>Hợp bộ thí nghiệm rơ le</v>
          </cell>
          <cell r="D1637" t="str">
            <v>ca</v>
          </cell>
          <cell r="E1637">
            <v>5.8000000000000003E-2</v>
          </cell>
          <cell r="F1637">
            <v>760420.34090909106</v>
          </cell>
          <cell r="G1637">
            <v>0</v>
          </cell>
          <cell r="H1637">
            <v>0</v>
          </cell>
          <cell r="I1637">
            <v>44104.379772727283</v>
          </cell>
        </row>
        <row r="1638">
          <cell r="A1638" t="str">
            <v>ED.15010</v>
          </cell>
          <cell r="B1638">
            <v>0</v>
          </cell>
          <cell r="C1638" t="str">
            <v>Thí nghiệm Rơle công suất U2,I2; U0,I0 - điện từ, điện tử</v>
          </cell>
          <cell r="D1638" t="str">
            <v>bộ</v>
          </cell>
          <cell r="E1638">
            <v>0</v>
          </cell>
          <cell r="F1638">
            <v>0</v>
          </cell>
          <cell r="G1638">
            <v>5044.0200000000004</v>
          </cell>
          <cell r="H1638">
            <v>683778.85714285716</v>
          </cell>
          <cell r="I1638">
            <v>128155.89659090912</v>
          </cell>
        </row>
        <row r="1639">
          <cell r="A1639">
            <v>0</v>
          </cell>
          <cell r="B1639">
            <v>0</v>
          </cell>
          <cell r="C1639" t="str">
            <v>Vật liệu</v>
          </cell>
          <cell r="D1639">
            <v>0</v>
          </cell>
          <cell r="E1639">
            <v>0</v>
          </cell>
          <cell r="F1639">
            <v>0</v>
          </cell>
          <cell r="G1639">
            <v>0</v>
          </cell>
          <cell r="H1639">
            <v>0</v>
          </cell>
          <cell r="I1639">
            <v>0</v>
          </cell>
        </row>
        <row r="1640">
          <cell r="A1640">
            <v>0</v>
          </cell>
          <cell r="B1640" t="str">
            <v>VL221</v>
          </cell>
          <cell r="C1640" t="str">
            <v>Điện năng</v>
          </cell>
          <cell r="D1640" t="str">
            <v>Kwh</v>
          </cell>
          <cell r="E1640">
            <v>2</v>
          </cell>
          <cell r="F1640">
            <v>1622.01</v>
          </cell>
          <cell r="G1640">
            <v>3244.02</v>
          </cell>
          <cell r="H1640">
            <v>0</v>
          </cell>
          <cell r="I1640">
            <v>0</v>
          </cell>
        </row>
        <row r="1641">
          <cell r="A1641">
            <v>0</v>
          </cell>
          <cell r="B1641" t="str">
            <v>VL188</v>
          </cell>
          <cell r="C1641" t="str">
            <v>Vải phin trắng 0,8m</v>
          </cell>
          <cell r="D1641" t="str">
            <v>m</v>
          </cell>
          <cell r="E1641">
            <v>0.1</v>
          </cell>
          <cell r="F1641">
            <v>8000</v>
          </cell>
          <cell r="G1641">
            <v>800</v>
          </cell>
          <cell r="H1641">
            <v>0</v>
          </cell>
          <cell r="I1641">
            <v>0</v>
          </cell>
        </row>
        <row r="1642">
          <cell r="A1642">
            <v>0</v>
          </cell>
          <cell r="B1642" t="str">
            <v>VL177</v>
          </cell>
          <cell r="C1642" t="str">
            <v>Cồn công nghiệp</v>
          </cell>
          <cell r="D1642" t="str">
            <v>kg</v>
          </cell>
          <cell r="E1642">
            <v>0.05</v>
          </cell>
          <cell r="F1642">
            <v>20000</v>
          </cell>
          <cell r="G1642">
            <v>1000</v>
          </cell>
          <cell r="H1642">
            <v>0</v>
          </cell>
          <cell r="I1642">
            <v>0</v>
          </cell>
        </row>
        <row r="1643">
          <cell r="A1643">
            <v>0</v>
          </cell>
          <cell r="B1643">
            <v>0</v>
          </cell>
          <cell r="C1643" t="str">
            <v>Nhân công</v>
          </cell>
          <cell r="D1643">
            <v>0</v>
          </cell>
          <cell r="E1643">
            <v>0</v>
          </cell>
          <cell r="F1643">
            <v>0</v>
          </cell>
          <cell r="G1643">
            <v>0</v>
          </cell>
          <cell r="H1643">
            <v>0</v>
          </cell>
          <cell r="I1643">
            <v>0</v>
          </cell>
        </row>
        <row r="1644">
          <cell r="A1644">
            <v>0</v>
          </cell>
          <cell r="B1644" t="str">
            <v>KS5</v>
          </cell>
          <cell r="C1644" t="str">
            <v>Kỹ sư bậc 5,0/8</v>
          </cell>
          <cell r="D1644" t="str">
            <v>công</v>
          </cell>
          <cell r="E1644">
            <v>2.64</v>
          </cell>
          <cell r="F1644">
            <v>259007.14285714287</v>
          </cell>
          <cell r="G1644">
            <v>0</v>
          </cell>
          <cell r="H1644">
            <v>683778.85714285716</v>
          </cell>
          <cell r="I1644">
            <v>0</v>
          </cell>
        </row>
        <row r="1645">
          <cell r="A1645">
            <v>0</v>
          </cell>
          <cell r="B1645">
            <v>0</v>
          </cell>
          <cell r="C1645" t="str">
            <v>Máy thi công</v>
          </cell>
          <cell r="D1645">
            <v>0</v>
          </cell>
          <cell r="E1645">
            <v>0</v>
          </cell>
          <cell r="F1645">
            <v>0</v>
          </cell>
          <cell r="G1645">
            <v>0</v>
          </cell>
          <cell r="H1645">
            <v>0</v>
          </cell>
          <cell r="I1645">
            <v>0</v>
          </cell>
        </row>
        <row r="1646">
          <cell r="A1646">
            <v>0</v>
          </cell>
          <cell r="B1646" t="str">
            <v>M203.0025</v>
          </cell>
          <cell r="C1646" t="str">
            <v>Megôm met</v>
          </cell>
          <cell r="D1646" t="str">
            <v>ca</v>
          </cell>
          <cell r="E1646">
            <v>4.8000000000000001E-2</v>
          </cell>
          <cell r="F1646">
            <v>40127.500000000007</v>
          </cell>
          <cell r="G1646">
            <v>0</v>
          </cell>
          <cell r="H1646">
            <v>0</v>
          </cell>
          <cell r="I1646">
            <v>1926.1200000000003</v>
          </cell>
        </row>
        <row r="1647">
          <cell r="A1647">
            <v>0</v>
          </cell>
          <cell r="B1647" t="str">
            <v>M203.0008</v>
          </cell>
          <cell r="C1647" t="str">
            <v>Hợp bộ thí nghiệm rơ le</v>
          </cell>
          <cell r="D1647" t="str">
            <v>ca</v>
          </cell>
          <cell r="E1647">
            <v>0.16600000000000001</v>
          </cell>
          <cell r="F1647">
            <v>760420.34090909106</v>
          </cell>
          <cell r="G1647">
            <v>0</v>
          </cell>
          <cell r="H1647">
            <v>0</v>
          </cell>
          <cell r="I1647">
            <v>126229.77659090912</v>
          </cell>
        </row>
        <row r="1648">
          <cell r="A1648" t="str">
            <v>ED.15020</v>
          </cell>
          <cell r="B1648">
            <v>0</v>
          </cell>
          <cell r="C1648" t="str">
            <v>Thí nghiệm Rơle công suất U2,I2; U0,I0 - kỹ thuật số</v>
          </cell>
          <cell r="D1648" t="str">
            <v>bộ</v>
          </cell>
          <cell r="E1648">
            <v>0</v>
          </cell>
          <cell r="F1648">
            <v>0</v>
          </cell>
          <cell r="G1648">
            <v>3062.01</v>
          </cell>
          <cell r="H1648">
            <v>569815.71428571432</v>
          </cell>
          <cell r="I1648">
            <v>106543.10704545458</v>
          </cell>
        </row>
        <row r="1649">
          <cell r="A1649">
            <v>0</v>
          </cell>
          <cell r="B1649">
            <v>0</v>
          </cell>
          <cell r="C1649" t="str">
            <v>Vật liệu</v>
          </cell>
          <cell r="D1649">
            <v>0</v>
          </cell>
          <cell r="E1649">
            <v>0</v>
          </cell>
          <cell r="F1649">
            <v>0</v>
          </cell>
          <cell r="G1649">
            <v>0</v>
          </cell>
          <cell r="H1649">
            <v>0</v>
          </cell>
          <cell r="I1649">
            <v>0</v>
          </cell>
        </row>
        <row r="1650">
          <cell r="A1650">
            <v>0</v>
          </cell>
          <cell r="B1650" t="str">
            <v>VL221</v>
          </cell>
          <cell r="C1650" t="str">
            <v>Điện năng</v>
          </cell>
          <cell r="D1650" t="str">
            <v>Kwh</v>
          </cell>
          <cell r="E1650">
            <v>1</v>
          </cell>
          <cell r="F1650">
            <v>1622.01</v>
          </cell>
          <cell r="G1650">
            <v>1622.01</v>
          </cell>
          <cell r="H1650">
            <v>0</v>
          </cell>
          <cell r="I1650">
            <v>0</v>
          </cell>
        </row>
        <row r="1651">
          <cell r="A1651">
            <v>0</v>
          </cell>
          <cell r="B1651" t="str">
            <v>VL188</v>
          </cell>
          <cell r="C1651" t="str">
            <v>Vải phin trắng 0,8m</v>
          </cell>
          <cell r="D1651" t="str">
            <v>m</v>
          </cell>
          <cell r="E1651">
            <v>0.08</v>
          </cell>
          <cell r="F1651">
            <v>8000</v>
          </cell>
          <cell r="G1651">
            <v>640</v>
          </cell>
          <cell r="H1651">
            <v>0</v>
          </cell>
          <cell r="I1651">
            <v>0</v>
          </cell>
        </row>
        <row r="1652">
          <cell r="A1652">
            <v>0</v>
          </cell>
          <cell r="B1652" t="str">
            <v>VL177</v>
          </cell>
          <cell r="C1652" t="str">
            <v>Cồn công nghiệp</v>
          </cell>
          <cell r="D1652" t="str">
            <v>kg</v>
          </cell>
          <cell r="E1652">
            <v>0.04</v>
          </cell>
          <cell r="F1652">
            <v>20000</v>
          </cell>
          <cell r="G1652">
            <v>800</v>
          </cell>
          <cell r="H1652">
            <v>0</v>
          </cell>
          <cell r="I1652">
            <v>0</v>
          </cell>
        </row>
        <row r="1653">
          <cell r="A1653">
            <v>0</v>
          </cell>
          <cell r="B1653">
            <v>0</v>
          </cell>
          <cell r="C1653" t="str">
            <v>Nhân công</v>
          </cell>
          <cell r="D1653">
            <v>0</v>
          </cell>
          <cell r="E1653">
            <v>0</v>
          </cell>
          <cell r="F1653">
            <v>0</v>
          </cell>
          <cell r="G1653">
            <v>0</v>
          </cell>
          <cell r="H1653">
            <v>0</v>
          </cell>
          <cell r="I1653">
            <v>0</v>
          </cell>
        </row>
        <row r="1654">
          <cell r="A1654">
            <v>0</v>
          </cell>
          <cell r="B1654" t="str">
            <v>KS5</v>
          </cell>
          <cell r="C1654" t="str">
            <v>Kỹ sư bậc 5,0/8</v>
          </cell>
          <cell r="D1654" t="str">
            <v>công</v>
          </cell>
          <cell r="E1654">
            <v>2.2000000000000002</v>
          </cell>
          <cell r="F1654">
            <v>259007.14285714287</v>
          </cell>
          <cell r="G1654">
            <v>0</v>
          </cell>
          <cell r="H1654">
            <v>569815.71428571432</v>
          </cell>
          <cell r="I1654">
            <v>0</v>
          </cell>
        </row>
        <row r="1655">
          <cell r="A1655">
            <v>0</v>
          </cell>
          <cell r="B1655">
            <v>0</v>
          </cell>
          <cell r="C1655" t="str">
            <v>Máy thi công</v>
          </cell>
          <cell r="D1655">
            <v>0</v>
          </cell>
          <cell r="E1655">
            <v>0</v>
          </cell>
          <cell r="F1655">
            <v>0</v>
          </cell>
          <cell r="G1655">
            <v>0</v>
          </cell>
          <cell r="H1655">
            <v>0</v>
          </cell>
          <cell r="I1655">
            <v>0</v>
          </cell>
        </row>
        <row r="1656">
          <cell r="A1656">
            <v>0</v>
          </cell>
          <cell r="B1656" t="str">
            <v>M203.0025</v>
          </cell>
          <cell r="C1656" t="str">
            <v>Megôm met</v>
          </cell>
          <cell r="D1656" t="str">
            <v>ca</v>
          </cell>
          <cell r="E1656">
            <v>0.04</v>
          </cell>
          <cell r="F1656">
            <v>40127.500000000007</v>
          </cell>
          <cell r="G1656">
            <v>0</v>
          </cell>
          <cell r="H1656">
            <v>0</v>
          </cell>
          <cell r="I1656">
            <v>1605.1000000000004</v>
          </cell>
        </row>
        <row r="1657">
          <cell r="A1657">
            <v>0</v>
          </cell>
          <cell r="B1657" t="str">
            <v>M203.0008</v>
          </cell>
          <cell r="C1657" t="str">
            <v>Hợp bộ thí nghiệm rơ le</v>
          </cell>
          <cell r="D1657" t="str">
            <v>ca</v>
          </cell>
          <cell r="E1657">
            <v>0.13800000000000001</v>
          </cell>
          <cell r="F1657">
            <v>760420.34090909106</v>
          </cell>
          <cell r="G1657">
            <v>0</v>
          </cell>
          <cell r="H1657">
            <v>0</v>
          </cell>
          <cell r="I1657">
            <v>104938.00704545458</v>
          </cell>
        </row>
        <row r="1658">
          <cell r="A1658" t="str">
            <v>ED.15030</v>
          </cell>
          <cell r="B1658">
            <v>0</v>
          </cell>
          <cell r="C1658" t="str">
            <v>Thí nghiệm Rơle tần số - điện từ, điện tử</v>
          </cell>
          <cell r="D1658" t="str">
            <v>bộ</v>
          </cell>
          <cell r="E1658">
            <v>0</v>
          </cell>
          <cell r="F1658">
            <v>0</v>
          </cell>
          <cell r="G1658">
            <v>3422.01</v>
          </cell>
          <cell r="H1658">
            <v>546505.07142857148</v>
          </cell>
          <cell r="I1658">
            <v>102660.75034090912</v>
          </cell>
        </row>
        <row r="1659">
          <cell r="A1659">
            <v>0</v>
          </cell>
          <cell r="B1659">
            <v>0</v>
          </cell>
          <cell r="C1659" t="str">
            <v>Vật liệu</v>
          </cell>
          <cell r="D1659">
            <v>0</v>
          </cell>
          <cell r="E1659">
            <v>0</v>
          </cell>
          <cell r="F1659">
            <v>0</v>
          </cell>
          <cell r="G1659">
            <v>0</v>
          </cell>
          <cell r="H1659">
            <v>0</v>
          </cell>
          <cell r="I1659">
            <v>0</v>
          </cell>
        </row>
        <row r="1660">
          <cell r="A1660">
            <v>0</v>
          </cell>
          <cell r="B1660" t="str">
            <v>VL221</v>
          </cell>
          <cell r="C1660" t="str">
            <v>Điện năng</v>
          </cell>
          <cell r="D1660" t="str">
            <v>Kwh</v>
          </cell>
          <cell r="E1660">
            <v>1</v>
          </cell>
          <cell r="F1660">
            <v>1622.01</v>
          </cell>
          <cell r="G1660">
            <v>1622.01</v>
          </cell>
          <cell r="H1660">
            <v>0</v>
          </cell>
          <cell r="I1660">
            <v>0</v>
          </cell>
        </row>
        <row r="1661">
          <cell r="A1661">
            <v>0</v>
          </cell>
          <cell r="B1661" t="str">
            <v>VL188</v>
          </cell>
          <cell r="C1661" t="str">
            <v>Vải phin trắng 0,8m</v>
          </cell>
          <cell r="D1661" t="str">
            <v>m</v>
          </cell>
          <cell r="E1661">
            <v>0.1</v>
          </cell>
          <cell r="F1661">
            <v>8000</v>
          </cell>
          <cell r="G1661">
            <v>800</v>
          </cell>
          <cell r="H1661">
            <v>0</v>
          </cell>
          <cell r="I1661">
            <v>0</v>
          </cell>
        </row>
        <row r="1662">
          <cell r="A1662">
            <v>0</v>
          </cell>
          <cell r="B1662" t="str">
            <v>VL177</v>
          </cell>
          <cell r="C1662" t="str">
            <v>Cồn công nghiệp</v>
          </cell>
          <cell r="D1662" t="str">
            <v>kg</v>
          </cell>
          <cell r="E1662">
            <v>0.05</v>
          </cell>
          <cell r="F1662">
            <v>20000</v>
          </cell>
          <cell r="G1662">
            <v>1000</v>
          </cell>
          <cell r="H1662">
            <v>0</v>
          </cell>
          <cell r="I1662">
            <v>0</v>
          </cell>
        </row>
        <row r="1663">
          <cell r="A1663">
            <v>0</v>
          </cell>
          <cell r="B1663">
            <v>0</v>
          </cell>
          <cell r="C1663" t="str">
            <v>Nhân công</v>
          </cell>
          <cell r="D1663">
            <v>0</v>
          </cell>
          <cell r="E1663">
            <v>0</v>
          </cell>
          <cell r="F1663">
            <v>0</v>
          </cell>
          <cell r="G1663">
            <v>0</v>
          </cell>
          <cell r="H1663">
            <v>0</v>
          </cell>
          <cell r="I1663">
            <v>0</v>
          </cell>
        </row>
        <row r="1664">
          <cell r="A1664">
            <v>0</v>
          </cell>
          <cell r="B1664" t="str">
            <v>KS5</v>
          </cell>
          <cell r="C1664" t="str">
            <v>Kỹ sư bậc 5,0/8</v>
          </cell>
          <cell r="D1664" t="str">
            <v>công</v>
          </cell>
          <cell r="E1664">
            <v>2.11</v>
          </cell>
          <cell r="F1664">
            <v>259007.14285714287</v>
          </cell>
          <cell r="G1664">
            <v>0</v>
          </cell>
          <cell r="H1664">
            <v>546505.07142857148</v>
          </cell>
          <cell r="I1664">
            <v>0</v>
          </cell>
        </row>
        <row r="1665">
          <cell r="A1665">
            <v>0</v>
          </cell>
          <cell r="B1665">
            <v>0</v>
          </cell>
          <cell r="C1665" t="str">
            <v>Máy thi công</v>
          </cell>
          <cell r="D1665">
            <v>0</v>
          </cell>
          <cell r="E1665">
            <v>0</v>
          </cell>
          <cell r="F1665">
            <v>0</v>
          </cell>
          <cell r="G1665">
            <v>0</v>
          </cell>
          <cell r="H1665">
            <v>0</v>
          </cell>
          <cell r="I1665">
            <v>0</v>
          </cell>
        </row>
        <row r="1666">
          <cell r="A1666">
            <v>0</v>
          </cell>
          <cell r="B1666" t="str">
            <v>M203.0025</v>
          </cell>
          <cell r="C1666" t="str">
            <v>Megôm met</v>
          </cell>
          <cell r="D1666" t="str">
            <v>ca</v>
          </cell>
          <cell r="E1666">
            <v>3.7999999999999999E-2</v>
          </cell>
          <cell r="F1666">
            <v>40127.500000000007</v>
          </cell>
          <cell r="G1666">
            <v>0</v>
          </cell>
          <cell r="H1666">
            <v>0</v>
          </cell>
          <cell r="I1666">
            <v>1524.8450000000003</v>
          </cell>
        </row>
        <row r="1667">
          <cell r="A1667">
            <v>0</v>
          </cell>
          <cell r="B1667" t="str">
            <v>M203.0008</v>
          </cell>
          <cell r="C1667" t="str">
            <v>Hợp bộ thí nghiệm rơ le</v>
          </cell>
          <cell r="D1667" t="str">
            <v>ca</v>
          </cell>
          <cell r="E1667">
            <v>0.13300000000000001</v>
          </cell>
          <cell r="F1667">
            <v>760420.34090909106</v>
          </cell>
          <cell r="G1667">
            <v>0</v>
          </cell>
          <cell r="H1667">
            <v>0</v>
          </cell>
          <cell r="I1667">
            <v>101135.90534090911</v>
          </cell>
        </row>
        <row r="1668">
          <cell r="A1668" t="str">
            <v>ED.15040</v>
          </cell>
          <cell r="B1668">
            <v>0</v>
          </cell>
          <cell r="C1668" t="str">
            <v>Thí nghiệm Rơle tần số - kỹ thuật số</v>
          </cell>
          <cell r="D1668" t="str">
            <v>bộ</v>
          </cell>
          <cell r="E1668">
            <v>0</v>
          </cell>
          <cell r="F1668">
            <v>0</v>
          </cell>
          <cell r="G1668">
            <v>2251.0050000000001</v>
          </cell>
          <cell r="H1668">
            <v>455852.57142857148</v>
          </cell>
          <cell r="I1668">
            <v>85690.737840909103</v>
          </cell>
        </row>
        <row r="1669">
          <cell r="A1669">
            <v>0</v>
          </cell>
          <cell r="B1669">
            <v>0</v>
          </cell>
          <cell r="C1669" t="str">
            <v>Vật liệu</v>
          </cell>
          <cell r="D1669">
            <v>0</v>
          </cell>
          <cell r="E1669">
            <v>0</v>
          </cell>
          <cell r="F1669">
            <v>0</v>
          </cell>
          <cell r="G1669">
            <v>0</v>
          </cell>
          <cell r="H1669">
            <v>0</v>
          </cell>
          <cell r="I1669">
            <v>0</v>
          </cell>
        </row>
        <row r="1670">
          <cell r="A1670">
            <v>0</v>
          </cell>
          <cell r="B1670" t="str">
            <v>VL221</v>
          </cell>
          <cell r="C1670" t="str">
            <v>Điện năng</v>
          </cell>
          <cell r="D1670" t="str">
            <v>Kwh</v>
          </cell>
          <cell r="E1670">
            <v>0.5</v>
          </cell>
          <cell r="F1670">
            <v>1622.01</v>
          </cell>
          <cell r="G1670">
            <v>811.005</v>
          </cell>
          <cell r="H1670">
            <v>0</v>
          </cell>
          <cell r="I1670">
            <v>0</v>
          </cell>
        </row>
        <row r="1671">
          <cell r="A1671">
            <v>0</v>
          </cell>
          <cell r="B1671" t="str">
            <v>VL188</v>
          </cell>
          <cell r="C1671" t="str">
            <v>Vải phin trắng 0,8m</v>
          </cell>
          <cell r="D1671" t="str">
            <v>m</v>
          </cell>
          <cell r="E1671">
            <v>0.08</v>
          </cell>
          <cell r="F1671">
            <v>8000</v>
          </cell>
          <cell r="G1671">
            <v>640</v>
          </cell>
          <cell r="H1671">
            <v>0</v>
          </cell>
          <cell r="I1671">
            <v>0</v>
          </cell>
        </row>
        <row r="1672">
          <cell r="A1672">
            <v>0</v>
          </cell>
          <cell r="B1672" t="str">
            <v>VL177</v>
          </cell>
          <cell r="C1672" t="str">
            <v>Cồn công nghiệp</v>
          </cell>
          <cell r="D1672" t="str">
            <v>kg</v>
          </cell>
          <cell r="E1672">
            <v>0.04</v>
          </cell>
          <cell r="F1672">
            <v>20000</v>
          </cell>
          <cell r="G1672">
            <v>800</v>
          </cell>
          <cell r="H1672">
            <v>0</v>
          </cell>
          <cell r="I1672">
            <v>0</v>
          </cell>
        </row>
        <row r="1673">
          <cell r="A1673">
            <v>0</v>
          </cell>
          <cell r="B1673">
            <v>0</v>
          </cell>
          <cell r="C1673" t="str">
            <v>Nhân công</v>
          </cell>
          <cell r="D1673">
            <v>0</v>
          </cell>
          <cell r="E1673">
            <v>0</v>
          </cell>
          <cell r="F1673">
            <v>0</v>
          </cell>
          <cell r="G1673">
            <v>0</v>
          </cell>
          <cell r="H1673">
            <v>0</v>
          </cell>
          <cell r="I1673">
            <v>0</v>
          </cell>
        </row>
        <row r="1674">
          <cell r="A1674">
            <v>0</v>
          </cell>
          <cell r="B1674" t="str">
            <v>KS5</v>
          </cell>
          <cell r="C1674" t="str">
            <v>Kỹ sư bậc 5,0/8</v>
          </cell>
          <cell r="D1674" t="str">
            <v>công</v>
          </cell>
          <cell r="E1674">
            <v>1.76</v>
          </cell>
          <cell r="F1674">
            <v>259007.14285714287</v>
          </cell>
          <cell r="G1674">
            <v>0</v>
          </cell>
          <cell r="H1674">
            <v>455852.57142857148</v>
          </cell>
          <cell r="I1674">
            <v>0</v>
          </cell>
        </row>
        <row r="1675">
          <cell r="A1675">
            <v>0</v>
          </cell>
          <cell r="B1675">
            <v>0</v>
          </cell>
          <cell r="C1675" t="str">
            <v>Máy thi công</v>
          </cell>
          <cell r="D1675">
            <v>0</v>
          </cell>
          <cell r="E1675">
            <v>0</v>
          </cell>
          <cell r="F1675">
            <v>0</v>
          </cell>
          <cell r="G1675">
            <v>0</v>
          </cell>
          <cell r="H1675">
            <v>0</v>
          </cell>
          <cell r="I1675">
            <v>0</v>
          </cell>
        </row>
        <row r="1676">
          <cell r="A1676">
            <v>0</v>
          </cell>
          <cell r="B1676" t="str">
            <v>M203.0025</v>
          </cell>
          <cell r="C1676" t="str">
            <v>Megôm met</v>
          </cell>
          <cell r="D1676" t="str">
            <v>ca</v>
          </cell>
          <cell r="E1676">
            <v>3.2000000000000001E-2</v>
          </cell>
          <cell r="F1676">
            <v>40127.500000000007</v>
          </cell>
          <cell r="G1676">
            <v>0</v>
          </cell>
          <cell r="H1676">
            <v>0</v>
          </cell>
          <cell r="I1676">
            <v>1284.0800000000002</v>
          </cell>
        </row>
        <row r="1677">
          <cell r="A1677">
            <v>0</v>
          </cell>
          <cell r="B1677" t="str">
            <v>M203.0008</v>
          </cell>
          <cell r="C1677" t="str">
            <v>Hợp bộ thí nghiệm rơ le</v>
          </cell>
          <cell r="D1677" t="str">
            <v>ca</v>
          </cell>
          <cell r="E1677">
            <v>0.111</v>
          </cell>
          <cell r="F1677">
            <v>760420.34090909106</v>
          </cell>
          <cell r="G1677">
            <v>0</v>
          </cell>
          <cell r="H1677">
            <v>0</v>
          </cell>
          <cell r="I1677">
            <v>84406.657840909102</v>
          </cell>
        </row>
        <row r="1678">
          <cell r="A1678" t="str">
            <v>ED.16010</v>
          </cell>
          <cell r="B1678">
            <v>0</v>
          </cell>
          <cell r="C1678" t="str">
            <v>Thí nghiệm Rơle cắt (đầu ra) - điện từ, điện tử</v>
          </cell>
          <cell r="D1678" t="str">
            <v>bộ</v>
          </cell>
          <cell r="E1678">
            <v>0</v>
          </cell>
          <cell r="F1678">
            <v>0</v>
          </cell>
          <cell r="G1678">
            <v>2088.8040000000001</v>
          </cell>
          <cell r="H1678">
            <v>150224.14285714284</v>
          </cell>
          <cell r="I1678">
            <v>60478.486250000016</v>
          </cell>
        </row>
        <row r="1679">
          <cell r="A1679">
            <v>0</v>
          </cell>
          <cell r="B1679">
            <v>0</v>
          </cell>
          <cell r="C1679" t="str">
            <v>Vật liệu</v>
          </cell>
          <cell r="D1679">
            <v>0</v>
          </cell>
          <cell r="E1679">
            <v>0</v>
          </cell>
          <cell r="F1679">
            <v>0</v>
          </cell>
          <cell r="G1679">
            <v>0</v>
          </cell>
          <cell r="H1679">
            <v>0</v>
          </cell>
          <cell r="I1679">
            <v>0</v>
          </cell>
        </row>
        <row r="1680">
          <cell r="A1680">
            <v>0</v>
          </cell>
          <cell r="B1680" t="str">
            <v>VL221</v>
          </cell>
          <cell r="C1680" t="str">
            <v>Điện năng</v>
          </cell>
          <cell r="D1680" t="str">
            <v>Kwh</v>
          </cell>
          <cell r="E1680">
            <v>0.4</v>
          </cell>
          <cell r="F1680">
            <v>1622.01</v>
          </cell>
          <cell r="G1680">
            <v>648.80400000000009</v>
          </cell>
          <cell r="H1680">
            <v>0</v>
          </cell>
          <cell r="I1680">
            <v>0</v>
          </cell>
        </row>
        <row r="1681">
          <cell r="A1681">
            <v>0</v>
          </cell>
          <cell r="B1681" t="str">
            <v>VL188</v>
          </cell>
          <cell r="C1681" t="str">
            <v>Vải phin trắng 0,8m</v>
          </cell>
          <cell r="D1681" t="str">
            <v>m</v>
          </cell>
          <cell r="E1681">
            <v>0.08</v>
          </cell>
          <cell r="F1681">
            <v>8000</v>
          </cell>
          <cell r="G1681">
            <v>640</v>
          </cell>
          <cell r="H1681">
            <v>0</v>
          </cell>
          <cell r="I1681">
            <v>0</v>
          </cell>
        </row>
        <row r="1682">
          <cell r="A1682">
            <v>0</v>
          </cell>
          <cell r="B1682" t="str">
            <v>VL177</v>
          </cell>
          <cell r="C1682" t="str">
            <v>Cồn công nghiệp</v>
          </cell>
          <cell r="D1682" t="str">
            <v>kg</v>
          </cell>
          <cell r="E1682">
            <v>0.04</v>
          </cell>
          <cell r="F1682">
            <v>20000</v>
          </cell>
          <cell r="G1682">
            <v>800</v>
          </cell>
          <cell r="H1682">
            <v>0</v>
          </cell>
          <cell r="I1682">
            <v>0</v>
          </cell>
        </row>
        <row r="1683">
          <cell r="A1683">
            <v>0</v>
          </cell>
          <cell r="B1683">
            <v>0</v>
          </cell>
          <cell r="C1683" t="str">
            <v>Nhân công</v>
          </cell>
          <cell r="D1683">
            <v>0</v>
          </cell>
          <cell r="E1683">
            <v>0</v>
          </cell>
          <cell r="F1683">
            <v>0</v>
          </cell>
          <cell r="G1683">
            <v>0</v>
          </cell>
          <cell r="H1683">
            <v>0</v>
          </cell>
          <cell r="I1683">
            <v>0</v>
          </cell>
        </row>
        <row r="1684">
          <cell r="A1684">
            <v>0</v>
          </cell>
          <cell r="B1684" t="str">
            <v>KS5</v>
          </cell>
          <cell r="C1684" t="str">
            <v>Kỹ sư bậc 5,0/8</v>
          </cell>
          <cell r="D1684" t="str">
            <v>công</v>
          </cell>
          <cell r="E1684">
            <v>0.57999999999999996</v>
          </cell>
          <cell r="F1684">
            <v>259007.14285714287</v>
          </cell>
          <cell r="G1684">
            <v>0</v>
          </cell>
          <cell r="H1684">
            <v>150224.14285714284</v>
          </cell>
          <cell r="I1684">
            <v>0</v>
          </cell>
        </row>
        <row r="1685">
          <cell r="A1685">
            <v>0</v>
          </cell>
          <cell r="B1685">
            <v>0</v>
          </cell>
          <cell r="C1685" t="str">
            <v>Máy thi công</v>
          </cell>
          <cell r="D1685">
            <v>0</v>
          </cell>
          <cell r="E1685">
            <v>0</v>
          </cell>
          <cell r="F1685">
            <v>0</v>
          </cell>
          <cell r="G1685">
            <v>0</v>
          </cell>
          <cell r="H1685">
            <v>0</v>
          </cell>
          <cell r="I1685">
            <v>0</v>
          </cell>
        </row>
        <row r="1686">
          <cell r="A1686">
            <v>0</v>
          </cell>
          <cell r="B1686" t="str">
            <v>M203.0025</v>
          </cell>
          <cell r="C1686" t="str">
            <v>Megôm met</v>
          </cell>
          <cell r="D1686" t="str">
            <v>ca</v>
          </cell>
          <cell r="E1686">
            <v>4.8000000000000001E-2</v>
          </cell>
          <cell r="F1686">
            <v>40127.500000000007</v>
          </cell>
          <cell r="G1686">
            <v>0</v>
          </cell>
          <cell r="H1686">
            <v>0</v>
          </cell>
          <cell r="I1686">
            <v>1926.1200000000003</v>
          </cell>
        </row>
        <row r="1687">
          <cell r="A1687">
            <v>0</v>
          </cell>
          <cell r="B1687" t="str">
            <v>M203.0008</v>
          </cell>
          <cell r="C1687" t="str">
            <v>Hợp bộ thí nghiệm rơ le</v>
          </cell>
          <cell r="D1687" t="str">
            <v>ca</v>
          </cell>
          <cell r="E1687">
            <v>7.6999999999999999E-2</v>
          </cell>
          <cell r="F1687">
            <v>760420.34090909106</v>
          </cell>
          <cell r="G1687">
            <v>0</v>
          </cell>
          <cell r="H1687">
            <v>0</v>
          </cell>
          <cell r="I1687">
            <v>58552.366250000014</v>
          </cell>
        </row>
        <row r="1688">
          <cell r="A1688" t="str">
            <v>ED.16020</v>
          </cell>
          <cell r="B1688">
            <v>0</v>
          </cell>
          <cell r="C1688" t="str">
            <v>Thí nghiệm Rơle cắt (đầu ra) - kỹ thuật số</v>
          </cell>
          <cell r="D1688" t="str">
            <v>bộ</v>
          </cell>
          <cell r="E1688">
            <v>0</v>
          </cell>
          <cell r="F1688">
            <v>0</v>
          </cell>
          <cell r="G1688">
            <v>1476.402</v>
          </cell>
          <cell r="H1688">
            <v>124323.42857142858</v>
          </cell>
          <cell r="I1688">
            <v>50272.00181818183</v>
          </cell>
        </row>
        <row r="1689">
          <cell r="A1689">
            <v>0</v>
          </cell>
          <cell r="B1689">
            <v>0</v>
          </cell>
          <cell r="C1689" t="str">
            <v>Vật liệu</v>
          </cell>
          <cell r="D1689">
            <v>0</v>
          </cell>
          <cell r="E1689">
            <v>0</v>
          </cell>
          <cell r="F1689">
            <v>0</v>
          </cell>
          <cell r="G1689">
            <v>0</v>
          </cell>
          <cell r="H1689">
            <v>0</v>
          </cell>
          <cell r="I1689">
            <v>0</v>
          </cell>
        </row>
        <row r="1690">
          <cell r="A1690">
            <v>0</v>
          </cell>
          <cell r="B1690" t="str">
            <v>VL221</v>
          </cell>
          <cell r="C1690" t="str">
            <v>Điện năng</v>
          </cell>
          <cell r="D1690" t="str">
            <v>Kwh</v>
          </cell>
          <cell r="E1690">
            <v>0.2</v>
          </cell>
          <cell r="F1690">
            <v>1622.01</v>
          </cell>
          <cell r="G1690">
            <v>324.40200000000004</v>
          </cell>
          <cell r="H1690">
            <v>0</v>
          </cell>
          <cell r="I1690">
            <v>0</v>
          </cell>
        </row>
        <row r="1691">
          <cell r="A1691">
            <v>0</v>
          </cell>
          <cell r="B1691" t="str">
            <v>VL188</v>
          </cell>
          <cell r="C1691" t="str">
            <v>Vải phin trắng 0,8m</v>
          </cell>
          <cell r="D1691" t="str">
            <v>m</v>
          </cell>
          <cell r="E1691">
            <v>6.4000000000000001E-2</v>
          </cell>
          <cell r="F1691">
            <v>8000</v>
          </cell>
          <cell r="G1691">
            <v>512</v>
          </cell>
          <cell r="H1691">
            <v>0</v>
          </cell>
          <cell r="I1691">
            <v>0</v>
          </cell>
        </row>
        <row r="1692">
          <cell r="A1692">
            <v>0</v>
          </cell>
          <cell r="B1692" t="str">
            <v>VL177</v>
          </cell>
          <cell r="C1692" t="str">
            <v>Cồn công nghiệp</v>
          </cell>
          <cell r="D1692" t="str">
            <v>kg</v>
          </cell>
          <cell r="E1692">
            <v>3.2000000000000001E-2</v>
          </cell>
          <cell r="F1692">
            <v>20000</v>
          </cell>
          <cell r="G1692">
            <v>640</v>
          </cell>
          <cell r="H1692">
            <v>0</v>
          </cell>
          <cell r="I1692">
            <v>0</v>
          </cell>
        </row>
        <row r="1693">
          <cell r="A1693">
            <v>0</v>
          </cell>
          <cell r="B1693">
            <v>0</v>
          </cell>
          <cell r="C1693" t="str">
            <v>Nhân công</v>
          </cell>
          <cell r="D1693">
            <v>0</v>
          </cell>
          <cell r="E1693">
            <v>0</v>
          </cell>
          <cell r="F1693">
            <v>0</v>
          </cell>
          <cell r="G1693">
            <v>0</v>
          </cell>
          <cell r="H1693">
            <v>0</v>
          </cell>
          <cell r="I1693">
            <v>0</v>
          </cell>
        </row>
        <row r="1694">
          <cell r="A1694">
            <v>0</v>
          </cell>
          <cell r="B1694" t="str">
            <v>KS5</v>
          </cell>
          <cell r="C1694" t="str">
            <v>Kỹ sư bậc 5,0/8</v>
          </cell>
          <cell r="D1694" t="str">
            <v>công</v>
          </cell>
          <cell r="E1694">
            <v>0.48</v>
          </cell>
          <cell r="F1694">
            <v>259007.14285714287</v>
          </cell>
          <cell r="G1694">
            <v>0</v>
          </cell>
          <cell r="H1694">
            <v>124323.42857142858</v>
          </cell>
          <cell r="I1694">
            <v>0</v>
          </cell>
        </row>
        <row r="1695">
          <cell r="A1695">
            <v>0</v>
          </cell>
          <cell r="B1695">
            <v>0</v>
          </cell>
          <cell r="C1695" t="str">
            <v>Máy thi công</v>
          </cell>
          <cell r="D1695">
            <v>0</v>
          </cell>
          <cell r="E1695">
            <v>0</v>
          </cell>
          <cell r="F1695">
            <v>0</v>
          </cell>
          <cell r="G1695">
            <v>0</v>
          </cell>
          <cell r="H1695">
            <v>0</v>
          </cell>
          <cell r="I1695">
            <v>0</v>
          </cell>
        </row>
        <row r="1696">
          <cell r="A1696">
            <v>0</v>
          </cell>
          <cell r="B1696" t="str">
            <v>M203.0025</v>
          </cell>
          <cell r="C1696" t="str">
            <v>Megôm met</v>
          </cell>
          <cell r="D1696" t="str">
            <v>ca</v>
          </cell>
          <cell r="E1696">
            <v>0.04</v>
          </cell>
          <cell r="F1696">
            <v>40127.500000000007</v>
          </cell>
          <cell r="G1696">
            <v>0</v>
          </cell>
          <cell r="H1696">
            <v>0</v>
          </cell>
          <cell r="I1696">
            <v>1605.1000000000004</v>
          </cell>
        </row>
        <row r="1697">
          <cell r="A1697">
            <v>0</v>
          </cell>
          <cell r="B1697" t="str">
            <v>M203.0008</v>
          </cell>
          <cell r="C1697" t="str">
            <v>Hợp bộ thí nghiệm rơ le</v>
          </cell>
          <cell r="D1697" t="str">
            <v>ca</v>
          </cell>
          <cell r="E1697">
            <v>6.4000000000000001E-2</v>
          </cell>
          <cell r="F1697">
            <v>760420.34090909106</v>
          </cell>
          <cell r="G1697">
            <v>0</v>
          </cell>
          <cell r="H1697">
            <v>0</v>
          </cell>
          <cell r="I1697">
            <v>48666.901818181832</v>
          </cell>
        </row>
        <row r="1698">
          <cell r="A1698" t="str">
            <v>ED.16030</v>
          </cell>
          <cell r="B1698">
            <v>0</v>
          </cell>
          <cell r="C1698" t="str">
            <v>Thí nghiệm Rơle chống hư hỏng máy cắt - điện từ, điện tử</v>
          </cell>
          <cell r="D1698" t="str">
            <v>bộ</v>
          </cell>
          <cell r="E1698">
            <v>0</v>
          </cell>
          <cell r="F1698">
            <v>0</v>
          </cell>
          <cell r="G1698">
            <v>2413.2060000000001</v>
          </cell>
          <cell r="H1698">
            <v>422181.64285714284</v>
          </cell>
          <cell r="I1698">
            <v>90337.519204545475</v>
          </cell>
        </row>
        <row r="1699">
          <cell r="A1699">
            <v>0</v>
          </cell>
          <cell r="B1699">
            <v>0</v>
          </cell>
          <cell r="C1699" t="str">
            <v>Vật liệu</v>
          </cell>
          <cell r="D1699">
            <v>0</v>
          </cell>
          <cell r="E1699">
            <v>0</v>
          </cell>
          <cell r="F1699">
            <v>0</v>
          </cell>
          <cell r="G1699">
            <v>0</v>
          </cell>
          <cell r="H1699">
            <v>0</v>
          </cell>
          <cell r="I1699">
            <v>0</v>
          </cell>
        </row>
        <row r="1700">
          <cell r="A1700">
            <v>0</v>
          </cell>
          <cell r="B1700" t="str">
            <v>VL221</v>
          </cell>
          <cell r="C1700" t="str">
            <v>Điện năng</v>
          </cell>
          <cell r="D1700" t="str">
            <v>Kwh</v>
          </cell>
          <cell r="E1700">
            <v>0.6</v>
          </cell>
          <cell r="F1700">
            <v>1622.01</v>
          </cell>
          <cell r="G1700">
            <v>973.2059999999999</v>
          </cell>
          <cell r="H1700">
            <v>0</v>
          </cell>
          <cell r="I1700">
            <v>0</v>
          </cell>
        </row>
        <row r="1701">
          <cell r="A1701">
            <v>0</v>
          </cell>
          <cell r="B1701" t="str">
            <v>VL188</v>
          </cell>
          <cell r="C1701" t="str">
            <v>Vải phin trắng 0,8m</v>
          </cell>
          <cell r="D1701" t="str">
            <v>m</v>
          </cell>
          <cell r="E1701">
            <v>0.08</v>
          </cell>
          <cell r="F1701">
            <v>8000</v>
          </cell>
          <cell r="G1701">
            <v>640</v>
          </cell>
          <cell r="H1701">
            <v>0</v>
          </cell>
          <cell r="I1701">
            <v>0</v>
          </cell>
        </row>
        <row r="1702">
          <cell r="A1702">
            <v>0</v>
          </cell>
          <cell r="B1702" t="str">
            <v>VL177</v>
          </cell>
          <cell r="C1702" t="str">
            <v>Cồn công nghiệp</v>
          </cell>
          <cell r="D1702" t="str">
            <v>kg</v>
          </cell>
          <cell r="E1702">
            <v>0.04</v>
          </cell>
          <cell r="F1702">
            <v>20000</v>
          </cell>
          <cell r="G1702">
            <v>800</v>
          </cell>
          <cell r="H1702">
            <v>0</v>
          </cell>
          <cell r="I1702">
            <v>0</v>
          </cell>
        </row>
        <row r="1703">
          <cell r="A1703">
            <v>0</v>
          </cell>
          <cell r="B1703">
            <v>0</v>
          </cell>
          <cell r="C1703" t="str">
            <v>Nhân công</v>
          </cell>
          <cell r="D1703">
            <v>0</v>
          </cell>
          <cell r="E1703">
            <v>0</v>
          </cell>
          <cell r="F1703">
            <v>0</v>
          </cell>
          <cell r="G1703">
            <v>0</v>
          </cell>
          <cell r="H1703">
            <v>0</v>
          </cell>
          <cell r="I1703">
            <v>0</v>
          </cell>
        </row>
        <row r="1704">
          <cell r="A1704">
            <v>0</v>
          </cell>
          <cell r="B1704" t="str">
            <v>KS5</v>
          </cell>
          <cell r="C1704" t="str">
            <v>Kỹ sư bậc 5,0/8</v>
          </cell>
          <cell r="D1704" t="str">
            <v>công</v>
          </cell>
          <cell r="E1704">
            <v>1.63</v>
          </cell>
          <cell r="F1704">
            <v>259007.14285714287</v>
          </cell>
          <cell r="G1704">
            <v>0</v>
          </cell>
          <cell r="H1704">
            <v>422181.64285714284</v>
          </cell>
          <cell r="I1704">
            <v>0</v>
          </cell>
        </row>
        <row r="1705">
          <cell r="A1705">
            <v>0</v>
          </cell>
          <cell r="B1705">
            <v>0</v>
          </cell>
          <cell r="C1705" t="str">
            <v>Máy thi công</v>
          </cell>
          <cell r="D1705">
            <v>0</v>
          </cell>
          <cell r="E1705">
            <v>0</v>
          </cell>
          <cell r="F1705">
            <v>0</v>
          </cell>
          <cell r="G1705">
            <v>0</v>
          </cell>
          <cell r="H1705">
            <v>0</v>
          </cell>
          <cell r="I1705">
            <v>0</v>
          </cell>
        </row>
        <row r="1706">
          <cell r="A1706">
            <v>0</v>
          </cell>
          <cell r="B1706" t="str">
            <v>M203.0025</v>
          </cell>
          <cell r="C1706" t="str">
            <v>Megôm met</v>
          </cell>
          <cell r="D1706" t="str">
            <v>ca</v>
          </cell>
          <cell r="E1706">
            <v>7.1999999999999995E-2</v>
          </cell>
          <cell r="F1706">
            <v>40127.500000000007</v>
          </cell>
          <cell r="G1706">
            <v>0</v>
          </cell>
          <cell r="H1706">
            <v>0</v>
          </cell>
          <cell r="I1706">
            <v>2889.1800000000003</v>
          </cell>
        </row>
        <row r="1707">
          <cell r="A1707">
            <v>0</v>
          </cell>
          <cell r="B1707" t="str">
            <v>M203.0008</v>
          </cell>
          <cell r="C1707" t="str">
            <v>Hợp bộ thí nghiệm rơ le</v>
          </cell>
          <cell r="D1707" t="str">
            <v>ca</v>
          </cell>
          <cell r="E1707">
            <v>0.115</v>
          </cell>
          <cell r="F1707">
            <v>760420.34090909106</v>
          </cell>
          <cell r="G1707">
            <v>0</v>
          </cell>
          <cell r="H1707">
            <v>0</v>
          </cell>
          <cell r="I1707">
            <v>87448.339204545482</v>
          </cell>
        </row>
        <row r="1708">
          <cell r="A1708" t="str">
            <v>ED.16040</v>
          </cell>
          <cell r="B1708">
            <v>0</v>
          </cell>
          <cell r="C1708" t="str">
            <v>Thí nghiệm Rơle chống hư hỏng máy cắt - kỹ thuật số</v>
          </cell>
          <cell r="D1708" t="str">
            <v>bộ</v>
          </cell>
          <cell r="E1708">
            <v>0</v>
          </cell>
          <cell r="F1708">
            <v>0</v>
          </cell>
          <cell r="G1708">
            <v>1638.6030000000001</v>
          </cell>
          <cell r="H1708">
            <v>352249.71428571432</v>
          </cell>
          <cell r="I1708">
            <v>75408.002727272731</v>
          </cell>
        </row>
        <row r="1709">
          <cell r="A1709">
            <v>0</v>
          </cell>
          <cell r="B1709">
            <v>0</v>
          </cell>
          <cell r="C1709" t="str">
            <v>Vật liệu</v>
          </cell>
          <cell r="D1709">
            <v>0</v>
          </cell>
          <cell r="E1709">
            <v>0</v>
          </cell>
          <cell r="F1709">
            <v>0</v>
          </cell>
          <cell r="G1709">
            <v>0</v>
          </cell>
          <cell r="H1709">
            <v>0</v>
          </cell>
          <cell r="I1709">
            <v>0</v>
          </cell>
        </row>
        <row r="1710">
          <cell r="A1710">
            <v>0</v>
          </cell>
          <cell r="B1710" t="str">
            <v>VL221</v>
          </cell>
          <cell r="C1710" t="str">
            <v>Điện năng</v>
          </cell>
          <cell r="D1710" t="str">
            <v>Kwh</v>
          </cell>
          <cell r="E1710">
            <v>0.3</v>
          </cell>
          <cell r="F1710">
            <v>1622.01</v>
          </cell>
          <cell r="G1710">
            <v>486.60299999999995</v>
          </cell>
          <cell r="H1710">
            <v>0</v>
          </cell>
          <cell r="I1710">
            <v>0</v>
          </cell>
        </row>
        <row r="1711">
          <cell r="A1711">
            <v>0</v>
          </cell>
          <cell r="B1711" t="str">
            <v>VL188</v>
          </cell>
          <cell r="C1711" t="str">
            <v>Vải phin trắng 0,8m</v>
          </cell>
          <cell r="D1711" t="str">
            <v>m</v>
          </cell>
          <cell r="E1711">
            <v>6.4000000000000001E-2</v>
          </cell>
          <cell r="F1711">
            <v>8000</v>
          </cell>
          <cell r="G1711">
            <v>512</v>
          </cell>
          <cell r="H1711">
            <v>0</v>
          </cell>
          <cell r="I1711">
            <v>0</v>
          </cell>
        </row>
        <row r="1712">
          <cell r="A1712">
            <v>0</v>
          </cell>
          <cell r="B1712" t="str">
            <v>VL177</v>
          </cell>
          <cell r="C1712" t="str">
            <v>Cồn công nghiệp</v>
          </cell>
          <cell r="D1712" t="str">
            <v>kg</v>
          </cell>
          <cell r="E1712">
            <v>3.2000000000000001E-2</v>
          </cell>
          <cell r="F1712">
            <v>20000</v>
          </cell>
          <cell r="G1712">
            <v>640</v>
          </cell>
          <cell r="H1712">
            <v>0</v>
          </cell>
          <cell r="I1712">
            <v>0</v>
          </cell>
        </row>
        <row r="1713">
          <cell r="A1713">
            <v>0</v>
          </cell>
          <cell r="B1713">
            <v>0</v>
          </cell>
          <cell r="C1713" t="str">
            <v>Nhân công</v>
          </cell>
          <cell r="D1713">
            <v>0</v>
          </cell>
          <cell r="E1713">
            <v>0</v>
          </cell>
          <cell r="F1713">
            <v>0</v>
          </cell>
          <cell r="G1713">
            <v>0</v>
          </cell>
          <cell r="H1713">
            <v>0</v>
          </cell>
          <cell r="I1713">
            <v>0</v>
          </cell>
        </row>
        <row r="1714">
          <cell r="A1714">
            <v>0</v>
          </cell>
          <cell r="B1714" t="str">
            <v>KS5</v>
          </cell>
          <cell r="C1714" t="str">
            <v>Kỹ sư bậc 5,0/8</v>
          </cell>
          <cell r="D1714" t="str">
            <v>công</v>
          </cell>
          <cell r="E1714">
            <v>1.36</v>
          </cell>
          <cell r="F1714">
            <v>259007.14285714287</v>
          </cell>
          <cell r="G1714">
            <v>0</v>
          </cell>
          <cell r="H1714">
            <v>352249.71428571432</v>
          </cell>
          <cell r="I1714">
            <v>0</v>
          </cell>
        </row>
        <row r="1715">
          <cell r="A1715">
            <v>0</v>
          </cell>
          <cell r="B1715">
            <v>0</v>
          </cell>
          <cell r="C1715" t="str">
            <v>Máy thi công</v>
          </cell>
          <cell r="D1715">
            <v>0</v>
          </cell>
          <cell r="E1715">
            <v>0</v>
          </cell>
          <cell r="F1715">
            <v>0</v>
          </cell>
          <cell r="G1715">
            <v>0</v>
          </cell>
          <cell r="H1715">
            <v>0</v>
          </cell>
          <cell r="I1715">
            <v>0</v>
          </cell>
        </row>
        <row r="1716">
          <cell r="A1716">
            <v>0</v>
          </cell>
          <cell r="B1716" t="str">
            <v>M203.0025</v>
          </cell>
          <cell r="C1716" t="str">
            <v>Megôm met</v>
          </cell>
          <cell r="D1716" t="str">
            <v>ca</v>
          </cell>
          <cell r="E1716">
            <v>0.06</v>
          </cell>
          <cell r="F1716">
            <v>40127.500000000007</v>
          </cell>
          <cell r="G1716">
            <v>0</v>
          </cell>
          <cell r="H1716">
            <v>0</v>
          </cell>
          <cell r="I1716">
            <v>2407.6500000000005</v>
          </cell>
        </row>
        <row r="1717">
          <cell r="A1717">
            <v>0</v>
          </cell>
          <cell r="B1717" t="str">
            <v>M203.0008</v>
          </cell>
          <cell r="C1717" t="str">
            <v>Hợp bộ thí nghiệm rơ le</v>
          </cell>
          <cell r="D1717" t="str">
            <v>ca</v>
          </cell>
          <cell r="E1717">
            <v>9.6000000000000002E-2</v>
          </cell>
          <cell r="F1717">
            <v>760420.34090909106</v>
          </cell>
          <cell r="G1717">
            <v>0</v>
          </cell>
          <cell r="H1717">
            <v>0</v>
          </cell>
          <cell r="I1717">
            <v>73000.352727272737</v>
          </cell>
        </row>
        <row r="1718">
          <cell r="A1718" t="str">
            <v>ED.17010</v>
          </cell>
          <cell r="B1718">
            <v>0</v>
          </cell>
          <cell r="C1718" t="str">
            <v>Thí nghiệm Rơle tự động đóng lại - điện từ, điện tử</v>
          </cell>
          <cell r="D1718" t="str">
            <v>bộ</v>
          </cell>
          <cell r="E1718">
            <v>0</v>
          </cell>
          <cell r="F1718">
            <v>0</v>
          </cell>
          <cell r="G1718">
            <v>5044.0200000000004</v>
          </cell>
          <cell r="H1718">
            <v>546505.07142857148</v>
          </cell>
          <cell r="I1718">
            <v>81491.365454545463</v>
          </cell>
        </row>
        <row r="1719">
          <cell r="A1719">
            <v>0</v>
          </cell>
          <cell r="B1719">
            <v>0</v>
          </cell>
          <cell r="C1719" t="str">
            <v>Vật liệu</v>
          </cell>
          <cell r="D1719">
            <v>0</v>
          </cell>
          <cell r="E1719">
            <v>0</v>
          </cell>
          <cell r="F1719">
            <v>0</v>
          </cell>
          <cell r="G1719">
            <v>0</v>
          </cell>
          <cell r="H1719">
            <v>0</v>
          </cell>
          <cell r="I1719">
            <v>0</v>
          </cell>
        </row>
        <row r="1720">
          <cell r="A1720">
            <v>0</v>
          </cell>
          <cell r="B1720" t="str">
            <v>VL221</v>
          </cell>
          <cell r="C1720" t="str">
            <v>Điện năng</v>
          </cell>
          <cell r="D1720" t="str">
            <v>Kwh</v>
          </cell>
          <cell r="E1720">
            <v>2</v>
          </cell>
          <cell r="F1720">
            <v>1622.01</v>
          </cell>
          <cell r="G1720">
            <v>3244.02</v>
          </cell>
          <cell r="H1720">
            <v>0</v>
          </cell>
          <cell r="I1720">
            <v>0</v>
          </cell>
        </row>
        <row r="1721">
          <cell r="A1721">
            <v>0</v>
          </cell>
          <cell r="B1721" t="str">
            <v>VL188</v>
          </cell>
          <cell r="C1721" t="str">
            <v>Vải phin trắng 0,8m</v>
          </cell>
          <cell r="D1721" t="str">
            <v>m</v>
          </cell>
          <cell r="E1721">
            <v>0.1</v>
          </cell>
          <cell r="F1721">
            <v>8000</v>
          </cell>
          <cell r="G1721">
            <v>800</v>
          </cell>
          <cell r="H1721">
            <v>0</v>
          </cell>
          <cell r="I1721">
            <v>0</v>
          </cell>
        </row>
        <row r="1722">
          <cell r="A1722">
            <v>0</v>
          </cell>
          <cell r="B1722" t="str">
            <v>VL177</v>
          </cell>
          <cell r="C1722" t="str">
            <v>Cồn công nghiệp</v>
          </cell>
          <cell r="D1722" t="str">
            <v>kg</v>
          </cell>
          <cell r="E1722">
            <v>0.05</v>
          </cell>
          <cell r="F1722">
            <v>20000</v>
          </cell>
          <cell r="G1722">
            <v>1000</v>
          </cell>
          <cell r="H1722">
            <v>0</v>
          </cell>
          <cell r="I1722">
            <v>0</v>
          </cell>
        </row>
        <row r="1723">
          <cell r="A1723">
            <v>0</v>
          </cell>
          <cell r="B1723">
            <v>0</v>
          </cell>
          <cell r="C1723" t="str">
            <v>Nhân công</v>
          </cell>
          <cell r="D1723">
            <v>0</v>
          </cell>
          <cell r="E1723">
            <v>0</v>
          </cell>
          <cell r="F1723">
            <v>0</v>
          </cell>
          <cell r="G1723">
            <v>0</v>
          </cell>
          <cell r="H1723">
            <v>0</v>
          </cell>
          <cell r="I1723">
            <v>0</v>
          </cell>
        </row>
        <row r="1724">
          <cell r="A1724">
            <v>0</v>
          </cell>
          <cell r="B1724" t="str">
            <v>KS5</v>
          </cell>
          <cell r="C1724" t="str">
            <v>Kỹ sư bậc 5,0/8</v>
          </cell>
          <cell r="D1724" t="str">
            <v>công</v>
          </cell>
          <cell r="E1724">
            <v>2.11</v>
          </cell>
          <cell r="F1724">
            <v>259007.14285714287</v>
          </cell>
          <cell r="G1724">
            <v>0</v>
          </cell>
          <cell r="H1724">
            <v>546505.07142857148</v>
          </cell>
          <cell r="I1724">
            <v>0</v>
          </cell>
        </row>
        <row r="1725">
          <cell r="A1725">
            <v>0</v>
          </cell>
          <cell r="B1725">
            <v>0</v>
          </cell>
          <cell r="C1725" t="str">
            <v>Máy thi công</v>
          </cell>
          <cell r="D1725">
            <v>0</v>
          </cell>
          <cell r="E1725">
            <v>0</v>
          </cell>
          <cell r="F1725">
            <v>0</v>
          </cell>
          <cell r="G1725">
            <v>0</v>
          </cell>
          <cell r="H1725">
            <v>0</v>
          </cell>
          <cell r="I1725">
            <v>0</v>
          </cell>
        </row>
        <row r="1726">
          <cell r="A1726">
            <v>0</v>
          </cell>
          <cell r="B1726" t="str">
            <v>M203.0025</v>
          </cell>
          <cell r="C1726" t="str">
            <v>Megôm met</v>
          </cell>
          <cell r="D1726" t="str">
            <v>ca</v>
          </cell>
          <cell r="E1726">
            <v>0.06</v>
          </cell>
          <cell r="F1726">
            <v>40127.500000000007</v>
          </cell>
          <cell r="G1726">
            <v>0</v>
          </cell>
          <cell r="H1726">
            <v>0</v>
          </cell>
          <cell r="I1726">
            <v>2407.6500000000005</v>
          </cell>
        </row>
        <row r="1727">
          <cell r="A1727">
            <v>0</v>
          </cell>
          <cell r="B1727" t="str">
            <v>M203.0008</v>
          </cell>
          <cell r="C1727" t="str">
            <v>Hợp bộ thí nghiệm rơ le</v>
          </cell>
          <cell r="D1727" t="str">
            <v>ca</v>
          </cell>
          <cell r="E1727">
            <v>0.104</v>
          </cell>
          <cell r="F1727">
            <v>760420.34090909106</v>
          </cell>
          <cell r="G1727">
            <v>0</v>
          </cell>
          <cell r="H1727">
            <v>0</v>
          </cell>
          <cell r="I1727">
            <v>79083.715454545469</v>
          </cell>
        </row>
        <row r="1728">
          <cell r="A1728" t="str">
            <v>ED.17020</v>
          </cell>
          <cell r="B1728">
            <v>0</v>
          </cell>
          <cell r="C1728" t="str">
            <v>Thí nghiệm Rơle tự động đóng lại - kỹ thuật số</v>
          </cell>
          <cell r="D1728" t="str">
            <v>bộ</v>
          </cell>
          <cell r="E1728">
            <v>0</v>
          </cell>
          <cell r="F1728">
            <v>0</v>
          </cell>
          <cell r="G1728">
            <v>2522.0100000000002</v>
          </cell>
          <cell r="H1728">
            <v>455852.57142857148</v>
          </cell>
          <cell r="I1728">
            <v>67402.524318181822</v>
          </cell>
        </row>
        <row r="1729">
          <cell r="A1729">
            <v>0</v>
          </cell>
          <cell r="B1729">
            <v>0</v>
          </cell>
          <cell r="C1729" t="str">
            <v>Vật liệu</v>
          </cell>
          <cell r="D1729">
            <v>0</v>
          </cell>
          <cell r="E1729">
            <v>0</v>
          </cell>
          <cell r="F1729">
            <v>0</v>
          </cell>
          <cell r="G1729">
            <v>0</v>
          </cell>
          <cell r="H1729">
            <v>0</v>
          </cell>
          <cell r="I1729">
            <v>0</v>
          </cell>
        </row>
        <row r="1730">
          <cell r="A1730">
            <v>0</v>
          </cell>
          <cell r="B1730" t="str">
            <v>VL221</v>
          </cell>
          <cell r="C1730" t="str">
            <v>Điện năng</v>
          </cell>
          <cell r="D1730" t="str">
            <v>Kwh</v>
          </cell>
          <cell r="E1730">
            <v>1</v>
          </cell>
          <cell r="F1730">
            <v>1622.01</v>
          </cell>
          <cell r="G1730">
            <v>1622.01</v>
          </cell>
          <cell r="H1730">
            <v>0</v>
          </cell>
          <cell r="I1730">
            <v>0</v>
          </cell>
        </row>
        <row r="1731">
          <cell r="A1731">
            <v>0</v>
          </cell>
          <cell r="B1731" t="str">
            <v>VL188</v>
          </cell>
          <cell r="C1731" t="str">
            <v>Vải phin trắng 0,8m</v>
          </cell>
          <cell r="D1731" t="str">
            <v>m</v>
          </cell>
          <cell r="E1731">
            <v>0.05</v>
          </cell>
          <cell r="F1731">
            <v>8000</v>
          </cell>
          <cell r="G1731">
            <v>400</v>
          </cell>
          <cell r="H1731">
            <v>0</v>
          </cell>
          <cell r="I1731">
            <v>0</v>
          </cell>
        </row>
        <row r="1732">
          <cell r="A1732">
            <v>0</v>
          </cell>
          <cell r="B1732" t="str">
            <v>VL177</v>
          </cell>
          <cell r="C1732" t="str">
            <v>Cồn công nghiệp</v>
          </cell>
          <cell r="D1732" t="str">
            <v>kg</v>
          </cell>
          <cell r="E1732">
            <v>2.5000000000000001E-2</v>
          </cell>
          <cell r="F1732">
            <v>20000</v>
          </cell>
          <cell r="G1732">
            <v>500</v>
          </cell>
          <cell r="H1732">
            <v>0</v>
          </cell>
          <cell r="I1732">
            <v>0</v>
          </cell>
        </row>
        <row r="1733">
          <cell r="A1733">
            <v>0</v>
          </cell>
          <cell r="B1733">
            <v>0</v>
          </cell>
          <cell r="C1733" t="str">
            <v>Nhân công</v>
          </cell>
          <cell r="D1733">
            <v>0</v>
          </cell>
          <cell r="E1733">
            <v>0</v>
          </cell>
          <cell r="F1733">
            <v>0</v>
          </cell>
          <cell r="G1733">
            <v>0</v>
          </cell>
          <cell r="H1733">
            <v>0</v>
          </cell>
          <cell r="I1733">
            <v>0</v>
          </cell>
        </row>
        <row r="1734">
          <cell r="A1734">
            <v>0</v>
          </cell>
          <cell r="B1734" t="str">
            <v>KS5</v>
          </cell>
          <cell r="C1734" t="str">
            <v>Kỹ sư bậc 5,0/8</v>
          </cell>
          <cell r="D1734" t="str">
            <v>công</v>
          </cell>
          <cell r="E1734">
            <v>1.76</v>
          </cell>
          <cell r="F1734">
            <v>259007.14285714287</v>
          </cell>
          <cell r="G1734">
            <v>0</v>
          </cell>
          <cell r="H1734">
            <v>455852.57142857148</v>
          </cell>
          <cell r="I1734">
            <v>0</v>
          </cell>
        </row>
        <row r="1735">
          <cell r="A1735">
            <v>0</v>
          </cell>
          <cell r="B1735">
            <v>0</v>
          </cell>
          <cell r="C1735" t="str">
            <v>Máy thi công</v>
          </cell>
          <cell r="D1735">
            <v>0</v>
          </cell>
          <cell r="E1735">
            <v>0</v>
          </cell>
          <cell r="F1735">
            <v>0</v>
          </cell>
          <cell r="G1735">
            <v>0</v>
          </cell>
          <cell r="H1735">
            <v>0</v>
          </cell>
          <cell r="I1735">
            <v>0</v>
          </cell>
        </row>
        <row r="1736">
          <cell r="A1736">
            <v>0</v>
          </cell>
          <cell r="B1736" t="str">
            <v>M203.0025</v>
          </cell>
          <cell r="C1736" t="str">
            <v>Megôm met</v>
          </cell>
          <cell r="D1736" t="str">
            <v>ca</v>
          </cell>
          <cell r="E1736">
            <v>0.05</v>
          </cell>
          <cell r="F1736">
            <v>40127.500000000007</v>
          </cell>
          <cell r="G1736">
            <v>0</v>
          </cell>
          <cell r="H1736">
            <v>0</v>
          </cell>
          <cell r="I1736">
            <v>2006.3750000000005</v>
          </cell>
        </row>
        <row r="1737">
          <cell r="A1737">
            <v>0</v>
          </cell>
          <cell r="B1737" t="str">
            <v>M203.0008</v>
          </cell>
          <cell r="C1737" t="str">
            <v>Hợp bộ thí nghiệm rơ le</v>
          </cell>
          <cell r="D1737" t="str">
            <v>ca</v>
          </cell>
          <cell r="E1737">
            <v>8.5999999999999993E-2</v>
          </cell>
          <cell r="F1737">
            <v>760420.34090909106</v>
          </cell>
          <cell r="G1737">
            <v>0</v>
          </cell>
          <cell r="H1737">
            <v>0</v>
          </cell>
          <cell r="I1737">
            <v>65396.149318181822</v>
          </cell>
        </row>
        <row r="1738">
          <cell r="A1738" t="str">
            <v>ED.17030</v>
          </cell>
          <cell r="B1738">
            <v>0</v>
          </cell>
          <cell r="C1738" t="str">
            <v>Thí nghiệm Rơle kiểm tra đồng bộ - điện từ, điện tử</v>
          </cell>
          <cell r="D1738" t="str">
            <v>bộ</v>
          </cell>
          <cell r="E1738">
            <v>0</v>
          </cell>
          <cell r="F1738">
            <v>0</v>
          </cell>
          <cell r="G1738">
            <v>5692.8239999999996</v>
          </cell>
          <cell r="H1738">
            <v>655288.07142857136</v>
          </cell>
          <cell r="I1738">
            <v>97181.302272727276</v>
          </cell>
        </row>
        <row r="1739">
          <cell r="A1739">
            <v>0</v>
          </cell>
          <cell r="B1739">
            <v>0</v>
          </cell>
          <cell r="C1739" t="str">
            <v>Vật liệu</v>
          </cell>
          <cell r="D1739">
            <v>0</v>
          </cell>
          <cell r="E1739">
            <v>0</v>
          </cell>
          <cell r="F1739">
            <v>0</v>
          </cell>
          <cell r="G1739">
            <v>0</v>
          </cell>
          <cell r="H1739">
            <v>0</v>
          </cell>
          <cell r="I1739">
            <v>0</v>
          </cell>
        </row>
        <row r="1740">
          <cell r="A1740">
            <v>0</v>
          </cell>
          <cell r="B1740" t="str">
            <v>VL221</v>
          </cell>
          <cell r="C1740" t="str">
            <v>Điện năng</v>
          </cell>
          <cell r="D1740" t="str">
            <v>Kwh</v>
          </cell>
          <cell r="E1740">
            <v>2.4</v>
          </cell>
          <cell r="F1740">
            <v>1622.01</v>
          </cell>
          <cell r="G1740">
            <v>3892.8239999999996</v>
          </cell>
          <cell r="H1740">
            <v>0</v>
          </cell>
          <cell r="I1740">
            <v>0</v>
          </cell>
        </row>
        <row r="1741">
          <cell r="A1741">
            <v>0</v>
          </cell>
          <cell r="B1741" t="str">
            <v>VL188</v>
          </cell>
          <cell r="C1741" t="str">
            <v>Vải phin trắng 0,8m</v>
          </cell>
          <cell r="D1741" t="str">
            <v>m</v>
          </cell>
          <cell r="E1741">
            <v>0.1</v>
          </cell>
          <cell r="F1741">
            <v>8000</v>
          </cell>
          <cell r="G1741">
            <v>800</v>
          </cell>
          <cell r="H1741">
            <v>0</v>
          </cell>
          <cell r="I1741">
            <v>0</v>
          </cell>
        </row>
        <row r="1742">
          <cell r="A1742">
            <v>0</v>
          </cell>
          <cell r="B1742" t="str">
            <v>VL177</v>
          </cell>
          <cell r="C1742" t="str">
            <v>Cồn công nghiệp</v>
          </cell>
          <cell r="D1742" t="str">
            <v>kg</v>
          </cell>
          <cell r="E1742">
            <v>0.05</v>
          </cell>
          <cell r="F1742">
            <v>20000</v>
          </cell>
          <cell r="G1742">
            <v>1000</v>
          </cell>
          <cell r="H1742">
            <v>0</v>
          </cell>
          <cell r="I1742">
            <v>0</v>
          </cell>
        </row>
        <row r="1743">
          <cell r="A1743">
            <v>0</v>
          </cell>
          <cell r="B1743">
            <v>0</v>
          </cell>
          <cell r="C1743" t="str">
            <v>Nhân công</v>
          </cell>
          <cell r="D1743">
            <v>0</v>
          </cell>
          <cell r="E1743">
            <v>0</v>
          </cell>
          <cell r="F1743">
            <v>0</v>
          </cell>
          <cell r="G1743">
            <v>0</v>
          </cell>
          <cell r="H1743">
            <v>0</v>
          </cell>
          <cell r="I1743">
            <v>0</v>
          </cell>
        </row>
        <row r="1744">
          <cell r="A1744">
            <v>0</v>
          </cell>
          <cell r="B1744" t="str">
            <v>KS5</v>
          </cell>
          <cell r="C1744" t="str">
            <v>Kỹ sư bậc 5,0/8</v>
          </cell>
          <cell r="D1744" t="str">
            <v>công</v>
          </cell>
          <cell r="E1744">
            <v>2.5299999999999998</v>
          </cell>
          <cell r="F1744">
            <v>259007.14285714287</v>
          </cell>
          <cell r="G1744">
            <v>0</v>
          </cell>
          <cell r="H1744">
            <v>655288.07142857136</v>
          </cell>
          <cell r="I1744">
            <v>0</v>
          </cell>
        </row>
        <row r="1745">
          <cell r="A1745">
            <v>0</v>
          </cell>
          <cell r="B1745">
            <v>0</v>
          </cell>
          <cell r="C1745" t="str">
            <v>Máy thi công</v>
          </cell>
          <cell r="D1745">
            <v>0</v>
          </cell>
          <cell r="E1745">
            <v>0</v>
          </cell>
          <cell r="F1745">
            <v>0</v>
          </cell>
          <cell r="G1745">
            <v>0</v>
          </cell>
          <cell r="H1745">
            <v>0</v>
          </cell>
          <cell r="I1745">
            <v>0</v>
          </cell>
        </row>
        <row r="1746">
          <cell r="A1746">
            <v>0</v>
          </cell>
          <cell r="B1746" t="str">
            <v>M203.0025</v>
          </cell>
          <cell r="C1746" t="str">
            <v>Megôm met</v>
          </cell>
          <cell r="D1746" t="str">
            <v>ca</v>
          </cell>
          <cell r="E1746">
            <v>7.1999999999999995E-2</v>
          </cell>
          <cell r="F1746">
            <v>40127.500000000007</v>
          </cell>
          <cell r="G1746">
            <v>0</v>
          </cell>
          <cell r="H1746">
            <v>0</v>
          </cell>
          <cell r="I1746">
            <v>2889.1800000000003</v>
          </cell>
        </row>
        <row r="1747">
          <cell r="A1747">
            <v>0</v>
          </cell>
          <cell r="B1747" t="str">
            <v>M203.0008</v>
          </cell>
          <cell r="C1747" t="str">
            <v>Hợp bộ thí nghiệm rơ le</v>
          </cell>
          <cell r="D1747" t="str">
            <v>ca</v>
          </cell>
          <cell r="E1747">
            <v>0.124</v>
          </cell>
          <cell r="F1747">
            <v>760420.34090909106</v>
          </cell>
          <cell r="G1747">
            <v>0</v>
          </cell>
          <cell r="H1747">
            <v>0</v>
          </cell>
          <cell r="I1747">
            <v>94292.122272727283</v>
          </cell>
        </row>
        <row r="1748">
          <cell r="A1748" t="str">
            <v>ED.17040</v>
          </cell>
          <cell r="B1748">
            <v>0</v>
          </cell>
          <cell r="C1748" t="str">
            <v>Thí nghiệm Rơle kiểm tra đồng bộ - kỹ thuật số</v>
          </cell>
          <cell r="D1748" t="str">
            <v>bộ</v>
          </cell>
          <cell r="E1748">
            <v>0</v>
          </cell>
          <cell r="F1748">
            <v>0</v>
          </cell>
          <cell r="G1748">
            <v>3386.4119999999998</v>
          </cell>
          <cell r="H1748">
            <v>543915</v>
          </cell>
          <cell r="I1748">
            <v>81491.365454545463</v>
          </cell>
        </row>
        <row r="1749">
          <cell r="A1749">
            <v>0</v>
          </cell>
          <cell r="B1749">
            <v>0</v>
          </cell>
          <cell r="C1749" t="str">
            <v>Vật liệu</v>
          </cell>
          <cell r="D1749">
            <v>0</v>
          </cell>
          <cell r="E1749">
            <v>0</v>
          </cell>
          <cell r="F1749">
            <v>0</v>
          </cell>
          <cell r="G1749">
            <v>0</v>
          </cell>
          <cell r="H1749">
            <v>0</v>
          </cell>
          <cell r="I1749">
            <v>0</v>
          </cell>
        </row>
        <row r="1750">
          <cell r="A1750">
            <v>0</v>
          </cell>
          <cell r="B1750" t="str">
            <v>VL221</v>
          </cell>
          <cell r="C1750" t="str">
            <v>Điện năng</v>
          </cell>
          <cell r="D1750" t="str">
            <v>Kwh</v>
          </cell>
          <cell r="E1750">
            <v>1.2</v>
          </cell>
          <cell r="F1750">
            <v>1622.01</v>
          </cell>
          <cell r="G1750">
            <v>1946.4119999999998</v>
          </cell>
          <cell r="H1750">
            <v>0</v>
          </cell>
          <cell r="I1750">
            <v>0</v>
          </cell>
        </row>
        <row r="1751">
          <cell r="A1751">
            <v>0</v>
          </cell>
          <cell r="B1751" t="str">
            <v>VL188</v>
          </cell>
          <cell r="C1751" t="str">
            <v>Vải phin trắng 0,8m</v>
          </cell>
          <cell r="D1751" t="str">
            <v>m</v>
          </cell>
          <cell r="E1751">
            <v>0.08</v>
          </cell>
          <cell r="F1751">
            <v>8000</v>
          </cell>
          <cell r="G1751">
            <v>640</v>
          </cell>
          <cell r="H1751">
            <v>0</v>
          </cell>
          <cell r="I1751">
            <v>0</v>
          </cell>
        </row>
        <row r="1752">
          <cell r="A1752">
            <v>0</v>
          </cell>
          <cell r="B1752" t="str">
            <v>VL177</v>
          </cell>
          <cell r="C1752" t="str">
            <v>Cồn công nghiệp</v>
          </cell>
          <cell r="D1752" t="str">
            <v>kg</v>
          </cell>
          <cell r="E1752">
            <v>0.04</v>
          </cell>
          <cell r="F1752">
            <v>20000</v>
          </cell>
          <cell r="G1752">
            <v>800</v>
          </cell>
          <cell r="H1752">
            <v>0</v>
          </cell>
          <cell r="I1752">
            <v>0</v>
          </cell>
        </row>
        <row r="1753">
          <cell r="A1753">
            <v>0</v>
          </cell>
          <cell r="B1753">
            <v>0</v>
          </cell>
          <cell r="C1753" t="str">
            <v>Nhân công</v>
          </cell>
          <cell r="D1753">
            <v>0</v>
          </cell>
          <cell r="E1753">
            <v>0</v>
          </cell>
          <cell r="F1753">
            <v>0</v>
          </cell>
          <cell r="G1753">
            <v>0</v>
          </cell>
          <cell r="H1753">
            <v>0</v>
          </cell>
          <cell r="I1753">
            <v>0</v>
          </cell>
        </row>
        <row r="1754">
          <cell r="A1754">
            <v>0</v>
          </cell>
          <cell r="B1754" t="str">
            <v>KS5</v>
          </cell>
          <cell r="C1754" t="str">
            <v>Kỹ sư bậc 5,0/8</v>
          </cell>
          <cell r="D1754" t="str">
            <v>công</v>
          </cell>
          <cell r="E1754">
            <v>2.1</v>
          </cell>
          <cell r="F1754">
            <v>259007.14285714287</v>
          </cell>
          <cell r="G1754">
            <v>0</v>
          </cell>
          <cell r="H1754">
            <v>543915</v>
          </cell>
          <cell r="I1754">
            <v>0</v>
          </cell>
        </row>
        <row r="1755">
          <cell r="A1755">
            <v>0</v>
          </cell>
          <cell r="B1755">
            <v>0</v>
          </cell>
          <cell r="C1755" t="str">
            <v>Máy thi công</v>
          </cell>
          <cell r="D1755">
            <v>0</v>
          </cell>
          <cell r="E1755">
            <v>0</v>
          </cell>
          <cell r="F1755">
            <v>0</v>
          </cell>
          <cell r="G1755">
            <v>0</v>
          </cell>
          <cell r="H1755">
            <v>0</v>
          </cell>
          <cell r="I1755">
            <v>0</v>
          </cell>
        </row>
        <row r="1756">
          <cell r="A1756">
            <v>0</v>
          </cell>
          <cell r="B1756" t="str">
            <v>M203.0025</v>
          </cell>
          <cell r="C1756" t="str">
            <v>Megôm met</v>
          </cell>
          <cell r="D1756" t="str">
            <v>ca</v>
          </cell>
          <cell r="E1756">
            <v>0.06</v>
          </cell>
          <cell r="F1756">
            <v>40127.500000000007</v>
          </cell>
          <cell r="G1756">
            <v>0</v>
          </cell>
          <cell r="H1756">
            <v>0</v>
          </cell>
          <cell r="I1756">
            <v>2407.6500000000005</v>
          </cell>
        </row>
        <row r="1757">
          <cell r="A1757">
            <v>0</v>
          </cell>
          <cell r="B1757" t="str">
            <v>M203.0008</v>
          </cell>
          <cell r="C1757" t="str">
            <v>Hợp bộ thí nghiệm rơ le</v>
          </cell>
          <cell r="D1757" t="str">
            <v>ca</v>
          </cell>
          <cell r="E1757">
            <v>0.104</v>
          </cell>
          <cell r="F1757">
            <v>760420.34090909106</v>
          </cell>
          <cell r="G1757">
            <v>0</v>
          </cell>
          <cell r="H1757">
            <v>0</v>
          </cell>
          <cell r="I1757">
            <v>79083.715454545469</v>
          </cell>
        </row>
        <row r="1758">
          <cell r="A1758" t="str">
            <v>ED.18010</v>
          </cell>
          <cell r="B1758">
            <v>0</v>
          </cell>
          <cell r="C1758" t="str">
            <v>Thí nghiệm Rơle điều chỉnh điện áp - điện từ, điện tử</v>
          </cell>
          <cell r="D1758" t="str">
            <v>bộ</v>
          </cell>
          <cell r="E1758">
            <v>0</v>
          </cell>
          <cell r="F1758">
            <v>0</v>
          </cell>
          <cell r="G1758">
            <v>5044.0200000000004</v>
          </cell>
          <cell r="H1758">
            <v>2683314</v>
          </cell>
          <cell r="I1758">
            <v>218367.02681818182</v>
          </cell>
        </row>
        <row r="1759">
          <cell r="A1759">
            <v>0</v>
          </cell>
          <cell r="B1759">
            <v>0</v>
          </cell>
          <cell r="C1759" t="str">
            <v>Vật liệu</v>
          </cell>
          <cell r="D1759">
            <v>0</v>
          </cell>
          <cell r="E1759">
            <v>0</v>
          </cell>
          <cell r="F1759">
            <v>0</v>
          </cell>
          <cell r="G1759">
            <v>0</v>
          </cell>
          <cell r="H1759">
            <v>0</v>
          </cell>
          <cell r="I1759">
            <v>0</v>
          </cell>
        </row>
        <row r="1760">
          <cell r="A1760">
            <v>0</v>
          </cell>
          <cell r="B1760" t="str">
            <v>VL221</v>
          </cell>
          <cell r="C1760" t="str">
            <v>Điện năng</v>
          </cell>
          <cell r="D1760" t="str">
            <v>Kwh</v>
          </cell>
          <cell r="E1760">
            <v>2</v>
          </cell>
          <cell r="F1760">
            <v>1622.01</v>
          </cell>
          <cell r="G1760">
            <v>3244.02</v>
          </cell>
          <cell r="H1760">
            <v>0</v>
          </cell>
          <cell r="I1760">
            <v>0</v>
          </cell>
        </row>
        <row r="1761">
          <cell r="A1761">
            <v>0</v>
          </cell>
          <cell r="B1761" t="str">
            <v>VL188</v>
          </cell>
          <cell r="C1761" t="str">
            <v>Vải phin trắng 0,8m</v>
          </cell>
          <cell r="D1761" t="str">
            <v>m</v>
          </cell>
          <cell r="E1761">
            <v>0.1</v>
          </cell>
          <cell r="F1761">
            <v>8000</v>
          </cell>
          <cell r="G1761">
            <v>800</v>
          </cell>
          <cell r="H1761">
            <v>0</v>
          </cell>
          <cell r="I1761">
            <v>0</v>
          </cell>
        </row>
        <row r="1762">
          <cell r="A1762">
            <v>0</v>
          </cell>
          <cell r="B1762" t="str">
            <v>VL177</v>
          </cell>
          <cell r="C1762" t="str">
            <v>Cồn công nghiệp</v>
          </cell>
          <cell r="D1762" t="str">
            <v>kg</v>
          </cell>
          <cell r="E1762">
            <v>0.05</v>
          </cell>
          <cell r="F1762">
            <v>20000</v>
          </cell>
          <cell r="G1762">
            <v>1000</v>
          </cell>
          <cell r="H1762">
            <v>0</v>
          </cell>
          <cell r="I1762">
            <v>0</v>
          </cell>
        </row>
        <row r="1763">
          <cell r="A1763">
            <v>0</v>
          </cell>
          <cell r="B1763">
            <v>0</v>
          </cell>
          <cell r="C1763" t="str">
            <v>Nhân công</v>
          </cell>
          <cell r="D1763">
            <v>0</v>
          </cell>
          <cell r="E1763">
            <v>0</v>
          </cell>
          <cell r="F1763">
            <v>0</v>
          </cell>
          <cell r="G1763">
            <v>0</v>
          </cell>
          <cell r="H1763">
            <v>0</v>
          </cell>
          <cell r="I1763">
            <v>0</v>
          </cell>
        </row>
        <row r="1764">
          <cell r="A1764">
            <v>0</v>
          </cell>
          <cell r="B1764" t="str">
            <v>KS5</v>
          </cell>
          <cell r="C1764" t="str">
            <v>Kỹ sư bậc 5,0/8</v>
          </cell>
          <cell r="D1764" t="str">
            <v>công</v>
          </cell>
          <cell r="E1764">
            <v>10.36</v>
          </cell>
          <cell r="F1764">
            <v>259007.14285714287</v>
          </cell>
          <cell r="G1764">
            <v>0</v>
          </cell>
          <cell r="H1764">
            <v>2683314</v>
          </cell>
          <cell r="I1764">
            <v>0</v>
          </cell>
        </row>
        <row r="1765">
          <cell r="A1765">
            <v>0</v>
          </cell>
          <cell r="B1765">
            <v>0</v>
          </cell>
          <cell r="C1765" t="str">
            <v>Máy thi công</v>
          </cell>
          <cell r="D1765">
            <v>0</v>
          </cell>
          <cell r="E1765">
            <v>0</v>
          </cell>
          <cell r="F1765">
            <v>0</v>
          </cell>
          <cell r="G1765">
            <v>0</v>
          </cell>
          <cell r="H1765">
            <v>0</v>
          </cell>
          <cell r="I1765">
            <v>0</v>
          </cell>
        </row>
        <row r="1766">
          <cell r="A1766">
            <v>0</v>
          </cell>
          <cell r="B1766" t="str">
            <v>M203.0025</v>
          </cell>
          <cell r="C1766" t="str">
            <v>Megôm met</v>
          </cell>
          <cell r="D1766" t="str">
            <v>ca</v>
          </cell>
          <cell r="E1766">
            <v>0.06</v>
          </cell>
          <cell r="F1766">
            <v>40127.500000000007</v>
          </cell>
          <cell r="G1766">
            <v>0</v>
          </cell>
          <cell r="H1766">
            <v>0</v>
          </cell>
          <cell r="I1766">
            <v>2407.6500000000005</v>
          </cell>
        </row>
        <row r="1767">
          <cell r="A1767">
            <v>0</v>
          </cell>
          <cell r="B1767" t="str">
            <v>M203.0008</v>
          </cell>
          <cell r="C1767" t="str">
            <v>Hợp bộ thí nghiệm rơ le</v>
          </cell>
          <cell r="D1767" t="str">
            <v>ca</v>
          </cell>
          <cell r="E1767">
            <v>0.28399999999999997</v>
          </cell>
          <cell r="F1767">
            <v>760420.34090909106</v>
          </cell>
          <cell r="G1767">
            <v>0</v>
          </cell>
          <cell r="H1767">
            <v>0</v>
          </cell>
          <cell r="I1767">
            <v>215959.37681818183</v>
          </cell>
        </row>
        <row r="1768">
          <cell r="A1768" t="str">
            <v>ED.18020</v>
          </cell>
          <cell r="B1768">
            <v>0</v>
          </cell>
          <cell r="C1768" t="str">
            <v>Thí nghiệm Rơle điều chỉnh điện áp - kỹ thuật số</v>
          </cell>
          <cell r="D1768" t="str">
            <v>bộ</v>
          </cell>
          <cell r="E1768">
            <v>0</v>
          </cell>
          <cell r="F1768">
            <v>0</v>
          </cell>
          <cell r="G1768">
            <v>3062.01</v>
          </cell>
          <cell r="H1768">
            <v>2237821.7142857146</v>
          </cell>
          <cell r="I1768">
            <v>182225.99579545457</v>
          </cell>
        </row>
        <row r="1769">
          <cell r="A1769">
            <v>0</v>
          </cell>
          <cell r="B1769">
            <v>0</v>
          </cell>
          <cell r="C1769" t="str">
            <v>Vật liệu</v>
          </cell>
          <cell r="D1769">
            <v>0</v>
          </cell>
          <cell r="E1769">
            <v>0</v>
          </cell>
          <cell r="F1769">
            <v>0</v>
          </cell>
          <cell r="G1769">
            <v>0</v>
          </cell>
          <cell r="H1769">
            <v>0</v>
          </cell>
          <cell r="I1769">
            <v>0</v>
          </cell>
        </row>
        <row r="1770">
          <cell r="A1770">
            <v>0</v>
          </cell>
          <cell r="B1770" t="str">
            <v>VL221</v>
          </cell>
          <cell r="C1770" t="str">
            <v>Điện năng</v>
          </cell>
          <cell r="D1770" t="str">
            <v>Kwh</v>
          </cell>
          <cell r="E1770">
            <v>1</v>
          </cell>
          <cell r="F1770">
            <v>1622.01</v>
          </cell>
          <cell r="G1770">
            <v>1622.01</v>
          </cell>
          <cell r="H1770">
            <v>0</v>
          </cell>
          <cell r="I1770">
            <v>0</v>
          </cell>
        </row>
        <row r="1771">
          <cell r="A1771">
            <v>0</v>
          </cell>
          <cell r="B1771" t="str">
            <v>VL188</v>
          </cell>
          <cell r="C1771" t="str">
            <v>Vải phin trắng 0,8m</v>
          </cell>
          <cell r="D1771" t="str">
            <v>m</v>
          </cell>
          <cell r="E1771">
            <v>0.08</v>
          </cell>
          <cell r="F1771">
            <v>8000</v>
          </cell>
          <cell r="G1771">
            <v>640</v>
          </cell>
          <cell r="H1771">
            <v>0</v>
          </cell>
          <cell r="I1771">
            <v>0</v>
          </cell>
        </row>
        <row r="1772">
          <cell r="A1772">
            <v>0</v>
          </cell>
          <cell r="B1772" t="str">
            <v>VL177</v>
          </cell>
          <cell r="C1772" t="str">
            <v>Cồn công nghiệp</v>
          </cell>
          <cell r="D1772" t="str">
            <v>kg</v>
          </cell>
          <cell r="E1772">
            <v>0.04</v>
          </cell>
          <cell r="F1772">
            <v>20000</v>
          </cell>
          <cell r="G1772">
            <v>800</v>
          </cell>
          <cell r="H1772">
            <v>0</v>
          </cell>
          <cell r="I1772">
            <v>0</v>
          </cell>
        </row>
        <row r="1773">
          <cell r="A1773">
            <v>0</v>
          </cell>
          <cell r="B1773">
            <v>0</v>
          </cell>
          <cell r="C1773" t="str">
            <v>Nhân công</v>
          </cell>
          <cell r="D1773">
            <v>0</v>
          </cell>
          <cell r="E1773">
            <v>0</v>
          </cell>
          <cell r="F1773">
            <v>0</v>
          </cell>
          <cell r="G1773">
            <v>0</v>
          </cell>
          <cell r="H1773">
            <v>0</v>
          </cell>
          <cell r="I1773">
            <v>0</v>
          </cell>
        </row>
        <row r="1774">
          <cell r="A1774">
            <v>0</v>
          </cell>
          <cell r="B1774" t="str">
            <v>KS5</v>
          </cell>
          <cell r="C1774" t="str">
            <v>Kỹ sư bậc 5,0/8</v>
          </cell>
          <cell r="D1774" t="str">
            <v>công</v>
          </cell>
          <cell r="E1774">
            <v>8.64</v>
          </cell>
          <cell r="F1774">
            <v>259007.14285714287</v>
          </cell>
          <cell r="G1774">
            <v>0</v>
          </cell>
          <cell r="H1774">
            <v>2237821.7142857146</v>
          </cell>
          <cell r="I1774">
            <v>0</v>
          </cell>
        </row>
        <row r="1775">
          <cell r="A1775">
            <v>0</v>
          </cell>
          <cell r="B1775">
            <v>0</v>
          </cell>
          <cell r="C1775" t="str">
            <v>Máy thi công</v>
          </cell>
          <cell r="D1775">
            <v>0</v>
          </cell>
          <cell r="E1775">
            <v>0</v>
          </cell>
          <cell r="F1775">
            <v>0</v>
          </cell>
          <cell r="G1775">
            <v>0</v>
          </cell>
          <cell r="H1775">
            <v>0</v>
          </cell>
          <cell r="I1775">
            <v>0</v>
          </cell>
        </row>
        <row r="1776">
          <cell r="A1776">
            <v>0</v>
          </cell>
          <cell r="B1776" t="str">
            <v>M203.0025</v>
          </cell>
          <cell r="C1776" t="str">
            <v>Megôm met</v>
          </cell>
          <cell r="D1776" t="str">
            <v>ca</v>
          </cell>
          <cell r="E1776">
            <v>0.05</v>
          </cell>
          <cell r="F1776">
            <v>40127.500000000007</v>
          </cell>
          <cell r="G1776">
            <v>0</v>
          </cell>
          <cell r="H1776">
            <v>0</v>
          </cell>
          <cell r="I1776">
            <v>2006.3750000000005</v>
          </cell>
        </row>
        <row r="1777">
          <cell r="A1777">
            <v>0</v>
          </cell>
          <cell r="B1777" t="str">
            <v>M203.0008</v>
          </cell>
          <cell r="C1777" t="str">
            <v>Hợp bộ thí nghiệm rơ le</v>
          </cell>
          <cell r="D1777" t="str">
            <v>ca</v>
          </cell>
          <cell r="E1777">
            <v>0.23699999999999999</v>
          </cell>
          <cell r="F1777">
            <v>760420.34090909106</v>
          </cell>
          <cell r="G1777">
            <v>0</v>
          </cell>
          <cell r="H1777">
            <v>0</v>
          </cell>
          <cell r="I1777">
            <v>180219.62079545457</v>
          </cell>
        </row>
        <row r="1778">
          <cell r="A1778" t="str">
            <v>ED.18030</v>
          </cell>
          <cell r="B1778">
            <v>0</v>
          </cell>
          <cell r="C1778" t="str">
            <v>Thí nghiệm Rơle tự động nạp awcsquy (KTS)</v>
          </cell>
          <cell r="D1778" t="str">
            <v>bộ</v>
          </cell>
          <cell r="E1778">
            <v>0</v>
          </cell>
          <cell r="F1778">
            <v>0</v>
          </cell>
          <cell r="G1778">
            <v>5395.2160000000003</v>
          </cell>
          <cell r="H1778">
            <v>595716.42857142852</v>
          </cell>
          <cell r="I1778">
            <v>52270.368181818201</v>
          </cell>
        </row>
        <row r="1779">
          <cell r="A1779">
            <v>0</v>
          </cell>
          <cell r="B1779">
            <v>0</v>
          </cell>
          <cell r="C1779" t="str">
            <v>Vật liệu</v>
          </cell>
          <cell r="D1779">
            <v>0</v>
          </cell>
          <cell r="E1779">
            <v>0</v>
          </cell>
          <cell r="F1779">
            <v>0</v>
          </cell>
          <cell r="G1779">
            <v>0</v>
          </cell>
          <cell r="H1779">
            <v>0</v>
          </cell>
          <cell r="I1779">
            <v>0</v>
          </cell>
        </row>
        <row r="1780">
          <cell r="A1780">
            <v>0</v>
          </cell>
          <cell r="B1780" t="str">
            <v>VL221</v>
          </cell>
          <cell r="C1780" t="str">
            <v>Điện năng</v>
          </cell>
          <cell r="D1780" t="str">
            <v>Kwh</v>
          </cell>
          <cell r="E1780">
            <v>1.6</v>
          </cell>
          <cell r="F1780">
            <v>1622.01</v>
          </cell>
          <cell r="G1780">
            <v>2595.2160000000003</v>
          </cell>
          <cell r="H1780">
            <v>0</v>
          </cell>
          <cell r="I1780">
            <v>0</v>
          </cell>
        </row>
        <row r="1781">
          <cell r="A1781">
            <v>0</v>
          </cell>
          <cell r="B1781" t="str">
            <v>VL188</v>
          </cell>
          <cell r="C1781" t="str">
            <v>Vải phin trắng 0,8m</v>
          </cell>
          <cell r="D1781" t="str">
            <v>m</v>
          </cell>
          <cell r="E1781">
            <v>0.1</v>
          </cell>
          <cell r="F1781">
            <v>8000</v>
          </cell>
          <cell r="G1781">
            <v>800</v>
          </cell>
          <cell r="H1781">
            <v>0</v>
          </cell>
          <cell r="I1781">
            <v>0</v>
          </cell>
        </row>
        <row r="1782">
          <cell r="A1782">
            <v>0</v>
          </cell>
          <cell r="B1782" t="str">
            <v>VL177</v>
          </cell>
          <cell r="C1782" t="str">
            <v>Cồn công nghiệp</v>
          </cell>
          <cell r="D1782" t="str">
            <v>kg</v>
          </cell>
          <cell r="E1782">
            <v>0.1</v>
          </cell>
          <cell r="F1782">
            <v>20000</v>
          </cell>
          <cell r="G1782">
            <v>2000</v>
          </cell>
          <cell r="H1782">
            <v>0</v>
          </cell>
          <cell r="I1782">
            <v>0</v>
          </cell>
        </row>
        <row r="1783">
          <cell r="A1783">
            <v>0</v>
          </cell>
          <cell r="B1783">
            <v>0</v>
          </cell>
          <cell r="C1783" t="str">
            <v>Nhân công</v>
          </cell>
          <cell r="D1783">
            <v>0</v>
          </cell>
          <cell r="E1783">
            <v>0</v>
          </cell>
          <cell r="F1783">
            <v>0</v>
          </cell>
          <cell r="G1783">
            <v>0</v>
          </cell>
          <cell r="H1783">
            <v>0</v>
          </cell>
          <cell r="I1783">
            <v>0</v>
          </cell>
        </row>
        <row r="1784">
          <cell r="A1784">
            <v>0</v>
          </cell>
          <cell r="B1784" t="str">
            <v>KS5</v>
          </cell>
          <cell r="C1784" t="str">
            <v>Kỹ sư bậc 5,0/8</v>
          </cell>
          <cell r="D1784" t="str">
            <v>công</v>
          </cell>
          <cell r="E1784">
            <v>2.2999999999999998</v>
          </cell>
          <cell r="F1784">
            <v>259007.14285714287</v>
          </cell>
          <cell r="G1784">
            <v>0</v>
          </cell>
          <cell r="H1784">
            <v>595716.42857142852</v>
          </cell>
          <cell r="I1784">
            <v>0</v>
          </cell>
        </row>
        <row r="1785">
          <cell r="A1785">
            <v>0</v>
          </cell>
          <cell r="B1785">
            <v>0</v>
          </cell>
          <cell r="C1785" t="str">
            <v>Máy thi công</v>
          </cell>
          <cell r="D1785">
            <v>0</v>
          </cell>
          <cell r="E1785">
            <v>0</v>
          </cell>
          <cell r="F1785">
            <v>0</v>
          </cell>
          <cell r="G1785">
            <v>0</v>
          </cell>
          <cell r="H1785">
            <v>0</v>
          </cell>
          <cell r="I1785">
            <v>0</v>
          </cell>
        </row>
        <row r="1786">
          <cell r="A1786">
            <v>0</v>
          </cell>
          <cell r="B1786" t="str">
            <v>M203.0025</v>
          </cell>
          <cell r="C1786" t="str">
            <v>Megôm met</v>
          </cell>
          <cell r="D1786" t="str">
            <v>ca</v>
          </cell>
          <cell r="E1786">
            <v>1.4E-2</v>
          </cell>
          <cell r="F1786">
            <v>40127.500000000007</v>
          </cell>
          <cell r="G1786">
            <v>0</v>
          </cell>
          <cell r="H1786">
            <v>0</v>
          </cell>
          <cell r="I1786">
            <v>561.78500000000008</v>
          </cell>
        </row>
        <row r="1787">
          <cell r="A1787">
            <v>0</v>
          </cell>
          <cell r="B1787" t="str">
            <v>M203.0008</v>
          </cell>
          <cell r="C1787" t="str">
            <v>Hợp bộ thí nghiệm rơ le</v>
          </cell>
          <cell r="D1787" t="str">
            <v>ca</v>
          </cell>
          <cell r="E1787">
            <v>6.8000000000000005E-2</v>
          </cell>
          <cell r="F1787">
            <v>760420.34090909106</v>
          </cell>
          <cell r="G1787">
            <v>0</v>
          </cell>
          <cell r="H1787">
            <v>0</v>
          </cell>
          <cell r="I1787">
            <v>51708.583181818198</v>
          </cell>
        </row>
        <row r="1788">
          <cell r="A1788" t="str">
            <v>ED.18040</v>
          </cell>
          <cell r="B1788">
            <v>0</v>
          </cell>
          <cell r="C1788" t="str">
            <v>Thí nghiệm Rơle ghi sự cố</v>
          </cell>
          <cell r="D1788" t="str">
            <v>bộ</v>
          </cell>
          <cell r="E1788">
            <v>0</v>
          </cell>
          <cell r="F1788">
            <v>0</v>
          </cell>
          <cell r="G1788">
            <v>7059.6180000000004</v>
          </cell>
          <cell r="H1788">
            <v>2486468.5714285714</v>
          </cell>
          <cell r="I1788">
            <v>218367.02681818182</v>
          </cell>
        </row>
        <row r="1789">
          <cell r="A1789">
            <v>0</v>
          </cell>
          <cell r="B1789">
            <v>0</v>
          </cell>
          <cell r="C1789" t="str">
            <v>Vật liệu</v>
          </cell>
          <cell r="D1789">
            <v>0</v>
          </cell>
          <cell r="E1789">
            <v>0</v>
          </cell>
          <cell r="F1789">
            <v>0</v>
          </cell>
          <cell r="G1789">
            <v>0</v>
          </cell>
          <cell r="H1789">
            <v>0</v>
          </cell>
          <cell r="I1789">
            <v>0</v>
          </cell>
        </row>
        <row r="1790">
          <cell r="A1790">
            <v>0</v>
          </cell>
          <cell r="B1790" t="str">
            <v>VL221</v>
          </cell>
          <cell r="C1790" t="str">
            <v>Điện năng</v>
          </cell>
          <cell r="D1790" t="str">
            <v>Kwh</v>
          </cell>
          <cell r="E1790">
            <v>1.8</v>
          </cell>
          <cell r="F1790">
            <v>1622.01</v>
          </cell>
          <cell r="G1790">
            <v>2919.6179999999999</v>
          </cell>
          <cell r="H1790">
            <v>0</v>
          </cell>
          <cell r="I1790">
            <v>0</v>
          </cell>
        </row>
        <row r="1791">
          <cell r="A1791">
            <v>0</v>
          </cell>
          <cell r="B1791" t="str">
            <v>VL188</v>
          </cell>
          <cell r="C1791" t="str">
            <v>Vải phin trắng 0,8m</v>
          </cell>
          <cell r="D1791" t="str">
            <v>m</v>
          </cell>
          <cell r="E1791">
            <v>0.18</v>
          </cell>
          <cell r="F1791">
            <v>8000</v>
          </cell>
          <cell r="G1791">
            <v>1440</v>
          </cell>
          <cell r="H1791">
            <v>0</v>
          </cell>
          <cell r="I1791">
            <v>0</v>
          </cell>
        </row>
        <row r="1792">
          <cell r="A1792">
            <v>0</v>
          </cell>
          <cell r="B1792" t="str">
            <v>VL177</v>
          </cell>
          <cell r="C1792" t="str">
            <v>Cồn công nghiệp</v>
          </cell>
          <cell r="D1792" t="str">
            <v>kg</v>
          </cell>
          <cell r="E1792">
            <v>0.13500000000000001</v>
          </cell>
          <cell r="F1792">
            <v>20000</v>
          </cell>
          <cell r="G1792">
            <v>2700</v>
          </cell>
          <cell r="H1792">
            <v>0</v>
          </cell>
          <cell r="I1792">
            <v>0</v>
          </cell>
        </row>
        <row r="1793">
          <cell r="A1793">
            <v>0</v>
          </cell>
          <cell r="B1793">
            <v>0</v>
          </cell>
          <cell r="C1793" t="str">
            <v>Nhân công</v>
          </cell>
          <cell r="D1793">
            <v>0</v>
          </cell>
          <cell r="E1793">
            <v>0</v>
          </cell>
          <cell r="F1793">
            <v>0</v>
          </cell>
          <cell r="G1793">
            <v>0</v>
          </cell>
          <cell r="H1793">
            <v>0</v>
          </cell>
          <cell r="I1793">
            <v>0</v>
          </cell>
        </row>
        <row r="1794">
          <cell r="A1794">
            <v>0</v>
          </cell>
          <cell r="B1794" t="str">
            <v>KS5</v>
          </cell>
          <cell r="C1794" t="str">
            <v>Kỹ sư bậc 5,0/8</v>
          </cell>
          <cell r="D1794" t="str">
            <v>công</v>
          </cell>
          <cell r="E1794">
            <v>9.6</v>
          </cell>
          <cell r="F1794">
            <v>259007.14285714287</v>
          </cell>
          <cell r="G1794">
            <v>0</v>
          </cell>
          <cell r="H1794">
            <v>2486468.5714285714</v>
          </cell>
          <cell r="I1794">
            <v>0</v>
          </cell>
        </row>
        <row r="1795">
          <cell r="A1795">
            <v>0</v>
          </cell>
          <cell r="B1795">
            <v>0</v>
          </cell>
          <cell r="C1795" t="str">
            <v>Máy thi công</v>
          </cell>
          <cell r="D1795">
            <v>0</v>
          </cell>
          <cell r="E1795">
            <v>0</v>
          </cell>
          <cell r="F1795">
            <v>0</v>
          </cell>
          <cell r="G1795">
            <v>0</v>
          </cell>
          <cell r="H1795">
            <v>0</v>
          </cell>
          <cell r="I1795">
            <v>0</v>
          </cell>
        </row>
        <row r="1796">
          <cell r="A1796">
            <v>0</v>
          </cell>
          <cell r="B1796" t="str">
            <v>M203.0025</v>
          </cell>
          <cell r="C1796" t="str">
            <v>Megôm met</v>
          </cell>
          <cell r="D1796" t="str">
            <v>ca</v>
          </cell>
          <cell r="E1796">
            <v>0.06</v>
          </cell>
          <cell r="F1796">
            <v>40127.500000000007</v>
          </cell>
          <cell r="G1796">
            <v>0</v>
          </cell>
          <cell r="H1796">
            <v>0</v>
          </cell>
          <cell r="I1796">
            <v>2407.6500000000005</v>
          </cell>
        </row>
        <row r="1797">
          <cell r="A1797">
            <v>0</v>
          </cell>
          <cell r="B1797" t="str">
            <v>M203.0008</v>
          </cell>
          <cell r="C1797" t="str">
            <v>Hợp bộ thí nghiệm rơ le</v>
          </cell>
          <cell r="D1797" t="str">
            <v>ca</v>
          </cell>
          <cell r="E1797">
            <v>0.28399999999999997</v>
          </cell>
          <cell r="F1797">
            <v>760420.34090909106</v>
          </cell>
          <cell r="G1797">
            <v>0</v>
          </cell>
          <cell r="H1797">
            <v>0</v>
          </cell>
          <cell r="I1797">
            <v>215959.37681818183</v>
          </cell>
        </row>
        <row r="1798">
          <cell r="A1798" t="str">
            <v>ED.19010</v>
          </cell>
          <cell r="B1798">
            <v>0</v>
          </cell>
          <cell r="C1798" t="str">
            <v>Thí nghiệm Rơle giám sát mạch cắt - điện từ, điện tử</v>
          </cell>
          <cell r="D1798" t="str">
            <v>bộ</v>
          </cell>
          <cell r="E1798">
            <v>0</v>
          </cell>
          <cell r="F1798">
            <v>0</v>
          </cell>
          <cell r="G1798">
            <v>3746.4119999999998</v>
          </cell>
          <cell r="H1798">
            <v>463622.78571428574</v>
          </cell>
          <cell r="I1798">
            <v>44987.184772727283</v>
          </cell>
        </row>
        <row r="1799">
          <cell r="A1799">
            <v>0</v>
          </cell>
          <cell r="B1799">
            <v>0</v>
          </cell>
          <cell r="C1799" t="str">
            <v>Vật liệu</v>
          </cell>
          <cell r="D1799">
            <v>0</v>
          </cell>
          <cell r="E1799">
            <v>0</v>
          </cell>
          <cell r="F1799">
            <v>0</v>
          </cell>
          <cell r="G1799">
            <v>0</v>
          </cell>
          <cell r="H1799">
            <v>0</v>
          </cell>
          <cell r="I1799">
            <v>0</v>
          </cell>
        </row>
        <row r="1800">
          <cell r="A1800">
            <v>0</v>
          </cell>
          <cell r="B1800" t="str">
            <v>VL221</v>
          </cell>
          <cell r="C1800" t="str">
            <v>Điện năng</v>
          </cell>
          <cell r="D1800" t="str">
            <v>Kwh</v>
          </cell>
          <cell r="E1800">
            <v>1.2</v>
          </cell>
          <cell r="F1800">
            <v>1622.01</v>
          </cell>
          <cell r="G1800">
            <v>1946.4119999999998</v>
          </cell>
          <cell r="H1800">
            <v>0</v>
          </cell>
          <cell r="I1800">
            <v>0</v>
          </cell>
        </row>
        <row r="1801">
          <cell r="A1801">
            <v>0</v>
          </cell>
          <cell r="B1801" t="str">
            <v>VL188</v>
          </cell>
          <cell r="C1801" t="str">
            <v>Vải phin trắng 0,8m</v>
          </cell>
          <cell r="D1801" t="str">
            <v>m</v>
          </cell>
          <cell r="E1801">
            <v>0.1</v>
          </cell>
          <cell r="F1801">
            <v>8000</v>
          </cell>
          <cell r="G1801">
            <v>800</v>
          </cell>
          <cell r="H1801">
            <v>0</v>
          </cell>
          <cell r="I1801">
            <v>0</v>
          </cell>
        </row>
        <row r="1802">
          <cell r="A1802">
            <v>0</v>
          </cell>
          <cell r="B1802" t="str">
            <v>VL177</v>
          </cell>
          <cell r="C1802" t="str">
            <v>Cồn công nghiệp</v>
          </cell>
          <cell r="D1802" t="str">
            <v>kg</v>
          </cell>
          <cell r="E1802">
            <v>0.05</v>
          </cell>
          <cell r="F1802">
            <v>20000</v>
          </cell>
          <cell r="G1802">
            <v>1000</v>
          </cell>
          <cell r="H1802">
            <v>0</v>
          </cell>
          <cell r="I1802">
            <v>0</v>
          </cell>
        </row>
        <row r="1803">
          <cell r="A1803">
            <v>0</v>
          </cell>
          <cell r="B1803">
            <v>0</v>
          </cell>
          <cell r="C1803" t="str">
            <v>Nhân công</v>
          </cell>
          <cell r="D1803">
            <v>0</v>
          </cell>
          <cell r="E1803">
            <v>0</v>
          </cell>
          <cell r="F1803">
            <v>0</v>
          </cell>
          <cell r="G1803">
            <v>0</v>
          </cell>
          <cell r="H1803">
            <v>0</v>
          </cell>
          <cell r="I1803">
            <v>0</v>
          </cell>
        </row>
        <row r="1804">
          <cell r="A1804">
            <v>0</v>
          </cell>
          <cell r="B1804" t="str">
            <v>KS5</v>
          </cell>
          <cell r="C1804" t="str">
            <v>Kỹ sư bậc 5,0/8</v>
          </cell>
          <cell r="D1804" t="str">
            <v>công</v>
          </cell>
          <cell r="E1804">
            <v>1.79</v>
          </cell>
          <cell r="F1804">
            <v>259007.14285714287</v>
          </cell>
          <cell r="G1804">
            <v>0</v>
          </cell>
          <cell r="H1804">
            <v>463622.78571428574</v>
          </cell>
          <cell r="I1804">
            <v>0</v>
          </cell>
        </row>
        <row r="1805">
          <cell r="A1805">
            <v>0</v>
          </cell>
          <cell r="B1805">
            <v>0</v>
          </cell>
          <cell r="C1805" t="str">
            <v>Máy thi công</v>
          </cell>
          <cell r="D1805">
            <v>0</v>
          </cell>
          <cell r="E1805">
            <v>0</v>
          </cell>
          <cell r="F1805">
            <v>0</v>
          </cell>
          <cell r="G1805">
            <v>0</v>
          </cell>
          <cell r="H1805">
            <v>0</v>
          </cell>
          <cell r="I1805">
            <v>0</v>
          </cell>
        </row>
        <row r="1806">
          <cell r="A1806">
            <v>0</v>
          </cell>
          <cell r="B1806" t="str">
            <v>M203.0025</v>
          </cell>
          <cell r="C1806" t="str">
            <v>Megôm met</v>
          </cell>
          <cell r="D1806" t="str">
            <v>ca</v>
          </cell>
          <cell r="E1806">
            <v>2.1999999999999999E-2</v>
          </cell>
          <cell r="F1806">
            <v>40127.500000000007</v>
          </cell>
          <cell r="G1806">
            <v>0</v>
          </cell>
          <cell r="H1806">
            <v>0</v>
          </cell>
          <cell r="I1806">
            <v>882.80500000000006</v>
          </cell>
        </row>
        <row r="1807">
          <cell r="A1807">
            <v>0</v>
          </cell>
          <cell r="B1807" t="str">
            <v>M203.0008</v>
          </cell>
          <cell r="C1807" t="str">
            <v>Hợp bộ thí nghiệm rơ le</v>
          </cell>
          <cell r="D1807" t="str">
            <v>ca</v>
          </cell>
          <cell r="E1807">
            <v>5.8000000000000003E-2</v>
          </cell>
          <cell r="F1807">
            <v>760420.34090909106</v>
          </cell>
          <cell r="G1807">
            <v>0</v>
          </cell>
          <cell r="H1807">
            <v>0</v>
          </cell>
          <cell r="I1807">
            <v>44104.379772727283</v>
          </cell>
        </row>
        <row r="1808">
          <cell r="A1808" t="str">
            <v>ED.19020</v>
          </cell>
          <cell r="B1808">
            <v>0</v>
          </cell>
          <cell r="C1808" t="str">
            <v>Thí nghiệm Rơle giám sát mạch cắt - kỹ thuật số</v>
          </cell>
          <cell r="D1808" t="str">
            <v>bộ</v>
          </cell>
          <cell r="E1808">
            <v>0</v>
          </cell>
          <cell r="F1808">
            <v>0</v>
          </cell>
          <cell r="G1808">
            <v>2413.2060000000001</v>
          </cell>
          <cell r="H1808">
            <v>385920.6428571429</v>
          </cell>
          <cell r="I1808">
            <v>37222.471363636367</v>
          </cell>
        </row>
        <row r="1809">
          <cell r="A1809">
            <v>0</v>
          </cell>
          <cell r="B1809">
            <v>0</v>
          </cell>
          <cell r="C1809" t="str">
            <v>Vật liệu</v>
          </cell>
          <cell r="D1809">
            <v>0</v>
          </cell>
          <cell r="E1809">
            <v>0</v>
          </cell>
          <cell r="F1809">
            <v>0</v>
          </cell>
          <cell r="G1809">
            <v>0</v>
          </cell>
          <cell r="H1809">
            <v>0</v>
          </cell>
          <cell r="I1809">
            <v>0</v>
          </cell>
        </row>
        <row r="1810">
          <cell r="A1810">
            <v>0</v>
          </cell>
          <cell r="B1810" t="str">
            <v>VL221</v>
          </cell>
          <cell r="C1810" t="str">
            <v>Điện năng</v>
          </cell>
          <cell r="D1810" t="str">
            <v>Kwh</v>
          </cell>
          <cell r="E1810">
            <v>0.6</v>
          </cell>
          <cell r="F1810">
            <v>1622.01</v>
          </cell>
          <cell r="G1810">
            <v>973.2059999999999</v>
          </cell>
          <cell r="H1810">
            <v>0</v>
          </cell>
          <cell r="I1810">
            <v>0</v>
          </cell>
        </row>
        <row r="1811">
          <cell r="A1811">
            <v>0</v>
          </cell>
          <cell r="B1811" t="str">
            <v>VL188</v>
          </cell>
          <cell r="C1811" t="str">
            <v>Vải phin trắng 0,8m</v>
          </cell>
          <cell r="D1811" t="str">
            <v>m</v>
          </cell>
          <cell r="E1811">
            <v>0.08</v>
          </cell>
          <cell r="F1811">
            <v>8000</v>
          </cell>
          <cell r="G1811">
            <v>640</v>
          </cell>
          <cell r="H1811">
            <v>0</v>
          </cell>
          <cell r="I1811">
            <v>0</v>
          </cell>
        </row>
        <row r="1812">
          <cell r="A1812">
            <v>0</v>
          </cell>
          <cell r="B1812" t="str">
            <v>VL177</v>
          </cell>
          <cell r="C1812" t="str">
            <v>Cồn công nghiệp</v>
          </cell>
          <cell r="D1812" t="str">
            <v>kg</v>
          </cell>
          <cell r="E1812">
            <v>0.04</v>
          </cell>
          <cell r="F1812">
            <v>20000</v>
          </cell>
          <cell r="G1812">
            <v>800</v>
          </cell>
          <cell r="H1812">
            <v>0</v>
          </cell>
          <cell r="I1812">
            <v>0</v>
          </cell>
        </row>
        <row r="1813">
          <cell r="A1813">
            <v>0</v>
          </cell>
          <cell r="B1813">
            <v>0</v>
          </cell>
          <cell r="C1813" t="str">
            <v>Nhân công</v>
          </cell>
          <cell r="D1813">
            <v>0</v>
          </cell>
          <cell r="E1813">
            <v>0</v>
          </cell>
          <cell r="F1813">
            <v>0</v>
          </cell>
          <cell r="G1813">
            <v>0</v>
          </cell>
          <cell r="H1813">
            <v>0</v>
          </cell>
          <cell r="I1813">
            <v>0</v>
          </cell>
        </row>
        <row r="1814">
          <cell r="A1814">
            <v>0</v>
          </cell>
          <cell r="B1814" t="str">
            <v>KS5</v>
          </cell>
          <cell r="C1814" t="str">
            <v>Kỹ sư bậc 5,0/8</v>
          </cell>
          <cell r="D1814" t="str">
            <v>công</v>
          </cell>
          <cell r="E1814">
            <v>1.49</v>
          </cell>
          <cell r="F1814">
            <v>259007.14285714287</v>
          </cell>
          <cell r="G1814">
            <v>0</v>
          </cell>
          <cell r="H1814">
            <v>385920.6428571429</v>
          </cell>
          <cell r="I1814">
            <v>0</v>
          </cell>
        </row>
        <row r="1815">
          <cell r="A1815">
            <v>0</v>
          </cell>
          <cell r="B1815">
            <v>0</v>
          </cell>
          <cell r="C1815" t="str">
            <v>Máy thi công</v>
          </cell>
          <cell r="D1815">
            <v>0</v>
          </cell>
          <cell r="E1815">
            <v>0</v>
          </cell>
          <cell r="F1815">
            <v>0</v>
          </cell>
          <cell r="G1815">
            <v>0</v>
          </cell>
          <cell r="H1815">
            <v>0</v>
          </cell>
          <cell r="I1815">
            <v>0</v>
          </cell>
        </row>
        <row r="1816">
          <cell r="A1816">
            <v>0</v>
          </cell>
          <cell r="B1816" t="str">
            <v>M203.0025</v>
          </cell>
          <cell r="C1816" t="str">
            <v>Megôm met</v>
          </cell>
          <cell r="D1816" t="str">
            <v>ca</v>
          </cell>
          <cell r="E1816">
            <v>1.7999999999999999E-2</v>
          </cell>
          <cell r="F1816">
            <v>40127.500000000007</v>
          </cell>
          <cell r="G1816">
            <v>0</v>
          </cell>
          <cell r="H1816">
            <v>0</v>
          </cell>
          <cell r="I1816">
            <v>722.29500000000007</v>
          </cell>
        </row>
        <row r="1817">
          <cell r="A1817">
            <v>0</v>
          </cell>
          <cell r="B1817" t="str">
            <v>M203.0008</v>
          </cell>
          <cell r="C1817" t="str">
            <v>Hợp bộ thí nghiệm rơ le</v>
          </cell>
          <cell r="D1817" t="str">
            <v>ca</v>
          </cell>
          <cell r="E1817">
            <v>4.8000000000000001E-2</v>
          </cell>
          <cell r="F1817">
            <v>760420.34090909106</v>
          </cell>
          <cell r="G1817">
            <v>0</v>
          </cell>
          <cell r="H1817">
            <v>0</v>
          </cell>
          <cell r="I1817">
            <v>36500.176363636368</v>
          </cell>
        </row>
        <row r="1818">
          <cell r="A1818" t="str">
            <v>ED.19030</v>
          </cell>
          <cell r="B1818">
            <v>0</v>
          </cell>
          <cell r="C1818" t="str">
            <v>Thí nghiệm Rơle giám sát mạch dòng, mạch áp - điện từ, điện tử</v>
          </cell>
          <cell r="D1818" t="str">
            <v>bộ</v>
          </cell>
          <cell r="E1818">
            <v>0</v>
          </cell>
          <cell r="F1818">
            <v>0</v>
          </cell>
          <cell r="G1818">
            <v>3422.01</v>
          </cell>
          <cell r="H1818">
            <v>385920.6428571429</v>
          </cell>
          <cell r="I1818">
            <v>37102.088863636367</v>
          </cell>
        </row>
        <row r="1819">
          <cell r="A1819">
            <v>0</v>
          </cell>
          <cell r="B1819">
            <v>0</v>
          </cell>
          <cell r="C1819" t="str">
            <v>Vật liệu</v>
          </cell>
          <cell r="D1819">
            <v>0</v>
          </cell>
          <cell r="E1819">
            <v>0</v>
          </cell>
          <cell r="F1819">
            <v>0</v>
          </cell>
          <cell r="G1819">
            <v>0</v>
          </cell>
          <cell r="H1819">
            <v>0</v>
          </cell>
          <cell r="I1819">
            <v>0</v>
          </cell>
        </row>
        <row r="1820">
          <cell r="A1820">
            <v>0</v>
          </cell>
          <cell r="B1820" t="str">
            <v>VL221</v>
          </cell>
          <cell r="C1820" t="str">
            <v>Điện năng</v>
          </cell>
          <cell r="D1820" t="str">
            <v>Kwh</v>
          </cell>
          <cell r="E1820">
            <v>1</v>
          </cell>
          <cell r="F1820">
            <v>1622.01</v>
          </cell>
          <cell r="G1820">
            <v>1622.01</v>
          </cell>
          <cell r="H1820">
            <v>0</v>
          </cell>
          <cell r="I1820">
            <v>0</v>
          </cell>
        </row>
        <row r="1821">
          <cell r="A1821">
            <v>0</v>
          </cell>
          <cell r="B1821" t="str">
            <v>VL188</v>
          </cell>
          <cell r="C1821" t="str">
            <v>Vải phin trắng 0,8m</v>
          </cell>
          <cell r="D1821" t="str">
            <v>m</v>
          </cell>
          <cell r="E1821">
            <v>0.1</v>
          </cell>
          <cell r="F1821">
            <v>8000</v>
          </cell>
          <cell r="G1821">
            <v>800</v>
          </cell>
          <cell r="H1821">
            <v>0</v>
          </cell>
          <cell r="I1821">
            <v>0</v>
          </cell>
        </row>
        <row r="1822">
          <cell r="A1822">
            <v>0</v>
          </cell>
          <cell r="B1822" t="str">
            <v>VL177</v>
          </cell>
          <cell r="C1822" t="str">
            <v>Cồn công nghiệp</v>
          </cell>
          <cell r="D1822" t="str">
            <v>kg</v>
          </cell>
          <cell r="E1822">
            <v>0.05</v>
          </cell>
          <cell r="F1822">
            <v>20000</v>
          </cell>
          <cell r="G1822">
            <v>1000</v>
          </cell>
          <cell r="H1822">
            <v>0</v>
          </cell>
          <cell r="I1822">
            <v>0</v>
          </cell>
        </row>
        <row r="1823">
          <cell r="A1823">
            <v>0</v>
          </cell>
          <cell r="B1823">
            <v>0</v>
          </cell>
          <cell r="C1823" t="str">
            <v>Nhân công</v>
          </cell>
          <cell r="D1823">
            <v>0</v>
          </cell>
          <cell r="E1823">
            <v>0</v>
          </cell>
          <cell r="F1823">
            <v>0</v>
          </cell>
          <cell r="G1823">
            <v>0</v>
          </cell>
          <cell r="H1823">
            <v>0</v>
          </cell>
          <cell r="I1823">
            <v>0</v>
          </cell>
        </row>
        <row r="1824">
          <cell r="A1824">
            <v>0</v>
          </cell>
          <cell r="B1824" t="str">
            <v>KS5</v>
          </cell>
          <cell r="C1824" t="str">
            <v>Kỹ sư bậc 5,0/8</v>
          </cell>
          <cell r="D1824" t="str">
            <v>công</v>
          </cell>
          <cell r="E1824">
            <v>1.49</v>
          </cell>
          <cell r="F1824">
            <v>259007.14285714287</v>
          </cell>
          <cell r="G1824">
            <v>0</v>
          </cell>
          <cell r="H1824">
            <v>385920.6428571429</v>
          </cell>
          <cell r="I1824">
            <v>0</v>
          </cell>
        </row>
        <row r="1825">
          <cell r="A1825">
            <v>0</v>
          </cell>
          <cell r="B1825">
            <v>0</v>
          </cell>
          <cell r="C1825" t="str">
            <v>Máy thi công</v>
          </cell>
          <cell r="D1825">
            <v>0</v>
          </cell>
          <cell r="E1825">
            <v>0</v>
          </cell>
          <cell r="F1825">
            <v>0</v>
          </cell>
          <cell r="G1825">
            <v>0</v>
          </cell>
          <cell r="H1825">
            <v>0</v>
          </cell>
          <cell r="I1825">
            <v>0</v>
          </cell>
        </row>
        <row r="1826">
          <cell r="A1826">
            <v>0</v>
          </cell>
          <cell r="B1826" t="str">
            <v>M203.0025</v>
          </cell>
          <cell r="C1826" t="str">
            <v>Megôm met</v>
          </cell>
          <cell r="D1826" t="str">
            <v>ca</v>
          </cell>
          <cell r="E1826">
            <v>1.4999999999999999E-2</v>
          </cell>
          <cell r="F1826">
            <v>40127.500000000007</v>
          </cell>
          <cell r="G1826">
            <v>0</v>
          </cell>
          <cell r="H1826">
            <v>0</v>
          </cell>
          <cell r="I1826">
            <v>601.91250000000014</v>
          </cell>
        </row>
        <row r="1827">
          <cell r="A1827">
            <v>0</v>
          </cell>
          <cell r="B1827" t="str">
            <v>M203.0008</v>
          </cell>
          <cell r="C1827" t="str">
            <v>Hợp bộ thí nghiệm rơ le</v>
          </cell>
          <cell r="D1827" t="str">
            <v>ca</v>
          </cell>
          <cell r="E1827">
            <v>4.8000000000000001E-2</v>
          </cell>
          <cell r="F1827">
            <v>760420.34090909106</v>
          </cell>
          <cell r="G1827">
            <v>0</v>
          </cell>
          <cell r="H1827">
            <v>0</v>
          </cell>
          <cell r="I1827">
            <v>36500.176363636368</v>
          </cell>
        </row>
        <row r="1828">
          <cell r="A1828" t="str">
            <v>ED.19040</v>
          </cell>
          <cell r="B1828">
            <v>0</v>
          </cell>
          <cell r="C1828" t="str">
            <v>Thí nghiệm Rơle giám sát mạch dòng, mạch áp - kỹ thuật số</v>
          </cell>
          <cell r="D1828" t="str">
            <v>bộ</v>
          </cell>
          <cell r="E1828">
            <v>0</v>
          </cell>
          <cell r="F1828">
            <v>0</v>
          </cell>
          <cell r="G1828">
            <v>1711.0050000000001</v>
          </cell>
          <cell r="H1828">
            <v>321168.85714285716</v>
          </cell>
          <cell r="I1828">
            <v>30938.471136363645</v>
          </cell>
        </row>
        <row r="1829">
          <cell r="A1829">
            <v>0</v>
          </cell>
          <cell r="B1829">
            <v>0</v>
          </cell>
          <cell r="C1829" t="str">
            <v>Vật liệu</v>
          </cell>
          <cell r="D1829">
            <v>0</v>
          </cell>
          <cell r="E1829">
            <v>0</v>
          </cell>
          <cell r="F1829">
            <v>0</v>
          </cell>
          <cell r="G1829">
            <v>0</v>
          </cell>
          <cell r="H1829">
            <v>0</v>
          </cell>
          <cell r="I1829">
            <v>0</v>
          </cell>
        </row>
        <row r="1830">
          <cell r="A1830">
            <v>0</v>
          </cell>
          <cell r="B1830" t="str">
            <v>VL221</v>
          </cell>
          <cell r="C1830" t="str">
            <v>Điện năng</v>
          </cell>
          <cell r="D1830" t="str">
            <v>Kwh</v>
          </cell>
          <cell r="E1830">
            <v>0.5</v>
          </cell>
          <cell r="F1830">
            <v>1622.01</v>
          </cell>
          <cell r="G1830">
            <v>811.005</v>
          </cell>
          <cell r="H1830">
            <v>0</v>
          </cell>
          <cell r="I1830">
            <v>0</v>
          </cell>
        </row>
        <row r="1831">
          <cell r="A1831">
            <v>0</v>
          </cell>
          <cell r="B1831" t="str">
            <v>VL188</v>
          </cell>
          <cell r="C1831" t="str">
            <v>Vải phin trắng 0,8m</v>
          </cell>
          <cell r="D1831" t="str">
            <v>m</v>
          </cell>
          <cell r="E1831">
            <v>0.05</v>
          </cell>
          <cell r="F1831">
            <v>8000</v>
          </cell>
          <cell r="G1831">
            <v>400</v>
          </cell>
          <cell r="H1831">
            <v>0</v>
          </cell>
          <cell r="I1831">
            <v>0</v>
          </cell>
        </row>
        <row r="1832">
          <cell r="A1832">
            <v>0</v>
          </cell>
          <cell r="B1832" t="str">
            <v>VL177</v>
          </cell>
          <cell r="C1832" t="str">
            <v>Cồn công nghiệp</v>
          </cell>
          <cell r="D1832" t="str">
            <v>kg</v>
          </cell>
          <cell r="E1832">
            <v>2.5000000000000001E-2</v>
          </cell>
          <cell r="F1832">
            <v>20000</v>
          </cell>
          <cell r="G1832">
            <v>500</v>
          </cell>
          <cell r="H1832">
            <v>0</v>
          </cell>
          <cell r="I1832">
            <v>0</v>
          </cell>
        </row>
        <row r="1833">
          <cell r="A1833">
            <v>0</v>
          </cell>
          <cell r="B1833">
            <v>0</v>
          </cell>
          <cell r="C1833" t="str">
            <v>Nhân công</v>
          </cell>
          <cell r="D1833">
            <v>0</v>
          </cell>
          <cell r="E1833">
            <v>0</v>
          </cell>
          <cell r="F1833">
            <v>0</v>
          </cell>
          <cell r="G1833">
            <v>0</v>
          </cell>
          <cell r="H1833">
            <v>0</v>
          </cell>
          <cell r="I1833">
            <v>0</v>
          </cell>
        </row>
        <row r="1834">
          <cell r="A1834">
            <v>0</v>
          </cell>
          <cell r="B1834" t="str">
            <v>KS5</v>
          </cell>
          <cell r="C1834" t="str">
            <v>Kỹ sư bậc 5,0/8</v>
          </cell>
          <cell r="D1834" t="str">
            <v>công</v>
          </cell>
          <cell r="E1834">
            <v>1.24</v>
          </cell>
          <cell r="F1834">
            <v>259007.14285714287</v>
          </cell>
          <cell r="G1834">
            <v>0</v>
          </cell>
          <cell r="H1834">
            <v>321168.85714285716</v>
          </cell>
          <cell r="I1834">
            <v>0</v>
          </cell>
        </row>
        <row r="1835">
          <cell r="A1835">
            <v>0</v>
          </cell>
          <cell r="B1835">
            <v>0</v>
          </cell>
          <cell r="C1835" t="str">
            <v>Máy thi công</v>
          </cell>
          <cell r="D1835">
            <v>0</v>
          </cell>
          <cell r="E1835">
            <v>0</v>
          </cell>
          <cell r="F1835">
            <v>0</v>
          </cell>
          <cell r="G1835">
            <v>0</v>
          </cell>
          <cell r="H1835">
            <v>0</v>
          </cell>
          <cell r="I1835">
            <v>0</v>
          </cell>
        </row>
        <row r="1836">
          <cell r="A1836">
            <v>0</v>
          </cell>
          <cell r="B1836" t="str">
            <v>M203.0025</v>
          </cell>
          <cell r="C1836" t="str">
            <v>Megôm met</v>
          </cell>
          <cell r="D1836" t="str">
            <v>ca</v>
          </cell>
          <cell r="E1836">
            <v>1.2999999999999999E-2</v>
          </cell>
          <cell r="F1836">
            <v>40127.500000000007</v>
          </cell>
          <cell r="G1836">
            <v>0</v>
          </cell>
          <cell r="H1836">
            <v>0</v>
          </cell>
          <cell r="I1836">
            <v>521.65750000000003</v>
          </cell>
        </row>
        <row r="1837">
          <cell r="A1837">
            <v>0</v>
          </cell>
          <cell r="B1837" t="str">
            <v>M203.0008</v>
          </cell>
          <cell r="C1837" t="str">
            <v>Hợp bộ thí nghiệm rơ le</v>
          </cell>
          <cell r="D1837" t="str">
            <v>ca</v>
          </cell>
          <cell r="E1837">
            <v>0.04</v>
          </cell>
          <cell r="F1837">
            <v>760420.34090909106</v>
          </cell>
          <cell r="G1837">
            <v>0</v>
          </cell>
          <cell r="H1837">
            <v>0</v>
          </cell>
          <cell r="I1837">
            <v>30416.813636363644</v>
          </cell>
        </row>
        <row r="1838">
          <cell r="A1838" t="str">
            <v>ED.20010</v>
          </cell>
          <cell r="B1838">
            <v>0</v>
          </cell>
          <cell r="C1838" t="str">
            <v>Thí nghiệm Rơle hơi</v>
          </cell>
          <cell r="D1838" t="str">
            <v>bộ</v>
          </cell>
          <cell r="E1838">
            <v>0</v>
          </cell>
          <cell r="F1838">
            <v>0</v>
          </cell>
          <cell r="G1838">
            <v>104844.02</v>
          </cell>
          <cell r="H1838">
            <v>727810.07142857148</v>
          </cell>
          <cell r="I1838">
            <v>7870.5056818181838</v>
          </cell>
        </row>
        <row r="1839">
          <cell r="A1839">
            <v>0</v>
          </cell>
          <cell r="B1839">
            <v>0</v>
          </cell>
          <cell r="C1839" t="str">
            <v>Vật liệu</v>
          </cell>
          <cell r="D1839">
            <v>0</v>
          </cell>
          <cell r="E1839">
            <v>0</v>
          </cell>
          <cell r="F1839">
            <v>0</v>
          </cell>
          <cell r="G1839">
            <v>0</v>
          </cell>
          <cell r="H1839">
            <v>0</v>
          </cell>
          <cell r="I1839">
            <v>0</v>
          </cell>
        </row>
        <row r="1840">
          <cell r="A1840">
            <v>0</v>
          </cell>
          <cell r="B1840" t="str">
            <v>VL221</v>
          </cell>
          <cell r="C1840" t="str">
            <v>Điện năng</v>
          </cell>
          <cell r="D1840" t="str">
            <v>Kwh</v>
          </cell>
          <cell r="E1840">
            <v>2</v>
          </cell>
          <cell r="F1840">
            <v>1622.01</v>
          </cell>
          <cell r="G1840">
            <v>3244.02</v>
          </cell>
          <cell r="H1840">
            <v>0</v>
          </cell>
          <cell r="I1840">
            <v>0</v>
          </cell>
        </row>
        <row r="1841">
          <cell r="A1841">
            <v>0</v>
          </cell>
          <cell r="B1841" t="str">
            <v>VL176</v>
          </cell>
          <cell r="C1841" t="str">
            <v>Giẻ lau</v>
          </cell>
          <cell r="D1841" t="str">
            <v>m</v>
          </cell>
          <cell r="E1841">
            <v>0.5</v>
          </cell>
          <cell r="F1841">
            <v>5000</v>
          </cell>
          <cell r="G1841">
            <v>2500</v>
          </cell>
          <cell r="H1841">
            <v>0</v>
          </cell>
          <cell r="I1841">
            <v>0</v>
          </cell>
        </row>
        <row r="1842">
          <cell r="A1842">
            <v>0</v>
          </cell>
          <cell r="B1842" t="str">
            <v>VL201</v>
          </cell>
          <cell r="C1842" t="str">
            <v>Dầu biến áp</v>
          </cell>
          <cell r="D1842" t="str">
            <v>kg</v>
          </cell>
          <cell r="E1842">
            <v>4</v>
          </cell>
          <cell r="F1842">
            <v>24775</v>
          </cell>
          <cell r="G1842">
            <v>99100</v>
          </cell>
          <cell r="H1842">
            <v>0</v>
          </cell>
          <cell r="I1842">
            <v>0</v>
          </cell>
        </row>
        <row r="1843">
          <cell r="A1843">
            <v>0</v>
          </cell>
          <cell r="B1843">
            <v>0</v>
          </cell>
          <cell r="C1843" t="str">
            <v>Nhân công</v>
          </cell>
          <cell r="D1843">
            <v>0</v>
          </cell>
          <cell r="E1843">
            <v>0</v>
          </cell>
          <cell r="F1843">
            <v>0</v>
          </cell>
          <cell r="G1843">
            <v>0</v>
          </cell>
          <cell r="H1843">
            <v>0</v>
          </cell>
          <cell r="I1843">
            <v>0</v>
          </cell>
        </row>
        <row r="1844">
          <cell r="A1844">
            <v>0</v>
          </cell>
          <cell r="B1844" t="str">
            <v>KS5</v>
          </cell>
          <cell r="C1844" t="str">
            <v>Kỹ sư bậc 5,0/8</v>
          </cell>
          <cell r="D1844" t="str">
            <v>công</v>
          </cell>
          <cell r="E1844">
            <v>2.81</v>
          </cell>
          <cell r="F1844">
            <v>259007.14285714287</v>
          </cell>
          <cell r="G1844">
            <v>0</v>
          </cell>
          <cell r="H1844">
            <v>727810.07142857148</v>
          </cell>
          <cell r="I1844">
            <v>0</v>
          </cell>
        </row>
        <row r="1845">
          <cell r="A1845">
            <v>0</v>
          </cell>
          <cell r="B1845">
            <v>0</v>
          </cell>
          <cell r="C1845" t="str">
            <v>Máy thi công</v>
          </cell>
          <cell r="D1845">
            <v>0</v>
          </cell>
          <cell r="E1845">
            <v>0</v>
          </cell>
          <cell r="F1845">
            <v>0</v>
          </cell>
          <cell r="G1845">
            <v>0</v>
          </cell>
          <cell r="H1845">
            <v>0</v>
          </cell>
          <cell r="I1845">
            <v>0</v>
          </cell>
        </row>
        <row r="1846">
          <cell r="A1846">
            <v>0</v>
          </cell>
          <cell r="B1846" t="str">
            <v>M203.0026</v>
          </cell>
          <cell r="C1846" t="str">
            <v>Thiết bị kiểm tra áp lực</v>
          </cell>
          <cell r="D1846" t="str">
            <v>ca</v>
          </cell>
          <cell r="E1846">
            <v>0.1</v>
          </cell>
          <cell r="F1846">
            <v>68673.181818181838</v>
          </cell>
          <cell r="G1846">
            <v>0</v>
          </cell>
          <cell r="H1846">
            <v>0</v>
          </cell>
          <cell r="I1846">
            <v>6867.3181818181838</v>
          </cell>
        </row>
        <row r="1847">
          <cell r="A1847">
            <v>0</v>
          </cell>
          <cell r="B1847" t="str">
            <v>M203.0025</v>
          </cell>
          <cell r="C1847" t="str">
            <v>Megôm met</v>
          </cell>
          <cell r="D1847" t="str">
            <v>ca</v>
          </cell>
          <cell r="E1847">
            <v>2.5000000000000001E-2</v>
          </cell>
          <cell r="F1847">
            <v>40127.500000000007</v>
          </cell>
          <cell r="G1847">
            <v>0</v>
          </cell>
          <cell r="H1847">
            <v>0</v>
          </cell>
          <cell r="I1847">
            <v>1003.1875000000002</v>
          </cell>
        </row>
        <row r="1848">
          <cell r="A1848" t="str">
            <v>ED.20020</v>
          </cell>
          <cell r="B1848">
            <v>0</v>
          </cell>
          <cell r="C1848" t="str">
            <v>Thí nghiệm Rơle dòng dầu</v>
          </cell>
          <cell r="D1848" t="str">
            <v>bộ</v>
          </cell>
          <cell r="E1848">
            <v>0</v>
          </cell>
          <cell r="F1848">
            <v>0</v>
          </cell>
          <cell r="G1848">
            <v>83875.216</v>
          </cell>
          <cell r="H1848">
            <v>580176.00000000012</v>
          </cell>
          <cell r="I1848">
            <v>6296.4045454545476</v>
          </cell>
        </row>
        <row r="1849">
          <cell r="A1849">
            <v>0</v>
          </cell>
          <cell r="B1849">
            <v>0</v>
          </cell>
          <cell r="C1849" t="str">
            <v>Vật liệu</v>
          </cell>
          <cell r="D1849">
            <v>0</v>
          </cell>
          <cell r="E1849">
            <v>0</v>
          </cell>
          <cell r="F1849">
            <v>0</v>
          </cell>
          <cell r="G1849">
            <v>0</v>
          </cell>
          <cell r="H1849">
            <v>0</v>
          </cell>
          <cell r="I1849">
            <v>0</v>
          </cell>
        </row>
        <row r="1850">
          <cell r="A1850">
            <v>0</v>
          </cell>
          <cell r="B1850" t="str">
            <v>VL221</v>
          </cell>
          <cell r="C1850" t="str">
            <v>Điện năng</v>
          </cell>
          <cell r="D1850" t="str">
            <v>Kwh</v>
          </cell>
          <cell r="E1850">
            <v>1.6</v>
          </cell>
          <cell r="F1850">
            <v>1622.01</v>
          </cell>
          <cell r="G1850">
            <v>2595.2160000000003</v>
          </cell>
          <cell r="H1850">
            <v>0</v>
          </cell>
          <cell r="I1850">
            <v>0</v>
          </cell>
        </row>
        <row r="1851">
          <cell r="A1851">
            <v>0</v>
          </cell>
          <cell r="B1851" t="str">
            <v>VL176</v>
          </cell>
          <cell r="C1851" t="str">
            <v>Giẻ lau</v>
          </cell>
          <cell r="D1851" t="str">
            <v>m</v>
          </cell>
          <cell r="E1851">
            <v>0.4</v>
          </cell>
          <cell r="F1851">
            <v>5000</v>
          </cell>
          <cell r="G1851">
            <v>2000</v>
          </cell>
          <cell r="H1851">
            <v>0</v>
          </cell>
          <cell r="I1851">
            <v>0</v>
          </cell>
        </row>
        <row r="1852">
          <cell r="A1852">
            <v>0</v>
          </cell>
          <cell r="B1852" t="str">
            <v>VL201</v>
          </cell>
          <cell r="C1852" t="str">
            <v>Dầu biến áp</v>
          </cell>
          <cell r="D1852" t="str">
            <v>kg</v>
          </cell>
          <cell r="E1852">
            <v>3.2</v>
          </cell>
          <cell r="F1852">
            <v>24775</v>
          </cell>
          <cell r="G1852">
            <v>79280</v>
          </cell>
          <cell r="H1852">
            <v>0</v>
          </cell>
          <cell r="I1852">
            <v>0</v>
          </cell>
        </row>
        <row r="1853">
          <cell r="A1853">
            <v>0</v>
          </cell>
          <cell r="B1853">
            <v>0</v>
          </cell>
          <cell r="C1853" t="str">
            <v>Nhân công</v>
          </cell>
          <cell r="D1853">
            <v>0</v>
          </cell>
          <cell r="E1853">
            <v>0</v>
          </cell>
          <cell r="F1853">
            <v>0</v>
          </cell>
          <cell r="G1853">
            <v>0</v>
          </cell>
          <cell r="H1853">
            <v>0</v>
          </cell>
          <cell r="I1853">
            <v>0</v>
          </cell>
        </row>
        <row r="1854">
          <cell r="A1854">
            <v>0</v>
          </cell>
          <cell r="B1854" t="str">
            <v>KS5</v>
          </cell>
          <cell r="C1854" t="str">
            <v>Kỹ sư bậc 5,0/8</v>
          </cell>
          <cell r="D1854" t="str">
            <v>công</v>
          </cell>
          <cell r="E1854">
            <v>2.2400000000000002</v>
          </cell>
          <cell r="F1854">
            <v>259007.14285714287</v>
          </cell>
          <cell r="G1854">
            <v>0</v>
          </cell>
          <cell r="H1854">
            <v>580176.00000000012</v>
          </cell>
          <cell r="I1854">
            <v>0</v>
          </cell>
        </row>
        <row r="1855">
          <cell r="A1855">
            <v>0</v>
          </cell>
          <cell r="B1855">
            <v>0</v>
          </cell>
          <cell r="C1855" t="str">
            <v>Máy thi công</v>
          </cell>
          <cell r="D1855">
            <v>0</v>
          </cell>
          <cell r="E1855">
            <v>0</v>
          </cell>
          <cell r="F1855">
            <v>0</v>
          </cell>
          <cell r="G1855">
            <v>0</v>
          </cell>
          <cell r="H1855">
            <v>0</v>
          </cell>
          <cell r="I1855">
            <v>0</v>
          </cell>
        </row>
        <row r="1856">
          <cell r="A1856">
            <v>0</v>
          </cell>
          <cell r="B1856" t="str">
            <v>M203.0026</v>
          </cell>
          <cell r="C1856" t="str">
            <v>Thiết bị kiểm tra áp lực</v>
          </cell>
          <cell r="D1856" t="str">
            <v>ca</v>
          </cell>
          <cell r="E1856">
            <v>0.08</v>
          </cell>
          <cell r="F1856">
            <v>68673.181818181838</v>
          </cell>
          <cell r="G1856">
            <v>0</v>
          </cell>
          <cell r="H1856">
            <v>0</v>
          </cell>
          <cell r="I1856">
            <v>5493.8545454545474</v>
          </cell>
        </row>
        <row r="1857">
          <cell r="A1857">
            <v>0</v>
          </cell>
          <cell r="B1857" t="str">
            <v>M203.0025</v>
          </cell>
          <cell r="C1857" t="str">
            <v>Megôm met</v>
          </cell>
          <cell r="D1857" t="str">
            <v>ca</v>
          </cell>
          <cell r="E1857">
            <v>0.02</v>
          </cell>
          <cell r="F1857">
            <v>40127.500000000007</v>
          </cell>
          <cell r="G1857">
            <v>0</v>
          </cell>
          <cell r="H1857">
            <v>0</v>
          </cell>
          <cell r="I1857">
            <v>802.55000000000018</v>
          </cell>
        </row>
        <row r="1858">
          <cell r="A1858" t="str">
            <v>ED.21000</v>
          </cell>
          <cell r="B1858">
            <v>0</v>
          </cell>
          <cell r="C1858" t="str">
            <v>Thí nghiệm thiết bị tích hợp mức ngăn</v>
          </cell>
          <cell r="D1858" t="str">
            <v>bộ</v>
          </cell>
          <cell r="E1858">
            <v>0</v>
          </cell>
          <cell r="F1858">
            <v>0</v>
          </cell>
          <cell r="G1858">
            <v>7833.0149999999994</v>
          </cell>
          <cell r="H1858">
            <v>3729702.8571428573</v>
          </cell>
          <cell r="I1858">
            <v>194719.74772727277</v>
          </cell>
        </row>
        <row r="1859">
          <cell r="A1859">
            <v>0</v>
          </cell>
          <cell r="B1859">
            <v>0</v>
          </cell>
          <cell r="C1859" t="str">
            <v>Vật liệu</v>
          </cell>
          <cell r="D1859">
            <v>0</v>
          </cell>
          <cell r="E1859">
            <v>0</v>
          </cell>
          <cell r="F1859">
            <v>0</v>
          </cell>
          <cell r="G1859">
            <v>0</v>
          </cell>
          <cell r="H1859">
            <v>0</v>
          </cell>
          <cell r="I1859">
            <v>0</v>
          </cell>
        </row>
        <row r="1860">
          <cell r="A1860">
            <v>0</v>
          </cell>
          <cell r="B1860" t="str">
            <v>VL221</v>
          </cell>
          <cell r="C1860" t="str">
            <v>Điện năng</v>
          </cell>
          <cell r="D1860" t="str">
            <v>Kwh</v>
          </cell>
          <cell r="E1860">
            <v>1.5</v>
          </cell>
          <cell r="F1860">
            <v>1622.01</v>
          </cell>
          <cell r="G1860">
            <v>2433.0149999999999</v>
          </cell>
          <cell r="H1860">
            <v>0</v>
          </cell>
          <cell r="I1860">
            <v>0</v>
          </cell>
        </row>
        <row r="1861">
          <cell r="A1861">
            <v>0</v>
          </cell>
          <cell r="B1861" t="str">
            <v>VL188</v>
          </cell>
          <cell r="C1861" t="str">
            <v>Vải phin trắng 0,8m</v>
          </cell>
          <cell r="D1861" t="str">
            <v>m</v>
          </cell>
          <cell r="E1861">
            <v>0.3</v>
          </cell>
          <cell r="F1861">
            <v>8000</v>
          </cell>
          <cell r="G1861">
            <v>2400</v>
          </cell>
          <cell r="H1861">
            <v>0</v>
          </cell>
          <cell r="I1861">
            <v>0</v>
          </cell>
        </row>
        <row r="1862">
          <cell r="A1862">
            <v>0</v>
          </cell>
          <cell r="B1862" t="str">
            <v>VL177</v>
          </cell>
          <cell r="C1862" t="str">
            <v>Cồn công nghiệp</v>
          </cell>
          <cell r="D1862" t="str">
            <v>kg</v>
          </cell>
          <cell r="E1862">
            <v>0.15</v>
          </cell>
          <cell r="F1862">
            <v>20000</v>
          </cell>
          <cell r="G1862">
            <v>3000</v>
          </cell>
          <cell r="H1862">
            <v>0</v>
          </cell>
          <cell r="I1862">
            <v>0</v>
          </cell>
        </row>
        <row r="1863">
          <cell r="A1863">
            <v>0</v>
          </cell>
          <cell r="B1863">
            <v>0</v>
          </cell>
          <cell r="C1863" t="str">
            <v>Nhân công</v>
          </cell>
          <cell r="D1863">
            <v>0</v>
          </cell>
          <cell r="E1863">
            <v>0</v>
          </cell>
          <cell r="F1863">
            <v>0</v>
          </cell>
          <cell r="G1863">
            <v>0</v>
          </cell>
          <cell r="H1863">
            <v>0</v>
          </cell>
          <cell r="I1863">
            <v>0</v>
          </cell>
        </row>
        <row r="1864">
          <cell r="A1864">
            <v>0</v>
          </cell>
          <cell r="B1864" t="str">
            <v>KS5</v>
          </cell>
          <cell r="C1864" t="str">
            <v>Kỹ sư bậc 5,0/8</v>
          </cell>
          <cell r="D1864" t="str">
            <v>công</v>
          </cell>
          <cell r="E1864">
            <v>14.4</v>
          </cell>
          <cell r="F1864">
            <v>259007.14285714287</v>
          </cell>
          <cell r="G1864">
            <v>0</v>
          </cell>
          <cell r="H1864">
            <v>3729702.8571428573</v>
          </cell>
          <cell r="I1864">
            <v>0</v>
          </cell>
        </row>
        <row r="1865">
          <cell r="A1865">
            <v>0</v>
          </cell>
          <cell r="B1865">
            <v>0</v>
          </cell>
          <cell r="C1865" t="str">
            <v>Máy thi công</v>
          </cell>
          <cell r="D1865">
            <v>0</v>
          </cell>
          <cell r="E1865">
            <v>0</v>
          </cell>
          <cell r="F1865">
            <v>0</v>
          </cell>
          <cell r="G1865">
            <v>0</v>
          </cell>
          <cell r="H1865">
            <v>0</v>
          </cell>
          <cell r="I1865">
            <v>0</v>
          </cell>
        </row>
        <row r="1866">
          <cell r="A1866">
            <v>0</v>
          </cell>
          <cell r="B1866" t="str">
            <v>M203.0025</v>
          </cell>
          <cell r="C1866" t="str">
            <v>Megôm met</v>
          </cell>
          <cell r="D1866" t="str">
            <v>ca</v>
          </cell>
          <cell r="E1866">
            <v>0.115</v>
          </cell>
          <cell r="F1866">
            <v>40127.500000000007</v>
          </cell>
          <cell r="G1866">
            <v>0</v>
          </cell>
          <cell r="H1866">
            <v>0</v>
          </cell>
          <cell r="I1866">
            <v>4614.6625000000013</v>
          </cell>
        </row>
        <row r="1867">
          <cell r="A1867">
            <v>0</v>
          </cell>
          <cell r="B1867" t="str">
            <v>M203.0008</v>
          </cell>
          <cell r="C1867" t="str">
            <v>Hợp bộ thí nghiệm rơ le</v>
          </cell>
          <cell r="D1867" t="str">
            <v>ca</v>
          </cell>
          <cell r="E1867">
            <v>0.25</v>
          </cell>
          <cell r="F1867">
            <v>760420.34090909106</v>
          </cell>
          <cell r="G1867">
            <v>0</v>
          </cell>
          <cell r="H1867">
            <v>0</v>
          </cell>
          <cell r="I1867">
            <v>190105.08522727276</v>
          </cell>
        </row>
        <row r="1868">
          <cell r="A1868" t="str">
            <v>ED.22000</v>
          </cell>
          <cell r="B1868">
            <v>0</v>
          </cell>
          <cell r="C1868" t="str">
            <v>Thí nghiệm thiết bị tích hợp mức trạm ( Khối điều khiển trung tâm )</v>
          </cell>
          <cell r="D1868" t="str">
            <v>bộ</v>
          </cell>
          <cell r="E1868">
            <v>0</v>
          </cell>
          <cell r="F1868">
            <v>0</v>
          </cell>
          <cell r="G1868">
            <v>5483.1104999999998</v>
          </cell>
          <cell r="H1868">
            <v>2983762.2857142859</v>
          </cell>
          <cell r="I1868">
            <v>155775.79818181822</v>
          </cell>
        </row>
        <row r="1869">
          <cell r="A1869">
            <v>0</v>
          </cell>
          <cell r="B1869">
            <v>0</v>
          </cell>
          <cell r="C1869" t="str">
            <v>Vật liệu</v>
          </cell>
          <cell r="D1869">
            <v>0</v>
          </cell>
          <cell r="E1869">
            <v>0</v>
          </cell>
          <cell r="F1869">
            <v>0</v>
          </cell>
          <cell r="G1869">
            <v>0</v>
          </cell>
          <cell r="H1869">
            <v>0</v>
          </cell>
          <cell r="I1869">
            <v>0</v>
          </cell>
        </row>
        <row r="1870">
          <cell r="A1870">
            <v>0</v>
          </cell>
          <cell r="B1870" t="str">
            <v>VL221</v>
          </cell>
          <cell r="C1870" t="str">
            <v>Điện năng</v>
          </cell>
          <cell r="D1870" t="str">
            <v>Kwh</v>
          </cell>
          <cell r="E1870">
            <v>1.05</v>
          </cell>
          <cell r="F1870">
            <v>1622.01</v>
          </cell>
          <cell r="G1870">
            <v>1703.1105</v>
          </cell>
          <cell r="H1870">
            <v>0</v>
          </cell>
          <cell r="I1870">
            <v>0</v>
          </cell>
        </row>
        <row r="1871">
          <cell r="A1871">
            <v>0</v>
          </cell>
          <cell r="B1871" t="str">
            <v>VL188</v>
          </cell>
          <cell r="C1871" t="str">
            <v>Vải phin trắng 0,8m</v>
          </cell>
          <cell r="D1871" t="str">
            <v>m</v>
          </cell>
          <cell r="E1871">
            <v>0.21</v>
          </cell>
          <cell r="F1871">
            <v>8000</v>
          </cell>
          <cell r="G1871">
            <v>1680</v>
          </cell>
          <cell r="H1871">
            <v>0</v>
          </cell>
          <cell r="I1871">
            <v>0</v>
          </cell>
        </row>
        <row r="1872">
          <cell r="A1872">
            <v>0</v>
          </cell>
          <cell r="B1872" t="str">
            <v>VL177</v>
          </cell>
          <cell r="C1872" t="str">
            <v>Cồn công nghiệp</v>
          </cell>
          <cell r="D1872" t="str">
            <v>kg</v>
          </cell>
          <cell r="E1872">
            <v>0.105</v>
          </cell>
          <cell r="F1872">
            <v>20000</v>
          </cell>
          <cell r="G1872">
            <v>2100</v>
          </cell>
          <cell r="H1872">
            <v>0</v>
          </cell>
          <cell r="I1872">
            <v>0</v>
          </cell>
        </row>
        <row r="1873">
          <cell r="A1873">
            <v>0</v>
          </cell>
          <cell r="B1873">
            <v>0</v>
          </cell>
          <cell r="C1873" t="str">
            <v>Nhân công</v>
          </cell>
          <cell r="D1873">
            <v>0</v>
          </cell>
          <cell r="E1873">
            <v>0</v>
          </cell>
          <cell r="F1873">
            <v>0</v>
          </cell>
          <cell r="G1873">
            <v>0</v>
          </cell>
          <cell r="H1873">
            <v>0</v>
          </cell>
          <cell r="I1873">
            <v>0</v>
          </cell>
        </row>
        <row r="1874">
          <cell r="A1874">
            <v>0</v>
          </cell>
          <cell r="B1874" t="str">
            <v>KS5</v>
          </cell>
          <cell r="C1874" t="str">
            <v>Kỹ sư bậc 5,0/8</v>
          </cell>
          <cell r="D1874" t="str">
            <v>công</v>
          </cell>
          <cell r="E1874">
            <v>11.52</v>
          </cell>
          <cell r="F1874">
            <v>259007.14285714287</v>
          </cell>
          <cell r="G1874">
            <v>0</v>
          </cell>
          <cell r="H1874">
            <v>2983762.2857142859</v>
          </cell>
          <cell r="I1874">
            <v>0</v>
          </cell>
        </row>
        <row r="1875">
          <cell r="A1875">
            <v>0</v>
          </cell>
          <cell r="B1875">
            <v>0</v>
          </cell>
          <cell r="C1875" t="str">
            <v>Máy thi công</v>
          </cell>
          <cell r="D1875">
            <v>0</v>
          </cell>
          <cell r="E1875">
            <v>0</v>
          </cell>
          <cell r="F1875">
            <v>0</v>
          </cell>
          <cell r="G1875">
            <v>0</v>
          </cell>
          <cell r="H1875">
            <v>0</v>
          </cell>
          <cell r="I1875">
            <v>0</v>
          </cell>
        </row>
        <row r="1876">
          <cell r="A1876">
            <v>0</v>
          </cell>
          <cell r="B1876" t="str">
            <v>M203.0025</v>
          </cell>
          <cell r="C1876" t="str">
            <v>Megôm met</v>
          </cell>
          <cell r="D1876" t="str">
            <v>ca</v>
          </cell>
          <cell r="E1876">
            <v>9.1999999999999998E-2</v>
          </cell>
          <cell r="F1876">
            <v>40127.500000000007</v>
          </cell>
          <cell r="G1876">
            <v>0</v>
          </cell>
          <cell r="H1876">
            <v>0</v>
          </cell>
          <cell r="I1876">
            <v>3691.7300000000005</v>
          </cell>
        </row>
        <row r="1877">
          <cell r="A1877">
            <v>0</v>
          </cell>
          <cell r="B1877" t="str">
            <v>M203.0008</v>
          </cell>
          <cell r="C1877" t="str">
            <v>Hợp bộ thí nghiệm rơ le</v>
          </cell>
          <cell r="D1877" t="str">
            <v>ca</v>
          </cell>
          <cell r="E1877">
            <v>0.2</v>
          </cell>
          <cell r="F1877">
            <v>760420.34090909106</v>
          </cell>
          <cell r="G1877">
            <v>0</v>
          </cell>
          <cell r="H1877">
            <v>0</v>
          </cell>
          <cell r="I1877">
            <v>152084.06818181821</v>
          </cell>
        </row>
        <row r="1878">
          <cell r="A1878" t="str">
            <v>EE.10010</v>
          </cell>
          <cell r="B1878">
            <v>0</v>
          </cell>
          <cell r="C1878" t="str">
            <v>Thí nghiệm Ampemet loại AC</v>
          </cell>
          <cell r="D1878" t="str">
            <v>cái</v>
          </cell>
          <cell r="E1878">
            <v>0</v>
          </cell>
          <cell r="F1878">
            <v>0</v>
          </cell>
          <cell r="G1878">
            <v>1993.7322727272726</v>
          </cell>
          <cell r="H1878">
            <v>242366.80263157893</v>
          </cell>
          <cell r="I1878">
            <v>4598.2761363636373</v>
          </cell>
        </row>
        <row r="1879">
          <cell r="A1879">
            <v>0</v>
          </cell>
          <cell r="B1879">
            <v>0</v>
          </cell>
          <cell r="C1879" t="str">
            <v>Vật liệu</v>
          </cell>
          <cell r="D1879">
            <v>0</v>
          </cell>
          <cell r="E1879">
            <v>0</v>
          </cell>
          <cell r="F1879">
            <v>0</v>
          </cell>
          <cell r="G1879">
            <v>0</v>
          </cell>
          <cell r="H1879">
            <v>0</v>
          </cell>
          <cell r="I1879">
            <v>0</v>
          </cell>
        </row>
        <row r="1880">
          <cell r="A1880">
            <v>0</v>
          </cell>
          <cell r="B1880" t="str">
            <v>VL221</v>
          </cell>
          <cell r="C1880" t="str">
            <v>Điện năng</v>
          </cell>
          <cell r="D1880" t="str">
            <v>Kwh</v>
          </cell>
          <cell r="E1880">
            <v>0.5</v>
          </cell>
          <cell r="F1880">
            <v>1622.01</v>
          </cell>
          <cell r="G1880">
            <v>811.005</v>
          </cell>
          <cell r="H1880">
            <v>0</v>
          </cell>
          <cell r="I1880">
            <v>0</v>
          </cell>
        </row>
        <row r="1881">
          <cell r="A1881">
            <v>0</v>
          </cell>
          <cell r="B1881" t="str">
            <v>VL188</v>
          </cell>
          <cell r="C1881" t="str">
            <v>Vải phin trắng 0,8m</v>
          </cell>
          <cell r="D1881" t="str">
            <v>m</v>
          </cell>
          <cell r="E1881">
            <v>0.01</v>
          </cell>
          <cell r="F1881">
            <v>8000</v>
          </cell>
          <cell r="G1881">
            <v>80</v>
          </cell>
          <cell r="H1881">
            <v>0</v>
          </cell>
          <cell r="I1881">
            <v>0</v>
          </cell>
        </row>
        <row r="1882">
          <cell r="A1882">
            <v>0</v>
          </cell>
          <cell r="B1882" t="str">
            <v>VL177</v>
          </cell>
          <cell r="C1882" t="str">
            <v>Cồn công nghiệp</v>
          </cell>
          <cell r="D1882" t="str">
            <v>kg</v>
          </cell>
          <cell r="E1882">
            <v>0.01</v>
          </cell>
          <cell r="F1882">
            <v>20000</v>
          </cell>
          <cell r="G1882">
            <v>200</v>
          </cell>
          <cell r="H1882">
            <v>0</v>
          </cell>
          <cell r="I1882">
            <v>0</v>
          </cell>
        </row>
        <row r="1883">
          <cell r="A1883">
            <v>0</v>
          </cell>
          <cell r="B1883" t="str">
            <v>VL198</v>
          </cell>
          <cell r="C1883" t="str">
            <v>Dây điện 2x1,5mm2</v>
          </cell>
          <cell r="D1883" t="str">
            <v>m</v>
          </cell>
          <cell r="E1883">
            <v>0.1</v>
          </cell>
          <cell r="F1883">
            <v>9027.2727272727261</v>
          </cell>
          <cell r="G1883">
            <v>902.72727272727263</v>
          </cell>
          <cell r="H1883">
            <v>0</v>
          </cell>
          <cell r="I1883">
            <v>0</v>
          </cell>
        </row>
        <row r="1884">
          <cell r="A1884">
            <v>0</v>
          </cell>
          <cell r="B1884">
            <v>0</v>
          </cell>
          <cell r="C1884" t="str">
            <v>Nhân công</v>
          </cell>
          <cell r="D1884">
            <v>0</v>
          </cell>
          <cell r="E1884">
            <v>0</v>
          </cell>
          <cell r="F1884">
            <v>0</v>
          </cell>
          <cell r="G1884">
            <v>0</v>
          </cell>
          <cell r="H1884">
            <v>0</v>
          </cell>
          <cell r="I1884">
            <v>0</v>
          </cell>
        </row>
        <row r="1885">
          <cell r="A1885">
            <v>0</v>
          </cell>
          <cell r="B1885" t="str">
            <v>KS3</v>
          </cell>
          <cell r="C1885" t="str">
            <v>Kỹ sư bậc 3,0/8</v>
          </cell>
          <cell r="D1885" t="str">
            <v>công</v>
          </cell>
          <cell r="E1885">
            <v>0.69</v>
          </cell>
          <cell r="F1885">
            <v>213300</v>
          </cell>
          <cell r="G1885">
            <v>0</v>
          </cell>
          <cell r="H1885">
            <v>147177</v>
          </cell>
          <cell r="I1885">
            <v>0</v>
          </cell>
        </row>
        <row r="1886">
          <cell r="A1886">
            <v>0</v>
          </cell>
          <cell r="B1886" t="str">
            <v>N4407</v>
          </cell>
          <cell r="C1886" t="str">
            <v xml:space="preserve"> Nhân công bậc 4,0/7 - Nhóm 4</v>
          </cell>
          <cell r="D1886" t="str">
            <v>công</v>
          </cell>
          <cell r="E1886">
            <v>0.37</v>
          </cell>
          <cell r="F1886">
            <v>257269.73684210525</v>
          </cell>
          <cell r="G1886">
            <v>0</v>
          </cell>
          <cell r="H1886">
            <v>95189.802631578947</v>
          </cell>
          <cell r="I1886">
            <v>0</v>
          </cell>
        </row>
        <row r="1887">
          <cell r="A1887">
            <v>0</v>
          </cell>
          <cell r="B1887">
            <v>0</v>
          </cell>
          <cell r="C1887" t="str">
            <v>Máy thi công</v>
          </cell>
          <cell r="D1887">
            <v>0</v>
          </cell>
          <cell r="E1887">
            <v>0</v>
          </cell>
          <cell r="F1887">
            <v>0</v>
          </cell>
          <cell r="G1887">
            <v>0</v>
          </cell>
          <cell r="H1887">
            <v>0</v>
          </cell>
          <cell r="I1887">
            <v>0</v>
          </cell>
        </row>
        <row r="1888">
          <cell r="A1888">
            <v>0</v>
          </cell>
          <cell r="B1888" t="str">
            <v>M203.0019</v>
          </cell>
          <cell r="C1888" t="str">
            <v>Máy đo vạn năng</v>
          </cell>
          <cell r="D1888" t="str">
            <v>ca</v>
          </cell>
          <cell r="E1888">
            <v>0.02</v>
          </cell>
          <cell r="F1888">
            <v>120291.81818181821</v>
          </cell>
          <cell r="G1888">
            <v>0</v>
          </cell>
          <cell r="H1888">
            <v>0</v>
          </cell>
          <cell r="I1888">
            <v>2405.8363636363642</v>
          </cell>
        </row>
        <row r="1889">
          <cell r="A1889">
            <v>0</v>
          </cell>
          <cell r="B1889" t="str">
            <v>M203.0025</v>
          </cell>
          <cell r="C1889" t="str">
            <v>Megôm met</v>
          </cell>
          <cell r="D1889" t="str">
            <v>ca</v>
          </cell>
          <cell r="E1889">
            <v>1.4999999999999999E-2</v>
          </cell>
          <cell r="F1889">
            <v>40127.500000000007</v>
          </cell>
          <cell r="G1889">
            <v>0</v>
          </cell>
          <cell r="H1889">
            <v>0</v>
          </cell>
          <cell r="I1889">
            <v>601.91250000000014</v>
          </cell>
        </row>
        <row r="1890">
          <cell r="A1890">
            <v>0</v>
          </cell>
          <cell r="B1890" t="str">
            <v>M203.0002</v>
          </cell>
          <cell r="C1890" t="str">
            <v>Bộ nguồn AC-DC</v>
          </cell>
          <cell r="D1890" t="str">
            <v>ca</v>
          </cell>
          <cell r="E1890">
            <v>0.04</v>
          </cell>
          <cell r="F1890">
            <v>39763.181818181831</v>
          </cell>
          <cell r="G1890">
            <v>0</v>
          </cell>
          <cell r="H1890">
            <v>0</v>
          </cell>
          <cell r="I1890">
            <v>1590.5272727272732</v>
          </cell>
        </row>
        <row r="1891">
          <cell r="A1891" t="str">
            <v>EE.10020</v>
          </cell>
          <cell r="B1891">
            <v>0</v>
          </cell>
          <cell r="C1891" t="str">
            <v>Thí nghiệm Ampemet loại DC</v>
          </cell>
          <cell r="D1891" t="str">
            <v>cái</v>
          </cell>
          <cell r="E1891">
            <v>0</v>
          </cell>
          <cell r="F1891">
            <v>0</v>
          </cell>
          <cell r="G1891">
            <v>1588.2297727272726</v>
          </cell>
          <cell r="H1891">
            <v>221850.71052631579</v>
          </cell>
          <cell r="I1891">
            <v>4198.2754545454554</v>
          </cell>
        </row>
        <row r="1892">
          <cell r="A1892">
            <v>0</v>
          </cell>
          <cell r="B1892">
            <v>0</v>
          </cell>
          <cell r="C1892" t="str">
            <v>Vật liệu</v>
          </cell>
          <cell r="D1892">
            <v>0</v>
          </cell>
          <cell r="E1892">
            <v>0</v>
          </cell>
          <cell r="F1892">
            <v>0</v>
          </cell>
          <cell r="G1892">
            <v>0</v>
          </cell>
          <cell r="H1892">
            <v>0</v>
          </cell>
          <cell r="I1892">
            <v>0</v>
          </cell>
        </row>
        <row r="1893">
          <cell r="A1893">
            <v>0</v>
          </cell>
          <cell r="B1893" t="str">
            <v>VL221</v>
          </cell>
          <cell r="C1893" t="str">
            <v>Điện năng</v>
          </cell>
          <cell r="D1893" t="str">
            <v>Kwh</v>
          </cell>
          <cell r="E1893">
            <v>0.25</v>
          </cell>
          <cell r="F1893">
            <v>1622.01</v>
          </cell>
          <cell r="G1893">
            <v>405.5025</v>
          </cell>
          <cell r="H1893">
            <v>0</v>
          </cell>
          <cell r="I1893">
            <v>0</v>
          </cell>
        </row>
        <row r="1894">
          <cell r="A1894">
            <v>0</v>
          </cell>
          <cell r="B1894" t="str">
            <v>VL188</v>
          </cell>
          <cell r="C1894" t="str">
            <v>Vải phin trắng 0,8m</v>
          </cell>
          <cell r="D1894" t="str">
            <v>m</v>
          </cell>
          <cell r="E1894">
            <v>0.01</v>
          </cell>
          <cell r="F1894">
            <v>8000</v>
          </cell>
          <cell r="G1894">
            <v>80</v>
          </cell>
          <cell r="H1894">
            <v>0</v>
          </cell>
          <cell r="I1894">
            <v>0</v>
          </cell>
        </row>
        <row r="1895">
          <cell r="A1895">
            <v>0</v>
          </cell>
          <cell r="B1895" t="str">
            <v>VL177</v>
          </cell>
          <cell r="C1895" t="str">
            <v>Cồn công nghiệp</v>
          </cell>
          <cell r="D1895" t="str">
            <v>kg</v>
          </cell>
          <cell r="E1895">
            <v>0.01</v>
          </cell>
          <cell r="F1895">
            <v>20000</v>
          </cell>
          <cell r="G1895">
            <v>200</v>
          </cell>
          <cell r="H1895">
            <v>0</v>
          </cell>
          <cell r="I1895">
            <v>0</v>
          </cell>
        </row>
        <row r="1896">
          <cell r="A1896">
            <v>0</v>
          </cell>
          <cell r="B1896" t="str">
            <v>VL198</v>
          </cell>
          <cell r="C1896" t="str">
            <v>Dây điện 2x1,5mm2</v>
          </cell>
          <cell r="D1896" t="str">
            <v>m</v>
          </cell>
          <cell r="E1896">
            <v>0.1</v>
          </cell>
          <cell r="F1896">
            <v>9027.2727272727261</v>
          </cell>
          <cell r="G1896">
            <v>902.72727272727263</v>
          </cell>
          <cell r="H1896">
            <v>0</v>
          </cell>
          <cell r="I1896">
            <v>0</v>
          </cell>
        </row>
        <row r="1897">
          <cell r="A1897">
            <v>0</v>
          </cell>
          <cell r="B1897">
            <v>0</v>
          </cell>
          <cell r="C1897" t="str">
            <v>Nhân công</v>
          </cell>
          <cell r="D1897">
            <v>0</v>
          </cell>
          <cell r="E1897">
            <v>0</v>
          </cell>
          <cell r="F1897">
            <v>0</v>
          </cell>
          <cell r="G1897">
            <v>0</v>
          </cell>
          <cell r="H1897">
            <v>0</v>
          </cell>
          <cell r="I1897">
            <v>0</v>
          </cell>
        </row>
        <row r="1898">
          <cell r="A1898">
            <v>0</v>
          </cell>
          <cell r="B1898" t="str">
            <v>KS3</v>
          </cell>
          <cell r="C1898" t="str">
            <v>Kỹ sư bậc 3,0/8</v>
          </cell>
          <cell r="D1898" t="str">
            <v>công</v>
          </cell>
          <cell r="E1898">
            <v>0.63</v>
          </cell>
          <cell r="F1898">
            <v>213300</v>
          </cell>
          <cell r="G1898">
            <v>0</v>
          </cell>
          <cell r="H1898">
            <v>134379</v>
          </cell>
          <cell r="I1898">
            <v>0</v>
          </cell>
        </row>
        <row r="1899">
          <cell r="A1899">
            <v>0</v>
          </cell>
          <cell r="B1899" t="str">
            <v>N4407</v>
          </cell>
          <cell r="C1899" t="str">
            <v xml:space="preserve"> Nhân công bậc 4,0/7 - Nhóm 4</v>
          </cell>
          <cell r="D1899" t="str">
            <v>công</v>
          </cell>
          <cell r="E1899">
            <v>0.34</v>
          </cell>
          <cell r="F1899">
            <v>257269.73684210525</v>
          </cell>
          <cell r="G1899">
            <v>0</v>
          </cell>
          <cell r="H1899">
            <v>87471.710526315786</v>
          </cell>
          <cell r="I1899">
            <v>0</v>
          </cell>
        </row>
        <row r="1900">
          <cell r="A1900">
            <v>0</v>
          </cell>
          <cell r="B1900">
            <v>0</v>
          </cell>
          <cell r="C1900" t="str">
            <v>Máy thi công</v>
          </cell>
          <cell r="D1900">
            <v>0</v>
          </cell>
          <cell r="E1900">
            <v>0</v>
          </cell>
          <cell r="F1900">
            <v>0</v>
          </cell>
          <cell r="G1900">
            <v>0</v>
          </cell>
          <cell r="H1900">
            <v>0</v>
          </cell>
          <cell r="I1900">
            <v>0</v>
          </cell>
        </row>
        <row r="1901">
          <cell r="A1901">
            <v>0</v>
          </cell>
          <cell r="B1901" t="str">
            <v>M203.0019</v>
          </cell>
          <cell r="C1901" t="str">
            <v>Máy đo vạn năng</v>
          </cell>
          <cell r="D1901" t="str">
            <v>ca</v>
          </cell>
          <cell r="E1901">
            <v>1.7999999999999999E-2</v>
          </cell>
          <cell r="F1901">
            <v>120291.81818181821</v>
          </cell>
          <cell r="G1901">
            <v>0</v>
          </cell>
          <cell r="H1901">
            <v>0</v>
          </cell>
          <cell r="I1901">
            <v>2165.2527272727275</v>
          </cell>
        </row>
        <row r="1902">
          <cell r="A1902">
            <v>0</v>
          </cell>
          <cell r="B1902" t="str">
            <v>M203.0025</v>
          </cell>
          <cell r="C1902" t="str">
            <v>Megôm met</v>
          </cell>
          <cell r="D1902" t="str">
            <v>ca</v>
          </cell>
          <cell r="E1902">
            <v>1.4E-2</v>
          </cell>
          <cell r="F1902">
            <v>40127.500000000007</v>
          </cell>
          <cell r="G1902">
            <v>0</v>
          </cell>
          <cell r="H1902">
            <v>0</v>
          </cell>
          <cell r="I1902">
            <v>561.78500000000008</v>
          </cell>
        </row>
        <row r="1903">
          <cell r="A1903">
            <v>0</v>
          </cell>
          <cell r="B1903" t="str">
            <v>M203.0002</v>
          </cell>
          <cell r="C1903" t="str">
            <v>Bộ nguồn AC-DC</v>
          </cell>
          <cell r="D1903" t="str">
            <v>ca</v>
          </cell>
          <cell r="E1903">
            <v>3.6999999999999998E-2</v>
          </cell>
          <cell r="F1903">
            <v>39763.181818181831</v>
          </cell>
          <cell r="G1903">
            <v>0</v>
          </cell>
          <cell r="H1903">
            <v>0</v>
          </cell>
          <cell r="I1903">
            <v>1471.2377272727276</v>
          </cell>
        </row>
        <row r="1904">
          <cell r="A1904" t="str">
            <v>EE.10030</v>
          </cell>
          <cell r="B1904">
            <v>0</v>
          </cell>
          <cell r="C1904" t="str">
            <v>Thí nghiệm Vonmet loại AC</v>
          </cell>
          <cell r="D1904" t="str">
            <v>cái</v>
          </cell>
          <cell r="E1904">
            <v>0</v>
          </cell>
          <cell r="F1904">
            <v>0</v>
          </cell>
          <cell r="G1904">
            <v>1993.7322727272726</v>
          </cell>
          <cell r="H1904">
            <v>242366.80263157893</v>
          </cell>
          <cell r="I1904">
            <v>4598.2761363636373</v>
          </cell>
        </row>
        <row r="1905">
          <cell r="A1905">
            <v>0</v>
          </cell>
          <cell r="B1905">
            <v>0</v>
          </cell>
          <cell r="C1905" t="str">
            <v>Vật liệu</v>
          </cell>
          <cell r="D1905">
            <v>0</v>
          </cell>
          <cell r="E1905">
            <v>0</v>
          </cell>
          <cell r="F1905">
            <v>0</v>
          </cell>
          <cell r="G1905">
            <v>0</v>
          </cell>
          <cell r="H1905">
            <v>0</v>
          </cell>
          <cell r="I1905">
            <v>0</v>
          </cell>
        </row>
        <row r="1906">
          <cell r="A1906">
            <v>0</v>
          </cell>
          <cell r="B1906" t="str">
            <v>VL221</v>
          </cell>
          <cell r="C1906" t="str">
            <v>Điện năng</v>
          </cell>
          <cell r="D1906" t="str">
            <v>Kwh</v>
          </cell>
          <cell r="E1906">
            <v>0.5</v>
          </cell>
          <cell r="F1906">
            <v>1622.01</v>
          </cell>
          <cell r="G1906">
            <v>811.005</v>
          </cell>
          <cell r="H1906">
            <v>0</v>
          </cell>
          <cell r="I1906">
            <v>0</v>
          </cell>
        </row>
        <row r="1907">
          <cell r="A1907">
            <v>0</v>
          </cell>
          <cell r="B1907" t="str">
            <v>VL188</v>
          </cell>
          <cell r="C1907" t="str">
            <v>Vải phin trắng 0,8m</v>
          </cell>
          <cell r="D1907" t="str">
            <v>m</v>
          </cell>
          <cell r="E1907">
            <v>0.01</v>
          </cell>
          <cell r="F1907">
            <v>8000</v>
          </cell>
          <cell r="G1907">
            <v>80</v>
          </cell>
          <cell r="H1907">
            <v>0</v>
          </cell>
          <cell r="I1907">
            <v>0</v>
          </cell>
        </row>
        <row r="1908">
          <cell r="A1908">
            <v>0</v>
          </cell>
          <cell r="B1908" t="str">
            <v>VL177</v>
          </cell>
          <cell r="C1908" t="str">
            <v>Cồn công nghiệp</v>
          </cell>
          <cell r="D1908" t="str">
            <v>kg</v>
          </cell>
          <cell r="E1908">
            <v>0.01</v>
          </cell>
          <cell r="F1908">
            <v>20000</v>
          </cell>
          <cell r="G1908">
            <v>200</v>
          </cell>
          <cell r="H1908">
            <v>0</v>
          </cell>
          <cell r="I1908">
            <v>0</v>
          </cell>
        </row>
        <row r="1909">
          <cell r="A1909">
            <v>0</v>
          </cell>
          <cell r="B1909" t="str">
            <v>VL198</v>
          </cell>
          <cell r="C1909" t="str">
            <v>Dây điện 2x1,5mm2</v>
          </cell>
          <cell r="D1909" t="str">
            <v>m</v>
          </cell>
          <cell r="E1909">
            <v>0.1</v>
          </cell>
          <cell r="F1909">
            <v>9027.2727272727261</v>
          </cell>
          <cell r="G1909">
            <v>902.72727272727263</v>
          </cell>
          <cell r="H1909">
            <v>0</v>
          </cell>
          <cell r="I1909">
            <v>0</v>
          </cell>
        </row>
        <row r="1910">
          <cell r="A1910">
            <v>0</v>
          </cell>
          <cell r="B1910">
            <v>0</v>
          </cell>
          <cell r="C1910" t="str">
            <v>Nhân công</v>
          </cell>
          <cell r="D1910">
            <v>0</v>
          </cell>
          <cell r="E1910">
            <v>0</v>
          </cell>
          <cell r="F1910">
            <v>0</v>
          </cell>
          <cell r="G1910">
            <v>0</v>
          </cell>
          <cell r="H1910">
            <v>0</v>
          </cell>
          <cell r="I1910">
            <v>0</v>
          </cell>
        </row>
        <row r="1911">
          <cell r="A1911">
            <v>0</v>
          </cell>
          <cell r="B1911" t="str">
            <v>KS3</v>
          </cell>
          <cell r="C1911" t="str">
            <v>Kỹ sư bậc 3,0/8</v>
          </cell>
          <cell r="D1911" t="str">
            <v>công</v>
          </cell>
          <cell r="E1911">
            <v>0.69</v>
          </cell>
          <cell r="F1911">
            <v>213300</v>
          </cell>
          <cell r="G1911">
            <v>0</v>
          </cell>
          <cell r="H1911">
            <v>147177</v>
          </cell>
          <cell r="I1911">
            <v>0</v>
          </cell>
        </row>
        <row r="1912">
          <cell r="A1912">
            <v>0</v>
          </cell>
          <cell r="B1912" t="str">
            <v>N4407</v>
          </cell>
          <cell r="C1912" t="str">
            <v xml:space="preserve"> Nhân công bậc 4,0/7 - Nhóm 4</v>
          </cell>
          <cell r="D1912" t="str">
            <v>công</v>
          </cell>
          <cell r="E1912">
            <v>0.37</v>
          </cell>
          <cell r="F1912">
            <v>257269.73684210525</v>
          </cell>
          <cell r="G1912">
            <v>0</v>
          </cell>
          <cell r="H1912">
            <v>95189.802631578947</v>
          </cell>
          <cell r="I1912">
            <v>0</v>
          </cell>
        </row>
        <row r="1913">
          <cell r="A1913">
            <v>0</v>
          </cell>
          <cell r="B1913">
            <v>0</v>
          </cell>
          <cell r="C1913" t="str">
            <v>Máy thi công</v>
          </cell>
          <cell r="D1913">
            <v>0</v>
          </cell>
          <cell r="E1913">
            <v>0</v>
          </cell>
          <cell r="F1913">
            <v>0</v>
          </cell>
          <cell r="G1913">
            <v>0</v>
          </cell>
          <cell r="H1913">
            <v>0</v>
          </cell>
          <cell r="I1913">
            <v>0</v>
          </cell>
        </row>
        <row r="1914">
          <cell r="A1914">
            <v>0</v>
          </cell>
          <cell r="B1914" t="str">
            <v>M203.0019</v>
          </cell>
          <cell r="C1914" t="str">
            <v>Máy đo vạn năng</v>
          </cell>
          <cell r="D1914" t="str">
            <v>ca</v>
          </cell>
          <cell r="E1914">
            <v>0.02</v>
          </cell>
          <cell r="F1914">
            <v>120291.81818181821</v>
          </cell>
          <cell r="G1914">
            <v>0</v>
          </cell>
          <cell r="H1914">
            <v>0</v>
          </cell>
          <cell r="I1914">
            <v>2405.8363636363642</v>
          </cell>
        </row>
        <row r="1915">
          <cell r="A1915">
            <v>0</v>
          </cell>
          <cell r="B1915" t="str">
            <v>M203.0025</v>
          </cell>
          <cell r="C1915" t="str">
            <v>Megôm met</v>
          </cell>
          <cell r="D1915" t="str">
            <v>ca</v>
          </cell>
          <cell r="E1915">
            <v>1.4999999999999999E-2</v>
          </cell>
          <cell r="F1915">
            <v>40127.500000000007</v>
          </cell>
          <cell r="G1915">
            <v>0</v>
          </cell>
          <cell r="H1915">
            <v>0</v>
          </cell>
          <cell r="I1915">
            <v>601.91250000000014</v>
          </cell>
        </row>
        <row r="1916">
          <cell r="A1916">
            <v>0</v>
          </cell>
          <cell r="B1916" t="str">
            <v>M203.0002</v>
          </cell>
          <cell r="C1916" t="str">
            <v>Bộ nguồn AC-DC</v>
          </cell>
          <cell r="D1916" t="str">
            <v>ca</v>
          </cell>
          <cell r="E1916">
            <v>0.04</v>
          </cell>
          <cell r="F1916">
            <v>39763.181818181831</v>
          </cell>
          <cell r="G1916">
            <v>0</v>
          </cell>
          <cell r="H1916">
            <v>0</v>
          </cell>
          <cell r="I1916">
            <v>1590.5272727272732</v>
          </cell>
        </row>
        <row r="1917">
          <cell r="A1917" t="str">
            <v>EE.10040</v>
          </cell>
          <cell r="B1917">
            <v>0</v>
          </cell>
          <cell r="C1917" t="str">
            <v>Thí nghiệm Vonmet loại DC</v>
          </cell>
          <cell r="D1917" t="str">
            <v>cái</v>
          </cell>
          <cell r="E1917">
            <v>0</v>
          </cell>
          <cell r="F1917">
            <v>0</v>
          </cell>
          <cell r="G1917">
            <v>1588.2297727272726</v>
          </cell>
          <cell r="H1917">
            <v>221850.71052631579</v>
          </cell>
          <cell r="I1917">
            <v>4198.2754545454554</v>
          </cell>
        </row>
        <row r="1918">
          <cell r="A1918">
            <v>0</v>
          </cell>
          <cell r="B1918">
            <v>0</v>
          </cell>
          <cell r="C1918" t="str">
            <v>Vật liệu</v>
          </cell>
          <cell r="D1918">
            <v>0</v>
          </cell>
          <cell r="E1918">
            <v>0</v>
          </cell>
          <cell r="F1918">
            <v>0</v>
          </cell>
          <cell r="G1918">
            <v>0</v>
          </cell>
          <cell r="H1918">
            <v>0</v>
          </cell>
          <cell r="I1918">
            <v>0</v>
          </cell>
        </row>
        <row r="1919">
          <cell r="A1919">
            <v>0</v>
          </cell>
          <cell r="B1919" t="str">
            <v>VL221</v>
          </cell>
          <cell r="C1919" t="str">
            <v>Điện năng</v>
          </cell>
          <cell r="D1919" t="str">
            <v>Kwh</v>
          </cell>
          <cell r="E1919">
            <v>0.25</v>
          </cell>
          <cell r="F1919">
            <v>1622.01</v>
          </cell>
          <cell r="G1919">
            <v>405.5025</v>
          </cell>
          <cell r="H1919">
            <v>0</v>
          </cell>
          <cell r="I1919">
            <v>0</v>
          </cell>
        </row>
        <row r="1920">
          <cell r="A1920">
            <v>0</v>
          </cell>
          <cell r="B1920" t="str">
            <v>VL188</v>
          </cell>
          <cell r="C1920" t="str">
            <v>Vải phin trắng 0,8m</v>
          </cell>
          <cell r="D1920" t="str">
            <v>m</v>
          </cell>
          <cell r="E1920">
            <v>0.01</v>
          </cell>
          <cell r="F1920">
            <v>8000</v>
          </cell>
          <cell r="G1920">
            <v>80</v>
          </cell>
          <cell r="H1920">
            <v>0</v>
          </cell>
          <cell r="I1920">
            <v>0</v>
          </cell>
        </row>
        <row r="1921">
          <cell r="A1921">
            <v>0</v>
          </cell>
          <cell r="B1921" t="str">
            <v>VL177</v>
          </cell>
          <cell r="C1921" t="str">
            <v>Cồn công nghiệp</v>
          </cell>
          <cell r="D1921" t="str">
            <v>kg</v>
          </cell>
          <cell r="E1921">
            <v>0.01</v>
          </cell>
          <cell r="F1921">
            <v>20000</v>
          </cell>
          <cell r="G1921">
            <v>200</v>
          </cell>
          <cell r="H1921">
            <v>0</v>
          </cell>
          <cell r="I1921">
            <v>0</v>
          </cell>
        </row>
        <row r="1922">
          <cell r="A1922">
            <v>0</v>
          </cell>
          <cell r="B1922" t="str">
            <v>VL198</v>
          </cell>
          <cell r="C1922" t="str">
            <v>Dây điện 2x1,5mm2</v>
          </cell>
          <cell r="D1922" t="str">
            <v>m</v>
          </cell>
          <cell r="E1922">
            <v>0.1</v>
          </cell>
          <cell r="F1922">
            <v>9027.2727272727261</v>
          </cell>
          <cell r="G1922">
            <v>902.72727272727263</v>
          </cell>
          <cell r="H1922">
            <v>0</v>
          </cell>
          <cell r="I1922">
            <v>0</v>
          </cell>
        </row>
        <row r="1923">
          <cell r="A1923">
            <v>0</v>
          </cell>
          <cell r="B1923">
            <v>0</v>
          </cell>
          <cell r="C1923" t="str">
            <v>Nhân công</v>
          </cell>
          <cell r="D1923">
            <v>0</v>
          </cell>
          <cell r="E1923">
            <v>0</v>
          </cell>
          <cell r="F1923">
            <v>0</v>
          </cell>
          <cell r="G1923">
            <v>0</v>
          </cell>
          <cell r="H1923">
            <v>0</v>
          </cell>
          <cell r="I1923">
            <v>0</v>
          </cell>
        </row>
        <row r="1924">
          <cell r="A1924">
            <v>0</v>
          </cell>
          <cell r="B1924" t="str">
            <v>KS3</v>
          </cell>
          <cell r="C1924" t="str">
            <v>Kỹ sư bậc 3,0/8</v>
          </cell>
          <cell r="D1924" t="str">
            <v>công</v>
          </cell>
          <cell r="E1924">
            <v>0.63</v>
          </cell>
          <cell r="F1924">
            <v>213300</v>
          </cell>
          <cell r="G1924">
            <v>0</v>
          </cell>
          <cell r="H1924">
            <v>134379</v>
          </cell>
          <cell r="I1924">
            <v>0</v>
          </cell>
        </row>
        <row r="1925">
          <cell r="A1925">
            <v>0</v>
          </cell>
          <cell r="B1925" t="str">
            <v>N4407</v>
          </cell>
          <cell r="C1925" t="str">
            <v xml:space="preserve"> Nhân công bậc 4,0/7 - Nhóm 4</v>
          </cell>
          <cell r="D1925" t="str">
            <v>công</v>
          </cell>
          <cell r="E1925">
            <v>0.34</v>
          </cell>
          <cell r="F1925">
            <v>257269.73684210525</v>
          </cell>
          <cell r="G1925">
            <v>0</v>
          </cell>
          <cell r="H1925">
            <v>87471.710526315786</v>
          </cell>
          <cell r="I1925">
            <v>0</v>
          </cell>
        </row>
        <row r="1926">
          <cell r="A1926">
            <v>0</v>
          </cell>
          <cell r="B1926">
            <v>0</v>
          </cell>
          <cell r="C1926" t="str">
            <v>Máy thi công</v>
          </cell>
          <cell r="D1926">
            <v>0</v>
          </cell>
          <cell r="E1926">
            <v>0</v>
          </cell>
          <cell r="F1926">
            <v>0</v>
          </cell>
          <cell r="G1926">
            <v>0</v>
          </cell>
          <cell r="H1926">
            <v>0</v>
          </cell>
          <cell r="I1926">
            <v>0</v>
          </cell>
        </row>
        <row r="1927">
          <cell r="A1927">
            <v>0</v>
          </cell>
          <cell r="B1927" t="str">
            <v>M203.0019</v>
          </cell>
          <cell r="C1927" t="str">
            <v>Máy đo vạn năng</v>
          </cell>
          <cell r="D1927" t="str">
            <v>ca</v>
          </cell>
          <cell r="E1927">
            <v>1.7999999999999999E-2</v>
          </cell>
          <cell r="F1927">
            <v>120291.81818181821</v>
          </cell>
          <cell r="G1927">
            <v>0</v>
          </cell>
          <cell r="H1927">
            <v>0</v>
          </cell>
          <cell r="I1927">
            <v>2165.2527272727275</v>
          </cell>
        </row>
        <row r="1928">
          <cell r="A1928">
            <v>0</v>
          </cell>
          <cell r="B1928" t="str">
            <v>M203.0025</v>
          </cell>
          <cell r="C1928" t="str">
            <v>Megôm met</v>
          </cell>
          <cell r="D1928" t="str">
            <v>ca</v>
          </cell>
          <cell r="E1928">
            <v>1.4E-2</v>
          </cell>
          <cell r="F1928">
            <v>40127.500000000007</v>
          </cell>
          <cell r="G1928">
            <v>0</v>
          </cell>
          <cell r="H1928">
            <v>0</v>
          </cell>
          <cell r="I1928">
            <v>561.78500000000008</v>
          </cell>
        </row>
        <row r="1929">
          <cell r="A1929">
            <v>0</v>
          </cell>
          <cell r="B1929" t="str">
            <v>M203.0002</v>
          </cell>
          <cell r="C1929" t="str">
            <v>Bộ nguồn AC-DC</v>
          </cell>
          <cell r="D1929" t="str">
            <v>ca</v>
          </cell>
          <cell r="E1929">
            <v>3.6999999999999998E-2</v>
          </cell>
          <cell r="F1929">
            <v>39763.181818181831</v>
          </cell>
          <cell r="G1929">
            <v>0</v>
          </cell>
          <cell r="H1929">
            <v>0</v>
          </cell>
          <cell r="I1929">
            <v>1471.2377272727276</v>
          </cell>
        </row>
        <row r="1930">
          <cell r="A1930" t="str">
            <v>EE.20010</v>
          </cell>
          <cell r="B1930">
            <v>0</v>
          </cell>
          <cell r="C1930" t="str">
            <v>Thí nghiệm Ampemet, Vonmet có biến đổi</v>
          </cell>
          <cell r="D1930" t="str">
            <v>cái</v>
          </cell>
          <cell r="E1930">
            <v>0</v>
          </cell>
          <cell r="F1930">
            <v>0</v>
          </cell>
          <cell r="G1930">
            <v>1669.3302727272726</v>
          </cell>
          <cell r="H1930">
            <v>253911.19736842107</v>
          </cell>
          <cell r="I1930">
            <v>3395.3579545454554</v>
          </cell>
        </row>
        <row r="1931">
          <cell r="A1931">
            <v>0</v>
          </cell>
          <cell r="B1931">
            <v>0</v>
          </cell>
          <cell r="C1931" t="str">
            <v>Vật liệu</v>
          </cell>
          <cell r="D1931">
            <v>0</v>
          </cell>
          <cell r="E1931">
            <v>0</v>
          </cell>
          <cell r="F1931">
            <v>0</v>
          </cell>
          <cell r="G1931">
            <v>0</v>
          </cell>
          <cell r="H1931">
            <v>0</v>
          </cell>
          <cell r="I1931">
            <v>0</v>
          </cell>
        </row>
        <row r="1932">
          <cell r="A1932">
            <v>0</v>
          </cell>
          <cell r="B1932" t="str">
            <v>VL221</v>
          </cell>
          <cell r="C1932" t="str">
            <v>Điện năng</v>
          </cell>
          <cell r="D1932" t="str">
            <v>Kwh</v>
          </cell>
          <cell r="E1932">
            <v>0.3</v>
          </cell>
          <cell r="F1932">
            <v>1622.01</v>
          </cell>
          <cell r="G1932">
            <v>486.60299999999995</v>
          </cell>
          <cell r="H1932">
            <v>0</v>
          </cell>
          <cell r="I1932">
            <v>0</v>
          </cell>
        </row>
        <row r="1933">
          <cell r="A1933">
            <v>0</v>
          </cell>
          <cell r="B1933" t="str">
            <v>VL188</v>
          </cell>
          <cell r="C1933" t="str">
            <v>Vải phin trắng 0,8m</v>
          </cell>
          <cell r="D1933" t="str">
            <v>m</v>
          </cell>
          <cell r="E1933">
            <v>0.01</v>
          </cell>
          <cell r="F1933">
            <v>8000</v>
          </cell>
          <cell r="G1933">
            <v>80</v>
          </cell>
          <cell r="H1933">
            <v>0</v>
          </cell>
          <cell r="I1933">
            <v>0</v>
          </cell>
        </row>
        <row r="1934">
          <cell r="A1934">
            <v>0</v>
          </cell>
          <cell r="B1934" t="str">
            <v>VL177</v>
          </cell>
          <cell r="C1934" t="str">
            <v>Cồn công nghiệp</v>
          </cell>
          <cell r="D1934" t="str">
            <v>kg</v>
          </cell>
          <cell r="E1934">
            <v>0.01</v>
          </cell>
          <cell r="F1934">
            <v>20000</v>
          </cell>
          <cell r="G1934">
            <v>200</v>
          </cell>
          <cell r="H1934">
            <v>0</v>
          </cell>
          <cell r="I1934">
            <v>0</v>
          </cell>
        </row>
        <row r="1935">
          <cell r="A1935">
            <v>0</v>
          </cell>
          <cell r="B1935" t="str">
            <v>VL198</v>
          </cell>
          <cell r="C1935" t="str">
            <v>Dây điện 2x1,5mm2</v>
          </cell>
          <cell r="D1935" t="str">
            <v>m</v>
          </cell>
          <cell r="E1935">
            <v>0.1</v>
          </cell>
          <cell r="F1935">
            <v>9027.2727272727261</v>
          </cell>
          <cell r="G1935">
            <v>902.72727272727263</v>
          </cell>
          <cell r="H1935">
            <v>0</v>
          </cell>
          <cell r="I1935">
            <v>0</v>
          </cell>
        </row>
        <row r="1936">
          <cell r="A1936">
            <v>0</v>
          </cell>
          <cell r="B1936">
            <v>0</v>
          </cell>
          <cell r="C1936" t="str">
            <v>Nhân công</v>
          </cell>
          <cell r="D1936">
            <v>0</v>
          </cell>
          <cell r="E1936">
            <v>0</v>
          </cell>
          <cell r="F1936">
            <v>0</v>
          </cell>
          <cell r="G1936">
            <v>0</v>
          </cell>
          <cell r="H1936">
            <v>0</v>
          </cell>
          <cell r="I1936">
            <v>0</v>
          </cell>
        </row>
        <row r="1937">
          <cell r="A1937">
            <v>0</v>
          </cell>
          <cell r="B1937" t="str">
            <v>KS3</v>
          </cell>
          <cell r="C1937" t="str">
            <v>Kỹ sư bậc 3,0/8</v>
          </cell>
          <cell r="D1937" t="str">
            <v>công</v>
          </cell>
          <cell r="E1937">
            <v>0.72</v>
          </cell>
          <cell r="F1937">
            <v>213300</v>
          </cell>
          <cell r="G1937">
            <v>0</v>
          </cell>
          <cell r="H1937">
            <v>153576</v>
          </cell>
          <cell r="I1937">
            <v>0</v>
          </cell>
        </row>
        <row r="1938">
          <cell r="A1938">
            <v>0</v>
          </cell>
          <cell r="B1938" t="str">
            <v>N4407</v>
          </cell>
          <cell r="C1938" t="str">
            <v xml:space="preserve"> Nhân công bậc 4,0/7 - Nhóm 4</v>
          </cell>
          <cell r="D1938" t="str">
            <v>công</v>
          </cell>
          <cell r="E1938">
            <v>0.39</v>
          </cell>
          <cell r="F1938">
            <v>257269.73684210525</v>
          </cell>
          <cell r="G1938">
            <v>0</v>
          </cell>
          <cell r="H1938">
            <v>100335.19736842105</v>
          </cell>
          <cell r="I1938">
            <v>0</v>
          </cell>
        </row>
        <row r="1939">
          <cell r="A1939">
            <v>0</v>
          </cell>
          <cell r="B1939">
            <v>0</v>
          </cell>
          <cell r="C1939" t="str">
            <v>Máy thi công</v>
          </cell>
          <cell r="D1939">
            <v>0</v>
          </cell>
          <cell r="E1939">
            <v>0</v>
          </cell>
          <cell r="F1939">
            <v>0</v>
          </cell>
          <cell r="G1939">
            <v>0</v>
          </cell>
          <cell r="H1939">
            <v>0</v>
          </cell>
          <cell r="I1939">
            <v>0</v>
          </cell>
        </row>
        <row r="1940">
          <cell r="A1940">
            <v>0</v>
          </cell>
          <cell r="B1940" t="str">
            <v>M203.0019</v>
          </cell>
          <cell r="C1940" t="str">
            <v>Máy đo vạn năng</v>
          </cell>
          <cell r="D1940" t="str">
            <v>ca</v>
          </cell>
          <cell r="E1940">
            <v>0.01</v>
          </cell>
          <cell r="F1940">
            <v>120291.81818181821</v>
          </cell>
          <cell r="G1940">
            <v>0</v>
          </cell>
          <cell r="H1940">
            <v>0</v>
          </cell>
          <cell r="I1940">
            <v>1202.9181818181821</v>
          </cell>
        </row>
        <row r="1941">
          <cell r="A1941">
            <v>0</v>
          </cell>
          <cell r="B1941" t="str">
            <v>M203.0022</v>
          </cell>
          <cell r="C1941" t="str">
            <v>Máy phát tần số</v>
          </cell>
          <cell r="D1941" t="str">
            <v>ca</v>
          </cell>
          <cell r="E1941">
            <v>0</v>
          </cell>
          <cell r="F1941">
            <v>105973.63636363637</v>
          </cell>
          <cell r="G1941">
            <v>0</v>
          </cell>
          <cell r="H1941">
            <v>0</v>
          </cell>
          <cell r="I1941">
            <v>0</v>
          </cell>
        </row>
        <row r="1942">
          <cell r="A1942">
            <v>0</v>
          </cell>
          <cell r="B1942" t="str">
            <v>M203.0025</v>
          </cell>
          <cell r="C1942" t="str">
            <v>Megôm met</v>
          </cell>
          <cell r="D1942" t="str">
            <v>ca</v>
          </cell>
          <cell r="E1942">
            <v>1.4999999999999999E-2</v>
          </cell>
          <cell r="F1942">
            <v>40127.500000000007</v>
          </cell>
          <cell r="G1942">
            <v>0</v>
          </cell>
          <cell r="H1942">
            <v>0</v>
          </cell>
          <cell r="I1942">
            <v>601.91250000000014</v>
          </cell>
        </row>
        <row r="1943">
          <cell r="A1943">
            <v>0</v>
          </cell>
          <cell r="B1943" t="str">
            <v>M203.0002</v>
          </cell>
          <cell r="C1943" t="str">
            <v>Bộ nguồn AC-DC</v>
          </cell>
          <cell r="D1943" t="str">
            <v>ca</v>
          </cell>
          <cell r="E1943">
            <v>0.04</v>
          </cell>
          <cell r="F1943">
            <v>39763.181818181831</v>
          </cell>
          <cell r="G1943">
            <v>0</v>
          </cell>
          <cell r="H1943">
            <v>0</v>
          </cell>
          <cell r="I1943">
            <v>1590.5272727272732</v>
          </cell>
        </row>
        <row r="1944">
          <cell r="A1944" t="str">
            <v>EE.20020</v>
          </cell>
          <cell r="B1944">
            <v>0</v>
          </cell>
          <cell r="C1944" t="str">
            <v>Thí nghiệm báo chạm đất - lệch điện áp</v>
          </cell>
          <cell r="D1944" t="str">
            <v>cái</v>
          </cell>
          <cell r="E1944">
            <v>0</v>
          </cell>
          <cell r="F1944">
            <v>0</v>
          </cell>
          <cell r="G1944">
            <v>1426.0287727272726</v>
          </cell>
          <cell r="H1944">
            <v>253911.19736842107</v>
          </cell>
          <cell r="I1944">
            <v>3395.3579545454554</v>
          </cell>
        </row>
        <row r="1945">
          <cell r="A1945">
            <v>0</v>
          </cell>
          <cell r="B1945">
            <v>0</v>
          </cell>
          <cell r="C1945" t="str">
            <v>Vật liệu</v>
          </cell>
          <cell r="D1945">
            <v>0</v>
          </cell>
          <cell r="E1945">
            <v>0</v>
          </cell>
          <cell r="F1945">
            <v>0</v>
          </cell>
          <cell r="G1945">
            <v>0</v>
          </cell>
          <cell r="H1945">
            <v>0</v>
          </cell>
          <cell r="I1945">
            <v>0</v>
          </cell>
        </row>
        <row r="1946">
          <cell r="A1946">
            <v>0</v>
          </cell>
          <cell r="B1946" t="str">
            <v>VL221</v>
          </cell>
          <cell r="C1946" t="str">
            <v>Điện năng</v>
          </cell>
          <cell r="D1946" t="str">
            <v>Kwh</v>
          </cell>
          <cell r="E1946">
            <v>0.15</v>
          </cell>
          <cell r="F1946">
            <v>1622.01</v>
          </cell>
          <cell r="G1946">
            <v>243.30149999999998</v>
          </cell>
          <cell r="H1946">
            <v>0</v>
          </cell>
          <cell r="I1946">
            <v>0</v>
          </cell>
        </row>
        <row r="1947">
          <cell r="A1947">
            <v>0</v>
          </cell>
          <cell r="B1947" t="str">
            <v>VL188</v>
          </cell>
          <cell r="C1947" t="str">
            <v>Vải phin trắng 0,8m</v>
          </cell>
          <cell r="D1947" t="str">
            <v>m</v>
          </cell>
          <cell r="E1947">
            <v>0.01</v>
          </cell>
          <cell r="F1947">
            <v>8000</v>
          </cell>
          <cell r="G1947">
            <v>80</v>
          </cell>
          <cell r="H1947">
            <v>0</v>
          </cell>
          <cell r="I1947">
            <v>0</v>
          </cell>
        </row>
        <row r="1948">
          <cell r="A1948">
            <v>0</v>
          </cell>
          <cell r="B1948" t="str">
            <v>VL177</v>
          </cell>
          <cell r="C1948" t="str">
            <v>Cồn công nghiệp</v>
          </cell>
          <cell r="D1948" t="str">
            <v>kg</v>
          </cell>
          <cell r="E1948">
            <v>0.01</v>
          </cell>
          <cell r="F1948">
            <v>20000</v>
          </cell>
          <cell r="G1948">
            <v>200</v>
          </cell>
          <cell r="H1948">
            <v>0</v>
          </cell>
          <cell r="I1948">
            <v>0</v>
          </cell>
        </row>
        <row r="1949">
          <cell r="A1949">
            <v>0</v>
          </cell>
          <cell r="B1949" t="str">
            <v>VL198</v>
          </cell>
          <cell r="C1949" t="str">
            <v>Dây điện 2x1,5mm2</v>
          </cell>
          <cell r="D1949" t="str">
            <v>m</v>
          </cell>
          <cell r="E1949">
            <v>0.1</v>
          </cell>
          <cell r="F1949">
            <v>9027.2727272727261</v>
          </cell>
          <cell r="G1949">
            <v>902.72727272727263</v>
          </cell>
          <cell r="H1949">
            <v>0</v>
          </cell>
          <cell r="I1949">
            <v>0</v>
          </cell>
        </row>
        <row r="1950">
          <cell r="A1950">
            <v>0</v>
          </cell>
          <cell r="B1950">
            <v>0</v>
          </cell>
          <cell r="C1950" t="str">
            <v>Nhân công</v>
          </cell>
          <cell r="D1950">
            <v>0</v>
          </cell>
          <cell r="E1950">
            <v>0</v>
          </cell>
          <cell r="F1950">
            <v>0</v>
          </cell>
          <cell r="G1950">
            <v>0</v>
          </cell>
          <cell r="H1950">
            <v>0</v>
          </cell>
          <cell r="I1950">
            <v>0</v>
          </cell>
        </row>
        <row r="1951">
          <cell r="A1951">
            <v>0</v>
          </cell>
          <cell r="B1951" t="str">
            <v>KS3</v>
          </cell>
          <cell r="C1951" t="str">
            <v>Kỹ sư bậc 3,0/8</v>
          </cell>
          <cell r="D1951" t="str">
            <v>công</v>
          </cell>
          <cell r="E1951">
            <v>0.72</v>
          </cell>
          <cell r="F1951">
            <v>213300</v>
          </cell>
          <cell r="G1951">
            <v>0</v>
          </cell>
          <cell r="H1951">
            <v>153576</v>
          </cell>
          <cell r="I1951">
            <v>0</v>
          </cell>
        </row>
        <row r="1952">
          <cell r="A1952">
            <v>0</v>
          </cell>
          <cell r="B1952" t="str">
            <v>N4407</v>
          </cell>
          <cell r="C1952" t="str">
            <v xml:space="preserve"> Nhân công bậc 4,0/7 - Nhóm 4</v>
          </cell>
          <cell r="D1952" t="str">
            <v>công</v>
          </cell>
          <cell r="E1952">
            <v>0.39</v>
          </cell>
          <cell r="F1952">
            <v>257269.73684210525</v>
          </cell>
          <cell r="G1952">
            <v>0</v>
          </cell>
          <cell r="H1952">
            <v>100335.19736842105</v>
          </cell>
          <cell r="I1952">
            <v>0</v>
          </cell>
        </row>
        <row r="1953">
          <cell r="A1953">
            <v>0</v>
          </cell>
          <cell r="B1953">
            <v>0</v>
          </cell>
          <cell r="C1953" t="str">
            <v>Máy thi công</v>
          </cell>
          <cell r="D1953">
            <v>0</v>
          </cell>
          <cell r="E1953">
            <v>0</v>
          </cell>
          <cell r="F1953">
            <v>0</v>
          </cell>
          <cell r="G1953">
            <v>0</v>
          </cell>
          <cell r="H1953">
            <v>0</v>
          </cell>
          <cell r="I1953">
            <v>0</v>
          </cell>
        </row>
        <row r="1954">
          <cell r="A1954">
            <v>0</v>
          </cell>
          <cell r="B1954" t="str">
            <v>M203.0019</v>
          </cell>
          <cell r="C1954" t="str">
            <v>Máy đo vạn năng</v>
          </cell>
          <cell r="D1954" t="str">
            <v>ca</v>
          </cell>
          <cell r="E1954">
            <v>0.01</v>
          </cell>
          <cell r="F1954">
            <v>120291.81818181821</v>
          </cell>
          <cell r="G1954">
            <v>0</v>
          </cell>
          <cell r="H1954">
            <v>0</v>
          </cell>
          <cell r="I1954">
            <v>1202.9181818181821</v>
          </cell>
        </row>
        <row r="1955">
          <cell r="A1955">
            <v>0</v>
          </cell>
          <cell r="B1955" t="str">
            <v>M203.0022</v>
          </cell>
          <cell r="C1955" t="str">
            <v>Máy phát tần số</v>
          </cell>
          <cell r="D1955" t="str">
            <v>ca</v>
          </cell>
          <cell r="E1955">
            <v>0</v>
          </cell>
          <cell r="F1955">
            <v>105973.63636363637</v>
          </cell>
          <cell r="G1955">
            <v>0</v>
          </cell>
          <cell r="H1955">
            <v>0</v>
          </cell>
          <cell r="I1955">
            <v>0</v>
          </cell>
        </row>
        <row r="1956">
          <cell r="A1956">
            <v>0</v>
          </cell>
          <cell r="B1956" t="str">
            <v>M203.0025</v>
          </cell>
          <cell r="C1956" t="str">
            <v>Megôm met</v>
          </cell>
          <cell r="D1956" t="str">
            <v>ca</v>
          </cell>
          <cell r="E1956">
            <v>1.4999999999999999E-2</v>
          </cell>
          <cell r="F1956">
            <v>40127.500000000007</v>
          </cell>
          <cell r="G1956">
            <v>0</v>
          </cell>
          <cell r="H1956">
            <v>0</v>
          </cell>
          <cell r="I1956">
            <v>601.91250000000014</v>
          </cell>
        </row>
        <row r="1957">
          <cell r="A1957">
            <v>0</v>
          </cell>
          <cell r="B1957" t="str">
            <v>M203.0002</v>
          </cell>
          <cell r="C1957" t="str">
            <v>Bộ nguồn AC-DC</v>
          </cell>
          <cell r="D1957" t="str">
            <v>ca</v>
          </cell>
          <cell r="E1957">
            <v>0.04</v>
          </cell>
          <cell r="F1957">
            <v>39763.181818181831</v>
          </cell>
          <cell r="G1957">
            <v>0</v>
          </cell>
          <cell r="H1957">
            <v>0</v>
          </cell>
          <cell r="I1957">
            <v>1590.5272727272732</v>
          </cell>
        </row>
        <row r="1958">
          <cell r="A1958" t="str">
            <v>EE.20030</v>
          </cell>
          <cell r="B1958">
            <v>0</v>
          </cell>
          <cell r="C1958" t="str">
            <v>Thí nghiệm nấc máy biến áp đồng bộ kế</v>
          </cell>
          <cell r="D1958" t="str">
            <v>cái</v>
          </cell>
          <cell r="E1958">
            <v>0</v>
          </cell>
          <cell r="F1958">
            <v>0</v>
          </cell>
          <cell r="G1958">
            <v>2155.9332727272727</v>
          </cell>
          <cell r="H1958">
            <v>503116.69736842101</v>
          </cell>
          <cell r="I1958">
            <v>3395.3579545454554</v>
          </cell>
        </row>
        <row r="1959">
          <cell r="A1959">
            <v>0</v>
          </cell>
          <cell r="B1959">
            <v>0</v>
          </cell>
          <cell r="C1959" t="str">
            <v>Vật liệu</v>
          </cell>
          <cell r="D1959">
            <v>0</v>
          </cell>
          <cell r="E1959">
            <v>0</v>
          </cell>
          <cell r="F1959">
            <v>0</v>
          </cell>
          <cell r="G1959">
            <v>0</v>
          </cell>
          <cell r="H1959">
            <v>0</v>
          </cell>
          <cell r="I1959">
            <v>0</v>
          </cell>
        </row>
        <row r="1960">
          <cell r="A1960">
            <v>0</v>
          </cell>
          <cell r="B1960" t="str">
            <v>VL221</v>
          </cell>
          <cell r="C1960" t="str">
            <v>Điện năng</v>
          </cell>
          <cell r="D1960" t="str">
            <v>Kwh</v>
          </cell>
          <cell r="E1960">
            <v>0.6</v>
          </cell>
          <cell r="F1960">
            <v>1622.01</v>
          </cell>
          <cell r="G1960">
            <v>973.2059999999999</v>
          </cell>
          <cell r="H1960">
            <v>0</v>
          </cell>
          <cell r="I1960">
            <v>0</v>
          </cell>
        </row>
        <row r="1961">
          <cell r="A1961">
            <v>0</v>
          </cell>
          <cell r="B1961" t="str">
            <v>VL188</v>
          </cell>
          <cell r="C1961" t="str">
            <v>Vải phin trắng 0,8m</v>
          </cell>
          <cell r="D1961" t="str">
            <v>m</v>
          </cell>
          <cell r="E1961">
            <v>0.01</v>
          </cell>
          <cell r="F1961">
            <v>8000</v>
          </cell>
          <cell r="G1961">
            <v>80</v>
          </cell>
          <cell r="H1961">
            <v>0</v>
          </cell>
          <cell r="I1961">
            <v>0</v>
          </cell>
        </row>
        <row r="1962">
          <cell r="A1962">
            <v>0</v>
          </cell>
          <cell r="B1962" t="str">
            <v>VL177</v>
          </cell>
          <cell r="C1962" t="str">
            <v>Cồn công nghiệp</v>
          </cell>
          <cell r="D1962" t="str">
            <v>kg</v>
          </cell>
          <cell r="E1962">
            <v>0.01</v>
          </cell>
          <cell r="F1962">
            <v>20000</v>
          </cell>
          <cell r="G1962">
            <v>200</v>
          </cell>
          <cell r="H1962">
            <v>0</v>
          </cell>
          <cell r="I1962">
            <v>0</v>
          </cell>
        </row>
        <row r="1963">
          <cell r="A1963">
            <v>0</v>
          </cell>
          <cell r="B1963" t="str">
            <v>VL198</v>
          </cell>
          <cell r="C1963" t="str">
            <v>Dây điện 2x1,5mm2</v>
          </cell>
          <cell r="D1963" t="str">
            <v>m</v>
          </cell>
          <cell r="E1963">
            <v>0.1</v>
          </cell>
          <cell r="F1963">
            <v>9027.2727272727261</v>
          </cell>
          <cell r="G1963">
            <v>902.72727272727263</v>
          </cell>
          <cell r="H1963">
            <v>0</v>
          </cell>
          <cell r="I1963">
            <v>0</v>
          </cell>
        </row>
        <row r="1964">
          <cell r="A1964">
            <v>0</v>
          </cell>
          <cell r="B1964">
            <v>0</v>
          </cell>
          <cell r="C1964" t="str">
            <v>Nhân công</v>
          </cell>
          <cell r="D1964">
            <v>0</v>
          </cell>
          <cell r="E1964">
            <v>0</v>
          </cell>
          <cell r="F1964">
            <v>0</v>
          </cell>
          <cell r="G1964">
            <v>0</v>
          </cell>
          <cell r="H1964">
            <v>0</v>
          </cell>
          <cell r="I1964">
            <v>0</v>
          </cell>
        </row>
        <row r="1965">
          <cell r="A1965">
            <v>0</v>
          </cell>
          <cell r="B1965" t="str">
            <v>KS3</v>
          </cell>
          <cell r="C1965" t="str">
            <v>Kỹ sư bậc 3,0/8</v>
          </cell>
          <cell r="D1965" t="str">
            <v>công</v>
          </cell>
          <cell r="E1965">
            <v>1.43</v>
          </cell>
          <cell r="F1965">
            <v>213300</v>
          </cell>
          <cell r="G1965">
            <v>0</v>
          </cell>
          <cell r="H1965">
            <v>305019</v>
          </cell>
          <cell r="I1965">
            <v>0</v>
          </cell>
        </row>
        <row r="1966">
          <cell r="A1966">
            <v>0</v>
          </cell>
          <cell r="B1966" t="str">
            <v>N4407</v>
          </cell>
          <cell r="C1966" t="str">
            <v xml:space="preserve"> Nhân công bậc 4,0/7 - Nhóm 4</v>
          </cell>
          <cell r="D1966" t="str">
            <v>công</v>
          </cell>
          <cell r="E1966">
            <v>0.77</v>
          </cell>
          <cell r="F1966">
            <v>257269.73684210525</v>
          </cell>
          <cell r="G1966">
            <v>0</v>
          </cell>
          <cell r="H1966">
            <v>198097.69736842104</v>
          </cell>
          <cell r="I1966">
            <v>0</v>
          </cell>
        </row>
        <row r="1967">
          <cell r="A1967">
            <v>0</v>
          </cell>
          <cell r="B1967">
            <v>0</v>
          </cell>
          <cell r="C1967" t="str">
            <v>Máy thi công</v>
          </cell>
          <cell r="D1967">
            <v>0</v>
          </cell>
          <cell r="E1967">
            <v>0</v>
          </cell>
          <cell r="F1967">
            <v>0</v>
          </cell>
          <cell r="G1967">
            <v>0</v>
          </cell>
          <cell r="H1967">
            <v>0</v>
          </cell>
          <cell r="I1967">
            <v>0</v>
          </cell>
        </row>
        <row r="1968">
          <cell r="A1968">
            <v>0</v>
          </cell>
          <cell r="B1968" t="str">
            <v>M203.0019</v>
          </cell>
          <cell r="C1968" t="str">
            <v>Máy đo vạn năng</v>
          </cell>
          <cell r="D1968" t="str">
            <v>ca</v>
          </cell>
          <cell r="E1968">
            <v>0.01</v>
          </cell>
          <cell r="F1968">
            <v>120291.81818181821</v>
          </cell>
          <cell r="G1968">
            <v>0</v>
          </cell>
          <cell r="H1968">
            <v>0</v>
          </cell>
          <cell r="I1968">
            <v>1202.9181818181821</v>
          </cell>
        </row>
        <row r="1969">
          <cell r="A1969">
            <v>0</v>
          </cell>
          <cell r="B1969" t="str">
            <v>M203.0022</v>
          </cell>
          <cell r="C1969" t="str">
            <v>Máy phát tần số</v>
          </cell>
          <cell r="D1969" t="str">
            <v>ca</v>
          </cell>
          <cell r="E1969">
            <v>0</v>
          </cell>
          <cell r="F1969">
            <v>105973.63636363637</v>
          </cell>
          <cell r="G1969">
            <v>0</v>
          </cell>
          <cell r="H1969">
            <v>0</v>
          </cell>
          <cell r="I1969">
            <v>0</v>
          </cell>
        </row>
        <row r="1970">
          <cell r="A1970">
            <v>0</v>
          </cell>
          <cell r="B1970" t="str">
            <v>M203.0025</v>
          </cell>
          <cell r="C1970" t="str">
            <v>Megôm met</v>
          </cell>
          <cell r="D1970" t="str">
            <v>ca</v>
          </cell>
          <cell r="E1970">
            <v>1.4999999999999999E-2</v>
          </cell>
          <cell r="F1970">
            <v>40127.500000000007</v>
          </cell>
          <cell r="G1970">
            <v>0</v>
          </cell>
          <cell r="H1970">
            <v>0</v>
          </cell>
          <cell r="I1970">
            <v>601.91250000000014</v>
          </cell>
        </row>
        <row r="1971">
          <cell r="A1971">
            <v>0</v>
          </cell>
          <cell r="B1971" t="str">
            <v>M203.0002</v>
          </cell>
          <cell r="C1971" t="str">
            <v>Bộ nguồn AC-DC</v>
          </cell>
          <cell r="D1971" t="str">
            <v>ca</v>
          </cell>
          <cell r="E1971">
            <v>0.04</v>
          </cell>
          <cell r="F1971">
            <v>39763.181818181831</v>
          </cell>
          <cell r="G1971">
            <v>0</v>
          </cell>
          <cell r="H1971">
            <v>0</v>
          </cell>
          <cell r="I1971">
            <v>1590.5272727272732</v>
          </cell>
        </row>
        <row r="1972">
          <cell r="A1972" t="str">
            <v>EE.20040</v>
          </cell>
          <cell r="B1972">
            <v>0</v>
          </cell>
          <cell r="C1972" t="str">
            <v>Thí nghiệm tần số kế</v>
          </cell>
          <cell r="D1972" t="str">
            <v>cái</v>
          </cell>
          <cell r="E1972">
            <v>0</v>
          </cell>
          <cell r="F1972">
            <v>0</v>
          </cell>
          <cell r="G1972">
            <v>1912.6317727272726</v>
          </cell>
          <cell r="H1972">
            <v>452673.11842105258</v>
          </cell>
          <cell r="I1972">
            <v>7634.3034090909105</v>
          </cell>
        </row>
        <row r="1973">
          <cell r="A1973">
            <v>0</v>
          </cell>
          <cell r="B1973">
            <v>0</v>
          </cell>
          <cell r="C1973" t="str">
            <v>Vật liệu</v>
          </cell>
          <cell r="D1973">
            <v>0</v>
          </cell>
          <cell r="E1973">
            <v>0</v>
          </cell>
          <cell r="F1973">
            <v>0</v>
          </cell>
          <cell r="G1973">
            <v>0</v>
          </cell>
          <cell r="H1973">
            <v>0</v>
          </cell>
          <cell r="I1973">
            <v>0</v>
          </cell>
        </row>
        <row r="1974">
          <cell r="A1974">
            <v>0</v>
          </cell>
          <cell r="B1974" t="str">
            <v>VL221</v>
          </cell>
          <cell r="C1974" t="str">
            <v>Điện năng</v>
          </cell>
          <cell r="D1974" t="str">
            <v>Kwh</v>
          </cell>
          <cell r="E1974">
            <v>0.45</v>
          </cell>
          <cell r="F1974">
            <v>1622.01</v>
          </cell>
          <cell r="G1974">
            <v>729.90449999999998</v>
          </cell>
          <cell r="H1974">
            <v>0</v>
          </cell>
          <cell r="I1974">
            <v>0</v>
          </cell>
        </row>
        <row r="1975">
          <cell r="A1975">
            <v>0</v>
          </cell>
          <cell r="B1975" t="str">
            <v>VL188</v>
          </cell>
          <cell r="C1975" t="str">
            <v>Vải phin trắng 0,8m</v>
          </cell>
          <cell r="D1975" t="str">
            <v>m</v>
          </cell>
          <cell r="E1975">
            <v>0.01</v>
          </cell>
          <cell r="F1975">
            <v>8000</v>
          </cell>
          <cell r="G1975">
            <v>80</v>
          </cell>
          <cell r="H1975">
            <v>0</v>
          </cell>
          <cell r="I1975">
            <v>0</v>
          </cell>
        </row>
        <row r="1976">
          <cell r="A1976">
            <v>0</v>
          </cell>
          <cell r="B1976" t="str">
            <v>VL177</v>
          </cell>
          <cell r="C1976" t="str">
            <v>Cồn công nghiệp</v>
          </cell>
          <cell r="D1976" t="str">
            <v>kg</v>
          </cell>
          <cell r="E1976">
            <v>0.01</v>
          </cell>
          <cell r="F1976">
            <v>20000</v>
          </cell>
          <cell r="G1976">
            <v>200</v>
          </cell>
          <cell r="H1976">
            <v>0</v>
          </cell>
          <cell r="I1976">
            <v>0</v>
          </cell>
        </row>
        <row r="1977">
          <cell r="A1977">
            <v>0</v>
          </cell>
          <cell r="B1977" t="str">
            <v>VL198</v>
          </cell>
          <cell r="C1977" t="str">
            <v>Dây điện 2x1,5mm2</v>
          </cell>
          <cell r="D1977" t="str">
            <v>m</v>
          </cell>
          <cell r="E1977">
            <v>0.1</v>
          </cell>
          <cell r="F1977">
            <v>9027.2727272727261</v>
          </cell>
          <cell r="G1977">
            <v>902.72727272727263</v>
          </cell>
          <cell r="H1977">
            <v>0</v>
          </cell>
          <cell r="I1977">
            <v>0</v>
          </cell>
        </row>
        <row r="1978">
          <cell r="A1978">
            <v>0</v>
          </cell>
          <cell r="B1978">
            <v>0</v>
          </cell>
          <cell r="C1978" t="str">
            <v>Nhân công</v>
          </cell>
          <cell r="D1978">
            <v>0</v>
          </cell>
          <cell r="E1978">
            <v>0</v>
          </cell>
          <cell r="F1978">
            <v>0</v>
          </cell>
          <cell r="G1978">
            <v>0</v>
          </cell>
          <cell r="H1978">
            <v>0</v>
          </cell>
          <cell r="I1978">
            <v>0</v>
          </cell>
        </row>
        <row r="1979">
          <cell r="A1979">
            <v>0</v>
          </cell>
          <cell r="B1979" t="str">
            <v>KS3</v>
          </cell>
          <cell r="C1979" t="str">
            <v>Kỹ sư bậc 3,0/8</v>
          </cell>
          <cell r="D1979" t="str">
            <v>công</v>
          </cell>
          <cell r="E1979">
            <v>1.29</v>
          </cell>
          <cell r="F1979">
            <v>213300</v>
          </cell>
          <cell r="G1979">
            <v>0</v>
          </cell>
          <cell r="H1979">
            <v>275157</v>
          </cell>
          <cell r="I1979">
            <v>0</v>
          </cell>
        </row>
        <row r="1980">
          <cell r="A1980">
            <v>0</v>
          </cell>
          <cell r="B1980" t="str">
            <v>N4407</v>
          </cell>
          <cell r="C1980" t="str">
            <v xml:space="preserve"> Nhân công bậc 4,0/7 - Nhóm 4</v>
          </cell>
          <cell r="D1980" t="str">
            <v>công</v>
          </cell>
          <cell r="E1980">
            <v>0.69</v>
          </cell>
          <cell r="F1980">
            <v>257269.73684210525</v>
          </cell>
          <cell r="G1980">
            <v>0</v>
          </cell>
          <cell r="H1980">
            <v>177516.11842105261</v>
          </cell>
          <cell r="I1980">
            <v>0</v>
          </cell>
        </row>
        <row r="1981">
          <cell r="A1981">
            <v>0</v>
          </cell>
          <cell r="B1981">
            <v>0</v>
          </cell>
          <cell r="C1981" t="str">
            <v>Máy thi công</v>
          </cell>
          <cell r="D1981">
            <v>0</v>
          </cell>
          <cell r="E1981">
            <v>0</v>
          </cell>
          <cell r="F1981">
            <v>0</v>
          </cell>
          <cell r="G1981">
            <v>0</v>
          </cell>
          <cell r="H1981">
            <v>0</v>
          </cell>
          <cell r="I1981">
            <v>0</v>
          </cell>
        </row>
        <row r="1982">
          <cell r="A1982">
            <v>0</v>
          </cell>
          <cell r="B1982" t="str">
            <v>M203.0019</v>
          </cell>
          <cell r="C1982" t="str">
            <v>Máy đo vạn năng</v>
          </cell>
          <cell r="D1982" t="str">
            <v>ca</v>
          </cell>
          <cell r="E1982">
            <v>0.01</v>
          </cell>
          <cell r="F1982">
            <v>120291.81818181821</v>
          </cell>
          <cell r="G1982">
            <v>0</v>
          </cell>
          <cell r="H1982">
            <v>0</v>
          </cell>
          <cell r="I1982">
            <v>1202.9181818181821</v>
          </cell>
        </row>
        <row r="1983">
          <cell r="A1983">
            <v>0</v>
          </cell>
          <cell r="B1983" t="str">
            <v>M203.0022</v>
          </cell>
          <cell r="C1983" t="str">
            <v>Máy phát tần số</v>
          </cell>
          <cell r="D1983" t="str">
            <v>ca</v>
          </cell>
          <cell r="E1983">
            <v>0.04</v>
          </cell>
          <cell r="F1983">
            <v>105973.63636363637</v>
          </cell>
          <cell r="G1983">
            <v>0</v>
          </cell>
          <cell r="H1983">
            <v>0</v>
          </cell>
          <cell r="I1983">
            <v>4238.9454545454546</v>
          </cell>
        </row>
        <row r="1984">
          <cell r="A1984">
            <v>0</v>
          </cell>
          <cell r="B1984" t="str">
            <v>M203.0025</v>
          </cell>
          <cell r="C1984" t="str">
            <v>Megôm met</v>
          </cell>
          <cell r="D1984" t="str">
            <v>ca</v>
          </cell>
          <cell r="E1984">
            <v>1.4999999999999999E-2</v>
          </cell>
          <cell r="F1984">
            <v>40127.500000000007</v>
          </cell>
          <cell r="G1984">
            <v>0</v>
          </cell>
          <cell r="H1984">
            <v>0</v>
          </cell>
          <cell r="I1984">
            <v>601.91250000000014</v>
          </cell>
        </row>
        <row r="1985">
          <cell r="A1985">
            <v>0</v>
          </cell>
          <cell r="B1985" t="str">
            <v>M203.0002</v>
          </cell>
          <cell r="C1985" t="str">
            <v>Bộ nguồn AC-DC</v>
          </cell>
          <cell r="D1985" t="str">
            <v>ca</v>
          </cell>
          <cell r="E1985">
            <v>0.04</v>
          </cell>
          <cell r="F1985">
            <v>39763.181818181831</v>
          </cell>
          <cell r="G1985">
            <v>0</v>
          </cell>
          <cell r="H1985">
            <v>0</v>
          </cell>
          <cell r="I1985">
            <v>1590.5272727272732</v>
          </cell>
        </row>
        <row r="1986">
          <cell r="A1986" t="str">
            <v>EE.30010</v>
          </cell>
          <cell r="B1986">
            <v>0</v>
          </cell>
          <cell r="C1986" t="str">
            <v>Thí nghiệm đồng hồ công suất 3 pha có biến đổi</v>
          </cell>
          <cell r="D1986" t="str">
            <v>cái</v>
          </cell>
          <cell r="E1986">
            <v>0</v>
          </cell>
          <cell r="F1986">
            <v>0</v>
          </cell>
          <cell r="G1986">
            <v>1912.6317727272726</v>
          </cell>
          <cell r="H1986">
            <v>503116.69736842101</v>
          </cell>
          <cell r="I1986">
            <v>3395.3579545454554</v>
          </cell>
        </row>
        <row r="1987">
          <cell r="A1987">
            <v>0</v>
          </cell>
          <cell r="B1987">
            <v>0</v>
          </cell>
          <cell r="C1987" t="str">
            <v>Vật liệu</v>
          </cell>
          <cell r="D1987">
            <v>0</v>
          </cell>
          <cell r="E1987">
            <v>0</v>
          </cell>
          <cell r="F1987">
            <v>0</v>
          </cell>
          <cell r="G1987">
            <v>0</v>
          </cell>
          <cell r="H1987">
            <v>0</v>
          </cell>
          <cell r="I1987">
            <v>0</v>
          </cell>
        </row>
        <row r="1988">
          <cell r="A1988">
            <v>0</v>
          </cell>
          <cell r="B1988" t="str">
            <v>VL221</v>
          </cell>
          <cell r="C1988" t="str">
            <v>Điện năng</v>
          </cell>
          <cell r="D1988" t="str">
            <v>Kwh</v>
          </cell>
          <cell r="E1988">
            <v>0.45</v>
          </cell>
          <cell r="F1988">
            <v>1622.01</v>
          </cell>
          <cell r="G1988">
            <v>729.90449999999998</v>
          </cell>
          <cell r="H1988">
            <v>0</v>
          </cell>
          <cell r="I1988">
            <v>0</v>
          </cell>
        </row>
        <row r="1989">
          <cell r="A1989">
            <v>0</v>
          </cell>
          <cell r="B1989" t="str">
            <v>VL188</v>
          </cell>
          <cell r="C1989" t="str">
            <v>Vải phin trắng 0,8m</v>
          </cell>
          <cell r="D1989" t="str">
            <v>m</v>
          </cell>
          <cell r="E1989">
            <v>0.01</v>
          </cell>
          <cell r="F1989">
            <v>8000</v>
          </cell>
          <cell r="G1989">
            <v>80</v>
          </cell>
          <cell r="H1989">
            <v>0</v>
          </cell>
          <cell r="I1989">
            <v>0</v>
          </cell>
        </row>
        <row r="1990">
          <cell r="A1990">
            <v>0</v>
          </cell>
          <cell r="B1990" t="str">
            <v>VL177</v>
          </cell>
          <cell r="C1990" t="str">
            <v>Cồn công nghiệp</v>
          </cell>
          <cell r="D1990" t="str">
            <v>kg</v>
          </cell>
          <cell r="E1990">
            <v>0.01</v>
          </cell>
          <cell r="F1990">
            <v>20000</v>
          </cell>
          <cell r="G1990">
            <v>200</v>
          </cell>
          <cell r="H1990">
            <v>0</v>
          </cell>
          <cell r="I1990">
            <v>0</v>
          </cell>
        </row>
        <row r="1991">
          <cell r="A1991">
            <v>0</v>
          </cell>
          <cell r="B1991" t="str">
            <v>VL198</v>
          </cell>
          <cell r="C1991" t="str">
            <v>Dây điện 2x1,5mm2</v>
          </cell>
          <cell r="D1991" t="str">
            <v>m</v>
          </cell>
          <cell r="E1991">
            <v>0.1</v>
          </cell>
          <cell r="F1991">
            <v>9027.2727272727261</v>
          </cell>
          <cell r="G1991">
            <v>902.72727272727263</v>
          </cell>
          <cell r="H1991">
            <v>0</v>
          </cell>
          <cell r="I1991">
            <v>0</v>
          </cell>
        </row>
        <row r="1992">
          <cell r="A1992">
            <v>0</v>
          </cell>
          <cell r="B1992">
            <v>0</v>
          </cell>
          <cell r="C1992" t="str">
            <v>Nhân công</v>
          </cell>
          <cell r="D1992">
            <v>0</v>
          </cell>
          <cell r="E1992">
            <v>0</v>
          </cell>
          <cell r="F1992">
            <v>0</v>
          </cell>
          <cell r="G1992">
            <v>0</v>
          </cell>
          <cell r="H1992">
            <v>0</v>
          </cell>
          <cell r="I1992">
            <v>0</v>
          </cell>
        </row>
        <row r="1993">
          <cell r="A1993">
            <v>0</v>
          </cell>
          <cell r="B1993" t="str">
            <v>KS3</v>
          </cell>
          <cell r="C1993" t="str">
            <v>Kỹ sư bậc 3,0/8</v>
          </cell>
          <cell r="D1993" t="str">
            <v>công</v>
          </cell>
          <cell r="E1993">
            <v>1.43</v>
          </cell>
          <cell r="F1993">
            <v>213300</v>
          </cell>
          <cell r="G1993">
            <v>0</v>
          </cell>
          <cell r="H1993">
            <v>305019</v>
          </cell>
          <cell r="I1993">
            <v>0</v>
          </cell>
        </row>
        <row r="1994">
          <cell r="A1994">
            <v>0</v>
          </cell>
          <cell r="B1994" t="str">
            <v>N4407</v>
          </cell>
          <cell r="C1994" t="str">
            <v xml:space="preserve"> Nhân công bậc 4,0/7 - Nhóm 4</v>
          </cell>
          <cell r="D1994" t="str">
            <v>công</v>
          </cell>
          <cell r="E1994">
            <v>0.77</v>
          </cell>
          <cell r="F1994">
            <v>257269.73684210525</v>
          </cell>
          <cell r="G1994">
            <v>0</v>
          </cell>
          <cell r="H1994">
            <v>198097.69736842104</v>
          </cell>
          <cell r="I1994">
            <v>0</v>
          </cell>
        </row>
        <row r="1995">
          <cell r="A1995">
            <v>0</v>
          </cell>
          <cell r="B1995">
            <v>0</v>
          </cell>
          <cell r="C1995" t="str">
            <v>Máy thi công</v>
          </cell>
          <cell r="D1995">
            <v>0</v>
          </cell>
          <cell r="E1995">
            <v>0</v>
          </cell>
          <cell r="F1995">
            <v>0</v>
          </cell>
          <cell r="G1995">
            <v>0</v>
          </cell>
          <cell r="H1995">
            <v>0</v>
          </cell>
          <cell r="I1995">
            <v>0</v>
          </cell>
        </row>
        <row r="1996">
          <cell r="A1996">
            <v>0</v>
          </cell>
          <cell r="B1996" t="str">
            <v>M203.0019</v>
          </cell>
          <cell r="C1996" t="str">
            <v>Máy đo vạn năng</v>
          </cell>
          <cell r="D1996" t="str">
            <v>ca</v>
          </cell>
          <cell r="E1996">
            <v>0.01</v>
          </cell>
          <cell r="F1996">
            <v>120291.81818181821</v>
          </cell>
          <cell r="G1996">
            <v>0</v>
          </cell>
          <cell r="H1996">
            <v>0</v>
          </cell>
          <cell r="I1996">
            <v>1202.9181818181821</v>
          </cell>
        </row>
        <row r="1997">
          <cell r="A1997">
            <v>0</v>
          </cell>
          <cell r="B1997" t="str">
            <v>M203.0022</v>
          </cell>
          <cell r="C1997" t="str">
            <v>Máy phát tần số</v>
          </cell>
          <cell r="D1997" t="str">
            <v>ca</v>
          </cell>
          <cell r="E1997">
            <v>0</v>
          </cell>
          <cell r="F1997">
            <v>105973.63636363637</v>
          </cell>
          <cell r="G1997">
            <v>0</v>
          </cell>
          <cell r="H1997">
            <v>0</v>
          </cell>
          <cell r="I1997">
            <v>0</v>
          </cell>
        </row>
        <row r="1998">
          <cell r="A1998">
            <v>0</v>
          </cell>
          <cell r="B1998" t="str">
            <v>M203.0025</v>
          </cell>
          <cell r="C1998" t="str">
            <v>Megôm met</v>
          </cell>
          <cell r="D1998" t="str">
            <v>ca</v>
          </cell>
          <cell r="E1998">
            <v>1.4999999999999999E-2</v>
          </cell>
          <cell r="F1998">
            <v>40127.500000000007</v>
          </cell>
          <cell r="G1998">
            <v>0</v>
          </cell>
          <cell r="H1998">
            <v>0</v>
          </cell>
          <cell r="I1998">
            <v>601.91250000000014</v>
          </cell>
        </row>
        <row r="1999">
          <cell r="A1999">
            <v>0</v>
          </cell>
          <cell r="B1999" t="str">
            <v>M203.0002</v>
          </cell>
          <cell r="C1999" t="str">
            <v>Bộ nguồn AC-DC</v>
          </cell>
          <cell r="D1999" t="str">
            <v>ca</v>
          </cell>
          <cell r="E1999">
            <v>0.04</v>
          </cell>
          <cell r="F1999">
            <v>39763.181818181831</v>
          </cell>
          <cell r="G1999">
            <v>0</v>
          </cell>
          <cell r="H1999">
            <v>0</v>
          </cell>
          <cell r="I1999">
            <v>1590.5272727272732</v>
          </cell>
        </row>
        <row r="2000">
          <cell r="A2000" t="str">
            <v>EE.30020</v>
          </cell>
          <cell r="B2000">
            <v>0</v>
          </cell>
          <cell r="C2000" t="str">
            <v>Thí nghiệm đồng hồ công suất 3 pha không biến đổi</v>
          </cell>
          <cell r="D2000" t="str">
            <v>cái</v>
          </cell>
          <cell r="E2000">
            <v>0</v>
          </cell>
          <cell r="F2000">
            <v>0</v>
          </cell>
          <cell r="G2000">
            <v>1547.6795227272728</v>
          </cell>
          <cell r="H2000">
            <v>402669.23684210522</v>
          </cell>
          <cell r="I2000">
            <v>2716.2863636363645</v>
          </cell>
        </row>
        <row r="2001">
          <cell r="A2001">
            <v>0</v>
          </cell>
          <cell r="B2001">
            <v>0</v>
          </cell>
          <cell r="C2001" t="str">
            <v>Vật liệu</v>
          </cell>
          <cell r="D2001">
            <v>0</v>
          </cell>
          <cell r="E2001">
            <v>0</v>
          </cell>
          <cell r="F2001">
            <v>0</v>
          </cell>
          <cell r="G2001">
            <v>0</v>
          </cell>
          <cell r="H2001">
            <v>0</v>
          </cell>
          <cell r="I2001">
            <v>0</v>
          </cell>
        </row>
        <row r="2002">
          <cell r="A2002">
            <v>0</v>
          </cell>
          <cell r="B2002" t="str">
            <v>VL221</v>
          </cell>
          <cell r="C2002" t="str">
            <v>Điện năng</v>
          </cell>
          <cell r="D2002" t="str">
            <v>Kwh</v>
          </cell>
          <cell r="E2002">
            <v>0.22500000000000001</v>
          </cell>
          <cell r="F2002">
            <v>1622.01</v>
          </cell>
          <cell r="G2002">
            <v>364.95224999999999</v>
          </cell>
          <cell r="H2002">
            <v>0</v>
          </cell>
          <cell r="I2002">
            <v>0</v>
          </cell>
        </row>
        <row r="2003">
          <cell r="A2003">
            <v>0</v>
          </cell>
          <cell r="B2003" t="str">
            <v>VL188</v>
          </cell>
          <cell r="C2003" t="str">
            <v>Vải phin trắng 0,8m</v>
          </cell>
          <cell r="D2003" t="str">
            <v>m</v>
          </cell>
          <cell r="E2003">
            <v>0.01</v>
          </cell>
          <cell r="F2003">
            <v>8000</v>
          </cell>
          <cell r="G2003">
            <v>80</v>
          </cell>
          <cell r="H2003">
            <v>0</v>
          </cell>
          <cell r="I2003">
            <v>0</v>
          </cell>
        </row>
        <row r="2004">
          <cell r="A2004">
            <v>0</v>
          </cell>
          <cell r="B2004" t="str">
            <v>VL177</v>
          </cell>
          <cell r="C2004" t="str">
            <v>Cồn công nghiệp</v>
          </cell>
          <cell r="D2004" t="str">
            <v>kg</v>
          </cell>
          <cell r="E2004">
            <v>0.01</v>
          </cell>
          <cell r="F2004">
            <v>20000</v>
          </cell>
          <cell r="G2004">
            <v>200</v>
          </cell>
          <cell r="H2004">
            <v>0</v>
          </cell>
          <cell r="I2004">
            <v>0</v>
          </cell>
        </row>
        <row r="2005">
          <cell r="A2005">
            <v>0</v>
          </cell>
          <cell r="B2005" t="str">
            <v>VL198</v>
          </cell>
          <cell r="C2005" t="str">
            <v>Dây điện 2x1,5mm2</v>
          </cell>
          <cell r="D2005" t="str">
            <v>m</v>
          </cell>
          <cell r="E2005">
            <v>0.1</v>
          </cell>
          <cell r="F2005">
            <v>9027.2727272727261</v>
          </cell>
          <cell r="G2005">
            <v>902.72727272727263</v>
          </cell>
          <cell r="H2005">
            <v>0</v>
          </cell>
          <cell r="I2005">
            <v>0</v>
          </cell>
        </row>
        <row r="2006">
          <cell r="A2006">
            <v>0</v>
          </cell>
          <cell r="B2006">
            <v>0</v>
          </cell>
          <cell r="C2006" t="str">
            <v>Nhân công</v>
          </cell>
          <cell r="D2006">
            <v>0</v>
          </cell>
          <cell r="E2006">
            <v>0</v>
          </cell>
          <cell r="F2006">
            <v>0</v>
          </cell>
          <cell r="G2006">
            <v>0</v>
          </cell>
          <cell r="H2006">
            <v>0</v>
          </cell>
          <cell r="I2006">
            <v>0</v>
          </cell>
        </row>
        <row r="2007">
          <cell r="A2007">
            <v>0</v>
          </cell>
          <cell r="B2007" t="str">
            <v>KS3</v>
          </cell>
          <cell r="C2007" t="str">
            <v>Kỹ sư bậc 3,0/8</v>
          </cell>
          <cell r="D2007" t="str">
            <v>công</v>
          </cell>
          <cell r="E2007">
            <v>1.1399999999999999</v>
          </cell>
          <cell r="F2007">
            <v>213300</v>
          </cell>
          <cell r="G2007">
            <v>0</v>
          </cell>
          <cell r="H2007">
            <v>243161.99999999997</v>
          </cell>
          <cell r="I2007">
            <v>0</v>
          </cell>
        </row>
        <row r="2008">
          <cell r="A2008">
            <v>0</v>
          </cell>
          <cell r="B2008" t="str">
            <v>N4407</v>
          </cell>
          <cell r="C2008" t="str">
            <v xml:space="preserve"> Nhân công bậc 4,0/7 - Nhóm 4</v>
          </cell>
          <cell r="D2008" t="str">
            <v>công</v>
          </cell>
          <cell r="E2008">
            <v>0.62</v>
          </cell>
          <cell r="F2008">
            <v>257269.73684210525</v>
          </cell>
          <cell r="G2008">
            <v>0</v>
          </cell>
          <cell r="H2008">
            <v>159507.23684210525</v>
          </cell>
          <cell r="I2008">
            <v>0</v>
          </cell>
        </row>
        <row r="2009">
          <cell r="A2009">
            <v>0</v>
          </cell>
          <cell r="B2009">
            <v>0</v>
          </cell>
          <cell r="C2009" t="str">
            <v>Máy thi công</v>
          </cell>
          <cell r="D2009">
            <v>0</v>
          </cell>
          <cell r="E2009">
            <v>0</v>
          </cell>
          <cell r="F2009">
            <v>0</v>
          </cell>
          <cell r="G2009">
            <v>0</v>
          </cell>
          <cell r="H2009">
            <v>0</v>
          </cell>
          <cell r="I2009">
            <v>0</v>
          </cell>
        </row>
        <row r="2010">
          <cell r="A2010">
            <v>0</v>
          </cell>
          <cell r="B2010" t="str">
            <v>M203.0019</v>
          </cell>
          <cell r="C2010" t="str">
            <v>Máy đo vạn năng</v>
          </cell>
          <cell r="D2010" t="str">
            <v>ca</v>
          </cell>
          <cell r="E2010">
            <v>8.0000000000000002E-3</v>
          </cell>
          <cell r="F2010">
            <v>120291.81818181821</v>
          </cell>
          <cell r="G2010">
            <v>0</v>
          </cell>
          <cell r="H2010">
            <v>0</v>
          </cell>
          <cell r="I2010">
            <v>962.33454545454572</v>
          </cell>
        </row>
        <row r="2011">
          <cell r="A2011">
            <v>0</v>
          </cell>
          <cell r="B2011" t="str">
            <v>M203.0022</v>
          </cell>
          <cell r="C2011" t="str">
            <v>Máy phát tần số</v>
          </cell>
          <cell r="D2011" t="str">
            <v>ca</v>
          </cell>
          <cell r="E2011">
            <v>0</v>
          </cell>
          <cell r="F2011">
            <v>105973.63636363637</v>
          </cell>
          <cell r="G2011">
            <v>0</v>
          </cell>
          <cell r="H2011">
            <v>0</v>
          </cell>
          <cell r="I2011">
            <v>0</v>
          </cell>
        </row>
        <row r="2012">
          <cell r="A2012">
            <v>0</v>
          </cell>
          <cell r="B2012" t="str">
            <v>M203.0025</v>
          </cell>
          <cell r="C2012" t="str">
            <v>Megôm met</v>
          </cell>
          <cell r="D2012" t="str">
            <v>ca</v>
          </cell>
          <cell r="E2012">
            <v>1.2E-2</v>
          </cell>
          <cell r="F2012">
            <v>40127.500000000007</v>
          </cell>
          <cell r="G2012">
            <v>0</v>
          </cell>
          <cell r="H2012">
            <v>0</v>
          </cell>
          <cell r="I2012">
            <v>481.53000000000009</v>
          </cell>
        </row>
        <row r="2013">
          <cell r="A2013">
            <v>0</v>
          </cell>
          <cell r="B2013" t="str">
            <v>M203.0002</v>
          </cell>
          <cell r="C2013" t="str">
            <v>Bộ nguồn AC-DC</v>
          </cell>
          <cell r="D2013" t="str">
            <v>ca</v>
          </cell>
          <cell r="E2013">
            <v>3.2000000000000001E-2</v>
          </cell>
          <cell r="F2013">
            <v>39763.181818181831</v>
          </cell>
          <cell r="G2013">
            <v>0</v>
          </cell>
          <cell r="H2013">
            <v>0</v>
          </cell>
          <cell r="I2013">
            <v>1272.4218181818187</v>
          </cell>
        </row>
        <row r="2014">
          <cell r="A2014" t="str">
            <v>EE.30030</v>
          </cell>
          <cell r="B2014">
            <v>0</v>
          </cell>
          <cell r="C2014" t="str">
            <v>Thí nghiệm đồng hồ góc pha</v>
          </cell>
          <cell r="D2014" t="str">
            <v>cái</v>
          </cell>
          <cell r="E2014">
            <v>0</v>
          </cell>
          <cell r="F2014">
            <v>0</v>
          </cell>
          <cell r="G2014">
            <v>1912.6317727272726</v>
          </cell>
          <cell r="H2014">
            <v>452673.11842105258</v>
          </cell>
          <cell r="I2014">
            <v>7634.3034090909105</v>
          </cell>
        </row>
        <row r="2015">
          <cell r="A2015">
            <v>0</v>
          </cell>
          <cell r="B2015">
            <v>0</v>
          </cell>
          <cell r="C2015" t="str">
            <v>Vật liệu</v>
          </cell>
          <cell r="D2015">
            <v>0</v>
          </cell>
          <cell r="E2015">
            <v>0</v>
          </cell>
          <cell r="F2015">
            <v>0</v>
          </cell>
          <cell r="G2015">
            <v>0</v>
          </cell>
          <cell r="H2015">
            <v>0</v>
          </cell>
          <cell r="I2015">
            <v>0</v>
          </cell>
        </row>
        <row r="2016">
          <cell r="A2016">
            <v>0</v>
          </cell>
          <cell r="B2016" t="str">
            <v>VL221</v>
          </cell>
          <cell r="C2016" t="str">
            <v>Điện năng</v>
          </cell>
          <cell r="D2016" t="str">
            <v>Kwh</v>
          </cell>
          <cell r="E2016">
            <v>0.45</v>
          </cell>
          <cell r="F2016">
            <v>1622.01</v>
          </cell>
          <cell r="G2016">
            <v>729.90449999999998</v>
          </cell>
          <cell r="H2016">
            <v>0</v>
          </cell>
          <cell r="I2016">
            <v>0</v>
          </cell>
        </row>
        <row r="2017">
          <cell r="A2017">
            <v>0</v>
          </cell>
          <cell r="B2017" t="str">
            <v>VL188</v>
          </cell>
          <cell r="C2017" t="str">
            <v>Vải phin trắng 0,8m</v>
          </cell>
          <cell r="D2017" t="str">
            <v>m</v>
          </cell>
          <cell r="E2017">
            <v>0.01</v>
          </cell>
          <cell r="F2017">
            <v>8000</v>
          </cell>
          <cell r="G2017">
            <v>80</v>
          </cell>
          <cell r="H2017">
            <v>0</v>
          </cell>
          <cell r="I2017">
            <v>0</v>
          </cell>
        </row>
        <row r="2018">
          <cell r="A2018">
            <v>0</v>
          </cell>
          <cell r="B2018" t="str">
            <v>VL177</v>
          </cell>
          <cell r="C2018" t="str">
            <v>Cồn công nghiệp</v>
          </cell>
          <cell r="D2018" t="str">
            <v>kg</v>
          </cell>
          <cell r="E2018">
            <v>0.01</v>
          </cell>
          <cell r="F2018">
            <v>20000</v>
          </cell>
          <cell r="G2018">
            <v>200</v>
          </cell>
          <cell r="H2018">
            <v>0</v>
          </cell>
          <cell r="I2018">
            <v>0</v>
          </cell>
        </row>
        <row r="2019">
          <cell r="A2019">
            <v>0</v>
          </cell>
          <cell r="B2019" t="str">
            <v>VL198</v>
          </cell>
          <cell r="C2019" t="str">
            <v>Dây điện 2x1,5mm2</v>
          </cell>
          <cell r="D2019" t="str">
            <v>m</v>
          </cell>
          <cell r="E2019">
            <v>0.1</v>
          </cell>
          <cell r="F2019">
            <v>9027.2727272727261</v>
          </cell>
          <cell r="G2019">
            <v>902.72727272727263</v>
          </cell>
          <cell r="H2019">
            <v>0</v>
          </cell>
          <cell r="I2019">
            <v>0</v>
          </cell>
        </row>
        <row r="2020">
          <cell r="A2020">
            <v>0</v>
          </cell>
          <cell r="B2020">
            <v>0</v>
          </cell>
          <cell r="C2020" t="str">
            <v>Nhân công</v>
          </cell>
          <cell r="D2020">
            <v>0</v>
          </cell>
          <cell r="E2020">
            <v>0</v>
          </cell>
          <cell r="F2020">
            <v>0</v>
          </cell>
          <cell r="G2020">
            <v>0</v>
          </cell>
          <cell r="H2020">
            <v>0</v>
          </cell>
          <cell r="I2020">
            <v>0</v>
          </cell>
        </row>
        <row r="2021">
          <cell r="A2021">
            <v>0</v>
          </cell>
          <cell r="B2021" t="str">
            <v>KS3</v>
          </cell>
          <cell r="C2021" t="str">
            <v>Kỹ sư bậc 3,0/8</v>
          </cell>
          <cell r="D2021" t="str">
            <v>công</v>
          </cell>
          <cell r="E2021">
            <v>1.29</v>
          </cell>
          <cell r="F2021">
            <v>213300</v>
          </cell>
          <cell r="G2021">
            <v>0</v>
          </cell>
          <cell r="H2021">
            <v>275157</v>
          </cell>
          <cell r="I2021">
            <v>0</v>
          </cell>
        </row>
        <row r="2022">
          <cell r="A2022">
            <v>0</v>
          </cell>
          <cell r="B2022" t="str">
            <v>N4407</v>
          </cell>
          <cell r="C2022" t="str">
            <v xml:space="preserve"> Nhân công bậc 4,0/7 - Nhóm 4</v>
          </cell>
          <cell r="D2022" t="str">
            <v>công</v>
          </cell>
          <cell r="E2022">
            <v>0.69</v>
          </cell>
          <cell r="F2022">
            <v>257269.73684210525</v>
          </cell>
          <cell r="G2022">
            <v>0</v>
          </cell>
          <cell r="H2022">
            <v>177516.11842105261</v>
          </cell>
          <cell r="I2022">
            <v>0</v>
          </cell>
        </row>
        <row r="2023">
          <cell r="A2023">
            <v>0</v>
          </cell>
          <cell r="B2023">
            <v>0</v>
          </cell>
          <cell r="C2023" t="str">
            <v>Máy thi công</v>
          </cell>
          <cell r="D2023">
            <v>0</v>
          </cell>
          <cell r="E2023">
            <v>0</v>
          </cell>
          <cell r="F2023">
            <v>0</v>
          </cell>
          <cell r="G2023">
            <v>0</v>
          </cell>
          <cell r="H2023">
            <v>0</v>
          </cell>
          <cell r="I2023">
            <v>0</v>
          </cell>
        </row>
        <row r="2024">
          <cell r="A2024">
            <v>0</v>
          </cell>
          <cell r="B2024" t="str">
            <v>M203.0019</v>
          </cell>
          <cell r="C2024" t="str">
            <v>Máy đo vạn năng</v>
          </cell>
          <cell r="D2024" t="str">
            <v>ca</v>
          </cell>
          <cell r="E2024">
            <v>0.01</v>
          </cell>
          <cell r="F2024">
            <v>120291.81818181821</v>
          </cell>
          <cell r="G2024">
            <v>0</v>
          </cell>
          <cell r="H2024">
            <v>0</v>
          </cell>
          <cell r="I2024">
            <v>1202.9181818181821</v>
          </cell>
        </row>
        <row r="2025">
          <cell r="A2025">
            <v>0</v>
          </cell>
          <cell r="B2025" t="str">
            <v>M203.0022</v>
          </cell>
          <cell r="C2025" t="str">
            <v>Máy phát tần số</v>
          </cell>
          <cell r="D2025" t="str">
            <v>ca</v>
          </cell>
          <cell r="E2025">
            <v>0.04</v>
          </cell>
          <cell r="F2025">
            <v>105973.63636363637</v>
          </cell>
          <cell r="G2025">
            <v>0</v>
          </cell>
          <cell r="H2025">
            <v>0</v>
          </cell>
          <cell r="I2025">
            <v>4238.9454545454546</v>
          </cell>
        </row>
        <row r="2026">
          <cell r="A2026">
            <v>0</v>
          </cell>
          <cell r="B2026" t="str">
            <v>M203.0025</v>
          </cell>
          <cell r="C2026" t="str">
            <v>Megôm met</v>
          </cell>
          <cell r="D2026" t="str">
            <v>ca</v>
          </cell>
          <cell r="E2026">
            <v>1.4999999999999999E-2</v>
          </cell>
          <cell r="F2026">
            <v>40127.500000000007</v>
          </cell>
          <cell r="G2026">
            <v>0</v>
          </cell>
          <cell r="H2026">
            <v>0</v>
          </cell>
          <cell r="I2026">
            <v>601.91250000000014</v>
          </cell>
        </row>
        <row r="2027">
          <cell r="A2027">
            <v>0</v>
          </cell>
          <cell r="B2027" t="str">
            <v>M203.0002</v>
          </cell>
          <cell r="C2027" t="str">
            <v>Bộ nguồn AC-DC</v>
          </cell>
          <cell r="D2027" t="str">
            <v>ca</v>
          </cell>
          <cell r="E2027">
            <v>0.04</v>
          </cell>
          <cell r="F2027">
            <v>39763.181818181831</v>
          </cell>
          <cell r="G2027">
            <v>0</v>
          </cell>
          <cell r="H2027">
            <v>0</v>
          </cell>
          <cell r="I2027">
            <v>1590.5272727272732</v>
          </cell>
        </row>
        <row r="2028">
          <cell r="A2028" t="str">
            <v>EE.40010</v>
          </cell>
          <cell r="B2028">
            <v>0</v>
          </cell>
          <cell r="C2028" t="str">
            <v>Thí nghiệm công tơ 1 pha điện từ</v>
          </cell>
          <cell r="D2028" t="str">
            <v>cái</v>
          </cell>
          <cell r="E2028">
            <v>0</v>
          </cell>
          <cell r="F2028">
            <v>0</v>
          </cell>
          <cell r="G2028">
            <v>2804.7372727272727</v>
          </cell>
          <cell r="H2028">
            <v>111029.15413533835</v>
          </cell>
          <cell r="I2028">
            <v>13151.852159090909</v>
          </cell>
        </row>
        <row r="2029">
          <cell r="A2029">
            <v>0</v>
          </cell>
          <cell r="B2029">
            <v>0</v>
          </cell>
          <cell r="C2029" t="str">
            <v>Vật liệu</v>
          </cell>
          <cell r="D2029">
            <v>0</v>
          </cell>
          <cell r="E2029">
            <v>0</v>
          </cell>
          <cell r="F2029">
            <v>0</v>
          </cell>
          <cell r="G2029">
            <v>0</v>
          </cell>
          <cell r="H2029">
            <v>0</v>
          </cell>
          <cell r="I2029">
            <v>0</v>
          </cell>
        </row>
        <row r="2030">
          <cell r="A2030">
            <v>0</v>
          </cell>
          <cell r="B2030" t="str">
            <v>VL221</v>
          </cell>
          <cell r="C2030" t="str">
            <v>Điện năng</v>
          </cell>
          <cell r="D2030" t="str">
            <v>Kwh</v>
          </cell>
          <cell r="E2030">
            <v>1</v>
          </cell>
          <cell r="F2030">
            <v>1622.01</v>
          </cell>
          <cell r="G2030">
            <v>1622.01</v>
          </cell>
          <cell r="H2030">
            <v>0</v>
          </cell>
          <cell r="I2030">
            <v>0</v>
          </cell>
        </row>
        <row r="2031">
          <cell r="A2031">
            <v>0</v>
          </cell>
          <cell r="B2031" t="str">
            <v>VL188</v>
          </cell>
          <cell r="C2031" t="str">
            <v>Vải phin trắng 0,8m</v>
          </cell>
          <cell r="D2031" t="str">
            <v>m</v>
          </cell>
          <cell r="E2031">
            <v>0.01</v>
          </cell>
          <cell r="F2031">
            <v>8000</v>
          </cell>
          <cell r="G2031">
            <v>80</v>
          </cell>
          <cell r="H2031">
            <v>0</v>
          </cell>
          <cell r="I2031">
            <v>0</v>
          </cell>
        </row>
        <row r="2032">
          <cell r="A2032">
            <v>0</v>
          </cell>
          <cell r="B2032" t="str">
            <v>VL177</v>
          </cell>
          <cell r="C2032" t="str">
            <v>Cồn công nghiệp</v>
          </cell>
          <cell r="D2032" t="str">
            <v>kg</v>
          </cell>
          <cell r="E2032">
            <v>0.01</v>
          </cell>
          <cell r="F2032">
            <v>20000</v>
          </cell>
          <cell r="G2032">
            <v>200</v>
          </cell>
          <cell r="H2032">
            <v>0</v>
          </cell>
          <cell r="I2032">
            <v>0</v>
          </cell>
        </row>
        <row r="2033">
          <cell r="A2033">
            <v>0</v>
          </cell>
          <cell r="B2033" t="str">
            <v>VL198</v>
          </cell>
          <cell r="C2033" t="str">
            <v>Dây điện 2x1,5mm2</v>
          </cell>
          <cell r="D2033" t="str">
            <v>m</v>
          </cell>
          <cell r="E2033">
            <v>0.1</v>
          </cell>
          <cell r="F2033">
            <v>9027.2727272727261</v>
          </cell>
          <cell r="G2033">
            <v>902.72727272727263</v>
          </cell>
          <cell r="H2033">
            <v>0</v>
          </cell>
          <cell r="I2033">
            <v>0</v>
          </cell>
        </row>
        <row r="2034">
          <cell r="A2034">
            <v>0</v>
          </cell>
          <cell r="B2034">
            <v>0</v>
          </cell>
          <cell r="C2034" t="str">
            <v>Nhân công</v>
          </cell>
          <cell r="D2034">
            <v>0</v>
          </cell>
          <cell r="E2034">
            <v>0</v>
          </cell>
          <cell r="F2034">
            <v>0</v>
          </cell>
          <cell r="G2034">
            <v>0</v>
          </cell>
          <cell r="H2034">
            <v>0</v>
          </cell>
          <cell r="I2034">
            <v>0</v>
          </cell>
        </row>
        <row r="2035">
          <cell r="A2035">
            <v>0</v>
          </cell>
          <cell r="B2035" t="str">
            <v>KS5</v>
          </cell>
          <cell r="C2035" t="str">
            <v>Kỹ sư bậc 5,0/8</v>
          </cell>
          <cell r="D2035" t="str">
            <v>công</v>
          </cell>
          <cell r="E2035">
            <v>0.25</v>
          </cell>
          <cell r="F2035">
            <v>259007.14285714287</v>
          </cell>
          <cell r="G2035">
            <v>0</v>
          </cell>
          <cell r="H2035">
            <v>64751.785714285717</v>
          </cell>
          <cell r="I2035">
            <v>0</v>
          </cell>
        </row>
        <row r="2036">
          <cell r="A2036">
            <v>0</v>
          </cell>
          <cell r="B2036" t="str">
            <v>N4557</v>
          </cell>
          <cell r="C2036" t="str">
            <v xml:space="preserve"> Nhân công bậc 5,5/7 - Nhóm 4</v>
          </cell>
          <cell r="D2036" t="str">
            <v>công</v>
          </cell>
          <cell r="E2036">
            <v>0.14000000000000001</v>
          </cell>
          <cell r="F2036">
            <v>330552.63157894742</v>
          </cell>
          <cell r="G2036">
            <v>0</v>
          </cell>
          <cell r="H2036">
            <v>46277.368421052641</v>
          </cell>
          <cell r="I2036">
            <v>0</v>
          </cell>
        </row>
        <row r="2037">
          <cell r="A2037">
            <v>0</v>
          </cell>
          <cell r="B2037">
            <v>0</v>
          </cell>
          <cell r="C2037" t="str">
            <v>Máy thi công</v>
          </cell>
          <cell r="D2037">
            <v>0</v>
          </cell>
          <cell r="E2037">
            <v>0</v>
          </cell>
          <cell r="F2037">
            <v>0</v>
          </cell>
          <cell r="G2037">
            <v>0</v>
          </cell>
          <cell r="H2037">
            <v>0</v>
          </cell>
          <cell r="I2037">
            <v>0</v>
          </cell>
        </row>
        <row r="2038">
          <cell r="A2038">
            <v>0</v>
          </cell>
          <cell r="B2038" t="str">
            <v>M202.0164</v>
          </cell>
          <cell r="C2038" t="str">
            <v>Máy tính xách tay</v>
          </cell>
          <cell r="D2038" t="str">
            <v>ca</v>
          </cell>
          <cell r="E2038">
            <v>0</v>
          </cell>
          <cell r="F2038">
            <v>17627.204545454548</v>
          </cell>
          <cell r="G2038">
            <v>0</v>
          </cell>
          <cell r="H2038">
            <v>0</v>
          </cell>
          <cell r="I2038">
            <v>0</v>
          </cell>
        </row>
        <row r="2039">
          <cell r="A2039">
            <v>0</v>
          </cell>
          <cell r="B2039" t="str">
            <v>M203.0003</v>
          </cell>
          <cell r="C2039" t="str">
            <v>Công tơ mẫu xách tay</v>
          </cell>
          <cell r="D2039" t="str">
            <v>ca</v>
          </cell>
          <cell r="E2039">
            <v>2.3E-2</v>
          </cell>
          <cell r="F2039">
            <v>167533.06818181818</v>
          </cell>
          <cell r="G2039">
            <v>0</v>
          </cell>
          <cell r="H2039">
            <v>0</v>
          </cell>
          <cell r="I2039">
            <v>3853.2605681818181</v>
          </cell>
        </row>
        <row r="2040">
          <cell r="A2040">
            <v>0</v>
          </cell>
          <cell r="B2040" t="str">
            <v>M203.0001</v>
          </cell>
          <cell r="C2040" t="str">
            <v>Bộ nguồn 3 pha</v>
          </cell>
          <cell r="D2040" t="str">
            <v>ca</v>
          </cell>
          <cell r="E2040">
            <v>2.3E-2</v>
          </cell>
          <cell r="F2040">
            <v>404286.59090909094</v>
          </cell>
          <cell r="G2040">
            <v>0</v>
          </cell>
          <cell r="H2040">
            <v>0</v>
          </cell>
          <cell r="I2040">
            <v>9298.5915909090909</v>
          </cell>
        </row>
        <row r="2041">
          <cell r="A2041" t="str">
            <v>EE.40020</v>
          </cell>
          <cell r="B2041">
            <v>0</v>
          </cell>
          <cell r="C2041" t="str">
            <v>Thí nghiệm công tơ 1 pha điện tử</v>
          </cell>
          <cell r="D2041" t="str">
            <v>cái</v>
          </cell>
          <cell r="E2041">
            <v>0</v>
          </cell>
          <cell r="F2041">
            <v>0</v>
          </cell>
          <cell r="G2041">
            <v>2243.7898181818182</v>
          </cell>
          <cell r="H2041">
            <v>548534.71804511291</v>
          </cell>
          <cell r="I2041">
            <v>33845.252090909096</v>
          </cell>
        </row>
        <row r="2042">
          <cell r="A2042">
            <v>0</v>
          </cell>
          <cell r="B2042">
            <v>0</v>
          </cell>
          <cell r="C2042" t="str">
            <v>Vật liệu</v>
          </cell>
          <cell r="D2042">
            <v>0</v>
          </cell>
          <cell r="E2042">
            <v>0</v>
          </cell>
          <cell r="F2042">
            <v>0</v>
          </cell>
          <cell r="G2042">
            <v>0</v>
          </cell>
          <cell r="H2042">
            <v>0</v>
          </cell>
          <cell r="I2042">
            <v>0</v>
          </cell>
        </row>
        <row r="2043">
          <cell r="A2043">
            <v>0</v>
          </cell>
          <cell r="B2043" t="str">
            <v>VL221</v>
          </cell>
          <cell r="C2043" t="str">
            <v>Điện năng</v>
          </cell>
          <cell r="D2043" t="str">
            <v>Kwh</v>
          </cell>
          <cell r="E2043">
            <v>0.8</v>
          </cell>
          <cell r="F2043">
            <v>1622.01</v>
          </cell>
          <cell r="G2043">
            <v>1297.6080000000002</v>
          </cell>
          <cell r="H2043">
            <v>0</v>
          </cell>
          <cell r="I2043">
            <v>0</v>
          </cell>
        </row>
        <row r="2044">
          <cell r="A2044">
            <v>0</v>
          </cell>
          <cell r="B2044" t="str">
            <v>VL188</v>
          </cell>
          <cell r="C2044" t="str">
            <v>Vải phin trắng 0,8m</v>
          </cell>
          <cell r="D2044" t="str">
            <v>m</v>
          </cell>
          <cell r="E2044">
            <v>8.0000000000000002E-3</v>
          </cell>
          <cell r="F2044">
            <v>8000</v>
          </cell>
          <cell r="G2044">
            <v>64</v>
          </cell>
          <cell r="H2044">
            <v>0</v>
          </cell>
          <cell r="I2044">
            <v>0</v>
          </cell>
        </row>
        <row r="2045">
          <cell r="A2045">
            <v>0</v>
          </cell>
          <cell r="B2045" t="str">
            <v>VL177</v>
          </cell>
          <cell r="C2045" t="str">
            <v>Cồn công nghiệp</v>
          </cell>
          <cell r="D2045" t="str">
            <v>kg</v>
          </cell>
          <cell r="E2045">
            <v>8.0000000000000002E-3</v>
          </cell>
          <cell r="F2045">
            <v>20000</v>
          </cell>
          <cell r="G2045">
            <v>160</v>
          </cell>
          <cell r="H2045">
            <v>0</v>
          </cell>
          <cell r="I2045">
            <v>0</v>
          </cell>
        </row>
        <row r="2046">
          <cell r="A2046">
            <v>0</v>
          </cell>
          <cell r="B2046" t="str">
            <v>VL198</v>
          </cell>
          <cell r="C2046" t="str">
            <v>Dây điện 2x1,5mm2</v>
          </cell>
          <cell r="D2046" t="str">
            <v>m</v>
          </cell>
          <cell r="E2046">
            <v>0.08</v>
          </cell>
          <cell r="F2046">
            <v>9027.2727272727261</v>
          </cell>
          <cell r="G2046">
            <v>722.18181818181813</v>
          </cell>
          <cell r="H2046">
            <v>0</v>
          </cell>
          <cell r="I2046">
            <v>0</v>
          </cell>
        </row>
        <row r="2047">
          <cell r="A2047">
            <v>0</v>
          </cell>
          <cell r="B2047">
            <v>0</v>
          </cell>
          <cell r="C2047" t="str">
            <v>Nhân công</v>
          </cell>
          <cell r="D2047">
            <v>0</v>
          </cell>
          <cell r="E2047">
            <v>0</v>
          </cell>
          <cell r="F2047">
            <v>0</v>
          </cell>
          <cell r="G2047">
            <v>0</v>
          </cell>
          <cell r="H2047">
            <v>0</v>
          </cell>
          <cell r="I2047">
            <v>0</v>
          </cell>
        </row>
        <row r="2048">
          <cell r="A2048">
            <v>0</v>
          </cell>
          <cell r="B2048" t="str">
            <v>KS5</v>
          </cell>
          <cell r="C2048" t="str">
            <v>Kỹ sư bậc 5,0/8</v>
          </cell>
          <cell r="D2048" t="str">
            <v>công</v>
          </cell>
          <cell r="E2048">
            <v>1.25</v>
          </cell>
          <cell r="F2048">
            <v>259007.14285714287</v>
          </cell>
          <cell r="G2048">
            <v>0</v>
          </cell>
          <cell r="H2048">
            <v>323758.92857142858</v>
          </cell>
          <cell r="I2048">
            <v>0</v>
          </cell>
        </row>
        <row r="2049">
          <cell r="A2049">
            <v>0</v>
          </cell>
          <cell r="B2049" t="str">
            <v>N4557</v>
          </cell>
          <cell r="C2049" t="str">
            <v xml:space="preserve"> Nhân công bậc 5,5/7 - Nhóm 4</v>
          </cell>
          <cell r="D2049" t="str">
            <v>công</v>
          </cell>
          <cell r="E2049">
            <v>0.68</v>
          </cell>
          <cell r="F2049">
            <v>330552.63157894742</v>
          </cell>
          <cell r="G2049">
            <v>0</v>
          </cell>
          <cell r="H2049">
            <v>224775.78947368427</v>
          </cell>
          <cell r="I2049">
            <v>0</v>
          </cell>
        </row>
        <row r="2050">
          <cell r="A2050">
            <v>0</v>
          </cell>
          <cell r="B2050">
            <v>0</v>
          </cell>
          <cell r="C2050" t="str">
            <v>Máy thi công</v>
          </cell>
          <cell r="D2050">
            <v>0</v>
          </cell>
          <cell r="E2050">
            <v>0</v>
          </cell>
          <cell r="F2050">
            <v>0</v>
          </cell>
          <cell r="G2050">
            <v>0</v>
          </cell>
          <cell r="H2050">
            <v>0</v>
          </cell>
          <cell r="I2050">
            <v>0</v>
          </cell>
        </row>
        <row r="2051">
          <cell r="A2051">
            <v>0</v>
          </cell>
          <cell r="B2051" t="str">
            <v>M202.0164</v>
          </cell>
          <cell r="C2051" t="str">
            <v>Máy tính xách tay</v>
          </cell>
          <cell r="D2051" t="str">
            <v>ca</v>
          </cell>
          <cell r="E2051">
            <v>7.0999999999999994E-2</v>
          </cell>
          <cell r="F2051">
            <v>17627.204545454548</v>
          </cell>
          <cell r="G2051">
            <v>0</v>
          </cell>
          <cell r="H2051">
            <v>0</v>
          </cell>
          <cell r="I2051">
            <v>1251.5315227272729</v>
          </cell>
        </row>
        <row r="2052">
          <cell r="A2052">
            <v>0</v>
          </cell>
          <cell r="B2052" t="str">
            <v>M203.0003</v>
          </cell>
          <cell r="C2052" t="str">
            <v>Công tơ mẫu xách tay</v>
          </cell>
          <cell r="D2052" t="str">
            <v>ca</v>
          </cell>
          <cell r="E2052">
            <v>5.7000000000000002E-2</v>
          </cell>
          <cell r="F2052">
            <v>167533.06818181818</v>
          </cell>
          <cell r="G2052">
            <v>0</v>
          </cell>
          <cell r="H2052">
            <v>0</v>
          </cell>
          <cell r="I2052">
            <v>9549.3848863636358</v>
          </cell>
        </row>
        <row r="2053">
          <cell r="A2053">
            <v>0</v>
          </cell>
          <cell r="B2053" t="str">
            <v>M203.0001</v>
          </cell>
          <cell r="C2053" t="str">
            <v>Bộ nguồn 3 pha</v>
          </cell>
          <cell r="D2053" t="str">
            <v>ca</v>
          </cell>
          <cell r="E2053">
            <v>5.7000000000000002E-2</v>
          </cell>
          <cell r="F2053">
            <v>404286.59090909094</v>
          </cell>
          <cell r="G2053">
            <v>0</v>
          </cell>
          <cell r="H2053">
            <v>0</v>
          </cell>
          <cell r="I2053">
            <v>23044.335681818186</v>
          </cell>
        </row>
        <row r="2054">
          <cell r="A2054" t="str">
            <v>EE.40030</v>
          </cell>
          <cell r="B2054">
            <v>0</v>
          </cell>
          <cell r="C2054" t="str">
            <v>Thí nghiệm công tơ 3 pha điện từ</v>
          </cell>
          <cell r="D2054" t="str">
            <v>cái</v>
          </cell>
          <cell r="E2054">
            <v>0</v>
          </cell>
          <cell r="F2054">
            <v>0</v>
          </cell>
          <cell r="G2054">
            <v>3365.6847272727268</v>
          </cell>
          <cell r="H2054">
            <v>275562.39473684214</v>
          </cell>
          <cell r="I2054">
            <v>32593.720568181823</v>
          </cell>
        </row>
        <row r="2055">
          <cell r="A2055">
            <v>0</v>
          </cell>
          <cell r="B2055">
            <v>0</v>
          </cell>
          <cell r="C2055" t="str">
            <v>Vật liệu</v>
          </cell>
          <cell r="D2055">
            <v>0</v>
          </cell>
          <cell r="E2055">
            <v>0</v>
          </cell>
          <cell r="F2055">
            <v>0</v>
          </cell>
          <cell r="G2055">
            <v>0</v>
          </cell>
          <cell r="H2055">
            <v>0</v>
          </cell>
          <cell r="I2055">
            <v>0</v>
          </cell>
        </row>
        <row r="2056">
          <cell r="A2056">
            <v>0</v>
          </cell>
          <cell r="B2056" t="str">
            <v>VL221</v>
          </cell>
          <cell r="C2056" t="str">
            <v>Điện năng</v>
          </cell>
          <cell r="D2056" t="str">
            <v>Kwh</v>
          </cell>
          <cell r="E2056">
            <v>1.2</v>
          </cell>
          <cell r="F2056">
            <v>1622.01</v>
          </cell>
          <cell r="G2056">
            <v>1946.4119999999998</v>
          </cell>
          <cell r="H2056">
            <v>0</v>
          </cell>
          <cell r="I2056">
            <v>0</v>
          </cell>
        </row>
        <row r="2057">
          <cell r="A2057">
            <v>0</v>
          </cell>
          <cell r="B2057" t="str">
            <v>VL188</v>
          </cell>
          <cell r="C2057" t="str">
            <v>Vải phin trắng 0,8m</v>
          </cell>
          <cell r="D2057" t="str">
            <v>m</v>
          </cell>
          <cell r="E2057">
            <v>1.2E-2</v>
          </cell>
          <cell r="F2057">
            <v>8000</v>
          </cell>
          <cell r="G2057">
            <v>96</v>
          </cell>
          <cell r="H2057">
            <v>0</v>
          </cell>
          <cell r="I2057">
            <v>0</v>
          </cell>
        </row>
        <row r="2058">
          <cell r="A2058">
            <v>0</v>
          </cell>
          <cell r="B2058" t="str">
            <v>VL177</v>
          </cell>
          <cell r="C2058" t="str">
            <v>Cồn công nghiệp</v>
          </cell>
          <cell r="D2058" t="str">
            <v>kg</v>
          </cell>
          <cell r="E2058">
            <v>1.2E-2</v>
          </cell>
          <cell r="F2058">
            <v>20000</v>
          </cell>
          <cell r="G2058">
            <v>240</v>
          </cell>
          <cell r="H2058">
            <v>0</v>
          </cell>
          <cell r="I2058">
            <v>0</v>
          </cell>
        </row>
        <row r="2059">
          <cell r="A2059">
            <v>0</v>
          </cell>
          <cell r="B2059" t="str">
            <v>VL198</v>
          </cell>
          <cell r="C2059" t="str">
            <v>Dây điện 2x1,5mm2</v>
          </cell>
          <cell r="D2059" t="str">
            <v>m</v>
          </cell>
          <cell r="E2059">
            <v>0.12</v>
          </cell>
          <cell r="F2059">
            <v>9027.2727272727261</v>
          </cell>
          <cell r="G2059">
            <v>1083.272727272727</v>
          </cell>
          <cell r="H2059">
            <v>0</v>
          </cell>
          <cell r="I2059">
            <v>0</v>
          </cell>
        </row>
        <row r="2060">
          <cell r="A2060">
            <v>0</v>
          </cell>
          <cell r="B2060">
            <v>0</v>
          </cell>
          <cell r="C2060" t="str">
            <v>Nhân công</v>
          </cell>
          <cell r="D2060">
            <v>0</v>
          </cell>
          <cell r="E2060">
            <v>0</v>
          </cell>
          <cell r="F2060">
            <v>0</v>
          </cell>
          <cell r="G2060">
            <v>0</v>
          </cell>
          <cell r="H2060">
            <v>0</v>
          </cell>
          <cell r="I2060">
            <v>0</v>
          </cell>
        </row>
        <row r="2061">
          <cell r="A2061">
            <v>0</v>
          </cell>
          <cell r="B2061" t="str">
            <v>KS5</v>
          </cell>
          <cell r="C2061" t="str">
            <v>Kỹ sư bậc 5,0/8</v>
          </cell>
          <cell r="D2061" t="str">
            <v>công</v>
          </cell>
          <cell r="E2061">
            <v>0.63</v>
          </cell>
          <cell r="F2061">
            <v>259007.14285714287</v>
          </cell>
          <cell r="G2061">
            <v>0</v>
          </cell>
          <cell r="H2061">
            <v>163174.5</v>
          </cell>
          <cell r="I2061">
            <v>0</v>
          </cell>
        </row>
        <row r="2062">
          <cell r="A2062">
            <v>0</v>
          </cell>
          <cell r="B2062" t="str">
            <v>N4557</v>
          </cell>
          <cell r="C2062" t="str">
            <v xml:space="preserve"> Nhân công bậc 5,5/7 - Nhóm 4</v>
          </cell>
          <cell r="D2062" t="str">
            <v>công</v>
          </cell>
          <cell r="E2062">
            <v>0.34</v>
          </cell>
          <cell r="F2062">
            <v>330552.63157894742</v>
          </cell>
          <cell r="G2062">
            <v>0</v>
          </cell>
          <cell r="H2062">
            <v>112387.89473684214</v>
          </cell>
          <cell r="I2062">
            <v>0</v>
          </cell>
        </row>
        <row r="2063">
          <cell r="A2063">
            <v>0</v>
          </cell>
          <cell r="B2063">
            <v>0</v>
          </cell>
          <cell r="C2063" t="str">
            <v>Máy thi công</v>
          </cell>
          <cell r="D2063">
            <v>0</v>
          </cell>
          <cell r="E2063">
            <v>0</v>
          </cell>
          <cell r="F2063">
            <v>0</v>
          </cell>
          <cell r="G2063">
            <v>0</v>
          </cell>
          <cell r="H2063">
            <v>0</v>
          </cell>
          <cell r="I2063">
            <v>0</v>
          </cell>
        </row>
        <row r="2064">
          <cell r="A2064">
            <v>0</v>
          </cell>
          <cell r="B2064" t="str">
            <v>M202.0164</v>
          </cell>
          <cell r="C2064" t="str">
            <v>Máy tính xách tay</v>
          </cell>
          <cell r="D2064" t="str">
            <v>ca</v>
          </cell>
          <cell r="E2064">
            <v>0</v>
          </cell>
          <cell r="F2064">
            <v>17627.204545454548</v>
          </cell>
          <cell r="G2064">
            <v>0</v>
          </cell>
          <cell r="H2064">
            <v>0</v>
          </cell>
          <cell r="I2064">
            <v>0</v>
          </cell>
        </row>
        <row r="2065">
          <cell r="A2065">
            <v>0</v>
          </cell>
          <cell r="B2065" t="str">
            <v>M203.0003</v>
          </cell>
          <cell r="C2065" t="str">
            <v>Công tơ mẫu xách tay</v>
          </cell>
          <cell r="D2065" t="str">
            <v>ca</v>
          </cell>
          <cell r="E2065">
            <v>5.7000000000000002E-2</v>
          </cell>
          <cell r="F2065">
            <v>167533.06818181818</v>
          </cell>
          <cell r="G2065">
            <v>0</v>
          </cell>
          <cell r="H2065">
            <v>0</v>
          </cell>
          <cell r="I2065">
            <v>9549.3848863636358</v>
          </cell>
        </row>
        <row r="2066">
          <cell r="A2066">
            <v>0</v>
          </cell>
          <cell r="B2066" t="str">
            <v>M203.0001</v>
          </cell>
          <cell r="C2066" t="str">
            <v>Bộ nguồn 3 pha</v>
          </cell>
          <cell r="D2066" t="str">
            <v>ca</v>
          </cell>
          <cell r="E2066">
            <v>5.7000000000000002E-2</v>
          </cell>
          <cell r="F2066">
            <v>404286.59090909094</v>
          </cell>
          <cell r="G2066">
            <v>0</v>
          </cell>
          <cell r="H2066">
            <v>0</v>
          </cell>
          <cell r="I2066">
            <v>23044.335681818186</v>
          </cell>
        </row>
        <row r="2067">
          <cell r="A2067" t="str">
            <v>EE.40040</v>
          </cell>
          <cell r="B2067">
            <v>0</v>
          </cell>
          <cell r="C2067" t="str">
            <v>Thí nghiệm công tơ 3 pha KTS lập trình</v>
          </cell>
          <cell r="D2067" t="str">
            <v>cái</v>
          </cell>
          <cell r="E2067">
            <v>0</v>
          </cell>
          <cell r="F2067">
            <v>0</v>
          </cell>
          <cell r="G2067">
            <v>2703.7477818181815</v>
          </cell>
          <cell r="H2067">
            <v>1369326.3045112784</v>
          </cell>
          <cell r="I2067">
            <v>84925.48086363636</v>
          </cell>
        </row>
        <row r="2068">
          <cell r="A2068">
            <v>0</v>
          </cell>
          <cell r="B2068">
            <v>0</v>
          </cell>
          <cell r="C2068" t="str">
            <v>Vật liệu</v>
          </cell>
          <cell r="D2068">
            <v>0</v>
          </cell>
          <cell r="E2068">
            <v>0</v>
          </cell>
          <cell r="F2068">
            <v>0</v>
          </cell>
          <cell r="G2068">
            <v>0</v>
          </cell>
          <cell r="H2068">
            <v>0</v>
          </cell>
          <cell r="I2068">
            <v>0</v>
          </cell>
        </row>
        <row r="2069">
          <cell r="A2069">
            <v>0</v>
          </cell>
          <cell r="B2069" t="str">
            <v>VL221</v>
          </cell>
          <cell r="C2069" t="str">
            <v>Điện năng</v>
          </cell>
          <cell r="D2069" t="str">
            <v>Kwh</v>
          </cell>
          <cell r="E2069">
            <v>0.96</v>
          </cell>
          <cell r="F2069">
            <v>1622.01</v>
          </cell>
          <cell r="G2069">
            <v>1557.1296</v>
          </cell>
          <cell r="H2069">
            <v>0</v>
          </cell>
          <cell r="I2069">
            <v>0</v>
          </cell>
        </row>
        <row r="2070">
          <cell r="A2070">
            <v>0</v>
          </cell>
          <cell r="B2070" t="str">
            <v>VL188</v>
          </cell>
          <cell r="C2070" t="str">
            <v>Vải phin trắng 0,8m</v>
          </cell>
          <cell r="D2070" t="str">
            <v>m</v>
          </cell>
          <cell r="E2070">
            <v>0.01</v>
          </cell>
          <cell r="F2070">
            <v>8000</v>
          </cell>
          <cell r="G2070">
            <v>80</v>
          </cell>
          <cell r="H2070">
            <v>0</v>
          </cell>
          <cell r="I2070">
            <v>0</v>
          </cell>
        </row>
        <row r="2071">
          <cell r="A2071">
            <v>0</v>
          </cell>
          <cell r="B2071" t="str">
            <v>VL177</v>
          </cell>
          <cell r="C2071" t="str">
            <v>Cồn công nghiệp</v>
          </cell>
          <cell r="D2071" t="str">
            <v>kg</v>
          </cell>
          <cell r="E2071">
            <v>0.01</v>
          </cell>
          <cell r="F2071">
            <v>20000</v>
          </cell>
          <cell r="G2071">
            <v>200</v>
          </cell>
          <cell r="H2071">
            <v>0</v>
          </cell>
          <cell r="I2071">
            <v>0</v>
          </cell>
        </row>
        <row r="2072">
          <cell r="A2072">
            <v>0</v>
          </cell>
          <cell r="B2072" t="str">
            <v>VL198</v>
          </cell>
          <cell r="C2072" t="str">
            <v>Dây điện 2x1,5mm2</v>
          </cell>
          <cell r="D2072" t="str">
            <v>m</v>
          </cell>
          <cell r="E2072">
            <v>9.6000000000000002E-2</v>
          </cell>
          <cell r="F2072">
            <v>9027.2727272727261</v>
          </cell>
          <cell r="G2072">
            <v>866.61818181818171</v>
          </cell>
          <cell r="H2072">
            <v>0</v>
          </cell>
          <cell r="I2072">
            <v>0</v>
          </cell>
        </row>
        <row r="2073">
          <cell r="A2073">
            <v>0</v>
          </cell>
          <cell r="B2073">
            <v>0</v>
          </cell>
          <cell r="C2073" t="str">
            <v>Nhân công</v>
          </cell>
          <cell r="D2073">
            <v>0</v>
          </cell>
          <cell r="E2073">
            <v>0</v>
          </cell>
          <cell r="F2073">
            <v>0</v>
          </cell>
          <cell r="G2073">
            <v>0</v>
          </cell>
          <cell r="H2073">
            <v>0</v>
          </cell>
          <cell r="I2073">
            <v>0</v>
          </cell>
        </row>
        <row r="2074">
          <cell r="A2074">
            <v>0</v>
          </cell>
          <cell r="B2074" t="str">
            <v>KS5</v>
          </cell>
          <cell r="C2074" t="str">
            <v>Kỹ sư bậc 5,0/8</v>
          </cell>
          <cell r="D2074" t="str">
            <v>công</v>
          </cell>
          <cell r="E2074">
            <v>3.13</v>
          </cell>
          <cell r="F2074">
            <v>259007.14285714287</v>
          </cell>
          <cell r="G2074">
            <v>0</v>
          </cell>
          <cell r="H2074">
            <v>810692.35714285716</v>
          </cell>
          <cell r="I2074">
            <v>0</v>
          </cell>
        </row>
        <row r="2075">
          <cell r="A2075">
            <v>0</v>
          </cell>
          <cell r="B2075" t="str">
            <v>N4557</v>
          </cell>
          <cell r="C2075" t="str">
            <v xml:space="preserve"> Nhân công bậc 5,5/7 - Nhóm 4</v>
          </cell>
          <cell r="D2075" t="str">
            <v>công</v>
          </cell>
          <cell r="E2075">
            <v>1.69</v>
          </cell>
          <cell r="F2075">
            <v>330552.63157894742</v>
          </cell>
          <cell r="G2075">
            <v>0</v>
          </cell>
          <cell r="H2075">
            <v>558633.94736842113</v>
          </cell>
          <cell r="I2075">
            <v>0</v>
          </cell>
        </row>
        <row r="2076">
          <cell r="A2076">
            <v>0</v>
          </cell>
          <cell r="B2076">
            <v>0</v>
          </cell>
          <cell r="C2076" t="str">
            <v>Máy thi công</v>
          </cell>
          <cell r="D2076">
            <v>0</v>
          </cell>
          <cell r="E2076">
            <v>0</v>
          </cell>
          <cell r="F2076">
            <v>0</v>
          </cell>
          <cell r="G2076">
            <v>0</v>
          </cell>
          <cell r="H2076">
            <v>0</v>
          </cell>
          <cell r="I2076">
            <v>0</v>
          </cell>
        </row>
        <row r="2077">
          <cell r="A2077">
            <v>0</v>
          </cell>
          <cell r="B2077" t="str">
            <v>M202.0164</v>
          </cell>
          <cell r="C2077" t="str">
            <v>Máy tính xách tay</v>
          </cell>
          <cell r="D2077" t="str">
            <v>ca</v>
          </cell>
          <cell r="E2077">
            <v>0.17899999999999999</v>
          </cell>
          <cell r="F2077">
            <v>17627.204545454548</v>
          </cell>
          <cell r="G2077">
            <v>0</v>
          </cell>
          <cell r="H2077">
            <v>0</v>
          </cell>
          <cell r="I2077">
            <v>3155.2696136363638</v>
          </cell>
        </row>
        <row r="2078">
          <cell r="A2078">
            <v>0</v>
          </cell>
          <cell r="B2078" t="str">
            <v>M203.0003</v>
          </cell>
          <cell r="C2078" t="str">
            <v>Công tơ mẫu xách tay</v>
          </cell>
          <cell r="D2078" t="str">
            <v>ca</v>
          </cell>
          <cell r="E2078">
            <v>0.14299999999999999</v>
          </cell>
          <cell r="F2078">
            <v>167533.06818181818</v>
          </cell>
          <cell r="G2078">
            <v>0</v>
          </cell>
          <cell r="H2078">
            <v>0</v>
          </cell>
          <cell r="I2078">
            <v>23957.228749999998</v>
          </cell>
        </row>
        <row r="2079">
          <cell r="A2079">
            <v>0</v>
          </cell>
          <cell r="B2079" t="str">
            <v>M203.0001</v>
          </cell>
          <cell r="C2079" t="str">
            <v>Bộ nguồn 3 pha</v>
          </cell>
          <cell r="D2079" t="str">
            <v>ca</v>
          </cell>
          <cell r="E2079">
            <v>0.14299999999999999</v>
          </cell>
          <cell r="F2079">
            <v>404286.59090909094</v>
          </cell>
          <cell r="G2079">
            <v>0</v>
          </cell>
          <cell r="H2079">
            <v>0</v>
          </cell>
          <cell r="I2079">
            <v>57812.982499999998</v>
          </cell>
        </row>
        <row r="2080">
          <cell r="A2080" t="str">
            <v>EE.50000</v>
          </cell>
          <cell r="B2080">
            <v>0</v>
          </cell>
          <cell r="C2080" t="str">
            <v>Thí nghiệm hợp bộ đo lường đa chức năng</v>
          </cell>
          <cell r="D2080" t="str">
            <v>bộ</v>
          </cell>
          <cell r="E2080">
            <v>0</v>
          </cell>
          <cell r="F2080">
            <v>0</v>
          </cell>
          <cell r="G2080">
            <v>5222.01</v>
          </cell>
          <cell r="H2080">
            <v>706257.32706766925</v>
          </cell>
          <cell r="I2080">
            <v>132120.5104545455</v>
          </cell>
        </row>
        <row r="2081">
          <cell r="A2081">
            <v>0</v>
          </cell>
          <cell r="B2081">
            <v>0</v>
          </cell>
          <cell r="C2081" t="str">
            <v>Vật liệu</v>
          </cell>
          <cell r="D2081">
            <v>0</v>
          </cell>
          <cell r="E2081">
            <v>0</v>
          </cell>
          <cell r="F2081">
            <v>0</v>
          </cell>
          <cell r="G2081">
            <v>0</v>
          </cell>
          <cell r="H2081">
            <v>0</v>
          </cell>
          <cell r="I2081">
            <v>0</v>
          </cell>
        </row>
        <row r="2082">
          <cell r="A2082">
            <v>0</v>
          </cell>
          <cell r="B2082" t="str">
            <v>VL221</v>
          </cell>
          <cell r="C2082" t="str">
            <v>Điện năng</v>
          </cell>
          <cell r="D2082" t="str">
            <v>Kwh</v>
          </cell>
          <cell r="E2082">
            <v>1</v>
          </cell>
          <cell r="F2082">
            <v>1622.01</v>
          </cell>
          <cell r="G2082">
            <v>1622.01</v>
          </cell>
          <cell r="H2082">
            <v>0</v>
          </cell>
          <cell r="I2082">
            <v>0</v>
          </cell>
        </row>
        <row r="2083">
          <cell r="A2083">
            <v>0</v>
          </cell>
          <cell r="B2083" t="str">
            <v>VL188</v>
          </cell>
          <cell r="C2083" t="str">
            <v>Vải phin trắng 0,8m</v>
          </cell>
          <cell r="D2083" t="str">
            <v>m</v>
          </cell>
          <cell r="E2083">
            <v>0.2</v>
          </cell>
          <cell r="F2083">
            <v>8000</v>
          </cell>
          <cell r="G2083">
            <v>1600</v>
          </cell>
          <cell r="H2083">
            <v>0</v>
          </cell>
          <cell r="I2083">
            <v>0</v>
          </cell>
        </row>
        <row r="2084">
          <cell r="A2084">
            <v>0</v>
          </cell>
          <cell r="B2084" t="str">
            <v>VL177</v>
          </cell>
          <cell r="C2084" t="str">
            <v>Cồn công nghiệp</v>
          </cell>
          <cell r="D2084" t="str">
            <v>kg</v>
          </cell>
          <cell r="E2084">
            <v>0.1</v>
          </cell>
          <cell r="F2084">
            <v>20000</v>
          </cell>
          <cell r="G2084">
            <v>2000</v>
          </cell>
          <cell r="H2084">
            <v>0</v>
          </cell>
          <cell r="I2084">
            <v>0</v>
          </cell>
        </row>
        <row r="2085">
          <cell r="A2085">
            <v>0</v>
          </cell>
          <cell r="B2085">
            <v>0</v>
          </cell>
          <cell r="C2085" t="str">
            <v>Nhân công</v>
          </cell>
          <cell r="D2085">
            <v>0</v>
          </cell>
          <cell r="E2085">
            <v>0</v>
          </cell>
          <cell r="F2085">
            <v>0</v>
          </cell>
          <cell r="G2085">
            <v>0</v>
          </cell>
          <cell r="H2085">
            <v>0</v>
          </cell>
          <cell r="I2085">
            <v>0</v>
          </cell>
        </row>
        <row r="2086">
          <cell r="A2086">
            <v>0</v>
          </cell>
          <cell r="B2086" t="str">
            <v>KS5</v>
          </cell>
          <cell r="C2086" t="str">
            <v>Kỹ sư bậc 5,0/8</v>
          </cell>
          <cell r="D2086" t="str">
            <v>công</v>
          </cell>
          <cell r="E2086">
            <v>1.91</v>
          </cell>
          <cell r="F2086">
            <v>259007.14285714287</v>
          </cell>
          <cell r="G2086">
            <v>0</v>
          </cell>
          <cell r="H2086">
            <v>494703.64285714284</v>
          </cell>
          <cell r="I2086">
            <v>0</v>
          </cell>
        </row>
        <row r="2087">
          <cell r="A2087">
            <v>0</v>
          </cell>
          <cell r="B2087" t="str">
            <v>N4557</v>
          </cell>
          <cell r="C2087" t="str">
            <v xml:space="preserve"> Nhân công bậc 5,5/7 - Nhóm 4</v>
          </cell>
          <cell r="D2087" t="str">
            <v>công</v>
          </cell>
          <cell r="E2087">
            <v>0.64</v>
          </cell>
          <cell r="F2087">
            <v>330552.63157894742</v>
          </cell>
          <cell r="G2087">
            <v>0</v>
          </cell>
          <cell r="H2087">
            <v>211553.68421052635</v>
          </cell>
          <cell r="I2087">
            <v>0</v>
          </cell>
        </row>
        <row r="2088">
          <cell r="A2088">
            <v>0</v>
          </cell>
          <cell r="B2088">
            <v>0</v>
          </cell>
          <cell r="C2088" t="str">
            <v>Máy thi công</v>
          </cell>
          <cell r="D2088">
            <v>0</v>
          </cell>
          <cell r="E2088">
            <v>0</v>
          </cell>
          <cell r="F2088">
            <v>0</v>
          </cell>
          <cell r="G2088">
            <v>0</v>
          </cell>
          <cell r="H2088">
            <v>0</v>
          </cell>
          <cell r="I2088">
            <v>0</v>
          </cell>
        </row>
        <row r="2089">
          <cell r="A2089">
            <v>0</v>
          </cell>
          <cell r="B2089" t="str">
            <v>M203.0025</v>
          </cell>
          <cell r="C2089" t="str">
            <v>Megôm met</v>
          </cell>
          <cell r="D2089" t="str">
            <v>ca</v>
          </cell>
          <cell r="E2089">
            <v>7.0999999999999994E-2</v>
          </cell>
          <cell r="F2089">
            <v>40127.500000000007</v>
          </cell>
          <cell r="G2089">
            <v>0</v>
          </cell>
          <cell r="H2089">
            <v>0</v>
          </cell>
          <cell r="I2089">
            <v>2849.0525000000002</v>
          </cell>
        </row>
        <row r="2090">
          <cell r="A2090">
            <v>0</v>
          </cell>
          <cell r="B2090" t="str">
            <v>M203.0008</v>
          </cell>
          <cell r="C2090" t="str">
            <v>Hợp bộ thí nghiệm rơle</v>
          </cell>
          <cell r="D2090" t="str">
            <v>ca</v>
          </cell>
          <cell r="E2090">
            <v>0.17</v>
          </cell>
          <cell r="F2090">
            <v>760420.34090909106</v>
          </cell>
          <cell r="G2090">
            <v>0</v>
          </cell>
          <cell r="H2090">
            <v>0</v>
          </cell>
          <cell r="I2090">
            <v>129271.45795454549</v>
          </cell>
        </row>
        <row r="2091">
          <cell r="A2091" t="str">
            <v>EF.10010</v>
          </cell>
          <cell r="B2091">
            <v>0</v>
          </cell>
          <cell r="C2091" t="str">
            <v>Thí nghiệm ápkế, chân không kế kiểu trực tiếp không tiếp điểm</v>
          </cell>
          <cell r="D2091" t="str">
            <v>cái</v>
          </cell>
          <cell r="E2091">
            <v>0</v>
          </cell>
          <cell r="F2091">
            <v>0</v>
          </cell>
          <cell r="G2091">
            <v>2130.9090000000001</v>
          </cell>
          <cell r="H2091">
            <v>226490.92105263157</v>
          </cell>
          <cell r="I2091">
            <v>2197.5418181818191</v>
          </cell>
        </row>
        <row r="2092">
          <cell r="A2092">
            <v>0</v>
          </cell>
          <cell r="B2092">
            <v>0</v>
          </cell>
          <cell r="C2092" t="str">
            <v>Vật liệu</v>
          </cell>
          <cell r="D2092">
            <v>0</v>
          </cell>
          <cell r="E2092">
            <v>0</v>
          </cell>
          <cell r="F2092">
            <v>0</v>
          </cell>
          <cell r="G2092">
            <v>0</v>
          </cell>
          <cell r="H2092">
            <v>0</v>
          </cell>
          <cell r="I2092">
            <v>0</v>
          </cell>
        </row>
        <row r="2093">
          <cell r="A2093">
            <v>0</v>
          </cell>
          <cell r="B2093" t="str">
            <v>VL221</v>
          </cell>
          <cell r="C2093" t="str">
            <v>Điện năng</v>
          </cell>
          <cell r="D2093" t="str">
            <v>Kwh</v>
          </cell>
          <cell r="E2093">
            <v>0</v>
          </cell>
          <cell r="F2093">
            <v>1622.01</v>
          </cell>
          <cell r="G2093">
            <v>0</v>
          </cell>
          <cell r="H2093">
            <v>0</v>
          </cell>
          <cell r="I2093">
            <v>0</v>
          </cell>
        </row>
        <row r="2094">
          <cell r="A2094">
            <v>0</v>
          </cell>
          <cell r="B2094" t="str">
            <v>VL198</v>
          </cell>
          <cell r="C2094" t="str">
            <v>Dây điện 2x1,5mm2</v>
          </cell>
          <cell r="D2094" t="str">
            <v>m</v>
          </cell>
          <cell r="E2094">
            <v>0</v>
          </cell>
          <cell r="F2094">
            <v>9027.2727272727261</v>
          </cell>
          <cell r="G2094">
            <v>0</v>
          </cell>
          <cell r="H2094">
            <v>0</v>
          </cell>
          <cell r="I2094">
            <v>0</v>
          </cell>
        </row>
        <row r="2095">
          <cell r="A2095">
            <v>0</v>
          </cell>
          <cell r="B2095" t="str">
            <v>VL176</v>
          </cell>
          <cell r="C2095" t="str">
            <v>Giẻ lau</v>
          </cell>
          <cell r="D2095" t="str">
            <v>kg</v>
          </cell>
          <cell r="E2095">
            <v>0.1</v>
          </cell>
          <cell r="F2095">
            <v>5000</v>
          </cell>
          <cell r="G2095">
            <v>500</v>
          </cell>
          <cell r="H2095">
            <v>0</v>
          </cell>
          <cell r="I2095">
            <v>0</v>
          </cell>
        </row>
        <row r="2096">
          <cell r="A2096">
            <v>0</v>
          </cell>
          <cell r="B2096" t="str">
            <v>VL133</v>
          </cell>
          <cell r="C2096" t="str">
            <v>Xăng</v>
          </cell>
          <cell r="D2096" t="str">
            <v>kg</v>
          </cell>
          <cell r="E2096">
            <v>0.1</v>
          </cell>
          <cell r="F2096">
            <v>16309.09</v>
          </cell>
          <cell r="G2096">
            <v>1630.9090000000001</v>
          </cell>
          <cell r="H2096">
            <v>0</v>
          </cell>
          <cell r="I2096">
            <v>0</v>
          </cell>
        </row>
        <row r="2097">
          <cell r="A2097">
            <v>0</v>
          </cell>
          <cell r="B2097">
            <v>0</v>
          </cell>
          <cell r="C2097" t="str">
            <v>Nhân công</v>
          </cell>
          <cell r="D2097">
            <v>0</v>
          </cell>
          <cell r="E2097">
            <v>0</v>
          </cell>
          <cell r="F2097">
            <v>0</v>
          </cell>
          <cell r="G2097">
            <v>0</v>
          </cell>
          <cell r="H2097">
            <v>0</v>
          </cell>
          <cell r="I2097">
            <v>0</v>
          </cell>
        </row>
        <row r="2098">
          <cell r="A2098">
            <v>0</v>
          </cell>
          <cell r="B2098" t="str">
            <v>KS3</v>
          </cell>
          <cell r="C2098" t="str">
            <v>Kỹ sư bậc 3,0/8</v>
          </cell>
          <cell r="D2098" t="str">
            <v>công</v>
          </cell>
          <cell r="E2098">
            <v>0.7</v>
          </cell>
          <cell r="F2098">
            <v>213300</v>
          </cell>
          <cell r="G2098">
            <v>0</v>
          </cell>
          <cell r="H2098">
            <v>149310</v>
          </cell>
          <cell r="I2098">
            <v>0</v>
          </cell>
        </row>
        <row r="2099">
          <cell r="A2099">
            <v>0</v>
          </cell>
          <cell r="B2099" t="str">
            <v>N4407</v>
          </cell>
          <cell r="C2099" t="str">
            <v xml:space="preserve"> Nhân công bậc 4,0/7 - Nhóm 4</v>
          </cell>
          <cell r="D2099" t="str">
            <v>công</v>
          </cell>
          <cell r="E2099">
            <v>0.3</v>
          </cell>
          <cell r="F2099">
            <v>257269.73684210525</v>
          </cell>
          <cell r="G2099">
            <v>0</v>
          </cell>
          <cell r="H2099">
            <v>77180.921052631573</v>
          </cell>
          <cell r="I2099">
            <v>0</v>
          </cell>
        </row>
        <row r="2100">
          <cell r="A2100">
            <v>0</v>
          </cell>
          <cell r="B2100">
            <v>0</v>
          </cell>
          <cell r="C2100" t="str">
            <v>Máy thi công</v>
          </cell>
          <cell r="D2100">
            <v>0</v>
          </cell>
          <cell r="E2100">
            <v>0</v>
          </cell>
          <cell r="F2100">
            <v>0</v>
          </cell>
          <cell r="G2100">
            <v>0</v>
          </cell>
          <cell r="H2100">
            <v>0</v>
          </cell>
          <cell r="I2100">
            <v>0</v>
          </cell>
        </row>
        <row r="2101">
          <cell r="A2101">
            <v>0</v>
          </cell>
          <cell r="B2101" t="str">
            <v>M203.0025</v>
          </cell>
          <cell r="C2101" t="str">
            <v>Megôm met</v>
          </cell>
          <cell r="D2101" t="str">
            <v>ca</v>
          </cell>
          <cell r="E2101">
            <v>0</v>
          </cell>
          <cell r="F2101">
            <v>40127.500000000007</v>
          </cell>
          <cell r="G2101">
            <v>0</v>
          </cell>
          <cell r="H2101">
            <v>0</v>
          </cell>
          <cell r="I2101">
            <v>0</v>
          </cell>
        </row>
        <row r="2102">
          <cell r="A2102">
            <v>0</v>
          </cell>
          <cell r="B2102" t="str">
            <v>M203.0026</v>
          </cell>
          <cell r="C2102" t="str">
            <v>Thiết bị kiểm tra áp lực</v>
          </cell>
          <cell r="D2102" t="str">
            <v>ca</v>
          </cell>
          <cell r="E2102">
            <v>3.2000000000000001E-2</v>
          </cell>
          <cell r="F2102">
            <v>68673.181818181838</v>
          </cell>
          <cell r="G2102">
            <v>0</v>
          </cell>
          <cell r="H2102">
            <v>0</v>
          </cell>
          <cell r="I2102">
            <v>2197.5418181818191</v>
          </cell>
        </row>
        <row r="2103">
          <cell r="A2103" t="str">
            <v>EF.10020</v>
          </cell>
          <cell r="B2103">
            <v>0</v>
          </cell>
          <cell r="C2103" t="str">
            <v>Thí nghiệm ápkế, chân không kế kiểu trực tiếp có tiếp điểm</v>
          </cell>
          <cell r="D2103" t="str">
            <v>cái</v>
          </cell>
          <cell r="E2103">
            <v>0</v>
          </cell>
          <cell r="F2103">
            <v>0</v>
          </cell>
          <cell r="G2103">
            <v>2582.2726363636366</v>
          </cell>
          <cell r="H2103">
            <v>271789.10526315786</v>
          </cell>
          <cell r="I2103">
            <v>3612.7684090909097</v>
          </cell>
        </row>
        <row r="2104">
          <cell r="A2104">
            <v>0</v>
          </cell>
          <cell r="B2104">
            <v>0</v>
          </cell>
          <cell r="C2104" t="str">
            <v>Vật liệu</v>
          </cell>
          <cell r="D2104">
            <v>0</v>
          </cell>
          <cell r="E2104">
            <v>0</v>
          </cell>
          <cell r="F2104">
            <v>0</v>
          </cell>
          <cell r="G2104">
            <v>0</v>
          </cell>
          <cell r="H2104">
            <v>0</v>
          </cell>
          <cell r="I2104">
            <v>0</v>
          </cell>
        </row>
        <row r="2105">
          <cell r="A2105">
            <v>0</v>
          </cell>
          <cell r="B2105" t="str">
            <v>VL221</v>
          </cell>
          <cell r="C2105" t="str">
            <v>Điện năng</v>
          </cell>
          <cell r="D2105" t="str">
            <v>Kwh</v>
          </cell>
          <cell r="E2105">
            <v>0</v>
          </cell>
          <cell r="F2105">
            <v>1622.01</v>
          </cell>
          <cell r="G2105">
            <v>0</v>
          </cell>
          <cell r="H2105">
            <v>0</v>
          </cell>
          <cell r="I2105">
            <v>0</v>
          </cell>
        </row>
        <row r="2106">
          <cell r="A2106">
            <v>0</v>
          </cell>
          <cell r="B2106" t="str">
            <v>VL198</v>
          </cell>
          <cell r="C2106" t="str">
            <v>Dây điện 2x1,5mm2</v>
          </cell>
          <cell r="D2106" t="str">
            <v>m</v>
          </cell>
          <cell r="E2106">
            <v>0.05</v>
          </cell>
          <cell r="F2106">
            <v>9027.2727272727261</v>
          </cell>
          <cell r="G2106">
            <v>451.36363636363632</v>
          </cell>
          <cell r="H2106">
            <v>0</v>
          </cell>
          <cell r="I2106">
            <v>0</v>
          </cell>
        </row>
        <row r="2107">
          <cell r="A2107">
            <v>0</v>
          </cell>
          <cell r="B2107" t="str">
            <v>VL176</v>
          </cell>
          <cell r="C2107" t="str">
            <v>Giẻ lau</v>
          </cell>
          <cell r="D2107" t="str">
            <v>kg</v>
          </cell>
          <cell r="E2107">
            <v>0.1</v>
          </cell>
          <cell r="F2107">
            <v>5000</v>
          </cell>
          <cell r="G2107">
            <v>500</v>
          </cell>
          <cell r="H2107">
            <v>0</v>
          </cell>
          <cell r="I2107">
            <v>0</v>
          </cell>
        </row>
        <row r="2108">
          <cell r="A2108">
            <v>0</v>
          </cell>
          <cell r="B2108" t="str">
            <v>VL133</v>
          </cell>
          <cell r="C2108" t="str">
            <v>Xăng</v>
          </cell>
          <cell r="D2108" t="str">
            <v>kg</v>
          </cell>
          <cell r="E2108">
            <v>0.1</v>
          </cell>
          <cell r="F2108">
            <v>16309.09</v>
          </cell>
          <cell r="G2108">
            <v>1630.9090000000001</v>
          </cell>
          <cell r="H2108">
            <v>0</v>
          </cell>
          <cell r="I2108">
            <v>0</v>
          </cell>
        </row>
        <row r="2109">
          <cell r="A2109">
            <v>0</v>
          </cell>
          <cell r="B2109">
            <v>0</v>
          </cell>
          <cell r="C2109" t="str">
            <v>Nhân công</v>
          </cell>
          <cell r="D2109">
            <v>0</v>
          </cell>
          <cell r="E2109">
            <v>0</v>
          </cell>
          <cell r="F2109">
            <v>0</v>
          </cell>
          <cell r="G2109">
            <v>0</v>
          </cell>
          <cell r="H2109">
            <v>0</v>
          </cell>
          <cell r="I2109">
            <v>0</v>
          </cell>
        </row>
        <row r="2110">
          <cell r="A2110">
            <v>0</v>
          </cell>
          <cell r="B2110" t="str">
            <v>KS3</v>
          </cell>
          <cell r="C2110" t="str">
            <v>Kỹ sư bậc 3,0/8</v>
          </cell>
          <cell r="D2110" t="str">
            <v>công</v>
          </cell>
          <cell r="E2110">
            <v>0.84</v>
          </cell>
          <cell r="F2110">
            <v>213300</v>
          </cell>
          <cell r="G2110">
            <v>0</v>
          </cell>
          <cell r="H2110">
            <v>179172</v>
          </cell>
          <cell r="I2110">
            <v>0</v>
          </cell>
        </row>
        <row r="2111">
          <cell r="A2111">
            <v>0</v>
          </cell>
          <cell r="B2111" t="str">
            <v>N4407</v>
          </cell>
          <cell r="C2111" t="str">
            <v xml:space="preserve"> Nhân công bậc 4,0/7 - Nhóm 4</v>
          </cell>
          <cell r="D2111" t="str">
            <v>công</v>
          </cell>
          <cell r="E2111">
            <v>0.36</v>
          </cell>
          <cell r="F2111">
            <v>257269.73684210525</v>
          </cell>
          <cell r="G2111">
            <v>0</v>
          </cell>
          <cell r="H2111">
            <v>92617.105263157893</v>
          </cell>
          <cell r="I2111">
            <v>0</v>
          </cell>
        </row>
        <row r="2112">
          <cell r="A2112">
            <v>0</v>
          </cell>
          <cell r="B2112">
            <v>0</v>
          </cell>
          <cell r="C2112" t="str">
            <v>Máy thi công</v>
          </cell>
          <cell r="D2112">
            <v>0</v>
          </cell>
          <cell r="E2112">
            <v>0</v>
          </cell>
          <cell r="F2112">
            <v>0</v>
          </cell>
          <cell r="G2112">
            <v>0</v>
          </cell>
          <cell r="H2112">
            <v>0</v>
          </cell>
          <cell r="I2112">
            <v>0</v>
          </cell>
        </row>
        <row r="2113">
          <cell r="A2113">
            <v>0</v>
          </cell>
          <cell r="B2113" t="str">
            <v>M203.0025</v>
          </cell>
          <cell r="C2113" t="str">
            <v>Megôm met</v>
          </cell>
          <cell r="D2113" t="str">
            <v>ca</v>
          </cell>
          <cell r="E2113">
            <v>2.5000000000000001E-2</v>
          </cell>
          <cell r="F2113">
            <v>40127.500000000007</v>
          </cell>
          <cell r="G2113">
            <v>0</v>
          </cell>
          <cell r="H2113">
            <v>0</v>
          </cell>
          <cell r="I2113">
            <v>1003.1875000000002</v>
          </cell>
        </row>
        <row r="2114">
          <cell r="A2114">
            <v>0</v>
          </cell>
          <cell r="B2114" t="str">
            <v>M203.0026</v>
          </cell>
          <cell r="C2114" t="str">
            <v>Thiết bị kiểm tra áp lực</v>
          </cell>
          <cell r="D2114" t="str">
            <v>ca</v>
          </cell>
          <cell r="E2114">
            <v>3.7999999999999999E-2</v>
          </cell>
          <cell r="F2114">
            <v>68673.181818181838</v>
          </cell>
          <cell r="G2114">
            <v>0</v>
          </cell>
          <cell r="H2114">
            <v>0</v>
          </cell>
          <cell r="I2114">
            <v>2609.5809090909097</v>
          </cell>
        </row>
        <row r="2115">
          <cell r="A2115" t="str">
            <v>EF.10030</v>
          </cell>
          <cell r="B2115">
            <v>0</v>
          </cell>
          <cell r="C2115" t="str">
            <v>Thí nghiệm ápkế, chân không kế kiểu nhiệt giãn nở không tiếp điểm</v>
          </cell>
          <cell r="D2115" t="str">
            <v>cái</v>
          </cell>
          <cell r="E2115">
            <v>0</v>
          </cell>
          <cell r="F2115">
            <v>0</v>
          </cell>
          <cell r="G2115">
            <v>2941.9140000000002</v>
          </cell>
          <cell r="H2115">
            <v>249140.01315789472</v>
          </cell>
          <cell r="I2115">
            <v>2197.5418181818191</v>
          </cell>
        </row>
        <row r="2116">
          <cell r="A2116">
            <v>0</v>
          </cell>
          <cell r="B2116">
            <v>0</v>
          </cell>
          <cell r="C2116" t="str">
            <v>Vật liệu</v>
          </cell>
          <cell r="D2116">
            <v>0</v>
          </cell>
          <cell r="E2116">
            <v>0</v>
          </cell>
          <cell r="F2116">
            <v>0</v>
          </cell>
          <cell r="G2116">
            <v>0</v>
          </cell>
          <cell r="H2116">
            <v>0</v>
          </cell>
          <cell r="I2116">
            <v>0</v>
          </cell>
        </row>
        <row r="2117">
          <cell r="A2117">
            <v>0</v>
          </cell>
          <cell r="B2117" t="str">
            <v>VL221</v>
          </cell>
          <cell r="C2117" t="str">
            <v>Điện năng</v>
          </cell>
          <cell r="D2117" t="str">
            <v>Kwh</v>
          </cell>
          <cell r="E2117">
            <v>0.5</v>
          </cell>
          <cell r="F2117">
            <v>1622.01</v>
          </cell>
          <cell r="G2117">
            <v>811.005</v>
          </cell>
          <cell r="H2117">
            <v>0</v>
          </cell>
          <cell r="I2117">
            <v>0</v>
          </cell>
        </row>
        <row r="2118">
          <cell r="A2118">
            <v>0</v>
          </cell>
          <cell r="B2118" t="str">
            <v>VL198</v>
          </cell>
          <cell r="C2118" t="str">
            <v>Dây điện 2x1,5mm2</v>
          </cell>
          <cell r="D2118" t="str">
            <v>m</v>
          </cell>
          <cell r="E2118">
            <v>0</v>
          </cell>
          <cell r="F2118">
            <v>9027.2727272727261</v>
          </cell>
          <cell r="G2118">
            <v>0</v>
          </cell>
          <cell r="H2118">
            <v>0</v>
          </cell>
          <cell r="I2118">
            <v>0</v>
          </cell>
        </row>
        <row r="2119">
          <cell r="A2119">
            <v>0</v>
          </cell>
          <cell r="B2119" t="str">
            <v>VL176</v>
          </cell>
          <cell r="C2119" t="str">
            <v>Giẻ lau</v>
          </cell>
          <cell r="D2119" t="str">
            <v>kg</v>
          </cell>
          <cell r="E2119">
            <v>0.1</v>
          </cell>
          <cell r="F2119">
            <v>5000</v>
          </cell>
          <cell r="G2119">
            <v>500</v>
          </cell>
          <cell r="H2119">
            <v>0</v>
          </cell>
          <cell r="I2119">
            <v>0</v>
          </cell>
        </row>
        <row r="2120">
          <cell r="A2120">
            <v>0</v>
          </cell>
          <cell r="B2120" t="str">
            <v>VL133</v>
          </cell>
          <cell r="C2120" t="str">
            <v>Xăng</v>
          </cell>
          <cell r="D2120" t="str">
            <v>kg</v>
          </cell>
          <cell r="E2120">
            <v>0.1</v>
          </cell>
          <cell r="F2120">
            <v>16309.09</v>
          </cell>
          <cell r="G2120">
            <v>1630.9090000000001</v>
          </cell>
          <cell r="H2120">
            <v>0</v>
          </cell>
          <cell r="I2120">
            <v>0</v>
          </cell>
        </row>
        <row r="2121">
          <cell r="A2121">
            <v>0</v>
          </cell>
          <cell r="B2121">
            <v>0</v>
          </cell>
          <cell r="C2121" t="str">
            <v>Nhân công</v>
          </cell>
          <cell r="D2121">
            <v>0</v>
          </cell>
          <cell r="E2121">
            <v>0</v>
          </cell>
          <cell r="F2121">
            <v>0</v>
          </cell>
          <cell r="G2121">
            <v>0</v>
          </cell>
          <cell r="H2121">
            <v>0</v>
          </cell>
          <cell r="I2121">
            <v>0</v>
          </cell>
        </row>
        <row r="2122">
          <cell r="A2122">
            <v>0</v>
          </cell>
          <cell r="B2122" t="str">
            <v>KS3</v>
          </cell>
          <cell r="C2122" t="str">
            <v>Kỹ sư bậc 3,0/8</v>
          </cell>
          <cell r="D2122" t="str">
            <v>công</v>
          </cell>
          <cell r="E2122">
            <v>0.77</v>
          </cell>
          <cell r="F2122">
            <v>213300</v>
          </cell>
          <cell r="G2122">
            <v>0</v>
          </cell>
          <cell r="H2122">
            <v>164241</v>
          </cell>
          <cell r="I2122">
            <v>0</v>
          </cell>
        </row>
        <row r="2123">
          <cell r="A2123">
            <v>0</v>
          </cell>
          <cell r="B2123" t="str">
            <v>N4407</v>
          </cell>
          <cell r="C2123" t="str">
            <v xml:space="preserve"> Nhân công bậc 4,0/7 - Nhóm 4</v>
          </cell>
          <cell r="D2123" t="str">
            <v>công</v>
          </cell>
          <cell r="E2123">
            <v>0.33</v>
          </cell>
          <cell r="F2123">
            <v>257269.73684210525</v>
          </cell>
          <cell r="G2123">
            <v>0</v>
          </cell>
          <cell r="H2123">
            <v>84899.013157894733</v>
          </cell>
          <cell r="I2123">
            <v>0</v>
          </cell>
        </row>
        <row r="2124">
          <cell r="A2124">
            <v>0</v>
          </cell>
          <cell r="B2124">
            <v>0</v>
          </cell>
          <cell r="C2124" t="str">
            <v>Máy thi công</v>
          </cell>
          <cell r="D2124">
            <v>0</v>
          </cell>
          <cell r="E2124">
            <v>0</v>
          </cell>
          <cell r="F2124">
            <v>0</v>
          </cell>
          <cell r="G2124">
            <v>0</v>
          </cell>
          <cell r="H2124">
            <v>0</v>
          </cell>
          <cell r="I2124">
            <v>0</v>
          </cell>
        </row>
        <row r="2125">
          <cell r="A2125">
            <v>0</v>
          </cell>
          <cell r="B2125" t="str">
            <v>M203.0025</v>
          </cell>
          <cell r="C2125" t="str">
            <v>Megôm met</v>
          </cell>
          <cell r="D2125" t="str">
            <v>ca</v>
          </cell>
          <cell r="E2125">
            <v>0</v>
          </cell>
          <cell r="F2125">
            <v>40127.500000000007</v>
          </cell>
          <cell r="G2125">
            <v>0</v>
          </cell>
          <cell r="H2125">
            <v>0</v>
          </cell>
          <cell r="I2125">
            <v>0</v>
          </cell>
        </row>
        <row r="2126">
          <cell r="A2126">
            <v>0</v>
          </cell>
          <cell r="B2126" t="str">
            <v>M203.0026</v>
          </cell>
          <cell r="C2126" t="str">
            <v>Thiết bị kiểm tra áp lực</v>
          </cell>
          <cell r="D2126" t="str">
            <v>ca</v>
          </cell>
          <cell r="E2126">
            <v>3.2000000000000001E-2</v>
          </cell>
          <cell r="F2126">
            <v>68673.181818181838</v>
          </cell>
          <cell r="G2126">
            <v>0</v>
          </cell>
          <cell r="H2126">
            <v>0</v>
          </cell>
          <cell r="I2126">
            <v>2197.5418181818191</v>
          </cell>
        </row>
        <row r="2127">
          <cell r="A2127" t="str">
            <v>EF.10040</v>
          </cell>
          <cell r="B2127">
            <v>0</v>
          </cell>
          <cell r="C2127" t="str">
            <v>Thí nghiệm ápkế, chân không kế kiểu nhiệt giãn nở có tiếp điểm</v>
          </cell>
          <cell r="D2127" t="str">
            <v>cái</v>
          </cell>
          <cell r="E2127">
            <v>0</v>
          </cell>
          <cell r="F2127">
            <v>0</v>
          </cell>
          <cell r="G2127">
            <v>3393.2776363636367</v>
          </cell>
          <cell r="H2127">
            <v>299143.89473684214</v>
          </cell>
          <cell r="I2127">
            <v>3612.7684090909097</v>
          </cell>
        </row>
        <row r="2128">
          <cell r="A2128">
            <v>0</v>
          </cell>
          <cell r="B2128">
            <v>0</v>
          </cell>
          <cell r="C2128" t="str">
            <v>Vật liệu</v>
          </cell>
          <cell r="D2128">
            <v>0</v>
          </cell>
          <cell r="E2128">
            <v>0</v>
          </cell>
          <cell r="F2128">
            <v>0</v>
          </cell>
          <cell r="G2128">
            <v>0</v>
          </cell>
          <cell r="H2128">
            <v>0</v>
          </cell>
          <cell r="I2128">
            <v>0</v>
          </cell>
        </row>
        <row r="2129">
          <cell r="A2129">
            <v>0</v>
          </cell>
          <cell r="B2129" t="str">
            <v>VL221</v>
          </cell>
          <cell r="C2129" t="str">
            <v>Điện năng</v>
          </cell>
          <cell r="D2129" t="str">
            <v>Kwh</v>
          </cell>
          <cell r="E2129">
            <v>0.5</v>
          </cell>
          <cell r="F2129">
            <v>1622.01</v>
          </cell>
          <cell r="G2129">
            <v>811.005</v>
          </cell>
          <cell r="H2129">
            <v>0</v>
          </cell>
          <cell r="I2129">
            <v>0</v>
          </cell>
        </row>
        <row r="2130">
          <cell r="A2130">
            <v>0</v>
          </cell>
          <cell r="B2130" t="str">
            <v>VL198</v>
          </cell>
          <cell r="C2130" t="str">
            <v>Dây điện 2x1,5mm2</v>
          </cell>
          <cell r="D2130" t="str">
            <v>m</v>
          </cell>
          <cell r="E2130">
            <v>0.05</v>
          </cell>
          <cell r="F2130">
            <v>9027.2727272727261</v>
          </cell>
          <cell r="G2130">
            <v>451.36363636363632</v>
          </cell>
          <cell r="H2130">
            <v>0</v>
          </cell>
          <cell r="I2130">
            <v>0</v>
          </cell>
        </row>
        <row r="2131">
          <cell r="A2131">
            <v>0</v>
          </cell>
          <cell r="B2131" t="str">
            <v>VL176</v>
          </cell>
          <cell r="C2131" t="str">
            <v>Giẻ lau</v>
          </cell>
          <cell r="D2131" t="str">
            <v>kg</v>
          </cell>
          <cell r="E2131">
            <v>0.1</v>
          </cell>
          <cell r="F2131">
            <v>5000</v>
          </cell>
          <cell r="G2131">
            <v>500</v>
          </cell>
          <cell r="H2131">
            <v>0</v>
          </cell>
          <cell r="I2131">
            <v>0</v>
          </cell>
        </row>
        <row r="2132">
          <cell r="A2132">
            <v>0</v>
          </cell>
          <cell r="B2132" t="str">
            <v>VL133</v>
          </cell>
          <cell r="C2132" t="str">
            <v>Xăng</v>
          </cell>
          <cell r="D2132" t="str">
            <v>kg</v>
          </cell>
          <cell r="E2132">
            <v>0.1</v>
          </cell>
          <cell r="F2132">
            <v>16309.09</v>
          </cell>
          <cell r="G2132">
            <v>1630.9090000000001</v>
          </cell>
          <cell r="H2132">
            <v>0</v>
          </cell>
          <cell r="I2132">
            <v>0</v>
          </cell>
        </row>
        <row r="2133">
          <cell r="A2133">
            <v>0</v>
          </cell>
          <cell r="B2133">
            <v>0</v>
          </cell>
          <cell r="C2133" t="str">
            <v>Nhân công</v>
          </cell>
          <cell r="D2133">
            <v>0</v>
          </cell>
          <cell r="E2133">
            <v>0</v>
          </cell>
          <cell r="F2133">
            <v>0</v>
          </cell>
          <cell r="G2133">
            <v>0</v>
          </cell>
          <cell r="H2133">
            <v>0</v>
          </cell>
          <cell r="I2133">
            <v>0</v>
          </cell>
        </row>
        <row r="2134">
          <cell r="A2134">
            <v>0</v>
          </cell>
          <cell r="B2134" t="str">
            <v>KS3</v>
          </cell>
          <cell r="C2134" t="str">
            <v>Kỹ sư bậc 3,0/8</v>
          </cell>
          <cell r="D2134" t="str">
            <v>công</v>
          </cell>
          <cell r="E2134">
            <v>0.92</v>
          </cell>
          <cell r="F2134">
            <v>213300</v>
          </cell>
          <cell r="G2134">
            <v>0</v>
          </cell>
          <cell r="H2134">
            <v>196236</v>
          </cell>
          <cell r="I2134">
            <v>0</v>
          </cell>
        </row>
        <row r="2135">
          <cell r="A2135">
            <v>0</v>
          </cell>
          <cell r="B2135" t="str">
            <v>N4407</v>
          </cell>
          <cell r="C2135" t="str">
            <v xml:space="preserve"> Nhân công bậc 4,0/7 - Nhóm 4</v>
          </cell>
          <cell r="D2135" t="str">
            <v>công</v>
          </cell>
          <cell r="E2135">
            <v>0.4</v>
          </cell>
          <cell r="F2135">
            <v>257269.73684210525</v>
          </cell>
          <cell r="G2135">
            <v>0</v>
          </cell>
          <cell r="H2135">
            <v>102907.89473684211</v>
          </cell>
          <cell r="I2135">
            <v>0</v>
          </cell>
        </row>
        <row r="2136">
          <cell r="A2136">
            <v>0</v>
          </cell>
          <cell r="B2136">
            <v>0</v>
          </cell>
          <cell r="C2136" t="str">
            <v>Máy thi công</v>
          </cell>
          <cell r="D2136">
            <v>0</v>
          </cell>
          <cell r="E2136">
            <v>0</v>
          </cell>
          <cell r="F2136">
            <v>0</v>
          </cell>
          <cell r="G2136">
            <v>0</v>
          </cell>
          <cell r="H2136">
            <v>0</v>
          </cell>
          <cell r="I2136">
            <v>0</v>
          </cell>
        </row>
        <row r="2137">
          <cell r="A2137">
            <v>0</v>
          </cell>
          <cell r="B2137" t="str">
            <v>M203.0025</v>
          </cell>
          <cell r="C2137" t="str">
            <v>Megôm met</v>
          </cell>
          <cell r="D2137" t="str">
            <v>ca</v>
          </cell>
          <cell r="E2137">
            <v>2.5000000000000001E-2</v>
          </cell>
          <cell r="F2137">
            <v>40127.500000000007</v>
          </cell>
          <cell r="G2137">
            <v>0</v>
          </cell>
          <cell r="H2137">
            <v>0</v>
          </cell>
          <cell r="I2137">
            <v>1003.1875000000002</v>
          </cell>
        </row>
        <row r="2138">
          <cell r="A2138">
            <v>0</v>
          </cell>
          <cell r="B2138" t="str">
            <v>M203.0026</v>
          </cell>
          <cell r="C2138" t="str">
            <v>Thiết bị kiểm tra áp lực</v>
          </cell>
          <cell r="D2138" t="str">
            <v>ca</v>
          </cell>
          <cell r="E2138">
            <v>3.7999999999999999E-2</v>
          </cell>
          <cell r="F2138">
            <v>68673.181818181838</v>
          </cell>
          <cell r="G2138">
            <v>0</v>
          </cell>
          <cell r="H2138">
            <v>0</v>
          </cell>
          <cell r="I2138">
            <v>2609.5809090909097</v>
          </cell>
        </row>
        <row r="2139">
          <cell r="A2139" t="str">
            <v>EF.20010</v>
          </cell>
          <cell r="B2139">
            <v>0</v>
          </cell>
          <cell r="C2139" t="str">
            <v>Thí nghiệm đồng hồ mức kiểu phao</v>
          </cell>
          <cell r="D2139" t="str">
            <v>cái</v>
          </cell>
          <cell r="E2139">
            <v>0</v>
          </cell>
          <cell r="F2139">
            <v>0</v>
          </cell>
          <cell r="G2139">
            <v>2672.8</v>
          </cell>
          <cell r="H2139">
            <v>149571.94736842107</v>
          </cell>
          <cell r="I2139">
            <v>2197.5418181818191</v>
          </cell>
        </row>
        <row r="2140">
          <cell r="A2140">
            <v>0</v>
          </cell>
          <cell r="B2140">
            <v>0</v>
          </cell>
          <cell r="C2140" t="str">
            <v>Vật liệu</v>
          </cell>
          <cell r="D2140">
            <v>0</v>
          </cell>
          <cell r="E2140">
            <v>0</v>
          </cell>
          <cell r="F2140">
            <v>0</v>
          </cell>
          <cell r="G2140">
            <v>0</v>
          </cell>
          <cell r="H2140">
            <v>0</v>
          </cell>
          <cell r="I2140">
            <v>0</v>
          </cell>
        </row>
        <row r="2141">
          <cell r="A2141">
            <v>0</v>
          </cell>
          <cell r="B2141" t="str">
            <v>VL221</v>
          </cell>
          <cell r="C2141" t="str">
            <v>Điện năng</v>
          </cell>
          <cell r="D2141" t="str">
            <v>Kwh</v>
          </cell>
          <cell r="E2141">
            <v>0</v>
          </cell>
          <cell r="F2141">
            <v>1622.01</v>
          </cell>
          <cell r="G2141">
            <v>0</v>
          </cell>
          <cell r="H2141">
            <v>0</v>
          </cell>
          <cell r="I2141">
            <v>0</v>
          </cell>
        </row>
        <row r="2142">
          <cell r="A2142">
            <v>0</v>
          </cell>
          <cell r="B2142" t="str">
            <v>VL198</v>
          </cell>
          <cell r="C2142" t="str">
            <v>Dây điện 2x1,5mm2</v>
          </cell>
          <cell r="D2142" t="str">
            <v>m</v>
          </cell>
          <cell r="E2142">
            <v>0</v>
          </cell>
          <cell r="F2142">
            <v>9027.2727272727261</v>
          </cell>
          <cell r="G2142">
            <v>0</v>
          </cell>
          <cell r="H2142">
            <v>0</v>
          </cell>
          <cell r="I2142">
            <v>0</v>
          </cell>
        </row>
        <row r="2143">
          <cell r="A2143">
            <v>0</v>
          </cell>
          <cell r="B2143" t="str">
            <v>VL202</v>
          </cell>
          <cell r="C2143" t="str">
            <v>ống nhựa d10</v>
          </cell>
          <cell r="D2143" t="str">
            <v>m</v>
          </cell>
          <cell r="E2143">
            <v>0.2</v>
          </cell>
          <cell r="F2143">
            <v>3364</v>
          </cell>
          <cell r="G2143">
            <v>672.80000000000007</v>
          </cell>
          <cell r="H2143">
            <v>0</v>
          </cell>
          <cell r="I2143">
            <v>0</v>
          </cell>
        </row>
        <row r="2144">
          <cell r="A2144">
            <v>0</v>
          </cell>
          <cell r="B2144" t="str">
            <v>VL177</v>
          </cell>
          <cell r="C2144" t="str">
            <v>Côồn công nghiệp</v>
          </cell>
          <cell r="D2144" t="str">
            <v>kg</v>
          </cell>
          <cell r="E2144">
            <v>0.1</v>
          </cell>
          <cell r="F2144">
            <v>20000</v>
          </cell>
          <cell r="G2144">
            <v>2000</v>
          </cell>
          <cell r="H2144">
            <v>0</v>
          </cell>
          <cell r="I2144">
            <v>0</v>
          </cell>
        </row>
        <row r="2145">
          <cell r="A2145">
            <v>0</v>
          </cell>
          <cell r="B2145">
            <v>0</v>
          </cell>
          <cell r="C2145" t="str">
            <v>Nhân công</v>
          </cell>
          <cell r="D2145">
            <v>0</v>
          </cell>
          <cell r="E2145">
            <v>0</v>
          </cell>
          <cell r="F2145">
            <v>0</v>
          </cell>
          <cell r="G2145">
            <v>0</v>
          </cell>
          <cell r="H2145">
            <v>0</v>
          </cell>
          <cell r="I2145">
            <v>0</v>
          </cell>
        </row>
        <row r="2146">
          <cell r="A2146">
            <v>0</v>
          </cell>
          <cell r="B2146" t="str">
            <v>KS3</v>
          </cell>
          <cell r="C2146" t="str">
            <v>Kỹ sư bậc 3,0/8</v>
          </cell>
          <cell r="D2146" t="str">
            <v>công</v>
          </cell>
          <cell r="E2146">
            <v>0.46</v>
          </cell>
          <cell r="F2146">
            <v>213300</v>
          </cell>
          <cell r="G2146">
            <v>0</v>
          </cell>
          <cell r="H2146">
            <v>98118</v>
          </cell>
          <cell r="I2146">
            <v>0</v>
          </cell>
        </row>
        <row r="2147">
          <cell r="A2147">
            <v>0</v>
          </cell>
          <cell r="B2147" t="str">
            <v>N4407</v>
          </cell>
          <cell r="C2147" t="str">
            <v xml:space="preserve"> Nhân công bậc 4,0/7 - Nhóm 4</v>
          </cell>
          <cell r="D2147" t="str">
            <v>công</v>
          </cell>
          <cell r="E2147">
            <v>0.2</v>
          </cell>
          <cell r="F2147">
            <v>257269.73684210525</v>
          </cell>
          <cell r="G2147">
            <v>0</v>
          </cell>
          <cell r="H2147">
            <v>51453.947368421053</v>
          </cell>
          <cell r="I2147">
            <v>0</v>
          </cell>
        </row>
        <row r="2148">
          <cell r="A2148">
            <v>0</v>
          </cell>
          <cell r="B2148">
            <v>0</v>
          </cell>
          <cell r="C2148" t="str">
            <v>Máy thi công</v>
          </cell>
          <cell r="D2148">
            <v>0</v>
          </cell>
          <cell r="E2148">
            <v>0</v>
          </cell>
          <cell r="F2148">
            <v>0</v>
          </cell>
          <cell r="G2148">
            <v>0</v>
          </cell>
          <cell r="H2148">
            <v>0</v>
          </cell>
          <cell r="I2148">
            <v>0</v>
          </cell>
        </row>
        <row r="2149">
          <cell r="A2149">
            <v>0</v>
          </cell>
          <cell r="B2149" t="str">
            <v>M203.0025</v>
          </cell>
          <cell r="C2149" t="str">
            <v>Megôm met</v>
          </cell>
          <cell r="D2149" t="str">
            <v>ca</v>
          </cell>
          <cell r="E2149">
            <v>0</v>
          </cell>
          <cell r="F2149">
            <v>40127.500000000007</v>
          </cell>
          <cell r="G2149">
            <v>0</v>
          </cell>
          <cell r="H2149">
            <v>0</v>
          </cell>
          <cell r="I2149">
            <v>0</v>
          </cell>
        </row>
        <row r="2150">
          <cell r="A2150">
            <v>0</v>
          </cell>
          <cell r="B2150" t="str">
            <v>M203.0026</v>
          </cell>
          <cell r="C2150" t="str">
            <v>Thiết bị kiểm tra áp lực</v>
          </cell>
          <cell r="D2150" t="str">
            <v>ca</v>
          </cell>
          <cell r="E2150">
            <v>3.2000000000000001E-2</v>
          </cell>
          <cell r="F2150">
            <v>68673.181818181838</v>
          </cell>
          <cell r="G2150">
            <v>0</v>
          </cell>
          <cell r="H2150">
            <v>0</v>
          </cell>
          <cell r="I2150">
            <v>2197.5418181818191</v>
          </cell>
        </row>
        <row r="2151">
          <cell r="A2151" t="str">
            <v>EF.20020</v>
          </cell>
          <cell r="B2151">
            <v>0</v>
          </cell>
          <cell r="C2151" t="str">
            <v>Thí nghiệm đồng hồ lưu lượng chênh áp chỉ mức</v>
          </cell>
          <cell r="D2151" t="str">
            <v>cái</v>
          </cell>
          <cell r="E2151">
            <v>0</v>
          </cell>
          <cell r="F2151">
            <v>0</v>
          </cell>
          <cell r="G2151">
            <v>4294.8099999999995</v>
          </cell>
          <cell r="H2151">
            <v>448276.14473684208</v>
          </cell>
          <cell r="I2151">
            <v>2799.454318181819</v>
          </cell>
        </row>
        <row r="2152">
          <cell r="A2152">
            <v>0</v>
          </cell>
          <cell r="B2152">
            <v>0</v>
          </cell>
          <cell r="C2152" t="str">
            <v>Vật liệu</v>
          </cell>
          <cell r="D2152">
            <v>0</v>
          </cell>
          <cell r="E2152">
            <v>0</v>
          </cell>
          <cell r="F2152">
            <v>0</v>
          </cell>
          <cell r="G2152">
            <v>0</v>
          </cell>
          <cell r="H2152">
            <v>0</v>
          </cell>
          <cell r="I2152">
            <v>0</v>
          </cell>
        </row>
        <row r="2153">
          <cell r="A2153">
            <v>0</v>
          </cell>
          <cell r="B2153" t="str">
            <v>VL221</v>
          </cell>
          <cell r="C2153" t="str">
            <v>Điện năng</v>
          </cell>
          <cell r="D2153" t="str">
            <v>Kwh</v>
          </cell>
          <cell r="E2153">
            <v>1</v>
          </cell>
          <cell r="F2153">
            <v>1622.01</v>
          </cell>
          <cell r="G2153">
            <v>1622.01</v>
          </cell>
          <cell r="H2153">
            <v>0</v>
          </cell>
          <cell r="I2153">
            <v>0</v>
          </cell>
        </row>
        <row r="2154">
          <cell r="A2154">
            <v>0</v>
          </cell>
          <cell r="B2154" t="str">
            <v>VL198</v>
          </cell>
          <cell r="C2154" t="str">
            <v>Dây điện 2x1,5mm2</v>
          </cell>
          <cell r="D2154" t="str">
            <v>m</v>
          </cell>
          <cell r="E2154">
            <v>0</v>
          </cell>
          <cell r="F2154">
            <v>9027.2727272727261</v>
          </cell>
          <cell r="G2154">
            <v>0</v>
          </cell>
          <cell r="H2154">
            <v>0</v>
          </cell>
          <cell r="I2154">
            <v>0</v>
          </cell>
        </row>
        <row r="2155">
          <cell r="A2155">
            <v>0</v>
          </cell>
          <cell r="B2155" t="str">
            <v>VL202</v>
          </cell>
          <cell r="C2155" t="str">
            <v>ống nhựa d10</v>
          </cell>
          <cell r="D2155" t="str">
            <v>m</v>
          </cell>
          <cell r="E2155">
            <v>0.2</v>
          </cell>
          <cell r="F2155">
            <v>3364</v>
          </cell>
          <cell r="G2155">
            <v>672.80000000000007</v>
          </cell>
          <cell r="H2155">
            <v>0</v>
          </cell>
          <cell r="I2155">
            <v>0</v>
          </cell>
        </row>
        <row r="2156">
          <cell r="A2156">
            <v>0</v>
          </cell>
          <cell r="B2156" t="str">
            <v>VL177</v>
          </cell>
          <cell r="C2156" t="str">
            <v>Côồn công nghiệp</v>
          </cell>
          <cell r="D2156" t="str">
            <v>kg</v>
          </cell>
          <cell r="E2156">
            <v>0.1</v>
          </cell>
          <cell r="F2156">
            <v>20000</v>
          </cell>
          <cell r="G2156">
            <v>2000</v>
          </cell>
          <cell r="H2156">
            <v>0</v>
          </cell>
          <cell r="I2156">
            <v>0</v>
          </cell>
        </row>
        <row r="2157">
          <cell r="A2157">
            <v>0</v>
          </cell>
          <cell r="B2157">
            <v>0</v>
          </cell>
          <cell r="C2157" t="str">
            <v>Nhân công</v>
          </cell>
          <cell r="D2157">
            <v>0</v>
          </cell>
          <cell r="E2157">
            <v>0</v>
          </cell>
          <cell r="F2157">
            <v>0</v>
          </cell>
          <cell r="G2157">
            <v>0</v>
          </cell>
          <cell r="H2157">
            <v>0</v>
          </cell>
          <cell r="I2157">
            <v>0</v>
          </cell>
        </row>
        <row r="2158">
          <cell r="A2158">
            <v>0</v>
          </cell>
          <cell r="B2158" t="str">
            <v>KS3</v>
          </cell>
          <cell r="C2158" t="str">
            <v>Kỹ sư bậc 3,0/8</v>
          </cell>
          <cell r="D2158" t="str">
            <v>công</v>
          </cell>
          <cell r="E2158">
            <v>1.39</v>
          </cell>
          <cell r="F2158">
            <v>213300</v>
          </cell>
          <cell r="G2158">
            <v>0</v>
          </cell>
          <cell r="H2158">
            <v>296487</v>
          </cell>
          <cell r="I2158">
            <v>0</v>
          </cell>
        </row>
        <row r="2159">
          <cell r="A2159">
            <v>0</v>
          </cell>
          <cell r="B2159" t="str">
            <v>N4407</v>
          </cell>
          <cell r="C2159" t="str">
            <v xml:space="preserve"> Nhân công bậc 4,0/7 - Nhóm 4</v>
          </cell>
          <cell r="D2159" t="str">
            <v>công</v>
          </cell>
          <cell r="E2159">
            <v>0.59</v>
          </cell>
          <cell r="F2159">
            <v>257269.73684210525</v>
          </cell>
          <cell r="G2159">
            <v>0</v>
          </cell>
          <cell r="H2159">
            <v>151789.14473684208</v>
          </cell>
          <cell r="I2159">
            <v>0</v>
          </cell>
        </row>
        <row r="2160">
          <cell r="A2160">
            <v>0</v>
          </cell>
          <cell r="B2160">
            <v>0</v>
          </cell>
          <cell r="C2160" t="str">
            <v>Máy thi công</v>
          </cell>
          <cell r="D2160">
            <v>0</v>
          </cell>
          <cell r="E2160">
            <v>0</v>
          </cell>
          <cell r="F2160">
            <v>0</v>
          </cell>
          <cell r="G2160">
            <v>0</v>
          </cell>
          <cell r="H2160">
            <v>0</v>
          </cell>
          <cell r="I2160">
            <v>0</v>
          </cell>
        </row>
        <row r="2161">
          <cell r="A2161">
            <v>0</v>
          </cell>
          <cell r="B2161" t="str">
            <v>M203.0025</v>
          </cell>
          <cell r="C2161" t="str">
            <v>Megôm met</v>
          </cell>
          <cell r="D2161" t="str">
            <v>ca</v>
          </cell>
          <cell r="E2161">
            <v>1.4999999999999999E-2</v>
          </cell>
          <cell r="F2161">
            <v>40127.500000000007</v>
          </cell>
          <cell r="G2161">
            <v>0</v>
          </cell>
          <cell r="H2161">
            <v>0</v>
          </cell>
          <cell r="I2161">
            <v>601.91250000000014</v>
          </cell>
        </row>
        <row r="2162">
          <cell r="A2162">
            <v>0</v>
          </cell>
          <cell r="B2162" t="str">
            <v>M203.0026</v>
          </cell>
          <cell r="C2162" t="str">
            <v>Thiết bị kiểm tra áp lực</v>
          </cell>
          <cell r="D2162" t="str">
            <v>ca</v>
          </cell>
          <cell r="E2162">
            <v>3.2000000000000001E-2</v>
          </cell>
          <cell r="F2162">
            <v>68673.181818181838</v>
          </cell>
          <cell r="G2162">
            <v>0</v>
          </cell>
          <cell r="H2162">
            <v>0</v>
          </cell>
          <cell r="I2162">
            <v>2197.5418181818191</v>
          </cell>
        </row>
        <row r="2163">
          <cell r="A2163" t="str">
            <v>EF.20030</v>
          </cell>
          <cell r="B2163">
            <v>0</v>
          </cell>
          <cell r="C2163" t="str">
            <v>Thí nghiệm đồng hồ lưu lượng chênh áp có công tơ</v>
          </cell>
          <cell r="D2163" t="str">
            <v>cái</v>
          </cell>
          <cell r="E2163">
            <v>0</v>
          </cell>
          <cell r="F2163">
            <v>0</v>
          </cell>
          <cell r="G2163">
            <v>5557.1786363636365</v>
          </cell>
          <cell r="H2163">
            <v>536739.51315789472</v>
          </cell>
          <cell r="I2163">
            <v>2799.454318181819</v>
          </cell>
        </row>
        <row r="2164">
          <cell r="A2164">
            <v>0</v>
          </cell>
          <cell r="B2164">
            <v>0</v>
          </cell>
          <cell r="C2164" t="str">
            <v>Vật liệu</v>
          </cell>
          <cell r="D2164">
            <v>0</v>
          </cell>
          <cell r="E2164">
            <v>0</v>
          </cell>
          <cell r="F2164">
            <v>0</v>
          </cell>
          <cell r="G2164">
            <v>0</v>
          </cell>
          <cell r="H2164">
            <v>0</v>
          </cell>
          <cell r="I2164">
            <v>0</v>
          </cell>
        </row>
        <row r="2165">
          <cell r="A2165">
            <v>0</v>
          </cell>
          <cell r="B2165" t="str">
            <v>VL221</v>
          </cell>
          <cell r="C2165" t="str">
            <v>Điện năng</v>
          </cell>
          <cell r="D2165" t="str">
            <v>Kwh</v>
          </cell>
          <cell r="E2165">
            <v>1.5</v>
          </cell>
          <cell r="F2165">
            <v>1622.01</v>
          </cell>
          <cell r="G2165">
            <v>2433.0149999999999</v>
          </cell>
          <cell r="H2165">
            <v>0</v>
          </cell>
          <cell r="I2165">
            <v>0</v>
          </cell>
        </row>
        <row r="2166">
          <cell r="A2166">
            <v>0</v>
          </cell>
          <cell r="B2166" t="str">
            <v>VL198</v>
          </cell>
          <cell r="C2166" t="str">
            <v>Dây điện 2x1,5mm2</v>
          </cell>
          <cell r="D2166" t="str">
            <v>m</v>
          </cell>
          <cell r="E2166">
            <v>0.05</v>
          </cell>
          <cell r="F2166">
            <v>9027.2727272727261</v>
          </cell>
          <cell r="G2166">
            <v>451.36363636363632</v>
          </cell>
          <cell r="H2166">
            <v>0</v>
          </cell>
          <cell r="I2166">
            <v>0</v>
          </cell>
        </row>
        <row r="2167">
          <cell r="A2167">
            <v>0</v>
          </cell>
          <cell r="B2167" t="str">
            <v>VL202</v>
          </cell>
          <cell r="C2167" t="str">
            <v>ống nhựa d10</v>
          </cell>
          <cell r="D2167" t="str">
            <v>m</v>
          </cell>
          <cell r="E2167">
            <v>0.2</v>
          </cell>
          <cell r="F2167">
            <v>3364</v>
          </cell>
          <cell r="G2167">
            <v>672.80000000000007</v>
          </cell>
          <cell r="H2167">
            <v>0</v>
          </cell>
          <cell r="I2167">
            <v>0</v>
          </cell>
        </row>
        <row r="2168">
          <cell r="A2168">
            <v>0</v>
          </cell>
          <cell r="B2168" t="str">
            <v>VL177</v>
          </cell>
          <cell r="C2168" t="str">
            <v>Côồn công nghiệp</v>
          </cell>
          <cell r="D2168" t="str">
            <v>kg</v>
          </cell>
          <cell r="E2168">
            <v>0.1</v>
          </cell>
          <cell r="F2168">
            <v>20000</v>
          </cell>
          <cell r="G2168">
            <v>2000</v>
          </cell>
          <cell r="H2168">
            <v>0</v>
          </cell>
          <cell r="I2168">
            <v>0</v>
          </cell>
        </row>
        <row r="2169">
          <cell r="A2169">
            <v>0</v>
          </cell>
          <cell r="B2169">
            <v>0</v>
          </cell>
          <cell r="C2169" t="str">
            <v>Nhân công</v>
          </cell>
          <cell r="D2169">
            <v>0</v>
          </cell>
          <cell r="E2169">
            <v>0</v>
          </cell>
          <cell r="F2169">
            <v>0</v>
          </cell>
          <cell r="G2169">
            <v>0</v>
          </cell>
          <cell r="H2169">
            <v>0</v>
          </cell>
          <cell r="I2169">
            <v>0</v>
          </cell>
        </row>
        <row r="2170">
          <cell r="A2170">
            <v>0</v>
          </cell>
          <cell r="B2170" t="str">
            <v>KS3</v>
          </cell>
          <cell r="C2170" t="str">
            <v>Kỹ sư bậc 3,0/8</v>
          </cell>
          <cell r="D2170" t="str">
            <v>công</v>
          </cell>
          <cell r="E2170">
            <v>1.66</v>
          </cell>
          <cell r="F2170">
            <v>213300</v>
          </cell>
          <cell r="G2170">
            <v>0</v>
          </cell>
          <cell r="H2170">
            <v>354078</v>
          </cell>
          <cell r="I2170">
            <v>0</v>
          </cell>
        </row>
        <row r="2171">
          <cell r="A2171">
            <v>0</v>
          </cell>
          <cell r="B2171" t="str">
            <v>N4407</v>
          </cell>
          <cell r="C2171" t="str">
            <v xml:space="preserve"> Nhân công bậc 4,0/7 - Nhóm 4</v>
          </cell>
          <cell r="D2171" t="str">
            <v>công</v>
          </cell>
          <cell r="E2171">
            <v>0.71</v>
          </cell>
          <cell r="F2171">
            <v>257269.73684210525</v>
          </cell>
          <cell r="G2171">
            <v>0</v>
          </cell>
          <cell r="H2171">
            <v>182661.51315789472</v>
          </cell>
          <cell r="I2171">
            <v>0</v>
          </cell>
        </row>
        <row r="2172">
          <cell r="A2172">
            <v>0</v>
          </cell>
          <cell r="B2172">
            <v>0</v>
          </cell>
          <cell r="C2172" t="str">
            <v>Máy thi công</v>
          </cell>
          <cell r="D2172">
            <v>0</v>
          </cell>
          <cell r="E2172">
            <v>0</v>
          </cell>
          <cell r="F2172">
            <v>0</v>
          </cell>
          <cell r="G2172">
            <v>0</v>
          </cell>
          <cell r="H2172">
            <v>0</v>
          </cell>
          <cell r="I2172">
            <v>0</v>
          </cell>
        </row>
        <row r="2173">
          <cell r="A2173">
            <v>0</v>
          </cell>
          <cell r="B2173" t="str">
            <v>M203.0025</v>
          </cell>
          <cell r="C2173" t="str">
            <v>Megôm met</v>
          </cell>
          <cell r="D2173" t="str">
            <v>ca</v>
          </cell>
          <cell r="E2173">
            <v>1.4999999999999999E-2</v>
          </cell>
          <cell r="F2173">
            <v>40127.500000000007</v>
          </cell>
          <cell r="G2173">
            <v>0</v>
          </cell>
          <cell r="H2173">
            <v>0</v>
          </cell>
          <cell r="I2173">
            <v>601.91250000000014</v>
          </cell>
        </row>
        <row r="2174">
          <cell r="A2174">
            <v>0</v>
          </cell>
          <cell r="B2174" t="str">
            <v>M203.0026</v>
          </cell>
          <cell r="C2174" t="str">
            <v>Thiết bị kiểm tra áp lực</v>
          </cell>
          <cell r="D2174" t="str">
            <v>ca</v>
          </cell>
          <cell r="E2174">
            <v>3.2000000000000001E-2</v>
          </cell>
          <cell r="F2174">
            <v>68673.181818181838</v>
          </cell>
          <cell r="G2174">
            <v>0</v>
          </cell>
          <cell r="H2174">
            <v>0</v>
          </cell>
          <cell r="I2174">
            <v>2197.5418181818191</v>
          </cell>
        </row>
        <row r="2175">
          <cell r="A2175" t="str">
            <v>EF.20040</v>
          </cell>
          <cell r="B2175">
            <v>0</v>
          </cell>
          <cell r="C2175" t="str">
            <v>Thí nghiệm cầu đo nhiệt độ chỉ thị</v>
          </cell>
          <cell r="D2175" t="str">
            <v>cái</v>
          </cell>
          <cell r="E2175">
            <v>0</v>
          </cell>
          <cell r="F2175">
            <v>0</v>
          </cell>
          <cell r="G2175">
            <v>6368.1836363636367</v>
          </cell>
          <cell r="H2175">
            <v>299143.89473684214</v>
          </cell>
          <cell r="I2175">
            <v>601.91250000000014</v>
          </cell>
        </row>
        <row r="2176">
          <cell r="A2176">
            <v>0</v>
          </cell>
          <cell r="B2176">
            <v>0</v>
          </cell>
          <cell r="C2176" t="str">
            <v>Vật liệu</v>
          </cell>
          <cell r="D2176">
            <v>0</v>
          </cell>
          <cell r="E2176">
            <v>0</v>
          </cell>
          <cell r="F2176">
            <v>0</v>
          </cell>
          <cell r="G2176">
            <v>0</v>
          </cell>
          <cell r="H2176">
            <v>0</v>
          </cell>
          <cell r="I2176">
            <v>0</v>
          </cell>
        </row>
        <row r="2177">
          <cell r="A2177">
            <v>0</v>
          </cell>
          <cell r="B2177" t="str">
            <v>VL221</v>
          </cell>
          <cell r="C2177" t="str">
            <v>Điện năng</v>
          </cell>
          <cell r="D2177" t="str">
            <v>Kwh</v>
          </cell>
          <cell r="E2177">
            <v>2</v>
          </cell>
          <cell r="F2177">
            <v>1622.01</v>
          </cell>
          <cell r="G2177">
            <v>3244.02</v>
          </cell>
          <cell r="H2177">
            <v>0</v>
          </cell>
          <cell r="I2177">
            <v>0</v>
          </cell>
        </row>
        <row r="2178">
          <cell r="A2178">
            <v>0</v>
          </cell>
          <cell r="B2178" t="str">
            <v>VL198</v>
          </cell>
          <cell r="C2178" t="str">
            <v>Dây điện 2x1,5mm2</v>
          </cell>
          <cell r="D2178" t="str">
            <v>m</v>
          </cell>
          <cell r="E2178">
            <v>0.05</v>
          </cell>
          <cell r="F2178">
            <v>9027.2727272727261</v>
          </cell>
          <cell r="G2178">
            <v>451.36363636363632</v>
          </cell>
          <cell r="H2178">
            <v>0</v>
          </cell>
          <cell r="I2178">
            <v>0</v>
          </cell>
        </row>
        <row r="2179">
          <cell r="A2179">
            <v>0</v>
          </cell>
          <cell r="B2179" t="str">
            <v>VL202</v>
          </cell>
          <cell r="C2179" t="str">
            <v>ống nhựa d10</v>
          </cell>
          <cell r="D2179" t="str">
            <v>m</v>
          </cell>
          <cell r="E2179">
            <v>0.2</v>
          </cell>
          <cell r="F2179">
            <v>3364</v>
          </cell>
          <cell r="G2179">
            <v>672.80000000000007</v>
          </cell>
          <cell r="H2179">
            <v>0</v>
          </cell>
          <cell r="I2179">
            <v>0</v>
          </cell>
        </row>
        <row r="2180">
          <cell r="A2180">
            <v>0</v>
          </cell>
          <cell r="B2180" t="str">
            <v>VL177</v>
          </cell>
          <cell r="C2180" t="str">
            <v>Côồn công nghiệp</v>
          </cell>
          <cell r="D2180" t="str">
            <v>kg</v>
          </cell>
          <cell r="E2180">
            <v>0.1</v>
          </cell>
          <cell r="F2180">
            <v>20000</v>
          </cell>
          <cell r="G2180">
            <v>2000</v>
          </cell>
          <cell r="H2180">
            <v>0</v>
          </cell>
          <cell r="I2180">
            <v>0</v>
          </cell>
        </row>
        <row r="2181">
          <cell r="A2181">
            <v>0</v>
          </cell>
          <cell r="B2181">
            <v>0</v>
          </cell>
          <cell r="C2181" t="str">
            <v>Nhân công</v>
          </cell>
          <cell r="D2181">
            <v>0</v>
          </cell>
          <cell r="E2181">
            <v>0</v>
          </cell>
          <cell r="F2181">
            <v>0</v>
          </cell>
          <cell r="G2181">
            <v>0</v>
          </cell>
          <cell r="H2181">
            <v>0</v>
          </cell>
          <cell r="I2181">
            <v>0</v>
          </cell>
        </row>
        <row r="2182">
          <cell r="A2182">
            <v>0</v>
          </cell>
          <cell r="B2182" t="str">
            <v>KS3</v>
          </cell>
          <cell r="C2182" t="str">
            <v>Kỹ sư bậc 3,0/8</v>
          </cell>
          <cell r="D2182" t="str">
            <v>công</v>
          </cell>
          <cell r="E2182">
            <v>0.92</v>
          </cell>
          <cell r="F2182">
            <v>213300</v>
          </cell>
          <cell r="G2182">
            <v>0</v>
          </cell>
          <cell r="H2182">
            <v>196236</v>
          </cell>
          <cell r="I2182">
            <v>0</v>
          </cell>
        </row>
        <row r="2183">
          <cell r="A2183">
            <v>0</v>
          </cell>
          <cell r="B2183" t="str">
            <v>N4407</v>
          </cell>
          <cell r="C2183" t="str">
            <v xml:space="preserve"> Nhân công bậc 4,0/7 - Nhóm 4</v>
          </cell>
          <cell r="D2183" t="str">
            <v>công</v>
          </cell>
          <cell r="E2183">
            <v>0.4</v>
          </cell>
          <cell r="F2183">
            <v>257269.73684210525</v>
          </cell>
          <cell r="G2183">
            <v>0</v>
          </cell>
          <cell r="H2183">
            <v>102907.89473684211</v>
          </cell>
          <cell r="I2183">
            <v>0</v>
          </cell>
        </row>
        <row r="2184">
          <cell r="A2184">
            <v>0</v>
          </cell>
          <cell r="B2184">
            <v>0</v>
          </cell>
          <cell r="C2184" t="str">
            <v>Máy thi công</v>
          </cell>
          <cell r="D2184">
            <v>0</v>
          </cell>
          <cell r="E2184">
            <v>0</v>
          </cell>
          <cell r="F2184">
            <v>0</v>
          </cell>
          <cell r="G2184">
            <v>0</v>
          </cell>
          <cell r="H2184">
            <v>0</v>
          </cell>
          <cell r="I2184">
            <v>0</v>
          </cell>
        </row>
        <row r="2185">
          <cell r="A2185">
            <v>0</v>
          </cell>
          <cell r="B2185" t="str">
            <v>M203.0025</v>
          </cell>
          <cell r="C2185" t="str">
            <v>Megôm met</v>
          </cell>
          <cell r="D2185" t="str">
            <v>ca</v>
          </cell>
          <cell r="E2185">
            <v>1.4999999999999999E-2</v>
          </cell>
          <cell r="F2185">
            <v>40127.500000000007</v>
          </cell>
          <cell r="G2185">
            <v>0</v>
          </cell>
          <cell r="H2185">
            <v>0</v>
          </cell>
          <cell r="I2185">
            <v>601.91250000000014</v>
          </cell>
        </row>
        <row r="2186">
          <cell r="A2186">
            <v>0</v>
          </cell>
          <cell r="B2186" t="str">
            <v>M203.0026</v>
          </cell>
          <cell r="C2186" t="str">
            <v>Thiết bị kiểm tra áp lực</v>
          </cell>
          <cell r="D2186" t="str">
            <v>ca</v>
          </cell>
          <cell r="E2186">
            <v>0</v>
          </cell>
          <cell r="F2186">
            <v>68673.181818181838</v>
          </cell>
          <cell r="G2186">
            <v>0</v>
          </cell>
          <cell r="H2186">
            <v>0</v>
          </cell>
          <cell r="I2186">
            <v>0</v>
          </cell>
        </row>
        <row r="2187">
          <cell r="A2187" t="str">
            <v>EF.30010</v>
          </cell>
          <cell r="B2187">
            <v>0</v>
          </cell>
          <cell r="C2187" t="str">
            <v>Thí nghiệm Rơle áp lực, chân không</v>
          </cell>
          <cell r="D2187" t="str">
            <v>cái</v>
          </cell>
          <cell r="E2187">
            <v>0</v>
          </cell>
          <cell r="F2187">
            <v>0</v>
          </cell>
          <cell r="G2187">
            <v>4323.3736363636363</v>
          </cell>
          <cell r="H2187">
            <v>249140.01315789472</v>
          </cell>
          <cell r="I2187">
            <v>2197.5418181818191</v>
          </cell>
        </row>
        <row r="2188">
          <cell r="A2188">
            <v>0</v>
          </cell>
          <cell r="B2188">
            <v>0</v>
          </cell>
          <cell r="C2188" t="str">
            <v>Vật liệu</v>
          </cell>
          <cell r="D2188">
            <v>0</v>
          </cell>
          <cell r="E2188">
            <v>0</v>
          </cell>
          <cell r="F2188">
            <v>0</v>
          </cell>
          <cell r="G2188">
            <v>0</v>
          </cell>
          <cell r="H2188">
            <v>0</v>
          </cell>
          <cell r="I2188">
            <v>0</v>
          </cell>
        </row>
        <row r="2189">
          <cell r="A2189">
            <v>0</v>
          </cell>
          <cell r="B2189" t="str">
            <v>VL221</v>
          </cell>
          <cell r="C2189" t="str">
            <v>Điện năng</v>
          </cell>
          <cell r="D2189" t="str">
            <v>Kwh</v>
          </cell>
          <cell r="E2189">
            <v>1</v>
          </cell>
          <cell r="F2189">
            <v>1622.01</v>
          </cell>
          <cell r="G2189">
            <v>1622.01</v>
          </cell>
          <cell r="H2189">
            <v>0</v>
          </cell>
          <cell r="I2189">
            <v>0</v>
          </cell>
        </row>
        <row r="2190">
          <cell r="A2190">
            <v>0</v>
          </cell>
          <cell r="B2190" t="str">
            <v>VL198</v>
          </cell>
          <cell r="C2190" t="str">
            <v>Dây điện 2x1,5mm2</v>
          </cell>
          <cell r="D2190" t="str">
            <v>m</v>
          </cell>
          <cell r="E2190">
            <v>0.05</v>
          </cell>
          <cell r="F2190">
            <v>9027.2727272727261</v>
          </cell>
          <cell r="G2190">
            <v>451.36363636363632</v>
          </cell>
          <cell r="H2190">
            <v>0</v>
          </cell>
          <cell r="I2190">
            <v>0</v>
          </cell>
        </row>
        <row r="2191">
          <cell r="A2191">
            <v>0</v>
          </cell>
          <cell r="B2191" t="str">
            <v>VL176</v>
          </cell>
          <cell r="C2191" t="str">
            <v>Giẻ lau</v>
          </cell>
          <cell r="D2191" t="str">
            <v>kg</v>
          </cell>
          <cell r="E2191">
            <v>0.05</v>
          </cell>
          <cell r="F2191">
            <v>5000</v>
          </cell>
          <cell r="G2191">
            <v>250</v>
          </cell>
          <cell r="H2191">
            <v>0</v>
          </cell>
          <cell r="I2191">
            <v>0</v>
          </cell>
        </row>
        <row r="2192">
          <cell r="A2192">
            <v>0</v>
          </cell>
          <cell r="B2192" t="str">
            <v>VL177</v>
          </cell>
          <cell r="C2192" t="str">
            <v>Cồn công nghiệp</v>
          </cell>
          <cell r="D2192" t="str">
            <v>kg</v>
          </cell>
          <cell r="E2192">
            <v>0.1</v>
          </cell>
          <cell r="F2192">
            <v>20000</v>
          </cell>
          <cell r="G2192">
            <v>2000</v>
          </cell>
          <cell r="H2192">
            <v>0</v>
          </cell>
          <cell r="I2192">
            <v>0</v>
          </cell>
        </row>
        <row r="2193">
          <cell r="A2193">
            <v>0</v>
          </cell>
          <cell r="B2193">
            <v>0</v>
          </cell>
          <cell r="C2193" t="str">
            <v>Nhân công</v>
          </cell>
          <cell r="D2193">
            <v>0</v>
          </cell>
          <cell r="E2193">
            <v>0</v>
          </cell>
          <cell r="F2193">
            <v>0</v>
          </cell>
          <cell r="G2193">
            <v>0</v>
          </cell>
          <cell r="H2193">
            <v>0</v>
          </cell>
          <cell r="I2193">
            <v>0</v>
          </cell>
        </row>
        <row r="2194">
          <cell r="A2194">
            <v>0</v>
          </cell>
          <cell r="B2194" t="str">
            <v>KS3</v>
          </cell>
          <cell r="C2194" t="str">
            <v>Kỹ sư bậc 3,0/8</v>
          </cell>
          <cell r="D2194" t="str">
            <v>công</v>
          </cell>
          <cell r="E2194">
            <v>0.77</v>
          </cell>
          <cell r="F2194">
            <v>213300</v>
          </cell>
          <cell r="G2194">
            <v>0</v>
          </cell>
          <cell r="H2194">
            <v>164241</v>
          </cell>
          <cell r="I2194">
            <v>0</v>
          </cell>
        </row>
        <row r="2195">
          <cell r="A2195">
            <v>0</v>
          </cell>
          <cell r="B2195" t="str">
            <v>N4407</v>
          </cell>
          <cell r="C2195" t="str">
            <v xml:space="preserve"> Nhân công bậc 4,0/7 - Nhóm 4</v>
          </cell>
          <cell r="D2195" t="str">
            <v>công</v>
          </cell>
          <cell r="E2195">
            <v>0.33</v>
          </cell>
          <cell r="F2195">
            <v>257269.73684210525</v>
          </cell>
          <cell r="G2195">
            <v>0</v>
          </cell>
          <cell r="H2195">
            <v>84899.013157894733</v>
          </cell>
          <cell r="I2195">
            <v>0</v>
          </cell>
        </row>
        <row r="2196">
          <cell r="A2196">
            <v>0</v>
          </cell>
          <cell r="B2196">
            <v>0</v>
          </cell>
          <cell r="C2196" t="str">
            <v>Máy thi công</v>
          </cell>
          <cell r="D2196">
            <v>0</v>
          </cell>
          <cell r="E2196">
            <v>0</v>
          </cell>
          <cell r="F2196">
            <v>0</v>
          </cell>
          <cell r="G2196">
            <v>0</v>
          </cell>
          <cell r="H2196">
            <v>0</v>
          </cell>
          <cell r="I2196">
            <v>0</v>
          </cell>
        </row>
        <row r="2197">
          <cell r="A2197">
            <v>0</v>
          </cell>
          <cell r="B2197" t="str">
            <v>M203.0025</v>
          </cell>
          <cell r="C2197" t="str">
            <v>Megôm met</v>
          </cell>
          <cell r="D2197" t="str">
            <v>ca</v>
          </cell>
          <cell r="E2197">
            <v>0</v>
          </cell>
          <cell r="F2197">
            <v>40127.500000000007</v>
          </cell>
          <cell r="G2197">
            <v>0</v>
          </cell>
          <cell r="H2197">
            <v>0</v>
          </cell>
          <cell r="I2197">
            <v>0</v>
          </cell>
        </row>
        <row r="2198">
          <cell r="A2198">
            <v>0</v>
          </cell>
          <cell r="B2198" t="str">
            <v>M203.0026</v>
          </cell>
          <cell r="C2198" t="str">
            <v>Thiết bị kiểm tra áp lực</v>
          </cell>
          <cell r="D2198" t="str">
            <v>ca</v>
          </cell>
          <cell r="E2198">
            <v>3.2000000000000001E-2</v>
          </cell>
          <cell r="F2198">
            <v>68673.181818181838</v>
          </cell>
          <cell r="G2198">
            <v>0</v>
          </cell>
          <cell r="H2198">
            <v>0</v>
          </cell>
          <cell r="I2198">
            <v>2197.5418181818191</v>
          </cell>
        </row>
        <row r="2199">
          <cell r="A2199" t="str">
            <v>EF.30020</v>
          </cell>
          <cell r="B2199">
            <v>0</v>
          </cell>
          <cell r="C2199" t="str">
            <v>Thí nghiệm Rơle nhiệt</v>
          </cell>
          <cell r="D2199" t="str">
            <v>cái</v>
          </cell>
          <cell r="E2199">
            <v>0</v>
          </cell>
          <cell r="F2199">
            <v>0</v>
          </cell>
          <cell r="G2199">
            <v>5945.3836363636365</v>
          </cell>
          <cell r="H2199">
            <v>299143.89473684214</v>
          </cell>
          <cell r="I2199">
            <v>1003.1875000000002</v>
          </cell>
        </row>
        <row r="2200">
          <cell r="A2200">
            <v>0</v>
          </cell>
          <cell r="B2200">
            <v>0</v>
          </cell>
          <cell r="C2200" t="str">
            <v>Vật liệu</v>
          </cell>
          <cell r="D2200">
            <v>0</v>
          </cell>
          <cell r="E2200">
            <v>0</v>
          </cell>
          <cell r="F2200">
            <v>0</v>
          </cell>
          <cell r="G2200">
            <v>0</v>
          </cell>
          <cell r="H2200">
            <v>0</v>
          </cell>
          <cell r="I2200">
            <v>0</v>
          </cell>
        </row>
        <row r="2201">
          <cell r="A2201">
            <v>0</v>
          </cell>
          <cell r="B2201" t="str">
            <v>VL221</v>
          </cell>
          <cell r="C2201" t="str">
            <v>Điện năng</v>
          </cell>
          <cell r="D2201" t="str">
            <v>Kwh</v>
          </cell>
          <cell r="E2201">
            <v>2</v>
          </cell>
          <cell r="F2201">
            <v>1622.01</v>
          </cell>
          <cell r="G2201">
            <v>3244.02</v>
          </cell>
          <cell r="H2201">
            <v>0</v>
          </cell>
          <cell r="I2201">
            <v>0</v>
          </cell>
        </row>
        <row r="2202">
          <cell r="A2202">
            <v>0</v>
          </cell>
          <cell r="B2202" t="str">
            <v>VL198</v>
          </cell>
          <cell r="C2202" t="str">
            <v>Dây điện 2x1,5mm2</v>
          </cell>
          <cell r="D2202" t="str">
            <v>m</v>
          </cell>
          <cell r="E2202">
            <v>0.05</v>
          </cell>
          <cell r="F2202">
            <v>9027.2727272727261</v>
          </cell>
          <cell r="G2202">
            <v>451.36363636363632</v>
          </cell>
          <cell r="H2202">
            <v>0</v>
          </cell>
          <cell r="I2202">
            <v>0</v>
          </cell>
        </row>
        <row r="2203">
          <cell r="A2203">
            <v>0</v>
          </cell>
          <cell r="B2203" t="str">
            <v>VL176</v>
          </cell>
          <cell r="C2203" t="str">
            <v>Giẻ lau</v>
          </cell>
          <cell r="D2203" t="str">
            <v>kg</v>
          </cell>
          <cell r="E2203">
            <v>0.05</v>
          </cell>
          <cell r="F2203">
            <v>5000</v>
          </cell>
          <cell r="G2203">
            <v>250</v>
          </cell>
          <cell r="H2203">
            <v>0</v>
          </cell>
          <cell r="I2203">
            <v>0</v>
          </cell>
        </row>
        <row r="2204">
          <cell r="A2204">
            <v>0</v>
          </cell>
          <cell r="B2204" t="str">
            <v>VL177</v>
          </cell>
          <cell r="C2204" t="str">
            <v>Cồn công nghiệp</v>
          </cell>
          <cell r="D2204" t="str">
            <v>kg</v>
          </cell>
          <cell r="E2204">
            <v>0.1</v>
          </cell>
          <cell r="F2204">
            <v>20000</v>
          </cell>
          <cell r="G2204">
            <v>2000</v>
          </cell>
          <cell r="H2204">
            <v>0</v>
          </cell>
          <cell r="I2204">
            <v>0</v>
          </cell>
        </row>
        <row r="2205">
          <cell r="A2205">
            <v>0</v>
          </cell>
          <cell r="B2205">
            <v>0</v>
          </cell>
          <cell r="C2205" t="str">
            <v>Nhân công</v>
          </cell>
          <cell r="D2205">
            <v>0</v>
          </cell>
          <cell r="E2205">
            <v>0</v>
          </cell>
          <cell r="F2205">
            <v>0</v>
          </cell>
          <cell r="G2205">
            <v>0</v>
          </cell>
          <cell r="H2205">
            <v>0</v>
          </cell>
          <cell r="I2205">
            <v>0</v>
          </cell>
        </row>
        <row r="2206">
          <cell r="A2206">
            <v>0</v>
          </cell>
          <cell r="B2206" t="str">
            <v>KS3</v>
          </cell>
          <cell r="C2206" t="str">
            <v>Kỹ sư bậc 3,0/8</v>
          </cell>
          <cell r="D2206" t="str">
            <v>công</v>
          </cell>
          <cell r="E2206">
            <v>0.92</v>
          </cell>
          <cell r="F2206">
            <v>213300</v>
          </cell>
          <cell r="G2206">
            <v>0</v>
          </cell>
          <cell r="H2206">
            <v>196236</v>
          </cell>
          <cell r="I2206">
            <v>0</v>
          </cell>
        </row>
        <row r="2207">
          <cell r="A2207">
            <v>0</v>
          </cell>
          <cell r="B2207" t="str">
            <v>N4407</v>
          </cell>
          <cell r="C2207" t="str">
            <v xml:space="preserve"> Nhân công bậc 4,0/7 - Nhóm 4</v>
          </cell>
          <cell r="D2207" t="str">
            <v>công</v>
          </cell>
          <cell r="E2207">
            <v>0.4</v>
          </cell>
          <cell r="F2207">
            <v>257269.73684210525</v>
          </cell>
          <cell r="G2207">
            <v>0</v>
          </cell>
          <cell r="H2207">
            <v>102907.89473684211</v>
          </cell>
          <cell r="I2207">
            <v>0</v>
          </cell>
        </row>
        <row r="2208">
          <cell r="A2208">
            <v>0</v>
          </cell>
          <cell r="B2208">
            <v>0</v>
          </cell>
          <cell r="C2208" t="str">
            <v>Máy thi công</v>
          </cell>
          <cell r="D2208">
            <v>0</v>
          </cell>
          <cell r="E2208">
            <v>0</v>
          </cell>
          <cell r="F2208">
            <v>0</v>
          </cell>
          <cell r="G2208">
            <v>0</v>
          </cell>
          <cell r="H2208">
            <v>0</v>
          </cell>
          <cell r="I2208">
            <v>0</v>
          </cell>
        </row>
        <row r="2209">
          <cell r="A2209">
            <v>0</v>
          </cell>
          <cell r="B2209" t="str">
            <v>M203.0025</v>
          </cell>
          <cell r="C2209" t="str">
            <v>Megôm met</v>
          </cell>
          <cell r="D2209" t="str">
            <v>ca</v>
          </cell>
          <cell r="E2209">
            <v>2.5000000000000001E-2</v>
          </cell>
          <cell r="F2209">
            <v>40127.500000000007</v>
          </cell>
          <cell r="G2209">
            <v>0</v>
          </cell>
          <cell r="H2209">
            <v>0</v>
          </cell>
          <cell r="I2209">
            <v>1003.1875000000002</v>
          </cell>
        </row>
        <row r="2210">
          <cell r="A2210">
            <v>0</v>
          </cell>
          <cell r="B2210" t="str">
            <v>M203.0026</v>
          </cell>
          <cell r="C2210" t="str">
            <v>Thiết bị kiểm tra áp lực</v>
          </cell>
          <cell r="D2210" t="str">
            <v>ca</v>
          </cell>
          <cell r="E2210">
            <v>0</v>
          </cell>
          <cell r="F2210">
            <v>68673.181818181838</v>
          </cell>
          <cell r="G2210">
            <v>0</v>
          </cell>
          <cell r="H2210">
            <v>0</v>
          </cell>
          <cell r="I2210">
            <v>0</v>
          </cell>
        </row>
        <row r="2211">
          <cell r="A2211" t="str">
            <v>EF.30030</v>
          </cell>
          <cell r="B2211">
            <v>0</v>
          </cell>
          <cell r="C2211" t="str">
            <v>Thí nghiệm Lôgômet đo nhiệt độ</v>
          </cell>
          <cell r="D2211" t="str">
            <v>cái</v>
          </cell>
          <cell r="E2211">
            <v>0</v>
          </cell>
          <cell r="F2211">
            <v>0</v>
          </cell>
          <cell r="G2211">
            <v>5945.3836363636365</v>
          </cell>
          <cell r="H2211">
            <v>498280.02631578944</v>
          </cell>
          <cell r="I2211">
            <v>1003.1875000000002</v>
          </cell>
        </row>
        <row r="2212">
          <cell r="A2212">
            <v>0</v>
          </cell>
          <cell r="B2212">
            <v>0</v>
          </cell>
          <cell r="C2212" t="str">
            <v>Vật liệu</v>
          </cell>
          <cell r="D2212">
            <v>0</v>
          </cell>
          <cell r="E2212">
            <v>0</v>
          </cell>
          <cell r="F2212">
            <v>0</v>
          </cell>
          <cell r="G2212">
            <v>0</v>
          </cell>
          <cell r="H2212">
            <v>0</v>
          </cell>
          <cell r="I2212">
            <v>0</v>
          </cell>
        </row>
        <row r="2213">
          <cell r="A2213">
            <v>0</v>
          </cell>
          <cell r="B2213" t="str">
            <v>VL221</v>
          </cell>
          <cell r="C2213" t="str">
            <v>Điện năng</v>
          </cell>
          <cell r="D2213" t="str">
            <v>Kwh</v>
          </cell>
          <cell r="E2213">
            <v>2</v>
          </cell>
          <cell r="F2213">
            <v>1622.01</v>
          </cell>
          <cell r="G2213">
            <v>3244.02</v>
          </cell>
          <cell r="H2213">
            <v>0</v>
          </cell>
          <cell r="I2213">
            <v>0</v>
          </cell>
        </row>
        <row r="2214">
          <cell r="A2214">
            <v>0</v>
          </cell>
          <cell r="B2214" t="str">
            <v>VL198</v>
          </cell>
          <cell r="C2214" t="str">
            <v>Dây điện 2x1,5mm2</v>
          </cell>
          <cell r="D2214" t="str">
            <v>m</v>
          </cell>
          <cell r="E2214">
            <v>0.05</v>
          </cell>
          <cell r="F2214">
            <v>9027.2727272727261</v>
          </cell>
          <cell r="G2214">
            <v>451.36363636363632</v>
          </cell>
          <cell r="H2214">
            <v>0</v>
          </cell>
          <cell r="I2214">
            <v>0</v>
          </cell>
        </row>
        <row r="2215">
          <cell r="A2215">
            <v>0</v>
          </cell>
          <cell r="B2215" t="str">
            <v>VL176</v>
          </cell>
          <cell r="C2215" t="str">
            <v>Giẻ lau</v>
          </cell>
          <cell r="D2215" t="str">
            <v>kg</v>
          </cell>
          <cell r="E2215">
            <v>0.05</v>
          </cell>
          <cell r="F2215">
            <v>5000</v>
          </cell>
          <cell r="G2215">
            <v>250</v>
          </cell>
          <cell r="H2215">
            <v>0</v>
          </cell>
          <cell r="I2215">
            <v>0</v>
          </cell>
        </row>
        <row r="2216">
          <cell r="A2216">
            <v>0</v>
          </cell>
          <cell r="B2216" t="str">
            <v>VL177</v>
          </cell>
          <cell r="C2216" t="str">
            <v>Cồn công nghiệp</v>
          </cell>
          <cell r="D2216" t="str">
            <v>kg</v>
          </cell>
          <cell r="E2216">
            <v>0.1</v>
          </cell>
          <cell r="F2216">
            <v>20000</v>
          </cell>
          <cell r="G2216">
            <v>2000</v>
          </cell>
          <cell r="H2216">
            <v>0</v>
          </cell>
          <cell r="I2216">
            <v>0</v>
          </cell>
        </row>
        <row r="2217">
          <cell r="A2217">
            <v>0</v>
          </cell>
          <cell r="B2217">
            <v>0</v>
          </cell>
          <cell r="C2217" t="str">
            <v>Nhân công</v>
          </cell>
          <cell r="D2217">
            <v>0</v>
          </cell>
          <cell r="E2217">
            <v>0</v>
          </cell>
          <cell r="F2217">
            <v>0</v>
          </cell>
          <cell r="G2217">
            <v>0</v>
          </cell>
          <cell r="H2217">
            <v>0</v>
          </cell>
          <cell r="I2217">
            <v>0</v>
          </cell>
        </row>
        <row r="2218">
          <cell r="A2218">
            <v>0</v>
          </cell>
          <cell r="B2218" t="str">
            <v>KS3</v>
          </cell>
          <cell r="C2218" t="str">
            <v>Kỹ sư bậc 3,0/8</v>
          </cell>
          <cell r="D2218" t="str">
            <v>công</v>
          </cell>
          <cell r="E2218">
            <v>1.54</v>
          </cell>
          <cell r="F2218">
            <v>213300</v>
          </cell>
          <cell r="G2218">
            <v>0</v>
          </cell>
          <cell r="H2218">
            <v>328482</v>
          </cell>
          <cell r="I2218">
            <v>0</v>
          </cell>
        </row>
        <row r="2219">
          <cell r="A2219">
            <v>0</v>
          </cell>
          <cell r="B2219" t="str">
            <v>N4407</v>
          </cell>
          <cell r="C2219" t="str">
            <v xml:space="preserve"> Nhân công bậc 4,0/7 - Nhóm 4</v>
          </cell>
          <cell r="D2219" t="str">
            <v>công</v>
          </cell>
          <cell r="E2219">
            <v>0.66</v>
          </cell>
          <cell r="F2219">
            <v>257269.73684210525</v>
          </cell>
          <cell r="G2219">
            <v>0</v>
          </cell>
          <cell r="H2219">
            <v>169798.02631578947</v>
          </cell>
          <cell r="I2219">
            <v>0</v>
          </cell>
        </row>
        <row r="2220">
          <cell r="A2220">
            <v>0</v>
          </cell>
          <cell r="B2220">
            <v>0</v>
          </cell>
          <cell r="C2220" t="str">
            <v>Máy thi công</v>
          </cell>
          <cell r="D2220">
            <v>0</v>
          </cell>
          <cell r="E2220">
            <v>0</v>
          </cell>
          <cell r="F2220">
            <v>0</v>
          </cell>
          <cell r="G2220">
            <v>0</v>
          </cell>
          <cell r="H2220">
            <v>0</v>
          </cell>
          <cell r="I2220">
            <v>0</v>
          </cell>
        </row>
        <row r="2221">
          <cell r="A2221">
            <v>0</v>
          </cell>
          <cell r="B2221" t="str">
            <v>M203.0025</v>
          </cell>
          <cell r="C2221" t="str">
            <v>Megôm met</v>
          </cell>
          <cell r="D2221" t="str">
            <v>ca</v>
          </cell>
          <cell r="E2221">
            <v>2.5000000000000001E-2</v>
          </cell>
          <cell r="F2221">
            <v>40127.500000000007</v>
          </cell>
          <cell r="G2221">
            <v>0</v>
          </cell>
          <cell r="H2221">
            <v>0</v>
          </cell>
          <cell r="I2221">
            <v>1003.1875000000002</v>
          </cell>
        </row>
        <row r="2222">
          <cell r="A2222">
            <v>0</v>
          </cell>
          <cell r="B2222" t="str">
            <v>M203.0026</v>
          </cell>
          <cell r="C2222" t="str">
            <v>Thiết bị kiểm tra áp lực</v>
          </cell>
          <cell r="D2222" t="str">
            <v>ca</v>
          </cell>
          <cell r="E2222">
            <v>0</v>
          </cell>
          <cell r="F2222">
            <v>68673.181818181838</v>
          </cell>
          <cell r="G2222">
            <v>0</v>
          </cell>
          <cell r="H2222">
            <v>0</v>
          </cell>
          <cell r="I2222">
            <v>0</v>
          </cell>
        </row>
        <row r="2223">
          <cell r="A2223" t="str">
            <v>EF.30040</v>
          </cell>
          <cell r="B2223">
            <v>0</v>
          </cell>
          <cell r="C2223" t="str">
            <v>Thí nghiệm bộ biến đổi tín hiệu</v>
          </cell>
          <cell r="D2223" t="str">
            <v>cái</v>
          </cell>
          <cell r="E2223">
            <v>0</v>
          </cell>
          <cell r="F2223">
            <v>0</v>
          </cell>
          <cell r="G2223">
            <v>5945.3836363636365</v>
          </cell>
          <cell r="H2223">
            <v>498280.02631578944</v>
          </cell>
          <cell r="I2223">
            <v>3200.7293181818195</v>
          </cell>
        </row>
        <row r="2224">
          <cell r="A2224">
            <v>0</v>
          </cell>
          <cell r="B2224">
            <v>0</v>
          </cell>
          <cell r="C2224" t="str">
            <v>Vật liệu</v>
          </cell>
          <cell r="D2224">
            <v>0</v>
          </cell>
          <cell r="E2224">
            <v>0</v>
          </cell>
          <cell r="F2224">
            <v>0</v>
          </cell>
          <cell r="G2224">
            <v>0</v>
          </cell>
          <cell r="H2224">
            <v>0</v>
          </cell>
          <cell r="I2224">
            <v>0</v>
          </cell>
        </row>
        <row r="2225">
          <cell r="A2225">
            <v>0</v>
          </cell>
          <cell r="B2225" t="str">
            <v>VL221</v>
          </cell>
          <cell r="C2225" t="str">
            <v>Điện năng</v>
          </cell>
          <cell r="D2225" t="str">
            <v>Kwh</v>
          </cell>
          <cell r="E2225">
            <v>2</v>
          </cell>
          <cell r="F2225">
            <v>1622.01</v>
          </cell>
          <cell r="G2225">
            <v>3244.02</v>
          </cell>
          <cell r="H2225">
            <v>0</v>
          </cell>
          <cell r="I2225">
            <v>0</v>
          </cell>
        </row>
        <row r="2226">
          <cell r="A2226">
            <v>0</v>
          </cell>
          <cell r="B2226" t="str">
            <v>VL198</v>
          </cell>
          <cell r="C2226" t="str">
            <v>Dây điện 2x1,5mm2</v>
          </cell>
          <cell r="D2226" t="str">
            <v>m</v>
          </cell>
          <cell r="E2226">
            <v>0.05</v>
          </cell>
          <cell r="F2226">
            <v>9027.2727272727261</v>
          </cell>
          <cell r="G2226">
            <v>451.36363636363632</v>
          </cell>
          <cell r="H2226">
            <v>0</v>
          </cell>
          <cell r="I2226">
            <v>0</v>
          </cell>
        </row>
        <row r="2227">
          <cell r="A2227">
            <v>0</v>
          </cell>
          <cell r="B2227" t="str">
            <v>VL176</v>
          </cell>
          <cell r="C2227" t="str">
            <v>Giẻ lau</v>
          </cell>
          <cell r="D2227" t="str">
            <v>kg</v>
          </cell>
          <cell r="E2227">
            <v>0.05</v>
          </cell>
          <cell r="F2227">
            <v>5000</v>
          </cell>
          <cell r="G2227">
            <v>250</v>
          </cell>
          <cell r="H2227">
            <v>0</v>
          </cell>
          <cell r="I2227">
            <v>0</v>
          </cell>
        </row>
        <row r="2228">
          <cell r="A2228">
            <v>0</v>
          </cell>
          <cell r="B2228" t="str">
            <v>VL177</v>
          </cell>
          <cell r="C2228" t="str">
            <v>Cồn công nghiệp</v>
          </cell>
          <cell r="D2228" t="str">
            <v>kg</v>
          </cell>
          <cell r="E2228">
            <v>0.1</v>
          </cell>
          <cell r="F2228">
            <v>20000</v>
          </cell>
          <cell r="G2228">
            <v>2000</v>
          </cell>
          <cell r="H2228">
            <v>0</v>
          </cell>
          <cell r="I2228">
            <v>0</v>
          </cell>
        </row>
        <row r="2229">
          <cell r="A2229">
            <v>0</v>
          </cell>
          <cell r="B2229">
            <v>0</v>
          </cell>
          <cell r="C2229" t="str">
            <v>Nhân công</v>
          </cell>
          <cell r="D2229">
            <v>0</v>
          </cell>
          <cell r="E2229">
            <v>0</v>
          </cell>
          <cell r="F2229">
            <v>0</v>
          </cell>
          <cell r="G2229">
            <v>0</v>
          </cell>
          <cell r="H2229">
            <v>0</v>
          </cell>
          <cell r="I2229">
            <v>0</v>
          </cell>
        </row>
        <row r="2230">
          <cell r="A2230">
            <v>0</v>
          </cell>
          <cell r="B2230" t="str">
            <v>KS3</v>
          </cell>
          <cell r="C2230" t="str">
            <v>Kỹ sư bậc 3,0/8</v>
          </cell>
          <cell r="D2230" t="str">
            <v>công</v>
          </cell>
          <cell r="E2230">
            <v>1.54</v>
          </cell>
          <cell r="F2230">
            <v>213300</v>
          </cell>
          <cell r="G2230">
            <v>0</v>
          </cell>
          <cell r="H2230">
            <v>328482</v>
          </cell>
          <cell r="I2230">
            <v>0</v>
          </cell>
        </row>
        <row r="2231">
          <cell r="A2231">
            <v>0</v>
          </cell>
          <cell r="B2231" t="str">
            <v>N4407</v>
          </cell>
          <cell r="C2231" t="str">
            <v xml:space="preserve"> Nhân công bậc 4,0/7 - Nhóm 4</v>
          </cell>
          <cell r="D2231" t="str">
            <v>công</v>
          </cell>
          <cell r="E2231">
            <v>0.66</v>
          </cell>
          <cell r="F2231">
            <v>257269.73684210525</v>
          </cell>
          <cell r="G2231">
            <v>0</v>
          </cell>
          <cell r="H2231">
            <v>169798.02631578947</v>
          </cell>
          <cell r="I2231">
            <v>0</v>
          </cell>
        </row>
        <row r="2232">
          <cell r="A2232">
            <v>0</v>
          </cell>
          <cell r="B2232">
            <v>0</v>
          </cell>
          <cell r="C2232" t="str">
            <v>Máy thi công</v>
          </cell>
          <cell r="D2232">
            <v>0</v>
          </cell>
          <cell r="E2232">
            <v>0</v>
          </cell>
          <cell r="F2232">
            <v>0</v>
          </cell>
          <cell r="G2232">
            <v>0</v>
          </cell>
          <cell r="H2232">
            <v>0</v>
          </cell>
          <cell r="I2232">
            <v>0</v>
          </cell>
        </row>
        <row r="2233">
          <cell r="A2233">
            <v>0</v>
          </cell>
          <cell r="B2233" t="str">
            <v>M203.0025</v>
          </cell>
          <cell r="C2233" t="str">
            <v>Megôm met</v>
          </cell>
          <cell r="D2233" t="str">
            <v>ca</v>
          </cell>
          <cell r="E2233">
            <v>2.5000000000000001E-2</v>
          </cell>
          <cell r="F2233">
            <v>40127.500000000007</v>
          </cell>
          <cell r="G2233">
            <v>0</v>
          </cell>
          <cell r="H2233">
            <v>0</v>
          </cell>
          <cell r="I2233">
            <v>1003.1875000000002</v>
          </cell>
        </row>
        <row r="2234">
          <cell r="A2234">
            <v>0</v>
          </cell>
          <cell r="B2234" t="str">
            <v>M203.0026</v>
          </cell>
          <cell r="C2234" t="str">
            <v>Thiết bị kiểm tra áp lực</v>
          </cell>
          <cell r="D2234" t="str">
            <v>ca</v>
          </cell>
          <cell r="E2234">
            <v>3.2000000000000001E-2</v>
          </cell>
          <cell r="F2234">
            <v>68673.181818181838</v>
          </cell>
          <cell r="G2234">
            <v>0</v>
          </cell>
          <cell r="H2234">
            <v>0</v>
          </cell>
          <cell r="I2234">
            <v>2197.5418181818191</v>
          </cell>
        </row>
        <row r="2235">
          <cell r="A2235" t="str">
            <v>EG.10010</v>
          </cell>
          <cell r="B2235">
            <v>0</v>
          </cell>
          <cell r="C2235" t="str">
            <v>Thí nghiệm mạch cấp nguồn AC-DC ( ngăn thiết bị )</v>
          </cell>
          <cell r="D2235" t="str">
            <v>H. Thống</v>
          </cell>
          <cell r="E2235">
            <v>0</v>
          </cell>
          <cell r="F2235">
            <v>0</v>
          </cell>
          <cell r="G2235">
            <v>4838.0383636363631</v>
          </cell>
          <cell r="H2235">
            <v>777360</v>
          </cell>
          <cell r="I2235">
            <v>5015.9375000000009</v>
          </cell>
        </row>
        <row r="2236">
          <cell r="A2236">
            <v>0</v>
          </cell>
          <cell r="B2236">
            <v>0</v>
          </cell>
          <cell r="C2236" t="str">
            <v>Vật liệu</v>
          </cell>
          <cell r="D2236">
            <v>0</v>
          </cell>
          <cell r="E2236">
            <v>0</v>
          </cell>
          <cell r="F2236">
            <v>0</v>
          </cell>
          <cell r="G2236">
            <v>0</v>
          </cell>
          <cell r="H2236">
            <v>0</v>
          </cell>
          <cell r="I2236">
            <v>0</v>
          </cell>
        </row>
        <row r="2237">
          <cell r="A2237">
            <v>0</v>
          </cell>
          <cell r="B2237" t="str">
            <v>VL221</v>
          </cell>
          <cell r="C2237" t="str">
            <v>Điện năng</v>
          </cell>
          <cell r="D2237" t="str">
            <v>Kwh</v>
          </cell>
          <cell r="E2237">
            <v>0.2</v>
          </cell>
          <cell r="F2237">
            <v>1622.01</v>
          </cell>
          <cell r="G2237">
            <v>324.40200000000004</v>
          </cell>
          <cell r="H2237">
            <v>0</v>
          </cell>
          <cell r="I2237">
            <v>0</v>
          </cell>
        </row>
        <row r="2238">
          <cell r="A2238">
            <v>0</v>
          </cell>
          <cell r="B2238" t="str">
            <v>VL198</v>
          </cell>
          <cell r="C2238" t="str">
            <v>Dây điện 2x1,5mm2</v>
          </cell>
          <cell r="D2238" t="str">
            <v>m</v>
          </cell>
          <cell r="E2238">
            <v>0.5</v>
          </cell>
          <cell r="F2238">
            <v>9027.2727272727261</v>
          </cell>
          <cell r="G2238">
            <v>4513.6363636363631</v>
          </cell>
          <cell r="H2238">
            <v>0</v>
          </cell>
          <cell r="I2238">
            <v>0</v>
          </cell>
        </row>
        <row r="2239">
          <cell r="A2239">
            <v>0</v>
          </cell>
          <cell r="B2239">
            <v>0</v>
          </cell>
          <cell r="C2239" t="str">
            <v>Nhân công</v>
          </cell>
          <cell r="D2239">
            <v>0</v>
          </cell>
          <cell r="E2239">
            <v>0</v>
          </cell>
          <cell r="F2239">
            <v>0</v>
          </cell>
          <cell r="G2239">
            <v>0</v>
          </cell>
          <cell r="H2239">
            <v>0</v>
          </cell>
          <cell r="I2239">
            <v>0</v>
          </cell>
        </row>
        <row r="2240">
          <cell r="A2240">
            <v>0</v>
          </cell>
          <cell r="B2240" t="str">
            <v>KS4</v>
          </cell>
          <cell r="C2240" t="str">
            <v>Kỹ sư bậc 4,0/8</v>
          </cell>
          <cell r="D2240" t="str">
            <v>công</v>
          </cell>
          <cell r="E2240">
            <v>3.28</v>
          </cell>
          <cell r="F2240">
            <v>237000</v>
          </cell>
          <cell r="G2240">
            <v>0</v>
          </cell>
          <cell r="H2240">
            <v>777360</v>
          </cell>
          <cell r="I2240">
            <v>0</v>
          </cell>
        </row>
        <row r="2241">
          <cell r="A2241">
            <v>0</v>
          </cell>
          <cell r="B2241">
            <v>0</v>
          </cell>
          <cell r="C2241" t="str">
            <v>Máy thi công</v>
          </cell>
          <cell r="D2241">
            <v>0</v>
          </cell>
          <cell r="E2241">
            <v>0</v>
          </cell>
          <cell r="F2241">
            <v>0</v>
          </cell>
          <cell r="G2241">
            <v>0</v>
          </cell>
          <cell r="H2241">
            <v>0</v>
          </cell>
          <cell r="I2241">
            <v>0</v>
          </cell>
        </row>
        <row r="2242">
          <cell r="A2242">
            <v>0</v>
          </cell>
          <cell r="B2242" t="str">
            <v>M203.0002</v>
          </cell>
          <cell r="C2242" t="str">
            <v>Bộ nguồn AC-DC</v>
          </cell>
          <cell r="D2242" t="str">
            <v>ca</v>
          </cell>
          <cell r="E2242">
            <v>0</v>
          </cell>
          <cell r="F2242">
            <v>39763.181818181831</v>
          </cell>
          <cell r="G2242">
            <v>0</v>
          </cell>
          <cell r="H2242">
            <v>0</v>
          </cell>
          <cell r="I2242">
            <v>0</v>
          </cell>
        </row>
        <row r="2243">
          <cell r="A2243">
            <v>0</v>
          </cell>
          <cell r="B2243" t="str">
            <v>M203.0025</v>
          </cell>
          <cell r="C2243" t="str">
            <v>Megôm met</v>
          </cell>
          <cell r="D2243" t="str">
            <v>ca</v>
          </cell>
          <cell r="E2243">
            <v>0.125</v>
          </cell>
          <cell r="F2243">
            <v>40127.500000000007</v>
          </cell>
          <cell r="G2243">
            <v>0</v>
          </cell>
          <cell r="H2243">
            <v>0</v>
          </cell>
          <cell r="I2243">
            <v>5015.9375000000009</v>
          </cell>
        </row>
        <row r="2244">
          <cell r="A2244" t="str">
            <v>EG.10020</v>
          </cell>
          <cell r="B2244">
            <v>0</v>
          </cell>
          <cell r="C2244" t="str">
            <v>Thí nghiệm mạch điện áp ( MBĐA 3 pha )</v>
          </cell>
          <cell r="D2244" t="str">
            <v>H. Thống</v>
          </cell>
          <cell r="E2244">
            <v>0</v>
          </cell>
          <cell r="F2244">
            <v>0</v>
          </cell>
          <cell r="G2244">
            <v>4838.0383636363631</v>
          </cell>
          <cell r="H2244">
            <v>1722990</v>
          </cell>
          <cell r="I2244">
            <v>14956.73295454546</v>
          </cell>
        </row>
        <row r="2245">
          <cell r="A2245">
            <v>0</v>
          </cell>
          <cell r="B2245">
            <v>0</v>
          </cell>
          <cell r="C2245" t="str">
            <v>Vật liệu</v>
          </cell>
          <cell r="D2245">
            <v>0</v>
          </cell>
          <cell r="E2245">
            <v>0</v>
          </cell>
          <cell r="F2245">
            <v>0</v>
          </cell>
          <cell r="G2245">
            <v>0</v>
          </cell>
          <cell r="H2245">
            <v>0</v>
          </cell>
          <cell r="I2245">
            <v>0</v>
          </cell>
        </row>
        <row r="2246">
          <cell r="A2246">
            <v>0</v>
          </cell>
          <cell r="B2246" t="str">
            <v>VL221</v>
          </cell>
          <cell r="C2246" t="str">
            <v>Điện năng</v>
          </cell>
          <cell r="D2246" t="str">
            <v>Kwh</v>
          </cell>
          <cell r="E2246">
            <v>0.2</v>
          </cell>
          <cell r="F2246">
            <v>1622.01</v>
          </cell>
          <cell r="G2246">
            <v>324.40200000000004</v>
          </cell>
          <cell r="H2246">
            <v>0</v>
          </cell>
          <cell r="I2246">
            <v>0</v>
          </cell>
        </row>
        <row r="2247">
          <cell r="A2247">
            <v>0</v>
          </cell>
          <cell r="B2247" t="str">
            <v>VL198</v>
          </cell>
          <cell r="C2247" t="str">
            <v>Dây điện 2x1,5mm2</v>
          </cell>
          <cell r="D2247" t="str">
            <v>m</v>
          </cell>
          <cell r="E2247">
            <v>0.5</v>
          </cell>
          <cell r="F2247">
            <v>9027.2727272727261</v>
          </cell>
          <cell r="G2247">
            <v>4513.6363636363631</v>
          </cell>
          <cell r="H2247">
            <v>0</v>
          </cell>
          <cell r="I2247">
            <v>0</v>
          </cell>
        </row>
        <row r="2248">
          <cell r="A2248">
            <v>0</v>
          </cell>
          <cell r="B2248">
            <v>0</v>
          </cell>
          <cell r="C2248" t="str">
            <v>Nhân công</v>
          </cell>
          <cell r="D2248">
            <v>0</v>
          </cell>
          <cell r="E2248">
            <v>0</v>
          </cell>
          <cell r="F2248">
            <v>0</v>
          </cell>
          <cell r="G2248">
            <v>0</v>
          </cell>
          <cell r="H2248">
            <v>0</v>
          </cell>
          <cell r="I2248">
            <v>0</v>
          </cell>
        </row>
        <row r="2249">
          <cell r="A2249">
            <v>0</v>
          </cell>
          <cell r="B2249" t="str">
            <v>KS4</v>
          </cell>
          <cell r="C2249" t="str">
            <v>Kỹ sư bậc 4,0/8</v>
          </cell>
          <cell r="D2249" t="str">
            <v>công</v>
          </cell>
          <cell r="E2249">
            <v>7.27</v>
          </cell>
          <cell r="F2249">
            <v>237000</v>
          </cell>
          <cell r="G2249">
            <v>0</v>
          </cell>
          <cell r="H2249">
            <v>1722990</v>
          </cell>
          <cell r="I2249">
            <v>0</v>
          </cell>
        </row>
        <row r="2250">
          <cell r="A2250">
            <v>0</v>
          </cell>
          <cell r="B2250">
            <v>0</v>
          </cell>
          <cell r="C2250" t="str">
            <v>Máy thi công</v>
          </cell>
          <cell r="D2250">
            <v>0</v>
          </cell>
          <cell r="E2250">
            <v>0</v>
          </cell>
          <cell r="F2250">
            <v>0</v>
          </cell>
          <cell r="G2250">
            <v>0</v>
          </cell>
          <cell r="H2250">
            <v>0</v>
          </cell>
          <cell r="I2250">
            <v>0</v>
          </cell>
        </row>
        <row r="2251">
          <cell r="A2251">
            <v>0</v>
          </cell>
          <cell r="B2251" t="str">
            <v>M203.0002</v>
          </cell>
          <cell r="C2251" t="str">
            <v>Bộ nguồn AC-DC</v>
          </cell>
          <cell r="D2251" t="str">
            <v>ca</v>
          </cell>
          <cell r="E2251">
            <v>0.25</v>
          </cell>
          <cell r="F2251">
            <v>39763.181818181831</v>
          </cell>
          <cell r="G2251">
            <v>0</v>
          </cell>
          <cell r="H2251">
            <v>0</v>
          </cell>
          <cell r="I2251">
            <v>9940.7954545454577</v>
          </cell>
        </row>
        <row r="2252">
          <cell r="A2252">
            <v>0</v>
          </cell>
          <cell r="B2252" t="str">
            <v>M203.0025</v>
          </cell>
          <cell r="C2252" t="str">
            <v>Megôm met</v>
          </cell>
          <cell r="D2252" t="str">
            <v>ca</v>
          </cell>
          <cell r="E2252">
            <v>0.125</v>
          </cell>
          <cell r="F2252">
            <v>40127.500000000007</v>
          </cell>
          <cell r="G2252">
            <v>0</v>
          </cell>
          <cell r="H2252">
            <v>0</v>
          </cell>
          <cell r="I2252">
            <v>5015.9375000000009</v>
          </cell>
        </row>
        <row r="2253">
          <cell r="A2253" t="str">
            <v>EG.10030</v>
          </cell>
          <cell r="B2253">
            <v>0</v>
          </cell>
          <cell r="C2253" t="str">
            <v>Thí nghiệm mạch tín hiệu ( ngăn thiết bị )</v>
          </cell>
          <cell r="D2253" t="str">
            <v>H. Thống</v>
          </cell>
          <cell r="E2253">
            <v>0</v>
          </cell>
          <cell r="F2253">
            <v>0</v>
          </cell>
          <cell r="G2253">
            <v>4838.0383636363631</v>
          </cell>
          <cell r="H2253">
            <v>1478880</v>
          </cell>
          <cell r="I2253">
            <v>5015.9375000000009</v>
          </cell>
        </row>
        <row r="2254">
          <cell r="A2254">
            <v>0</v>
          </cell>
          <cell r="B2254">
            <v>0</v>
          </cell>
          <cell r="C2254" t="str">
            <v>Vật liệu</v>
          </cell>
          <cell r="D2254">
            <v>0</v>
          </cell>
          <cell r="E2254">
            <v>0</v>
          </cell>
          <cell r="F2254">
            <v>0</v>
          </cell>
          <cell r="G2254">
            <v>0</v>
          </cell>
          <cell r="H2254">
            <v>0</v>
          </cell>
          <cell r="I2254">
            <v>0</v>
          </cell>
        </row>
        <row r="2255">
          <cell r="A2255">
            <v>0</v>
          </cell>
          <cell r="B2255" t="str">
            <v>VL221</v>
          </cell>
          <cell r="C2255" t="str">
            <v>Điện năng</v>
          </cell>
          <cell r="D2255" t="str">
            <v>Kwh</v>
          </cell>
          <cell r="E2255">
            <v>0.2</v>
          </cell>
          <cell r="F2255">
            <v>1622.01</v>
          </cell>
          <cell r="G2255">
            <v>324.40200000000004</v>
          </cell>
          <cell r="H2255">
            <v>0</v>
          </cell>
          <cell r="I2255">
            <v>0</v>
          </cell>
        </row>
        <row r="2256">
          <cell r="A2256">
            <v>0</v>
          </cell>
          <cell r="B2256" t="str">
            <v>VL198</v>
          </cell>
          <cell r="C2256" t="str">
            <v>Dây điện 2x1,5mm2</v>
          </cell>
          <cell r="D2256" t="str">
            <v>m</v>
          </cell>
          <cell r="E2256">
            <v>0.5</v>
          </cell>
          <cell r="F2256">
            <v>9027.2727272727261</v>
          </cell>
          <cell r="G2256">
            <v>4513.6363636363631</v>
          </cell>
          <cell r="H2256">
            <v>0</v>
          </cell>
          <cell r="I2256">
            <v>0</v>
          </cell>
        </row>
        <row r="2257">
          <cell r="A2257">
            <v>0</v>
          </cell>
          <cell r="B2257">
            <v>0</v>
          </cell>
          <cell r="C2257" t="str">
            <v>Nhân công</v>
          </cell>
          <cell r="D2257">
            <v>0</v>
          </cell>
          <cell r="E2257">
            <v>0</v>
          </cell>
          <cell r="F2257">
            <v>0</v>
          </cell>
          <cell r="G2257">
            <v>0</v>
          </cell>
          <cell r="H2257">
            <v>0</v>
          </cell>
          <cell r="I2257">
            <v>0</v>
          </cell>
        </row>
        <row r="2258">
          <cell r="A2258">
            <v>0</v>
          </cell>
          <cell r="B2258" t="str">
            <v>KS4</v>
          </cell>
          <cell r="C2258" t="str">
            <v>Kỹ sư bậc 4,0/8</v>
          </cell>
          <cell r="D2258" t="str">
            <v>công</v>
          </cell>
          <cell r="E2258">
            <v>6.24</v>
          </cell>
          <cell r="F2258">
            <v>237000</v>
          </cell>
          <cell r="G2258">
            <v>0</v>
          </cell>
          <cell r="H2258">
            <v>1478880</v>
          </cell>
          <cell r="I2258">
            <v>0</v>
          </cell>
        </row>
        <row r="2259">
          <cell r="A2259">
            <v>0</v>
          </cell>
          <cell r="B2259">
            <v>0</v>
          </cell>
          <cell r="C2259" t="str">
            <v>Máy thi công</v>
          </cell>
          <cell r="D2259">
            <v>0</v>
          </cell>
          <cell r="E2259">
            <v>0</v>
          </cell>
          <cell r="F2259">
            <v>0</v>
          </cell>
          <cell r="G2259">
            <v>0</v>
          </cell>
          <cell r="H2259">
            <v>0</v>
          </cell>
          <cell r="I2259">
            <v>0</v>
          </cell>
        </row>
        <row r="2260">
          <cell r="A2260">
            <v>0</v>
          </cell>
          <cell r="B2260" t="str">
            <v>M203.0002</v>
          </cell>
          <cell r="C2260" t="str">
            <v>Bộ nguồn AC-DC</v>
          </cell>
          <cell r="D2260" t="str">
            <v>ca</v>
          </cell>
          <cell r="E2260">
            <v>0</v>
          </cell>
          <cell r="F2260">
            <v>39763.181818181831</v>
          </cell>
          <cell r="G2260">
            <v>0</v>
          </cell>
          <cell r="H2260">
            <v>0</v>
          </cell>
          <cell r="I2260">
            <v>0</v>
          </cell>
        </row>
        <row r="2261">
          <cell r="A2261">
            <v>0</v>
          </cell>
          <cell r="B2261" t="str">
            <v>M203.0025</v>
          </cell>
          <cell r="C2261" t="str">
            <v>Megôm met</v>
          </cell>
          <cell r="D2261" t="str">
            <v>ca</v>
          </cell>
          <cell r="E2261">
            <v>0.125</v>
          </cell>
          <cell r="F2261">
            <v>40127.500000000007</v>
          </cell>
          <cell r="G2261">
            <v>0</v>
          </cell>
          <cell r="H2261">
            <v>0</v>
          </cell>
          <cell r="I2261">
            <v>5015.9375000000009</v>
          </cell>
        </row>
        <row r="2262">
          <cell r="A2262" t="str">
            <v>EG.10040</v>
          </cell>
          <cell r="B2262">
            <v>0</v>
          </cell>
          <cell r="C2262" t="str">
            <v>Thí nghiệm mạch dòng điện ( Cuộn nhị thứ của biến dòng )</v>
          </cell>
          <cell r="D2262" t="str">
            <v>H. Thống</v>
          </cell>
          <cell r="E2262">
            <v>0</v>
          </cell>
          <cell r="F2262">
            <v>0</v>
          </cell>
          <cell r="G2262">
            <v>4838.0383636363631</v>
          </cell>
          <cell r="H2262">
            <v>995400</v>
          </cell>
          <cell r="I2262">
            <v>12292.599772727277</v>
          </cell>
        </row>
        <row r="2263">
          <cell r="A2263">
            <v>0</v>
          </cell>
          <cell r="B2263">
            <v>0</v>
          </cell>
          <cell r="C2263" t="str">
            <v>Vật liệu</v>
          </cell>
          <cell r="D2263">
            <v>0</v>
          </cell>
          <cell r="E2263">
            <v>0</v>
          </cell>
          <cell r="F2263">
            <v>0</v>
          </cell>
          <cell r="G2263">
            <v>0</v>
          </cell>
          <cell r="H2263">
            <v>0</v>
          </cell>
          <cell r="I2263">
            <v>0</v>
          </cell>
        </row>
        <row r="2264">
          <cell r="A2264">
            <v>0</v>
          </cell>
          <cell r="B2264" t="str">
            <v>VL221</v>
          </cell>
          <cell r="C2264" t="str">
            <v>Điện năng</v>
          </cell>
          <cell r="D2264" t="str">
            <v>Kwh</v>
          </cell>
          <cell r="E2264">
            <v>0.2</v>
          </cell>
          <cell r="F2264">
            <v>1622.01</v>
          </cell>
          <cell r="G2264">
            <v>324.40200000000004</v>
          </cell>
          <cell r="H2264">
            <v>0</v>
          </cell>
          <cell r="I2264">
            <v>0</v>
          </cell>
        </row>
        <row r="2265">
          <cell r="A2265">
            <v>0</v>
          </cell>
          <cell r="B2265" t="str">
            <v>VL198</v>
          </cell>
          <cell r="C2265" t="str">
            <v>Dây điện 2x1,5mm2</v>
          </cell>
          <cell r="D2265" t="str">
            <v>m</v>
          </cell>
          <cell r="E2265">
            <v>0.5</v>
          </cell>
          <cell r="F2265">
            <v>9027.2727272727261</v>
          </cell>
          <cell r="G2265">
            <v>4513.6363636363631</v>
          </cell>
          <cell r="H2265">
            <v>0</v>
          </cell>
          <cell r="I2265">
            <v>0</v>
          </cell>
        </row>
        <row r="2266">
          <cell r="A2266">
            <v>0</v>
          </cell>
          <cell r="B2266">
            <v>0</v>
          </cell>
          <cell r="C2266" t="str">
            <v>Nhân công</v>
          </cell>
          <cell r="D2266">
            <v>0</v>
          </cell>
          <cell r="E2266">
            <v>0</v>
          </cell>
          <cell r="F2266">
            <v>0</v>
          </cell>
          <cell r="G2266">
            <v>0</v>
          </cell>
          <cell r="H2266">
            <v>0</v>
          </cell>
          <cell r="I2266">
            <v>0</v>
          </cell>
        </row>
        <row r="2267">
          <cell r="A2267">
            <v>0</v>
          </cell>
          <cell r="B2267" t="str">
            <v>KS4</v>
          </cell>
          <cell r="C2267" t="str">
            <v>Kỹ sư bậc 4,0/8</v>
          </cell>
          <cell r="D2267" t="str">
            <v>công</v>
          </cell>
          <cell r="E2267">
            <v>4.2</v>
          </cell>
          <cell r="F2267">
            <v>237000</v>
          </cell>
          <cell r="G2267">
            <v>0</v>
          </cell>
          <cell r="H2267">
            <v>995400</v>
          </cell>
          <cell r="I2267">
            <v>0</v>
          </cell>
        </row>
        <row r="2268">
          <cell r="A2268">
            <v>0</v>
          </cell>
          <cell r="B2268">
            <v>0</v>
          </cell>
          <cell r="C2268" t="str">
            <v>Máy thi công</v>
          </cell>
          <cell r="D2268">
            <v>0</v>
          </cell>
          <cell r="E2268">
            <v>0</v>
          </cell>
          <cell r="F2268">
            <v>0</v>
          </cell>
          <cell r="G2268">
            <v>0</v>
          </cell>
          <cell r="H2268">
            <v>0</v>
          </cell>
          <cell r="I2268">
            <v>0</v>
          </cell>
        </row>
        <row r="2269">
          <cell r="A2269">
            <v>0</v>
          </cell>
          <cell r="B2269" t="str">
            <v>M203.0002</v>
          </cell>
          <cell r="C2269" t="str">
            <v>Bộ nguồn AC-DC</v>
          </cell>
          <cell r="D2269" t="str">
            <v>ca</v>
          </cell>
          <cell r="E2269">
            <v>0.183</v>
          </cell>
          <cell r="F2269">
            <v>39763.181818181831</v>
          </cell>
          <cell r="G2269">
            <v>0</v>
          </cell>
          <cell r="H2269">
            <v>0</v>
          </cell>
          <cell r="I2269">
            <v>7276.6622727272752</v>
          </cell>
        </row>
        <row r="2270">
          <cell r="A2270">
            <v>0</v>
          </cell>
          <cell r="B2270" t="str">
            <v>M203.0025</v>
          </cell>
          <cell r="C2270" t="str">
            <v>Megôm met</v>
          </cell>
          <cell r="D2270" t="str">
            <v>ca</v>
          </cell>
          <cell r="E2270">
            <v>0.125</v>
          </cell>
          <cell r="F2270">
            <v>40127.500000000007</v>
          </cell>
          <cell r="G2270">
            <v>0</v>
          </cell>
          <cell r="H2270">
            <v>0</v>
          </cell>
          <cell r="I2270">
            <v>5015.9375000000009</v>
          </cell>
        </row>
        <row r="2271">
          <cell r="A2271" t="str">
            <v>EG.20010</v>
          </cell>
          <cell r="B2271">
            <v>0</v>
          </cell>
          <cell r="C2271" t="str">
            <v>Thí nghiệm mạch điều khiển máy cắt 3 pha điện áp 3-35kV</v>
          </cell>
          <cell r="D2271" t="str">
            <v>H. Thống</v>
          </cell>
          <cell r="E2271">
            <v>0</v>
          </cell>
          <cell r="F2271">
            <v>0</v>
          </cell>
          <cell r="G2271">
            <v>4835.1392727272723</v>
          </cell>
          <cell r="H2271">
            <v>983550.00000000012</v>
          </cell>
          <cell r="I2271">
            <v>10136.280000000002</v>
          </cell>
        </row>
        <row r="2272">
          <cell r="A2272">
            <v>0</v>
          </cell>
          <cell r="B2272">
            <v>0</v>
          </cell>
          <cell r="C2272" t="str">
            <v>Vật liệu</v>
          </cell>
          <cell r="D2272">
            <v>0</v>
          </cell>
          <cell r="E2272">
            <v>0</v>
          </cell>
          <cell r="F2272">
            <v>0</v>
          </cell>
          <cell r="G2272">
            <v>0</v>
          </cell>
          <cell r="H2272">
            <v>0</v>
          </cell>
          <cell r="I2272">
            <v>0</v>
          </cell>
        </row>
        <row r="2273">
          <cell r="A2273">
            <v>0</v>
          </cell>
          <cell r="B2273" t="str">
            <v>VL221</v>
          </cell>
          <cell r="C2273" t="str">
            <v>Điện năng</v>
          </cell>
          <cell r="D2273" t="str">
            <v>Kwh</v>
          </cell>
          <cell r="E2273">
            <v>1.2</v>
          </cell>
          <cell r="F2273">
            <v>1622.01</v>
          </cell>
          <cell r="G2273">
            <v>1946.4119999999998</v>
          </cell>
          <cell r="H2273">
            <v>0</v>
          </cell>
          <cell r="I2273">
            <v>0</v>
          </cell>
        </row>
        <row r="2274">
          <cell r="A2274">
            <v>0</v>
          </cell>
          <cell r="B2274" t="str">
            <v>VL198</v>
          </cell>
          <cell r="C2274" t="str">
            <v>Dây điện 2x1,5mm2</v>
          </cell>
          <cell r="D2274" t="str">
            <v>m</v>
          </cell>
          <cell r="E2274">
            <v>0.32</v>
          </cell>
          <cell r="F2274">
            <v>9027.2727272727261</v>
          </cell>
          <cell r="G2274">
            <v>2888.7272727272725</v>
          </cell>
          <cell r="H2274">
            <v>0</v>
          </cell>
          <cell r="I2274">
            <v>0</v>
          </cell>
        </row>
        <row r="2275">
          <cell r="A2275">
            <v>0</v>
          </cell>
          <cell r="B2275">
            <v>0</v>
          </cell>
          <cell r="C2275" t="str">
            <v>Nhân công</v>
          </cell>
          <cell r="D2275">
            <v>0</v>
          </cell>
          <cell r="E2275">
            <v>0</v>
          </cell>
          <cell r="F2275">
            <v>0</v>
          </cell>
          <cell r="G2275">
            <v>0</v>
          </cell>
          <cell r="H2275">
            <v>0</v>
          </cell>
          <cell r="I2275">
            <v>0</v>
          </cell>
        </row>
        <row r="2276">
          <cell r="A2276">
            <v>0</v>
          </cell>
          <cell r="B2276" t="str">
            <v>KS4</v>
          </cell>
          <cell r="C2276" t="str">
            <v>Kỹ sư bậc 4,0/8</v>
          </cell>
          <cell r="D2276" t="str">
            <v>công</v>
          </cell>
          <cell r="E2276">
            <v>4.1500000000000004</v>
          </cell>
          <cell r="F2276">
            <v>237000</v>
          </cell>
          <cell r="G2276">
            <v>0</v>
          </cell>
          <cell r="H2276">
            <v>983550.00000000012</v>
          </cell>
          <cell r="I2276">
            <v>0</v>
          </cell>
        </row>
        <row r="2277">
          <cell r="A2277">
            <v>0</v>
          </cell>
          <cell r="B2277">
            <v>0</v>
          </cell>
          <cell r="C2277" t="str">
            <v>Máy thi công</v>
          </cell>
          <cell r="D2277">
            <v>0</v>
          </cell>
          <cell r="E2277">
            <v>0</v>
          </cell>
          <cell r="F2277">
            <v>0</v>
          </cell>
          <cell r="G2277">
            <v>0</v>
          </cell>
          <cell r="H2277">
            <v>0</v>
          </cell>
          <cell r="I2277">
            <v>0</v>
          </cell>
        </row>
        <row r="2278">
          <cell r="A2278">
            <v>0</v>
          </cell>
          <cell r="B2278" t="str">
            <v>M203.0002</v>
          </cell>
          <cell r="C2278" t="str">
            <v>Bộ nguồn AC-DC</v>
          </cell>
          <cell r="D2278" t="str">
            <v>ca</v>
          </cell>
          <cell r="E2278">
            <v>0.154</v>
          </cell>
          <cell r="F2278">
            <v>39763.181818181831</v>
          </cell>
          <cell r="G2278">
            <v>0</v>
          </cell>
          <cell r="H2278">
            <v>0</v>
          </cell>
          <cell r="I2278">
            <v>6123.5300000000016</v>
          </cell>
        </row>
        <row r="2279">
          <cell r="A2279">
            <v>0</v>
          </cell>
          <cell r="B2279" t="str">
            <v>M203.0025</v>
          </cell>
          <cell r="C2279" t="str">
            <v>Megôm met</v>
          </cell>
          <cell r="D2279" t="str">
            <v>ca</v>
          </cell>
          <cell r="E2279">
            <v>0.1</v>
          </cell>
          <cell r="F2279">
            <v>40127.500000000007</v>
          </cell>
          <cell r="G2279">
            <v>0</v>
          </cell>
          <cell r="H2279">
            <v>0</v>
          </cell>
          <cell r="I2279">
            <v>4012.7500000000009</v>
          </cell>
        </row>
        <row r="2280">
          <cell r="A2280" t="str">
            <v>EG.20020</v>
          </cell>
          <cell r="B2280">
            <v>0</v>
          </cell>
          <cell r="C2280" t="str">
            <v>Thí nghiệm mạch điều khiển máy cắt 3 pha điện áp 66-110kV</v>
          </cell>
          <cell r="D2280" t="str">
            <v>H. Thống</v>
          </cell>
          <cell r="E2280">
            <v>0</v>
          </cell>
          <cell r="F2280">
            <v>0</v>
          </cell>
          <cell r="G2280">
            <v>6043.9240909090904</v>
          </cell>
          <cell r="H2280">
            <v>1227660</v>
          </cell>
          <cell r="I2280">
            <v>12650.468409090912</v>
          </cell>
        </row>
        <row r="2281">
          <cell r="A2281">
            <v>0</v>
          </cell>
          <cell r="B2281">
            <v>0</v>
          </cell>
          <cell r="C2281" t="str">
            <v>Vật liệu</v>
          </cell>
          <cell r="D2281">
            <v>0</v>
          </cell>
          <cell r="E2281">
            <v>0</v>
          </cell>
          <cell r="F2281">
            <v>0</v>
          </cell>
          <cell r="G2281">
            <v>0</v>
          </cell>
          <cell r="H2281">
            <v>0</v>
          </cell>
          <cell r="I2281">
            <v>0</v>
          </cell>
        </row>
        <row r="2282">
          <cell r="A2282">
            <v>0</v>
          </cell>
          <cell r="B2282" t="str">
            <v>VL221</v>
          </cell>
          <cell r="C2282" t="str">
            <v>Điện năng</v>
          </cell>
          <cell r="D2282" t="str">
            <v>Kwh</v>
          </cell>
          <cell r="E2282">
            <v>1.5</v>
          </cell>
          <cell r="F2282">
            <v>1622.01</v>
          </cell>
          <cell r="G2282">
            <v>2433.0149999999999</v>
          </cell>
          <cell r="H2282">
            <v>0</v>
          </cell>
          <cell r="I2282">
            <v>0</v>
          </cell>
        </row>
        <row r="2283">
          <cell r="A2283">
            <v>0</v>
          </cell>
          <cell r="B2283" t="str">
            <v>VL198</v>
          </cell>
          <cell r="C2283" t="str">
            <v>Dây điện 2x1,5mm2</v>
          </cell>
          <cell r="D2283" t="str">
            <v>m</v>
          </cell>
          <cell r="E2283">
            <v>0.4</v>
          </cell>
          <cell r="F2283">
            <v>9027.2727272727261</v>
          </cell>
          <cell r="G2283">
            <v>3610.9090909090905</v>
          </cell>
          <cell r="H2283">
            <v>0</v>
          </cell>
          <cell r="I2283">
            <v>0</v>
          </cell>
        </row>
        <row r="2284">
          <cell r="A2284">
            <v>0</v>
          </cell>
          <cell r="B2284">
            <v>0</v>
          </cell>
          <cell r="C2284" t="str">
            <v>Nhân công</v>
          </cell>
          <cell r="D2284">
            <v>0</v>
          </cell>
          <cell r="E2284">
            <v>0</v>
          </cell>
          <cell r="F2284">
            <v>0</v>
          </cell>
          <cell r="G2284">
            <v>0</v>
          </cell>
          <cell r="H2284">
            <v>0</v>
          </cell>
          <cell r="I2284">
            <v>0</v>
          </cell>
        </row>
        <row r="2285">
          <cell r="A2285">
            <v>0</v>
          </cell>
          <cell r="B2285" t="str">
            <v>KS4</v>
          </cell>
          <cell r="C2285" t="str">
            <v>Kỹ sư bậc 4,0/8</v>
          </cell>
          <cell r="D2285" t="str">
            <v>công</v>
          </cell>
          <cell r="E2285">
            <v>5.18</v>
          </cell>
          <cell r="F2285">
            <v>237000</v>
          </cell>
          <cell r="G2285">
            <v>0</v>
          </cell>
          <cell r="H2285">
            <v>1227660</v>
          </cell>
          <cell r="I2285">
            <v>0</v>
          </cell>
        </row>
        <row r="2286">
          <cell r="A2286">
            <v>0</v>
          </cell>
          <cell r="B2286">
            <v>0</v>
          </cell>
          <cell r="C2286" t="str">
            <v>Máy thi công</v>
          </cell>
          <cell r="D2286">
            <v>0</v>
          </cell>
          <cell r="E2286">
            <v>0</v>
          </cell>
          <cell r="F2286">
            <v>0</v>
          </cell>
          <cell r="G2286">
            <v>0</v>
          </cell>
          <cell r="H2286">
            <v>0</v>
          </cell>
          <cell r="I2286">
            <v>0</v>
          </cell>
        </row>
        <row r="2287">
          <cell r="A2287">
            <v>0</v>
          </cell>
          <cell r="B2287" t="str">
            <v>M203.0002</v>
          </cell>
          <cell r="C2287" t="str">
            <v>Bộ nguồn AC-DC</v>
          </cell>
          <cell r="D2287" t="str">
            <v>ca</v>
          </cell>
          <cell r="E2287">
            <v>0.192</v>
          </cell>
          <cell r="F2287">
            <v>39763.181818181831</v>
          </cell>
          <cell r="G2287">
            <v>0</v>
          </cell>
          <cell r="H2287">
            <v>0</v>
          </cell>
          <cell r="I2287">
            <v>7634.5309090909113</v>
          </cell>
        </row>
        <row r="2288">
          <cell r="A2288">
            <v>0</v>
          </cell>
          <cell r="B2288" t="str">
            <v>M203.0025</v>
          </cell>
          <cell r="C2288" t="str">
            <v>Megôm met</v>
          </cell>
          <cell r="D2288" t="str">
            <v>ca</v>
          </cell>
          <cell r="E2288">
            <v>0.125</v>
          </cell>
          <cell r="F2288">
            <v>40127.500000000007</v>
          </cell>
          <cell r="G2288">
            <v>0</v>
          </cell>
          <cell r="H2288">
            <v>0</v>
          </cell>
          <cell r="I2288">
            <v>5015.9375000000009</v>
          </cell>
        </row>
        <row r="2289">
          <cell r="A2289" t="str">
            <v>EG.20030</v>
          </cell>
          <cell r="B2289">
            <v>0</v>
          </cell>
          <cell r="C2289" t="str">
            <v>Thí nghiệm mạch điều khiển máy cắt 3 pha điện áp 220-500kV</v>
          </cell>
          <cell r="D2289" t="str">
            <v>H. Thống</v>
          </cell>
          <cell r="E2289">
            <v>0</v>
          </cell>
          <cell r="F2289">
            <v>0</v>
          </cell>
          <cell r="G2289">
            <v>7554.9051136363632</v>
          </cell>
          <cell r="H2289">
            <v>1535760</v>
          </cell>
          <cell r="I2289">
            <v>15803.05363636364</v>
          </cell>
        </row>
        <row r="2290">
          <cell r="A2290">
            <v>0</v>
          </cell>
          <cell r="B2290">
            <v>0</v>
          </cell>
          <cell r="C2290" t="str">
            <v>Vật liệu</v>
          </cell>
          <cell r="D2290">
            <v>0</v>
          </cell>
          <cell r="E2290">
            <v>0</v>
          </cell>
          <cell r="F2290">
            <v>0</v>
          </cell>
          <cell r="G2290">
            <v>0</v>
          </cell>
          <cell r="H2290">
            <v>0</v>
          </cell>
          <cell r="I2290">
            <v>0</v>
          </cell>
        </row>
        <row r="2291">
          <cell r="A2291">
            <v>0</v>
          </cell>
          <cell r="B2291" t="str">
            <v>VL221</v>
          </cell>
          <cell r="C2291" t="str">
            <v>Điện năng</v>
          </cell>
          <cell r="D2291" t="str">
            <v>Kwh</v>
          </cell>
          <cell r="E2291">
            <v>1.875</v>
          </cell>
          <cell r="F2291">
            <v>1622.01</v>
          </cell>
          <cell r="G2291">
            <v>3041.2687500000002</v>
          </cell>
          <cell r="H2291">
            <v>0</v>
          </cell>
          <cell r="I2291">
            <v>0</v>
          </cell>
        </row>
        <row r="2292">
          <cell r="A2292">
            <v>0</v>
          </cell>
          <cell r="B2292" t="str">
            <v>VL198</v>
          </cell>
          <cell r="C2292" t="str">
            <v>Dây điện 2x1,5mm2</v>
          </cell>
          <cell r="D2292" t="str">
            <v>m</v>
          </cell>
          <cell r="E2292">
            <v>0.5</v>
          </cell>
          <cell r="F2292">
            <v>9027.2727272727261</v>
          </cell>
          <cell r="G2292">
            <v>4513.6363636363631</v>
          </cell>
          <cell r="H2292">
            <v>0</v>
          </cell>
          <cell r="I2292">
            <v>0</v>
          </cell>
        </row>
        <row r="2293">
          <cell r="A2293">
            <v>0</v>
          </cell>
          <cell r="B2293">
            <v>0</v>
          </cell>
          <cell r="C2293" t="str">
            <v>Nhân công</v>
          </cell>
          <cell r="D2293">
            <v>0</v>
          </cell>
          <cell r="E2293">
            <v>0</v>
          </cell>
          <cell r="F2293">
            <v>0</v>
          </cell>
          <cell r="G2293">
            <v>0</v>
          </cell>
          <cell r="H2293">
            <v>0</v>
          </cell>
          <cell r="I2293">
            <v>0</v>
          </cell>
        </row>
        <row r="2294">
          <cell r="A2294">
            <v>0</v>
          </cell>
          <cell r="B2294" t="str">
            <v>KS4</v>
          </cell>
          <cell r="C2294" t="str">
            <v>Kỹ sư bậc 4,0/8</v>
          </cell>
          <cell r="D2294" t="str">
            <v>công</v>
          </cell>
          <cell r="E2294">
            <v>6.48</v>
          </cell>
          <cell r="F2294">
            <v>237000</v>
          </cell>
          <cell r="G2294">
            <v>0</v>
          </cell>
          <cell r="H2294">
            <v>1535760</v>
          </cell>
          <cell r="I2294">
            <v>0</v>
          </cell>
        </row>
        <row r="2295">
          <cell r="A2295">
            <v>0</v>
          </cell>
          <cell r="B2295">
            <v>0</v>
          </cell>
          <cell r="C2295" t="str">
            <v>Máy thi công</v>
          </cell>
          <cell r="D2295">
            <v>0</v>
          </cell>
          <cell r="E2295">
            <v>0</v>
          </cell>
          <cell r="F2295">
            <v>0</v>
          </cell>
          <cell r="G2295">
            <v>0</v>
          </cell>
          <cell r="H2295">
            <v>0</v>
          </cell>
          <cell r="I2295">
            <v>0</v>
          </cell>
        </row>
        <row r="2296">
          <cell r="A2296">
            <v>0</v>
          </cell>
          <cell r="B2296" t="str">
            <v>M203.0002</v>
          </cell>
          <cell r="C2296" t="str">
            <v>Bộ nguồn AC-DC</v>
          </cell>
          <cell r="D2296" t="str">
            <v>ca</v>
          </cell>
          <cell r="E2296">
            <v>0.24</v>
          </cell>
          <cell r="F2296">
            <v>39763.181818181831</v>
          </cell>
          <cell r="G2296">
            <v>0</v>
          </cell>
          <cell r="H2296">
            <v>0</v>
          </cell>
          <cell r="I2296">
            <v>9543.1636363636389</v>
          </cell>
        </row>
        <row r="2297">
          <cell r="A2297">
            <v>0</v>
          </cell>
          <cell r="B2297" t="str">
            <v>M203.0025</v>
          </cell>
          <cell r="C2297" t="str">
            <v>Megôm met</v>
          </cell>
          <cell r="D2297" t="str">
            <v>ca</v>
          </cell>
          <cell r="E2297">
            <v>0.156</v>
          </cell>
          <cell r="F2297">
            <v>40127.500000000007</v>
          </cell>
          <cell r="G2297">
            <v>0</v>
          </cell>
          <cell r="H2297">
            <v>0</v>
          </cell>
          <cell r="I2297">
            <v>6259.8900000000012</v>
          </cell>
        </row>
        <row r="2298">
          <cell r="A2298" t="str">
            <v>EG.20040</v>
          </cell>
          <cell r="B2298">
            <v>0</v>
          </cell>
          <cell r="C2298" t="str">
            <v>Thí nghiệm mạch điều khiển dao cách ly 3 pha</v>
          </cell>
          <cell r="D2298" t="str">
            <v>H. Thống</v>
          </cell>
          <cell r="E2298">
            <v>0</v>
          </cell>
          <cell r="F2298">
            <v>0</v>
          </cell>
          <cell r="G2298">
            <v>3868.1114181818175</v>
          </cell>
          <cell r="H2298">
            <v>786840</v>
          </cell>
          <cell r="I2298">
            <v>8101.0713636363662</v>
          </cell>
        </row>
        <row r="2299">
          <cell r="A2299">
            <v>0</v>
          </cell>
          <cell r="B2299">
            <v>0</v>
          </cell>
          <cell r="C2299" t="str">
            <v>Vật liệu</v>
          </cell>
          <cell r="D2299">
            <v>0</v>
          </cell>
          <cell r="E2299">
            <v>0</v>
          </cell>
          <cell r="F2299">
            <v>0</v>
          </cell>
          <cell r="G2299">
            <v>0</v>
          </cell>
          <cell r="H2299">
            <v>0</v>
          </cell>
          <cell r="I2299">
            <v>0</v>
          </cell>
        </row>
        <row r="2300">
          <cell r="A2300">
            <v>0</v>
          </cell>
          <cell r="B2300" t="str">
            <v>VL221</v>
          </cell>
          <cell r="C2300" t="str">
            <v>Điện năng</v>
          </cell>
          <cell r="D2300" t="str">
            <v>Kwh</v>
          </cell>
          <cell r="E2300">
            <v>0.96</v>
          </cell>
          <cell r="F2300">
            <v>1622.01</v>
          </cell>
          <cell r="G2300">
            <v>1557.1296</v>
          </cell>
          <cell r="H2300">
            <v>0</v>
          </cell>
          <cell r="I2300">
            <v>0</v>
          </cell>
        </row>
        <row r="2301">
          <cell r="A2301">
            <v>0</v>
          </cell>
          <cell r="B2301" t="str">
            <v>VL198</v>
          </cell>
          <cell r="C2301" t="str">
            <v>Dây điện 2x1,5mm2</v>
          </cell>
          <cell r="D2301" t="str">
            <v>m</v>
          </cell>
          <cell r="E2301">
            <v>0.25600000000000001</v>
          </cell>
          <cell r="F2301">
            <v>9027.2727272727261</v>
          </cell>
          <cell r="G2301">
            <v>2310.9818181818177</v>
          </cell>
          <cell r="H2301">
            <v>0</v>
          </cell>
          <cell r="I2301">
            <v>0</v>
          </cell>
        </row>
        <row r="2302">
          <cell r="A2302">
            <v>0</v>
          </cell>
          <cell r="B2302">
            <v>0</v>
          </cell>
          <cell r="C2302" t="str">
            <v>Nhân công</v>
          </cell>
          <cell r="D2302">
            <v>0</v>
          </cell>
          <cell r="E2302">
            <v>0</v>
          </cell>
          <cell r="F2302">
            <v>0</v>
          </cell>
          <cell r="G2302">
            <v>0</v>
          </cell>
          <cell r="H2302">
            <v>0</v>
          </cell>
          <cell r="I2302">
            <v>0</v>
          </cell>
        </row>
        <row r="2303">
          <cell r="A2303">
            <v>0</v>
          </cell>
          <cell r="B2303" t="str">
            <v>KS4</v>
          </cell>
          <cell r="C2303" t="str">
            <v>Kỹ sư bậc 4,0/8</v>
          </cell>
          <cell r="D2303" t="str">
            <v>công</v>
          </cell>
          <cell r="E2303">
            <v>3.32</v>
          </cell>
          <cell r="F2303">
            <v>237000</v>
          </cell>
          <cell r="G2303">
            <v>0</v>
          </cell>
          <cell r="H2303">
            <v>786840</v>
          </cell>
          <cell r="I2303">
            <v>0</v>
          </cell>
        </row>
        <row r="2304">
          <cell r="A2304">
            <v>0</v>
          </cell>
          <cell r="B2304">
            <v>0</v>
          </cell>
          <cell r="C2304" t="str">
            <v>Máy thi công</v>
          </cell>
          <cell r="D2304">
            <v>0</v>
          </cell>
          <cell r="E2304">
            <v>0</v>
          </cell>
          <cell r="F2304">
            <v>0</v>
          </cell>
          <cell r="G2304">
            <v>0</v>
          </cell>
          <cell r="H2304">
            <v>0</v>
          </cell>
          <cell r="I2304">
            <v>0</v>
          </cell>
        </row>
        <row r="2305">
          <cell r="A2305">
            <v>0</v>
          </cell>
          <cell r="B2305" t="str">
            <v>M203.0002</v>
          </cell>
          <cell r="C2305" t="str">
            <v>Bộ nguồn AC-DC</v>
          </cell>
          <cell r="D2305" t="str">
            <v>ca</v>
          </cell>
          <cell r="E2305">
            <v>0.123</v>
          </cell>
          <cell r="F2305">
            <v>39763.181818181831</v>
          </cell>
          <cell r="G2305">
            <v>0</v>
          </cell>
          <cell r="H2305">
            <v>0</v>
          </cell>
          <cell r="I2305">
            <v>4890.8713636363655</v>
          </cell>
        </row>
        <row r="2306">
          <cell r="A2306">
            <v>0</v>
          </cell>
          <cell r="B2306" t="str">
            <v>M203.0025</v>
          </cell>
          <cell r="C2306" t="str">
            <v>Megôm met</v>
          </cell>
          <cell r="D2306" t="str">
            <v>ca</v>
          </cell>
          <cell r="E2306">
            <v>0.08</v>
          </cell>
          <cell r="F2306">
            <v>40127.500000000007</v>
          </cell>
          <cell r="G2306">
            <v>0</v>
          </cell>
          <cell r="H2306">
            <v>0</v>
          </cell>
          <cell r="I2306">
            <v>3210.2000000000007</v>
          </cell>
        </row>
        <row r="2307">
          <cell r="A2307" t="str">
            <v>EG.30010</v>
          </cell>
          <cell r="B2307">
            <v>0</v>
          </cell>
          <cell r="C2307" t="str">
            <v>Thí nghiệm mạch điều khiển nén khí</v>
          </cell>
          <cell r="D2307" t="str">
            <v>H. Thống</v>
          </cell>
          <cell r="E2307">
            <v>0</v>
          </cell>
          <cell r="F2307">
            <v>0</v>
          </cell>
          <cell r="G2307">
            <v>1238.1934336363636</v>
          </cell>
          <cell r="H2307">
            <v>402900</v>
          </cell>
          <cell r="I2307">
            <v>4514.0056818181829</v>
          </cell>
        </row>
        <row r="2308">
          <cell r="A2308">
            <v>0</v>
          </cell>
          <cell r="B2308">
            <v>0</v>
          </cell>
          <cell r="C2308" t="str">
            <v>Vật liệu</v>
          </cell>
          <cell r="D2308">
            <v>0</v>
          </cell>
          <cell r="E2308">
            <v>0</v>
          </cell>
          <cell r="F2308">
            <v>0</v>
          </cell>
          <cell r="G2308">
            <v>0</v>
          </cell>
          <cell r="H2308">
            <v>0</v>
          </cell>
          <cell r="I2308">
            <v>0</v>
          </cell>
        </row>
        <row r="2309">
          <cell r="A2309">
            <v>0</v>
          </cell>
          <cell r="B2309" t="str">
            <v>VL221</v>
          </cell>
          <cell r="C2309" t="str">
            <v>Điện năng</v>
          </cell>
          <cell r="D2309" t="str">
            <v>Kwh</v>
          </cell>
          <cell r="E2309">
            <v>0.307</v>
          </cell>
          <cell r="F2309">
            <v>1622.01</v>
          </cell>
          <cell r="G2309">
            <v>497.95706999999999</v>
          </cell>
          <cell r="H2309">
            <v>0</v>
          </cell>
          <cell r="I2309">
            <v>0</v>
          </cell>
        </row>
        <row r="2310">
          <cell r="A2310">
            <v>0</v>
          </cell>
          <cell r="B2310" t="str">
            <v>VL198</v>
          </cell>
          <cell r="C2310" t="str">
            <v>Dây điện 2x1,5mm2</v>
          </cell>
          <cell r="D2310" t="str">
            <v>m</v>
          </cell>
          <cell r="E2310">
            <v>8.2000000000000003E-2</v>
          </cell>
          <cell r="F2310">
            <v>9027.2727272727261</v>
          </cell>
          <cell r="G2310">
            <v>740.23636363636354</v>
          </cell>
          <cell r="H2310">
            <v>0</v>
          </cell>
          <cell r="I2310">
            <v>0</v>
          </cell>
        </row>
        <row r="2311">
          <cell r="A2311">
            <v>0</v>
          </cell>
          <cell r="B2311">
            <v>0</v>
          </cell>
          <cell r="C2311" t="str">
            <v>Nhân công</v>
          </cell>
          <cell r="D2311">
            <v>0</v>
          </cell>
          <cell r="E2311">
            <v>0</v>
          </cell>
          <cell r="F2311">
            <v>0</v>
          </cell>
          <cell r="G2311">
            <v>0</v>
          </cell>
          <cell r="H2311">
            <v>0</v>
          </cell>
          <cell r="I2311">
            <v>0</v>
          </cell>
        </row>
        <row r="2312">
          <cell r="A2312">
            <v>0</v>
          </cell>
          <cell r="B2312" t="str">
            <v>KS4</v>
          </cell>
          <cell r="C2312" t="str">
            <v>Kỹ sư bậc 4,0/8</v>
          </cell>
          <cell r="D2312" t="str">
            <v>công</v>
          </cell>
          <cell r="E2312">
            <v>1.7</v>
          </cell>
          <cell r="F2312">
            <v>237000</v>
          </cell>
          <cell r="G2312">
            <v>0</v>
          </cell>
          <cell r="H2312">
            <v>402900</v>
          </cell>
          <cell r="I2312">
            <v>0</v>
          </cell>
        </row>
        <row r="2313">
          <cell r="A2313">
            <v>0</v>
          </cell>
          <cell r="B2313">
            <v>0</v>
          </cell>
          <cell r="C2313" t="str">
            <v>Máy thi công</v>
          </cell>
          <cell r="D2313">
            <v>0</v>
          </cell>
          <cell r="E2313">
            <v>0</v>
          </cell>
          <cell r="F2313">
            <v>0</v>
          </cell>
          <cell r="G2313">
            <v>0</v>
          </cell>
          <cell r="H2313">
            <v>0</v>
          </cell>
          <cell r="I2313">
            <v>0</v>
          </cell>
        </row>
        <row r="2314">
          <cell r="A2314">
            <v>0</v>
          </cell>
          <cell r="B2314" t="str">
            <v>M203.0002</v>
          </cell>
          <cell r="C2314" t="str">
            <v>Bộ nguồn AC-DC</v>
          </cell>
          <cell r="D2314" t="str">
            <v>ca</v>
          </cell>
          <cell r="E2314">
            <v>5.6000000000000001E-2</v>
          </cell>
          <cell r="F2314">
            <v>39763.181818181831</v>
          </cell>
          <cell r="G2314">
            <v>0</v>
          </cell>
          <cell r="H2314">
            <v>0</v>
          </cell>
          <cell r="I2314">
            <v>2226.7381818181825</v>
          </cell>
        </row>
        <row r="2315">
          <cell r="A2315">
            <v>0</v>
          </cell>
          <cell r="B2315" t="str">
            <v>M203.0025</v>
          </cell>
          <cell r="C2315" t="str">
            <v>Megôm met</v>
          </cell>
          <cell r="D2315" t="str">
            <v>ca</v>
          </cell>
          <cell r="E2315">
            <v>5.7000000000000002E-2</v>
          </cell>
          <cell r="F2315">
            <v>40127.500000000007</v>
          </cell>
          <cell r="G2315">
            <v>0</v>
          </cell>
          <cell r="H2315">
            <v>0</v>
          </cell>
          <cell r="I2315">
            <v>2287.2675000000004</v>
          </cell>
        </row>
        <row r="2316">
          <cell r="A2316" t="str">
            <v>EG.30020</v>
          </cell>
          <cell r="B2316">
            <v>0</v>
          </cell>
          <cell r="C2316" t="str">
            <v>Thí nghiệm mạch điều khiển cứu hỏa</v>
          </cell>
          <cell r="D2316" t="str">
            <v>H. Thống</v>
          </cell>
          <cell r="E2316">
            <v>0</v>
          </cell>
          <cell r="F2316">
            <v>0</v>
          </cell>
          <cell r="G2316">
            <v>1543.6336581818182</v>
          </cell>
          <cell r="H2316">
            <v>720480</v>
          </cell>
          <cell r="I2316">
            <v>5672.6027272727288</v>
          </cell>
        </row>
        <row r="2317">
          <cell r="A2317">
            <v>0</v>
          </cell>
          <cell r="B2317">
            <v>0</v>
          </cell>
          <cell r="C2317" t="str">
            <v>Vật liệu</v>
          </cell>
          <cell r="D2317">
            <v>0</v>
          </cell>
          <cell r="E2317">
            <v>0</v>
          </cell>
          <cell r="F2317">
            <v>0</v>
          </cell>
          <cell r="G2317">
            <v>0</v>
          </cell>
          <cell r="H2317">
            <v>0</v>
          </cell>
          <cell r="I2317">
            <v>0</v>
          </cell>
        </row>
        <row r="2318">
          <cell r="A2318">
            <v>0</v>
          </cell>
          <cell r="B2318" t="str">
            <v>VL221</v>
          </cell>
          <cell r="C2318" t="str">
            <v>Điện năng</v>
          </cell>
          <cell r="D2318" t="str">
            <v>Kwh</v>
          </cell>
          <cell r="E2318">
            <v>0.38400000000000001</v>
          </cell>
          <cell r="F2318">
            <v>1622.01</v>
          </cell>
          <cell r="G2318">
            <v>622.85184000000004</v>
          </cell>
          <cell r="H2318">
            <v>0</v>
          </cell>
          <cell r="I2318">
            <v>0</v>
          </cell>
        </row>
        <row r="2319">
          <cell r="A2319">
            <v>0</v>
          </cell>
          <cell r="B2319" t="str">
            <v>VL198</v>
          </cell>
          <cell r="C2319" t="str">
            <v>Dây điện 2x1,5mm2</v>
          </cell>
          <cell r="D2319" t="str">
            <v>m</v>
          </cell>
          <cell r="E2319">
            <v>0.10199999999999999</v>
          </cell>
          <cell r="F2319">
            <v>9027.2727272727261</v>
          </cell>
          <cell r="G2319">
            <v>920.78181818181804</v>
          </cell>
          <cell r="H2319">
            <v>0</v>
          </cell>
          <cell r="I2319">
            <v>0</v>
          </cell>
        </row>
        <row r="2320">
          <cell r="A2320">
            <v>0</v>
          </cell>
          <cell r="B2320">
            <v>0</v>
          </cell>
          <cell r="C2320" t="str">
            <v>Nhân công</v>
          </cell>
          <cell r="D2320">
            <v>0</v>
          </cell>
          <cell r="E2320">
            <v>0</v>
          </cell>
          <cell r="F2320">
            <v>0</v>
          </cell>
          <cell r="G2320">
            <v>0</v>
          </cell>
          <cell r="H2320">
            <v>0</v>
          </cell>
          <cell r="I2320">
            <v>0</v>
          </cell>
        </row>
        <row r="2321">
          <cell r="A2321">
            <v>0</v>
          </cell>
          <cell r="B2321" t="str">
            <v>KS4</v>
          </cell>
          <cell r="C2321" t="str">
            <v>Kỹ sư bậc 4,0/8</v>
          </cell>
          <cell r="D2321" t="str">
            <v>công</v>
          </cell>
          <cell r="E2321">
            <v>3.04</v>
          </cell>
          <cell r="F2321">
            <v>237000</v>
          </cell>
          <cell r="G2321">
            <v>0</v>
          </cell>
          <cell r="H2321">
            <v>720480</v>
          </cell>
          <cell r="I2321">
            <v>0</v>
          </cell>
        </row>
        <row r="2322">
          <cell r="A2322">
            <v>0</v>
          </cell>
          <cell r="B2322">
            <v>0</v>
          </cell>
          <cell r="C2322" t="str">
            <v>Máy thi công</v>
          </cell>
          <cell r="D2322">
            <v>0</v>
          </cell>
          <cell r="E2322">
            <v>0</v>
          </cell>
          <cell r="F2322">
            <v>0</v>
          </cell>
          <cell r="G2322">
            <v>0</v>
          </cell>
          <cell r="H2322">
            <v>0</v>
          </cell>
          <cell r="I2322">
            <v>0</v>
          </cell>
        </row>
        <row r="2323">
          <cell r="A2323">
            <v>0</v>
          </cell>
          <cell r="B2323" t="str">
            <v>M203.0002</v>
          </cell>
          <cell r="C2323" t="str">
            <v>Bộ nguồn AC-DC</v>
          </cell>
          <cell r="D2323" t="str">
            <v>ca</v>
          </cell>
          <cell r="E2323">
            <v>7.0000000000000007E-2</v>
          </cell>
          <cell r="F2323">
            <v>39763.181818181831</v>
          </cell>
          <cell r="G2323">
            <v>0</v>
          </cell>
          <cell r="H2323">
            <v>0</v>
          </cell>
          <cell r="I2323">
            <v>2783.4227272727285</v>
          </cell>
        </row>
        <row r="2324">
          <cell r="A2324">
            <v>0</v>
          </cell>
          <cell r="B2324" t="str">
            <v>M203.0025</v>
          </cell>
          <cell r="C2324" t="str">
            <v>Megôm met</v>
          </cell>
          <cell r="D2324" t="str">
            <v>ca</v>
          </cell>
          <cell r="E2324">
            <v>7.1999999999999995E-2</v>
          </cell>
          <cell r="F2324">
            <v>40127.500000000007</v>
          </cell>
          <cell r="G2324">
            <v>0</v>
          </cell>
          <cell r="H2324">
            <v>0</v>
          </cell>
          <cell r="I2324">
            <v>2889.1800000000003</v>
          </cell>
        </row>
        <row r="2325">
          <cell r="A2325" t="str">
            <v>EG.30030</v>
          </cell>
          <cell r="B2325">
            <v>0</v>
          </cell>
          <cell r="C2325" t="str">
            <v>Thí nghiệm mạch điều khiển làm mát MBA</v>
          </cell>
          <cell r="D2325" t="str">
            <v>H. Thống</v>
          </cell>
          <cell r="E2325">
            <v>0</v>
          </cell>
          <cell r="F2325">
            <v>0</v>
          </cell>
          <cell r="G2325">
            <v>1934.0557090909087</v>
          </cell>
          <cell r="H2325">
            <v>630420</v>
          </cell>
          <cell r="I2325">
            <v>4953.5865909090917</v>
          </cell>
        </row>
        <row r="2326">
          <cell r="A2326">
            <v>0</v>
          </cell>
          <cell r="B2326">
            <v>0</v>
          </cell>
          <cell r="C2326" t="str">
            <v>Vật liệu</v>
          </cell>
          <cell r="D2326">
            <v>0</v>
          </cell>
          <cell r="E2326">
            <v>0</v>
          </cell>
          <cell r="F2326">
            <v>0</v>
          </cell>
          <cell r="G2326">
            <v>0</v>
          </cell>
          <cell r="H2326">
            <v>0</v>
          </cell>
          <cell r="I2326">
            <v>0</v>
          </cell>
        </row>
        <row r="2327">
          <cell r="A2327">
            <v>0</v>
          </cell>
          <cell r="B2327" t="str">
            <v>VL221</v>
          </cell>
          <cell r="C2327" t="str">
            <v>Điện năng</v>
          </cell>
          <cell r="D2327" t="str">
            <v>Kwh</v>
          </cell>
          <cell r="E2327">
            <v>0.48</v>
          </cell>
          <cell r="F2327">
            <v>1622.01</v>
          </cell>
          <cell r="G2327">
            <v>778.56479999999999</v>
          </cell>
          <cell r="H2327">
            <v>0</v>
          </cell>
          <cell r="I2327">
            <v>0</v>
          </cell>
        </row>
        <row r="2328">
          <cell r="A2328">
            <v>0</v>
          </cell>
          <cell r="B2328" t="str">
            <v>VL198</v>
          </cell>
          <cell r="C2328" t="str">
            <v>Dây điện 2x1,5mm2</v>
          </cell>
          <cell r="D2328" t="str">
            <v>m</v>
          </cell>
          <cell r="E2328">
            <v>0.128</v>
          </cell>
          <cell r="F2328">
            <v>9027.2727272727261</v>
          </cell>
          <cell r="G2328">
            <v>1155.4909090909089</v>
          </cell>
          <cell r="H2328">
            <v>0</v>
          </cell>
          <cell r="I2328">
            <v>0</v>
          </cell>
        </row>
        <row r="2329">
          <cell r="A2329">
            <v>0</v>
          </cell>
          <cell r="B2329">
            <v>0</v>
          </cell>
          <cell r="C2329" t="str">
            <v>Nhân công</v>
          </cell>
          <cell r="D2329">
            <v>0</v>
          </cell>
          <cell r="E2329">
            <v>0</v>
          </cell>
          <cell r="F2329">
            <v>0</v>
          </cell>
          <cell r="G2329">
            <v>0</v>
          </cell>
          <cell r="H2329">
            <v>0</v>
          </cell>
          <cell r="I2329">
            <v>0</v>
          </cell>
        </row>
        <row r="2330">
          <cell r="A2330">
            <v>0</v>
          </cell>
          <cell r="B2330" t="str">
            <v>KS4</v>
          </cell>
          <cell r="C2330" t="str">
            <v>Kỹ sư bậc 4,0/8</v>
          </cell>
          <cell r="D2330" t="str">
            <v>công</v>
          </cell>
          <cell r="E2330">
            <v>2.66</v>
          </cell>
          <cell r="F2330">
            <v>237000</v>
          </cell>
          <cell r="G2330">
            <v>0</v>
          </cell>
          <cell r="H2330">
            <v>630420</v>
          </cell>
          <cell r="I2330">
            <v>0</v>
          </cell>
        </row>
        <row r="2331">
          <cell r="A2331">
            <v>0</v>
          </cell>
          <cell r="B2331">
            <v>0</v>
          </cell>
          <cell r="C2331" t="str">
            <v>Máy thi công</v>
          </cell>
          <cell r="D2331">
            <v>0</v>
          </cell>
          <cell r="E2331">
            <v>0</v>
          </cell>
          <cell r="F2331">
            <v>0</v>
          </cell>
          <cell r="G2331">
            <v>0</v>
          </cell>
          <cell r="H2331">
            <v>0</v>
          </cell>
          <cell r="I2331">
            <v>0</v>
          </cell>
        </row>
        <row r="2332">
          <cell r="A2332">
            <v>0</v>
          </cell>
          <cell r="B2332" t="str">
            <v>M203.0002</v>
          </cell>
          <cell r="C2332" t="str">
            <v>Bộ nguồn AC-DC</v>
          </cell>
          <cell r="D2332" t="str">
            <v>ca</v>
          </cell>
          <cell r="E2332">
            <v>6.0999999999999999E-2</v>
          </cell>
          <cell r="F2332">
            <v>39763.181818181831</v>
          </cell>
          <cell r="G2332">
            <v>0</v>
          </cell>
          <cell r="H2332">
            <v>0</v>
          </cell>
          <cell r="I2332">
            <v>2425.5540909090914</v>
          </cell>
        </row>
        <row r="2333">
          <cell r="A2333">
            <v>0</v>
          </cell>
          <cell r="B2333" t="str">
            <v>M203.0025</v>
          </cell>
          <cell r="C2333" t="str">
            <v>Megôm met</v>
          </cell>
          <cell r="D2333" t="str">
            <v>ca</v>
          </cell>
          <cell r="E2333">
            <v>6.3E-2</v>
          </cell>
          <cell r="F2333">
            <v>40127.500000000007</v>
          </cell>
          <cell r="G2333">
            <v>0</v>
          </cell>
          <cell r="H2333">
            <v>0</v>
          </cell>
          <cell r="I2333">
            <v>2528.0325000000003</v>
          </cell>
        </row>
        <row r="2334">
          <cell r="A2334" t="str">
            <v>EG.30040</v>
          </cell>
          <cell r="B2334">
            <v>0</v>
          </cell>
          <cell r="C2334" t="str">
            <v>Thí nghiệm mạch điều khiển sấy, chiếu sáng tủ</v>
          </cell>
          <cell r="D2334" t="str">
            <v>H. Thống</v>
          </cell>
          <cell r="E2334">
            <v>0</v>
          </cell>
          <cell r="F2334">
            <v>0</v>
          </cell>
          <cell r="G2334">
            <v>994.81445999999994</v>
          </cell>
          <cell r="H2334">
            <v>322320</v>
          </cell>
          <cell r="I2334">
            <v>1845.8650000000002</v>
          </cell>
        </row>
        <row r="2335">
          <cell r="A2335">
            <v>0</v>
          </cell>
          <cell r="B2335">
            <v>0</v>
          </cell>
          <cell r="C2335" t="str">
            <v>Vật liệu</v>
          </cell>
          <cell r="D2335">
            <v>0</v>
          </cell>
          <cell r="E2335">
            <v>0</v>
          </cell>
          <cell r="F2335">
            <v>0</v>
          </cell>
          <cell r="G2335">
            <v>0</v>
          </cell>
          <cell r="H2335">
            <v>0</v>
          </cell>
          <cell r="I2335">
            <v>0</v>
          </cell>
        </row>
        <row r="2336">
          <cell r="A2336">
            <v>0</v>
          </cell>
          <cell r="B2336" t="str">
            <v>VL221</v>
          </cell>
          <cell r="C2336" t="str">
            <v>Điện năng</v>
          </cell>
          <cell r="D2336" t="str">
            <v>Kwh</v>
          </cell>
          <cell r="E2336">
            <v>0.246</v>
          </cell>
          <cell r="F2336">
            <v>1622.01</v>
          </cell>
          <cell r="G2336">
            <v>399.01445999999999</v>
          </cell>
          <cell r="H2336">
            <v>0</v>
          </cell>
          <cell r="I2336">
            <v>0</v>
          </cell>
        </row>
        <row r="2337">
          <cell r="A2337">
            <v>0</v>
          </cell>
          <cell r="B2337" t="str">
            <v>VL198</v>
          </cell>
          <cell r="C2337" t="str">
            <v>Dây điện 2x1,5mm2</v>
          </cell>
          <cell r="D2337" t="str">
            <v>m</v>
          </cell>
          <cell r="E2337">
            <v>6.6000000000000003E-2</v>
          </cell>
          <cell r="F2337">
            <v>9027.2727272727261</v>
          </cell>
          <cell r="G2337">
            <v>595.79999999999995</v>
          </cell>
          <cell r="H2337">
            <v>0</v>
          </cell>
          <cell r="I2337">
            <v>0</v>
          </cell>
        </row>
        <row r="2338">
          <cell r="A2338">
            <v>0</v>
          </cell>
          <cell r="B2338">
            <v>0</v>
          </cell>
          <cell r="C2338" t="str">
            <v>Nhân công</v>
          </cell>
          <cell r="D2338">
            <v>0</v>
          </cell>
          <cell r="E2338">
            <v>0</v>
          </cell>
          <cell r="F2338">
            <v>0</v>
          </cell>
          <cell r="G2338">
            <v>0</v>
          </cell>
          <cell r="H2338">
            <v>0</v>
          </cell>
          <cell r="I2338">
            <v>0</v>
          </cell>
        </row>
        <row r="2339">
          <cell r="A2339">
            <v>0</v>
          </cell>
          <cell r="B2339" t="str">
            <v>KS4</v>
          </cell>
          <cell r="C2339" t="str">
            <v>Kỹ sư bậc 4,0/8</v>
          </cell>
          <cell r="D2339" t="str">
            <v>công</v>
          </cell>
          <cell r="E2339">
            <v>1.36</v>
          </cell>
          <cell r="F2339">
            <v>237000</v>
          </cell>
          <cell r="G2339">
            <v>0</v>
          </cell>
          <cell r="H2339">
            <v>322320</v>
          </cell>
          <cell r="I2339">
            <v>0</v>
          </cell>
        </row>
        <row r="2340">
          <cell r="A2340">
            <v>0</v>
          </cell>
          <cell r="B2340">
            <v>0</v>
          </cell>
          <cell r="C2340" t="str">
            <v>Máy thi công</v>
          </cell>
          <cell r="D2340">
            <v>0</v>
          </cell>
          <cell r="E2340">
            <v>0</v>
          </cell>
          <cell r="F2340">
            <v>0</v>
          </cell>
          <cell r="G2340">
            <v>0</v>
          </cell>
          <cell r="H2340">
            <v>0</v>
          </cell>
          <cell r="I2340">
            <v>0</v>
          </cell>
        </row>
        <row r="2341">
          <cell r="A2341">
            <v>0</v>
          </cell>
          <cell r="B2341" t="str">
            <v>M203.0002</v>
          </cell>
          <cell r="C2341" t="str">
            <v>Bộ nguồn AC-DC</v>
          </cell>
          <cell r="D2341" t="str">
            <v>ca</v>
          </cell>
          <cell r="E2341">
            <v>0</v>
          </cell>
          <cell r="F2341">
            <v>39763.181818181831</v>
          </cell>
          <cell r="G2341">
            <v>0</v>
          </cell>
          <cell r="H2341">
            <v>0</v>
          </cell>
          <cell r="I2341">
            <v>0</v>
          </cell>
        </row>
        <row r="2342">
          <cell r="A2342">
            <v>0</v>
          </cell>
          <cell r="B2342" t="str">
            <v>M203.0025</v>
          </cell>
          <cell r="C2342" t="str">
            <v>Megôm met</v>
          </cell>
          <cell r="D2342" t="str">
            <v>ca</v>
          </cell>
          <cell r="E2342">
            <v>4.5999999999999999E-2</v>
          </cell>
          <cell r="F2342">
            <v>40127.500000000007</v>
          </cell>
          <cell r="G2342">
            <v>0</v>
          </cell>
          <cell r="H2342">
            <v>0</v>
          </cell>
          <cell r="I2342">
            <v>1845.8650000000002</v>
          </cell>
        </row>
        <row r="2343">
          <cell r="A2343" t="str">
            <v>EG.40010</v>
          </cell>
          <cell r="B2343">
            <v>0</v>
          </cell>
          <cell r="C2343" t="str">
            <v>Thí nghiệm mạch đo lường ( theo ngăn thiết bị )</v>
          </cell>
          <cell r="D2343" t="str">
            <v>H. Thống</v>
          </cell>
          <cell r="E2343">
            <v>0</v>
          </cell>
          <cell r="F2343">
            <v>0</v>
          </cell>
          <cell r="G2343">
            <v>3537.5312727272726</v>
          </cell>
          <cell r="H2343">
            <v>398160</v>
          </cell>
          <cell r="I2343">
            <v>9333.7300000000032</v>
          </cell>
        </row>
        <row r="2344">
          <cell r="A2344">
            <v>0</v>
          </cell>
          <cell r="B2344">
            <v>0</v>
          </cell>
          <cell r="C2344" t="str">
            <v>Vật liệu</v>
          </cell>
          <cell r="D2344">
            <v>0</v>
          </cell>
          <cell r="E2344">
            <v>0</v>
          </cell>
          <cell r="F2344">
            <v>0</v>
          </cell>
          <cell r="G2344">
            <v>0</v>
          </cell>
          <cell r="H2344">
            <v>0</v>
          </cell>
          <cell r="I2344">
            <v>0</v>
          </cell>
        </row>
        <row r="2345">
          <cell r="A2345">
            <v>0</v>
          </cell>
          <cell r="B2345" t="str">
            <v>VL221</v>
          </cell>
          <cell r="C2345" t="str">
            <v>Điện năng</v>
          </cell>
          <cell r="D2345" t="str">
            <v>Kwh</v>
          </cell>
          <cell r="E2345">
            <v>0.4</v>
          </cell>
          <cell r="F2345">
            <v>1622.01</v>
          </cell>
          <cell r="G2345">
            <v>648.80400000000009</v>
          </cell>
          <cell r="H2345">
            <v>0</v>
          </cell>
          <cell r="I2345">
            <v>0</v>
          </cell>
        </row>
        <row r="2346">
          <cell r="A2346">
            <v>0</v>
          </cell>
          <cell r="B2346" t="str">
            <v>VL198</v>
          </cell>
          <cell r="C2346" t="str">
            <v>Dây điện 2x1,5mm2</v>
          </cell>
          <cell r="D2346" t="str">
            <v>m</v>
          </cell>
          <cell r="E2346">
            <v>0.32</v>
          </cell>
          <cell r="F2346">
            <v>9027.2727272727261</v>
          </cell>
          <cell r="G2346">
            <v>2888.7272727272725</v>
          </cell>
          <cell r="H2346">
            <v>0</v>
          </cell>
          <cell r="I2346">
            <v>0</v>
          </cell>
        </row>
        <row r="2347">
          <cell r="A2347">
            <v>0</v>
          </cell>
          <cell r="B2347">
            <v>0</v>
          </cell>
          <cell r="C2347" t="str">
            <v>Nhân công</v>
          </cell>
          <cell r="D2347">
            <v>0</v>
          </cell>
          <cell r="E2347">
            <v>0</v>
          </cell>
          <cell r="F2347">
            <v>0</v>
          </cell>
          <cell r="G2347">
            <v>0</v>
          </cell>
          <cell r="H2347">
            <v>0</v>
          </cell>
          <cell r="I2347">
            <v>0</v>
          </cell>
        </row>
        <row r="2348">
          <cell r="A2348">
            <v>0</v>
          </cell>
          <cell r="B2348" t="str">
            <v>KS4</v>
          </cell>
          <cell r="C2348" t="str">
            <v>Kỹ sư bậc 4,0/8</v>
          </cell>
          <cell r="D2348" t="str">
            <v>công</v>
          </cell>
          <cell r="E2348">
            <v>1.68</v>
          </cell>
          <cell r="F2348">
            <v>237000</v>
          </cell>
          <cell r="G2348">
            <v>0</v>
          </cell>
          <cell r="H2348">
            <v>398160</v>
          </cell>
          <cell r="I2348">
            <v>0</v>
          </cell>
        </row>
        <row r="2349">
          <cell r="A2349">
            <v>0</v>
          </cell>
          <cell r="B2349">
            <v>0</v>
          </cell>
          <cell r="C2349" t="str">
            <v>Máy thi công</v>
          </cell>
          <cell r="D2349">
            <v>0</v>
          </cell>
          <cell r="E2349">
            <v>0</v>
          </cell>
          <cell r="F2349">
            <v>0</v>
          </cell>
          <cell r="G2349">
            <v>0</v>
          </cell>
          <cell r="H2349">
            <v>0</v>
          </cell>
          <cell r="I2349">
            <v>0</v>
          </cell>
        </row>
        <row r="2350">
          <cell r="A2350">
            <v>0</v>
          </cell>
          <cell r="B2350" t="str">
            <v>M203.0002</v>
          </cell>
          <cell r="C2350" t="str">
            <v>Bộ nguồn AC-DC</v>
          </cell>
          <cell r="D2350" t="str">
            <v>ca</v>
          </cell>
          <cell r="E2350">
            <v>0.154</v>
          </cell>
          <cell r="F2350">
            <v>39763.181818181831</v>
          </cell>
          <cell r="G2350">
            <v>0</v>
          </cell>
          <cell r="H2350">
            <v>0</v>
          </cell>
          <cell r="I2350">
            <v>6123.5300000000016</v>
          </cell>
        </row>
        <row r="2351">
          <cell r="A2351">
            <v>0</v>
          </cell>
          <cell r="B2351" t="str">
            <v>M203.0025</v>
          </cell>
          <cell r="C2351" t="str">
            <v>Megôm met</v>
          </cell>
          <cell r="D2351" t="str">
            <v>ca</v>
          </cell>
          <cell r="E2351">
            <v>0.08</v>
          </cell>
          <cell r="F2351">
            <v>40127.500000000007</v>
          </cell>
          <cell r="G2351">
            <v>0</v>
          </cell>
          <cell r="H2351">
            <v>0</v>
          </cell>
          <cell r="I2351">
            <v>3210.2000000000007</v>
          </cell>
        </row>
        <row r="2352">
          <cell r="A2352" t="str">
            <v>EG.40020</v>
          </cell>
          <cell r="B2352">
            <v>0</v>
          </cell>
          <cell r="C2352" t="str">
            <v>Thí nghiệm mạch ghi chụp ( theo bộ ghi sự cố )</v>
          </cell>
          <cell r="D2352" t="str">
            <v>H. Thống</v>
          </cell>
          <cell r="E2352">
            <v>0</v>
          </cell>
          <cell r="F2352">
            <v>0</v>
          </cell>
          <cell r="G2352">
            <v>5324.6413636363632</v>
          </cell>
          <cell r="H2352">
            <v>2239650</v>
          </cell>
          <cell r="I2352">
            <v>14559.101136363639</v>
          </cell>
        </row>
        <row r="2353">
          <cell r="A2353">
            <v>0</v>
          </cell>
          <cell r="B2353">
            <v>0</v>
          </cell>
          <cell r="C2353" t="str">
            <v>Vật liệu</v>
          </cell>
          <cell r="D2353">
            <v>0</v>
          </cell>
          <cell r="E2353">
            <v>0</v>
          </cell>
          <cell r="F2353">
            <v>0</v>
          </cell>
          <cell r="G2353">
            <v>0</v>
          </cell>
          <cell r="H2353">
            <v>0</v>
          </cell>
          <cell r="I2353">
            <v>0</v>
          </cell>
        </row>
        <row r="2354">
          <cell r="A2354">
            <v>0</v>
          </cell>
          <cell r="B2354" t="str">
            <v>VL221</v>
          </cell>
          <cell r="C2354" t="str">
            <v>Điện năng</v>
          </cell>
          <cell r="D2354" t="str">
            <v>Kwh</v>
          </cell>
          <cell r="E2354">
            <v>0.5</v>
          </cell>
          <cell r="F2354">
            <v>1622.01</v>
          </cell>
          <cell r="G2354">
            <v>811.005</v>
          </cell>
          <cell r="H2354">
            <v>0</v>
          </cell>
          <cell r="I2354">
            <v>0</v>
          </cell>
        </row>
        <row r="2355">
          <cell r="A2355">
            <v>0</v>
          </cell>
          <cell r="B2355" t="str">
            <v>VL198</v>
          </cell>
          <cell r="C2355" t="str">
            <v>Dây điện 2x1,5mm2</v>
          </cell>
          <cell r="D2355" t="str">
            <v>m</v>
          </cell>
          <cell r="E2355">
            <v>0.5</v>
          </cell>
          <cell r="F2355">
            <v>9027.2727272727261</v>
          </cell>
          <cell r="G2355">
            <v>4513.6363636363631</v>
          </cell>
          <cell r="H2355">
            <v>0</v>
          </cell>
          <cell r="I2355">
            <v>0</v>
          </cell>
        </row>
        <row r="2356">
          <cell r="A2356">
            <v>0</v>
          </cell>
          <cell r="B2356">
            <v>0</v>
          </cell>
          <cell r="C2356" t="str">
            <v>Nhân công</v>
          </cell>
          <cell r="D2356">
            <v>0</v>
          </cell>
          <cell r="E2356">
            <v>0</v>
          </cell>
          <cell r="F2356">
            <v>0</v>
          </cell>
          <cell r="G2356">
            <v>0</v>
          </cell>
          <cell r="H2356">
            <v>0</v>
          </cell>
          <cell r="I2356">
            <v>0</v>
          </cell>
        </row>
        <row r="2357">
          <cell r="A2357">
            <v>0</v>
          </cell>
          <cell r="B2357" t="str">
            <v>KS4</v>
          </cell>
          <cell r="C2357" t="str">
            <v>Kỹ sư bậc 4,0/8</v>
          </cell>
          <cell r="D2357" t="str">
            <v>công</v>
          </cell>
          <cell r="E2357">
            <v>9.4499999999999993</v>
          </cell>
          <cell r="F2357">
            <v>237000</v>
          </cell>
          <cell r="G2357">
            <v>0</v>
          </cell>
          <cell r="H2357">
            <v>2239650</v>
          </cell>
          <cell r="I2357">
            <v>0</v>
          </cell>
        </row>
        <row r="2358">
          <cell r="A2358">
            <v>0</v>
          </cell>
          <cell r="B2358">
            <v>0</v>
          </cell>
          <cell r="C2358" t="str">
            <v>Máy thi công</v>
          </cell>
          <cell r="D2358">
            <v>0</v>
          </cell>
          <cell r="E2358">
            <v>0</v>
          </cell>
          <cell r="F2358">
            <v>0</v>
          </cell>
          <cell r="G2358">
            <v>0</v>
          </cell>
          <cell r="H2358">
            <v>0</v>
          </cell>
          <cell r="I2358">
            <v>0</v>
          </cell>
        </row>
        <row r="2359">
          <cell r="A2359">
            <v>0</v>
          </cell>
          <cell r="B2359" t="str">
            <v>M203.0002</v>
          </cell>
          <cell r="C2359" t="str">
            <v>Bộ nguồn AC-DC</v>
          </cell>
          <cell r="D2359" t="str">
            <v>ca</v>
          </cell>
          <cell r="E2359">
            <v>0.24</v>
          </cell>
          <cell r="F2359">
            <v>39763.181818181831</v>
          </cell>
          <cell r="G2359">
            <v>0</v>
          </cell>
          <cell r="H2359">
            <v>0</v>
          </cell>
          <cell r="I2359">
            <v>9543.1636363636389</v>
          </cell>
        </row>
        <row r="2360">
          <cell r="A2360">
            <v>0</v>
          </cell>
          <cell r="B2360" t="str">
            <v>M203.0025</v>
          </cell>
          <cell r="C2360" t="str">
            <v>Megôm met</v>
          </cell>
          <cell r="D2360" t="str">
            <v>ca</v>
          </cell>
          <cell r="E2360">
            <v>0.125</v>
          </cell>
          <cell r="F2360">
            <v>40127.500000000007</v>
          </cell>
          <cell r="G2360">
            <v>0</v>
          </cell>
          <cell r="H2360">
            <v>0</v>
          </cell>
          <cell r="I2360">
            <v>5015.9375000000009</v>
          </cell>
        </row>
        <row r="2361">
          <cell r="A2361" t="str">
            <v>EG.40030</v>
          </cell>
          <cell r="B2361">
            <v>0</v>
          </cell>
          <cell r="C2361" t="str">
            <v>Thí nghiệm mạch bảo vệ ( theo ngăn thiết bị )</v>
          </cell>
          <cell r="D2361" t="str">
            <v>H. Thống</v>
          </cell>
          <cell r="E2361">
            <v>0</v>
          </cell>
          <cell r="F2361">
            <v>0</v>
          </cell>
          <cell r="G2361">
            <v>4421.9140909090902</v>
          </cell>
          <cell r="H2361">
            <v>995400</v>
          </cell>
          <cell r="I2361">
            <v>11647.280909090912</v>
          </cell>
        </row>
        <row r="2362">
          <cell r="A2362">
            <v>0</v>
          </cell>
          <cell r="B2362">
            <v>0</v>
          </cell>
          <cell r="C2362" t="str">
            <v>Vật liệu</v>
          </cell>
          <cell r="D2362">
            <v>0</v>
          </cell>
          <cell r="E2362">
            <v>0</v>
          </cell>
          <cell r="F2362">
            <v>0</v>
          </cell>
          <cell r="G2362">
            <v>0</v>
          </cell>
          <cell r="H2362">
            <v>0</v>
          </cell>
          <cell r="I2362">
            <v>0</v>
          </cell>
        </row>
        <row r="2363">
          <cell r="A2363">
            <v>0</v>
          </cell>
          <cell r="B2363" t="str">
            <v>VL221</v>
          </cell>
          <cell r="C2363" t="str">
            <v>Điện năng</v>
          </cell>
          <cell r="D2363" t="str">
            <v>Kwh</v>
          </cell>
          <cell r="E2363">
            <v>0.5</v>
          </cell>
          <cell r="F2363">
            <v>1622.01</v>
          </cell>
          <cell r="G2363">
            <v>811.005</v>
          </cell>
          <cell r="H2363">
            <v>0</v>
          </cell>
          <cell r="I2363">
            <v>0</v>
          </cell>
        </row>
        <row r="2364">
          <cell r="A2364">
            <v>0</v>
          </cell>
          <cell r="B2364" t="str">
            <v>VL198</v>
          </cell>
          <cell r="C2364" t="str">
            <v>Dây điện 2x1,5mm2</v>
          </cell>
          <cell r="D2364" t="str">
            <v>m</v>
          </cell>
          <cell r="E2364">
            <v>0.4</v>
          </cell>
          <cell r="F2364">
            <v>9027.2727272727261</v>
          </cell>
          <cell r="G2364">
            <v>3610.9090909090905</v>
          </cell>
          <cell r="H2364">
            <v>0</v>
          </cell>
          <cell r="I2364">
            <v>0</v>
          </cell>
        </row>
        <row r="2365">
          <cell r="A2365">
            <v>0</v>
          </cell>
          <cell r="B2365">
            <v>0</v>
          </cell>
          <cell r="C2365" t="str">
            <v>Nhân công</v>
          </cell>
          <cell r="D2365">
            <v>0</v>
          </cell>
          <cell r="E2365">
            <v>0</v>
          </cell>
          <cell r="F2365">
            <v>0</v>
          </cell>
          <cell r="G2365">
            <v>0</v>
          </cell>
          <cell r="H2365">
            <v>0</v>
          </cell>
          <cell r="I2365">
            <v>0</v>
          </cell>
        </row>
        <row r="2366">
          <cell r="A2366">
            <v>0</v>
          </cell>
          <cell r="B2366" t="str">
            <v>KS4</v>
          </cell>
          <cell r="C2366" t="str">
            <v>Kỹ sư bậc 4,0/8</v>
          </cell>
          <cell r="D2366" t="str">
            <v>công</v>
          </cell>
          <cell r="E2366">
            <v>4.2</v>
          </cell>
          <cell r="F2366">
            <v>237000</v>
          </cell>
          <cell r="G2366">
            <v>0</v>
          </cell>
          <cell r="H2366">
            <v>995400</v>
          </cell>
          <cell r="I2366">
            <v>0</v>
          </cell>
        </row>
        <row r="2367">
          <cell r="A2367">
            <v>0</v>
          </cell>
          <cell r="B2367">
            <v>0</v>
          </cell>
          <cell r="C2367" t="str">
            <v>Máy thi công</v>
          </cell>
          <cell r="D2367">
            <v>0</v>
          </cell>
          <cell r="E2367">
            <v>0</v>
          </cell>
          <cell r="F2367">
            <v>0</v>
          </cell>
          <cell r="G2367">
            <v>0</v>
          </cell>
          <cell r="H2367">
            <v>0</v>
          </cell>
          <cell r="I2367">
            <v>0</v>
          </cell>
        </row>
        <row r="2368">
          <cell r="A2368">
            <v>0</v>
          </cell>
          <cell r="B2368" t="str">
            <v>M203.0002</v>
          </cell>
          <cell r="C2368" t="str">
            <v>Bộ nguồn AC-DC</v>
          </cell>
          <cell r="D2368" t="str">
            <v>ca</v>
          </cell>
          <cell r="E2368">
            <v>0.192</v>
          </cell>
          <cell r="F2368">
            <v>39763.181818181831</v>
          </cell>
          <cell r="G2368">
            <v>0</v>
          </cell>
          <cell r="H2368">
            <v>0</v>
          </cell>
          <cell r="I2368">
            <v>7634.5309090909113</v>
          </cell>
        </row>
        <row r="2369">
          <cell r="A2369">
            <v>0</v>
          </cell>
          <cell r="B2369" t="str">
            <v>M203.0025</v>
          </cell>
          <cell r="C2369" t="str">
            <v>Megôm met</v>
          </cell>
          <cell r="D2369" t="str">
            <v>ca</v>
          </cell>
          <cell r="E2369">
            <v>0.1</v>
          </cell>
          <cell r="F2369">
            <v>40127.500000000007</v>
          </cell>
          <cell r="G2369">
            <v>0</v>
          </cell>
          <cell r="H2369">
            <v>0</v>
          </cell>
          <cell r="I2369">
            <v>4012.7500000000009</v>
          </cell>
        </row>
        <row r="2370">
          <cell r="A2370" t="str">
            <v>EG.50010</v>
          </cell>
          <cell r="B2370">
            <v>0</v>
          </cell>
          <cell r="C2370" t="str">
            <v>Thí nghiệm mạch tự động điều chỉnh điện áp dưới tải 3 pha</v>
          </cell>
          <cell r="D2370" t="str">
            <v>H. Thống</v>
          </cell>
          <cell r="E2370">
            <v>0</v>
          </cell>
          <cell r="F2370">
            <v>0</v>
          </cell>
          <cell r="G2370">
            <v>7584.8335909090911</v>
          </cell>
          <cell r="H2370">
            <v>3002790</v>
          </cell>
          <cell r="I2370">
            <v>14559.101136363639</v>
          </cell>
        </row>
        <row r="2371">
          <cell r="A2371">
            <v>0</v>
          </cell>
          <cell r="B2371">
            <v>0</v>
          </cell>
          <cell r="C2371" t="str">
            <v>Vật liệu</v>
          </cell>
          <cell r="D2371">
            <v>0</v>
          </cell>
          <cell r="E2371">
            <v>0</v>
          </cell>
          <cell r="F2371">
            <v>0</v>
          </cell>
          <cell r="G2371">
            <v>0</v>
          </cell>
          <cell r="H2371">
            <v>0</v>
          </cell>
          <cell r="I2371">
            <v>0</v>
          </cell>
        </row>
        <row r="2372">
          <cell r="A2372">
            <v>0</v>
          </cell>
          <cell r="B2372" t="str">
            <v>VL221</v>
          </cell>
          <cell r="C2372" t="str">
            <v>Điện năng</v>
          </cell>
          <cell r="D2372" t="str">
            <v>Kwh</v>
          </cell>
          <cell r="E2372">
            <v>2.4500000000000002</v>
          </cell>
          <cell r="F2372">
            <v>1622.01</v>
          </cell>
          <cell r="G2372">
            <v>3973.9245000000001</v>
          </cell>
          <cell r="H2372">
            <v>0</v>
          </cell>
          <cell r="I2372">
            <v>0</v>
          </cell>
        </row>
        <row r="2373">
          <cell r="A2373">
            <v>0</v>
          </cell>
          <cell r="B2373" t="str">
            <v>VL198</v>
          </cell>
          <cell r="C2373" t="str">
            <v>Dây điện 2x1,5mm2</v>
          </cell>
          <cell r="D2373" t="str">
            <v>m</v>
          </cell>
          <cell r="E2373">
            <v>0.4</v>
          </cell>
          <cell r="F2373">
            <v>9027.2727272727261</v>
          </cell>
          <cell r="G2373">
            <v>3610.9090909090905</v>
          </cell>
          <cell r="H2373">
            <v>0</v>
          </cell>
          <cell r="I2373">
            <v>0</v>
          </cell>
        </row>
        <row r="2374">
          <cell r="A2374">
            <v>0</v>
          </cell>
          <cell r="B2374">
            <v>0</v>
          </cell>
          <cell r="C2374" t="str">
            <v>Nhân công</v>
          </cell>
          <cell r="D2374">
            <v>0</v>
          </cell>
          <cell r="E2374">
            <v>0</v>
          </cell>
          <cell r="F2374">
            <v>0</v>
          </cell>
          <cell r="G2374">
            <v>0</v>
          </cell>
          <cell r="H2374">
            <v>0</v>
          </cell>
          <cell r="I2374">
            <v>0</v>
          </cell>
        </row>
        <row r="2375">
          <cell r="A2375">
            <v>0</v>
          </cell>
          <cell r="B2375" t="str">
            <v>KS4</v>
          </cell>
          <cell r="C2375" t="str">
            <v>Kỹ sư bậc 4,0/8</v>
          </cell>
          <cell r="D2375" t="str">
            <v>công</v>
          </cell>
          <cell r="E2375">
            <v>12.67</v>
          </cell>
          <cell r="F2375">
            <v>237000</v>
          </cell>
          <cell r="G2375">
            <v>0</v>
          </cell>
          <cell r="H2375">
            <v>3002790</v>
          </cell>
          <cell r="I2375">
            <v>0</v>
          </cell>
        </row>
        <row r="2376">
          <cell r="A2376">
            <v>0</v>
          </cell>
          <cell r="B2376">
            <v>0</v>
          </cell>
          <cell r="C2376" t="str">
            <v>Máy thi công</v>
          </cell>
          <cell r="D2376">
            <v>0</v>
          </cell>
          <cell r="E2376">
            <v>0</v>
          </cell>
          <cell r="F2376">
            <v>0</v>
          </cell>
          <cell r="G2376">
            <v>0</v>
          </cell>
          <cell r="H2376">
            <v>0</v>
          </cell>
          <cell r="I2376">
            <v>0</v>
          </cell>
        </row>
        <row r="2377">
          <cell r="A2377">
            <v>0</v>
          </cell>
          <cell r="B2377" t="str">
            <v>M203.0002</v>
          </cell>
          <cell r="C2377" t="str">
            <v>Bộ nguồn AC-DC</v>
          </cell>
          <cell r="D2377" t="str">
            <v>ca</v>
          </cell>
          <cell r="E2377">
            <v>0.24</v>
          </cell>
          <cell r="F2377">
            <v>39763.181818181831</v>
          </cell>
          <cell r="G2377">
            <v>0</v>
          </cell>
          <cell r="H2377">
            <v>0</v>
          </cell>
          <cell r="I2377">
            <v>9543.1636363636389</v>
          </cell>
        </row>
        <row r="2378">
          <cell r="A2378">
            <v>0</v>
          </cell>
          <cell r="B2378" t="str">
            <v>M203.0025</v>
          </cell>
          <cell r="C2378" t="str">
            <v>Megôm met</v>
          </cell>
          <cell r="D2378" t="str">
            <v>ca</v>
          </cell>
          <cell r="E2378">
            <v>0.125</v>
          </cell>
          <cell r="F2378">
            <v>40127.500000000007</v>
          </cell>
          <cell r="G2378">
            <v>0</v>
          </cell>
          <cell r="H2378">
            <v>0</v>
          </cell>
          <cell r="I2378">
            <v>5015.9375000000009</v>
          </cell>
        </row>
        <row r="2379">
          <cell r="A2379" t="str">
            <v>EG.50020</v>
          </cell>
          <cell r="B2379">
            <v>0</v>
          </cell>
          <cell r="C2379" t="str">
            <v>Thí nghiệm mạch tự động đóng lặp lại máy cắt</v>
          </cell>
          <cell r="D2379" t="str">
            <v>H. Thống</v>
          </cell>
          <cell r="E2379">
            <v>0</v>
          </cell>
          <cell r="F2379">
            <v>0</v>
          </cell>
          <cell r="G2379">
            <v>2028.9045572727268</v>
          </cell>
          <cell r="H2379">
            <v>583020</v>
          </cell>
          <cell r="I2379">
            <v>4866.4095454545468</v>
          </cell>
        </row>
        <row r="2380">
          <cell r="A2380">
            <v>0</v>
          </cell>
          <cell r="B2380">
            <v>0</v>
          </cell>
          <cell r="C2380" t="str">
            <v>Vật liệu</v>
          </cell>
          <cell r="D2380">
            <v>0</v>
          </cell>
          <cell r="E2380">
            <v>0</v>
          </cell>
          <cell r="F2380">
            <v>0</v>
          </cell>
          <cell r="G2380">
            <v>0</v>
          </cell>
          <cell r="H2380">
            <v>0</v>
          </cell>
          <cell r="I2380">
            <v>0</v>
          </cell>
        </row>
        <row r="2381">
          <cell r="A2381">
            <v>0</v>
          </cell>
          <cell r="B2381" t="str">
            <v>VL221</v>
          </cell>
          <cell r="C2381" t="str">
            <v>Điện năng</v>
          </cell>
          <cell r="D2381" t="str">
            <v>Kwh</v>
          </cell>
          <cell r="E2381">
            <v>0.58299999999999996</v>
          </cell>
          <cell r="F2381">
            <v>1622.01</v>
          </cell>
          <cell r="G2381">
            <v>945.63182999999992</v>
          </cell>
          <cell r="H2381">
            <v>0</v>
          </cell>
          <cell r="I2381">
            <v>0</v>
          </cell>
        </row>
        <row r="2382">
          <cell r="A2382">
            <v>0</v>
          </cell>
          <cell r="B2382" t="str">
            <v>VL198</v>
          </cell>
          <cell r="C2382" t="str">
            <v>Dây điện 2x1,5mm2</v>
          </cell>
          <cell r="D2382" t="str">
            <v>m</v>
          </cell>
          <cell r="E2382">
            <v>0.12</v>
          </cell>
          <cell r="F2382">
            <v>9027.2727272727261</v>
          </cell>
          <cell r="G2382">
            <v>1083.272727272727</v>
          </cell>
          <cell r="H2382">
            <v>0</v>
          </cell>
          <cell r="I2382">
            <v>0</v>
          </cell>
        </row>
        <row r="2383">
          <cell r="A2383">
            <v>0</v>
          </cell>
          <cell r="B2383">
            <v>0</v>
          </cell>
          <cell r="C2383" t="str">
            <v>Nhân công</v>
          </cell>
          <cell r="D2383">
            <v>0</v>
          </cell>
          <cell r="E2383">
            <v>0</v>
          </cell>
          <cell r="F2383">
            <v>0</v>
          </cell>
          <cell r="G2383">
            <v>0</v>
          </cell>
          <cell r="H2383">
            <v>0</v>
          </cell>
          <cell r="I2383">
            <v>0</v>
          </cell>
        </row>
        <row r="2384">
          <cell r="A2384">
            <v>0</v>
          </cell>
          <cell r="B2384" t="str">
            <v>KS4</v>
          </cell>
          <cell r="C2384" t="str">
            <v>Kỹ sư bậc 4,0/8</v>
          </cell>
          <cell r="D2384" t="str">
            <v>công</v>
          </cell>
          <cell r="E2384">
            <v>2.46</v>
          </cell>
          <cell r="F2384">
            <v>237000</v>
          </cell>
          <cell r="G2384">
            <v>0</v>
          </cell>
          <cell r="H2384">
            <v>583020</v>
          </cell>
          <cell r="I2384">
            <v>0</v>
          </cell>
        </row>
        <row r="2385">
          <cell r="A2385">
            <v>0</v>
          </cell>
          <cell r="B2385">
            <v>0</v>
          </cell>
          <cell r="C2385" t="str">
            <v>Máy thi công</v>
          </cell>
          <cell r="D2385">
            <v>0</v>
          </cell>
          <cell r="E2385">
            <v>0</v>
          </cell>
          <cell r="F2385">
            <v>0</v>
          </cell>
          <cell r="G2385">
            <v>0</v>
          </cell>
          <cell r="H2385">
            <v>0</v>
          </cell>
          <cell r="I2385">
            <v>0</v>
          </cell>
        </row>
        <row r="2386">
          <cell r="A2386">
            <v>0</v>
          </cell>
          <cell r="B2386" t="str">
            <v>M203.0002</v>
          </cell>
          <cell r="C2386" t="str">
            <v>Bộ nguồn AC-DC</v>
          </cell>
          <cell r="D2386" t="str">
            <v>ca</v>
          </cell>
          <cell r="E2386">
            <v>0.08</v>
          </cell>
          <cell r="F2386">
            <v>39763.181818181831</v>
          </cell>
          <cell r="G2386">
            <v>0</v>
          </cell>
          <cell r="H2386">
            <v>0</v>
          </cell>
          <cell r="I2386">
            <v>3181.0545454545463</v>
          </cell>
        </row>
        <row r="2387">
          <cell r="A2387">
            <v>0</v>
          </cell>
          <cell r="B2387" t="str">
            <v>M203.0025</v>
          </cell>
          <cell r="C2387" t="str">
            <v>Megôm met</v>
          </cell>
          <cell r="D2387" t="str">
            <v>ca</v>
          </cell>
          <cell r="E2387">
            <v>4.2000000000000003E-2</v>
          </cell>
          <cell r="F2387">
            <v>40127.500000000007</v>
          </cell>
          <cell r="G2387">
            <v>0</v>
          </cell>
          <cell r="H2387">
            <v>0</v>
          </cell>
          <cell r="I2387">
            <v>1685.3550000000005</v>
          </cell>
        </row>
        <row r="2388">
          <cell r="A2388" t="str">
            <v>EG.60000</v>
          </cell>
          <cell r="B2388">
            <v>0</v>
          </cell>
          <cell r="C2388" t="str">
            <v>Thí nghiệm mạch thiết bị đo xa</v>
          </cell>
          <cell r="D2388" t="str">
            <v>H. Thống</v>
          </cell>
          <cell r="E2388">
            <v>0</v>
          </cell>
          <cell r="F2388">
            <v>0</v>
          </cell>
          <cell r="G2388">
            <v>6448.9670454545449</v>
          </cell>
          <cell r="H2388">
            <v>559320</v>
          </cell>
          <cell r="I2388">
            <v>5709.0870454545466</v>
          </cell>
        </row>
        <row r="2389">
          <cell r="A2389">
            <v>0</v>
          </cell>
          <cell r="B2389">
            <v>0</v>
          </cell>
          <cell r="C2389" t="str">
            <v>Vật liệu</v>
          </cell>
          <cell r="D2389">
            <v>0</v>
          </cell>
          <cell r="E2389">
            <v>0</v>
          </cell>
          <cell r="F2389">
            <v>0</v>
          </cell>
          <cell r="G2389">
            <v>0</v>
          </cell>
          <cell r="H2389">
            <v>0</v>
          </cell>
          <cell r="I2389">
            <v>0</v>
          </cell>
        </row>
        <row r="2390">
          <cell r="A2390">
            <v>0</v>
          </cell>
          <cell r="B2390" t="str">
            <v>VL221</v>
          </cell>
          <cell r="C2390" t="str">
            <v>Điện năng</v>
          </cell>
          <cell r="D2390" t="str">
            <v>Kwh</v>
          </cell>
          <cell r="E2390">
            <v>1.25</v>
          </cell>
          <cell r="F2390">
            <v>1622.01</v>
          </cell>
          <cell r="G2390">
            <v>2027.5125</v>
          </cell>
          <cell r="H2390">
            <v>0</v>
          </cell>
          <cell r="I2390">
            <v>0</v>
          </cell>
        </row>
        <row r="2391">
          <cell r="A2391">
            <v>0</v>
          </cell>
          <cell r="B2391" t="str">
            <v>VL199</v>
          </cell>
          <cell r="C2391" t="str">
            <v>Dây điện 7x2,5mm2</v>
          </cell>
          <cell r="D2391" t="str">
            <v>m</v>
          </cell>
          <cell r="E2391">
            <v>0.1</v>
          </cell>
          <cell r="F2391">
            <v>44214.545454545449</v>
          </cell>
          <cell r="G2391">
            <v>4421.454545454545</v>
          </cell>
          <cell r="H2391">
            <v>0</v>
          </cell>
          <cell r="I2391">
            <v>0</v>
          </cell>
        </row>
        <row r="2392">
          <cell r="A2392">
            <v>0</v>
          </cell>
          <cell r="B2392">
            <v>0</v>
          </cell>
          <cell r="C2392" t="str">
            <v>Nhân công</v>
          </cell>
          <cell r="D2392">
            <v>0</v>
          </cell>
          <cell r="E2392">
            <v>0</v>
          </cell>
          <cell r="F2392">
            <v>0</v>
          </cell>
          <cell r="G2392">
            <v>0</v>
          </cell>
          <cell r="H2392">
            <v>0</v>
          </cell>
          <cell r="I2392">
            <v>0</v>
          </cell>
        </row>
        <row r="2393">
          <cell r="A2393">
            <v>0</v>
          </cell>
          <cell r="B2393" t="str">
            <v>KS4</v>
          </cell>
          <cell r="C2393" t="str">
            <v>Kỹ sư bậc 4,0/8</v>
          </cell>
          <cell r="D2393" t="str">
            <v>công</v>
          </cell>
          <cell r="E2393">
            <v>2.36</v>
          </cell>
          <cell r="F2393">
            <v>237000</v>
          </cell>
          <cell r="G2393">
            <v>0</v>
          </cell>
          <cell r="H2393">
            <v>559320</v>
          </cell>
          <cell r="I2393">
            <v>0</v>
          </cell>
        </row>
        <row r="2394">
          <cell r="A2394">
            <v>0</v>
          </cell>
          <cell r="B2394">
            <v>0</v>
          </cell>
          <cell r="C2394" t="str">
            <v>Máy thi công</v>
          </cell>
          <cell r="D2394">
            <v>0</v>
          </cell>
          <cell r="E2394">
            <v>0</v>
          </cell>
          <cell r="F2394">
            <v>0</v>
          </cell>
          <cell r="G2394">
            <v>0</v>
          </cell>
          <cell r="H2394">
            <v>0</v>
          </cell>
          <cell r="I2394">
            <v>0</v>
          </cell>
        </row>
        <row r="2395">
          <cell r="A2395">
            <v>0</v>
          </cell>
          <cell r="B2395" t="str">
            <v>M203.0002</v>
          </cell>
          <cell r="C2395" t="str">
            <v>Bộ nguồn AC-DC</v>
          </cell>
          <cell r="D2395" t="str">
            <v>ca</v>
          </cell>
          <cell r="E2395">
            <v>0.08</v>
          </cell>
          <cell r="F2395">
            <v>39763.181818181831</v>
          </cell>
          <cell r="G2395">
            <v>0</v>
          </cell>
          <cell r="H2395">
            <v>0</v>
          </cell>
          <cell r="I2395">
            <v>3181.0545454545463</v>
          </cell>
        </row>
        <row r="2396">
          <cell r="A2396">
            <v>0</v>
          </cell>
          <cell r="B2396" t="str">
            <v>M203.0025</v>
          </cell>
          <cell r="C2396" t="str">
            <v>Megôm met</v>
          </cell>
          <cell r="D2396" t="str">
            <v>ca</v>
          </cell>
          <cell r="E2396">
            <v>6.3E-2</v>
          </cell>
          <cell r="F2396">
            <v>40127.500000000007</v>
          </cell>
          <cell r="G2396">
            <v>0</v>
          </cell>
          <cell r="H2396">
            <v>0</v>
          </cell>
          <cell r="I2396">
            <v>2528.0325000000003</v>
          </cell>
        </row>
        <row r="2397">
          <cell r="A2397" t="str">
            <v>EG.70000</v>
          </cell>
          <cell r="B2397">
            <v>0</v>
          </cell>
          <cell r="C2397" t="str">
            <v>Thí nghiệm mạch sơ đồ loogic ( điều khiển, bảo vệ và truyền cắt )</v>
          </cell>
          <cell r="D2397" t="str">
            <v>H. Thống</v>
          </cell>
          <cell r="E2397">
            <v>0</v>
          </cell>
          <cell r="F2397">
            <v>0</v>
          </cell>
          <cell r="G2397">
            <v>3356.9858181818176</v>
          </cell>
          <cell r="H2397">
            <v>1071240</v>
          </cell>
          <cell r="I2397">
            <v>11647.280909090912</v>
          </cell>
        </row>
        <row r="2398">
          <cell r="A2398">
            <v>0</v>
          </cell>
          <cell r="B2398">
            <v>0</v>
          </cell>
          <cell r="C2398" t="str">
            <v>Vật liệu</v>
          </cell>
          <cell r="D2398">
            <v>0</v>
          </cell>
          <cell r="E2398">
            <v>0</v>
          </cell>
          <cell r="F2398">
            <v>0</v>
          </cell>
          <cell r="G2398">
            <v>0</v>
          </cell>
          <cell r="H2398">
            <v>0</v>
          </cell>
          <cell r="I2398">
            <v>0</v>
          </cell>
        </row>
        <row r="2399">
          <cell r="A2399">
            <v>0</v>
          </cell>
          <cell r="B2399" t="str">
            <v>VL221</v>
          </cell>
          <cell r="C2399" t="str">
            <v>Điện năng</v>
          </cell>
          <cell r="D2399" t="str">
            <v>Kwh</v>
          </cell>
          <cell r="E2399">
            <v>0.4</v>
          </cell>
          <cell r="F2399">
            <v>1622.01</v>
          </cell>
          <cell r="G2399">
            <v>648.80400000000009</v>
          </cell>
          <cell r="H2399">
            <v>0</v>
          </cell>
          <cell r="I2399">
            <v>0</v>
          </cell>
        </row>
        <row r="2400">
          <cell r="A2400">
            <v>0</v>
          </cell>
          <cell r="B2400" t="str">
            <v>VL198</v>
          </cell>
          <cell r="C2400" t="str">
            <v>Dây điện 2x1,5mm2</v>
          </cell>
          <cell r="D2400" t="str">
            <v>m</v>
          </cell>
          <cell r="E2400">
            <v>0.3</v>
          </cell>
          <cell r="F2400">
            <v>9027.2727272727261</v>
          </cell>
          <cell r="G2400">
            <v>2708.1818181818176</v>
          </cell>
          <cell r="H2400">
            <v>0</v>
          </cell>
          <cell r="I2400">
            <v>0</v>
          </cell>
        </row>
        <row r="2401">
          <cell r="A2401">
            <v>0</v>
          </cell>
          <cell r="B2401">
            <v>0</v>
          </cell>
          <cell r="C2401" t="str">
            <v>Nhân công</v>
          </cell>
          <cell r="D2401">
            <v>0</v>
          </cell>
          <cell r="E2401">
            <v>0</v>
          </cell>
          <cell r="F2401">
            <v>0</v>
          </cell>
          <cell r="G2401">
            <v>0</v>
          </cell>
          <cell r="H2401">
            <v>0</v>
          </cell>
          <cell r="I2401">
            <v>0</v>
          </cell>
        </row>
        <row r="2402">
          <cell r="A2402">
            <v>0</v>
          </cell>
          <cell r="B2402" t="str">
            <v>KS4</v>
          </cell>
          <cell r="C2402" t="str">
            <v>Kỹ sư bậc 4,0/8</v>
          </cell>
          <cell r="D2402" t="str">
            <v>công</v>
          </cell>
          <cell r="E2402">
            <v>4.5199999999999996</v>
          </cell>
          <cell r="F2402">
            <v>237000</v>
          </cell>
          <cell r="G2402">
            <v>0</v>
          </cell>
          <cell r="H2402">
            <v>1071240</v>
          </cell>
          <cell r="I2402">
            <v>0</v>
          </cell>
        </row>
        <row r="2403">
          <cell r="A2403">
            <v>0</v>
          </cell>
          <cell r="B2403">
            <v>0</v>
          </cell>
          <cell r="C2403" t="str">
            <v>Máy thi công</v>
          </cell>
          <cell r="D2403">
            <v>0</v>
          </cell>
          <cell r="E2403">
            <v>0</v>
          </cell>
          <cell r="F2403">
            <v>0</v>
          </cell>
          <cell r="G2403">
            <v>0</v>
          </cell>
          <cell r="H2403">
            <v>0</v>
          </cell>
          <cell r="I2403">
            <v>0</v>
          </cell>
        </row>
        <row r="2404">
          <cell r="A2404">
            <v>0</v>
          </cell>
          <cell r="B2404" t="str">
            <v>M203.0002</v>
          </cell>
          <cell r="C2404" t="str">
            <v>Bộ nguồn AC-DC</v>
          </cell>
          <cell r="D2404" t="str">
            <v>ca</v>
          </cell>
          <cell r="E2404">
            <v>0.192</v>
          </cell>
          <cell r="F2404">
            <v>39763.181818181831</v>
          </cell>
          <cell r="G2404">
            <v>0</v>
          </cell>
          <cell r="H2404">
            <v>0</v>
          </cell>
          <cell r="I2404">
            <v>7634.5309090909113</v>
          </cell>
        </row>
        <row r="2405">
          <cell r="A2405">
            <v>0</v>
          </cell>
          <cell r="B2405" t="str">
            <v>M203.0025</v>
          </cell>
          <cell r="C2405" t="str">
            <v>Megôm met</v>
          </cell>
          <cell r="D2405" t="str">
            <v>ca</v>
          </cell>
          <cell r="E2405">
            <v>0.1</v>
          </cell>
          <cell r="F2405">
            <v>40127.500000000007</v>
          </cell>
          <cell r="G2405">
            <v>0</v>
          </cell>
          <cell r="H2405">
            <v>0</v>
          </cell>
          <cell r="I2405">
            <v>4012.7500000000009</v>
          </cell>
        </row>
        <row r="2406">
          <cell r="A2406" t="str">
            <v>EG.80000</v>
          </cell>
          <cell r="B2406">
            <v>0</v>
          </cell>
          <cell r="C2406" t="str">
            <v>Thí nghiệm hệ thống mạch điều khiển tích hợp mức ngăn</v>
          </cell>
          <cell r="D2406" t="str">
            <v>H. Thống</v>
          </cell>
          <cell r="E2406">
            <v>0</v>
          </cell>
          <cell r="F2406">
            <v>0</v>
          </cell>
          <cell r="G2406">
            <v>2454.2585454545451</v>
          </cell>
          <cell r="H2406">
            <v>1227660</v>
          </cell>
          <cell r="I2406">
            <v>11647.280909090912</v>
          </cell>
        </row>
        <row r="2407">
          <cell r="A2407">
            <v>0</v>
          </cell>
          <cell r="B2407">
            <v>0</v>
          </cell>
          <cell r="C2407" t="str">
            <v>Vật liệu</v>
          </cell>
          <cell r="D2407">
            <v>0</v>
          </cell>
          <cell r="E2407">
            <v>0</v>
          </cell>
          <cell r="F2407">
            <v>0</v>
          </cell>
          <cell r="G2407">
            <v>0</v>
          </cell>
          <cell r="H2407">
            <v>0</v>
          </cell>
          <cell r="I2407">
            <v>0</v>
          </cell>
        </row>
        <row r="2408">
          <cell r="A2408">
            <v>0</v>
          </cell>
          <cell r="B2408" t="str">
            <v>VL221</v>
          </cell>
          <cell r="C2408" t="str">
            <v>Điện năng</v>
          </cell>
          <cell r="D2408" t="str">
            <v>Kwh</v>
          </cell>
          <cell r="E2408">
            <v>0.4</v>
          </cell>
          <cell r="F2408">
            <v>1622.01</v>
          </cell>
          <cell r="G2408">
            <v>648.80400000000009</v>
          </cell>
          <cell r="H2408">
            <v>0</v>
          </cell>
          <cell r="I2408">
            <v>0</v>
          </cell>
        </row>
        <row r="2409">
          <cell r="A2409">
            <v>0</v>
          </cell>
          <cell r="B2409" t="str">
            <v>VL198</v>
          </cell>
          <cell r="C2409" t="str">
            <v>Dây điện 2x1,5mm2</v>
          </cell>
          <cell r="D2409" t="str">
            <v>m</v>
          </cell>
          <cell r="E2409">
            <v>0.2</v>
          </cell>
          <cell r="F2409">
            <v>9027.2727272727261</v>
          </cell>
          <cell r="G2409">
            <v>1805.4545454545453</v>
          </cell>
          <cell r="H2409">
            <v>0</v>
          </cell>
          <cell r="I2409">
            <v>0</v>
          </cell>
        </row>
        <row r="2410">
          <cell r="A2410">
            <v>0</v>
          </cell>
          <cell r="B2410">
            <v>0</v>
          </cell>
          <cell r="C2410" t="str">
            <v>Nhân công</v>
          </cell>
          <cell r="D2410">
            <v>0</v>
          </cell>
          <cell r="E2410">
            <v>0</v>
          </cell>
          <cell r="F2410">
            <v>0</v>
          </cell>
          <cell r="G2410">
            <v>0</v>
          </cell>
          <cell r="H2410">
            <v>0</v>
          </cell>
          <cell r="I2410">
            <v>0</v>
          </cell>
        </row>
        <row r="2411">
          <cell r="A2411">
            <v>0</v>
          </cell>
          <cell r="B2411" t="str">
            <v>KS4</v>
          </cell>
          <cell r="C2411" t="str">
            <v>Kỹ sư bậc 4,0/8</v>
          </cell>
          <cell r="D2411" t="str">
            <v>công</v>
          </cell>
          <cell r="E2411">
            <v>5.18</v>
          </cell>
          <cell r="F2411">
            <v>237000</v>
          </cell>
          <cell r="G2411">
            <v>0</v>
          </cell>
          <cell r="H2411">
            <v>1227660</v>
          </cell>
          <cell r="I2411">
            <v>0</v>
          </cell>
        </row>
        <row r="2412">
          <cell r="A2412">
            <v>0</v>
          </cell>
          <cell r="B2412">
            <v>0</v>
          </cell>
          <cell r="C2412" t="str">
            <v>Máy thi công</v>
          </cell>
          <cell r="D2412">
            <v>0</v>
          </cell>
          <cell r="E2412">
            <v>0</v>
          </cell>
          <cell r="F2412">
            <v>0</v>
          </cell>
          <cell r="G2412">
            <v>0</v>
          </cell>
          <cell r="H2412">
            <v>0</v>
          </cell>
          <cell r="I2412">
            <v>0</v>
          </cell>
        </row>
        <row r="2413">
          <cell r="A2413">
            <v>0</v>
          </cell>
          <cell r="B2413" t="str">
            <v>M203.0002</v>
          </cell>
          <cell r="C2413" t="str">
            <v>Bộ nguồn AC-DC</v>
          </cell>
          <cell r="D2413" t="str">
            <v>ca</v>
          </cell>
          <cell r="E2413">
            <v>0.192</v>
          </cell>
          <cell r="F2413">
            <v>39763.181818181831</v>
          </cell>
          <cell r="G2413">
            <v>0</v>
          </cell>
          <cell r="H2413">
            <v>0</v>
          </cell>
          <cell r="I2413">
            <v>7634.5309090909113</v>
          </cell>
        </row>
        <row r="2414">
          <cell r="A2414">
            <v>0</v>
          </cell>
          <cell r="B2414" t="str">
            <v>M203.0025</v>
          </cell>
          <cell r="C2414" t="str">
            <v>Megôm met</v>
          </cell>
          <cell r="D2414" t="str">
            <v>ca</v>
          </cell>
          <cell r="E2414">
            <v>0.1</v>
          </cell>
          <cell r="F2414">
            <v>40127.500000000007</v>
          </cell>
          <cell r="G2414">
            <v>0</v>
          </cell>
          <cell r="H2414">
            <v>0</v>
          </cell>
          <cell r="I2414">
            <v>4012.7500000000009</v>
          </cell>
        </row>
        <row r="2415">
          <cell r="A2415" t="str">
            <v>EG.90000</v>
          </cell>
          <cell r="B2415">
            <v>0</v>
          </cell>
          <cell r="C2415" t="str">
            <v>Thí nghiệm hệ thống mạch điều khiển tích hợp mức trạm</v>
          </cell>
          <cell r="D2415" t="str">
            <v>H. Thống</v>
          </cell>
          <cell r="E2415">
            <v>0</v>
          </cell>
          <cell r="F2415">
            <v>0</v>
          </cell>
          <cell r="G2415">
            <v>3681.3878181818172</v>
          </cell>
          <cell r="H2415">
            <v>1843860</v>
          </cell>
          <cell r="I2415">
            <v>17470.921363636367</v>
          </cell>
        </row>
        <row r="2416">
          <cell r="A2416">
            <v>0</v>
          </cell>
          <cell r="B2416">
            <v>0</v>
          </cell>
          <cell r="C2416" t="str">
            <v>Vật liệu</v>
          </cell>
          <cell r="D2416">
            <v>0</v>
          </cell>
          <cell r="E2416">
            <v>0</v>
          </cell>
          <cell r="F2416">
            <v>0</v>
          </cell>
          <cell r="G2416">
            <v>0</v>
          </cell>
          <cell r="H2416">
            <v>0</v>
          </cell>
          <cell r="I2416">
            <v>0</v>
          </cell>
        </row>
        <row r="2417">
          <cell r="A2417">
            <v>0</v>
          </cell>
          <cell r="B2417" t="str">
            <v>VL221</v>
          </cell>
          <cell r="C2417" t="str">
            <v>Điện năng</v>
          </cell>
          <cell r="D2417" t="str">
            <v>Kwh</v>
          </cell>
          <cell r="E2417">
            <v>0.6</v>
          </cell>
          <cell r="F2417">
            <v>1622.01</v>
          </cell>
          <cell r="G2417">
            <v>973.2059999999999</v>
          </cell>
          <cell r="H2417">
            <v>0</v>
          </cell>
          <cell r="I2417">
            <v>0</v>
          </cell>
        </row>
        <row r="2418">
          <cell r="A2418">
            <v>0</v>
          </cell>
          <cell r="B2418" t="str">
            <v>VL198</v>
          </cell>
          <cell r="C2418" t="str">
            <v>Dây điện 2x1,5mm2</v>
          </cell>
          <cell r="D2418" t="str">
            <v>m</v>
          </cell>
          <cell r="E2418">
            <v>0.3</v>
          </cell>
          <cell r="F2418">
            <v>9027.2727272727261</v>
          </cell>
          <cell r="G2418">
            <v>2708.1818181818176</v>
          </cell>
          <cell r="H2418">
            <v>0</v>
          </cell>
          <cell r="I2418">
            <v>0</v>
          </cell>
        </row>
        <row r="2419">
          <cell r="A2419">
            <v>0</v>
          </cell>
          <cell r="B2419">
            <v>0</v>
          </cell>
          <cell r="C2419" t="str">
            <v>Nhân công</v>
          </cell>
          <cell r="D2419">
            <v>0</v>
          </cell>
          <cell r="E2419">
            <v>0</v>
          </cell>
          <cell r="F2419">
            <v>0</v>
          </cell>
          <cell r="G2419">
            <v>0</v>
          </cell>
          <cell r="H2419">
            <v>0</v>
          </cell>
          <cell r="I2419">
            <v>0</v>
          </cell>
        </row>
        <row r="2420">
          <cell r="A2420">
            <v>0</v>
          </cell>
          <cell r="B2420" t="str">
            <v>KS4</v>
          </cell>
          <cell r="C2420" t="str">
            <v>Kỹ sư bậc 4,0/8</v>
          </cell>
          <cell r="D2420" t="str">
            <v>công</v>
          </cell>
          <cell r="E2420">
            <v>7.78</v>
          </cell>
          <cell r="F2420">
            <v>237000</v>
          </cell>
          <cell r="G2420">
            <v>0</v>
          </cell>
          <cell r="H2420">
            <v>1843860</v>
          </cell>
          <cell r="I2420">
            <v>0</v>
          </cell>
        </row>
        <row r="2421">
          <cell r="A2421">
            <v>0</v>
          </cell>
          <cell r="B2421">
            <v>0</v>
          </cell>
          <cell r="C2421" t="str">
            <v>Máy thi công</v>
          </cell>
          <cell r="D2421">
            <v>0</v>
          </cell>
          <cell r="E2421">
            <v>0</v>
          </cell>
          <cell r="F2421">
            <v>0</v>
          </cell>
          <cell r="G2421">
            <v>0</v>
          </cell>
          <cell r="H2421">
            <v>0</v>
          </cell>
          <cell r="I2421">
            <v>0</v>
          </cell>
        </row>
        <row r="2422">
          <cell r="A2422">
            <v>0</v>
          </cell>
          <cell r="B2422" t="str">
            <v>M203.0002</v>
          </cell>
          <cell r="C2422" t="str">
            <v>Bộ nguồn AC-DC</v>
          </cell>
          <cell r="D2422" t="str">
            <v>ca</v>
          </cell>
          <cell r="E2422">
            <v>0.28799999999999998</v>
          </cell>
          <cell r="F2422">
            <v>39763.181818181831</v>
          </cell>
          <cell r="G2422">
            <v>0</v>
          </cell>
          <cell r="H2422">
            <v>0</v>
          </cell>
          <cell r="I2422">
            <v>11451.796363636366</v>
          </cell>
        </row>
        <row r="2423">
          <cell r="A2423">
            <v>0</v>
          </cell>
          <cell r="B2423" t="str">
            <v>M203.0025</v>
          </cell>
          <cell r="C2423" t="str">
            <v>Megôm met</v>
          </cell>
          <cell r="D2423" t="str">
            <v>ca</v>
          </cell>
          <cell r="E2423">
            <v>0.15</v>
          </cell>
          <cell r="F2423">
            <v>40127.500000000007</v>
          </cell>
          <cell r="G2423">
            <v>0</v>
          </cell>
          <cell r="H2423">
            <v>0</v>
          </cell>
          <cell r="I2423">
            <v>6019.1250000000009</v>
          </cell>
        </row>
        <row r="2424">
          <cell r="A2424" t="str">
            <v>EH.10000</v>
          </cell>
          <cell r="B2424">
            <v>0</v>
          </cell>
          <cell r="C2424" t="str">
            <v>Thí nghiệm tính chất hóa học mẫu dầu cách điện</v>
          </cell>
          <cell r="D2424" t="str">
            <v>mẫu</v>
          </cell>
          <cell r="E2424">
            <v>0</v>
          </cell>
          <cell r="F2424">
            <v>0</v>
          </cell>
          <cell r="G2424">
            <v>28343.25</v>
          </cell>
          <cell r="H2424">
            <v>2079363.1578947371</v>
          </cell>
          <cell r="I2424">
            <v>71569.477954545466</v>
          </cell>
        </row>
        <row r="2425">
          <cell r="A2425">
            <v>0</v>
          </cell>
          <cell r="B2425">
            <v>0</v>
          </cell>
          <cell r="C2425" t="str">
            <v>Vật liệu</v>
          </cell>
          <cell r="D2425">
            <v>0</v>
          </cell>
          <cell r="E2425">
            <v>0</v>
          </cell>
          <cell r="F2425">
            <v>0</v>
          </cell>
          <cell r="G2425">
            <v>0</v>
          </cell>
          <cell r="H2425">
            <v>0</v>
          </cell>
          <cell r="I2425">
            <v>0</v>
          </cell>
        </row>
        <row r="2426">
          <cell r="A2426">
            <v>0</v>
          </cell>
          <cell r="B2426" t="str">
            <v>VL221</v>
          </cell>
          <cell r="C2426" t="str">
            <v>Điện năng</v>
          </cell>
          <cell r="D2426" t="str">
            <v>Kwh</v>
          </cell>
          <cell r="E2426">
            <v>5</v>
          </cell>
          <cell r="F2426">
            <v>1622.01</v>
          </cell>
          <cell r="G2426">
            <v>8110.05</v>
          </cell>
          <cell r="H2426">
            <v>0</v>
          </cell>
          <cell r="I2426">
            <v>0</v>
          </cell>
        </row>
        <row r="2427">
          <cell r="A2427">
            <v>0</v>
          </cell>
          <cell r="B2427" t="str">
            <v>VL203</v>
          </cell>
          <cell r="C2427" t="str">
            <v>Alkali blue (kiềm xanh)</v>
          </cell>
          <cell r="D2427" t="str">
            <v>gam</v>
          </cell>
          <cell r="E2427">
            <v>2</v>
          </cell>
          <cell r="F2427">
            <v>50</v>
          </cell>
          <cell r="G2427">
            <v>100</v>
          </cell>
          <cell r="H2427">
            <v>0</v>
          </cell>
          <cell r="I2427">
            <v>0</v>
          </cell>
        </row>
        <row r="2428">
          <cell r="A2428">
            <v>0</v>
          </cell>
          <cell r="B2428" t="str">
            <v>VL204</v>
          </cell>
          <cell r="C2428" t="str">
            <v>Giấy lọc thường</v>
          </cell>
          <cell r="D2428" t="str">
            <v>hộp</v>
          </cell>
          <cell r="E2428">
            <v>0.1</v>
          </cell>
          <cell r="F2428">
            <v>16016</v>
          </cell>
          <cell r="G2428">
            <v>1601.6000000000001</v>
          </cell>
          <cell r="H2428">
            <v>0</v>
          </cell>
          <cell r="I2428">
            <v>0</v>
          </cell>
        </row>
        <row r="2429">
          <cell r="A2429">
            <v>0</v>
          </cell>
          <cell r="B2429" t="str">
            <v>VL205</v>
          </cell>
          <cell r="C2429" t="str">
            <v>Giấy lọc không tro</v>
          </cell>
          <cell r="D2429" t="str">
            <v>hộp</v>
          </cell>
          <cell r="E2429">
            <v>0.1</v>
          </cell>
          <cell r="F2429">
            <v>22880</v>
          </cell>
          <cell r="G2429">
            <v>2288</v>
          </cell>
          <cell r="H2429">
            <v>0</v>
          </cell>
          <cell r="I2429">
            <v>0</v>
          </cell>
        </row>
        <row r="2430">
          <cell r="A2430">
            <v>0</v>
          </cell>
          <cell r="B2430" t="str">
            <v>VL206</v>
          </cell>
          <cell r="C2430" t="str">
            <v>Hyđroxy dekali (KOH) 0,1mol/l</v>
          </cell>
          <cell r="D2430" t="str">
            <v>lít</v>
          </cell>
          <cell r="E2430">
            <v>0.1</v>
          </cell>
          <cell r="F2430">
            <v>122727</v>
          </cell>
          <cell r="G2430">
            <v>12272.7</v>
          </cell>
          <cell r="H2430">
            <v>0</v>
          </cell>
          <cell r="I2430">
            <v>0</v>
          </cell>
        </row>
        <row r="2431">
          <cell r="A2431">
            <v>0</v>
          </cell>
          <cell r="B2431" t="str">
            <v>VL207</v>
          </cell>
          <cell r="C2431" t="str">
            <v>Toluen (không có lưu huỳnh)</v>
          </cell>
          <cell r="D2431" t="str">
            <v>lít</v>
          </cell>
          <cell r="E2431">
            <v>0.06</v>
          </cell>
          <cell r="F2431">
            <v>36364</v>
          </cell>
          <cell r="G2431">
            <v>2181.84</v>
          </cell>
          <cell r="H2431">
            <v>0</v>
          </cell>
          <cell r="I2431">
            <v>0</v>
          </cell>
        </row>
        <row r="2432">
          <cell r="A2432">
            <v>0</v>
          </cell>
          <cell r="B2432" t="str">
            <v>VL208</v>
          </cell>
          <cell r="C2432" t="str">
            <v>Êtanola đẳng khí  ( điểm sôi 78,2 °C)</v>
          </cell>
          <cell r="D2432" t="str">
            <v>lít</v>
          </cell>
          <cell r="E2432">
            <v>0.04</v>
          </cell>
          <cell r="F2432">
            <v>40909</v>
          </cell>
          <cell r="G2432">
            <v>1636.3600000000001</v>
          </cell>
          <cell r="H2432">
            <v>0</v>
          </cell>
          <cell r="I2432">
            <v>0</v>
          </cell>
        </row>
        <row r="2433">
          <cell r="A2433">
            <v>0</v>
          </cell>
          <cell r="B2433" t="str">
            <v>VL209</v>
          </cell>
          <cell r="C2433" t="str">
            <v>Axit clohydrique (HCl) 0,1mol/l</v>
          </cell>
          <cell r="D2433" t="str">
            <v>lít</v>
          </cell>
          <cell r="E2433">
            <v>0.1</v>
          </cell>
          <cell r="F2433">
            <v>1527</v>
          </cell>
          <cell r="G2433">
            <v>152.70000000000002</v>
          </cell>
          <cell r="H2433">
            <v>0</v>
          </cell>
          <cell r="I2433">
            <v>0</v>
          </cell>
        </row>
        <row r="2434">
          <cell r="A2434">
            <v>0</v>
          </cell>
          <cell r="B2434">
            <v>0</v>
          </cell>
          <cell r="C2434" t="str">
            <v>Nhân công</v>
          </cell>
          <cell r="D2434">
            <v>0</v>
          </cell>
          <cell r="E2434">
            <v>0</v>
          </cell>
          <cell r="F2434">
            <v>0</v>
          </cell>
          <cell r="G2434">
            <v>0</v>
          </cell>
          <cell r="H2434">
            <v>0</v>
          </cell>
          <cell r="I2434">
            <v>0</v>
          </cell>
        </row>
        <row r="2435">
          <cell r="A2435">
            <v>0</v>
          </cell>
          <cell r="B2435" t="str">
            <v>KS4</v>
          </cell>
          <cell r="C2435" t="str">
            <v>Kỹ sư bậc 4,0/8</v>
          </cell>
          <cell r="D2435" t="str">
            <v>công</v>
          </cell>
          <cell r="E2435">
            <v>5.2</v>
          </cell>
          <cell r="F2435">
            <v>237000</v>
          </cell>
          <cell r="G2435">
            <v>0</v>
          </cell>
          <cell r="H2435">
            <v>1232400</v>
          </cell>
          <cell r="I2435">
            <v>0</v>
          </cell>
        </row>
        <row r="2436">
          <cell r="A2436">
            <v>0</v>
          </cell>
          <cell r="B2436" t="str">
            <v>N4507</v>
          </cell>
          <cell r="C2436" t="str">
            <v xml:space="preserve"> Nhân công bậc 5,0/7 - Nhóm 4</v>
          </cell>
          <cell r="D2436" t="str">
            <v>công</v>
          </cell>
          <cell r="E2436">
            <v>2.8</v>
          </cell>
          <cell r="F2436">
            <v>302486.8421052632</v>
          </cell>
          <cell r="G2436">
            <v>0</v>
          </cell>
          <cell r="H2436">
            <v>846963.15789473697</v>
          </cell>
          <cell r="I2436">
            <v>0</v>
          </cell>
        </row>
        <row r="2437">
          <cell r="A2437">
            <v>0</v>
          </cell>
          <cell r="B2437">
            <v>0</v>
          </cell>
          <cell r="C2437" t="str">
            <v>Máy thi công</v>
          </cell>
          <cell r="D2437">
            <v>0</v>
          </cell>
          <cell r="E2437">
            <v>0</v>
          </cell>
          <cell r="F2437">
            <v>0</v>
          </cell>
          <cell r="G2437">
            <v>0</v>
          </cell>
          <cell r="H2437">
            <v>0</v>
          </cell>
          <cell r="I2437">
            <v>0</v>
          </cell>
        </row>
        <row r="2438">
          <cell r="A2438">
            <v>0</v>
          </cell>
          <cell r="B2438" t="str">
            <v>M203.0011</v>
          </cell>
          <cell r="C2438" t="str">
            <v>Máy đo độ chớp cháy kín</v>
          </cell>
          <cell r="D2438" t="str">
            <v>ca</v>
          </cell>
          <cell r="E2438">
            <v>0.25</v>
          </cell>
          <cell r="F2438">
            <v>139170.34090909091</v>
          </cell>
          <cell r="G2438">
            <v>0</v>
          </cell>
          <cell r="H2438">
            <v>0</v>
          </cell>
          <cell r="I2438">
            <v>34792.585227272728</v>
          </cell>
        </row>
        <row r="2439">
          <cell r="A2439">
            <v>0</v>
          </cell>
          <cell r="B2439" t="str">
            <v>M203.0018</v>
          </cell>
          <cell r="C2439" t="str">
            <v>Máy đo tỷ rrongj</v>
          </cell>
          <cell r="D2439" t="str">
            <v>ca</v>
          </cell>
          <cell r="E2439">
            <v>6.3E-2</v>
          </cell>
          <cell r="F2439">
            <v>58458.750000000007</v>
          </cell>
          <cell r="G2439">
            <v>0</v>
          </cell>
          <cell r="H2439">
            <v>0</v>
          </cell>
          <cell r="I2439">
            <v>3682.9012500000003</v>
          </cell>
        </row>
        <row r="2440">
          <cell r="A2440">
            <v>0</v>
          </cell>
          <cell r="B2440" t="str">
            <v>M203.0012</v>
          </cell>
          <cell r="C2440" t="str">
            <v>Máy đo độ nhớt</v>
          </cell>
          <cell r="D2440" t="str">
            <v>ca</v>
          </cell>
          <cell r="E2440">
            <v>0.125</v>
          </cell>
          <cell r="F2440">
            <v>119562.3863636364</v>
          </cell>
          <cell r="G2440">
            <v>0</v>
          </cell>
          <cell r="H2440">
            <v>0</v>
          </cell>
          <cell r="I2440">
            <v>14945.29829545455</v>
          </cell>
        </row>
        <row r="2441">
          <cell r="A2441">
            <v>0</v>
          </cell>
          <cell r="B2441" t="str">
            <v>M203.0010</v>
          </cell>
          <cell r="C2441" t="str">
            <v>Máy đo độ Axit</v>
          </cell>
          <cell r="D2441" t="str">
            <v>ca</v>
          </cell>
          <cell r="E2441">
            <v>0.125</v>
          </cell>
          <cell r="F2441">
            <v>145189.54545454544</v>
          </cell>
          <cell r="G2441">
            <v>0</v>
          </cell>
          <cell r="H2441">
            <v>0</v>
          </cell>
          <cell r="I2441">
            <v>18148.69318181818</v>
          </cell>
        </row>
        <row r="2442">
          <cell r="A2442" t="str">
            <v>EH.20010</v>
          </cell>
          <cell r="B2442">
            <v>0</v>
          </cell>
          <cell r="C2442" t="str">
            <v>Thí nghiệm điện áp xuyên thủng</v>
          </cell>
          <cell r="D2442" t="str">
            <v>mẫu</v>
          </cell>
          <cell r="E2442">
            <v>0</v>
          </cell>
          <cell r="F2442">
            <v>0</v>
          </cell>
          <cell r="G2442">
            <v>3335.7422727272724</v>
          </cell>
          <cell r="H2442">
            <v>342963.94736842107</v>
          </cell>
          <cell r="I2442">
            <v>7273.2386363636369</v>
          </cell>
        </row>
        <row r="2443">
          <cell r="A2443">
            <v>0</v>
          </cell>
          <cell r="B2443">
            <v>0</v>
          </cell>
          <cell r="C2443" t="str">
            <v>Vật liệu</v>
          </cell>
          <cell r="D2443">
            <v>0</v>
          </cell>
          <cell r="E2443">
            <v>0</v>
          </cell>
          <cell r="F2443">
            <v>0</v>
          </cell>
          <cell r="G2443">
            <v>0</v>
          </cell>
          <cell r="H2443">
            <v>0</v>
          </cell>
          <cell r="I2443">
            <v>0</v>
          </cell>
        </row>
        <row r="2444">
          <cell r="A2444">
            <v>0</v>
          </cell>
          <cell r="B2444" t="str">
            <v>VL221</v>
          </cell>
          <cell r="C2444" t="str">
            <v>Điện năng</v>
          </cell>
          <cell r="D2444" t="str">
            <v>Kwh</v>
          </cell>
          <cell r="E2444">
            <v>1.5</v>
          </cell>
          <cell r="F2444">
            <v>1622.01</v>
          </cell>
          <cell r="G2444">
            <v>2433.0149999999999</v>
          </cell>
          <cell r="H2444">
            <v>0</v>
          </cell>
          <cell r="I2444">
            <v>0</v>
          </cell>
        </row>
        <row r="2445">
          <cell r="A2445">
            <v>0</v>
          </cell>
          <cell r="B2445" t="str">
            <v>VL198</v>
          </cell>
          <cell r="C2445" t="str">
            <v>Dây điện 2x1,5mm2</v>
          </cell>
          <cell r="D2445" t="str">
            <v>m</v>
          </cell>
          <cell r="E2445">
            <v>0.1</v>
          </cell>
          <cell r="F2445">
            <v>9027.2727272727261</v>
          </cell>
          <cell r="G2445">
            <v>902.72727272727263</v>
          </cell>
          <cell r="H2445">
            <v>0</v>
          </cell>
          <cell r="I2445">
            <v>0</v>
          </cell>
        </row>
        <row r="2446">
          <cell r="A2446">
            <v>0</v>
          </cell>
          <cell r="B2446">
            <v>0</v>
          </cell>
          <cell r="C2446" t="str">
            <v>Nhân công</v>
          </cell>
          <cell r="D2446">
            <v>0</v>
          </cell>
          <cell r="E2446">
            <v>0</v>
          </cell>
          <cell r="F2446">
            <v>0</v>
          </cell>
          <cell r="G2446">
            <v>0</v>
          </cell>
          <cell r="H2446">
            <v>0</v>
          </cell>
          <cell r="I2446">
            <v>0</v>
          </cell>
        </row>
        <row r="2447">
          <cell r="A2447">
            <v>0</v>
          </cell>
          <cell r="B2447" t="str">
            <v>KS4</v>
          </cell>
          <cell r="C2447" t="str">
            <v>Kỹ sư bậc 4,0/8</v>
          </cell>
          <cell r="D2447" t="str">
            <v>công</v>
          </cell>
          <cell r="E2447">
            <v>0.86</v>
          </cell>
          <cell r="F2447">
            <v>237000</v>
          </cell>
          <cell r="G2447">
            <v>0</v>
          </cell>
          <cell r="H2447">
            <v>203820</v>
          </cell>
          <cell r="I2447">
            <v>0</v>
          </cell>
        </row>
        <row r="2448">
          <cell r="A2448">
            <v>0</v>
          </cell>
          <cell r="B2448" t="str">
            <v>N4507</v>
          </cell>
          <cell r="C2448" t="str">
            <v xml:space="preserve"> Nhân công bậc 5,0/7 - Nhóm 4</v>
          </cell>
          <cell r="D2448" t="str">
            <v>công</v>
          </cell>
          <cell r="E2448">
            <v>0.46</v>
          </cell>
          <cell r="F2448">
            <v>302486.8421052632</v>
          </cell>
          <cell r="G2448">
            <v>0</v>
          </cell>
          <cell r="H2448">
            <v>139143.94736842107</v>
          </cell>
          <cell r="I2448">
            <v>0</v>
          </cell>
        </row>
        <row r="2449">
          <cell r="A2449">
            <v>0</v>
          </cell>
          <cell r="B2449">
            <v>0</v>
          </cell>
          <cell r="C2449" t="str">
            <v>Máy thi công</v>
          </cell>
          <cell r="D2449">
            <v>0</v>
          </cell>
          <cell r="E2449">
            <v>0</v>
          </cell>
          <cell r="F2449">
            <v>0</v>
          </cell>
          <cell r="G2449">
            <v>0</v>
          </cell>
          <cell r="H2449">
            <v>0</v>
          </cell>
          <cell r="I2449">
            <v>0</v>
          </cell>
        </row>
        <row r="2450">
          <cell r="A2450">
            <v>0</v>
          </cell>
          <cell r="B2450" t="str">
            <v>M203.0013</v>
          </cell>
          <cell r="C2450" t="str">
            <v>Máy đo điện áp xuyên thủng</v>
          </cell>
          <cell r="D2450" t="str">
            <v>ca</v>
          </cell>
          <cell r="E2450">
            <v>0.25</v>
          </cell>
          <cell r="F2450">
            <v>29092.954545454548</v>
          </cell>
          <cell r="G2450">
            <v>0</v>
          </cell>
          <cell r="H2450">
            <v>0</v>
          </cell>
          <cell r="I2450">
            <v>7273.2386363636369</v>
          </cell>
        </row>
        <row r="2451">
          <cell r="A2451" t="str">
            <v>EH.20020</v>
          </cell>
          <cell r="B2451">
            <v>0</v>
          </cell>
          <cell r="C2451" t="str">
            <v>Thí nghiệm tg của dầu cách điện</v>
          </cell>
          <cell r="D2451" t="str">
            <v>mẫu</v>
          </cell>
          <cell r="E2451">
            <v>0</v>
          </cell>
          <cell r="F2451">
            <v>0</v>
          </cell>
          <cell r="G2451">
            <v>4146.7472727272725</v>
          </cell>
          <cell r="H2451">
            <v>623808.94736842113</v>
          </cell>
          <cell r="I2451">
            <v>72640.312500000015</v>
          </cell>
        </row>
        <row r="2452">
          <cell r="A2452">
            <v>0</v>
          </cell>
          <cell r="B2452">
            <v>0</v>
          </cell>
          <cell r="C2452" t="str">
            <v>Vật liệu</v>
          </cell>
          <cell r="D2452">
            <v>0</v>
          </cell>
          <cell r="E2452">
            <v>0</v>
          </cell>
          <cell r="F2452">
            <v>0</v>
          </cell>
          <cell r="G2452">
            <v>0</v>
          </cell>
          <cell r="H2452">
            <v>0</v>
          </cell>
          <cell r="I2452">
            <v>0</v>
          </cell>
        </row>
        <row r="2453">
          <cell r="A2453">
            <v>0</v>
          </cell>
          <cell r="B2453" t="str">
            <v>VL221</v>
          </cell>
          <cell r="C2453" t="str">
            <v>Điện năng</v>
          </cell>
          <cell r="D2453" t="str">
            <v>Kwh</v>
          </cell>
          <cell r="E2453">
            <v>2</v>
          </cell>
          <cell r="F2453">
            <v>1622.01</v>
          </cell>
          <cell r="G2453">
            <v>3244.02</v>
          </cell>
          <cell r="H2453">
            <v>0</v>
          </cell>
          <cell r="I2453">
            <v>0</v>
          </cell>
        </row>
        <row r="2454">
          <cell r="A2454">
            <v>0</v>
          </cell>
          <cell r="B2454" t="str">
            <v>VL198</v>
          </cell>
          <cell r="C2454" t="str">
            <v>Dây điện 2x1,5mm2</v>
          </cell>
          <cell r="D2454" t="str">
            <v>m</v>
          </cell>
          <cell r="E2454">
            <v>0.1</v>
          </cell>
          <cell r="F2454">
            <v>9027.2727272727261</v>
          </cell>
          <cell r="G2454">
            <v>902.72727272727263</v>
          </cell>
          <cell r="H2454">
            <v>0</v>
          </cell>
          <cell r="I2454">
            <v>0</v>
          </cell>
        </row>
        <row r="2455">
          <cell r="A2455">
            <v>0</v>
          </cell>
          <cell r="B2455">
            <v>0</v>
          </cell>
          <cell r="C2455" t="str">
            <v>Nhân công</v>
          </cell>
          <cell r="D2455">
            <v>0</v>
          </cell>
          <cell r="E2455">
            <v>0</v>
          </cell>
          <cell r="F2455">
            <v>0</v>
          </cell>
          <cell r="G2455">
            <v>0</v>
          </cell>
          <cell r="H2455">
            <v>0</v>
          </cell>
          <cell r="I2455">
            <v>0</v>
          </cell>
        </row>
        <row r="2456">
          <cell r="A2456">
            <v>0</v>
          </cell>
          <cell r="B2456" t="str">
            <v>KS4</v>
          </cell>
          <cell r="C2456" t="str">
            <v>Kỹ sư bậc 4,0/8</v>
          </cell>
          <cell r="D2456" t="str">
            <v>công</v>
          </cell>
          <cell r="E2456">
            <v>1.56</v>
          </cell>
          <cell r="F2456">
            <v>237000</v>
          </cell>
          <cell r="G2456">
            <v>0</v>
          </cell>
          <cell r="H2456">
            <v>369720</v>
          </cell>
          <cell r="I2456">
            <v>0</v>
          </cell>
        </row>
        <row r="2457">
          <cell r="A2457">
            <v>0</v>
          </cell>
          <cell r="B2457" t="str">
            <v>N4507</v>
          </cell>
          <cell r="C2457" t="str">
            <v xml:space="preserve"> Nhân công bậc 5,0/7 - Nhóm 4</v>
          </cell>
          <cell r="D2457" t="str">
            <v>công</v>
          </cell>
          <cell r="E2457">
            <v>0.84</v>
          </cell>
          <cell r="F2457">
            <v>302486.8421052632</v>
          </cell>
          <cell r="G2457">
            <v>0</v>
          </cell>
          <cell r="H2457">
            <v>254088.94736842107</v>
          </cell>
          <cell r="I2457">
            <v>0</v>
          </cell>
        </row>
        <row r="2458">
          <cell r="A2458">
            <v>0</v>
          </cell>
          <cell r="B2458">
            <v>0</v>
          </cell>
          <cell r="C2458" t="str">
            <v>Máy thi công</v>
          </cell>
          <cell r="D2458">
            <v>0</v>
          </cell>
          <cell r="E2458">
            <v>0</v>
          </cell>
          <cell r="F2458">
            <v>0</v>
          </cell>
          <cell r="G2458">
            <v>0</v>
          </cell>
          <cell r="H2458">
            <v>0</v>
          </cell>
          <cell r="I2458">
            <v>0</v>
          </cell>
        </row>
        <row r="2459">
          <cell r="A2459">
            <v>0</v>
          </cell>
          <cell r="B2459" t="str">
            <v>M203.0017</v>
          </cell>
          <cell r="C2459" t="str">
            <v>Máy đo tg của dầu cách điện</v>
          </cell>
          <cell r="D2459" t="str">
            <v>ca</v>
          </cell>
          <cell r="E2459">
            <v>0.25</v>
          </cell>
          <cell r="F2459">
            <v>290561.25000000006</v>
          </cell>
          <cell r="G2459">
            <v>0</v>
          </cell>
          <cell r="H2459">
            <v>0</v>
          </cell>
          <cell r="I2459">
            <v>72640.312500000015</v>
          </cell>
        </row>
        <row r="2460">
          <cell r="A2460" t="str">
            <v>EH.30000</v>
          </cell>
          <cell r="B2460">
            <v>0</v>
          </cell>
          <cell r="C2460" t="str">
            <v>Thí nghiệm độ ổn định ôxy hóa dầu cách điện</v>
          </cell>
          <cell r="D2460" t="str">
            <v>mẫu</v>
          </cell>
          <cell r="E2460">
            <v>0</v>
          </cell>
          <cell r="F2460">
            <v>0</v>
          </cell>
          <cell r="G2460">
            <v>129990.64</v>
          </cell>
          <cell r="H2460">
            <v>4304543.6842105268</v>
          </cell>
          <cell r="I2460">
            <v>729145.75284090929</v>
          </cell>
        </row>
        <row r="2461">
          <cell r="A2461">
            <v>0</v>
          </cell>
          <cell r="B2461">
            <v>0</v>
          </cell>
          <cell r="C2461" t="str">
            <v>Vật liệu</v>
          </cell>
          <cell r="D2461">
            <v>0</v>
          </cell>
          <cell r="E2461">
            <v>0</v>
          </cell>
          <cell r="F2461">
            <v>0</v>
          </cell>
          <cell r="G2461">
            <v>0</v>
          </cell>
          <cell r="H2461">
            <v>0</v>
          </cell>
          <cell r="I2461">
            <v>0</v>
          </cell>
        </row>
        <row r="2462">
          <cell r="A2462">
            <v>0</v>
          </cell>
          <cell r="B2462" t="str">
            <v>VL210</v>
          </cell>
          <cell r="C2462" t="str">
            <v>Nước cất</v>
          </cell>
          <cell r="D2462" t="str">
            <v>lít</v>
          </cell>
          <cell r="E2462">
            <v>0.1</v>
          </cell>
          <cell r="F2462">
            <v>1500</v>
          </cell>
          <cell r="G2462">
            <v>150</v>
          </cell>
          <cell r="H2462">
            <v>0</v>
          </cell>
          <cell r="I2462">
            <v>0</v>
          </cell>
        </row>
        <row r="2463">
          <cell r="A2463">
            <v>0</v>
          </cell>
          <cell r="B2463" t="str">
            <v>VL205</v>
          </cell>
          <cell r="C2463" t="str">
            <v>Giấy lọc không tro</v>
          </cell>
          <cell r="D2463" t="str">
            <v>hộp</v>
          </cell>
          <cell r="E2463">
            <v>0.1</v>
          </cell>
          <cell r="F2463">
            <v>22880</v>
          </cell>
          <cell r="G2463">
            <v>2288</v>
          </cell>
          <cell r="H2463">
            <v>0</v>
          </cell>
          <cell r="I2463">
            <v>0</v>
          </cell>
        </row>
        <row r="2464">
          <cell r="A2464">
            <v>0</v>
          </cell>
          <cell r="B2464" t="str">
            <v>VL211</v>
          </cell>
          <cell r="C2464" t="str">
            <v>Alcol êtylic</v>
          </cell>
          <cell r="D2464" t="str">
            <v>lít</v>
          </cell>
          <cell r="E2464">
            <v>5.0000000000000001E-3</v>
          </cell>
          <cell r="F2464">
            <v>23920</v>
          </cell>
          <cell r="G2464">
            <v>119.60000000000001</v>
          </cell>
          <cell r="H2464">
            <v>0</v>
          </cell>
          <cell r="I2464">
            <v>0</v>
          </cell>
        </row>
        <row r="2465">
          <cell r="A2465">
            <v>0</v>
          </cell>
          <cell r="B2465" t="str">
            <v>VL212</v>
          </cell>
          <cell r="C2465" t="str">
            <v>Ben zen</v>
          </cell>
          <cell r="D2465" t="str">
            <v>lít</v>
          </cell>
          <cell r="E2465">
            <v>0.02</v>
          </cell>
          <cell r="F2465">
            <v>118182</v>
          </cell>
          <cell r="G2465">
            <v>2363.64</v>
          </cell>
          <cell r="H2465">
            <v>0</v>
          </cell>
          <cell r="I2465">
            <v>0</v>
          </cell>
        </row>
        <row r="2466">
          <cell r="A2466">
            <v>0</v>
          </cell>
          <cell r="B2466" t="str">
            <v>VL213</v>
          </cell>
          <cell r="C2466" t="str">
            <v>Xăng nhẹ</v>
          </cell>
          <cell r="D2466" t="str">
            <v>lít</v>
          </cell>
          <cell r="E2466">
            <v>0.5</v>
          </cell>
          <cell r="F2466">
            <v>25000</v>
          </cell>
          <cell r="G2466">
            <v>12500</v>
          </cell>
          <cell r="H2466">
            <v>0</v>
          </cell>
          <cell r="I2466">
            <v>0</v>
          </cell>
        </row>
        <row r="2467">
          <cell r="A2467">
            <v>0</v>
          </cell>
          <cell r="B2467" t="str">
            <v>VL214</v>
          </cell>
          <cell r="C2467" t="str">
            <v>Heptan</v>
          </cell>
          <cell r="D2467" t="str">
            <v>lít</v>
          </cell>
          <cell r="E2467">
            <v>0.2</v>
          </cell>
          <cell r="F2467">
            <v>218182</v>
          </cell>
          <cell r="G2467">
            <v>43636.4</v>
          </cell>
          <cell r="H2467">
            <v>0</v>
          </cell>
          <cell r="I2467">
            <v>0</v>
          </cell>
        </row>
        <row r="2468">
          <cell r="A2468">
            <v>0</v>
          </cell>
          <cell r="B2468" t="str">
            <v>VL206</v>
          </cell>
          <cell r="C2468" t="str">
            <v>Hyđroxy dekali (KOH)</v>
          </cell>
          <cell r="D2468" t="str">
            <v>lít</v>
          </cell>
          <cell r="E2468">
            <v>0.1</v>
          </cell>
          <cell r="F2468">
            <v>122727</v>
          </cell>
          <cell r="G2468">
            <v>12272.7</v>
          </cell>
          <cell r="H2468">
            <v>0</v>
          </cell>
          <cell r="I2468">
            <v>0</v>
          </cell>
        </row>
        <row r="2469">
          <cell r="A2469">
            <v>0</v>
          </cell>
          <cell r="B2469" t="str">
            <v>VL215</v>
          </cell>
          <cell r="C2469" t="str">
            <v>Ôxy</v>
          </cell>
          <cell r="D2469" t="str">
            <v>chai</v>
          </cell>
          <cell r="E2469">
            <v>0.1</v>
          </cell>
          <cell r="F2469">
            <v>80000</v>
          </cell>
          <cell r="G2469">
            <v>8000</v>
          </cell>
          <cell r="H2469">
            <v>0</v>
          </cell>
          <cell r="I2469">
            <v>0</v>
          </cell>
        </row>
        <row r="2470">
          <cell r="A2470">
            <v>0</v>
          </cell>
          <cell r="B2470" t="str">
            <v>VL221</v>
          </cell>
          <cell r="C2470" t="str">
            <v>Điện năng</v>
          </cell>
          <cell r="D2470" t="str">
            <v>Kwh</v>
          </cell>
          <cell r="E2470">
            <v>30</v>
          </cell>
          <cell r="F2470">
            <v>1622.01</v>
          </cell>
          <cell r="G2470">
            <v>48660.3</v>
          </cell>
          <cell r="H2470">
            <v>0</v>
          </cell>
          <cell r="I2470">
            <v>0</v>
          </cell>
        </row>
        <row r="2471">
          <cell r="A2471">
            <v>0</v>
          </cell>
          <cell r="B2471">
            <v>0</v>
          </cell>
          <cell r="C2471" t="str">
            <v>Nhân công</v>
          </cell>
          <cell r="D2471">
            <v>0</v>
          </cell>
          <cell r="E2471">
            <v>0</v>
          </cell>
          <cell r="F2471">
            <v>0</v>
          </cell>
          <cell r="G2471">
            <v>0</v>
          </cell>
          <cell r="H2471">
            <v>0</v>
          </cell>
          <cell r="I2471">
            <v>0</v>
          </cell>
        </row>
        <row r="2472">
          <cell r="A2472">
            <v>0</v>
          </cell>
          <cell r="B2472" t="str">
            <v>KS4</v>
          </cell>
          <cell r="C2472" t="str">
            <v>Kỹ sư bậc 4,0/8</v>
          </cell>
          <cell r="D2472" t="str">
            <v>công</v>
          </cell>
          <cell r="E2472">
            <v>10.76</v>
          </cell>
          <cell r="F2472">
            <v>237000</v>
          </cell>
          <cell r="G2472">
            <v>0</v>
          </cell>
          <cell r="H2472">
            <v>2550120</v>
          </cell>
          <cell r="I2472">
            <v>0</v>
          </cell>
        </row>
        <row r="2473">
          <cell r="A2473">
            <v>0</v>
          </cell>
          <cell r="B2473" t="str">
            <v>N4507</v>
          </cell>
          <cell r="C2473" t="str">
            <v xml:space="preserve"> Nhân công bậc 5,0/7 - Nhóm 4</v>
          </cell>
          <cell r="D2473" t="str">
            <v>công</v>
          </cell>
          <cell r="E2473">
            <v>5.8</v>
          </cell>
          <cell r="F2473">
            <v>302486.8421052632</v>
          </cell>
          <cell r="G2473">
            <v>0</v>
          </cell>
          <cell r="H2473">
            <v>1754423.6842105265</v>
          </cell>
          <cell r="I2473">
            <v>0</v>
          </cell>
        </row>
        <row r="2474">
          <cell r="A2474">
            <v>0</v>
          </cell>
          <cell r="B2474">
            <v>0</v>
          </cell>
          <cell r="C2474" t="str">
            <v>Máy thi công</v>
          </cell>
          <cell r="D2474">
            <v>0</v>
          </cell>
          <cell r="E2474">
            <v>0</v>
          </cell>
          <cell r="F2474">
            <v>0</v>
          </cell>
          <cell r="G2474">
            <v>0</v>
          </cell>
          <cell r="H2474">
            <v>0</v>
          </cell>
          <cell r="I2474">
            <v>0</v>
          </cell>
        </row>
        <row r="2475">
          <cell r="A2475">
            <v>0</v>
          </cell>
          <cell r="B2475" t="str">
            <v>M203.0012</v>
          </cell>
          <cell r="C2475" t="str">
            <v>Máy đo độ nhớt</v>
          </cell>
          <cell r="D2475" t="str">
            <v>ca</v>
          </cell>
          <cell r="E2475">
            <v>0.125</v>
          </cell>
          <cell r="F2475">
            <v>119562.3863636364</v>
          </cell>
          <cell r="G2475">
            <v>0</v>
          </cell>
          <cell r="H2475">
            <v>0</v>
          </cell>
          <cell r="I2475">
            <v>14945.29829545455</v>
          </cell>
        </row>
        <row r="2476">
          <cell r="A2476">
            <v>0</v>
          </cell>
          <cell r="B2476" t="str">
            <v>M203.0021</v>
          </cell>
          <cell r="C2476" t="str">
            <v>Máy kiểm tra độ ổn định ôxy hóa dầu cách điện</v>
          </cell>
          <cell r="D2476" t="str">
            <v>ca</v>
          </cell>
          <cell r="E2476">
            <v>2.4</v>
          </cell>
          <cell r="F2476">
            <v>297583.52272727282</v>
          </cell>
          <cell r="G2476">
            <v>0</v>
          </cell>
          <cell r="H2476">
            <v>0</v>
          </cell>
          <cell r="I2476">
            <v>714200.4545454547</v>
          </cell>
        </row>
        <row r="2477">
          <cell r="A2477" t="str">
            <v>EH.40000</v>
          </cell>
          <cell r="B2477">
            <v>0</v>
          </cell>
          <cell r="C2477" t="str">
            <v>Thí nghiệm hàm vi lượng ẩm cảu dầu cách điện</v>
          </cell>
          <cell r="D2477" t="str">
            <v>mẫu</v>
          </cell>
          <cell r="E2477">
            <v>0</v>
          </cell>
          <cell r="F2477">
            <v>0</v>
          </cell>
          <cell r="G2477">
            <v>3394.7419999999997</v>
          </cell>
          <cell r="H2477">
            <v>1933545.7894736845</v>
          </cell>
          <cell r="I2477">
            <v>16575.482954545456</v>
          </cell>
        </row>
        <row r="2478">
          <cell r="A2478">
            <v>0</v>
          </cell>
          <cell r="B2478">
            <v>0</v>
          </cell>
          <cell r="C2478" t="str">
            <v>Vật liệu</v>
          </cell>
          <cell r="D2478">
            <v>0</v>
          </cell>
          <cell r="E2478">
            <v>0</v>
          </cell>
          <cell r="F2478">
            <v>0</v>
          </cell>
          <cell r="G2478">
            <v>0</v>
          </cell>
          <cell r="H2478">
            <v>0</v>
          </cell>
          <cell r="I2478">
            <v>0</v>
          </cell>
        </row>
        <row r="2479">
          <cell r="A2479">
            <v>0</v>
          </cell>
          <cell r="B2479" t="str">
            <v>VL221</v>
          </cell>
          <cell r="C2479" t="str">
            <v>Điện năng</v>
          </cell>
          <cell r="D2479" t="str">
            <v>Kwh</v>
          </cell>
          <cell r="E2479">
            <v>1</v>
          </cell>
          <cell r="F2479">
            <v>1622.01</v>
          </cell>
          <cell r="G2479">
            <v>1622.01</v>
          </cell>
          <cell r="H2479">
            <v>0</v>
          </cell>
          <cell r="I2479">
            <v>0</v>
          </cell>
        </row>
        <row r="2480">
          <cell r="A2480">
            <v>0</v>
          </cell>
          <cell r="B2480" t="str">
            <v>VL216</v>
          </cell>
          <cell r="C2480" t="str">
            <v>Hydranal A</v>
          </cell>
          <cell r="D2480" t="str">
            <v>lít</v>
          </cell>
          <cell r="E2480">
            <v>1.2E-2</v>
          </cell>
          <cell r="F2480">
            <v>136364</v>
          </cell>
          <cell r="G2480">
            <v>1636.3679999999999</v>
          </cell>
          <cell r="H2480">
            <v>0</v>
          </cell>
          <cell r="I2480">
            <v>0</v>
          </cell>
        </row>
        <row r="2481">
          <cell r="A2481">
            <v>0</v>
          </cell>
          <cell r="B2481" t="str">
            <v>VL217</v>
          </cell>
          <cell r="C2481" t="str">
            <v>Hydranal C</v>
          </cell>
          <cell r="D2481" t="str">
            <v>lít</v>
          </cell>
          <cell r="E2481">
            <v>1E-3</v>
          </cell>
          <cell r="F2481">
            <v>136364</v>
          </cell>
          <cell r="G2481">
            <v>136.364</v>
          </cell>
          <cell r="H2481">
            <v>0</v>
          </cell>
          <cell r="I2481">
            <v>0</v>
          </cell>
        </row>
        <row r="2482">
          <cell r="A2482">
            <v>0</v>
          </cell>
          <cell r="B2482">
            <v>0</v>
          </cell>
          <cell r="C2482" t="str">
            <v>Nhân công</v>
          </cell>
          <cell r="D2482">
            <v>0</v>
          </cell>
          <cell r="E2482">
            <v>0</v>
          </cell>
          <cell r="F2482">
            <v>0</v>
          </cell>
          <cell r="G2482">
            <v>0</v>
          </cell>
          <cell r="H2482">
            <v>0</v>
          </cell>
          <cell r="I2482">
            <v>0</v>
          </cell>
        </row>
        <row r="2483">
          <cell r="A2483">
            <v>0</v>
          </cell>
          <cell r="B2483" t="str">
            <v>KS4</v>
          </cell>
          <cell r="C2483" t="str">
            <v>Kỹ sư bậc 4,0/8</v>
          </cell>
          <cell r="D2483" t="str">
            <v>công</v>
          </cell>
          <cell r="E2483">
            <v>4.84</v>
          </cell>
          <cell r="F2483">
            <v>237000</v>
          </cell>
          <cell r="G2483">
            <v>0</v>
          </cell>
          <cell r="H2483">
            <v>1147080</v>
          </cell>
          <cell r="I2483">
            <v>0</v>
          </cell>
        </row>
        <row r="2484">
          <cell r="A2484">
            <v>0</v>
          </cell>
          <cell r="B2484" t="str">
            <v>N4507</v>
          </cell>
          <cell r="C2484" t="str">
            <v xml:space="preserve"> Nhân công bậc 5,0/7 - Nhóm 4</v>
          </cell>
          <cell r="D2484" t="str">
            <v>công</v>
          </cell>
          <cell r="E2484">
            <v>2.6</v>
          </cell>
          <cell r="F2484">
            <v>302486.8421052632</v>
          </cell>
          <cell r="G2484">
            <v>0</v>
          </cell>
          <cell r="H2484">
            <v>786465.78947368439</v>
          </cell>
          <cell r="I2484">
            <v>0</v>
          </cell>
        </row>
        <row r="2485">
          <cell r="A2485">
            <v>0</v>
          </cell>
          <cell r="B2485">
            <v>0</v>
          </cell>
          <cell r="C2485" t="str">
            <v>Máy thi công</v>
          </cell>
          <cell r="D2485">
            <v>0</v>
          </cell>
          <cell r="E2485">
            <v>0</v>
          </cell>
          <cell r="F2485">
            <v>0</v>
          </cell>
          <cell r="G2485">
            <v>0</v>
          </cell>
          <cell r="H2485">
            <v>0</v>
          </cell>
          <cell r="I2485">
            <v>0</v>
          </cell>
        </row>
        <row r="2486">
          <cell r="A2486">
            <v>0</v>
          </cell>
          <cell r="B2486" t="str">
            <v>M203.0024</v>
          </cell>
          <cell r="C2486" t="str">
            <v>Máy vi lượng ẩm</v>
          </cell>
          <cell r="D2486" t="str">
            <v>ca</v>
          </cell>
          <cell r="E2486">
            <v>0.125</v>
          </cell>
          <cell r="F2486">
            <v>132603.86363636365</v>
          </cell>
          <cell r="G2486">
            <v>0</v>
          </cell>
          <cell r="H2486">
            <v>0</v>
          </cell>
          <cell r="I2486">
            <v>16575.482954545456</v>
          </cell>
        </row>
        <row r="2487">
          <cell r="A2487" t="str">
            <v>EH.50000</v>
          </cell>
          <cell r="B2487">
            <v>0</v>
          </cell>
          <cell r="C2487" t="str">
            <v>Thí nghiệm phân tích hàm lượng khí hòa tan trong dầu cách điện</v>
          </cell>
          <cell r="D2487" t="str">
            <v>mẫu</v>
          </cell>
          <cell r="E2487">
            <v>0</v>
          </cell>
          <cell r="F2487">
            <v>0</v>
          </cell>
          <cell r="G2487">
            <v>89587.134999999995</v>
          </cell>
          <cell r="H2487">
            <v>2495235.7894736845</v>
          </cell>
          <cell r="I2487">
            <v>901415.13636363635</v>
          </cell>
        </row>
        <row r="2488">
          <cell r="A2488">
            <v>0</v>
          </cell>
          <cell r="B2488">
            <v>0</v>
          </cell>
          <cell r="C2488" t="str">
            <v>Vật liệu</v>
          </cell>
          <cell r="D2488">
            <v>0</v>
          </cell>
          <cell r="E2488">
            <v>0</v>
          </cell>
          <cell r="F2488">
            <v>0</v>
          </cell>
          <cell r="G2488">
            <v>0</v>
          </cell>
          <cell r="H2488">
            <v>0</v>
          </cell>
          <cell r="I2488">
            <v>0</v>
          </cell>
        </row>
        <row r="2489">
          <cell r="A2489">
            <v>0</v>
          </cell>
          <cell r="B2489" t="str">
            <v>VL221</v>
          </cell>
          <cell r="C2489" t="str">
            <v>Điện năng</v>
          </cell>
          <cell r="D2489" t="str">
            <v>Kwh</v>
          </cell>
          <cell r="E2489">
            <v>5</v>
          </cell>
          <cell r="F2489">
            <v>1622.01</v>
          </cell>
          <cell r="G2489">
            <v>8110.05</v>
          </cell>
          <cell r="H2489">
            <v>0</v>
          </cell>
          <cell r="I2489">
            <v>0</v>
          </cell>
        </row>
        <row r="2490">
          <cell r="A2490">
            <v>0</v>
          </cell>
          <cell r="B2490" t="str">
            <v>VL218</v>
          </cell>
          <cell r="C2490" t="str">
            <v>Khí argon  99,999%</v>
          </cell>
          <cell r="D2490" t="str">
            <v>bình</v>
          </cell>
          <cell r="E2490">
            <v>3.5000000000000003E-2</v>
          </cell>
          <cell r="F2490">
            <v>1000000</v>
          </cell>
          <cell r="G2490">
            <v>35000</v>
          </cell>
          <cell r="H2490">
            <v>0</v>
          </cell>
          <cell r="I2490">
            <v>0</v>
          </cell>
        </row>
        <row r="2491">
          <cell r="A2491">
            <v>0</v>
          </cell>
          <cell r="B2491" t="str">
            <v>VL219</v>
          </cell>
          <cell r="C2491" t="str">
            <v>Nước siêu sạch &gt;=5 Megaôm</v>
          </cell>
          <cell r="D2491" t="str">
            <v>lít</v>
          </cell>
          <cell r="E2491">
            <v>2.0799999999999999E-2</v>
          </cell>
          <cell r="F2491">
            <v>104000</v>
          </cell>
          <cell r="G2491">
            <v>2163.1999999999998</v>
          </cell>
          <cell r="H2491">
            <v>0</v>
          </cell>
          <cell r="I2491">
            <v>0</v>
          </cell>
        </row>
        <row r="2492">
          <cell r="A2492">
            <v>0</v>
          </cell>
          <cell r="B2492" t="str">
            <v>VL220</v>
          </cell>
          <cell r="C2492" t="str">
            <v>Khí chuẩn nồng độ thấp, nồng độ cao</v>
          </cell>
          <cell r="D2492" t="str">
            <v>bình</v>
          </cell>
          <cell r="E2492">
            <v>2.0999999999999999E-3</v>
          </cell>
          <cell r="F2492">
            <v>21101850</v>
          </cell>
          <cell r="G2492">
            <v>44313.884999999995</v>
          </cell>
          <cell r="H2492">
            <v>0</v>
          </cell>
          <cell r="I2492">
            <v>0</v>
          </cell>
        </row>
        <row r="2493">
          <cell r="A2493">
            <v>0</v>
          </cell>
          <cell r="B2493">
            <v>0</v>
          </cell>
          <cell r="C2493" t="str">
            <v>Nhân công</v>
          </cell>
          <cell r="D2493">
            <v>0</v>
          </cell>
          <cell r="E2493">
            <v>0</v>
          </cell>
          <cell r="F2493">
            <v>0</v>
          </cell>
          <cell r="G2493">
            <v>0</v>
          </cell>
          <cell r="H2493">
            <v>0</v>
          </cell>
          <cell r="I2493">
            <v>0</v>
          </cell>
        </row>
        <row r="2494">
          <cell r="A2494">
            <v>0</v>
          </cell>
          <cell r="B2494" t="str">
            <v>KS4</v>
          </cell>
          <cell r="C2494" t="str">
            <v>Kỹ sư bậc 4,0/8</v>
          </cell>
          <cell r="D2494" t="str">
            <v>công</v>
          </cell>
          <cell r="E2494">
            <v>6.24</v>
          </cell>
          <cell r="F2494">
            <v>237000</v>
          </cell>
          <cell r="G2494">
            <v>0</v>
          </cell>
          <cell r="H2494">
            <v>1478880</v>
          </cell>
          <cell r="I2494">
            <v>0</v>
          </cell>
        </row>
        <row r="2495">
          <cell r="A2495">
            <v>0</v>
          </cell>
          <cell r="B2495" t="str">
            <v>N4507</v>
          </cell>
          <cell r="C2495" t="str">
            <v xml:space="preserve"> Nhân công bậc 5,0/7 - Nhóm 4</v>
          </cell>
          <cell r="D2495" t="str">
            <v>công</v>
          </cell>
          <cell r="E2495">
            <v>3.36</v>
          </cell>
          <cell r="F2495">
            <v>302486.8421052632</v>
          </cell>
          <cell r="G2495">
            <v>0</v>
          </cell>
          <cell r="H2495">
            <v>1016355.7894736843</v>
          </cell>
          <cell r="I2495">
            <v>0</v>
          </cell>
        </row>
        <row r="2496">
          <cell r="A2496">
            <v>0</v>
          </cell>
          <cell r="B2496">
            <v>0</v>
          </cell>
          <cell r="C2496" t="str">
            <v>Máy thi công</v>
          </cell>
          <cell r="D2496">
            <v>0</v>
          </cell>
          <cell r="E2496">
            <v>0</v>
          </cell>
          <cell r="F2496">
            <v>0</v>
          </cell>
          <cell r="G2496">
            <v>0</v>
          </cell>
          <cell r="H2496">
            <v>0</v>
          </cell>
          <cell r="I2496">
            <v>0</v>
          </cell>
        </row>
        <row r="2497">
          <cell r="A2497">
            <v>0</v>
          </cell>
          <cell r="B2497" t="str">
            <v>M203.0006</v>
          </cell>
          <cell r="C2497" t="str">
            <v>Hợp bộ máy phân tích hàm lượng khí hòa tan trong dầu cách điện</v>
          </cell>
          <cell r="D2497" t="str">
            <v>ca</v>
          </cell>
          <cell r="E2497">
            <v>0.7</v>
          </cell>
          <cell r="F2497">
            <v>1287735.9090909092</v>
          </cell>
          <cell r="G2497">
            <v>0</v>
          </cell>
          <cell r="H2497">
            <v>0</v>
          </cell>
          <cell r="I2497">
            <v>901415.13636363635</v>
          </cell>
        </row>
        <row r="2498">
          <cell r="A2498" t="str">
            <v>EH.60000</v>
          </cell>
          <cell r="B2498">
            <v>0</v>
          </cell>
          <cell r="C2498" t="str">
            <v>Thí nghiệm phân tích độ ẩm trong khí SF6</v>
          </cell>
          <cell r="D2498" t="str">
            <v>mẫu</v>
          </cell>
          <cell r="E2498">
            <v>0</v>
          </cell>
          <cell r="F2498">
            <v>0</v>
          </cell>
          <cell r="G2498">
            <v>1622.01</v>
          </cell>
          <cell r="H2498">
            <v>2079363.1578947371</v>
          </cell>
          <cell r="I2498">
            <v>102590.4090909091</v>
          </cell>
        </row>
        <row r="2499">
          <cell r="A2499">
            <v>0</v>
          </cell>
          <cell r="B2499">
            <v>0</v>
          </cell>
          <cell r="C2499" t="str">
            <v>Vật liệu</v>
          </cell>
          <cell r="D2499">
            <v>0</v>
          </cell>
          <cell r="E2499">
            <v>0</v>
          </cell>
          <cell r="F2499">
            <v>0</v>
          </cell>
          <cell r="G2499">
            <v>0</v>
          </cell>
          <cell r="H2499">
            <v>0</v>
          </cell>
          <cell r="I2499">
            <v>0</v>
          </cell>
        </row>
        <row r="2500">
          <cell r="A2500">
            <v>0</v>
          </cell>
          <cell r="B2500" t="str">
            <v>VL221</v>
          </cell>
          <cell r="C2500" t="str">
            <v>Điện năng</v>
          </cell>
          <cell r="D2500" t="str">
            <v>Kwh</v>
          </cell>
          <cell r="E2500">
            <v>1</v>
          </cell>
          <cell r="F2500">
            <v>1622.01</v>
          </cell>
          <cell r="G2500">
            <v>1622.01</v>
          </cell>
          <cell r="H2500">
            <v>0</v>
          </cell>
          <cell r="I2500">
            <v>0</v>
          </cell>
        </row>
        <row r="2501">
          <cell r="A2501">
            <v>0</v>
          </cell>
          <cell r="B2501">
            <v>0</v>
          </cell>
          <cell r="C2501" t="str">
            <v>Nhân công</v>
          </cell>
          <cell r="D2501">
            <v>0</v>
          </cell>
          <cell r="E2501">
            <v>0</v>
          </cell>
          <cell r="F2501">
            <v>0</v>
          </cell>
          <cell r="G2501">
            <v>0</v>
          </cell>
          <cell r="H2501">
            <v>0</v>
          </cell>
          <cell r="I2501">
            <v>0</v>
          </cell>
        </row>
        <row r="2502">
          <cell r="A2502">
            <v>0</v>
          </cell>
          <cell r="B2502" t="str">
            <v>KS4</v>
          </cell>
          <cell r="C2502" t="str">
            <v>Kỹ sư bậc 4,0/8</v>
          </cell>
          <cell r="D2502" t="str">
            <v>công</v>
          </cell>
          <cell r="E2502">
            <v>5.2</v>
          </cell>
          <cell r="F2502">
            <v>237000</v>
          </cell>
          <cell r="G2502">
            <v>0</v>
          </cell>
          <cell r="H2502">
            <v>1232400</v>
          </cell>
          <cell r="I2502">
            <v>0</v>
          </cell>
        </row>
        <row r="2503">
          <cell r="A2503">
            <v>0</v>
          </cell>
          <cell r="B2503" t="str">
            <v>N4507</v>
          </cell>
          <cell r="C2503" t="str">
            <v xml:space="preserve"> Nhân công bậc 5,0/7 - Nhóm 4</v>
          </cell>
          <cell r="D2503" t="str">
            <v>công</v>
          </cell>
          <cell r="E2503">
            <v>2.8</v>
          </cell>
          <cell r="F2503">
            <v>302486.8421052632</v>
          </cell>
          <cell r="G2503">
            <v>0</v>
          </cell>
          <cell r="H2503">
            <v>846963.15789473697</v>
          </cell>
          <cell r="I2503">
            <v>0</v>
          </cell>
        </row>
        <row r="2504">
          <cell r="A2504">
            <v>0</v>
          </cell>
          <cell r="B2504">
            <v>0</v>
          </cell>
          <cell r="C2504" t="str">
            <v>Máy thi công</v>
          </cell>
          <cell r="D2504">
            <v>0</v>
          </cell>
          <cell r="E2504">
            <v>0</v>
          </cell>
          <cell r="F2504">
            <v>0</v>
          </cell>
          <cell r="G2504">
            <v>0</v>
          </cell>
          <cell r="H2504">
            <v>0</v>
          </cell>
          <cell r="I2504">
            <v>0</v>
          </cell>
        </row>
        <row r="2505">
          <cell r="A2505">
            <v>0</v>
          </cell>
          <cell r="B2505" t="str">
            <v>M203.0023</v>
          </cell>
          <cell r="C2505" t="str">
            <v>Máy phân tích độ ẩm trong khí SF6</v>
          </cell>
          <cell r="D2505" t="str">
            <v>ca</v>
          </cell>
          <cell r="E2505">
            <v>0.7</v>
          </cell>
          <cell r="F2505">
            <v>146557.72727272729</v>
          </cell>
          <cell r="G2505">
            <v>0</v>
          </cell>
          <cell r="H2505">
            <v>0</v>
          </cell>
          <cell r="I2505">
            <v>102590.4090909091</v>
          </cell>
        </row>
        <row r="2506">
          <cell r="A2506">
            <v>0</v>
          </cell>
          <cell r="B2506">
            <v>0</v>
          </cell>
          <cell r="C2506">
            <v>0</v>
          </cell>
          <cell r="D2506">
            <v>0</v>
          </cell>
          <cell r="E2506">
            <v>0</v>
          </cell>
          <cell r="F2506">
            <v>0</v>
          </cell>
          <cell r="G2506">
            <v>0</v>
          </cell>
          <cell r="H2506">
            <v>0</v>
          </cell>
          <cell r="I2506">
            <v>0</v>
          </cell>
        </row>
      </sheetData>
      <sheetData sheetId="8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xz"/>
      <sheetName val="tra cuu"/>
      <sheetName val="TM"/>
      <sheetName val="TỔNG MỨC"/>
      <sheetName val="Sheet1"/>
      <sheetName val="THXL"/>
      <sheetName val="Du toan"/>
      <sheetName val="PTDG-CL"/>
      <sheetName val="PLV"/>
      <sheetName val="GVL-tuyến"/>
      <sheetName val="GVL-BTN"/>
      <sheetName val="Cuoc VC &lt;20km"/>
      <sheetName val="Cuoc VC-tuyen"/>
      <sheetName val="Cuoc VC &gt;20km"/>
      <sheetName val="Cuoc VC-TT10"/>
      <sheetName val="QĐ vc VL"/>
      <sheetName val="THĐBGT"/>
      <sheetName val="CT ĐBGT"/>
      <sheetName val="NC"/>
      <sheetName val="GCM"/>
      <sheetName val="Lương lái xe"/>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4">
          <cell r="D4" t="str">
            <v>S¶n xuÊt BTNC 19 h¹t trung (Tr¹m trén 120T/h)</v>
          </cell>
          <cell r="E4" t="str">
            <v>tÊn</v>
          </cell>
          <cell r="F4">
            <v>1</v>
          </cell>
        </row>
        <row r="5">
          <cell r="D5" t="str">
            <v>VËt liÖu</v>
          </cell>
          <cell r="H5">
            <v>758198.27877618838</v>
          </cell>
          <cell r="J5">
            <v>100</v>
          </cell>
        </row>
        <row r="6">
          <cell r="D6" t="str">
            <v xml:space="preserve">A.VËt liÖu chÝnh </v>
          </cell>
        </row>
        <row r="7">
          <cell r="C7" t="str">
            <v>VL02</v>
          </cell>
          <cell r="D7" t="str">
            <v>Đá 1x2 28%</v>
          </cell>
          <cell r="E7" t="str">
            <v>m3</v>
          </cell>
          <cell r="F7">
            <v>0.1792</v>
          </cell>
          <cell r="G7">
            <v>150000</v>
          </cell>
          <cell r="H7">
            <v>26880</v>
          </cell>
        </row>
        <row r="8">
          <cell r="C8" t="str">
            <v>VL01</v>
          </cell>
          <cell r="D8" t="str">
            <v>Đá 0.5*1 24%</v>
          </cell>
          <cell r="E8" t="str">
            <v>m3</v>
          </cell>
          <cell r="F8">
            <v>0.15360000000000001</v>
          </cell>
          <cell r="G8">
            <v>150000</v>
          </cell>
          <cell r="H8">
            <v>23040.000000000004</v>
          </cell>
          <cell r="J8" t="str">
            <v>Từ trạm trộn xã xuân quang ra Km152 QL70 là 6km</v>
          </cell>
        </row>
        <row r="9">
          <cell r="C9" t="str">
            <v>VL03</v>
          </cell>
          <cell r="D9" t="str">
            <v>Đá 0*0.5 31%</v>
          </cell>
          <cell r="E9" t="str">
            <v>m3</v>
          </cell>
          <cell r="F9">
            <v>0.19840000000000002</v>
          </cell>
          <cell r="G9">
            <v>150000</v>
          </cell>
          <cell r="H9">
            <v>29760.000000000004</v>
          </cell>
          <cell r="K9">
            <v>38</v>
          </cell>
        </row>
        <row r="10">
          <cell r="C10" t="str">
            <v>VL05</v>
          </cell>
          <cell r="D10" t="str">
            <v>Cát vàng 11%</v>
          </cell>
          <cell r="E10" t="str">
            <v>m3</v>
          </cell>
          <cell r="F10">
            <v>8.5360000000000005E-2</v>
          </cell>
          <cell r="G10">
            <v>174459.58613165584</v>
          </cell>
          <cell r="H10">
            <v>14891.870272198144</v>
          </cell>
        </row>
        <row r="11">
          <cell r="C11" t="str">
            <v>VL04</v>
          </cell>
          <cell r="D11" t="str">
            <v>Bột đá 6%</v>
          </cell>
          <cell r="E11" t="str">
            <v>kg</v>
          </cell>
          <cell r="F11">
            <v>56.681999999999995</v>
          </cell>
          <cell r="G11">
            <v>279.65354826034684</v>
          </cell>
          <cell r="H11">
            <v>15851.322422492978</v>
          </cell>
          <cell r="J11" t="str">
            <v>TB tuyến tại km 184</v>
          </cell>
        </row>
        <row r="12">
          <cell r="C12" t="str">
            <v>VL06</v>
          </cell>
          <cell r="D12" t="str">
            <v>Nhựa đường đặc nóng 4,5%</v>
          </cell>
          <cell r="E12" t="str">
            <v>kg</v>
          </cell>
          <cell r="F12">
            <v>46.116999999999997</v>
          </cell>
          <cell r="G12">
            <v>11506.876513417428</v>
          </cell>
          <cell r="H12">
            <v>530662.62416927156</v>
          </cell>
          <cell r="J12">
            <v>35.700000000000045</v>
          </cell>
        </row>
        <row r="13">
          <cell r="D13" t="str">
            <v>A. VËt liÖu phô</v>
          </cell>
          <cell r="H13">
            <v>0</v>
          </cell>
          <cell r="J13">
            <v>4.5</v>
          </cell>
          <cell r="K13">
            <v>5</v>
          </cell>
        </row>
        <row r="14">
          <cell r="C14" t="str">
            <v>VL07</v>
          </cell>
          <cell r="D14" t="str">
            <v>- DÇu diezen</v>
          </cell>
          <cell r="E14" t="str">
            <v>kg</v>
          </cell>
          <cell r="F14">
            <v>1.5</v>
          </cell>
          <cell r="G14">
            <v>13887.147335423195</v>
          </cell>
          <cell r="H14">
            <v>20830.721003134793</v>
          </cell>
          <cell r="J14">
            <v>46.116999999999997</v>
          </cell>
          <cell r="K14">
            <v>50.953000000000003</v>
          </cell>
        </row>
        <row r="15">
          <cell r="C15" t="str">
            <v>VL08</v>
          </cell>
          <cell r="D15" t="str">
            <v>- DÇu mazut</v>
          </cell>
          <cell r="E15" t="str">
            <v>kg</v>
          </cell>
          <cell r="F15">
            <v>8.5</v>
          </cell>
          <cell r="G15">
            <v>9736.363636363636</v>
          </cell>
          <cell r="H15">
            <v>82759.090909090912</v>
          </cell>
          <cell r="J15">
            <v>46.116999999999997</v>
          </cell>
        </row>
        <row r="16">
          <cell r="C16" t="str">
            <v>VL09</v>
          </cell>
          <cell r="D16" t="str">
            <v>- DÇu b¶o «n</v>
          </cell>
          <cell r="E16" t="str">
            <v>kg</v>
          </cell>
          <cell r="F16">
            <v>0.42499999999999999</v>
          </cell>
          <cell r="G16">
            <v>31818</v>
          </cell>
          <cell r="H16">
            <v>13522.65</v>
          </cell>
          <cell r="J16">
            <v>46.11699999999999</v>
          </cell>
        </row>
        <row r="17">
          <cell r="D17" t="str">
            <v>B. Nhân công 4.0/7 - nhóm 4</v>
          </cell>
          <cell r="E17" t="str">
            <v>công</v>
          </cell>
          <cell r="F17">
            <v>1.95E-2</v>
          </cell>
          <cell r="G17">
            <v>206401</v>
          </cell>
          <cell r="H17">
            <v>4024.8195000000001</v>
          </cell>
        </row>
        <row r="18">
          <cell r="D18" t="str">
            <v>C. Máy thi công</v>
          </cell>
          <cell r="H18">
            <v>35598.929535651936</v>
          </cell>
        </row>
        <row r="19">
          <cell r="D19" t="str">
            <v>- Sản xuất</v>
          </cell>
        </row>
        <row r="20">
          <cell r="D20" t="str">
            <v>- Trạm trộn 120T/h</v>
          </cell>
          <cell r="E20" t="str">
            <v>ca</v>
          </cell>
          <cell r="F20">
            <v>2.0999999999999999E-3</v>
          </cell>
          <cell r="G20">
            <v>11094089.720631579</v>
          </cell>
          <cell r="H20">
            <v>23297.588413326313</v>
          </cell>
        </row>
        <row r="21">
          <cell r="D21" t="str">
            <v>- Máy xúc lật 3.2m3</v>
          </cell>
          <cell r="E21" t="str">
            <v>ca</v>
          </cell>
          <cell r="F21">
            <v>2.0999999999999999E-3</v>
          </cell>
          <cell r="G21">
            <v>4382487.4025974032</v>
          </cell>
          <cell r="H21">
            <v>9203.2235454545462</v>
          </cell>
        </row>
        <row r="22">
          <cell r="D22" t="str">
            <v>- Máy ủi110CV</v>
          </cell>
          <cell r="E22" t="str">
            <v>ca</v>
          </cell>
          <cell r="F22">
            <v>1.6100000000000001E-3</v>
          </cell>
          <cell r="G22">
            <v>1490744.9383116881</v>
          </cell>
          <cell r="H22">
            <v>2400.0993506818181</v>
          </cell>
        </row>
        <row r="23">
          <cell r="D23" t="str">
            <v>- Máy khác</v>
          </cell>
          <cell r="E23" t="str">
            <v>%</v>
          </cell>
          <cell r="F23">
            <v>2</v>
          </cell>
          <cell r="H23">
            <v>698.0182261892536</v>
          </cell>
        </row>
        <row r="24">
          <cell r="D24" t="str">
            <v xml:space="preserve">VËn chuyÓn bª t«ng nhùa tõ tr¹m trén vÒ ®o¹n tuyÕn </v>
          </cell>
          <cell r="E24" t="str">
            <v>km</v>
          </cell>
          <cell r="F24">
            <v>38</v>
          </cell>
        </row>
        <row r="25">
          <cell r="D25" t="str">
            <v>VËn chuyÓn 4km ®Çu, « t« tù ®æ 12T</v>
          </cell>
          <cell r="E25" t="str">
            <v>ca</v>
          </cell>
          <cell r="F25">
            <v>1.89E-2</v>
          </cell>
          <cell r="G25">
            <v>1891312.6201298703</v>
          </cell>
          <cell r="H25">
            <v>35745.80852045455</v>
          </cell>
        </row>
        <row r="26">
          <cell r="D26" t="str">
            <v>VËn chuyÓn c¸c km tiÕp theo</v>
          </cell>
          <cell r="E26" t="str">
            <v>ca</v>
          </cell>
          <cell r="F26">
            <v>8.1600000000000006E-2</v>
          </cell>
          <cell r="G26">
            <v>1891312.6201298703</v>
          </cell>
          <cell r="H26">
            <v>154331.10980259744</v>
          </cell>
        </row>
        <row r="27">
          <cell r="D27" t="str">
            <v>Tæng céng gi¸ BTN t¹i tuyÕn</v>
          </cell>
          <cell r="E27" t="str">
            <v>tÊn</v>
          </cell>
          <cell r="F27">
            <v>1</v>
          </cell>
          <cell r="H27">
            <v>987898.94613489229</v>
          </cell>
        </row>
        <row r="29">
          <cell r="B29" t="str">
            <v>CT1A</v>
          </cell>
          <cell r="D29" t="str">
            <v xml:space="preserve">Th¶m mÆt ®­êng BTNC 19 h¹t trung dµy 7cm </v>
          </cell>
          <cell r="E29" t="str">
            <v>m2</v>
          </cell>
          <cell r="F29">
            <v>1</v>
          </cell>
          <cell r="I29">
            <v>164188.80484761912</v>
          </cell>
          <cell r="J29">
            <v>4126.0163000000002</v>
          </cell>
          <cell r="K29">
            <v>2386.7320887766664</v>
          </cell>
        </row>
        <row r="30">
          <cell r="D30" t="str">
            <v>A.VËt liÖu</v>
          </cell>
          <cell r="H30">
            <v>164188.80484761912</v>
          </cell>
        </row>
        <row r="31">
          <cell r="D31" t="str">
            <v>- Bªt«ng nhùa C19</v>
          </cell>
          <cell r="E31" t="str">
            <v>tÊn</v>
          </cell>
          <cell r="F31">
            <v>0.16620000000000001</v>
          </cell>
          <cell r="G31">
            <v>987898.94613489229</v>
          </cell>
          <cell r="H31">
            <v>164188.80484761912</v>
          </cell>
        </row>
        <row r="32">
          <cell r="D32" t="str">
            <v>B. Nh©n c«ng 3.5/7 - nhãm 4</v>
          </cell>
          <cell r="E32" t="str">
            <v>c«ng</v>
          </cell>
          <cell r="F32">
            <v>2.1700000000000001E-2</v>
          </cell>
          <cell r="G32">
            <v>190139</v>
          </cell>
          <cell r="H32">
            <v>4126.0163000000002</v>
          </cell>
        </row>
        <row r="33">
          <cell r="D33" t="str">
            <v>C. M¸y thi c«ng</v>
          </cell>
          <cell r="H33">
            <v>2386.7320887766664</v>
          </cell>
        </row>
        <row r="34">
          <cell r="D34" t="str">
            <v>- M¸y r¶i 130-140cv</v>
          </cell>
          <cell r="E34" t="str">
            <v>ca</v>
          </cell>
          <cell r="F34">
            <v>1E-4</v>
          </cell>
          <cell r="G34">
            <v>4756927.1484848484</v>
          </cell>
          <cell r="H34">
            <v>475.69271484848485</v>
          </cell>
        </row>
        <row r="35">
          <cell r="D35" t="str">
            <v>- M¸y ®Çm lu 10T</v>
          </cell>
          <cell r="E35" t="str">
            <v>ca</v>
          </cell>
          <cell r="F35">
            <v>1.1999999999999999E-3</v>
          </cell>
          <cell r="G35">
            <v>907340.29831649829</v>
          </cell>
          <cell r="H35">
            <v>1088.8083579797978</v>
          </cell>
        </row>
        <row r="36">
          <cell r="D36" t="str">
            <v>- M¸y ®Çm b¸nh h¬i 16T</v>
          </cell>
          <cell r="E36" t="str">
            <v>ca</v>
          </cell>
          <cell r="F36">
            <v>6.4000000000000005E-4</v>
          </cell>
          <cell r="G36">
            <v>1266182.3858585858</v>
          </cell>
          <cell r="H36">
            <v>810.35672694949494</v>
          </cell>
        </row>
        <row r="37">
          <cell r="D37" t="str">
            <v>M¸y kh¸c</v>
          </cell>
          <cell r="E37" t="str">
            <v>%</v>
          </cell>
          <cell r="F37">
            <v>0.5</v>
          </cell>
          <cell r="H37">
            <v>11.874288998888888</v>
          </cell>
        </row>
        <row r="39">
          <cell r="D39" t="str">
            <v xml:space="preserve">Th¶m mÆt ®­êng BTNC 19 h¹t trung dµy 6cm </v>
          </cell>
          <cell r="E39" t="str">
            <v>m2</v>
          </cell>
          <cell r="F39">
            <v>1</v>
          </cell>
          <cell r="I39">
            <v>140676.80992960866</v>
          </cell>
          <cell r="J39">
            <v>5033.8815999999997</v>
          </cell>
          <cell r="K39">
            <v>4183.9814887057337</v>
          </cell>
        </row>
        <row r="40">
          <cell r="D40" t="str">
            <v>A.VËt liÖu</v>
          </cell>
          <cell r="H40">
            <v>140676.80992960866</v>
          </cell>
        </row>
        <row r="41">
          <cell r="D41" t="str">
            <v>- Bªt«ng nhùa C19</v>
          </cell>
          <cell r="E41" t="str">
            <v>tÊn</v>
          </cell>
          <cell r="F41">
            <v>0.1424</v>
          </cell>
          <cell r="G41">
            <v>987898.94613489229</v>
          </cell>
          <cell r="H41">
            <v>140676.80992960866</v>
          </cell>
        </row>
        <row r="42">
          <cell r="D42" t="str">
            <v>B. Nh©n c«ng 4,0/7 - nhãm 2</v>
          </cell>
          <cell r="E42" t="str">
            <v>c«ng</v>
          </cell>
          <cell r="F42">
            <v>2.18E-2</v>
          </cell>
          <cell r="G42">
            <v>230912</v>
          </cell>
          <cell r="H42">
            <v>5033.8815999999997</v>
          </cell>
        </row>
        <row r="43">
          <cell r="D43" t="str">
            <v>C. M¸y thi c«ng</v>
          </cell>
          <cell r="H43">
            <v>4183.9814887057337</v>
          </cell>
        </row>
        <row r="44">
          <cell r="D44" t="str">
            <v>- M¸y r¶i 130-140cv</v>
          </cell>
          <cell r="E44" t="str">
            <v>ca</v>
          </cell>
          <cell r="F44">
            <v>5.04E-4</v>
          </cell>
          <cell r="G44">
            <v>4219689.4597902093</v>
          </cell>
          <cell r="H44">
            <v>2126.7234877342653</v>
          </cell>
        </row>
        <row r="45">
          <cell r="D45" t="str">
            <v>- M¸y ®Çm lu 10T</v>
          </cell>
          <cell r="E45" t="str">
            <v>ca</v>
          </cell>
          <cell r="F45">
            <v>1.1999999999999999E-3</v>
          </cell>
          <cell r="G45">
            <v>914796.75874125864</v>
          </cell>
          <cell r="H45">
            <v>1097.7561104895103</v>
          </cell>
        </row>
        <row r="46">
          <cell r="D46" t="str">
            <v>- M¸y ®Çm b¸nh h¬i 16T</v>
          </cell>
          <cell r="E46" t="str">
            <v>ca</v>
          </cell>
          <cell r="F46">
            <v>6.4000000000000005E-4</v>
          </cell>
          <cell r="G46">
            <v>1371035.9965034963</v>
          </cell>
          <cell r="H46">
            <v>877.46303776223772</v>
          </cell>
        </row>
        <row r="47">
          <cell r="D47" t="str">
            <v>M¸y kh¸c</v>
          </cell>
          <cell r="E47" t="str">
            <v>%</v>
          </cell>
          <cell r="F47">
            <v>2</v>
          </cell>
          <cell r="H47">
            <v>82.038852719720268</v>
          </cell>
        </row>
        <row r="49">
          <cell r="D49" t="str">
            <v xml:space="preserve">Th¶m + bï vªnh mÆt ®­êng BTNC 19 h¹t trung dµy 7,5cm </v>
          </cell>
          <cell r="E49" t="str">
            <v>m2</v>
          </cell>
          <cell r="F49">
            <v>1</v>
          </cell>
          <cell r="I49">
            <v>175944.8023066243</v>
          </cell>
          <cell r="J49">
            <v>6315.4432000000006</v>
          </cell>
          <cell r="K49">
            <v>4855.4184755475517</v>
          </cell>
        </row>
        <row r="50">
          <cell r="D50" t="str">
            <v>A.VËt liÖu</v>
          </cell>
          <cell r="H50">
            <v>175944.8023066243</v>
          </cell>
        </row>
        <row r="51">
          <cell r="D51" t="str">
            <v>- Bªt«ng nhùa C19</v>
          </cell>
          <cell r="E51" t="str">
            <v>tÊn</v>
          </cell>
          <cell r="F51">
            <v>0.17809999999999998</v>
          </cell>
          <cell r="G51">
            <v>987898.94613489229</v>
          </cell>
          <cell r="H51">
            <v>175944.8023066243</v>
          </cell>
        </row>
        <row r="52">
          <cell r="D52" t="str">
            <v>B. Nh©n c«ng 4,0/7 - nhãm 2</v>
          </cell>
          <cell r="E52" t="str">
            <v>c«ng</v>
          </cell>
          <cell r="F52">
            <v>2.7350000000000003E-2</v>
          </cell>
          <cell r="G52">
            <v>230912</v>
          </cell>
          <cell r="H52">
            <v>6315.4432000000006</v>
          </cell>
        </row>
        <row r="53">
          <cell r="D53" t="str">
            <v>C. M¸y thi c«ng</v>
          </cell>
          <cell r="H53">
            <v>4855.4184755475517</v>
          </cell>
        </row>
        <row r="54">
          <cell r="D54" t="str">
            <v>- M¸y r¶i 130-140cv</v>
          </cell>
          <cell r="E54" t="str">
            <v>ca</v>
          </cell>
          <cell r="F54">
            <v>6.6E-4</v>
          </cell>
          <cell r="G54">
            <v>4219689.4597902093</v>
          </cell>
          <cell r="H54">
            <v>2784.995043461538</v>
          </cell>
        </row>
        <row r="55">
          <cell r="D55" t="str">
            <v>- M¸y ®Çm lu 10T</v>
          </cell>
          <cell r="E55" t="str">
            <v>ca</v>
          </cell>
          <cell r="F55">
            <v>1.1999999999999999E-3</v>
          </cell>
          <cell r="G55">
            <v>914796.75874125864</v>
          </cell>
          <cell r="H55">
            <v>1097.7561104895103</v>
          </cell>
        </row>
        <row r="56">
          <cell r="D56" t="str">
            <v>- M¸y ®Çm b¸nh h¬i 16T</v>
          </cell>
          <cell r="E56" t="str">
            <v>ca</v>
          </cell>
          <cell r="F56">
            <v>6.4000000000000005E-4</v>
          </cell>
          <cell r="G56">
            <v>1371035.9965034963</v>
          </cell>
          <cell r="H56">
            <v>877.46303776223772</v>
          </cell>
        </row>
        <row r="57">
          <cell r="D57" t="str">
            <v>M¸y kh¸c</v>
          </cell>
          <cell r="E57" t="str">
            <v>%</v>
          </cell>
          <cell r="F57">
            <v>2</v>
          </cell>
          <cell r="H57">
            <v>95.204283834265723</v>
          </cell>
        </row>
        <row r="59">
          <cell r="D59" t="str">
            <v xml:space="preserve">Th¶m mÆt ®­êng BTNC 19 h¹t trung dµy 3cm </v>
          </cell>
          <cell r="E59" t="str">
            <v>m2</v>
          </cell>
          <cell r="F59">
            <v>1</v>
          </cell>
          <cell r="I59">
            <v>69449.295913282927</v>
          </cell>
          <cell r="J59">
            <v>2516.9407999999999</v>
          </cell>
          <cell r="K59">
            <v>2943.6562538285666</v>
          </cell>
        </row>
        <row r="60">
          <cell r="D60" t="str">
            <v>A.VËt liÖu</v>
          </cell>
          <cell r="H60">
            <v>69449.295913282927</v>
          </cell>
        </row>
        <row r="61">
          <cell r="D61" t="str">
            <v>- Bªt«ng nhùa C19</v>
          </cell>
          <cell r="E61" t="str">
            <v>tÊn</v>
          </cell>
          <cell r="F61">
            <v>7.0300000000000001E-2</v>
          </cell>
          <cell r="G61">
            <v>987898.94613489229</v>
          </cell>
          <cell r="H61">
            <v>69449.295913282927</v>
          </cell>
        </row>
        <row r="62">
          <cell r="D62" t="str">
            <v>B. Nh©n c«ng 4,0/7 - nhãm 2</v>
          </cell>
          <cell r="E62" t="str">
            <v>c«ng</v>
          </cell>
          <cell r="F62">
            <v>1.09E-2</v>
          </cell>
          <cell r="G62">
            <v>230912</v>
          </cell>
          <cell r="H62">
            <v>2516.9407999999999</v>
          </cell>
        </row>
        <row r="63">
          <cell r="D63" t="str">
            <v>C. M¸y thi c«ng</v>
          </cell>
          <cell r="H63">
            <v>2943.6562538285666</v>
          </cell>
        </row>
        <row r="64">
          <cell r="D64" t="str">
            <v>- M¸y r¶i 130-140cv</v>
          </cell>
          <cell r="E64" t="str">
            <v>ca</v>
          </cell>
          <cell r="F64">
            <v>2.5700000000000001E-4</v>
          </cell>
          <cell r="G64">
            <v>4219689.4597902093</v>
          </cell>
          <cell r="H64">
            <v>1084.4601911660839</v>
          </cell>
        </row>
        <row r="65">
          <cell r="D65" t="str">
            <v>- M¸y ®Çm lu 10T</v>
          </cell>
          <cell r="E65" t="str">
            <v>ca</v>
          </cell>
          <cell r="F65">
            <v>1.1000000000000001E-3</v>
          </cell>
          <cell r="G65">
            <v>914796.75874125864</v>
          </cell>
          <cell r="H65">
            <v>1006.2764346153846</v>
          </cell>
        </row>
        <row r="66">
          <cell r="D66" t="str">
            <v>- M¸y ®Çm b¸nh h¬i 16T</v>
          </cell>
          <cell r="E66" t="str">
            <v>ca</v>
          </cell>
          <cell r="F66">
            <v>5.8E-4</v>
          </cell>
          <cell r="G66">
            <v>1371035.9965034963</v>
          </cell>
          <cell r="H66">
            <v>795.20087797202791</v>
          </cell>
        </row>
        <row r="67">
          <cell r="D67" t="str">
            <v>M¸y kh¸c</v>
          </cell>
          <cell r="E67" t="str">
            <v>%</v>
          </cell>
          <cell r="F67">
            <v>2</v>
          </cell>
          <cell r="H67">
            <v>57.718750075069927</v>
          </cell>
        </row>
        <row r="69">
          <cell r="D69" t="str">
            <v xml:space="preserve">Bï vªnh mÆt ®­êng BTNC 19 h¹t trung </v>
          </cell>
          <cell r="E69" t="str">
            <v>m3</v>
          </cell>
          <cell r="F69">
            <v>1</v>
          </cell>
          <cell r="I69">
            <v>2314976.5304427641</v>
          </cell>
          <cell r="J69">
            <v>83898.026666666672</v>
          </cell>
          <cell r="K69">
            <v>98121.87512761887</v>
          </cell>
        </row>
        <row r="70">
          <cell r="D70" t="str">
            <v>A.VËt liÖu</v>
          </cell>
          <cell r="H70">
            <v>2314976.5304427641</v>
          </cell>
        </row>
        <row r="71">
          <cell r="D71" t="str">
            <v>- Bªt«ng nhùa C19</v>
          </cell>
          <cell r="E71" t="str">
            <v>tÊn</v>
          </cell>
          <cell r="F71">
            <v>2.3433333333333333</v>
          </cell>
          <cell r="G71">
            <v>987898.94613489229</v>
          </cell>
          <cell r="H71">
            <v>2314976.5304427641</v>
          </cell>
        </row>
        <row r="72">
          <cell r="D72" t="str">
            <v>B. Nh©n c«ng 4,0/7 - nhãm 2</v>
          </cell>
          <cell r="E72" t="str">
            <v>c«ng</v>
          </cell>
          <cell r="F72">
            <v>0.36333333333333334</v>
          </cell>
          <cell r="G72">
            <v>230912</v>
          </cell>
          <cell r="H72">
            <v>83898.026666666672</v>
          </cell>
        </row>
        <row r="73">
          <cell r="D73" t="str">
            <v>C. M¸y thi c«ng</v>
          </cell>
          <cell r="H73">
            <v>98121.87512761887</v>
          </cell>
        </row>
        <row r="74">
          <cell r="D74" t="str">
            <v>- M¸y r¶i 130-140cv</v>
          </cell>
          <cell r="E74" t="str">
            <v>ca</v>
          </cell>
          <cell r="F74">
            <v>8.5666666666666669E-3</v>
          </cell>
          <cell r="G74">
            <v>4219689.4597902093</v>
          </cell>
          <cell r="H74">
            <v>36148.673038869463</v>
          </cell>
        </row>
        <row r="75">
          <cell r="D75" t="str">
            <v>- M¸y ®Çm lu 10T</v>
          </cell>
          <cell r="E75" t="str">
            <v>ca</v>
          </cell>
          <cell r="F75">
            <v>3.6666666666666667E-2</v>
          </cell>
          <cell r="G75">
            <v>914796.75874125864</v>
          </cell>
          <cell r="H75">
            <v>33542.547820512817</v>
          </cell>
        </row>
        <row r="76">
          <cell r="D76" t="str">
            <v>- M¸y ®Çm b¸nh h¬i 16T</v>
          </cell>
          <cell r="E76" t="str">
            <v>ca</v>
          </cell>
          <cell r="F76">
            <v>1.9333333333333334E-2</v>
          </cell>
          <cell r="G76">
            <v>1371035.9965034963</v>
          </cell>
          <cell r="H76">
            <v>26506.695932400929</v>
          </cell>
        </row>
        <row r="77">
          <cell r="D77" t="str">
            <v>M¸y kh¸c</v>
          </cell>
          <cell r="E77" t="str">
            <v>%</v>
          </cell>
          <cell r="F77">
            <v>2</v>
          </cell>
          <cell r="H77">
            <v>1923.9583358356642</v>
          </cell>
        </row>
        <row r="79">
          <cell r="D79" t="str">
            <v>S¶n xuÊt BTNC 12,5 h¹t trung (Tr¹m trén 120T/h)</v>
          </cell>
          <cell r="E79" t="str">
            <v>tÊn</v>
          </cell>
          <cell r="F79">
            <v>1</v>
          </cell>
        </row>
        <row r="80">
          <cell r="D80" t="str">
            <v>VËt liÖu</v>
          </cell>
          <cell r="H80">
            <v>777597.36365990527</v>
          </cell>
          <cell r="J80">
            <v>100</v>
          </cell>
        </row>
        <row r="81">
          <cell r="B81" t="str">
            <v/>
          </cell>
          <cell r="D81" t="str">
            <v xml:space="preserve">A.VËt liÖu chÝnh </v>
          </cell>
        </row>
        <row r="82">
          <cell r="C82" t="str">
            <v>VL02</v>
          </cell>
          <cell r="D82" t="str">
            <v>Đá 1x2 30%</v>
          </cell>
          <cell r="E82" t="str">
            <v>m3</v>
          </cell>
          <cell r="F82">
            <v>0.192</v>
          </cell>
          <cell r="G82">
            <v>150000</v>
          </cell>
          <cell r="H82">
            <v>28800</v>
          </cell>
        </row>
        <row r="83">
          <cell r="C83" t="str">
            <v>VL01</v>
          </cell>
          <cell r="D83" t="str">
            <v>Đá 0.5*1 25%</v>
          </cell>
          <cell r="E83" t="str">
            <v>m3</v>
          </cell>
          <cell r="F83">
            <v>0.16</v>
          </cell>
          <cell r="G83">
            <v>150000</v>
          </cell>
          <cell r="H83">
            <v>24000</v>
          </cell>
          <cell r="J83" t="str">
            <v>Từ trạm trộn xã xuân quang ra Km152 QL70 là 6km</v>
          </cell>
        </row>
        <row r="84">
          <cell r="C84" t="str">
            <v>VL03</v>
          </cell>
          <cell r="D84" t="str">
            <v>Đá 0*0.5 32%</v>
          </cell>
          <cell r="E84" t="str">
            <v>m3</v>
          </cell>
          <cell r="F84">
            <v>0.20480000000000001</v>
          </cell>
          <cell r="G84">
            <v>150000</v>
          </cell>
          <cell r="H84">
            <v>30720</v>
          </cell>
          <cell r="K84">
            <v>38</v>
          </cell>
        </row>
        <row r="85">
          <cell r="C85" t="str">
            <v>VL05</v>
          </cell>
          <cell r="D85" t="str">
            <v>Cát vàng</v>
          </cell>
          <cell r="E85" t="str">
            <v>m3</v>
          </cell>
          <cell r="F85">
            <v>6.2100000000000002E-2</v>
          </cell>
          <cell r="G85">
            <v>174459.58613165584</v>
          </cell>
          <cell r="H85">
            <v>10833.940298775828</v>
          </cell>
        </row>
        <row r="86">
          <cell r="C86" t="str">
            <v>VL04</v>
          </cell>
          <cell r="D86" t="str">
            <v>Bột đá 5%</v>
          </cell>
          <cell r="E86" t="str">
            <v>kg</v>
          </cell>
          <cell r="F86">
            <v>47.234999999999999</v>
          </cell>
          <cell r="G86">
            <v>279.65354826034684</v>
          </cell>
          <cell r="H86">
            <v>13209.435352077482</v>
          </cell>
          <cell r="J86" t="str">
            <v>TB tuyến tại km 184</v>
          </cell>
        </row>
        <row r="87">
          <cell r="B87" t="str">
            <v/>
          </cell>
          <cell r="C87" t="str">
            <v>VL06</v>
          </cell>
          <cell r="D87" t="str">
            <v>Nhựa đường đặc nóng 4,7%</v>
          </cell>
          <cell r="E87" t="str">
            <v>kg</v>
          </cell>
          <cell r="F87">
            <v>48.051400000000001</v>
          </cell>
          <cell r="G87">
            <v>11506.876513417428</v>
          </cell>
          <cell r="H87">
            <v>552921.52609682619</v>
          </cell>
          <cell r="J87">
            <v>35.700000000000045</v>
          </cell>
        </row>
        <row r="88">
          <cell r="B88" t="str">
            <v/>
          </cell>
          <cell r="D88" t="str">
            <v>A. VËt liÖu phô</v>
          </cell>
          <cell r="H88">
            <v>0</v>
          </cell>
          <cell r="J88">
            <v>4.5</v>
          </cell>
          <cell r="K88">
            <v>5</v>
          </cell>
        </row>
        <row r="89">
          <cell r="B89" t="str">
            <v/>
          </cell>
          <cell r="C89" t="str">
            <v>VL07</v>
          </cell>
          <cell r="D89" t="str">
            <v>- DÇu diezen</v>
          </cell>
          <cell r="E89" t="str">
            <v>kg</v>
          </cell>
          <cell r="F89">
            <v>1.5</v>
          </cell>
          <cell r="G89">
            <v>13887.147335423195</v>
          </cell>
          <cell r="H89">
            <v>20830.721003134793</v>
          </cell>
          <cell r="J89">
            <v>46.116999999999997</v>
          </cell>
          <cell r="K89">
            <v>50.953000000000003</v>
          </cell>
        </row>
        <row r="90">
          <cell r="B90" t="str">
            <v/>
          </cell>
          <cell r="C90" t="str">
            <v>VL08</v>
          </cell>
          <cell r="D90" t="str">
            <v>- DÇu mazut</v>
          </cell>
          <cell r="E90" t="str">
            <v>kg</v>
          </cell>
          <cell r="F90">
            <v>8.5</v>
          </cell>
          <cell r="G90">
            <v>9736.363636363636</v>
          </cell>
          <cell r="H90">
            <v>82759.090909090912</v>
          </cell>
          <cell r="J90">
            <v>46.116999999999997</v>
          </cell>
        </row>
        <row r="91">
          <cell r="B91" t="str">
            <v/>
          </cell>
          <cell r="C91" t="str">
            <v>VL09</v>
          </cell>
          <cell r="D91" t="str">
            <v>- DÇu b¶o «n</v>
          </cell>
          <cell r="E91" t="str">
            <v>kg</v>
          </cell>
          <cell r="F91">
            <v>0.42499999999999999</v>
          </cell>
          <cell r="G91">
            <v>31818</v>
          </cell>
          <cell r="H91">
            <v>13522.65</v>
          </cell>
          <cell r="J91">
            <v>46.11699999999999</v>
          </cell>
        </row>
        <row r="92">
          <cell r="B92" t="str">
            <v/>
          </cell>
          <cell r="D92" t="str">
            <v>B. Nhân công 4.0/7 - nhóm 4</v>
          </cell>
          <cell r="E92" t="str">
            <v>công</v>
          </cell>
          <cell r="F92">
            <v>1.95E-2</v>
          </cell>
          <cell r="G92">
            <v>206401</v>
          </cell>
          <cell r="H92">
            <v>4024.8195000000001</v>
          </cell>
        </row>
        <row r="93">
          <cell r="B93" t="str">
            <v/>
          </cell>
          <cell r="D93" t="str">
            <v>C. Máy thi công</v>
          </cell>
          <cell r="H93">
            <v>35598.929535651936</v>
          </cell>
        </row>
        <row r="94">
          <cell r="B94" t="str">
            <v/>
          </cell>
          <cell r="D94" t="str">
            <v>- Sản xuất</v>
          </cell>
        </row>
        <row r="95">
          <cell r="B95" t="str">
            <v/>
          </cell>
          <cell r="D95" t="str">
            <v>- Trạm trộn 120T/h</v>
          </cell>
          <cell r="E95" t="str">
            <v>ca</v>
          </cell>
          <cell r="F95">
            <v>2.0999999999999999E-3</v>
          </cell>
          <cell r="G95">
            <v>11094089.720631579</v>
          </cell>
          <cell r="H95">
            <v>23297.588413326313</v>
          </cell>
        </row>
        <row r="96">
          <cell r="B96" t="str">
            <v/>
          </cell>
          <cell r="D96" t="str">
            <v>- Máy xúc lật 3.2m3</v>
          </cell>
          <cell r="E96" t="str">
            <v>ca</v>
          </cell>
          <cell r="F96">
            <v>2.0999999999999999E-3</v>
          </cell>
          <cell r="G96">
            <v>4382487.4025974032</v>
          </cell>
          <cell r="H96">
            <v>9203.2235454545462</v>
          </cell>
        </row>
        <row r="97">
          <cell r="B97" t="str">
            <v/>
          </cell>
          <cell r="D97" t="str">
            <v>- Máy ủi110CV</v>
          </cell>
          <cell r="E97" t="str">
            <v>ca</v>
          </cell>
          <cell r="F97">
            <v>1.6100000000000001E-3</v>
          </cell>
          <cell r="G97">
            <v>1490744.9383116881</v>
          </cell>
          <cell r="H97">
            <v>2400.0993506818181</v>
          </cell>
        </row>
        <row r="98">
          <cell r="B98" t="str">
            <v/>
          </cell>
          <cell r="D98" t="str">
            <v>- Máy khác</v>
          </cell>
          <cell r="E98" t="str">
            <v>%</v>
          </cell>
          <cell r="F98">
            <v>2</v>
          </cell>
          <cell r="H98">
            <v>698.0182261892536</v>
          </cell>
        </row>
        <row r="99">
          <cell r="D99" t="str">
            <v xml:space="preserve">VËn chuyÓn bª t«ng nhùa tõ tr¹m trén vÒ ®o¹n tuyÕn </v>
          </cell>
          <cell r="E99" t="str">
            <v>km</v>
          </cell>
          <cell r="F99">
            <v>38</v>
          </cell>
        </row>
        <row r="100">
          <cell r="D100" t="str">
            <v>VËn chuyÓn 4km ®Çu, « t« tù ®æ 12T</v>
          </cell>
          <cell r="E100" t="str">
            <v>ca</v>
          </cell>
          <cell r="F100">
            <v>1.89E-2</v>
          </cell>
          <cell r="G100">
            <v>1891312.6201298703</v>
          </cell>
          <cell r="H100">
            <v>35745.80852045455</v>
          </cell>
        </row>
        <row r="101">
          <cell r="D101" t="str">
            <v>VËn chuyÓn c¸c km tiÕp theo</v>
          </cell>
          <cell r="E101" t="str">
            <v>ca</v>
          </cell>
          <cell r="F101">
            <v>8.1600000000000006E-2</v>
          </cell>
          <cell r="G101">
            <v>1891312.6201298703</v>
          </cell>
          <cell r="H101">
            <v>154331.10980259744</v>
          </cell>
        </row>
        <row r="102">
          <cell r="D102" t="str">
            <v>Tæng céng gi¸ BTN t¹i tuyÕn</v>
          </cell>
          <cell r="E102" t="str">
            <v>tÊn</v>
          </cell>
          <cell r="F102">
            <v>1</v>
          </cell>
          <cell r="H102">
            <v>1007298.0310186092</v>
          </cell>
        </row>
        <row r="104">
          <cell r="B104" t="str">
            <v>CT1</v>
          </cell>
          <cell r="D104" t="str">
            <v xml:space="preserve">Th¶m mÆt ®­êng BTNC 12,5 dµy 7cm </v>
          </cell>
          <cell r="E104" t="str">
            <v>m2</v>
          </cell>
          <cell r="F104">
            <v>1</v>
          </cell>
          <cell r="I104">
            <v>170938.47586385798</v>
          </cell>
          <cell r="J104">
            <v>4183.058</v>
          </cell>
          <cell r="K104">
            <v>4920.509334417121</v>
          </cell>
        </row>
        <row r="105">
          <cell r="D105" t="str">
            <v>A.VËt liÖu</v>
          </cell>
          <cell r="H105">
            <v>170938.47586385798</v>
          </cell>
        </row>
        <row r="106">
          <cell r="D106" t="str">
            <v>- Bªt«ng nhùa C12,5</v>
          </cell>
          <cell r="E106" t="str">
            <v>tÊn</v>
          </cell>
          <cell r="F106">
            <v>0.16969999999999999</v>
          </cell>
          <cell r="G106">
            <v>1007298.0310186092</v>
          </cell>
          <cell r="H106">
            <v>170938.47586385798</v>
          </cell>
        </row>
        <row r="107">
          <cell r="D107" t="str">
            <v>B. Nh©n c«ng 3.5/7 - nhãm 4</v>
          </cell>
          <cell r="E107" t="str">
            <v>c«ng</v>
          </cell>
          <cell r="F107">
            <v>2.2000000000000002E-2</v>
          </cell>
          <cell r="G107">
            <v>190139</v>
          </cell>
          <cell r="H107">
            <v>4183.058</v>
          </cell>
        </row>
        <row r="108">
          <cell r="D108" t="str">
            <v>C. M¸y thi c«ng</v>
          </cell>
          <cell r="H108">
            <v>4920.509334417121</v>
          </cell>
        </row>
        <row r="109">
          <cell r="D109" t="str">
            <v>- M¸y r¶i 130-140cv</v>
          </cell>
          <cell r="E109" t="str">
            <v>ca</v>
          </cell>
          <cell r="F109">
            <v>6.3000000000000003E-4</v>
          </cell>
          <cell r="G109">
            <v>4756927.1484848484</v>
          </cell>
          <cell r="H109">
            <v>2996.8641035454548</v>
          </cell>
        </row>
        <row r="110">
          <cell r="D110" t="str">
            <v>- M¸y ®Çm lu 10T</v>
          </cell>
          <cell r="E110" t="str">
            <v>ca</v>
          </cell>
          <cell r="F110">
            <v>1.1999999999999999E-3</v>
          </cell>
          <cell r="G110">
            <v>907340.29831649829</v>
          </cell>
          <cell r="H110">
            <v>1088.8083579797978</v>
          </cell>
        </row>
        <row r="111">
          <cell r="D111" t="str">
            <v>- M¸y ®Çm b¸nh h¬i 16T</v>
          </cell>
          <cell r="E111" t="str">
            <v>ca</v>
          </cell>
          <cell r="F111">
            <v>6.4000000000000005E-4</v>
          </cell>
          <cell r="G111">
            <v>1266182.3858585858</v>
          </cell>
          <cell r="H111">
            <v>810.35672694949494</v>
          </cell>
        </row>
        <row r="112">
          <cell r="D112" t="str">
            <v>M¸y kh¸c</v>
          </cell>
          <cell r="E112" t="str">
            <v>%</v>
          </cell>
          <cell r="F112">
            <v>0.5</v>
          </cell>
          <cell r="H112">
            <v>24.480145942373738</v>
          </cell>
        </row>
        <row r="114">
          <cell r="B114" t="str">
            <v>CT2</v>
          </cell>
          <cell r="D114" t="str">
            <v xml:space="preserve">Th¶m mÆt ®­êng BTNC 12,5 dµy 6cm </v>
          </cell>
          <cell r="E114" t="str">
            <v>m2</v>
          </cell>
          <cell r="F114">
            <v>1</v>
          </cell>
          <cell r="I114">
            <v>146461.13371010579</v>
          </cell>
          <cell r="J114">
            <v>3517.5715000000005</v>
          </cell>
          <cell r="K114">
            <v>4299.0168024675759</v>
          </cell>
        </row>
        <row r="115">
          <cell r="D115" t="str">
            <v>A.VËt liÖu</v>
          </cell>
          <cell r="H115">
            <v>146461.13371010579</v>
          </cell>
        </row>
        <row r="116">
          <cell r="D116" t="str">
            <v>- Bªt«ng nhùa C12,5</v>
          </cell>
          <cell r="E116" t="str">
            <v>tÊn</v>
          </cell>
          <cell r="F116">
            <v>0.1454</v>
          </cell>
          <cell r="G116">
            <v>1007298.0310186092</v>
          </cell>
          <cell r="H116">
            <v>146461.13371010579</v>
          </cell>
        </row>
        <row r="117">
          <cell r="D117" t="str">
            <v>B. Nh©n c«ng 3.5/7 - nhãm 4</v>
          </cell>
          <cell r="E117" t="str">
            <v>c«ng</v>
          </cell>
          <cell r="F117">
            <v>1.8500000000000003E-2</v>
          </cell>
          <cell r="G117">
            <v>190139</v>
          </cell>
          <cell r="H117">
            <v>3517.5715000000005</v>
          </cell>
        </row>
        <row r="118">
          <cell r="D118" t="str">
            <v>C. M¸y thi c«ng</v>
          </cell>
          <cell r="H118">
            <v>4299.0168024675759</v>
          </cell>
        </row>
        <row r="119">
          <cell r="D119" t="str">
            <v>- M¸y r¶i 130-140cv</v>
          </cell>
          <cell r="E119" t="str">
            <v>ca</v>
          </cell>
          <cell r="F119">
            <v>5.0000000000000001E-4</v>
          </cell>
          <cell r="G119">
            <v>4756927.1484848484</v>
          </cell>
          <cell r="H119">
            <v>2378.4635742424243</v>
          </cell>
        </row>
        <row r="120">
          <cell r="D120" t="str">
            <v>- M¸y ®Çm lu 10T</v>
          </cell>
          <cell r="E120" t="str">
            <v>ca</v>
          </cell>
          <cell r="F120">
            <v>1.1999999999999999E-3</v>
          </cell>
          <cell r="G120">
            <v>907340.29831649829</v>
          </cell>
          <cell r="H120">
            <v>1088.8083579797978</v>
          </cell>
        </row>
        <row r="121">
          <cell r="D121" t="str">
            <v>- M¸y ®Çm b¸nh h¬i 16T</v>
          </cell>
          <cell r="E121" t="str">
            <v>ca</v>
          </cell>
          <cell r="F121">
            <v>6.4000000000000005E-4</v>
          </cell>
          <cell r="G121">
            <v>1266182.3858585858</v>
          </cell>
          <cell r="H121">
            <v>810.35672694949494</v>
          </cell>
        </row>
        <row r="122">
          <cell r="D122" t="str">
            <v>M¸y kh¸c</v>
          </cell>
          <cell r="E122" t="str">
            <v>%</v>
          </cell>
          <cell r="F122">
            <v>0.5</v>
          </cell>
          <cell r="H122">
            <v>21.388143295858587</v>
          </cell>
        </row>
        <row r="124">
          <cell r="B124" t="str">
            <v>CT3</v>
          </cell>
          <cell r="D124" t="str">
            <v xml:space="preserve">Th¶m + bï vªnh mÆt ®­êng BTNC 12,5 dµy 7,59cm </v>
          </cell>
          <cell r="E124" t="str">
            <v>m2</v>
          </cell>
          <cell r="F124">
            <v>1</v>
          </cell>
          <cell r="I124">
            <v>185380.10773457176</v>
          </cell>
          <cell r="J124">
            <v>4530.822231000001</v>
          </cell>
          <cell r="K124">
            <v>5230.7775292134711</v>
          </cell>
        </row>
        <row r="125">
          <cell r="D125" t="str">
            <v>A.VËt liÖu</v>
          </cell>
          <cell r="H125">
            <v>185380.10773457176</v>
          </cell>
        </row>
        <row r="126">
          <cell r="D126" t="str">
            <v>- Bªt«ng nhùa C12,5</v>
          </cell>
          <cell r="E126" t="str">
            <v>tÊn</v>
          </cell>
          <cell r="F126">
            <v>0.18403699999999998</v>
          </cell>
          <cell r="G126">
            <v>1007298.0310186092</v>
          </cell>
          <cell r="H126">
            <v>185380.10773457176</v>
          </cell>
        </row>
        <row r="127">
          <cell r="D127" t="str">
            <v>B. Nh©n c«ng 3.5/7 - nhãm 4</v>
          </cell>
          <cell r="E127" t="str">
            <v>c«ng</v>
          </cell>
          <cell r="F127">
            <v>2.3829000000000003E-2</v>
          </cell>
          <cell r="G127">
            <v>190139</v>
          </cell>
          <cell r="H127">
            <v>4530.822231000001</v>
          </cell>
        </row>
        <row r="128">
          <cell r="D128" t="str">
            <v>C. M¸y thi c«ng</v>
          </cell>
          <cell r="H128">
            <v>5230.7775292134711</v>
          </cell>
        </row>
        <row r="129">
          <cell r="D129" t="str">
            <v>- M¸y r¶i 130-140cv</v>
          </cell>
          <cell r="E129" t="str">
            <v>ca</v>
          </cell>
          <cell r="F129">
            <v>6.9489999999999992E-4</v>
          </cell>
          <cell r="G129">
            <v>4756927.1484848484</v>
          </cell>
          <cell r="H129">
            <v>3305.5886754821208</v>
          </cell>
        </row>
        <row r="130">
          <cell r="D130" t="str">
            <v>- M¸y ®Çm lu 10T</v>
          </cell>
          <cell r="E130" t="str">
            <v>ca</v>
          </cell>
          <cell r="F130">
            <v>1.1999999999999999E-3</v>
          </cell>
          <cell r="G130">
            <v>907340.29831649829</v>
          </cell>
          <cell r="H130">
            <v>1088.8083579797978</v>
          </cell>
        </row>
        <row r="131">
          <cell r="D131" t="str">
            <v>- M¸y ®Çm b¸nh h¬i 16T</v>
          </cell>
          <cell r="E131" t="str">
            <v>ca</v>
          </cell>
          <cell r="F131">
            <v>6.4000000000000005E-4</v>
          </cell>
          <cell r="G131">
            <v>1266182.3858585858</v>
          </cell>
          <cell r="H131">
            <v>810.35672694949494</v>
          </cell>
        </row>
        <row r="132">
          <cell r="D132" t="str">
            <v>M¸y kh¸c</v>
          </cell>
          <cell r="E132" t="str">
            <v>%</v>
          </cell>
          <cell r="F132">
            <v>0.5</v>
          </cell>
          <cell r="H132">
            <v>26.02376880205707</v>
          </cell>
        </row>
        <row r="134">
          <cell r="B134" t="str">
            <v>CT4</v>
          </cell>
          <cell r="D134" t="str">
            <v xml:space="preserve">Th¶m mÆt ®­êng BTNC 12,5 dµy 3cm </v>
          </cell>
          <cell r="E134" t="str">
            <v>m2</v>
          </cell>
          <cell r="F134">
            <v>1</v>
          </cell>
          <cell r="I134">
            <v>73250.712815673265</v>
          </cell>
          <cell r="J134">
            <v>1787.3065999999997</v>
          </cell>
          <cell r="K134">
            <v>3031.9145942472223</v>
          </cell>
        </row>
        <row r="135">
          <cell r="D135" t="str">
            <v>A.VËt liÖu</v>
          </cell>
          <cell r="H135">
            <v>73250.712815673265</v>
          </cell>
        </row>
        <row r="136">
          <cell r="D136" t="str">
            <v>- Bªt«ng nhùa C12,5</v>
          </cell>
          <cell r="E136" t="str">
            <v>tÊn</v>
          </cell>
          <cell r="F136">
            <v>7.2720000000000007E-2</v>
          </cell>
          <cell r="G136">
            <v>1007298.0310186092</v>
          </cell>
          <cell r="H136">
            <v>73250.712815673265</v>
          </cell>
        </row>
        <row r="137">
          <cell r="D137" t="str">
            <v>B. Nh©n c«ng 3.5/7 - nhãm 4</v>
          </cell>
          <cell r="E137" t="str">
            <v>c«ng</v>
          </cell>
          <cell r="F137">
            <v>9.3999999999999986E-3</v>
          </cell>
          <cell r="G137">
            <v>190139</v>
          </cell>
          <cell r="H137">
            <v>1787.3065999999997</v>
          </cell>
        </row>
        <row r="138">
          <cell r="D138" t="str">
            <v>C. M¸y thi c«ng</v>
          </cell>
          <cell r="H138">
            <v>3031.9145942472223</v>
          </cell>
        </row>
        <row r="139">
          <cell r="D139" t="str">
            <v>- M¸y r¶i 130-140cv</v>
          </cell>
          <cell r="E139" t="str">
            <v>ca</v>
          </cell>
          <cell r="F139">
            <v>2.7E-4</v>
          </cell>
          <cell r="G139">
            <v>4756927.1484848484</v>
          </cell>
          <cell r="H139">
            <v>1284.3703300909092</v>
          </cell>
        </row>
        <row r="140">
          <cell r="D140" t="str">
            <v>- M¸y ®Çm lu 10T</v>
          </cell>
          <cell r="E140" t="str">
            <v>ca</v>
          </cell>
          <cell r="F140">
            <v>1.1000000000000001E-3</v>
          </cell>
          <cell r="G140">
            <v>907340.29831649829</v>
          </cell>
          <cell r="H140">
            <v>998.0743281481482</v>
          </cell>
        </row>
        <row r="141">
          <cell r="D141" t="str">
            <v>- M¸y ®Çm b¸nh h¬i 16T</v>
          </cell>
          <cell r="E141" t="str">
            <v>ca</v>
          </cell>
          <cell r="F141">
            <v>5.8E-4</v>
          </cell>
          <cell r="G141">
            <v>1266182.3858585858</v>
          </cell>
          <cell r="H141">
            <v>734.3857837979798</v>
          </cell>
        </row>
        <row r="142">
          <cell r="D142" t="str">
            <v>M¸y kh¸c</v>
          </cell>
          <cell r="E142" t="str">
            <v>%</v>
          </cell>
          <cell r="F142">
            <v>0.5</v>
          </cell>
          <cell r="H142">
            <v>15.084152210185186</v>
          </cell>
        </row>
        <row r="144">
          <cell r="B144" t="str">
            <v>CT5</v>
          </cell>
          <cell r="D144" t="str">
            <v>Bï vªnh mÆt ®­êng BTNC 12,5</v>
          </cell>
          <cell r="E144" t="str">
            <v>m3</v>
          </cell>
          <cell r="F144">
            <v>1</v>
          </cell>
          <cell r="I144">
            <v>2441690.4271891084</v>
          </cell>
          <cell r="J144">
            <v>59576.886666666658</v>
          </cell>
          <cell r="K144">
            <v>101063.81980824073</v>
          </cell>
        </row>
        <row r="145">
          <cell r="D145" t="str">
            <v>A.VËt liÖu</v>
          </cell>
          <cell r="H145">
            <v>2441690.4271891084</v>
          </cell>
        </row>
        <row r="146">
          <cell r="D146" t="str">
            <v>- Bªt«ng nhùa C12,5</v>
          </cell>
          <cell r="E146" t="str">
            <v>tÊn</v>
          </cell>
          <cell r="F146">
            <v>2.4239999999999999</v>
          </cell>
          <cell r="G146">
            <v>1007298.0310186092</v>
          </cell>
          <cell r="H146">
            <v>2441690.4271891084</v>
          </cell>
        </row>
        <row r="147">
          <cell r="D147" t="str">
            <v>B. Nh©n c«ng 3.5/7 - nhãm 4</v>
          </cell>
          <cell r="E147" t="str">
            <v>c«ng</v>
          </cell>
          <cell r="F147">
            <v>0.3133333333333333</v>
          </cell>
          <cell r="G147">
            <v>190139</v>
          </cell>
          <cell r="H147">
            <v>59576.886666666658</v>
          </cell>
        </row>
        <row r="148">
          <cell r="D148" t="str">
            <v>C. M¸y thi c«ng</v>
          </cell>
          <cell r="H148">
            <v>101063.81980824073</v>
          </cell>
        </row>
        <row r="149">
          <cell r="D149" t="str">
            <v>- M¸y r¶i 130-140cv</v>
          </cell>
          <cell r="E149" t="str">
            <v>ca</v>
          </cell>
          <cell r="F149">
            <v>8.9999999999999993E-3</v>
          </cell>
          <cell r="G149">
            <v>4756927.1484848484</v>
          </cell>
          <cell r="H149">
            <v>42812.344336363632</v>
          </cell>
        </row>
        <row r="150">
          <cell r="D150" t="str">
            <v>- M¸y ®Çm lu 10T</v>
          </cell>
          <cell r="E150" t="str">
            <v>ca</v>
          </cell>
          <cell r="F150">
            <v>3.6666666666666667E-2</v>
          </cell>
          <cell r="G150">
            <v>907340.29831649829</v>
          </cell>
          <cell r="H150">
            <v>33269.144271604935</v>
          </cell>
        </row>
        <row r="151">
          <cell r="D151" t="str">
            <v>- M¸y ®Çm b¸nh h¬i 16T</v>
          </cell>
          <cell r="E151" t="str">
            <v>ca</v>
          </cell>
          <cell r="F151">
            <v>1.9333333333333334E-2</v>
          </cell>
          <cell r="G151">
            <v>1266182.3858585858</v>
          </cell>
          <cell r="H151">
            <v>24479.526126599329</v>
          </cell>
        </row>
        <row r="152">
          <cell r="D152" t="str">
            <v>M¸y kh¸c</v>
          </cell>
          <cell r="E152" t="str">
            <v>%</v>
          </cell>
          <cell r="F152">
            <v>0.5</v>
          </cell>
          <cell r="H152">
            <v>502.80507367283951</v>
          </cell>
        </row>
        <row r="154">
          <cell r="D154" t="str">
            <v>S¶n xuÊt ®¸ d¨m ®en (Tr¹m trén 120T/h)</v>
          </cell>
          <cell r="E154" t="str">
            <v>tÊn</v>
          </cell>
          <cell r="F154">
            <v>1</v>
          </cell>
          <cell r="H154">
            <v>682817.55202666891</v>
          </cell>
        </row>
        <row r="155">
          <cell r="D155" t="str">
            <v>VËt liÖu</v>
          </cell>
          <cell r="H155">
            <v>643193.802991017</v>
          </cell>
        </row>
        <row r="156">
          <cell r="B156" t="str">
            <v/>
          </cell>
          <cell r="D156" t="str">
            <v>A.VËt liÖu chÝnh</v>
          </cell>
          <cell r="H156">
            <v>526081.3410787913</v>
          </cell>
        </row>
        <row r="157">
          <cell r="C157" t="str">
            <v>VL02</v>
          </cell>
          <cell r="D157" t="str">
            <v>Đá 1x2 (32%)</v>
          </cell>
          <cell r="E157" t="str">
            <v>m3</v>
          </cell>
          <cell r="F157">
            <v>0.20864000000000002</v>
          </cell>
          <cell r="G157">
            <v>150000</v>
          </cell>
          <cell r="H157">
            <v>31296.000000000004</v>
          </cell>
        </row>
        <row r="158">
          <cell r="B158" t="str">
            <v/>
          </cell>
          <cell r="C158" t="str">
            <v>VL01</v>
          </cell>
          <cell r="D158" t="str">
            <v>Đá 0,5x1 (36%)</v>
          </cell>
          <cell r="E158" t="str">
            <v>m3</v>
          </cell>
          <cell r="F158">
            <v>0.23472000000000001</v>
          </cell>
          <cell r="G158">
            <v>150000</v>
          </cell>
          <cell r="H158">
            <v>35208</v>
          </cell>
        </row>
        <row r="159">
          <cell r="B159" t="str">
            <v/>
          </cell>
          <cell r="C159" t="str">
            <v>VL01</v>
          </cell>
          <cell r="D159" t="str">
            <v>Đá 0x0,5 (32%)</v>
          </cell>
          <cell r="E159" t="str">
            <v>m3</v>
          </cell>
          <cell r="F159">
            <v>0.20864000000000002</v>
          </cell>
          <cell r="G159">
            <v>150000</v>
          </cell>
          <cell r="H159">
            <v>31296.000000000004</v>
          </cell>
        </row>
        <row r="160">
          <cell r="B160" t="str">
            <v/>
          </cell>
          <cell r="C160" t="str">
            <v>VL06</v>
          </cell>
          <cell r="D160" t="str">
            <v>- Nhùa ®­êng láng 60/70 (3,6% theo cèt liÖu)</v>
          </cell>
          <cell r="E160" t="str">
            <v>kg</v>
          </cell>
          <cell r="F160">
            <v>37.2196</v>
          </cell>
          <cell r="G160">
            <v>11506.876513417428</v>
          </cell>
          <cell r="H160">
            <v>428281.3410787913</v>
          </cell>
        </row>
        <row r="161">
          <cell r="B161" t="str">
            <v/>
          </cell>
          <cell r="D161" t="str">
            <v>A. VËt liÖu phô</v>
          </cell>
          <cell r="H161">
            <v>117112.4619122257</v>
          </cell>
        </row>
        <row r="162">
          <cell r="B162" t="str">
            <v/>
          </cell>
          <cell r="C162" t="str">
            <v>VL07</v>
          </cell>
          <cell r="D162" t="str">
            <v>- DÇu diezen</v>
          </cell>
          <cell r="E162" t="str">
            <v>kg</v>
          </cell>
          <cell r="F162">
            <v>1.5</v>
          </cell>
          <cell r="G162">
            <v>13887.147335423195</v>
          </cell>
          <cell r="H162">
            <v>20830.721003134793</v>
          </cell>
        </row>
        <row r="163">
          <cell r="B163" t="str">
            <v/>
          </cell>
          <cell r="C163" t="str">
            <v>VL08</v>
          </cell>
          <cell r="D163" t="str">
            <v>- DÇu mazut</v>
          </cell>
          <cell r="E163" t="str">
            <v>kg</v>
          </cell>
          <cell r="F163">
            <v>8.5</v>
          </cell>
          <cell r="G163">
            <v>9736.363636363636</v>
          </cell>
          <cell r="H163">
            <v>82759.090909090912</v>
          </cell>
        </row>
        <row r="164">
          <cell r="B164" t="str">
            <v/>
          </cell>
          <cell r="C164" t="str">
            <v>VL09</v>
          </cell>
          <cell r="D164" t="str">
            <v>- DÇu b¶o «n</v>
          </cell>
          <cell r="E164" t="str">
            <v>kg</v>
          </cell>
          <cell r="F164">
            <v>0.42499999999999999</v>
          </cell>
          <cell r="G164">
            <v>31818</v>
          </cell>
          <cell r="H164">
            <v>13522.65</v>
          </cell>
        </row>
        <row r="165">
          <cell r="B165" t="str">
            <v/>
          </cell>
          <cell r="D165" t="str">
            <v>B. Nhân công 4.0/7 - nhóm 4</v>
          </cell>
          <cell r="E165" t="str">
            <v>công</v>
          </cell>
          <cell r="F165">
            <v>1.95E-2</v>
          </cell>
          <cell r="G165">
            <v>206401</v>
          </cell>
          <cell r="H165">
            <v>4024.8195000000001</v>
          </cell>
        </row>
        <row r="166">
          <cell r="B166" t="str">
            <v/>
          </cell>
          <cell r="D166" t="str">
            <v>C. Máy thi công</v>
          </cell>
          <cell r="H166">
            <v>35598.929535651936</v>
          </cell>
        </row>
        <row r="167">
          <cell r="B167" t="str">
            <v/>
          </cell>
          <cell r="D167" t="str">
            <v>- Sản xuất</v>
          </cell>
        </row>
        <row r="168">
          <cell r="B168" t="str">
            <v/>
          </cell>
          <cell r="D168" t="str">
            <v>- Trạm trộn 120T/h</v>
          </cell>
          <cell r="E168" t="str">
            <v>ca</v>
          </cell>
          <cell r="F168">
            <v>2.0999999999999999E-3</v>
          </cell>
          <cell r="G168">
            <v>11094089.720631579</v>
          </cell>
          <cell r="H168">
            <v>23297.588413326313</v>
          </cell>
        </row>
        <row r="169">
          <cell r="B169" t="str">
            <v/>
          </cell>
          <cell r="D169" t="str">
            <v>- Máy xúc lật 3.2m3</v>
          </cell>
          <cell r="E169" t="str">
            <v>ca</v>
          </cell>
          <cell r="F169">
            <v>2.0999999999999999E-3</v>
          </cell>
          <cell r="G169">
            <v>4382487.4025974032</v>
          </cell>
          <cell r="H169">
            <v>9203.2235454545462</v>
          </cell>
        </row>
        <row r="170">
          <cell r="B170" t="str">
            <v/>
          </cell>
          <cell r="D170" t="str">
            <v>- Máy ủi110CV</v>
          </cell>
          <cell r="E170" t="str">
            <v>ca</v>
          </cell>
          <cell r="F170">
            <v>1.6100000000000001E-3</v>
          </cell>
          <cell r="G170">
            <v>1490744.9383116881</v>
          </cell>
          <cell r="H170">
            <v>2400.0993506818181</v>
          </cell>
        </row>
        <row r="171">
          <cell r="B171" t="str">
            <v/>
          </cell>
          <cell r="D171" t="str">
            <v>- Máy khác</v>
          </cell>
          <cell r="E171" t="str">
            <v>%</v>
          </cell>
          <cell r="F171">
            <v>2</v>
          </cell>
          <cell r="H171">
            <v>698.0182261892536</v>
          </cell>
        </row>
        <row r="172">
          <cell r="D172" t="str">
            <v xml:space="preserve">VËn chuyÓn bª t«ng nhùa tõ tr¹m trén vÒ ®o¹n tuyÕn </v>
          </cell>
          <cell r="E172" t="str">
            <v>km</v>
          </cell>
          <cell r="F172">
            <v>0</v>
          </cell>
        </row>
        <row r="173">
          <cell r="D173" t="str">
            <v>VËn chuyÓn 4km ®Çu, « t« tù ®æ 12T</v>
          </cell>
          <cell r="E173" t="str">
            <v>ca</v>
          </cell>
          <cell r="F173">
            <v>1.89E-2</v>
          </cell>
          <cell r="G173">
            <v>1891312.6201298703</v>
          </cell>
          <cell r="H173">
            <v>35745.80852045455</v>
          </cell>
        </row>
        <row r="174">
          <cell r="D174" t="str">
            <v>VËn chuyÓn c¸c km tiÕp theo</v>
          </cell>
          <cell r="E174" t="str">
            <v>ca</v>
          </cell>
          <cell r="F174">
            <v>-9.5999999999999992E-3</v>
          </cell>
          <cell r="G174">
            <v>1891312.6201298703</v>
          </cell>
          <cell r="H174">
            <v>-18156.601153246753</v>
          </cell>
        </row>
        <row r="175">
          <cell r="D175" t="str">
            <v>Tæng céng gi¸ ®¸ d¨m ®en t¹i tuyÕn</v>
          </cell>
          <cell r="E175" t="str">
            <v>tÊn</v>
          </cell>
          <cell r="F175">
            <v>1</v>
          </cell>
          <cell r="H175">
            <v>700406.75939387665</v>
          </cell>
        </row>
        <row r="177">
          <cell r="B177" t="str">
            <v>CT6</v>
          </cell>
          <cell r="D177" t="str">
            <v xml:space="preserve">Th¶m mÆt ®­êng ®¸ d¨m ®en dµy 7cm </v>
          </cell>
          <cell r="E177" t="str">
            <v>m2</v>
          </cell>
          <cell r="F177">
            <v>1</v>
          </cell>
          <cell r="I177">
            <v>113886.13907744436</v>
          </cell>
          <cell r="J177">
            <v>3251.3769000000002</v>
          </cell>
          <cell r="K177">
            <v>4425.8621373815158</v>
          </cell>
        </row>
        <row r="178">
          <cell r="D178" t="str">
            <v>A.VËt liÖu</v>
          </cell>
          <cell r="H178">
            <v>113886.13907744436</v>
          </cell>
        </row>
        <row r="179">
          <cell r="D179" t="str">
            <v>- §¸ d¨m ®en</v>
          </cell>
          <cell r="E179" t="str">
            <v>tÊn</v>
          </cell>
          <cell r="F179">
            <v>0.16260000000000002</v>
          </cell>
          <cell r="G179">
            <v>700406.75939387665</v>
          </cell>
          <cell r="H179">
            <v>113886.13907744436</v>
          </cell>
        </row>
        <row r="180">
          <cell r="D180" t="str">
            <v>B. Nh©n c«ng 3.5/7 - nhãm 4</v>
          </cell>
          <cell r="E180" t="str">
            <v>c«ng</v>
          </cell>
          <cell r="F180">
            <v>1.7100000000000001E-2</v>
          </cell>
          <cell r="G180">
            <v>190139</v>
          </cell>
          <cell r="H180">
            <v>3251.3769000000002</v>
          </cell>
        </row>
        <row r="181">
          <cell r="D181" t="str">
            <v>C. M¸y thi c«ng</v>
          </cell>
          <cell r="H181">
            <v>4425.8621373815158</v>
          </cell>
        </row>
        <row r="182">
          <cell r="D182" t="str">
            <v>- M¸y r¶i 130-140cv</v>
          </cell>
          <cell r="E182" t="str">
            <v>ca</v>
          </cell>
          <cell r="F182">
            <v>4.6000000000000001E-4</v>
          </cell>
          <cell r="G182">
            <v>4756927.1484848484</v>
          </cell>
          <cell r="H182">
            <v>2188.1864883030303</v>
          </cell>
        </row>
        <row r="183">
          <cell r="D183" t="str">
            <v>- M¸y ®Çm lu 10T</v>
          </cell>
          <cell r="E183" t="str">
            <v>ca</v>
          </cell>
          <cell r="F183">
            <v>1.8E-3</v>
          </cell>
          <cell r="G183">
            <v>907340.29831649829</v>
          </cell>
          <cell r="H183">
            <v>1633.2125369696969</v>
          </cell>
        </row>
        <row r="184">
          <cell r="D184" t="str">
            <v>- M¸y ®Çm b¸nh h¬i 16T</v>
          </cell>
          <cell r="E184" t="str">
            <v>ca</v>
          </cell>
          <cell r="F184">
            <v>4.6000000000000001E-4</v>
          </cell>
          <cell r="G184">
            <v>1266182.3858585858</v>
          </cell>
          <cell r="H184">
            <v>582.44389749494951</v>
          </cell>
        </row>
        <row r="185">
          <cell r="D185" t="str">
            <v>M¸y kh¸c</v>
          </cell>
          <cell r="E185" t="str">
            <v>%</v>
          </cell>
          <cell r="F185">
            <v>0.5</v>
          </cell>
          <cell r="H185">
            <v>22.019214613838386</v>
          </cell>
        </row>
        <row r="187">
          <cell r="B187" t="str">
            <v>CT7</v>
          </cell>
          <cell r="D187" t="str">
            <v>C¾t mÆt ®­êng BTN dµy 7cm</v>
          </cell>
          <cell r="E187" t="str">
            <v>m</v>
          </cell>
          <cell r="F187">
            <v>1</v>
          </cell>
          <cell r="I187">
            <v>446.24999999999994</v>
          </cell>
          <cell r="J187">
            <v>4747.223</v>
          </cell>
          <cell r="K187">
            <v>1112.2712287878787</v>
          </cell>
        </row>
        <row r="188">
          <cell r="D188" t="str">
            <v>A.VËt liÖu</v>
          </cell>
          <cell r="H188">
            <v>446.24999999999994</v>
          </cell>
        </row>
        <row r="189">
          <cell r="C189" t="str">
            <v>VL20</v>
          </cell>
          <cell r="D189" t="str">
            <v>- L­ìi c¾t bª t«ng lo¹i 356 mm</v>
          </cell>
          <cell r="E189" t="str">
            <v>c¸i</v>
          </cell>
          <cell r="F189">
            <v>3.4999999999999996E-3</v>
          </cell>
          <cell r="G189">
            <v>125000</v>
          </cell>
          <cell r="H189">
            <v>437.49999999999994</v>
          </cell>
        </row>
        <row r="190">
          <cell r="D190" t="str">
            <v>- VËt liÖu kh¸c</v>
          </cell>
          <cell r="E190" t="str">
            <v>%</v>
          </cell>
          <cell r="F190">
            <v>2</v>
          </cell>
          <cell r="H190">
            <v>8.7499999999999982</v>
          </cell>
        </row>
        <row r="191">
          <cell r="D191" t="str">
            <v>B. Nh©n c«ng 4.0/7 - nhãm 1</v>
          </cell>
          <cell r="E191" t="str">
            <v>c«ng</v>
          </cell>
          <cell r="F191">
            <v>2.3E-2</v>
          </cell>
          <cell r="G191">
            <v>206401</v>
          </cell>
          <cell r="H191">
            <v>4747.223</v>
          </cell>
        </row>
        <row r="192">
          <cell r="D192" t="str">
            <v>C. M¸y thi c«ng</v>
          </cell>
          <cell r="H192">
            <v>1112.2712287878787</v>
          </cell>
        </row>
        <row r="193">
          <cell r="D193" t="str">
            <v>- M¸y c¾t bªt«ng MCD 218</v>
          </cell>
          <cell r="E193" t="str">
            <v>ca</v>
          </cell>
          <cell r="F193">
            <v>2.8999999999999998E-3</v>
          </cell>
          <cell r="G193">
            <v>383541.80303030304</v>
          </cell>
          <cell r="H193">
            <v>1112.2712287878787</v>
          </cell>
        </row>
        <row r="195">
          <cell r="B195" t="str">
            <v>CT8</v>
          </cell>
          <cell r="D195" t="str">
            <v>Cµo bãc mÆt ®­êng bª t«ng nhùa cò dµy 7 Cm</v>
          </cell>
          <cell r="E195" t="str">
            <v>m2</v>
          </cell>
          <cell r="F195">
            <v>1</v>
          </cell>
          <cell r="I195">
            <v>33236.976114000005</v>
          </cell>
          <cell r="J195">
            <v>6236.5591999999988</v>
          </cell>
          <cell r="K195">
            <v>19891.960408018651</v>
          </cell>
        </row>
        <row r="196">
          <cell r="D196" t="str">
            <v>A.VËt liÖu</v>
          </cell>
          <cell r="H196">
            <v>33236.976114000005</v>
          </cell>
        </row>
        <row r="197">
          <cell r="C197" t="str">
            <v>VL21</v>
          </cell>
          <cell r="D197" t="str">
            <v>R¨ng cµo</v>
          </cell>
          <cell r="E197" t="str">
            <v>bé</v>
          </cell>
          <cell r="F197">
            <v>2.3E-3</v>
          </cell>
          <cell r="G197">
            <v>14167509</v>
          </cell>
          <cell r="H197">
            <v>32585.270700000001</v>
          </cell>
        </row>
        <row r="198">
          <cell r="D198" t="str">
            <v>VËt liÖu kh¸c</v>
          </cell>
          <cell r="E198" t="str">
            <v>%</v>
          </cell>
          <cell r="F198">
            <v>2</v>
          </cell>
          <cell r="G198">
            <v>32585.270700000001</v>
          </cell>
          <cell r="H198">
            <v>651.70541400000002</v>
          </cell>
        </row>
        <row r="199">
          <cell r="D199" t="str">
            <v>B. Nhân công</v>
          </cell>
          <cell r="H199">
            <v>6236.5591999999988</v>
          </cell>
        </row>
        <row r="200">
          <cell r="D200" t="str">
            <v>Nh©n c«ng 3,5/7-nhãm 1</v>
          </cell>
          <cell r="E200" t="str">
            <v>c«ng</v>
          </cell>
          <cell r="F200">
            <v>3.2799999999999996E-2</v>
          </cell>
          <cell r="G200">
            <v>190139</v>
          </cell>
          <cell r="H200">
            <v>6236.5591999999988</v>
          </cell>
        </row>
        <row r="201">
          <cell r="D201" t="str">
            <v xml:space="preserve">C. M¸y thi c«ng </v>
          </cell>
          <cell r="H201">
            <v>19891.960408018651</v>
          </cell>
        </row>
        <row r="202">
          <cell r="D202" t="str">
            <v>M¸y cµo bãc Wirtgen C100</v>
          </cell>
          <cell r="E202" t="str">
            <v>ca</v>
          </cell>
          <cell r="F202">
            <v>2.5600000000000002E-3</v>
          </cell>
          <cell r="G202">
            <v>5177606.4363636365</v>
          </cell>
          <cell r="H202">
            <v>13254.672477090911</v>
          </cell>
        </row>
        <row r="203">
          <cell r="D203" t="str">
            <v>¤ t« chë n­íc 5m3</v>
          </cell>
          <cell r="E203" t="str">
            <v>ca</v>
          </cell>
          <cell r="F203">
            <v>2.5600000000000002E-3</v>
          </cell>
          <cell r="G203">
            <v>944457.841958042</v>
          </cell>
          <cell r="H203">
            <v>2417.8120754125875</v>
          </cell>
        </row>
        <row r="204">
          <cell r="D204" t="str">
            <v>¤ t« chë phÕ th¶i 7T</v>
          </cell>
          <cell r="E204" t="str">
            <v>ca</v>
          </cell>
          <cell r="F204">
            <v>3.8400000000000001E-3</v>
          </cell>
          <cell r="G204">
            <v>1463658.8454545452</v>
          </cell>
        </row>
        <row r="205">
          <cell r="D205" t="str">
            <v>¤ t« chøa nhiªn liÖu 2,5T</v>
          </cell>
          <cell r="E205" t="str">
            <v>ca</v>
          </cell>
          <cell r="F205">
            <v>2.5600000000000002E-3</v>
          </cell>
          <cell r="G205">
            <v>651129.20909090911</v>
          </cell>
          <cell r="H205">
            <v>1666.8907752727275</v>
          </cell>
        </row>
        <row r="206">
          <cell r="D206" t="str">
            <v>M¸y Ðp khÝ 420m3/h</v>
          </cell>
          <cell r="E206" t="str">
            <v>ca</v>
          </cell>
          <cell r="F206">
            <v>2.5600000000000002E-3</v>
          </cell>
          <cell r="G206">
            <v>997103.54696969688</v>
          </cell>
          <cell r="H206">
            <v>2552.5850802424243</v>
          </cell>
        </row>
        <row r="208">
          <cell r="B208" t="str">
            <v>CT9</v>
          </cell>
          <cell r="D208" t="str">
            <v>Cµo bãc mÆt ®­êng bª t«ng nhùa cò dµy 3 Cm</v>
          </cell>
          <cell r="E208" t="str">
            <v>m2</v>
          </cell>
          <cell r="F208">
            <v>1</v>
          </cell>
          <cell r="I208">
            <v>10115.601426000001</v>
          </cell>
          <cell r="J208">
            <v>3384.4742000000001</v>
          </cell>
          <cell r="K208">
            <v>13598.019810168995</v>
          </cell>
        </row>
        <row r="209">
          <cell r="D209" t="str">
            <v>A.VËt liÖu</v>
          </cell>
          <cell r="H209">
            <v>10115.601426000001</v>
          </cell>
        </row>
        <row r="210">
          <cell r="C210" t="str">
            <v>VL21</v>
          </cell>
          <cell r="D210" t="str">
            <v>R¨ng cµo</v>
          </cell>
          <cell r="E210" t="str">
            <v>bé</v>
          </cell>
          <cell r="F210">
            <v>7.000000000000001E-4</v>
          </cell>
          <cell r="G210">
            <v>14167509</v>
          </cell>
          <cell r="H210">
            <v>9917.2563000000009</v>
          </cell>
        </row>
        <row r="211">
          <cell r="D211" t="str">
            <v>VËt liÖu kh¸c</v>
          </cell>
          <cell r="E211" t="str">
            <v>%</v>
          </cell>
          <cell r="F211">
            <v>2</v>
          </cell>
          <cell r="G211">
            <v>9917.2563000000009</v>
          </cell>
          <cell r="H211">
            <v>198.34512600000002</v>
          </cell>
        </row>
        <row r="212">
          <cell r="D212" t="str">
            <v>B. Nhân công</v>
          </cell>
          <cell r="H212">
            <v>3384.4742000000001</v>
          </cell>
        </row>
        <row r="213">
          <cell r="D213" t="str">
            <v>Nh©n c«ng 3,5/7-nhãm 1</v>
          </cell>
          <cell r="E213" t="str">
            <v>c«ng</v>
          </cell>
          <cell r="F213">
            <v>1.78E-2</v>
          </cell>
          <cell r="G213">
            <v>190139</v>
          </cell>
          <cell r="H213">
            <v>3384.4742000000001</v>
          </cell>
        </row>
        <row r="214">
          <cell r="D214" t="str">
            <v xml:space="preserve">C. M¸y thi c«ng </v>
          </cell>
          <cell r="H214">
            <v>13598.019810168995</v>
          </cell>
        </row>
        <row r="215">
          <cell r="D215" t="str">
            <v>M¸y cµo bãc Wirtgen C100</v>
          </cell>
          <cell r="E215" t="str">
            <v>ca</v>
          </cell>
          <cell r="F215">
            <v>1.7499999999999998E-3</v>
          </cell>
          <cell r="G215">
            <v>5177606.4363636365</v>
          </cell>
          <cell r="H215">
            <v>9060.8112636363621</v>
          </cell>
        </row>
        <row r="216">
          <cell r="D216" t="str">
            <v>¤ t« chë n­íc 5m3</v>
          </cell>
          <cell r="E216" t="str">
            <v>ca</v>
          </cell>
          <cell r="F216">
            <v>1.7499999999999998E-3</v>
          </cell>
          <cell r="G216">
            <v>944457.841958042</v>
          </cell>
          <cell r="H216">
            <v>1652.8012234265734</v>
          </cell>
        </row>
        <row r="217">
          <cell r="D217" t="str">
            <v>¤ t« chë phÕ th¶i 7T</v>
          </cell>
          <cell r="E217" t="str">
            <v>ca</v>
          </cell>
          <cell r="F217">
            <v>2.63E-3</v>
          </cell>
          <cell r="G217">
            <v>1463658.8454545452</v>
          </cell>
        </row>
        <row r="218">
          <cell r="D218" t="str">
            <v>¤ t« chøa nhiªn liÖu 2,5T</v>
          </cell>
          <cell r="E218" t="str">
            <v>ca</v>
          </cell>
          <cell r="F218">
            <v>1.7499999999999998E-3</v>
          </cell>
          <cell r="G218">
            <v>651129.20909090911</v>
          </cell>
          <cell r="H218">
            <v>1139.4761159090908</v>
          </cell>
        </row>
        <row r="219">
          <cell r="D219" t="str">
            <v>M¸y Ðp khÝ 420m3/h</v>
          </cell>
          <cell r="E219" t="str">
            <v>ca</v>
          </cell>
          <cell r="F219">
            <v>1.7499999999999998E-3</v>
          </cell>
          <cell r="G219">
            <v>997103.54696969688</v>
          </cell>
          <cell r="H219">
            <v>1744.9312071969694</v>
          </cell>
        </row>
        <row r="221">
          <cell r="B221" t="str">
            <v>CT10</v>
          </cell>
          <cell r="D221" t="str">
            <v>§µo líp kÕt cÊu cò (100% m¸y )</v>
          </cell>
          <cell r="E221" t="str">
            <v>m3</v>
          </cell>
          <cell r="I221">
            <v>0</v>
          </cell>
          <cell r="J221">
            <v>8502.5853000000006</v>
          </cell>
          <cell r="K221">
            <v>13036.853724701301</v>
          </cell>
        </row>
        <row r="222">
          <cell r="D222" t="str">
            <v>B. Nh©n c«ng</v>
          </cell>
          <cell r="H222">
            <v>8502.5853000000006</v>
          </cell>
        </row>
        <row r="223">
          <cell r="D223" t="str">
            <v>Nh©n c«ng 3,0/7 nhãm 1</v>
          </cell>
          <cell r="E223" t="str">
            <v>c«ng</v>
          </cell>
          <cell r="F223">
            <v>4.8899999999999999E-2</v>
          </cell>
          <cell r="G223">
            <v>173877</v>
          </cell>
          <cell r="H223">
            <v>8502.5853000000006</v>
          </cell>
        </row>
        <row r="224">
          <cell r="D224" t="str">
            <v xml:space="preserve">C. M¸y thi c«ng </v>
          </cell>
          <cell r="H224">
            <v>13036.853724701301</v>
          </cell>
        </row>
        <row r="225">
          <cell r="D225" t="str">
            <v>M¸y ®µo 1,25m3</v>
          </cell>
          <cell r="E225" t="str">
            <v>ca</v>
          </cell>
          <cell r="F225">
            <v>4.3800000000000002E-3</v>
          </cell>
          <cell r="G225">
            <v>2976450.6220779223</v>
          </cell>
          <cell r="H225">
            <v>13036.853724701301</v>
          </cell>
        </row>
        <row r="228">
          <cell r="B228" t="str">
            <v>CT11</v>
          </cell>
          <cell r="D228" t="str">
            <v>§µo líp BTN cò</v>
          </cell>
          <cell r="E228" t="str">
            <v>m3</v>
          </cell>
          <cell r="I228">
            <v>0</v>
          </cell>
          <cell r="J228">
            <v>173877</v>
          </cell>
        </row>
        <row r="229">
          <cell r="D229" t="str">
            <v>B. Nh©n c«ng</v>
          </cell>
          <cell r="H229">
            <v>173877</v>
          </cell>
        </row>
        <row r="230">
          <cell r="D230" t="str">
            <v>Nh©n c«ng 3,0/7 nhãm 1</v>
          </cell>
          <cell r="E230" t="str">
            <v>c«ng</v>
          </cell>
          <cell r="F230">
            <v>1</v>
          </cell>
          <cell r="G230">
            <v>173877</v>
          </cell>
          <cell r="H230">
            <v>173877</v>
          </cell>
        </row>
        <row r="232">
          <cell r="B232" t="str">
            <v>CT12</v>
          </cell>
          <cell r="D232" t="str">
            <v>§µo r·nh, ®µo nÒn, ®µo ®Êt C3 (100% m¸y )</v>
          </cell>
          <cell r="E232" t="str">
            <v>m3</v>
          </cell>
          <cell r="I232">
            <v>0</v>
          </cell>
          <cell r="J232">
            <v>7667.9757</v>
          </cell>
          <cell r="K232">
            <v>9554.4064968701314</v>
          </cell>
        </row>
        <row r="233">
          <cell r="D233" t="str">
            <v>B. Nh©n c«ng</v>
          </cell>
          <cell r="H233">
            <v>7667.9757</v>
          </cell>
        </row>
        <row r="234">
          <cell r="D234" t="str">
            <v>Nh©n c«ng 3,0/7 nhãm 1</v>
          </cell>
          <cell r="E234" t="str">
            <v>c«ng</v>
          </cell>
          <cell r="F234">
            <v>4.41E-2</v>
          </cell>
          <cell r="G234">
            <v>173877</v>
          </cell>
          <cell r="H234">
            <v>7667.9757</v>
          </cell>
        </row>
        <row r="235">
          <cell r="D235" t="str">
            <v xml:space="preserve">C. M¸y thi c«ng </v>
          </cell>
          <cell r="H235">
            <v>9554.4064968701314</v>
          </cell>
        </row>
        <row r="236">
          <cell r="D236" t="str">
            <v>M¸y ®µo 1,25m3</v>
          </cell>
          <cell r="E236" t="str">
            <v>ca</v>
          </cell>
          <cell r="F236">
            <v>3.2100000000000002E-3</v>
          </cell>
          <cell r="G236">
            <v>2976450.6220779223</v>
          </cell>
          <cell r="H236">
            <v>9554.4064968701314</v>
          </cell>
        </row>
        <row r="238">
          <cell r="B238" t="str">
            <v>CT13</v>
          </cell>
          <cell r="D238" t="str">
            <v xml:space="preserve">L¸ng nhùa 2 líp TCN 2.7kg/m2 </v>
          </cell>
          <cell r="E238" t="str">
            <v>m2</v>
          </cell>
          <cell r="I238">
            <v>43941.755613182613</v>
          </cell>
          <cell r="J238">
            <v>7985.8380000000006</v>
          </cell>
          <cell r="K238">
            <v>44916.921164509135</v>
          </cell>
        </row>
        <row r="239">
          <cell r="D239" t="str">
            <v>A.VËt liÖu</v>
          </cell>
          <cell r="H239">
            <v>43941.755613182613</v>
          </cell>
        </row>
        <row r="240">
          <cell r="C240" t="str">
            <v>VL06</v>
          </cell>
          <cell r="D240" t="str">
            <v>Nhùa ®­êng</v>
          </cell>
          <cell r="E240" t="str">
            <v>kg</v>
          </cell>
          <cell r="F240">
            <v>2.8890000000000002</v>
          </cell>
          <cell r="G240">
            <v>13047.589083439747</v>
          </cell>
          <cell r="H240">
            <v>37694.484862057434</v>
          </cell>
        </row>
        <row r="241">
          <cell r="C241" t="str">
            <v>VL02</v>
          </cell>
          <cell r="D241" t="str">
            <v>§¸ 0.5 ÷ 1.6</v>
          </cell>
          <cell r="E241" t="str">
            <v>m3</v>
          </cell>
          <cell r="F241">
            <v>2.5600000000000001E-2</v>
          </cell>
          <cell r="G241">
            <v>164784.01961162337</v>
          </cell>
          <cell r="H241">
            <v>4218.4709020575583</v>
          </cell>
        </row>
        <row r="242">
          <cell r="C242" t="str">
            <v>VL01</v>
          </cell>
          <cell r="D242" t="str">
            <v>§¸ 0.5 ÷ 1</v>
          </cell>
          <cell r="E242" t="str">
            <v>m3</v>
          </cell>
          <cell r="F242">
            <v>1.2699999999999999E-2</v>
          </cell>
          <cell r="G242">
            <v>159748.01961162337</v>
          </cell>
          <cell r="H242">
            <v>2028.7998490676168</v>
          </cell>
        </row>
        <row r="243">
          <cell r="D243" t="str">
            <v>B. Nh©n c«ng 3,5/7 - nhãm 4</v>
          </cell>
          <cell r="E243" t="str">
            <v>c«ng</v>
          </cell>
          <cell r="F243">
            <v>4.2000000000000003E-2</v>
          </cell>
          <cell r="G243">
            <v>190139</v>
          </cell>
          <cell r="H243">
            <v>7985.8380000000006</v>
          </cell>
        </row>
        <row r="244">
          <cell r="D244" t="str">
            <v>C. M¸y thi c«ng</v>
          </cell>
          <cell r="H244">
            <v>44916.921164509135</v>
          </cell>
        </row>
        <row r="245">
          <cell r="D245" t="str">
            <v>M¸y lu 8.5T</v>
          </cell>
          <cell r="E245" t="str">
            <v>Ca</v>
          </cell>
          <cell r="F245">
            <v>3.7000000000000002E-3</v>
          </cell>
          <cell r="G245">
            <v>795033.54545454541</v>
          </cell>
          <cell r="H245">
            <v>2941.6241181818182</v>
          </cell>
        </row>
        <row r="246">
          <cell r="D246" t="str">
            <v>M¸y t­íi nhùa</v>
          </cell>
          <cell r="E246" t="str">
            <v>Ca</v>
          </cell>
          <cell r="F246">
            <v>1.4580000000000017E-2</v>
          </cell>
          <cell r="G246">
            <v>2587220.6321212118</v>
          </cell>
          <cell r="H246">
            <v>37721.676816327308</v>
          </cell>
        </row>
        <row r="247">
          <cell r="D247" t="str">
            <v>ThiÕt bÞ nÊu nhùa</v>
          </cell>
          <cell r="E247" t="str">
            <v>Ca</v>
          </cell>
          <cell r="F247">
            <v>1.4580000000000017E-2</v>
          </cell>
          <cell r="G247">
            <v>291743.5</v>
          </cell>
          <cell r="H247">
            <v>4253.620230000005</v>
          </cell>
        </row>
        <row r="249">
          <cell r="B249" t="str">
            <v>CT14</v>
          </cell>
          <cell r="D249" t="str">
            <v xml:space="preserve">L¸ng nhùa 1 líp TCN 1.8kg/m2 </v>
          </cell>
          <cell r="E249" t="str">
            <v>m2</v>
          </cell>
          <cell r="I249">
            <v>34370.773611459364</v>
          </cell>
          <cell r="J249">
            <v>6845.0040000000008</v>
          </cell>
          <cell r="K249">
            <v>6862.5535436363634</v>
          </cell>
        </row>
        <row r="250">
          <cell r="D250" t="str">
            <v>A.VËt liÖu</v>
          </cell>
          <cell r="H250">
            <v>34370.773611459364</v>
          </cell>
        </row>
        <row r="251">
          <cell r="C251" t="str">
            <v>VL06</v>
          </cell>
          <cell r="D251" t="str">
            <v>Nhùa ®­êng</v>
          </cell>
          <cell r="E251" t="str">
            <v>kg</v>
          </cell>
          <cell r="F251">
            <v>2.3159999999999998</v>
          </cell>
          <cell r="G251">
            <v>13047.589083439747</v>
          </cell>
          <cell r="H251">
            <v>30218.216317246453</v>
          </cell>
        </row>
        <row r="252">
          <cell r="C252" t="str">
            <v>VL02</v>
          </cell>
          <cell r="D252" t="str">
            <v>§¸ 0.5 ÷ 1.6</v>
          </cell>
          <cell r="E252" t="str">
            <v>m3</v>
          </cell>
          <cell r="F252">
            <v>2.52E-2</v>
          </cell>
          <cell r="G252">
            <v>164784.01961162337</v>
          </cell>
          <cell r="H252">
            <v>4152.5572942129093</v>
          </cell>
        </row>
        <row r="253">
          <cell r="D253" t="str">
            <v>B. Nh©n c«ng 3,5/7 - nhãm 4</v>
          </cell>
          <cell r="E253" t="str">
            <v>c«ng</v>
          </cell>
          <cell r="F253">
            <v>3.6000000000000004E-2</v>
          </cell>
          <cell r="G253">
            <v>190139</v>
          </cell>
          <cell r="H253">
            <v>6845.0040000000008</v>
          </cell>
        </row>
        <row r="254">
          <cell r="D254" t="str">
            <v>C. M¸y thi c«ng</v>
          </cell>
          <cell r="H254">
            <v>6862.5535436363634</v>
          </cell>
        </row>
        <row r="255">
          <cell r="D255" t="str">
            <v>M¸y lu 8.5T</v>
          </cell>
          <cell r="E255" t="str">
            <v>Ca</v>
          </cell>
          <cell r="F255">
            <v>3.2000000000000002E-3</v>
          </cell>
          <cell r="G255">
            <v>795033.54545454541</v>
          </cell>
          <cell r="H255">
            <v>2544.1073454545453</v>
          </cell>
        </row>
        <row r="256">
          <cell r="D256" t="str">
            <v>M¸y t­íi nhùa</v>
          </cell>
          <cell r="E256" t="str">
            <v>Ca</v>
          </cell>
          <cell r="F256">
            <v>1.5E-3</v>
          </cell>
          <cell r="G256">
            <v>2587220.6321212118</v>
          </cell>
          <cell r="H256">
            <v>3880.8309481818178</v>
          </cell>
        </row>
        <row r="257">
          <cell r="D257" t="str">
            <v>ThiÕt bÞ nÊu nhùa</v>
          </cell>
          <cell r="E257" t="str">
            <v>Ca</v>
          </cell>
          <cell r="F257">
            <v>1.5E-3</v>
          </cell>
          <cell r="G257">
            <v>291743.5</v>
          </cell>
          <cell r="H257">
            <v>437.61525</v>
          </cell>
        </row>
        <row r="259">
          <cell r="B259" t="str">
            <v>CT15</v>
          </cell>
          <cell r="D259" t="str">
            <v>Tưới nhũ tương TCN 0.5kg/m2</v>
          </cell>
          <cell r="E259" t="str">
            <v>m2</v>
          </cell>
          <cell r="F259">
            <v>1</v>
          </cell>
          <cell r="I259">
            <v>5404.3748999450527</v>
          </cell>
          <cell r="J259">
            <v>437.31970000000001</v>
          </cell>
          <cell r="K259">
            <v>2219.2903891847272</v>
          </cell>
        </row>
        <row r="260">
          <cell r="D260" t="str">
            <v>A.VËt liÖu</v>
          </cell>
          <cell r="H260">
            <v>5404.3748999450527</v>
          </cell>
        </row>
        <row r="261">
          <cell r="C261" t="str">
            <v>VL22</v>
          </cell>
          <cell r="D261" t="str">
            <v>- Nhò t­¬ng</v>
          </cell>
          <cell r="E261" t="str">
            <v>kg</v>
          </cell>
          <cell r="F261">
            <v>0.51249999999999996</v>
          </cell>
          <cell r="G261">
            <v>10545.121755990347</v>
          </cell>
          <cell r="H261">
            <v>5404.3748999450527</v>
          </cell>
        </row>
        <row r="262">
          <cell r="D262" t="str">
            <v>B. Nh©n c«ng 3,5/7 - nhãm 2</v>
          </cell>
          <cell r="E262" t="str">
            <v>c«ng</v>
          </cell>
          <cell r="F262">
            <v>2.3E-3</v>
          </cell>
          <cell r="G262">
            <v>190139</v>
          </cell>
          <cell r="H262">
            <v>437.31970000000001</v>
          </cell>
        </row>
        <row r="263">
          <cell r="D263" t="str">
            <v>C. M¸y thi c«ng</v>
          </cell>
          <cell r="H263">
            <v>2219.2903891847272</v>
          </cell>
        </row>
        <row r="264">
          <cell r="D264" t="str">
            <v>- M¸y phun nhùa ®­êng 190Cv</v>
          </cell>
          <cell r="E264" t="str">
            <v>ca</v>
          </cell>
          <cell r="F264">
            <v>6.8000000000000005E-4</v>
          </cell>
          <cell r="G264">
            <v>2587220.6321212118</v>
          </cell>
          <cell r="H264">
            <v>1759.3100298424242</v>
          </cell>
        </row>
        <row r="265">
          <cell r="D265" t="str">
            <v>- M¸y nÐn khÝ 600m3/h</v>
          </cell>
          <cell r="E265" t="str">
            <v>ca</v>
          </cell>
          <cell r="F265">
            <v>3.4000000000000002E-4</v>
          </cell>
          <cell r="G265">
            <v>1224896.6515151514</v>
          </cell>
          <cell r="H265">
            <v>416.46486151515148</v>
          </cell>
        </row>
        <row r="266">
          <cell r="D266" t="str">
            <v>M¸y kh¸c</v>
          </cell>
          <cell r="E266" t="str">
            <v>%</v>
          </cell>
          <cell r="F266">
            <v>2</v>
          </cell>
          <cell r="G266">
            <v>2175.7748913575756</v>
          </cell>
          <cell r="H266">
            <v>43.515497827151513</v>
          </cell>
        </row>
        <row r="268">
          <cell r="B268" t="str">
            <v>CT16</v>
          </cell>
          <cell r="D268" t="str">
            <v>Tưới nhũ tương TCN 0.8kg/m2</v>
          </cell>
          <cell r="E268" t="str">
            <v>m2</v>
          </cell>
          <cell r="F268">
            <v>1</v>
          </cell>
          <cell r="I268">
            <v>8646.9998399120832</v>
          </cell>
          <cell r="J268">
            <v>437.31970000000001</v>
          </cell>
          <cell r="K268">
            <v>2219.2903891847272</v>
          </cell>
        </row>
        <row r="269">
          <cell r="D269" t="str">
            <v>A.VËt liÖu</v>
          </cell>
          <cell r="H269">
            <v>8646.9998399120832</v>
          </cell>
        </row>
        <row r="270">
          <cell r="C270" t="str">
            <v>VL22</v>
          </cell>
          <cell r="D270" t="str">
            <v>Nhò t­¬ng</v>
          </cell>
          <cell r="E270" t="str">
            <v>kg</v>
          </cell>
          <cell r="F270">
            <v>0.82</v>
          </cell>
          <cell r="G270">
            <v>10545.121755990347</v>
          </cell>
          <cell r="H270">
            <v>8646.9998399120832</v>
          </cell>
        </row>
        <row r="271">
          <cell r="D271" t="str">
            <v>B. Nh©n c«ng 3,5/7 - nhãm 2</v>
          </cell>
          <cell r="E271" t="str">
            <v>c«ng</v>
          </cell>
          <cell r="F271">
            <v>2.3E-3</v>
          </cell>
          <cell r="G271">
            <v>190139</v>
          </cell>
          <cell r="H271">
            <v>437.31970000000001</v>
          </cell>
        </row>
        <row r="272">
          <cell r="D272" t="str">
            <v>C. M¸y thi c«ng</v>
          </cell>
          <cell r="H272">
            <v>2219.2903891847272</v>
          </cell>
        </row>
        <row r="273">
          <cell r="D273" t="str">
            <v>- M¸y phun nhùa ®­êng 190Cv</v>
          </cell>
          <cell r="E273" t="str">
            <v>ca</v>
          </cell>
          <cell r="F273">
            <v>6.8000000000000005E-4</v>
          </cell>
          <cell r="G273">
            <v>2587220.6321212118</v>
          </cell>
          <cell r="H273">
            <v>1759.3100298424242</v>
          </cell>
        </row>
        <row r="274">
          <cell r="D274" t="str">
            <v>- M¸y nÐn khÝ 600m3/h</v>
          </cell>
          <cell r="E274" t="str">
            <v>ca</v>
          </cell>
          <cell r="F274">
            <v>3.4000000000000002E-4</v>
          </cell>
          <cell r="G274">
            <v>1224896.6515151514</v>
          </cell>
          <cell r="H274">
            <v>416.46486151515148</v>
          </cell>
        </row>
        <row r="275">
          <cell r="D275" t="str">
            <v>- Máy khác</v>
          </cell>
          <cell r="E275" t="str">
            <v>%</v>
          </cell>
          <cell r="F275">
            <v>2</v>
          </cell>
          <cell r="G275">
            <v>2175.7748913575756</v>
          </cell>
          <cell r="H275">
            <v>43.515497827151513</v>
          </cell>
        </row>
        <row r="277">
          <cell r="B277" t="str">
            <v>CT17</v>
          </cell>
          <cell r="D277" t="str">
            <v>Tưới nhũ tương TCN 1kg/m2</v>
          </cell>
          <cell r="E277" t="str">
            <v>m2</v>
          </cell>
          <cell r="F277">
            <v>1</v>
          </cell>
          <cell r="I277">
            <v>10808.749799890105</v>
          </cell>
          <cell r="J277">
            <v>437.31970000000001</v>
          </cell>
          <cell r="K277">
            <v>2219.2903891847272</v>
          </cell>
        </row>
        <row r="278">
          <cell r="D278" t="str">
            <v>A.VËt liÖu</v>
          </cell>
          <cell r="H278">
            <v>10808.749799890105</v>
          </cell>
        </row>
        <row r="279">
          <cell r="C279" t="str">
            <v>VL22</v>
          </cell>
          <cell r="D279" t="str">
            <v>Nhò t­¬ng</v>
          </cell>
          <cell r="E279" t="str">
            <v>kg</v>
          </cell>
          <cell r="F279">
            <v>1.0249999999999999</v>
          </cell>
          <cell r="G279">
            <v>10545.121755990347</v>
          </cell>
          <cell r="H279">
            <v>10808.749799890105</v>
          </cell>
        </row>
        <row r="280">
          <cell r="D280" t="str">
            <v>B. Nh©n c«ng 3,5/7 - nhãm 2</v>
          </cell>
          <cell r="E280" t="str">
            <v>c«ng</v>
          </cell>
          <cell r="F280">
            <v>2.3E-3</v>
          </cell>
          <cell r="G280">
            <v>190139</v>
          </cell>
          <cell r="H280">
            <v>437.31970000000001</v>
          </cell>
        </row>
        <row r="281">
          <cell r="D281" t="str">
            <v>C. M¸y thi c«ng</v>
          </cell>
          <cell r="H281">
            <v>2219.2903891847272</v>
          </cell>
        </row>
        <row r="282">
          <cell r="D282" t="str">
            <v>- M¸y phun nhùa ®­êng 190Cv</v>
          </cell>
          <cell r="E282" t="str">
            <v>ca</v>
          </cell>
          <cell r="F282">
            <v>6.8000000000000005E-4</v>
          </cell>
          <cell r="G282">
            <v>2587220.6321212118</v>
          </cell>
          <cell r="H282">
            <v>1759.3100298424242</v>
          </cell>
        </row>
        <row r="283">
          <cell r="D283" t="str">
            <v>- M¸y nÐn khÝ 600m3/h</v>
          </cell>
          <cell r="E283" t="str">
            <v>ca</v>
          </cell>
          <cell r="F283">
            <v>3.4000000000000002E-4</v>
          </cell>
          <cell r="G283">
            <v>1224896.6515151514</v>
          </cell>
          <cell r="H283">
            <v>416.46486151515148</v>
          </cell>
        </row>
        <row r="284">
          <cell r="D284" t="str">
            <v>- Máy khác</v>
          </cell>
          <cell r="E284" t="str">
            <v>%</v>
          </cell>
          <cell r="F284">
            <v>2</v>
          </cell>
          <cell r="G284">
            <v>2175.7748913575756</v>
          </cell>
          <cell r="H284">
            <v>43.515497827151513</v>
          </cell>
        </row>
        <row r="286">
          <cell r="B286">
            <v>18</v>
          </cell>
          <cell r="D286" t="str">
            <v>§µo r·nh, ®µo ®Êt C2 (100% m¸y )</v>
          </cell>
          <cell r="E286" t="str">
            <v>m3</v>
          </cell>
          <cell r="I286">
            <v>0</v>
          </cell>
          <cell r="J286">
            <v>6607.326</v>
          </cell>
          <cell r="K286">
            <v>7879.6777824545443</v>
          </cell>
        </row>
        <row r="287">
          <cell r="D287" t="str">
            <v>B. Nh©n c«ng</v>
          </cell>
          <cell r="H287">
            <v>6607.326</v>
          </cell>
        </row>
        <row r="288">
          <cell r="D288" t="str">
            <v xml:space="preserve">Nh©n c«ng 3,0/7 </v>
          </cell>
          <cell r="E288" t="str">
            <v>c«ng</v>
          </cell>
          <cell r="F288">
            <v>3.7999999999999999E-2</v>
          </cell>
          <cell r="G288">
            <v>173877</v>
          </cell>
          <cell r="H288">
            <v>6607.326</v>
          </cell>
        </row>
        <row r="289">
          <cell r="D289" t="str">
            <v xml:space="preserve">C. M¸y thi c«ng </v>
          </cell>
          <cell r="H289">
            <v>7879.6777824545443</v>
          </cell>
        </row>
        <row r="290">
          <cell r="D290" t="str">
            <v xml:space="preserve">M¸y ®µo 0.8m3 </v>
          </cell>
          <cell r="E290" t="str">
            <v>ca</v>
          </cell>
          <cell r="F290">
            <v>3.7199999999999998E-3</v>
          </cell>
          <cell r="G290">
            <v>2118192.9522727272</v>
          </cell>
          <cell r="H290">
            <v>7879.6777824545443</v>
          </cell>
        </row>
        <row r="292">
          <cell r="B292" t="str">
            <v>18A</v>
          </cell>
          <cell r="D292" t="str">
            <v>§µo r·nh, ®µo ®Êt C2 (100% NC)</v>
          </cell>
          <cell r="E292" t="str">
            <v>m3</v>
          </cell>
          <cell r="J292">
            <v>142579.13999999998</v>
          </cell>
        </row>
        <row r="293">
          <cell r="D293" t="str">
            <v>B. Nh©n c«ng</v>
          </cell>
          <cell r="H293">
            <v>142579.13999999998</v>
          </cell>
        </row>
        <row r="294">
          <cell r="D294" t="str">
            <v xml:space="preserve">Nh©n c«ng 3,0/7 </v>
          </cell>
          <cell r="E294" t="str">
            <v>c«ng</v>
          </cell>
          <cell r="F294">
            <v>0.82</v>
          </cell>
          <cell r="G294">
            <v>173877</v>
          </cell>
          <cell r="H294">
            <v>142579.13999999998</v>
          </cell>
        </row>
        <row r="296">
          <cell r="B296" t="str">
            <v>CT19</v>
          </cell>
          <cell r="D296" t="str">
            <v>§¾p ®Êt K95 tËn dông (§¾p lÒ)</v>
          </cell>
          <cell r="E296" t="str">
            <v>m3</v>
          </cell>
          <cell r="I296">
            <v>0</v>
          </cell>
          <cell r="J296">
            <v>12397.4301</v>
          </cell>
          <cell r="K296">
            <v>12557.856184690909</v>
          </cell>
        </row>
        <row r="297">
          <cell r="D297" t="str">
            <v>A.VËt liÖu</v>
          </cell>
          <cell r="H297">
            <v>0</v>
          </cell>
        </row>
        <row r="298">
          <cell r="D298" t="str">
            <v>§Êt ®¾p</v>
          </cell>
          <cell r="E298" t="str">
            <v>m3</v>
          </cell>
          <cell r="F298">
            <v>0</v>
          </cell>
          <cell r="H298">
            <v>0</v>
          </cell>
        </row>
        <row r="299">
          <cell r="D299" t="str">
            <v>B. Nh©n c«ng 3,0/7 - nhãm 1</v>
          </cell>
          <cell r="E299" t="str">
            <v>c«ng</v>
          </cell>
          <cell r="F299">
            <v>7.1300000000000002E-2</v>
          </cell>
          <cell r="G299">
            <v>173877</v>
          </cell>
          <cell r="H299">
            <v>12397.4301</v>
          </cell>
        </row>
        <row r="300">
          <cell r="D300" t="str">
            <v>C. M¸y thi c«ng</v>
          </cell>
          <cell r="H300">
            <v>12557.856184690909</v>
          </cell>
        </row>
        <row r="301">
          <cell r="D301" t="str">
            <v>M¸y ®Çm cãc</v>
          </cell>
          <cell r="E301" t="str">
            <v>Ca</v>
          </cell>
          <cell r="F301">
            <v>4.428E-2</v>
          </cell>
          <cell r="G301">
            <v>283601.0881818182</v>
          </cell>
          <cell r="H301">
            <v>12557.856184690909</v>
          </cell>
        </row>
        <row r="303">
          <cell r="B303" t="str">
            <v>CT20</v>
          </cell>
          <cell r="D303" t="str">
            <v>Lu lèn mặt đường cũ</v>
          </cell>
          <cell r="E303" t="str">
            <v>m2</v>
          </cell>
          <cell r="I303">
            <v>0</v>
          </cell>
          <cell r="J303">
            <v>1564.8930000000003</v>
          </cell>
          <cell r="K303">
            <v>4766.7941543559127</v>
          </cell>
        </row>
        <row r="304">
          <cell r="D304" t="str">
            <v>A.VËt liÖu</v>
          </cell>
        </row>
        <row r="305">
          <cell r="C305">
            <v>0</v>
          </cell>
          <cell r="D305" t="str">
            <v>§Êt ®¾p</v>
          </cell>
          <cell r="E305" t="str">
            <v>m3</v>
          </cell>
        </row>
        <row r="306">
          <cell r="D306" t="str">
            <v>B. Nh©n c«ng 3,0/7 - nhãm 1</v>
          </cell>
          <cell r="E306" t="str">
            <v>c«ng</v>
          </cell>
          <cell r="F306">
            <v>9.0000000000000011E-3</v>
          </cell>
          <cell r="G306">
            <v>173877</v>
          </cell>
          <cell r="H306">
            <v>1564.8930000000003</v>
          </cell>
        </row>
        <row r="307">
          <cell r="D307" t="str">
            <v>C. M¸y thi c«ng</v>
          </cell>
          <cell r="H307">
            <v>4766.7941543559127</v>
          </cell>
        </row>
        <row r="308">
          <cell r="D308" t="str">
            <v>M¸y ®Çm 25T</v>
          </cell>
          <cell r="E308" t="str">
            <v>ca</v>
          </cell>
          <cell r="F308">
            <v>8.9999999999999998E-4</v>
          </cell>
          <cell r="G308">
            <v>1592890.4740740741</v>
          </cell>
          <cell r="H308">
            <v>1433.6014266666666</v>
          </cell>
        </row>
        <row r="309">
          <cell r="D309" t="str">
            <v>Ô tô tưới nước 5m3</v>
          </cell>
          <cell r="E309" t="str">
            <v>ca</v>
          </cell>
          <cell r="F309">
            <v>1.8E-3</v>
          </cell>
          <cell r="G309">
            <v>944457.841958042</v>
          </cell>
          <cell r="H309">
            <v>1700.0241155244755</v>
          </cell>
        </row>
        <row r="310">
          <cell r="D310" t="str">
            <v>M¸y san 108CV</v>
          </cell>
          <cell r="E310" t="str">
            <v>ca</v>
          </cell>
          <cell r="F310">
            <v>8.9999999999999998E-4</v>
          </cell>
          <cell r="G310">
            <v>1710780.0667984188</v>
          </cell>
          <cell r="H310">
            <v>1539.7020601185768</v>
          </cell>
        </row>
        <row r="311">
          <cell r="D311" t="str">
            <v>M¸y kh¸c</v>
          </cell>
          <cell r="E311" t="str">
            <v>%</v>
          </cell>
          <cell r="F311">
            <v>2</v>
          </cell>
          <cell r="H311">
            <v>93.46655204619438</v>
          </cell>
        </row>
        <row r="313">
          <cell r="B313" t="str">
            <v>CT21</v>
          </cell>
          <cell r="D313" t="str">
            <v>VËn chuyÓn phÕ th¶i ®æ ®i TB 2km</v>
          </cell>
          <cell r="E313" t="str">
            <v>m3</v>
          </cell>
          <cell r="K313">
            <v>20386.135335974024</v>
          </cell>
        </row>
        <row r="314">
          <cell r="D314" t="str">
            <v xml:space="preserve">C. M¸y thi c«ng </v>
          </cell>
          <cell r="H314">
            <v>20386.135335974024</v>
          </cell>
        </row>
        <row r="315">
          <cell r="D315" t="str">
            <v>¤ t« tù ®æ 10T vËn chuyÓn km ®Çu tiªn</v>
          </cell>
          <cell r="E315" t="str">
            <v>ca</v>
          </cell>
          <cell r="F315">
            <v>9.2399999999999999E-3</v>
          </cell>
          <cell r="G315">
            <v>1641395.7597402595</v>
          </cell>
          <cell r="H315">
            <v>15166.496819999998</v>
          </cell>
        </row>
        <row r="316">
          <cell r="D316" t="str">
            <v>¤ t« tù ®æ 10T vËn chuyÓn 1 km tiÕp theo</v>
          </cell>
          <cell r="E316" t="str">
            <v>ca</v>
          </cell>
          <cell r="F316">
            <v>3.1800000000000001E-3</v>
          </cell>
          <cell r="G316">
            <v>1641395.7597402595</v>
          </cell>
          <cell r="H316">
            <v>5219.6385159740257</v>
          </cell>
        </row>
        <row r="318">
          <cell r="B318" t="str">
            <v>CT22</v>
          </cell>
          <cell r="D318" t="str">
            <v>VËn chuyÓn ®Êt ®Ó ®¾p TB 1km</v>
          </cell>
          <cell r="E318" t="str">
            <v>m3</v>
          </cell>
          <cell r="K318">
            <v>15166.496819999998</v>
          </cell>
        </row>
        <row r="319">
          <cell r="D319" t="str">
            <v xml:space="preserve">C. M¸y thi c«ng </v>
          </cell>
          <cell r="H319">
            <v>15166.496819999998</v>
          </cell>
        </row>
        <row r="320">
          <cell r="D320" t="str">
            <v>¤ t« tù ®æ 10T vËn chuyÓn km ®Çu tiªn</v>
          </cell>
          <cell r="E320" t="str">
            <v>ca</v>
          </cell>
          <cell r="F320">
            <v>9.2399999999999999E-3</v>
          </cell>
          <cell r="G320">
            <v>1641395.7597402595</v>
          </cell>
          <cell r="H320">
            <v>15166.496819999998</v>
          </cell>
        </row>
        <row r="322">
          <cell r="B322" t="str">
            <v>CT23</v>
          </cell>
          <cell r="D322" t="str">
            <v xml:space="preserve">Mãng ®­êng ®¸ d¨m tiªu chuÈn líp dưới dµy TB 12cm </v>
          </cell>
          <cell r="E322" t="str">
            <v>m2</v>
          </cell>
          <cell r="I322">
            <v>23563.274704519979</v>
          </cell>
          <cell r="J322">
            <v>9702.3366000000005</v>
          </cell>
          <cell r="K322">
            <v>14859.140280841753</v>
          </cell>
        </row>
        <row r="323">
          <cell r="D323" t="str">
            <v>A.VËt liÖu</v>
          </cell>
          <cell r="H323">
            <v>23563.274704519979</v>
          </cell>
        </row>
        <row r="324">
          <cell r="C324" t="str">
            <v>VL04</v>
          </cell>
          <cell r="D324" t="str">
            <v>§¸ 4x6</v>
          </cell>
          <cell r="E324" t="str">
            <v>m3</v>
          </cell>
          <cell r="F324">
            <v>0.1583</v>
          </cell>
          <cell r="G324">
            <v>148852.01961162337</v>
          </cell>
          <cell r="H324">
            <v>23563.274704519979</v>
          </cell>
        </row>
        <row r="325">
          <cell r="D325" t="str">
            <v>B. Nh©n c«ng 3.0/7 - nhãm 1</v>
          </cell>
          <cell r="E325" t="str">
            <v>c«ng</v>
          </cell>
          <cell r="F325">
            <v>5.5800000000000002E-2</v>
          </cell>
          <cell r="G325">
            <v>173877</v>
          </cell>
          <cell r="H325">
            <v>9702.3366000000005</v>
          </cell>
        </row>
        <row r="326">
          <cell r="D326" t="str">
            <v>C. M¸y thi c«ng</v>
          </cell>
          <cell r="H326">
            <v>14859.140280841753</v>
          </cell>
        </row>
        <row r="327">
          <cell r="D327" t="str">
            <v>M¸y lu 10T</v>
          </cell>
          <cell r="E327" t="str">
            <v>ca</v>
          </cell>
          <cell r="F327">
            <v>1.5700000000000002E-2</v>
          </cell>
          <cell r="G327">
            <v>907340.29831649829</v>
          </cell>
          <cell r="H327">
            <v>14245.242683569026</v>
          </cell>
        </row>
        <row r="328">
          <cell r="D328" t="str">
            <v>¤ t« t­íi n­íc 5m3</v>
          </cell>
          <cell r="E328" t="str">
            <v>ca</v>
          </cell>
          <cell r="F328">
            <v>6.4999999999999997E-4</v>
          </cell>
          <cell r="G328">
            <v>944457.841958042</v>
          </cell>
          <cell r="H328">
            <v>613.89759727272724</v>
          </cell>
        </row>
        <row r="331">
          <cell r="B331" t="str">
            <v>CT24</v>
          </cell>
          <cell r="D331" t="str">
            <v xml:space="preserve">Mãng ®­êng ®¸ d¨m tiªu chuÈn líp trªn dµy TB 10.5cm </v>
          </cell>
          <cell r="E331" t="str">
            <v>m2</v>
          </cell>
          <cell r="I331">
            <v>22657.436242238615</v>
          </cell>
          <cell r="J331">
            <v>13822.594515928449</v>
          </cell>
          <cell r="K331">
            <v>14531.703926843174</v>
          </cell>
        </row>
        <row r="332">
          <cell r="D332" t="str">
            <v>A.VËt liÖu</v>
          </cell>
          <cell r="H332">
            <v>22657.436242238615</v>
          </cell>
        </row>
        <row r="333">
          <cell r="C333" t="str">
            <v>VL04</v>
          </cell>
          <cell r="D333" t="str">
            <v>§¸ 4x6</v>
          </cell>
          <cell r="E333" t="str">
            <v>m3</v>
          </cell>
          <cell r="F333">
            <v>0.13849999999999998</v>
          </cell>
          <cell r="G333">
            <v>148852.01961162337</v>
          </cell>
          <cell r="H333">
            <v>20616.004716209834</v>
          </cell>
        </row>
        <row r="334">
          <cell r="C334" t="str">
            <v>VL03</v>
          </cell>
          <cell r="D334" t="str">
            <v>§¸ 2x4</v>
          </cell>
          <cell r="E334" t="str">
            <v>m3</v>
          </cell>
          <cell r="F334">
            <v>3.7750000000000001E-3</v>
          </cell>
          <cell r="G334">
            <v>153693.01961162337</v>
          </cell>
          <cell r="H334">
            <v>580.19114903387822</v>
          </cell>
        </row>
        <row r="335">
          <cell r="C335" t="str">
            <v>VL02</v>
          </cell>
          <cell r="D335" t="str">
            <v>§¸ 1x2</v>
          </cell>
          <cell r="E335" t="str">
            <v>m3</v>
          </cell>
          <cell r="F335">
            <v>3.8750000000000008E-3</v>
          </cell>
          <cell r="G335">
            <v>164784.01961162337</v>
          </cell>
          <cell r="H335">
            <v>638.53807599504069</v>
          </cell>
        </row>
        <row r="336">
          <cell r="C336" t="str">
            <v>VL01</v>
          </cell>
          <cell r="D336" t="str">
            <v>§¸ 0.5x1</v>
          </cell>
          <cell r="E336" t="str">
            <v>m3</v>
          </cell>
          <cell r="F336">
            <v>5.1500000000000009E-3</v>
          </cell>
          <cell r="G336">
            <v>159748.01961162337</v>
          </cell>
          <cell r="H336">
            <v>822.70230099986054</v>
          </cell>
        </row>
        <row r="337">
          <cell r="D337" t="str">
            <v>B. Nh©n c«ng 3.0/7 - nhãm 1</v>
          </cell>
          <cell r="E337" t="str">
            <v>c«ng</v>
          </cell>
          <cell r="F337">
            <v>7.9496394094264622E-2</v>
          </cell>
          <cell r="G337">
            <v>173877</v>
          </cell>
          <cell r="H337">
            <v>13822.594515928449</v>
          </cell>
        </row>
        <row r="338">
          <cell r="D338" t="str">
            <v>C. M¸y thi c«ng</v>
          </cell>
          <cell r="H338">
            <v>14531.703926843174</v>
          </cell>
          <cell r="K338">
            <v>3.2</v>
          </cell>
        </row>
        <row r="339">
          <cell r="D339" t="str">
            <v>M¸y lu 10T</v>
          </cell>
          <cell r="E339" t="str">
            <v>ca</v>
          </cell>
          <cell r="F339">
            <v>1.5424999999999999E-2</v>
          </cell>
          <cell r="G339">
            <v>907340.29831649829</v>
          </cell>
          <cell r="H339">
            <v>13995.724101531985</v>
          </cell>
          <cell r="K339">
            <v>17.61</v>
          </cell>
        </row>
        <row r="340">
          <cell r="D340" t="str">
            <v>¤ t« t­íi n­íc 5m3</v>
          </cell>
          <cell r="E340" t="str">
            <v>ca</v>
          </cell>
          <cell r="F340">
            <v>5.6749999999999997E-4</v>
          </cell>
          <cell r="G340">
            <v>944457.841958042</v>
          </cell>
          <cell r="H340">
            <v>535.97982531118885</v>
          </cell>
          <cell r="J340">
            <v>0.81828506530380463</v>
          </cell>
          <cell r="K340">
            <v>0.18171493469619535</v>
          </cell>
        </row>
        <row r="343">
          <cell r="B343" t="str">
            <v>CT25</v>
          </cell>
          <cell r="D343" t="str">
            <v xml:space="preserve">Mãng ®­êng ®¸ d¨m tiªu chuÈn líp trªn dµy TB 15,5cm </v>
          </cell>
          <cell r="E343" t="str">
            <v>m2</v>
          </cell>
          <cell r="I343">
            <v>33430.967028294916</v>
          </cell>
          <cell r="J343">
            <v>15978.006432900249</v>
          </cell>
          <cell r="K343">
            <v>21285.068461568244</v>
          </cell>
        </row>
        <row r="344">
          <cell r="D344" t="str">
            <v>A.VËt liÖu</v>
          </cell>
          <cell r="H344">
            <v>33430.967028294916</v>
          </cell>
        </row>
        <row r="345">
          <cell r="C345" t="str">
            <v>VL04</v>
          </cell>
          <cell r="D345" t="str">
            <v>§¸ 4x6</v>
          </cell>
          <cell r="E345" t="str">
            <v>m3</v>
          </cell>
          <cell r="F345">
            <v>0.20449999999999999</v>
          </cell>
          <cell r="G345">
            <v>148852.01961162337</v>
          </cell>
          <cell r="H345">
            <v>30440.238010576977</v>
          </cell>
        </row>
        <row r="346">
          <cell r="C346" t="str">
            <v>VL03</v>
          </cell>
          <cell r="D346" t="str">
            <v>§¸ 2x4</v>
          </cell>
          <cell r="E346" t="str">
            <v>m3</v>
          </cell>
          <cell r="F346">
            <v>5.45E-3</v>
          </cell>
          <cell r="G346">
            <v>153693.01961162337</v>
          </cell>
          <cell r="H346">
            <v>837.62695688334736</v>
          </cell>
        </row>
        <row r="347">
          <cell r="C347" t="str">
            <v>VL02</v>
          </cell>
          <cell r="D347" t="str">
            <v>§¸ 1x2</v>
          </cell>
          <cell r="E347" t="str">
            <v>m3</v>
          </cell>
          <cell r="F347">
            <v>5.6500000000000005E-3</v>
          </cell>
          <cell r="G347">
            <v>164784.01961162337</v>
          </cell>
          <cell r="H347">
            <v>931.02971080567215</v>
          </cell>
          <cell r="K347">
            <v>3.68</v>
          </cell>
        </row>
        <row r="348">
          <cell r="C348" t="str">
            <v>VL01</v>
          </cell>
          <cell r="D348" t="str">
            <v>§¸ 0.5x1</v>
          </cell>
          <cell r="E348" t="str">
            <v>m3</v>
          </cell>
          <cell r="F348">
            <v>7.6500000000000005E-3</v>
          </cell>
          <cell r="G348">
            <v>159748.01961162337</v>
          </cell>
          <cell r="H348">
            <v>1222.0723500289189</v>
          </cell>
          <cell r="K348">
            <v>23.86</v>
          </cell>
        </row>
        <row r="349">
          <cell r="D349" t="str">
            <v>B. Nh©n c«ng 3/7 - nhãm 1</v>
          </cell>
          <cell r="E349" t="str">
            <v>c«ng</v>
          </cell>
          <cell r="F349">
            <v>9.1892581726739295E-2</v>
          </cell>
          <cell r="G349">
            <v>173877</v>
          </cell>
          <cell r="H349">
            <v>15978.006432900249</v>
          </cell>
          <cell r="J349">
            <v>0.84576697401508794</v>
          </cell>
          <cell r="K349">
            <v>0.15423302598491201</v>
          </cell>
        </row>
        <row r="350">
          <cell r="D350" t="str">
            <v>C. M¸y thi c«ng</v>
          </cell>
          <cell r="H350">
            <v>21285.068461568244</v>
          </cell>
        </row>
        <row r="351">
          <cell r="D351" t="str">
            <v>M¸y lu 10T</v>
          </cell>
          <cell r="E351" t="str">
            <v>ca</v>
          </cell>
          <cell r="F351">
            <v>2.2599999999999999E-2</v>
          </cell>
          <cell r="G351">
            <v>907340.29831649829</v>
          </cell>
          <cell r="H351">
            <v>20505.890741952859</v>
          </cell>
        </row>
        <row r="352">
          <cell r="D352" t="str">
            <v>¤ t« t­íi n­íc 5m3</v>
          </cell>
          <cell r="E352" t="str">
            <v>ca</v>
          </cell>
          <cell r="F352">
            <v>8.25E-4</v>
          </cell>
          <cell r="G352">
            <v>944457.841958042</v>
          </cell>
          <cell r="H352">
            <v>779.1777196153846</v>
          </cell>
        </row>
        <row r="354">
          <cell r="D354" t="str">
            <v xml:space="preserve">Mãng ®­êng ®¸ d¨m tiªu chuÈn líp trªn dµy TB 12.5cm </v>
          </cell>
          <cell r="E354" t="str">
            <v>m2</v>
          </cell>
          <cell r="I354" t="e">
            <v>#REF!</v>
          </cell>
          <cell r="J354">
            <v>14775.138461538461</v>
          </cell>
          <cell r="K354">
            <v>5618.303329089661</v>
          </cell>
        </row>
        <row r="355">
          <cell r="D355" t="str">
            <v>A.VËt liÖu</v>
          </cell>
          <cell r="H355" t="e">
            <v>#REF!</v>
          </cell>
        </row>
        <row r="356">
          <cell r="C356" t="str">
            <v>VL04</v>
          </cell>
          <cell r="D356" t="str">
            <v>§¸ 4x6</v>
          </cell>
          <cell r="E356" t="str">
            <v>m3</v>
          </cell>
          <cell r="F356">
            <v>0.16482142857142859</v>
          </cell>
          <cell r="G356" t="e">
            <v>#REF!</v>
          </cell>
          <cell r="H356" t="e">
            <v>#REF!</v>
          </cell>
        </row>
        <row r="357">
          <cell r="C357" t="str">
            <v>VL03</v>
          </cell>
          <cell r="D357" t="str">
            <v>§¸ 2x4</v>
          </cell>
          <cell r="E357" t="str">
            <v>m3</v>
          </cell>
          <cell r="F357">
            <v>4.1071428571428569E-3</v>
          </cell>
          <cell r="G357" t="e">
            <v>#REF!</v>
          </cell>
          <cell r="H357" t="e">
            <v>#REF!</v>
          </cell>
        </row>
        <row r="358">
          <cell r="C358" t="str">
            <v>VL02</v>
          </cell>
          <cell r="D358" t="str">
            <v>§¸ 1x2</v>
          </cell>
          <cell r="E358" t="str">
            <v>m3</v>
          </cell>
          <cell r="F358">
            <v>4.1071428571428569E-3</v>
          </cell>
          <cell r="G358" t="e">
            <v>#REF!</v>
          </cell>
          <cell r="H358" t="e">
            <v>#REF!</v>
          </cell>
        </row>
        <row r="359">
          <cell r="C359" t="str">
            <v>VL01</v>
          </cell>
          <cell r="D359" t="str">
            <v>§¸ 0.5x1</v>
          </cell>
          <cell r="E359" t="str">
            <v>m3</v>
          </cell>
          <cell r="F359">
            <v>3.9285714285714288E-3</v>
          </cell>
          <cell r="G359" t="e">
            <v>#REF!</v>
          </cell>
          <cell r="H359" t="e">
            <v>#REF!</v>
          </cell>
        </row>
        <row r="360">
          <cell r="D360" t="str">
            <v>B. Nh©n c«ng 3/7 - nhãm 2</v>
          </cell>
          <cell r="E360" t="str">
            <v>c«ng</v>
          </cell>
          <cell r="F360">
            <v>7.4999999999999997E-2</v>
          </cell>
          <cell r="G360">
            <v>197001.84615384616</v>
          </cell>
          <cell r="H360">
            <v>14775.138461538461</v>
          </cell>
        </row>
        <row r="361">
          <cell r="D361" t="str">
            <v>C. M¸y thi c«ng</v>
          </cell>
          <cell r="H361">
            <v>5618.303329089661</v>
          </cell>
        </row>
        <row r="362">
          <cell r="D362" t="str">
            <v>M¸y lu 10T</v>
          </cell>
          <cell r="E362" t="str">
            <v>ca</v>
          </cell>
          <cell r="F362">
            <v>3.9285714285714288E-3</v>
          </cell>
          <cell r="G362">
            <v>914796.75874125864</v>
          </cell>
          <cell r="H362">
            <v>3593.8444093406592</v>
          </cell>
        </row>
        <row r="363">
          <cell r="D363" t="str">
            <v>¤ t« t­íi n­íc 5m3</v>
          </cell>
          <cell r="E363" t="str">
            <v>ca</v>
          </cell>
          <cell r="F363">
            <v>1.7857142857142859E-3</v>
          </cell>
          <cell r="G363">
            <v>927867.56468531466</v>
          </cell>
          <cell r="H363">
            <v>1656.9063655094906</v>
          </cell>
        </row>
        <row r="364">
          <cell r="D364" t="str">
            <v>Máy khác</v>
          </cell>
          <cell r="E364" t="str">
            <v>%</v>
          </cell>
          <cell r="F364">
            <v>7</v>
          </cell>
          <cell r="G364">
            <v>5250.7507748501503</v>
          </cell>
          <cell r="H364">
            <v>367.55255423951053</v>
          </cell>
        </row>
        <row r="366">
          <cell r="B366" t="str">
            <v>CT25A</v>
          </cell>
          <cell r="D366" t="str">
            <v xml:space="preserve">Mãng ®­êng ®¸ d¨m tiªu chuÈn líp trªn </v>
          </cell>
          <cell r="E366" t="str">
            <v>m3</v>
          </cell>
          <cell r="I366">
            <v>214283.25647600007</v>
          </cell>
          <cell r="J366">
            <v>47044.309782648786</v>
          </cell>
          <cell r="K366">
            <v>132613.76013468282</v>
          </cell>
        </row>
        <row r="367">
          <cell r="D367" t="str">
            <v>A.VËt liÖu</v>
          </cell>
          <cell r="H367">
            <v>214283.25647600007</v>
          </cell>
        </row>
        <row r="368">
          <cell r="C368" t="str">
            <v>VL04</v>
          </cell>
          <cell r="D368" t="str">
            <v>§¸ 4x6</v>
          </cell>
          <cell r="E368" t="str">
            <v>m3</v>
          </cell>
          <cell r="F368">
            <v>1.3199000000000001</v>
          </cell>
          <cell r="G368">
            <v>148852.01961162337</v>
          </cell>
          <cell r="H368">
            <v>196469.7806853817</v>
          </cell>
        </row>
        <row r="369">
          <cell r="C369" t="str">
            <v>VL03</v>
          </cell>
          <cell r="D369" t="str">
            <v>§¸ 2x4</v>
          </cell>
          <cell r="E369" t="str">
            <v>m3</v>
          </cell>
          <cell r="F369">
            <v>3.0800000000000018E-2</v>
          </cell>
          <cell r="G369">
            <v>153693.01961162337</v>
          </cell>
          <cell r="H369">
            <v>4733.7450040380027</v>
          </cell>
        </row>
        <row r="370">
          <cell r="C370" t="str">
            <v>VL02</v>
          </cell>
          <cell r="D370" t="str">
            <v>§¸ 1x2</v>
          </cell>
          <cell r="E370" t="str">
            <v>m3</v>
          </cell>
          <cell r="F370">
            <v>3.1000000000000024E-2</v>
          </cell>
          <cell r="G370">
            <v>164784.01961162337</v>
          </cell>
          <cell r="H370">
            <v>5108.3046079603282</v>
          </cell>
        </row>
        <row r="371">
          <cell r="C371" t="str">
            <v>VL01</v>
          </cell>
          <cell r="D371" t="str">
            <v>§¸ 0.5x1</v>
          </cell>
          <cell r="E371" t="str">
            <v>m3</v>
          </cell>
          <cell r="F371">
            <v>4.9900000000000035E-2</v>
          </cell>
          <cell r="G371">
            <v>159748.01961162337</v>
          </cell>
          <cell r="H371">
            <v>7971.4261786200113</v>
          </cell>
        </row>
        <row r="372">
          <cell r="D372" t="str">
            <v>B. Nh©n c«ng 3/7 - nhãm 1</v>
          </cell>
          <cell r="E372" t="str">
            <v>c«ng</v>
          </cell>
          <cell r="F372">
            <v>0.27056085498742666</v>
          </cell>
          <cell r="G372">
            <v>173877</v>
          </cell>
          <cell r="H372">
            <v>47044.309782648786</v>
          </cell>
        </row>
        <row r="373">
          <cell r="D373" t="str">
            <v>C. M¸y thi c«ng</v>
          </cell>
          <cell r="H373">
            <v>132613.76013468282</v>
          </cell>
        </row>
        <row r="374">
          <cell r="D374" t="str">
            <v>M¸y lu 10T</v>
          </cell>
          <cell r="E374" t="str">
            <v>ca</v>
          </cell>
          <cell r="F374">
            <v>0.14090000000000011</v>
          </cell>
          <cell r="G374">
            <v>907340.29831649829</v>
          </cell>
          <cell r="H374">
            <v>127844.24803279471</v>
          </cell>
        </row>
        <row r="375">
          <cell r="D375" t="str">
            <v>¤ t« t­íi n­íc 5m3</v>
          </cell>
          <cell r="E375" t="str">
            <v>ca</v>
          </cell>
          <cell r="F375">
            <v>5.0500000000000033E-3</v>
          </cell>
          <cell r="G375">
            <v>944457.841958042</v>
          </cell>
          <cell r="H375">
            <v>4769.5121018881155</v>
          </cell>
        </row>
        <row r="377">
          <cell r="B377" t="str">
            <v>CT26</v>
          </cell>
          <cell r="D377" t="str">
            <v>§¸ 4x6 ®Öm</v>
          </cell>
          <cell r="E377" t="str">
            <v>m3</v>
          </cell>
          <cell r="I377">
            <v>178622.42353394805</v>
          </cell>
          <cell r="J377">
            <v>288961.39999999997</v>
          </cell>
          <cell r="K377">
            <v>0</v>
          </cell>
        </row>
        <row r="378">
          <cell r="D378" t="str">
            <v>A.VËt liÖu</v>
          </cell>
          <cell r="H378">
            <v>178622.42353394805</v>
          </cell>
        </row>
        <row r="379">
          <cell r="C379" t="str">
            <v>VL04</v>
          </cell>
          <cell r="D379" t="str">
            <v>§¸ d¨m 4x6</v>
          </cell>
          <cell r="E379" t="str">
            <v>m3</v>
          </cell>
          <cell r="F379">
            <v>1.2</v>
          </cell>
          <cell r="G379">
            <v>148852.01961162337</v>
          </cell>
          <cell r="H379">
            <v>178622.42353394805</v>
          </cell>
        </row>
        <row r="380">
          <cell r="D380" t="str">
            <v>B. Nh©n c«ng</v>
          </cell>
          <cell r="H380">
            <v>288961.39999999997</v>
          </cell>
        </row>
        <row r="381">
          <cell r="D381" t="str">
            <v>Nh©n c«ng 4/7 - nhãm 1</v>
          </cell>
          <cell r="E381" t="str">
            <v>c«ng</v>
          </cell>
          <cell r="F381">
            <v>1.4</v>
          </cell>
          <cell r="G381">
            <v>206401</v>
          </cell>
          <cell r="H381">
            <v>288961.39999999997</v>
          </cell>
        </row>
        <row r="383">
          <cell r="B383" t="str">
            <v>CT26A</v>
          </cell>
          <cell r="D383" t="str">
            <v>§¸ d¨m ®Öm</v>
          </cell>
          <cell r="E383" t="str">
            <v>m3</v>
          </cell>
          <cell r="I383">
            <v>200954.46627957534</v>
          </cell>
          <cell r="J383">
            <v>57041.7</v>
          </cell>
          <cell r="K383">
            <v>99260.380863636368</v>
          </cell>
        </row>
        <row r="384">
          <cell r="D384" t="str">
            <v>A.VËt liÖu</v>
          </cell>
          <cell r="H384">
            <v>200954.46627957534</v>
          </cell>
        </row>
        <row r="385">
          <cell r="C385" t="str">
            <v>VL23</v>
          </cell>
          <cell r="D385" t="str">
            <v>Cap phoi da dam loai 1</v>
          </cell>
          <cell r="E385" t="str">
            <v>m3</v>
          </cell>
          <cell r="F385">
            <v>1.34</v>
          </cell>
          <cell r="G385">
            <v>149966.01961162337</v>
          </cell>
          <cell r="H385">
            <v>200954.46627957534</v>
          </cell>
        </row>
        <row r="386">
          <cell r="D386" t="str">
            <v>B. Nh©n c«ng</v>
          </cell>
          <cell r="H386">
            <v>57041.7</v>
          </cell>
        </row>
        <row r="387">
          <cell r="D387" t="str">
            <v>Nh©n c«ng 3.5/7</v>
          </cell>
          <cell r="E387" t="str">
            <v>c«ng</v>
          </cell>
          <cell r="F387">
            <v>0.3</v>
          </cell>
          <cell r="G387">
            <v>190139</v>
          </cell>
          <cell r="H387">
            <v>57041.7</v>
          </cell>
        </row>
        <row r="388">
          <cell r="D388" t="str">
            <v>C. M¸y thi c«ng</v>
          </cell>
          <cell r="H388">
            <v>99260.380863636368</v>
          </cell>
        </row>
        <row r="389">
          <cell r="D389" t="str">
            <v>M¸y dam coc</v>
          </cell>
          <cell r="E389" t="str">
            <v>ca</v>
          </cell>
          <cell r="F389">
            <v>0.35</v>
          </cell>
          <cell r="G389">
            <v>283601.0881818182</v>
          </cell>
          <cell r="H389">
            <v>99260.380863636368</v>
          </cell>
        </row>
        <row r="391">
          <cell r="B391" t="str">
            <v>CT27</v>
          </cell>
          <cell r="D391" t="str">
            <v>§µo mãng ®Êt cÊp 3 ( cäc tiªu, cäc H, cäc Km..)</v>
          </cell>
          <cell r="E391" t="str">
            <v>m3</v>
          </cell>
          <cell r="I391">
            <v>0</v>
          </cell>
          <cell r="J391">
            <v>330366.3</v>
          </cell>
          <cell r="K391">
            <v>0</v>
          </cell>
        </row>
        <row r="392">
          <cell r="D392" t="str">
            <v>B. Nh©n c«ng</v>
          </cell>
          <cell r="H392">
            <v>330366.3</v>
          </cell>
        </row>
        <row r="393">
          <cell r="D393" t="str">
            <v>Nh©n c«ng 3.0/7 - nhãm 1</v>
          </cell>
          <cell r="E393" t="str">
            <v>c«ng</v>
          </cell>
          <cell r="F393">
            <v>1.9</v>
          </cell>
          <cell r="G393">
            <v>173877</v>
          </cell>
          <cell r="H393">
            <v>330366.3</v>
          </cell>
        </row>
        <row r="395">
          <cell r="B395" t="str">
            <v>CT28</v>
          </cell>
          <cell r="D395" t="str">
            <v>Sơn kẻ dẻo nhiệt dày 2mm</v>
          </cell>
          <cell r="E395" t="str">
            <v>m2</v>
          </cell>
          <cell r="F395">
            <v>1</v>
          </cell>
          <cell r="I395">
            <v>98081.907999999996</v>
          </cell>
          <cell r="J395">
            <v>19013.900000000001</v>
          </cell>
          <cell r="K395">
            <v>51685.800115636368</v>
          </cell>
        </row>
        <row r="396">
          <cell r="D396" t="str">
            <v>A.Vật liệu</v>
          </cell>
          <cell r="H396">
            <v>98081.907999999996</v>
          </cell>
        </row>
        <row r="397">
          <cell r="C397" t="str">
            <v>VL07</v>
          </cell>
          <cell r="D397" t="str">
            <v>- Sơn dẻo nhiệt</v>
          </cell>
          <cell r="E397" t="str">
            <v>kg</v>
          </cell>
          <cell r="F397">
            <v>5.19</v>
          </cell>
          <cell r="G397">
            <v>15000</v>
          </cell>
          <cell r="H397">
            <v>77850</v>
          </cell>
        </row>
        <row r="398">
          <cell r="C398" t="str">
            <v>VL08</v>
          </cell>
          <cell r="D398" t="str">
            <v>- Gas đốt</v>
          </cell>
          <cell r="E398" t="str">
            <v>kg</v>
          </cell>
          <cell r="F398">
            <v>0.152</v>
          </cell>
          <cell r="G398">
            <v>69150</v>
          </cell>
          <cell r="H398">
            <v>10510.8</v>
          </cell>
        </row>
        <row r="399">
          <cell r="C399" t="str">
            <v>VL09</v>
          </cell>
          <cell r="D399" t="str">
            <v>- Sơn lót</v>
          </cell>
          <cell r="E399" t="str">
            <v>kg</v>
          </cell>
          <cell r="F399">
            <v>0.25</v>
          </cell>
          <cell r="G399">
            <v>35000</v>
          </cell>
          <cell r="H399">
            <v>8750</v>
          </cell>
        </row>
        <row r="400">
          <cell r="D400" t="str">
            <v>- Vật liệu khác</v>
          </cell>
          <cell r="E400" t="str">
            <v>%</v>
          </cell>
          <cell r="F400">
            <v>1</v>
          </cell>
          <cell r="H400">
            <v>971.10800000000006</v>
          </cell>
        </row>
        <row r="401">
          <cell r="D401" t="str">
            <v>B. Nhân công 3,5/7 - nhóm 4</v>
          </cell>
          <cell r="E401" t="str">
            <v>công</v>
          </cell>
          <cell r="F401">
            <v>0.1</v>
          </cell>
          <cell r="G401">
            <v>190139</v>
          </cell>
          <cell r="H401">
            <v>19013.900000000001</v>
          </cell>
        </row>
        <row r="402">
          <cell r="D402" t="str">
            <v>C. Máy thi công</v>
          </cell>
          <cell r="H402">
            <v>51685.800115636368</v>
          </cell>
        </row>
        <row r="403">
          <cell r="C403">
            <v>0</v>
          </cell>
          <cell r="D403" t="str">
            <v>- Thiết bị kẻ vạch YHK -10A</v>
          </cell>
          <cell r="E403" t="str">
            <v>Ca</v>
          </cell>
          <cell r="F403">
            <v>3.2000000000000001E-2</v>
          </cell>
          <cell r="G403">
            <v>282205.57500000001</v>
          </cell>
          <cell r="H403">
            <v>9030.5784000000003</v>
          </cell>
        </row>
        <row r="404">
          <cell r="C404">
            <v>0</v>
          </cell>
          <cell r="D404" t="str">
            <v>- Lò nấu sơn YHK -3A</v>
          </cell>
          <cell r="E404" t="str">
            <v>Ca</v>
          </cell>
          <cell r="F404">
            <v>3.2000000000000001E-2</v>
          </cell>
          <cell r="G404">
            <v>731567.4</v>
          </cell>
          <cell r="H404">
            <v>23410.156800000001</v>
          </cell>
        </row>
        <row r="405">
          <cell r="C405">
            <v>0</v>
          </cell>
          <cell r="D405" t="str">
            <v>- Ôtô 2,5T</v>
          </cell>
          <cell r="E405" t="str">
            <v>Ca</v>
          </cell>
          <cell r="F405">
            <v>2.8000000000000001E-2</v>
          </cell>
          <cell r="G405">
            <v>651129.20909090911</v>
          </cell>
          <cell r="H405">
            <v>18231.617854545457</v>
          </cell>
        </row>
        <row r="406">
          <cell r="D406" t="str">
            <v>- Máy khác</v>
          </cell>
          <cell r="E406" t="str">
            <v>%</v>
          </cell>
          <cell r="F406">
            <v>2</v>
          </cell>
          <cell r="H406">
            <v>1013.4470610909092</v>
          </cell>
        </row>
        <row r="408">
          <cell r="B408" t="str">
            <v>CT29</v>
          </cell>
          <cell r="D408" t="str">
            <v>Sơn kẻ dẻo nhiệt dày 4mm</v>
          </cell>
          <cell r="E408" t="str">
            <v>m2</v>
          </cell>
          <cell r="F408">
            <v>1</v>
          </cell>
          <cell r="I408">
            <v>187326.31599999999</v>
          </cell>
          <cell r="J408">
            <v>38027.800000000003</v>
          </cell>
          <cell r="K408">
            <v>84775.350019636375</v>
          </cell>
        </row>
        <row r="409">
          <cell r="D409" t="str">
            <v>A.Vật liệu</v>
          </cell>
          <cell r="H409">
            <v>187326.31599999999</v>
          </cell>
        </row>
        <row r="410">
          <cell r="C410" t="str">
            <v>VL07</v>
          </cell>
          <cell r="D410" t="str">
            <v>- Sơn dẻo nhiệt</v>
          </cell>
          <cell r="E410" t="str">
            <v>kg</v>
          </cell>
          <cell r="F410">
            <v>10.38</v>
          </cell>
          <cell r="G410">
            <v>15000</v>
          </cell>
          <cell r="H410">
            <v>155700</v>
          </cell>
        </row>
        <row r="411">
          <cell r="C411" t="str">
            <v>VL08</v>
          </cell>
          <cell r="D411" t="str">
            <v>- Gas đốt</v>
          </cell>
          <cell r="E411" t="str">
            <v>kg</v>
          </cell>
          <cell r="F411">
            <v>0.30399999999999999</v>
          </cell>
          <cell r="G411">
            <v>69150</v>
          </cell>
          <cell r="H411">
            <v>21021.599999999999</v>
          </cell>
        </row>
        <row r="412">
          <cell r="C412" t="str">
            <v>VL09</v>
          </cell>
          <cell r="D412" t="str">
            <v>- Sơn lót</v>
          </cell>
          <cell r="E412" t="str">
            <v>kg</v>
          </cell>
          <cell r="F412">
            <v>0.25</v>
          </cell>
          <cell r="G412">
            <v>35000</v>
          </cell>
          <cell r="H412">
            <v>8750</v>
          </cell>
        </row>
        <row r="413">
          <cell r="D413" t="str">
            <v>- Vật liệu khác</v>
          </cell>
          <cell r="E413" t="str">
            <v>%</v>
          </cell>
          <cell r="F413">
            <v>1</v>
          </cell>
          <cell r="H413">
            <v>1854.7160000000001</v>
          </cell>
        </row>
        <row r="414">
          <cell r="D414" t="str">
            <v>B. Nhân công 4,5/7 - nhóm 2</v>
          </cell>
          <cell r="E414" t="str">
            <v>công</v>
          </cell>
          <cell r="F414">
            <v>0.2</v>
          </cell>
          <cell r="G414">
            <v>190139</v>
          </cell>
          <cell r="H414">
            <v>38027.800000000003</v>
          </cell>
        </row>
        <row r="415">
          <cell r="D415" t="str">
            <v>C. Máy thi công</v>
          </cell>
          <cell r="H415">
            <v>84775.350019636375</v>
          </cell>
        </row>
        <row r="416">
          <cell r="C416">
            <v>0</v>
          </cell>
          <cell r="D416" t="str">
            <v>- Thiết bị kẻ vạch YHK -10A</v>
          </cell>
          <cell r="E416" t="str">
            <v>Ca</v>
          </cell>
          <cell r="F416">
            <v>6.4000000000000001E-2</v>
          </cell>
          <cell r="G416">
            <v>282205.57500000001</v>
          </cell>
          <cell r="H416">
            <v>18061.156800000001</v>
          </cell>
        </row>
        <row r="417">
          <cell r="C417">
            <v>0</v>
          </cell>
          <cell r="D417" t="str">
            <v>- Lò nấu sơn YHK -3A</v>
          </cell>
          <cell r="E417" t="str">
            <v>Ca</v>
          </cell>
          <cell r="F417">
            <v>6.4000000000000001E-2</v>
          </cell>
          <cell r="G417">
            <v>731567.4</v>
          </cell>
          <cell r="H417">
            <v>46820.313600000001</v>
          </cell>
        </row>
        <row r="418">
          <cell r="C418">
            <v>0</v>
          </cell>
          <cell r="D418" t="str">
            <v>- Ôtô 2,5T</v>
          </cell>
          <cell r="E418" t="str">
            <v>Ca</v>
          </cell>
          <cell r="F418">
            <v>2.8000000000000001E-2</v>
          </cell>
          <cell r="G418">
            <v>651129.20909090911</v>
          </cell>
          <cell r="H418">
            <v>18231.617854545457</v>
          </cell>
        </row>
        <row r="419">
          <cell r="D419" t="str">
            <v>- Máy khác</v>
          </cell>
          <cell r="E419" t="str">
            <v>%</v>
          </cell>
          <cell r="F419">
            <v>2</v>
          </cell>
          <cell r="H419">
            <v>1662.2617650909094</v>
          </cell>
        </row>
        <row r="421">
          <cell r="B421" t="str">
            <v>CT30</v>
          </cell>
          <cell r="D421" t="str">
            <v>BT vuèt nèi fc=16MPa (M200), ®¸ 1x2</v>
          </cell>
          <cell r="E421" t="str">
            <v>m3</v>
          </cell>
          <cell r="I421">
            <v>563075.94427173422</v>
          </cell>
          <cell r="J421">
            <v>213868.71</v>
          </cell>
          <cell r="K421">
            <v>41672.493816000002</v>
          </cell>
        </row>
        <row r="422">
          <cell r="D422" t="str">
            <v>A.VËt liÖu</v>
          </cell>
          <cell r="H422">
            <v>563075.94427173422</v>
          </cell>
        </row>
        <row r="423">
          <cell r="D423" t="str">
            <v>V÷a BT fc=16MPa (M200)</v>
          </cell>
          <cell r="E423" t="str">
            <v>m3</v>
          </cell>
          <cell r="F423">
            <v>1.03</v>
          </cell>
          <cell r="G423">
            <v>541263.04361408646</v>
          </cell>
          <cell r="H423">
            <v>557500.93492250913</v>
          </cell>
        </row>
        <row r="424">
          <cell r="D424" t="str">
            <v>VËt liÖu kh¸c</v>
          </cell>
          <cell r="E424" t="str">
            <v>%</v>
          </cell>
          <cell r="F424">
            <v>1</v>
          </cell>
          <cell r="H424">
            <v>5575.0093492250917</v>
          </cell>
        </row>
        <row r="425">
          <cell r="D425" t="str">
            <v>B. Nh©n c«ng</v>
          </cell>
          <cell r="H425">
            <v>213868.71</v>
          </cell>
        </row>
        <row r="426">
          <cell r="D426" t="str">
            <v>Nh©n c«ng 3.0/7 - nhãm 2</v>
          </cell>
          <cell r="E426" t="str">
            <v>c«ng</v>
          </cell>
          <cell r="F426">
            <v>1.23</v>
          </cell>
          <cell r="G426">
            <v>173877</v>
          </cell>
          <cell r="H426">
            <v>213868.71</v>
          </cell>
        </row>
        <row r="427">
          <cell r="D427" t="str">
            <v xml:space="preserve">C. M¸y thi c«ng </v>
          </cell>
          <cell r="H427">
            <v>41672.493816000002</v>
          </cell>
        </row>
        <row r="428">
          <cell r="D428" t="str">
            <v>M¸y trén 250l</v>
          </cell>
          <cell r="E428" t="str">
            <v>ca</v>
          </cell>
          <cell r="F428">
            <v>9.5000000000000001E-2</v>
          </cell>
          <cell r="G428">
            <v>247775.28200000001</v>
          </cell>
          <cell r="H428">
            <v>23538.65179</v>
          </cell>
        </row>
        <row r="429">
          <cell r="D429" t="str">
            <v>M¸y ®Çm dïi 1,5kw</v>
          </cell>
          <cell r="E429" t="str">
            <v>ca</v>
          </cell>
          <cell r="F429">
            <v>8.8999999999999996E-2</v>
          </cell>
          <cell r="G429">
            <v>203751.03399999999</v>
          </cell>
          <cell r="H429">
            <v>18133.842025999998</v>
          </cell>
        </row>
        <row r="431">
          <cell r="B431" t="str">
            <v>CT31</v>
          </cell>
          <cell r="D431" t="str">
            <v>BT r·nh, hè thu ®æ t¹i chç fc=20MPa (M250), ®¸ 1x2</v>
          </cell>
          <cell r="E431" t="str">
            <v>m3</v>
          </cell>
          <cell r="I431">
            <v>601268.5246971813</v>
          </cell>
          <cell r="J431">
            <v>315630.74</v>
          </cell>
          <cell r="K431">
            <v>23538.65179</v>
          </cell>
        </row>
        <row r="432">
          <cell r="D432" t="str">
            <v>A.VËt liÖu</v>
          </cell>
          <cell r="H432">
            <v>601268.5246971813</v>
          </cell>
        </row>
        <row r="433">
          <cell r="D433" t="str">
            <v>V÷a BT fc=20MPa (M250)</v>
          </cell>
          <cell r="E433" t="str">
            <v>m3</v>
          </cell>
          <cell r="F433">
            <v>1.0249999999999999</v>
          </cell>
          <cell r="G433">
            <v>580795.48389005684</v>
          </cell>
          <cell r="H433">
            <v>595315.37098730821</v>
          </cell>
        </row>
        <row r="434">
          <cell r="D434" t="str">
            <v>VËt liÖu kh¸c</v>
          </cell>
          <cell r="E434" t="str">
            <v>%</v>
          </cell>
          <cell r="F434">
            <v>1</v>
          </cell>
          <cell r="H434">
            <v>5953.1537098730823</v>
          </cell>
        </row>
        <row r="435">
          <cell r="D435" t="str">
            <v>B. Nh©n c«ng</v>
          </cell>
          <cell r="H435">
            <v>315630.74</v>
          </cell>
        </row>
        <row r="436">
          <cell r="D436" t="str">
            <v>Nh©n c«ng 3.5/7 - nhãm 2</v>
          </cell>
          <cell r="E436" t="str">
            <v>c«ng</v>
          </cell>
          <cell r="F436">
            <v>1.66</v>
          </cell>
          <cell r="G436">
            <v>190139</v>
          </cell>
          <cell r="H436">
            <v>315630.74</v>
          </cell>
        </row>
        <row r="437">
          <cell r="D437" t="str">
            <v xml:space="preserve">C. M¸y thi c«ng </v>
          </cell>
          <cell r="H437">
            <v>23538.65179</v>
          </cell>
        </row>
        <row r="438">
          <cell r="D438" t="str">
            <v>M¸y trén 250l</v>
          </cell>
          <cell r="E438" t="str">
            <v>ca</v>
          </cell>
          <cell r="F438">
            <v>9.5000000000000001E-2</v>
          </cell>
          <cell r="G438">
            <v>247775.28200000001</v>
          </cell>
          <cell r="H438">
            <v>23538.65179</v>
          </cell>
        </row>
        <row r="439">
          <cell r="D439" t="str">
            <v>M¸y ®Çm dïi 1,5kw</v>
          </cell>
          <cell r="E439" t="str">
            <v>ca</v>
          </cell>
          <cell r="F439">
            <v>8.8999999999999996E-2</v>
          </cell>
          <cell r="G439">
            <v>203751.03399999999</v>
          </cell>
          <cell r="H439">
            <v>18133.842025999998</v>
          </cell>
        </row>
        <row r="441">
          <cell r="B441" t="str">
            <v>CT32</v>
          </cell>
          <cell r="D441" t="str">
            <v>Lắp đặt biển tam giác</v>
          </cell>
          <cell r="E441" t="str">
            <v xml:space="preserve">bộ </v>
          </cell>
          <cell r="I441">
            <v>1067812.0472452899</v>
          </cell>
          <cell r="J441">
            <v>117886.18</v>
          </cell>
          <cell r="K441">
            <v>22789.522318181822</v>
          </cell>
        </row>
        <row r="442">
          <cell r="D442" t="str">
            <v>A.VËt liÖu</v>
          </cell>
          <cell r="H442">
            <v>1067812.0472452899</v>
          </cell>
        </row>
        <row r="443">
          <cell r="D443" t="str">
            <v>V÷a BT fc=16MPa (M200)</v>
          </cell>
          <cell r="E443" t="str">
            <v>m3</v>
          </cell>
          <cell r="F443">
            <v>8.8999999999999996E-2</v>
          </cell>
          <cell r="G443">
            <v>541263.04361408646</v>
          </cell>
          <cell r="H443">
            <v>48172.41088165369</v>
          </cell>
        </row>
        <row r="444">
          <cell r="D444" t="str">
            <v>Biển tam giác D90</v>
          </cell>
          <cell r="E444" t="str">
            <v>cái</v>
          </cell>
          <cell r="F444">
            <v>1</v>
          </cell>
          <cell r="G444">
            <v>435983.63636363635</v>
          </cell>
          <cell r="H444">
            <v>435983.63636363635</v>
          </cell>
        </row>
        <row r="445">
          <cell r="D445" t="str">
            <v>Cột biển O90</v>
          </cell>
          <cell r="E445" t="str">
            <v>m</v>
          </cell>
          <cell r="F445">
            <v>3.3</v>
          </cell>
          <cell r="G445">
            <v>176865.45454545453</v>
          </cell>
          <cell r="H445">
            <v>583655.99999999988</v>
          </cell>
        </row>
        <row r="446">
          <cell r="D446" t="str">
            <v>B. Nh©n c«ng</v>
          </cell>
          <cell r="H446">
            <v>117886.18</v>
          </cell>
        </row>
        <row r="447">
          <cell r="D447" t="str">
            <v>Nh©n c«ng 3.5/7 - nhãm 4</v>
          </cell>
          <cell r="E447" t="str">
            <v>c«ng</v>
          </cell>
          <cell r="F447">
            <v>0.62</v>
          </cell>
          <cell r="G447">
            <v>190139</v>
          </cell>
          <cell r="H447">
            <v>117886.18</v>
          </cell>
        </row>
        <row r="448">
          <cell r="D448" t="str">
            <v xml:space="preserve">C. M¸y thi c«ng </v>
          </cell>
          <cell r="H448">
            <v>22789.522318181822</v>
          </cell>
        </row>
        <row r="449">
          <cell r="D449" t="str">
            <v>Ô tô 2.5T</v>
          </cell>
          <cell r="E449" t="str">
            <v>ca</v>
          </cell>
          <cell r="F449">
            <v>3.5000000000000003E-2</v>
          </cell>
          <cell r="G449">
            <v>651129.20909090911</v>
          </cell>
          <cell r="H449">
            <v>22789.522318181822</v>
          </cell>
        </row>
        <row r="452">
          <cell r="B452" t="str">
            <v>CT33</v>
          </cell>
          <cell r="D452" t="str">
            <v>Ph¸ dì kÕt cÊu cò BTXM (kh«ng cèt thÐp)</v>
          </cell>
          <cell r="E452" t="str">
            <v>m3</v>
          </cell>
          <cell r="J452">
            <v>95069.5</v>
          </cell>
          <cell r="K452">
            <v>120559.83346464648</v>
          </cell>
        </row>
        <row r="453">
          <cell r="D453" t="str">
            <v>B. Nh©n c«ng</v>
          </cell>
          <cell r="H453">
            <v>95069.5</v>
          </cell>
        </row>
        <row r="454">
          <cell r="D454" t="str">
            <v>Nhân công 3.5/7 - Nhóm 1</v>
          </cell>
          <cell r="E454" t="str">
            <v>c«ng</v>
          </cell>
          <cell r="F454">
            <v>0.5</v>
          </cell>
          <cell r="G454">
            <v>190139</v>
          </cell>
          <cell r="H454">
            <v>95069.5</v>
          </cell>
        </row>
        <row r="455">
          <cell r="D455" t="str">
            <v>C. M¸y thi c«ng</v>
          </cell>
          <cell r="H455">
            <v>120559.83346464648</v>
          </cell>
        </row>
        <row r="456">
          <cell r="D456" t="str">
            <v>Bóa c¨n khÝ nÐn</v>
          </cell>
          <cell r="E456" t="str">
            <v>ca</v>
          </cell>
          <cell r="F456">
            <v>0.25</v>
          </cell>
          <cell r="G456">
            <v>21146.666666666668</v>
          </cell>
          <cell r="H456">
            <v>5286.666666666667</v>
          </cell>
        </row>
        <row r="457">
          <cell r="D457" t="str">
            <v>M¸y nÐn khÝ 360m3/h</v>
          </cell>
          <cell r="E457" t="str">
            <v>ca</v>
          </cell>
          <cell r="F457">
            <v>0.13</v>
          </cell>
          <cell r="G457">
            <v>886716.66767676768</v>
          </cell>
          <cell r="H457">
            <v>115273.16679797981</v>
          </cell>
        </row>
        <row r="459">
          <cell r="B459" t="str">
            <v>CT33A</v>
          </cell>
          <cell r="D459" t="str">
            <v>Ph¸ dì kÕt cÊu cò BTXM (co cèt thÐp)</v>
          </cell>
          <cell r="E459" t="str">
            <v>m3</v>
          </cell>
          <cell r="I459">
            <v>147083.4</v>
          </cell>
          <cell r="J459">
            <v>114083.4</v>
          </cell>
          <cell r="K459">
            <v>214103.51863151515</v>
          </cell>
        </row>
        <row r="460">
          <cell r="D460" t="str">
            <v>A.VËt liÖu</v>
          </cell>
          <cell r="H460">
            <v>147083.4</v>
          </cell>
        </row>
        <row r="461">
          <cell r="D461" t="str">
            <v>Que hµn</v>
          </cell>
          <cell r="E461" t="str">
            <v>kg</v>
          </cell>
          <cell r="F461">
            <v>1.5</v>
          </cell>
          <cell r="G461">
            <v>22000</v>
          </cell>
          <cell r="H461">
            <v>33000</v>
          </cell>
        </row>
        <row r="462">
          <cell r="D462" t="str">
            <v>B. Nh©n c«ng</v>
          </cell>
          <cell r="H462">
            <v>114083.4</v>
          </cell>
        </row>
        <row r="463">
          <cell r="D463" t="str">
            <v>Nhân công 3.5/7 - Nhóm 1</v>
          </cell>
          <cell r="E463" t="str">
            <v>c«ng</v>
          </cell>
          <cell r="F463">
            <v>0.6</v>
          </cell>
          <cell r="G463">
            <v>190139</v>
          </cell>
          <cell r="H463">
            <v>114083.4</v>
          </cell>
        </row>
        <row r="464">
          <cell r="D464" t="str">
            <v>C. M¸y thi c«ng</v>
          </cell>
          <cell r="H464">
            <v>214103.51863151515</v>
          </cell>
        </row>
        <row r="465">
          <cell r="D465" t="str">
            <v>Bóa c¨n khÝ nÐn</v>
          </cell>
          <cell r="E465" t="str">
            <v>ca</v>
          </cell>
          <cell r="F465">
            <v>0.3</v>
          </cell>
          <cell r="G465">
            <v>21146.666666666668</v>
          </cell>
          <cell r="H465">
            <v>6344</v>
          </cell>
        </row>
        <row r="466">
          <cell r="D466" t="str">
            <v>M¸y nÐn khÝ 360m3/h</v>
          </cell>
          <cell r="E466" t="str">
            <v>ca</v>
          </cell>
          <cell r="F466">
            <v>0.15</v>
          </cell>
          <cell r="G466">
            <v>886716.66767676768</v>
          </cell>
          <cell r="H466">
            <v>133007.50015151515</v>
          </cell>
        </row>
        <row r="467">
          <cell r="D467" t="str">
            <v>M¸y hµn 23KW</v>
          </cell>
          <cell r="E467" t="str">
            <v>ca</v>
          </cell>
          <cell r="F467">
            <v>0.23</v>
          </cell>
          <cell r="G467">
            <v>325008.77600000001</v>
          </cell>
          <cell r="H467">
            <v>74752.018480000013</v>
          </cell>
        </row>
        <row r="469">
          <cell r="B469" t="str">
            <v>CT34</v>
          </cell>
          <cell r="D469" t="str">
            <v>Ph¸ dì kÕt cÊu cò ĐHX</v>
          </cell>
          <cell r="E469" t="str">
            <v>m3</v>
          </cell>
          <cell r="J469">
            <v>38027.800000000003</v>
          </cell>
          <cell r="K469">
            <v>69675.750075757576</v>
          </cell>
        </row>
        <row r="470">
          <cell r="D470" t="str">
            <v>B. Nh©n c«ng</v>
          </cell>
          <cell r="H470">
            <v>38027.800000000003</v>
          </cell>
        </row>
        <row r="471">
          <cell r="D471" t="str">
            <v>Nhân công 3.5/7 - Nhóm 1</v>
          </cell>
          <cell r="E471" t="str">
            <v>c«ng</v>
          </cell>
          <cell r="F471">
            <v>0.2</v>
          </cell>
          <cell r="G471">
            <v>190139</v>
          </cell>
          <cell r="H471">
            <v>38027.800000000003</v>
          </cell>
        </row>
        <row r="472">
          <cell r="D472" t="str">
            <v>C. M¸y thi c«ng</v>
          </cell>
          <cell r="H472">
            <v>69675.750075757576</v>
          </cell>
        </row>
        <row r="473">
          <cell r="D473" t="str">
            <v>Bóa c¨n khÝ nÐn</v>
          </cell>
          <cell r="E473" t="str">
            <v>ca</v>
          </cell>
          <cell r="F473">
            <v>0.15</v>
          </cell>
          <cell r="G473">
            <v>21146.666666666668</v>
          </cell>
          <cell r="H473">
            <v>3172</v>
          </cell>
        </row>
        <row r="474">
          <cell r="D474" t="str">
            <v>M¸y nÐn khÝ 360m3/h</v>
          </cell>
          <cell r="E474" t="str">
            <v>ca</v>
          </cell>
          <cell r="F474">
            <v>7.4999999999999997E-2</v>
          </cell>
          <cell r="G474">
            <v>886716.66767676768</v>
          </cell>
          <cell r="H474">
            <v>66503.750075757576</v>
          </cell>
        </row>
        <row r="476">
          <cell r="B476" t="str">
            <v>CT35</v>
          </cell>
          <cell r="D476" t="str">
            <v>V¸n khu«n ®æ t¹i chç</v>
          </cell>
          <cell r="E476" t="str">
            <v>m2</v>
          </cell>
          <cell r="I476">
            <v>11042.779095859958</v>
          </cell>
          <cell r="J476">
            <v>25220.676923076924</v>
          </cell>
        </row>
        <row r="477">
          <cell r="D477" t="str">
            <v>A.VËt liÖu</v>
          </cell>
          <cell r="H477">
            <v>11042.779095859958</v>
          </cell>
        </row>
        <row r="478">
          <cell r="C478" t="str">
            <v>VL14</v>
          </cell>
          <cell r="D478" t="str">
            <v>ThÐp tÊm</v>
          </cell>
          <cell r="E478" t="str">
            <v>kg</v>
          </cell>
          <cell r="F478">
            <v>0.5181</v>
          </cell>
          <cell r="G478">
            <v>11975.29534432234</v>
          </cell>
          <cell r="H478">
            <v>6204.400517893404</v>
          </cell>
        </row>
        <row r="479">
          <cell r="C479" t="str">
            <v>VL15</v>
          </cell>
          <cell r="D479" t="str">
            <v>ThÐp h×nh</v>
          </cell>
          <cell r="E479" t="str">
            <v>kg</v>
          </cell>
          <cell r="F479">
            <v>0.32020000000000004</v>
          </cell>
          <cell r="G479">
            <v>11975.29534432234</v>
          </cell>
          <cell r="H479">
            <v>3834.4895692520136</v>
          </cell>
        </row>
        <row r="480">
          <cell r="D480" t="str">
            <v>VËt liÖu kh¸c</v>
          </cell>
          <cell r="E480" t="str">
            <v>%</v>
          </cell>
          <cell r="F480">
            <v>10</v>
          </cell>
          <cell r="H480">
            <v>1003.8890087145418</v>
          </cell>
        </row>
        <row r="481">
          <cell r="D481" t="str">
            <v>B. Nh©n c«ng 4/7 - nhãm 1</v>
          </cell>
          <cell r="E481" t="str">
            <v>c«ng</v>
          </cell>
          <cell r="F481">
            <v>0.1225</v>
          </cell>
          <cell r="G481">
            <v>205883.07692307694</v>
          </cell>
          <cell r="H481">
            <v>25220.676923076924</v>
          </cell>
        </row>
        <row r="485">
          <cell r="B485" t="str">
            <v>CT36</v>
          </cell>
          <cell r="D485" t="str">
            <v>BT r·nh, hè thu ®æ t¹i chç fc=20Mpa (M250), ®¸ 1x2</v>
          </cell>
          <cell r="E485" t="str">
            <v>m3</v>
          </cell>
          <cell r="I485">
            <v>601268.5246971813</v>
          </cell>
          <cell r="J485">
            <v>315630.74</v>
          </cell>
          <cell r="K485">
            <v>23538.65179</v>
          </cell>
        </row>
        <row r="486">
          <cell r="D486" t="str">
            <v>A.VËt liÖu</v>
          </cell>
          <cell r="H486">
            <v>601268.5246971813</v>
          </cell>
        </row>
        <row r="487">
          <cell r="D487" t="str">
            <v>V÷a BT M250</v>
          </cell>
          <cell r="E487" t="str">
            <v>m3</v>
          </cell>
          <cell r="F487">
            <v>1.0249999999999999</v>
          </cell>
          <cell r="G487">
            <v>580795.48389005684</v>
          </cell>
          <cell r="H487">
            <v>595315.37098730821</v>
          </cell>
        </row>
        <row r="488">
          <cell r="D488" t="str">
            <v>VËt liÖu kh¸c</v>
          </cell>
          <cell r="E488" t="str">
            <v>%</v>
          </cell>
          <cell r="F488">
            <v>1</v>
          </cell>
          <cell r="H488">
            <v>5953.1537098730823</v>
          </cell>
        </row>
        <row r="489">
          <cell r="D489" t="str">
            <v>B. Nh©n c«ng</v>
          </cell>
          <cell r="H489">
            <v>315630.74</v>
          </cell>
        </row>
        <row r="490">
          <cell r="D490" t="str">
            <v>Nh©n c«ng 3.5/7 - nhãm 2</v>
          </cell>
          <cell r="E490" t="str">
            <v>c«ng</v>
          </cell>
          <cell r="F490">
            <v>1.66</v>
          </cell>
          <cell r="G490">
            <v>190139</v>
          </cell>
          <cell r="H490">
            <v>315630.74</v>
          </cell>
        </row>
        <row r="491">
          <cell r="D491" t="str">
            <v xml:space="preserve">C. M¸y thi c«ng </v>
          </cell>
          <cell r="H491">
            <v>23538.65179</v>
          </cell>
        </row>
        <row r="492">
          <cell r="D492" t="str">
            <v>M¸y trén 250l</v>
          </cell>
          <cell r="E492" t="str">
            <v>ca</v>
          </cell>
          <cell r="F492">
            <v>9.5000000000000001E-2</v>
          </cell>
          <cell r="G492">
            <v>247775.28200000001</v>
          </cell>
          <cell r="H492">
            <v>23538.65179</v>
          </cell>
        </row>
        <row r="493">
          <cell r="D493" t="str">
            <v>M¸y ®Çm dïi 1,5kw</v>
          </cell>
          <cell r="E493" t="str">
            <v>ca</v>
          </cell>
          <cell r="F493">
            <v>8.8999999999999996E-2</v>
          </cell>
          <cell r="G493">
            <v>203751.03399999999</v>
          </cell>
          <cell r="H493">
            <v>18133.842025999998</v>
          </cell>
        </row>
        <row r="495">
          <cell r="B495" t="str">
            <v>CT37</v>
          </cell>
          <cell r="D495" t="str">
            <v>BT đay r·nh ®æ t¹i chç fc=12MPa (M150), ®¸ 1x2</v>
          </cell>
          <cell r="E495" t="str">
            <v>m3</v>
          </cell>
          <cell r="I495">
            <v>520145.69906375156</v>
          </cell>
          <cell r="J495">
            <v>213868.71</v>
          </cell>
          <cell r="K495">
            <v>41672.493816000002</v>
          </cell>
        </row>
        <row r="496">
          <cell r="D496" t="str">
            <v>A.VËt liÖu</v>
          </cell>
          <cell r="H496">
            <v>520145.69906375156</v>
          </cell>
        </row>
        <row r="497">
          <cell r="D497" t="str">
            <v>V÷a BT fc=12MPa (M150)</v>
          </cell>
          <cell r="E497" t="str">
            <v>m3</v>
          </cell>
          <cell r="F497">
            <v>1.0249999999999999</v>
          </cell>
          <cell r="G497">
            <v>502434.86989978421</v>
          </cell>
          <cell r="H497">
            <v>514995.74164727877</v>
          </cell>
        </row>
        <row r="498">
          <cell r="D498" t="str">
            <v>VËt liÖu kh¸c</v>
          </cell>
          <cell r="E498" t="str">
            <v>%</v>
          </cell>
          <cell r="F498">
            <v>1</v>
          </cell>
          <cell r="H498">
            <v>5149.9574164727883</v>
          </cell>
        </row>
        <row r="499">
          <cell r="D499" t="str">
            <v>B. Nh©n c«ng</v>
          </cell>
          <cell r="H499">
            <v>213868.71</v>
          </cell>
        </row>
        <row r="500">
          <cell r="D500" t="str">
            <v>Nh©n c«ng 3.0/7 - nhãm 2</v>
          </cell>
          <cell r="E500" t="str">
            <v>c«ng</v>
          </cell>
          <cell r="F500">
            <v>1.23</v>
          </cell>
          <cell r="G500">
            <v>173877</v>
          </cell>
          <cell r="H500">
            <v>213868.71</v>
          </cell>
        </row>
        <row r="501">
          <cell r="D501" t="str">
            <v xml:space="preserve">C. M¸y thi c«ng </v>
          </cell>
          <cell r="H501">
            <v>41672.493816000002</v>
          </cell>
        </row>
        <row r="502">
          <cell r="D502" t="str">
            <v>M¸y trén 250l</v>
          </cell>
          <cell r="E502" t="str">
            <v>ca</v>
          </cell>
          <cell r="F502">
            <v>9.5000000000000001E-2</v>
          </cell>
          <cell r="G502">
            <v>247775.28200000001</v>
          </cell>
          <cell r="H502">
            <v>23538.65179</v>
          </cell>
        </row>
        <row r="503">
          <cell r="D503" t="str">
            <v>M¸y ®Çm dïi 1,5kw</v>
          </cell>
          <cell r="E503" t="str">
            <v>ca</v>
          </cell>
          <cell r="F503">
            <v>8.8999999999999996E-2</v>
          </cell>
          <cell r="G503">
            <v>203751.03399999999</v>
          </cell>
          <cell r="H503">
            <v>18133.842025999998</v>
          </cell>
        </row>
        <row r="505">
          <cell r="B505" t="str">
            <v>CT38</v>
          </cell>
          <cell r="D505" t="str">
            <v>V÷a lãt fc=8Mpa (M100)</v>
          </cell>
          <cell r="E505" t="str">
            <v>m3</v>
          </cell>
          <cell r="I505">
            <v>630584.20977917069</v>
          </cell>
          <cell r="J505">
            <v>247641.00923076924</v>
          </cell>
          <cell r="K505">
            <v>19488.825437692311</v>
          </cell>
        </row>
        <row r="506">
          <cell r="D506" t="str">
            <v>A.VËt liÖu</v>
          </cell>
          <cell r="H506">
            <v>630584.20977917069</v>
          </cell>
        </row>
        <row r="507">
          <cell r="D507" t="str">
            <v>V÷a xi măng M100</v>
          </cell>
          <cell r="E507" t="str">
            <v>m3</v>
          </cell>
          <cell r="F507">
            <v>1.0249999999999999</v>
          </cell>
          <cell r="G507">
            <v>615204.10710162995</v>
          </cell>
          <cell r="H507">
            <v>630584.20977917069</v>
          </cell>
        </row>
        <row r="508">
          <cell r="D508" t="str">
            <v>B. Nh©n c«ng</v>
          </cell>
          <cell r="H508">
            <v>247641.00923076924</v>
          </cell>
        </row>
        <row r="509">
          <cell r="D509" t="str">
            <v>Nh©n c«ng 3.0/7</v>
          </cell>
          <cell r="E509" t="str">
            <v>c«ng</v>
          </cell>
          <cell r="F509">
            <v>1.42</v>
          </cell>
          <cell r="G509">
            <v>174395.07692307694</v>
          </cell>
          <cell r="H509">
            <v>247641.00923076924</v>
          </cell>
        </row>
        <row r="510">
          <cell r="D510" t="str">
            <v xml:space="preserve">C. M¸y thi c«ng </v>
          </cell>
          <cell r="H510">
            <v>19488.825437692311</v>
          </cell>
        </row>
        <row r="511">
          <cell r="D511" t="str">
            <v>M¸y trén v÷a 80l</v>
          </cell>
          <cell r="E511" t="str">
            <v>ca</v>
          </cell>
          <cell r="F511">
            <v>9.5000000000000001E-2</v>
          </cell>
          <cell r="G511">
            <v>205145.53092307696</v>
          </cell>
          <cell r="H511">
            <v>19488.825437692311</v>
          </cell>
        </row>
        <row r="513">
          <cell r="B513" t="str">
            <v>CT39</v>
          </cell>
          <cell r="D513" t="str">
            <v>BT mãng fc=12MPa (M150), ®¸ 1x2</v>
          </cell>
          <cell r="E513" t="str">
            <v>m3</v>
          </cell>
          <cell r="I513">
            <v>520145.69906375156</v>
          </cell>
          <cell r="J513">
            <v>213868.71</v>
          </cell>
          <cell r="K513">
            <v>41672.493816000002</v>
          </cell>
        </row>
        <row r="514">
          <cell r="D514" t="str">
            <v>A.VËt liÖu</v>
          </cell>
          <cell r="H514">
            <v>520145.69906375156</v>
          </cell>
        </row>
        <row r="515">
          <cell r="D515" t="str">
            <v>V÷a BT M150</v>
          </cell>
          <cell r="E515" t="str">
            <v>m3</v>
          </cell>
          <cell r="F515">
            <v>1.0249999999999999</v>
          </cell>
          <cell r="G515">
            <v>502434.86989978421</v>
          </cell>
          <cell r="H515">
            <v>514995.74164727877</v>
          </cell>
        </row>
        <row r="516">
          <cell r="D516" t="str">
            <v>VËt liÖu kh¸c</v>
          </cell>
          <cell r="E516" t="str">
            <v>%</v>
          </cell>
          <cell r="F516">
            <v>1</v>
          </cell>
          <cell r="H516">
            <v>5149.9574164727883</v>
          </cell>
        </row>
        <row r="517">
          <cell r="D517" t="str">
            <v>B. Nh©n c«ng</v>
          </cell>
          <cell r="H517">
            <v>213868.71</v>
          </cell>
        </row>
        <row r="518">
          <cell r="D518" t="str">
            <v>Nh©n c«ng 3.0/7 - nhãm 2</v>
          </cell>
          <cell r="E518" t="str">
            <v>c«ng</v>
          </cell>
          <cell r="F518">
            <v>1.23</v>
          </cell>
          <cell r="G518">
            <v>173877</v>
          </cell>
          <cell r="H518">
            <v>213868.71</v>
          </cell>
        </row>
        <row r="519">
          <cell r="D519" t="str">
            <v xml:space="preserve">C. M¸y thi c«ng </v>
          </cell>
          <cell r="H519">
            <v>41672.493816000002</v>
          </cell>
        </row>
        <row r="520">
          <cell r="D520" t="str">
            <v>M¸y trén 250l</v>
          </cell>
          <cell r="E520" t="str">
            <v>ca</v>
          </cell>
          <cell r="F520">
            <v>9.5000000000000001E-2</v>
          </cell>
          <cell r="G520">
            <v>247775.28200000001</v>
          </cell>
          <cell r="H520">
            <v>23538.65179</v>
          </cell>
        </row>
        <row r="521">
          <cell r="D521" t="str">
            <v>M¸y ®Çm dïi 1,5kw</v>
          </cell>
          <cell r="E521" t="str">
            <v>ca</v>
          </cell>
          <cell r="F521">
            <v>8.8999999999999996E-2</v>
          </cell>
          <cell r="G521">
            <v>203751.03399999999</v>
          </cell>
          <cell r="H521">
            <v>18133.842025999998</v>
          </cell>
        </row>
        <row r="523">
          <cell r="B523" t="str">
            <v>CT40</v>
          </cell>
          <cell r="D523" t="str">
            <v>L¾p ®Æt tÊm r·nh ®óc s½n &lt;50kg</v>
          </cell>
          <cell r="E523" t="str">
            <v>ck</v>
          </cell>
          <cell r="J523">
            <v>11408.34</v>
          </cell>
        </row>
        <row r="524">
          <cell r="D524" t="str">
            <v>Nh©n c«ng 3.5/7 - nhãm 2</v>
          </cell>
          <cell r="E524" t="str">
            <v>c«ng</v>
          </cell>
          <cell r="F524">
            <v>0.06</v>
          </cell>
          <cell r="G524">
            <v>190139</v>
          </cell>
          <cell r="H524">
            <v>11408.34</v>
          </cell>
        </row>
        <row r="526">
          <cell r="B526" t="str">
            <v>CT41</v>
          </cell>
          <cell r="D526" t="str">
            <v xml:space="preserve">V¸n khu«n tÊm b¶n </v>
          </cell>
          <cell r="E526" t="str">
            <v>m2</v>
          </cell>
          <cell r="I526">
            <v>4893.1374669457673</v>
          </cell>
          <cell r="J526">
            <v>47596.070599999999</v>
          </cell>
          <cell r="K526">
            <v>1126.1554088400001</v>
          </cell>
        </row>
        <row r="527">
          <cell r="D527" t="str">
            <v>A.VËt liÖu</v>
          </cell>
          <cell r="H527">
            <v>4893.1374669457673</v>
          </cell>
        </row>
        <row r="528">
          <cell r="C528" t="str">
            <v>VL14</v>
          </cell>
          <cell r="D528" t="str">
            <v>ThÐp tÊm</v>
          </cell>
          <cell r="E528" t="str">
            <v>kg</v>
          </cell>
          <cell r="F528">
            <v>0.2303</v>
          </cell>
          <cell r="G528">
            <v>11975.29534432234</v>
          </cell>
          <cell r="H528">
            <v>2757.9105177974347</v>
          </cell>
        </row>
        <row r="529">
          <cell r="C529" t="str">
            <v>VL15</v>
          </cell>
          <cell r="D529" t="str">
            <v>ThÐp h×nh</v>
          </cell>
          <cell r="E529" t="str">
            <v>kg</v>
          </cell>
          <cell r="F529">
            <v>0.1368</v>
          </cell>
          <cell r="G529">
            <v>11975.29534432234</v>
          </cell>
          <cell r="H529">
            <v>1638.2204031032961</v>
          </cell>
        </row>
        <row r="530">
          <cell r="C530" t="str">
            <v>VL13</v>
          </cell>
          <cell r="D530" t="str">
            <v>Que hµn</v>
          </cell>
          <cell r="E530" t="str">
            <v>kg</v>
          </cell>
          <cell r="F530">
            <v>1.2E-2</v>
          </cell>
          <cell r="G530">
            <v>22000</v>
          </cell>
          <cell r="H530">
            <v>264</v>
          </cell>
        </row>
        <row r="531">
          <cell r="D531" t="str">
            <v>VËt liÖu kh¸c</v>
          </cell>
          <cell r="E531" t="str">
            <v>%</v>
          </cell>
          <cell r="F531">
            <v>5</v>
          </cell>
          <cell r="H531">
            <v>233.00654604503654</v>
          </cell>
        </row>
        <row r="532">
          <cell r="D532" t="str">
            <v>B. Nh©n c«ng 4,0/7 - nhãm 2</v>
          </cell>
          <cell r="E532" t="str">
            <v>c«ng</v>
          </cell>
          <cell r="F532">
            <v>0.2306</v>
          </cell>
          <cell r="G532">
            <v>206401</v>
          </cell>
          <cell r="H532">
            <v>47596.070599999999</v>
          </cell>
        </row>
        <row r="533">
          <cell r="D533" t="str">
            <v>C. M¸y thi c«ng</v>
          </cell>
          <cell r="H533">
            <v>1126.1554088400001</v>
          </cell>
        </row>
        <row r="534">
          <cell r="D534" t="str">
            <v>M¸y hµn 23KW</v>
          </cell>
          <cell r="E534" t="str">
            <v>ca</v>
          </cell>
          <cell r="F534">
            <v>3.3E-3</v>
          </cell>
          <cell r="G534">
            <v>325008.77600000001</v>
          </cell>
          <cell r="H534">
            <v>1072.5289608</v>
          </cell>
        </row>
        <row r="535">
          <cell r="D535" t="str">
            <v>M¸y kh¸c</v>
          </cell>
          <cell r="E535" t="str">
            <v>%</v>
          </cell>
          <cell r="F535">
            <v>5</v>
          </cell>
          <cell r="H535">
            <v>53.626448040000007</v>
          </cell>
        </row>
        <row r="537">
          <cell r="B537" t="str">
            <v>CT42</v>
          </cell>
          <cell r="D537" t="str">
            <v>BT tÊm b¶n ®óc s½n fc=16MPa (M200), ®¸ 1x2</v>
          </cell>
          <cell r="E537" t="str">
            <v>m3</v>
          </cell>
          <cell r="I537">
            <v>552128.89921463921</v>
          </cell>
          <cell r="J537">
            <v>335582.61</v>
          </cell>
          <cell r="K537">
            <v>23538.65179</v>
          </cell>
        </row>
        <row r="538">
          <cell r="D538" t="str">
            <v>A.VËt liÖu</v>
          </cell>
          <cell r="H538">
            <v>552128.89921463921</v>
          </cell>
        </row>
        <row r="539">
          <cell r="D539" t="str">
            <v>V÷a BT fc=16MPa (M200)</v>
          </cell>
          <cell r="E539" t="str">
            <v>m3</v>
          </cell>
          <cell r="F539">
            <v>1.0149999999999999</v>
          </cell>
          <cell r="G539">
            <v>541263.04361408646</v>
          </cell>
          <cell r="H539">
            <v>549381.98926829768</v>
          </cell>
        </row>
        <row r="540">
          <cell r="D540" t="str">
            <v>VËt liÖu kh¸c</v>
          </cell>
          <cell r="E540" t="str">
            <v>%</v>
          </cell>
          <cell r="F540">
            <v>0.5</v>
          </cell>
          <cell r="H540">
            <v>2746.9099463414886</v>
          </cell>
        </row>
        <row r="541">
          <cell r="D541" t="str">
            <v>B. Nh©n c«ng</v>
          </cell>
          <cell r="H541">
            <v>335582.61</v>
          </cell>
        </row>
        <row r="542">
          <cell r="D542" t="str">
            <v>Nh©n c«ng 3.0/7 - nhãm 2</v>
          </cell>
          <cell r="E542" t="str">
            <v>c«ng</v>
          </cell>
          <cell r="F542">
            <v>1.93</v>
          </cell>
          <cell r="G542">
            <v>173877</v>
          </cell>
          <cell r="H542">
            <v>335582.61</v>
          </cell>
        </row>
        <row r="543">
          <cell r="D543" t="str">
            <v xml:space="preserve">C. M¸y thi c«ng </v>
          </cell>
          <cell r="H543">
            <v>23538.65179</v>
          </cell>
        </row>
        <row r="544">
          <cell r="D544" t="str">
            <v>M¸y trén 250l</v>
          </cell>
          <cell r="E544" t="str">
            <v>ca</v>
          </cell>
          <cell r="F544">
            <v>9.5000000000000001E-2</v>
          </cell>
          <cell r="G544">
            <v>247775.28200000001</v>
          </cell>
          <cell r="H544">
            <v>23538.65179</v>
          </cell>
        </row>
        <row r="545">
          <cell r="D545" t="str">
            <v/>
          </cell>
          <cell r="E545" t="str">
            <v/>
          </cell>
          <cell r="F545" t="str">
            <v/>
          </cell>
          <cell r="G545" t="str">
            <v/>
          </cell>
          <cell r="H545" t="str">
            <v/>
          </cell>
        </row>
        <row r="546">
          <cell r="B546" t="str">
            <v>CT43</v>
          </cell>
          <cell r="D546" t="str">
            <v>BT tÊm b¶n ®óc s½n fc=20Mpa (M250), ®¸ 1x2</v>
          </cell>
          <cell r="E546" t="str">
            <v>m3</v>
          </cell>
          <cell r="I546">
            <v>592454.95322914969</v>
          </cell>
          <cell r="J546">
            <v>335582.61</v>
          </cell>
          <cell r="K546">
            <v>23538.65179</v>
          </cell>
        </row>
        <row r="547">
          <cell r="D547" t="str">
            <v>A.VËt liÖu</v>
          </cell>
          <cell r="H547">
            <v>592454.95322914969</v>
          </cell>
        </row>
        <row r="548">
          <cell r="D548" t="str">
            <v>V÷a BT M250</v>
          </cell>
          <cell r="E548" t="str">
            <v>m3</v>
          </cell>
          <cell r="F548">
            <v>1.0149999999999999</v>
          </cell>
          <cell r="G548">
            <v>580795.48389005684</v>
          </cell>
          <cell r="H548">
            <v>589507.41614840762</v>
          </cell>
        </row>
        <row r="549">
          <cell r="D549" t="str">
            <v>VËt liÖu kh¸c</v>
          </cell>
          <cell r="E549" t="str">
            <v>%</v>
          </cell>
          <cell r="F549">
            <v>0.5</v>
          </cell>
          <cell r="H549">
            <v>2947.5370807420381</v>
          </cell>
        </row>
        <row r="550">
          <cell r="D550" t="str">
            <v>B. Nh©n c«ng</v>
          </cell>
          <cell r="H550">
            <v>335582.61</v>
          </cell>
        </row>
        <row r="551">
          <cell r="D551" t="str">
            <v>Nh©n c«ng 3.0/7 - nhãm 2</v>
          </cell>
          <cell r="E551" t="str">
            <v>c«ng</v>
          </cell>
          <cell r="F551">
            <v>1.93</v>
          </cell>
          <cell r="G551">
            <v>173877</v>
          </cell>
          <cell r="H551">
            <v>335582.61</v>
          </cell>
        </row>
        <row r="552">
          <cell r="D552" t="str">
            <v xml:space="preserve">C. M¸y thi c«ng </v>
          </cell>
          <cell r="H552">
            <v>23538.65179</v>
          </cell>
        </row>
        <row r="553">
          <cell r="D553" t="str">
            <v>M¸y trén 250l</v>
          </cell>
          <cell r="E553" t="str">
            <v>ca</v>
          </cell>
          <cell r="F553">
            <v>9.5000000000000001E-2</v>
          </cell>
          <cell r="G553">
            <v>247775.28200000001</v>
          </cell>
          <cell r="H553">
            <v>23538.65179</v>
          </cell>
        </row>
        <row r="555">
          <cell r="B555" t="str">
            <v>CT44</v>
          </cell>
          <cell r="D555" t="str">
            <v>Gia công lắp dựng cốt thép tấm bản D&lt;10cm</v>
          </cell>
          <cell r="E555" t="str">
            <v>tÊn</v>
          </cell>
          <cell r="I555">
            <v>12104988.821043951</v>
          </cell>
          <cell r="J555">
            <v>3089758.75</v>
          </cell>
          <cell r="K555">
            <v>83302.049866666668</v>
          </cell>
        </row>
        <row r="556">
          <cell r="D556" t="str">
            <v>A.VËt liÖu</v>
          </cell>
          <cell r="H556">
            <v>12104988.821043951</v>
          </cell>
        </row>
        <row r="557">
          <cell r="C557" t="str">
            <v>VL16</v>
          </cell>
          <cell r="D557" t="str">
            <v>ThÐp trßn D≤ 10mm</v>
          </cell>
          <cell r="E557" t="str">
            <v>kg</v>
          </cell>
          <cell r="F557">
            <v>1005</v>
          </cell>
          <cell r="G557">
            <v>11835.29534432234</v>
          </cell>
          <cell r="H557">
            <v>11894471.821043951</v>
          </cell>
        </row>
        <row r="558">
          <cell r="C558" t="str">
            <v>VL18</v>
          </cell>
          <cell r="D558" t="str">
            <v>D©y thÐp</v>
          </cell>
          <cell r="E558" t="str">
            <v>kg</v>
          </cell>
          <cell r="F558">
            <v>16.07</v>
          </cell>
          <cell r="G558">
            <v>13100</v>
          </cell>
          <cell r="H558">
            <v>210517</v>
          </cell>
        </row>
        <row r="559">
          <cell r="D559" t="str">
            <v>B. Nh©n c«ng 3,5/7 - nhãm 1</v>
          </cell>
          <cell r="E559" t="str">
            <v>c«ng</v>
          </cell>
          <cell r="F559">
            <v>16.25</v>
          </cell>
          <cell r="G559">
            <v>190139</v>
          </cell>
          <cell r="H559">
            <v>3089758.75</v>
          </cell>
        </row>
        <row r="560">
          <cell r="D560" t="str">
            <v>C. M¸y thi c«ng</v>
          </cell>
          <cell r="H560">
            <v>83302.049866666668</v>
          </cell>
        </row>
        <row r="561">
          <cell r="D561" t="str">
            <v>M¸y c¾t uèn cèt thÐp 5kW</v>
          </cell>
          <cell r="E561" t="str">
            <v>ca</v>
          </cell>
          <cell r="F561">
            <v>0.4</v>
          </cell>
          <cell r="G561">
            <v>208255.12466666667</v>
          </cell>
          <cell r="H561">
            <v>83302.049866666668</v>
          </cell>
        </row>
        <row r="563">
          <cell r="B563" t="str">
            <v>CT45</v>
          </cell>
          <cell r="D563" t="str">
            <v>Gia công lắp dựng cốt thép tấm bản D&gt;10cm</v>
          </cell>
          <cell r="E563" t="str">
            <v>tÊn</v>
          </cell>
          <cell r="I563">
            <v>12486518.251208786</v>
          </cell>
          <cell r="J563">
            <v>3089758.75</v>
          </cell>
          <cell r="K563">
            <v>83302.049866666668</v>
          </cell>
        </row>
        <row r="564">
          <cell r="D564" t="str">
            <v>A.VËt liÖu</v>
          </cell>
          <cell r="H564">
            <v>12486518.251208786</v>
          </cell>
        </row>
        <row r="565">
          <cell r="C565" t="str">
            <v>VL17</v>
          </cell>
          <cell r="D565" t="str">
            <v xml:space="preserve">ThÐp trßn </v>
          </cell>
          <cell r="E565" t="str">
            <v>kg</v>
          </cell>
          <cell r="F565">
            <v>1020</v>
          </cell>
          <cell r="G565">
            <v>12035.29534432234</v>
          </cell>
          <cell r="H565">
            <v>12276001.251208786</v>
          </cell>
        </row>
        <row r="566">
          <cell r="C566" t="str">
            <v>VL18</v>
          </cell>
          <cell r="D566" t="str">
            <v>D©y thÐp</v>
          </cell>
          <cell r="E566" t="str">
            <v>kg</v>
          </cell>
          <cell r="F566">
            <v>16.07</v>
          </cell>
          <cell r="G566">
            <v>13100</v>
          </cell>
          <cell r="H566">
            <v>210517</v>
          </cell>
        </row>
        <row r="567">
          <cell r="C567" t="str">
            <v>VL13</v>
          </cell>
          <cell r="D567" t="str">
            <v>Que hàn</v>
          </cell>
          <cell r="E567" t="str">
            <v>kg</v>
          </cell>
          <cell r="F567">
            <v>0</v>
          </cell>
          <cell r="G567">
            <v>22000</v>
          </cell>
          <cell r="H567">
            <v>0</v>
          </cell>
        </row>
        <row r="568">
          <cell r="D568" t="str">
            <v>B. Nh©n c«ng 3.5/7 - nhãm 2</v>
          </cell>
          <cell r="E568" t="str">
            <v>c«ng</v>
          </cell>
          <cell r="F568">
            <v>16.25</v>
          </cell>
          <cell r="G568">
            <v>190139</v>
          </cell>
          <cell r="H568">
            <v>3089758.75</v>
          </cell>
        </row>
        <row r="569">
          <cell r="D569" t="str">
            <v>C. M¸y thi c«ng</v>
          </cell>
          <cell r="H569">
            <v>83302.049866666668</v>
          </cell>
        </row>
        <row r="570">
          <cell r="D570" t="str">
            <v>Máy hàn 23KW</v>
          </cell>
          <cell r="E570" t="str">
            <v>ca</v>
          </cell>
          <cell r="F570">
            <v>0</v>
          </cell>
          <cell r="G570">
            <v>325008.77600000001</v>
          </cell>
          <cell r="H570">
            <v>0</v>
          </cell>
        </row>
        <row r="571">
          <cell r="D571" t="str">
            <v>M¸y c¾t uèn cèt thÐp 5kW</v>
          </cell>
          <cell r="E571" t="str">
            <v>ca</v>
          </cell>
          <cell r="F571">
            <v>0.4</v>
          </cell>
          <cell r="G571">
            <v>208255.12466666667</v>
          </cell>
          <cell r="H571">
            <v>83302.049866666668</v>
          </cell>
        </row>
        <row r="573">
          <cell r="B573" t="str">
            <v>CT46</v>
          </cell>
          <cell r="D573" t="str">
            <v>L¾p dùng cÊu kiÖn tÊm ranh &gt;50kg</v>
          </cell>
          <cell r="E573" t="str">
            <v>ck</v>
          </cell>
          <cell r="I573">
            <v>0</v>
          </cell>
          <cell r="J573">
            <v>5704.17</v>
          </cell>
          <cell r="K573">
            <v>18232.444416000002</v>
          </cell>
        </row>
        <row r="574">
          <cell r="D574" t="str">
            <v>A.VËt liÖu</v>
          </cell>
          <cell r="H574">
            <v>0</v>
          </cell>
        </row>
        <row r="575">
          <cell r="D575" t="str">
            <v>B. Nh©n c«ng</v>
          </cell>
          <cell r="H575" t="str">
            <v/>
          </cell>
        </row>
        <row r="576">
          <cell r="D576" t="str">
            <v>Nh©n c«ng 3.5/7 - nhãm 1</v>
          </cell>
          <cell r="E576" t="str">
            <v>c«ng</v>
          </cell>
          <cell r="F576">
            <v>0.03</v>
          </cell>
          <cell r="G576">
            <v>190139</v>
          </cell>
          <cell r="H576">
            <v>5704.17</v>
          </cell>
        </row>
        <row r="577">
          <cell r="D577" t="str">
            <v xml:space="preserve">C. M¸y thi c«ng </v>
          </cell>
          <cell r="H577">
            <v>18232.444416000002</v>
          </cell>
        </row>
        <row r="578">
          <cell r="D578" t="str">
            <v>CÇn cÈu 6T</v>
          </cell>
          <cell r="E578" t="str">
            <v>ca</v>
          </cell>
          <cell r="F578">
            <v>1.2E-2</v>
          </cell>
          <cell r="G578">
            <v>1519370.368</v>
          </cell>
          <cell r="H578">
            <v>18232.444416000002</v>
          </cell>
        </row>
        <row r="580">
          <cell r="B580" t="str">
            <v>CT47</v>
          </cell>
          <cell r="D580" t="str">
            <v>Gia công lắp dựng cốt thép lan can D&lt;10cm</v>
          </cell>
          <cell r="E580" t="str">
            <v>tÊn</v>
          </cell>
          <cell r="I580">
            <v>12104988.821043951</v>
          </cell>
          <cell r="J580">
            <v>2462300.0499999998</v>
          </cell>
          <cell r="K580">
            <v>83302.049866666668</v>
          </cell>
        </row>
        <row r="581">
          <cell r="D581" t="str">
            <v>A.VËt liÖu</v>
          </cell>
          <cell r="H581">
            <v>12104988.821043951</v>
          </cell>
        </row>
        <row r="582">
          <cell r="C582" t="str">
            <v>VL16</v>
          </cell>
          <cell r="D582" t="str">
            <v>ThÐp trßn D≤ 10mm</v>
          </cell>
          <cell r="E582" t="str">
            <v>kg</v>
          </cell>
          <cell r="F582">
            <v>1005</v>
          </cell>
          <cell r="G582">
            <v>11835.29534432234</v>
          </cell>
          <cell r="H582">
            <v>11894471.821043951</v>
          </cell>
        </row>
        <row r="583">
          <cell r="C583" t="str">
            <v>VL18</v>
          </cell>
          <cell r="D583" t="str">
            <v>D©y thÐp</v>
          </cell>
          <cell r="E583" t="str">
            <v>kg</v>
          </cell>
          <cell r="F583">
            <v>16.07</v>
          </cell>
          <cell r="G583">
            <v>13100</v>
          </cell>
          <cell r="H583">
            <v>210517</v>
          </cell>
        </row>
        <row r="584">
          <cell r="D584" t="str">
            <v>B. Nh©n c«ng 3.5/7 - nhãm 2</v>
          </cell>
          <cell r="E584" t="str">
            <v>c«ng</v>
          </cell>
          <cell r="F584">
            <v>12.95</v>
          </cell>
          <cell r="G584">
            <v>190139</v>
          </cell>
          <cell r="H584">
            <v>2462300.0499999998</v>
          </cell>
        </row>
        <row r="585">
          <cell r="D585" t="str">
            <v>C. M¸y thi c«ng</v>
          </cell>
          <cell r="H585">
            <v>83302.049866666668</v>
          </cell>
        </row>
        <row r="586">
          <cell r="D586" t="str">
            <v>M¸y c¾t uèn cèt thÐp 5kW</v>
          </cell>
          <cell r="E586" t="str">
            <v>ca</v>
          </cell>
          <cell r="F586">
            <v>0.4</v>
          </cell>
          <cell r="G586">
            <v>208255.12466666667</v>
          </cell>
          <cell r="H586">
            <v>83302.049866666668</v>
          </cell>
        </row>
        <row r="588">
          <cell r="B588" t="str">
            <v>CT48</v>
          </cell>
          <cell r="D588" t="str">
            <v>Gia công lắp dựng cốt thép lan can D&gt;10cm</v>
          </cell>
          <cell r="E588" t="str">
            <v>tÊn</v>
          </cell>
          <cell r="I588">
            <v>12499649.251208786</v>
          </cell>
          <cell r="J588">
            <v>1954628.92</v>
          </cell>
          <cell r="K588">
            <v>430651.46901333344</v>
          </cell>
        </row>
        <row r="589">
          <cell r="D589" t="str">
            <v>A.VËt liÖu</v>
          </cell>
          <cell r="H589">
            <v>12499649.251208786</v>
          </cell>
        </row>
        <row r="590">
          <cell r="C590" t="str">
            <v>VL17</v>
          </cell>
          <cell r="D590" t="str">
            <v>ThÐp trßn D&gt; 10mm</v>
          </cell>
          <cell r="E590" t="str">
            <v>kg</v>
          </cell>
          <cell r="F590">
            <v>1020</v>
          </cell>
          <cell r="G590">
            <v>12035.29534432234</v>
          </cell>
          <cell r="H590">
            <v>12276001.251208786</v>
          </cell>
        </row>
        <row r="591">
          <cell r="C591" t="str">
            <v>VL18</v>
          </cell>
          <cell r="D591" t="str">
            <v>D©y thÐp</v>
          </cell>
          <cell r="E591" t="str">
            <v>kg</v>
          </cell>
          <cell r="F591">
            <v>9.2799999999999994</v>
          </cell>
          <cell r="G591">
            <v>13100</v>
          </cell>
          <cell r="H591">
            <v>121567.99999999999</v>
          </cell>
        </row>
        <row r="592">
          <cell r="C592" t="str">
            <v>VL13</v>
          </cell>
          <cell r="D592" t="str">
            <v>Que hàn</v>
          </cell>
          <cell r="E592" t="str">
            <v>kg</v>
          </cell>
          <cell r="F592">
            <v>4.6399999999999997</v>
          </cell>
          <cell r="G592">
            <v>22000</v>
          </cell>
          <cell r="H592">
            <v>102080</v>
          </cell>
        </row>
        <row r="593">
          <cell r="D593" t="str">
            <v>B. Nh©n c«ng 3.5/7 - nhãm 2</v>
          </cell>
          <cell r="E593" t="str">
            <v>c«ng</v>
          </cell>
          <cell r="F593">
            <v>10.28</v>
          </cell>
          <cell r="G593">
            <v>190139</v>
          </cell>
          <cell r="H593">
            <v>1954628.92</v>
          </cell>
        </row>
        <row r="594">
          <cell r="D594" t="str">
            <v>C. M¸y thi c«ng</v>
          </cell>
          <cell r="H594">
            <v>430651.46901333344</v>
          </cell>
        </row>
        <row r="595">
          <cell r="D595" t="str">
            <v>M¸y hàn 23KW</v>
          </cell>
          <cell r="E595" t="str">
            <v>ca</v>
          </cell>
          <cell r="F595">
            <v>1.1200000000000001</v>
          </cell>
          <cell r="G595">
            <v>325008.77600000001</v>
          </cell>
          <cell r="H595">
            <v>364009.82912000007</v>
          </cell>
        </row>
        <row r="596">
          <cell r="D596" t="str">
            <v>M¸y c¾t uèn cèt thÐp 5kW</v>
          </cell>
          <cell r="E596" t="str">
            <v>ca</v>
          </cell>
          <cell r="F596">
            <v>0.32</v>
          </cell>
          <cell r="G596">
            <v>208255.12466666667</v>
          </cell>
          <cell r="H596">
            <v>66641.63989333334</v>
          </cell>
        </row>
        <row r="598">
          <cell r="B598" t="str">
            <v>CT49</v>
          </cell>
          <cell r="D598" t="str">
            <v xml:space="preserve">L¾p dùng hé lan </v>
          </cell>
          <cell r="E598" t="str">
            <v>m</v>
          </cell>
          <cell r="I598">
            <v>238495.75757575757</v>
          </cell>
          <cell r="J598">
            <v>12359.035</v>
          </cell>
        </row>
        <row r="599">
          <cell r="D599" t="str">
            <v>A. VËt liÖu</v>
          </cell>
          <cell r="H599">
            <v>238495.75757575757</v>
          </cell>
        </row>
        <row r="600">
          <cell r="D600" t="str">
            <v xml:space="preserve">Hé lan t«n sãng </v>
          </cell>
          <cell r="E600" t="str">
            <v>m</v>
          </cell>
          <cell r="F600">
            <v>1</v>
          </cell>
          <cell r="G600">
            <v>238495.75757575757</v>
          </cell>
          <cell r="H600">
            <v>238495.75757575757</v>
          </cell>
        </row>
        <row r="601">
          <cell r="D601" t="str">
            <v>B. Nh©n c«ng</v>
          </cell>
          <cell r="H601">
            <v>12359.035</v>
          </cell>
        </row>
        <row r="602">
          <cell r="D602" t="str">
            <v>Nh©n c«ng 3.5/7 - nhãm 4</v>
          </cell>
          <cell r="E602" t="str">
            <v>c«ng</v>
          </cell>
          <cell r="F602">
            <v>6.5000000000000002E-2</v>
          </cell>
          <cell r="G602">
            <v>190139</v>
          </cell>
          <cell r="H602">
            <v>12359.035</v>
          </cell>
        </row>
        <row r="604">
          <cell r="B604" t="str">
            <v>CT50</v>
          </cell>
          <cell r="D604" t="str">
            <v>L¾p dùng cột hé lan</v>
          </cell>
          <cell r="E604" t="str">
            <v>cot</v>
          </cell>
          <cell r="I604">
            <v>639354.54545454541</v>
          </cell>
          <cell r="J604">
            <v>66548.650000000009</v>
          </cell>
        </row>
        <row r="605">
          <cell r="D605" t="str">
            <v>A. VËt liÖu</v>
          </cell>
          <cell r="H605">
            <v>639354.54545454541</v>
          </cell>
        </row>
        <row r="606">
          <cell r="D606" t="str">
            <v xml:space="preserve">Cot Hé lan t«n sãng </v>
          </cell>
          <cell r="E606" t="str">
            <v>cot</v>
          </cell>
          <cell r="F606">
            <v>1</v>
          </cell>
          <cell r="G606">
            <v>639354.54545454541</v>
          </cell>
          <cell r="H606">
            <v>639354.54545454541</v>
          </cell>
        </row>
        <row r="607">
          <cell r="D607" t="str">
            <v>B. Nh©n c«ng</v>
          </cell>
          <cell r="H607">
            <v>66548.650000000009</v>
          </cell>
        </row>
        <row r="608">
          <cell r="D608" t="str">
            <v>Nh©n c«ng 3.5/7 - nhãm 4</v>
          </cell>
          <cell r="E608" t="str">
            <v>c«ng</v>
          </cell>
          <cell r="F608">
            <v>0.35000000000000003</v>
          </cell>
          <cell r="G608">
            <v>190139</v>
          </cell>
          <cell r="H608">
            <v>66548.650000000009</v>
          </cell>
        </row>
        <row r="609">
          <cell r="D609" t="str">
            <v/>
          </cell>
          <cell r="E609" t="str">
            <v/>
          </cell>
          <cell r="F609" t="str">
            <v/>
          </cell>
          <cell r="G609" t="str">
            <v/>
          </cell>
          <cell r="H609" t="str">
            <v/>
          </cell>
        </row>
        <row r="610">
          <cell r="D610" t="str">
            <v>V¸n khu«n thÐp cäc tiªu</v>
          </cell>
          <cell r="E610" t="str">
            <v>m2</v>
          </cell>
          <cell r="I610">
            <v>6378.981748084997</v>
          </cell>
          <cell r="J610">
            <v>49131.937476923085</v>
          </cell>
          <cell r="K610">
            <v>1561.7336189636926</v>
          </cell>
        </row>
        <row r="611">
          <cell r="D611" t="str">
            <v>A.VËt liÖu</v>
          </cell>
          <cell r="H611">
            <v>6378.981748084997</v>
          </cell>
        </row>
        <row r="612">
          <cell r="C612" t="str">
            <v>VL15</v>
          </cell>
          <cell r="D612" t="str">
            <v>ThÐp h×nh</v>
          </cell>
          <cell r="E612" t="str">
            <v>kg</v>
          </cell>
          <cell r="F612">
            <v>0.13949999999999999</v>
          </cell>
          <cell r="G612">
            <v>11975.29534432234</v>
          </cell>
          <cell r="H612">
            <v>1670.5537005329661</v>
          </cell>
        </row>
        <row r="613">
          <cell r="C613" t="str">
            <v>VL14</v>
          </cell>
          <cell r="D613" t="str">
            <v>ThÐp tÊm</v>
          </cell>
          <cell r="E613" t="str">
            <v>kg</v>
          </cell>
          <cell r="F613">
            <v>0.34539999999999998</v>
          </cell>
          <cell r="G613">
            <v>11975.29534432234</v>
          </cell>
          <cell r="H613">
            <v>4136.267011928936</v>
          </cell>
        </row>
        <row r="614">
          <cell r="C614" t="str">
            <v>VL13</v>
          </cell>
          <cell r="D614" t="str">
            <v>Que hµn</v>
          </cell>
          <cell r="E614" t="str">
            <v>kg</v>
          </cell>
          <cell r="F614">
            <v>1.2199999999999999E-2</v>
          </cell>
          <cell r="G614">
            <v>22000</v>
          </cell>
          <cell r="H614">
            <v>268.39999999999998</v>
          </cell>
        </row>
        <row r="615">
          <cell r="D615" t="str">
            <v>VËt liÖu kh¸c</v>
          </cell>
          <cell r="E615" t="str">
            <v>%</v>
          </cell>
          <cell r="F615">
            <v>5</v>
          </cell>
          <cell r="H615">
            <v>303.7610356230951</v>
          </cell>
        </row>
        <row r="616">
          <cell r="D616" t="str">
            <v>B. Nh©n c«ng 3,5/7 - nhãm 1</v>
          </cell>
          <cell r="E616" t="str">
            <v>c«ng</v>
          </cell>
          <cell r="F616">
            <v>0.25840000000000002</v>
          </cell>
          <cell r="G616">
            <v>190139.07692307694</v>
          </cell>
          <cell r="H616">
            <v>49131.937476923085</v>
          </cell>
        </row>
        <row r="617">
          <cell r="D617" t="str">
            <v>C. M¸y thi c«ng</v>
          </cell>
          <cell r="H617">
            <v>1561.7336189636926</v>
          </cell>
        </row>
        <row r="618">
          <cell r="D618" t="str">
            <v>M¸y hµn 23 Kw</v>
          </cell>
          <cell r="E618" t="str">
            <v>ca</v>
          </cell>
          <cell r="F618">
            <v>4.4000000000000003E-3</v>
          </cell>
          <cell r="G618">
            <v>322672.23532307695</v>
          </cell>
          <cell r="H618">
            <v>1419.7578354215386</v>
          </cell>
        </row>
        <row r="619">
          <cell r="D619" t="str">
            <v>M¸y kh¸c</v>
          </cell>
          <cell r="E619" t="str">
            <v>%</v>
          </cell>
          <cell r="F619">
            <v>10</v>
          </cell>
          <cell r="H619">
            <v>141.97578354215386</v>
          </cell>
        </row>
        <row r="621">
          <cell r="D621" t="str">
            <v>BT M200, ®¸ 1x2 ®óc s½n cäc tiªu, cäc H</v>
          </cell>
          <cell r="E621" t="str">
            <v>m3</v>
          </cell>
          <cell r="I621">
            <v>552128.89921463921</v>
          </cell>
          <cell r="J621">
            <v>319142.99076923082</v>
          </cell>
          <cell r="K621">
            <v>65998.122792630777</v>
          </cell>
        </row>
        <row r="622">
          <cell r="D622" t="str">
            <v>A.VËt liÖu</v>
          </cell>
          <cell r="H622">
            <v>552128.89921463921</v>
          </cell>
        </row>
        <row r="623">
          <cell r="D623" t="str">
            <v>V÷a BT M200</v>
          </cell>
          <cell r="E623" t="str">
            <v>m3</v>
          </cell>
          <cell r="F623">
            <v>1.0149999999999999</v>
          </cell>
          <cell r="G623">
            <v>541263.04361408646</v>
          </cell>
          <cell r="H623">
            <v>549381.98926829768</v>
          </cell>
        </row>
        <row r="624">
          <cell r="D624" t="str">
            <v>VËt liÖu kh¸c</v>
          </cell>
          <cell r="E624" t="str">
            <v>%</v>
          </cell>
          <cell r="F624">
            <v>0.5</v>
          </cell>
          <cell r="H624">
            <v>2746.9099463414886</v>
          </cell>
        </row>
        <row r="625">
          <cell r="D625" t="str">
            <v>B. Nh©n c«ng 3,0/7 - nhãm 1</v>
          </cell>
          <cell r="E625" t="str">
            <v>c«ng</v>
          </cell>
          <cell r="F625">
            <v>1.83</v>
          </cell>
          <cell r="G625">
            <v>174395.07692307694</v>
          </cell>
          <cell r="H625">
            <v>319142.99076923082</v>
          </cell>
        </row>
        <row r="626">
          <cell r="D626" t="str">
            <v xml:space="preserve">C. M¸y thi c«ng </v>
          </cell>
          <cell r="H626">
            <v>65998.122792630777</v>
          </cell>
        </row>
        <row r="627">
          <cell r="D627" t="str">
            <v>M¸y trén 250l</v>
          </cell>
          <cell r="E627" t="str">
            <v>ca</v>
          </cell>
          <cell r="F627">
            <v>9.5000000000000001E-2</v>
          </cell>
          <cell r="G627">
            <v>249159.67572307694</v>
          </cell>
          <cell r="H627">
            <v>23670.169193692309</v>
          </cell>
        </row>
        <row r="628">
          <cell r="D628" t="str">
            <v>M¸y ®Çm dïi 1.5KW</v>
          </cell>
          <cell r="E628" t="str">
            <v>ca</v>
          </cell>
          <cell r="F628">
            <v>0.18</v>
          </cell>
          <cell r="G628">
            <v>201822.91252307693</v>
          </cell>
          <cell r="H628">
            <v>36328.124254153845</v>
          </cell>
        </row>
        <row r="629">
          <cell r="D629" t="str">
            <v>M¸y kh¸c</v>
          </cell>
          <cell r="E629" t="str">
            <v>%</v>
          </cell>
          <cell r="F629">
            <v>10</v>
          </cell>
          <cell r="H629">
            <v>5999.8293447846154</v>
          </cell>
        </row>
        <row r="631">
          <cell r="D631" t="str">
            <v>L¾p dùng ck cäc tiªu,cäc H, ck BT ®óc s½n &lt;50kg</v>
          </cell>
          <cell r="E631" t="str">
            <v>ck</v>
          </cell>
          <cell r="J631">
            <v>30882.461538461539</v>
          </cell>
        </row>
        <row r="632">
          <cell r="D632" t="str">
            <v>B. Nh©n c«ng 4/7 - nhãm 1</v>
          </cell>
          <cell r="E632" t="str">
            <v>c«ng</v>
          </cell>
          <cell r="F632">
            <v>0.15</v>
          </cell>
          <cell r="G632">
            <v>205883.07692307694</v>
          </cell>
          <cell r="H632">
            <v>30882.461538461539</v>
          </cell>
        </row>
        <row r="634">
          <cell r="D634" t="str">
            <v>Gia công lắp dựng cốt thép cọc tiêu, cọc H, D&lt;10cm</v>
          </cell>
          <cell r="E634" t="str">
            <v>tÊn</v>
          </cell>
          <cell r="I634">
            <v>12175073.821043951</v>
          </cell>
          <cell r="J634">
            <v>2709481.8461538465</v>
          </cell>
          <cell r="K634">
            <v>82058.917649230789</v>
          </cell>
        </row>
        <row r="635">
          <cell r="D635" t="str">
            <v>A.VËt liÖu</v>
          </cell>
          <cell r="H635">
            <v>12175073.821043951</v>
          </cell>
        </row>
        <row r="636">
          <cell r="C636" t="str">
            <v>VL16</v>
          </cell>
          <cell r="D636" t="str">
            <v>ThÐp trßn D≤ 10mm</v>
          </cell>
          <cell r="E636" t="str">
            <v>kg</v>
          </cell>
          <cell r="F636">
            <v>1005</v>
          </cell>
          <cell r="G636">
            <v>11835.29534432234</v>
          </cell>
          <cell r="H636">
            <v>11894471.821043951</v>
          </cell>
        </row>
        <row r="637">
          <cell r="C637" t="str">
            <v>VL18</v>
          </cell>
          <cell r="D637" t="str">
            <v>D©y thÐp</v>
          </cell>
          <cell r="E637" t="str">
            <v>kg</v>
          </cell>
          <cell r="F637">
            <v>21.42</v>
          </cell>
          <cell r="G637">
            <v>13100</v>
          </cell>
          <cell r="H637">
            <v>280602</v>
          </cell>
        </row>
        <row r="638">
          <cell r="D638" t="str">
            <v>B. Nh©n c«ng 3.5/7 - nhãm 1</v>
          </cell>
          <cell r="E638" t="str">
            <v>c«ng</v>
          </cell>
          <cell r="F638">
            <v>14.25</v>
          </cell>
          <cell r="G638">
            <v>190139.07692307694</v>
          </cell>
          <cell r="H638">
            <v>2709481.8461538465</v>
          </cell>
        </row>
        <row r="639">
          <cell r="D639" t="str">
            <v>C. M¸y thi c«ng</v>
          </cell>
          <cell r="H639">
            <v>82058.917649230789</v>
          </cell>
        </row>
        <row r="640">
          <cell r="D640" t="str">
            <v>M¸y c¾t uèn cèt thÐp 5kW</v>
          </cell>
          <cell r="E640" t="str">
            <v>ca</v>
          </cell>
          <cell r="F640">
            <v>0.4</v>
          </cell>
          <cell r="G640">
            <v>205147.29412307695</v>
          </cell>
          <cell r="H640">
            <v>82058.917649230789</v>
          </cell>
        </row>
        <row r="642">
          <cell r="D642" t="str">
            <v>S¬n tr¾ng (®á) 2 n­íc</v>
          </cell>
          <cell r="E642" t="str">
            <v>m2</v>
          </cell>
          <cell r="I642">
            <v>13416</v>
          </cell>
          <cell r="J642">
            <v>21608.03446153846</v>
          </cell>
        </row>
        <row r="643">
          <cell r="D643" t="str">
            <v>A.VËt liÖu</v>
          </cell>
          <cell r="H643">
            <v>13416</v>
          </cell>
        </row>
        <row r="644">
          <cell r="D644" t="str">
            <v xml:space="preserve">S¬n </v>
          </cell>
          <cell r="E644" t="str">
            <v>kg</v>
          </cell>
          <cell r="F644">
            <v>0.312</v>
          </cell>
          <cell r="G644">
            <v>43000</v>
          </cell>
          <cell r="H644">
            <v>13416</v>
          </cell>
        </row>
        <row r="645">
          <cell r="D645" t="str">
            <v>B. Nh©n c«ng 3.7/7- nhãm 1</v>
          </cell>
          <cell r="E645" t="str">
            <v>c«ng</v>
          </cell>
          <cell r="F645">
            <v>0.11</v>
          </cell>
          <cell r="G645">
            <v>196436.67692307691</v>
          </cell>
          <cell r="H645">
            <v>21608.03446153846</v>
          </cell>
        </row>
        <row r="647">
          <cell r="D647" t="str">
            <v>Tấm tôn dán phản quang</v>
          </cell>
          <cell r="E647" t="str">
            <v>m2</v>
          </cell>
          <cell r="I647">
            <v>526908.89999999991</v>
          </cell>
          <cell r="J647">
            <v>78574.670769230768</v>
          </cell>
        </row>
        <row r="648">
          <cell r="D648" t="str">
            <v>A.VËt liÖu</v>
          </cell>
          <cell r="H648">
            <v>526908.89999999991</v>
          </cell>
        </row>
        <row r="649">
          <cell r="C649">
            <v>0</v>
          </cell>
          <cell r="D649" t="str">
            <v xml:space="preserve">TÊm t«n </v>
          </cell>
          <cell r="E649" t="str">
            <v>m2</v>
          </cell>
          <cell r="F649">
            <v>1.05</v>
          </cell>
          <cell r="G649">
            <v>91818</v>
          </cell>
          <cell r="H649">
            <v>96408.900000000009</v>
          </cell>
        </row>
        <row r="650">
          <cell r="C650">
            <v>0</v>
          </cell>
          <cell r="D650" t="str">
            <v>Mµng ph¶n quang</v>
          </cell>
          <cell r="E650" t="str">
            <v>m2</v>
          </cell>
          <cell r="F650">
            <v>1.05</v>
          </cell>
          <cell r="G650">
            <v>409999.99999999994</v>
          </cell>
          <cell r="H650">
            <v>430499.99999999994</v>
          </cell>
        </row>
        <row r="651">
          <cell r="D651" t="str">
            <v>B. Nh©n c«ng</v>
          </cell>
          <cell r="H651">
            <v>78574.670769230768</v>
          </cell>
        </row>
        <row r="652">
          <cell r="D652" t="str">
            <v>Nh©n c«ng 3.7/7 - nhãm 1</v>
          </cell>
          <cell r="E652" t="str">
            <v>c«ng</v>
          </cell>
          <cell r="F652">
            <v>0.4</v>
          </cell>
          <cell r="G652">
            <v>196436.67692307691</v>
          </cell>
          <cell r="H652">
            <v>78574.670769230768</v>
          </cell>
        </row>
        <row r="654">
          <cell r="D654" t="str">
            <v>Khoan tạo lỗ D=7, L=9 Cm</v>
          </cell>
          <cell r="E654" t="str">
            <v>lỗ</v>
          </cell>
          <cell r="F654">
            <v>1</v>
          </cell>
          <cell r="I654">
            <v>3937.5</v>
          </cell>
          <cell r="J654">
            <v>3042.2252307692311</v>
          </cell>
          <cell r="K654">
            <v>8451.481438938461</v>
          </cell>
        </row>
        <row r="655">
          <cell r="D655" t="str">
            <v>A. Vật liệu</v>
          </cell>
          <cell r="H655">
            <v>3937.5</v>
          </cell>
        </row>
        <row r="656">
          <cell r="C656">
            <v>0</v>
          </cell>
          <cell r="D656" t="str">
            <v>Mũi khoan D12</v>
          </cell>
          <cell r="E656" t="str">
            <v>cái</v>
          </cell>
          <cell r="F656">
            <v>0.03</v>
          </cell>
          <cell r="G656">
            <v>125000</v>
          </cell>
          <cell r="H656">
            <v>3750</v>
          </cell>
        </row>
        <row r="657">
          <cell r="D657" t="str">
            <v>Vật liệu khác</v>
          </cell>
          <cell r="E657" t="str">
            <v>%</v>
          </cell>
          <cell r="F657">
            <v>5</v>
          </cell>
          <cell r="G657">
            <v>3750</v>
          </cell>
          <cell r="H657">
            <v>187.5</v>
          </cell>
        </row>
        <row r="658">
          <cell r="D658" t="str">
            <v>B. Nhân công</v>
          </cell>
          <cell r="H658">
            <v>3042.2252307692311</v>
          </cell>
        </row>
        <row r="659">
          <cell r="D659" t="str">
            <v>Nhân công 3,5/7_Nhóm I</v>
          </cell>
          <cell r="E659" t="str">
            <v>công</v>
          </cell>
          <cell r="F659">
            <v>1.6E-2</v>
          </cell>
          <cell r="G659">
            <v>190139.07692307694</v>
          </cell>
          <cell r="H659">
            <v>3042.2252307692311</v>
          </cell>
        </row>
        <row r="660">
          <cell r="D660" t="str">
            <v>C. Máy thi công</v>
          </cell>
          <cell r="H660">
            <v>8451.481438938461</v>
          </cell>
        </row>
        <row r="661">
          <cell r="D661" t="str">
            <v>Máy khoan bê tông 0,62 KW</v>
          </cell>
          <cell r="E661" t="str">
            <v>ca</v>
          </cell>
          <cell r="F661">
            <v>4.4999999999999998E-2</v>
          </cell>
          <cell r="G661">
            <v>187810.69864307693</v>
          </cell>
          <cell r="H661">
            <v>8451.481438938461</v>
          </cell>
        </row>
        <row r="663">
          <cell r="D663" t="str">
            <v>Lắp bu l«ng</v>
          </cell>
          <cell r="E663" t="str">
            <v xml:space="preserve">con </v>
          </cell>
          <cell r="I663">
            <v>5500</v>
          </cell>
          <cell r="J663">
            <v>5970.6092307692315</v>
          </cell>
        </row>
        <row r="664">
          <cell r="D664" t="str">
            <v>A.VËt liÖu</v>
          </cell>
          <cell r="H664">
            <v>5500</v>
          </cell>
        </row>
        <row r="665">
          <cell r="D665" t="str">
            <v xml:space="preserve">Bulong </v>
          </cell>
          <cell r="E665" t="str">
            <v xml:space="preserve">con </v>
          </cell>
          <cell r="F665">
            <v>1</v>
          </cell>
          <cell r="G665">
            <v>5000</v>
          </cell>
          <cell r="H665">
            <v>5000</v>
          </cell>
        </row>
        <row r="666">
          <cell r="D666" t="str">
            <v>Vật liệu khác</v>
          </cell>
          <cell r="E666" t="str">
            <v>%</v>
          </cell>
          <cell r="F666">
            <v>10</v>
          </cell>
          <cell r="G666">
            <v>5000</v>
          </cell>
          <cell r="H666">
            <v>500</v>
          </cell>
        </row>
        <row r="667">
          <cell r="D667" t="str">
            <v>B. Nh©n c«ng</v>
          </cell>
          <cell r="H667">
            <v>5970.6092307692315</v>
          </cell>
        </row>
        <row r="668">
          <cell r="D668" t="str">
            <v>Nh©n c«ng 4.0/7</v>
          </cell>
          <cell r="E668" t="str">
            <v>c«ng</v>
          </cell>
          <cell r="F668">
            <v>2.9000000000000001E-2</v>
          </cell>
          <cell r="G668">
            <v>205883.07692307694</v>
          </cell>
          <cell r="H668">
            <v>5970.6092307692315</v>
          </cell>
        </row>
        <row r="708">
          <cell r="D708" t="str">
            <v/>
          </cell>
          <cell r="E708" t="str">
            <v/>
          </cell>
          <cell r="F708" t="str">
            <v/>
          </cell>
          <cell r="G708" t="str">
            <v/>
          </cell>
          <cell r="H708" t="str">
            <v/>
          </cell>
        </row>
        <row r="709">
          <cell r="D709" t="str">
            <v xml:space="preserve">V¸n khu«n th©n r·nh </v>
          </cell>
          <cell r="E709" t="str">
            <v>m2</v>
          </cell>
          <cell r="I709" t="e">
            <v>#REF!</v>
          </cell>
          <cell r="J709">
            <v>50824.175261538461</v>
          </cell>
          <cell r="K709">
            <v>1881.1791319335389</v>
          </cell>
        </row>
        <row r="710">
          <cell r="D710" t="str">
            <v>A.VËt liÖu</v>
          </cell>
          <cell r="H710" t="e">
            <v>#REF!</v>
          </cell>
        </row>
        <row r="711">
          <cell r="C711" t="str">
            <v>VL14</v>
          </cell>
          <cell r="D711" t="str">
            <v>ThÐp tÊm</v>
          </cell>
          <cell r="E711" t="str">
            <v>kg</v>
          </cell>
          <cell r="F711">
            <v>0.34539999999999998</v>
          </cell>
          <cell r="G711" t="e">
            <v>#REF!</v>
          </cell>
          <cell r="H711" t="e">
            <v>#REF!</v>
          </cell>
        </row>
        <row r="712">
          <cell r="C712" t="str">
            <v>VL15</v>
          </cell>
          <cell r="D712" t="str">
            <v>ThÐp h×nh</v>
          </cell>
          <cell r="E712" t="str">
            <v>kg</v>
          </cell>
          <cell r="F712">
            <v>0.16750000000000001</v>
          </cell>
          <cell r="G712" t="e">
            <v>#REF!</v>
          </cell>
          <cell r="H712" t="e">
            <v>#REF!</v>
          </cell>
        </row>
        <row r="713">
          <cell r="C713" t="str">
            <v>VL13</v>
          </cell>
          <cell r="D713" t="str">
            <v>Que hµn</v>
          </cell>
          <cell r="E713" t="str">
            <v>kg</v>
          </cell>
          <cell r="F713">
            <v>1.47E-2</v>
          </cell>
          <cell r="G713" t="e">
            <v>#REF!</v>
          </cell>
          <cell r="H713" t="e">
            <v>#REF!</v>
          </cell>
        </row>
        <row r="714">
          <cell r="D714" t="str">
            <v>VËt liÖu kh¸c</v>
          </cell>
          <cell r="E714" t="str">
            <v>%</v>
          </cell>
          <cell r="F714">
            <v>5</v>
          </cell>
          <cell r="H714" t="e">
            <v>#REF!</v>
          </cell>
        </row>
        <row r="715">
          <cell r="D715" t="str">
            <v>B. Nh©n c«ng 3.5/7 - nhãm 1</v>
          </cell>
          <cell r="E715" t="str">
            <v>c«ng</v>
          </cell>
          <cell r="F715">
            <v>0.26729999999999998</v>
          </cell>
          <cell r="G715">
            <v>190139.07692307694</v>
          </cell>
          <cell r="H715">
            <v>50824.175261538461</v>
          </cell>
        </row>
        <row r="716">
          <cell r="D716" t="str">
            <v>C. M¸y thi c«ng</v>
          </cell>
          <cell r="H716">
            <v>1881.1791319335389</v>
          </cell>
        </row>
        <row r="717">
          <cell r="D717" t="str">
            <v>M¸y hµn 23KW</v>
          </cell>
          <cell r="E717" t="str">
            <v>ca</v>
          </cell>
          <cell r="F717">
            <v>5.3E-3</v>
          </cell>
          <cell r="G717">
            <v>322672.23532307695</v>
          </cell>
          <cell r="H717">
            <v>1710.162847212308</v>
          </cell>
        </row>
        <row r="718">
          <cell r="D718" t="str">
            <v>M¸y kh¸c</v>
          </cell>
          <cell r="E718" t="str">
            <v>%</v>
          </cell>
          <cell r="F718">
            <v>10</v>
          </cell>
          <cell r="H718">
            <v>171.01628472123082</v>
          </cell>
        </row>
        <row r="720">
          <cell r="D720" t="str">
            <v>Gia công lắp dựng cốt thép thân rãnh D&lt;10cm</v>
          </cell>
          <cell r="E720" t="str">
            <v>tÊn</v>
          </cell>
          <cell r="I720" t="e">
            <v>#REF!</v>
          </cell>
          <cell r="J720">
            <v>4063272.0738461544</v>
          </cell>
          <cell r="K720">
            <v>98470.701179076932</v>
          </cell>
        </row>
        <row r="721">
          <cell r="D721" t="str">
            <v>A.VËt liÖu</v>
          </cell>
          <cell r="H721" t="e">
            <v>#REF!</v>
          </cell>
        </row>
        <row r="722">
          <cell r="C722" t="str">
            <v>VL16</v>
          </cell>
          <cell r="D722" t="str">
            <v>ThÐp trßn D≤ 10mm</v>
          </cell>
          <cell r="E722" t="str">
            <v>kg</v>
          </cell>
          <cell r="F722">
            <v>1005</v>
          </cell>
          <cell r="G722" t="e">
            <v>#REF!</v>
          </cell>
          <cell r="H722" t="e">
            <v>#REF!</v>
          </cell>
        </row>
        <row r="723">
          <cell r="C723" t="str">
            <v>VL18</v>
          </cell>
          <cell r="D723" t="str">
            <v>D©y thÐp</v>
          </cell>
          <cell r="E723" t="str">
            <v>kg</v>
          </cell>
          <cell r="F723">
            <v>21.42</v>
          </cell>
          <cell r="G723" t="e">
            <v>#REF!</v>
          </cell>
          <cell r="H723" t="e">
            <v>#REF!</v>
          </cell>
        </row>
        <row r="724">
          <cell r="D724" t="str">
            <v>B. Nh©n c«ng 3,5/7 - nhãm 1</v>
          </cell>
          <cell r="E724" t="str">
            <v>c«ng</v>
          </cell>
          <cell r="F724">
            <v>21.37</v>
          </cell>
          <cell r="G724">
            <v>190139.07692307694</v>
          </cell>
          <cell r="H724">
            <v>4063272.0738461544</v>
          </cell>
        </row>
        <row r="725">
          <cell r="D725" t="str">
            <v>C. M¸y thi c«ng</v>
          </cell>
          <cell r="H725">
            <v>98470.701179076932</v>
          </cell>
        </row>
        <row r="726">
          <cell r="D726" t="str">
            <v>M¸y c¾t uèn cèt thÐp 5kW</v>
          </cell>
          <cell r="E726" t="str">
            <v>ca</v>
          </cell>
          <cell r="F726">
            <v>0.48</v>
          </cell>
          <cell r="G726">
            <v>205147.29412307695</v>
          </cell>
          <cell r="H726">
            <v>98470.701179076932</v>
          </cell>
        </row>
        <row r="728">
          <cell r="D728" t="str">
            <v>Gia công lắp dựng cốt thép thân rãnh D&gt;10cm</v>
          </cell>
          <cell r="E728" t="str">
            <v>tÊn</v>
          </cell>
          <cell r="I728" t="e">
            <v>#REF!</v>
          </cell>
          <cell r="J728">
            <v>2705303.6307692309</v>
          </cell>
          <cell r="K728">
            <v>751970.97865156922</v>
          </cell>
        </row>
        <row r="729">
          <cell r="D729" t="str">
            <v>A.VËt liÖu</v>
          </cell>
          <cell r="H729" t="e">
            <v>#REF!</v>
          </cell>
        </row>
        <row r="730">
          <cell r="C730" t="str">
            <v>VL17</v>
          </cell>
          <cell r="D730" t="str">
            <v>ThÐp trßn D&gt; 10mm</v>
          </cell>
          <cell r="E730" t="str">
            <v>kg</v>
          </cell>
          <cell r="F730">
            <v>1020</v>
          </cell>
          <cell r="G730" t="e">
            <v>#REF!</v>
          </cell>
          <cell r="H730" t="e">
            <v>#REF!</v>
          </cell>
        </row>
        <row r="731">
          <cell r="C731" t="str">
            <v>VL18</v>
          </cell>
          <cell r="D731" t="str">
            <v>D©y thÐp</v>
          </cell>
          <cell r="E731" t="str">
            <v>kg</v>
          </cell>
          <cell r="F731">
            <v>14.28</v>
          </cell>
          <cell r="G731" t="e">
            <v>#REF!</v>
          </cell>
          <cell r="H731" t="e">
            <v>#REF!</v>
          </cell>
        </row>
        <row r="732">
          <cell r="C732" t="str">
            <v>VL13</v>
          </cell>
          <cell r="D732" t="str">
            <v>Que hàn</v>
          </cell>
          <cell r="E732" t="str">
            <v>kg</v>
          </cell>
          <cell r="F732">
            <v>4.62</v>
          </cell>
          <cell r="G732" t="e">
            <v>#REF!</v>
          </cell>
          <cell r="H732" t="e">
            <v>#REF!</v>
          </cell>
        </row>
        <row r="733">
          <cell r="D733" t="str">
            <v>B. Nh©n c«ng 4/7 - nhãm 1</v>
          </cell>
          <cell r="E733" t="str">
            <v>c«ng</v>
          </cell>
          <cell r="F733">
            <v>13.14</v>
          </cell>
          <cell r="G733">
            <v>205883.07692307694</v>
          </cell>
          <cell r="H733">
            <v>2705303.6307692309</v>
          </cell>
        </row>
        <row r="734">
          <cell r="D734" t="str">
            <v>C. M¸y thi c«ng</v>
          </cell>
          <cell r="H734">
            <v>751970.97865156922</v>
          </cell>
        </row>
        <row r="735">
          <cell r="D735" t="str">
            <v>M¸y hàn 23KW</v>
          </cell>
          <cell r="E735" t="str">
            <v>ca</v>
          </cell>
          <cell r="F735">
            <v>2.1269999999999998</v>
          </cell>
          <cell r="G735">
            <v>322672.23532307695</v>
          </cell>
          <cell r="H735">
            <v>686323.84453218465</v>
          </cell>
        </row>
        <row r="736">
          <cell r="D736" t="str">
            <v>M¸y c¾t uèn cèt thÐp 5kW</v>
          </cell>
          <cell r="E736" t="str">
            <v>ca</v>
          </cell>
          <cell r="F736">
            <v>0.32</v>
          </cell>
          <cell r="G736">
            <v>205147.29412307695</v>
          </cell>
          <cell r="H736">
            <v>65647.134119384631</v>
          </cell>
        </row>
        <row r="738">
          <cell r="D738" t="str">
            <v>Gia công lắp dựng cốt thép , hố thu D&lt;10cm</v>
          </cell>
          <cell r="E738" t="str">
            <v>tÊn</v>
          </cell>
          <cell r="I738" t="e">
            <v>#REF!</v>
          </cell>
          <cell r="J738">
            <v>2085825.673846154</v>
          </cell>
          <cell r="K738">
            <v>82058.917649230789</v>
          </cell>
        </row>
        <row r="739">
          <cell r="D739" t="str">
            <v>A.VËt liÖu</v>
          </cell>
          <cell r="H739" t="e">
            <v>#REF!</v>
          </cell>
        </row>
        <row r="740">
          <cell r="C740" t="str">
            <v>VL16</v>
          </cell>
          <cell r="D740" t="str">
            <v>ThÐp trßn D≤ 10mm</v>
          </cell>
          <cell r="E740" t="str">
            <v>kg</v>
          </cell>
          <cell r="F740">
            <v>1005</v>
          </cell>
          <cell r="G740" t="e">
            <v>#REF!</v>
          </cell>
          <cell r="H740" t="e">
            <v>#REF!</v>
          </cell>
        </row>
        <row r="741">
          <cell r="C741" t="str">
            <v>VL18</v>
          </cell>
          <cell r="D741" t="str">
            <v>D©y thÐp</v>
          </cell>
          <cell r="E741" t="str">
            <v>kg</v>
          </cell>
          <cell r="F741">
            <v>21.42</v>
          </cell>
          <cell r="G741" t="e">
            <v>#REF!</v>
          </cell>
          <cell r="H741" t="e">
            <v>#REF!</v>
          </cell>
        </row>
        <row r="742">
          <cell r="D742" t="str">
            <v>B. Nh©n c«ng 3.5/7</v>
          </cell>
          <cell r="E742" t="str">
            <v>c«ng</v>
          </cell>
          <cell r="F742">
            <v>10.97</v>
          </cell>
          <cell r="G742">
            <v>190139.07692307694</v>
          </cell>
          <cell r="H742">
            <v>2085825.673846154</v>
          </cell>
        </row>
        <row r="743">
          <cell r="D743" t="str">
            <v>C. M¸y thi c«ng</v>
          </cell>
          <cell r="H743">
            <v>82058.917649230789</v>
          </cell>
        </row>
        <row r="744">
          <cell r="D744" t="str">
            <v>M¸y c¾t uèn cèt thÐp 5kW</v>
          </cell>
          <cell r="E744" t="str">
            <v>ca</v>
          </cell>
          <cell r="F744">
            <v>0.4</v>
          </cell>
          <cell r="G744">
            <v>205147.29412307695</v>
          </cell>
          <cell r="H744">
            <v>82058.917649230789</v>
          </cell>
        </row>
        <row r="746">
          <cell r="D746" t="str">
            <v>Gia công lắp dựng cốt thép rãnh nước, hố thu D&gt;10cm</v>
          </cell>
          <cell r="E746" t="str">
            <v>tÊn</v>
          </cell>
          <cell r="I746" t="e">
            <v>#REF!</v>
          </cell>
          <cell r="J746">
            <v>1319565.193846154</v>
          </cell>
          <cell r="K746">
            <v>478667.59533292311</v>
          </cell>
        </row>
        <row r="747">
          <cell r="D747" t="str">
            <v>A.VËt liÖu</v>
          </cell>
          <cell r="H747" t="e">
            <v>#REF!</v>
          </cell>
        </row>
        <row r="748">
          <cell r="C748" t="str">
            <v>VL17</v>
          </cell>
          <cell r="D748" t="str">
            <v>ThÐp trßn D&gt; 10mm</v>
          </cell>
          <cell r="E748" t="str">
            <v>kg</v>
          </cell>
          <cell r="F748">
            <v>1020</v>
          </cell>
          <cell r="G748" t="e">
            <v>#REF!</v>
          </cell>
          <cell r="H748" t="e">
            <v>#REF!</v>
          </cell>
        </row>
        <row r="749">
          <cell r="C749" t="str">
            <v>VL18</v>
          </cell>
          <cell r="D749" t="str">
            <v>D©y thÐp</v>
          </cell>
          <cell r="E749" t="str">
            <v>kg</v>
          </cell>
          <cell r="F749">
            <v>14.28</v>
          </cell>
          <cell r="G749" t="e">
            <v>#REF!</v>
          </cell>
          <cell r="H749" t="e">
            <v>#REF!</v>
          </cell>
        </row>
        <row r="750">
          <cell r="C750" t="str">
            <v>VL13</v>
          </cell>
          <cell r="D750" t="str">
            <v>Que hàn</v>
          </cell>
          <cell r="E750" t="str">
            <v>kg</v>
          </cell>
          <cell r="F750">
            <v>5.3</v>
          </cell>
          <cell r="G750" t="e">
            <v>#REF!</v>
          </cell>
          <cell r="H750" t="e">
            <v>#REF!</v>
          </cell>
        </row>
        <row r="751">
          <cell r="D751" t="str">
            <v>B. Nh©n c«ng 3.5/7</v>
          </cell>
          <cell r="E751" t="str">
            <v>c«ng</v>
          </cell>
          <cell r="F751">
            <v>6.94</v>
          </cell>
          <cell r="G751">
            <v>190139.07692307694</v>
          </cell>
          <cell r="H751">
            <v>1319565.193846154</v>
          </cell>
        </row>
        <row r="752">
          <cell r="D752" t="str">
            <v>C. M¸y thi c«ng</v>
          </cell>
          <cell r="H752">
            <v>478667.59533292311</v>
          </cell>
        </row>
        <row r="753">
          <cell r="D753" t="str">
            <v>M¸y hàn 23KW</v>
          </cell>
          <cell r="E753" t="str">
            <v>ca</v>
          </cell>
          <cell r="F753">
            <v>1.28</v>
          </cell>
          <cell r="G753">
            <v>322672.23532307695</v>
          </cell>
          <cell r="H753">
            <v>413020.46121353848</v>
          </cell>
        </row>
        <row r="754">
          <cell r="D754" t="str">
            <v>M¸y c¾t uèn cèt thÐp 5kW</v>
          </cell>
          <cell r="E754" t="str">
            <v>ca</v>
          </cell>
          <cell r="F754">
            <v>0.32</v>
          </cell>
          <cell r="G754">
            <v>205147.29412307695</v>
          </cell>
          <cell r="H754">
            <v>65647.134119384631</v>
          </cell>
        </row>
        <row r="755">
          <cell r="D755" t="str">
            <v/>
          </cell>
          <cell r="E755" t="str">
            <v/>
          </cell>
          <cell r="F755" t="str">
            <v/>
          </cell>
          <cell r="G755" t="str">
            <v/>
          </cell>
          <cell r="H755" t="str">
            <v/>
          </cell>
        </row>
        <row r="756">
          <cell r="D756" t="str">
            <v>BT tÊm b¶n ®óc s½n fc=24Mpa (M300), ®¸ 1x2</v>
          </cell>
          <cell r="E756" t="str">
            <v>m3</v>
          </cell>
          <cell r="I756">
            <v>630588.90915716905</v>
          </cell>
          <cell r="J756">
            <v>448195.34769230773</v>
          </cell>
          <cell r="K756">
            <v>23670.169193692309</v>
          </cell>
        </row>
        <row r="757">
          <cell r="D757" t="str">
            <v>A.VËt liÖu</v>
          </cell>
          <cell r="H757">
            <v>630588.90915716905</v>
          </cell>
        </row>
        <row r="758">
          <cell r="D758" t="str">
            <v>V÷a BT M300</v>
          </cell>
          <cell r="E758" t="str">
            <v>m3</v>
          </cell>
          <cell r="F758">
            <v>1.0149999999999999</v>
          </cell>
          <cell r="G758">
            <v>618178.96640655748</v>
          </cell>
          <cell r="H758">
            <v>627451.65090265579</v>
          </cell>
        </row>
        <row r="759">
          <cell r="D759" t="str">
            <v>VËt liÖu kh¸c</v>
          </cell>
          <cell r="E759" t="str">
            <v>%</v>
          </cell>
          <cell r="F759">
            <v>0.5</v>
          </cell>
          <cell r="H759">
            <v>3137.2582545132791</v>
          </cell>
        </row>
        <row r="760">
          <cell r="D760" t="str">
            <v>B. Nh©n c«ng</v>
          </cell>
          <cell r="H760">
            <v>448195.34769230773</v>
          </cell>
        </row>
        <row r="761">
          <cell r="D761" t="str">
            <v>Nh©n c«ng 3.0/7</v>
          </cell>
          <cell r="E761" t="str">
            <v>c«ng</v>
          </cell>
          <cell r="F761">
            <v>2.57</v>
          </cell>
          <cell r="G761">
            <v>174395.07692307694</v>
          </cell>
          <cell r="H761">
            <v>448195.34769230773</v>
          </cell>
        </row>
        <row r="762">
          <cell r="D762" t="str">
            <v xml:space="preserve">C. M¸y thi c«ng </v>
          </cell>
          <cell r="H762">
            <v>23670.169193692309</v>
          </cell>
        </row>
        <row r="763">
          <cell r="D763" t="str">
            <v>M¸y trén 250l</v>
          </cell>
          <cell r="E763" t="str">
            <v>ca</v>
          </cell>
          <cell r="F763">
            <v>9.5000000000000001E-2</v>
          </cell>
          <cell r="G763">
            <v>249159.67572307694</v>
          </cell>
          <cell r="H763">
            <v>23670.169193692309</v>
          </cell>
        </row>
        <row r="765">
          <cell r="D765" t="str">
            <v>BT th©n r·nh ®óc s½n fc=20Mpa (M250), ®¸ 1x2</v>
          </cell>
          <cell r="E765" t="str">
            <v>m3</v>
          </cell>
          <cell r="I765">
            <v>592454.95322914969</v>
          </cell>
          <cell r="J765">
            <v>439221.26769230771</v>
          </cell>
          <cell r="K765">
            <v>43999.42532761539</v>
          </cell>
        </row>
        <row r="766">
          <cell r="D766" t="str">
            <v>A.VËt liÖu</v>
          </cell>
          <cell r="H766">
            <v>592454.95322914969</v>
          </cell>
        </row>
        <row r="767">
          <cell r="D767" t="str">
            <v>V÷a BT M250</v>
          </cell>
          <cell r="E767" t="str">
            <v>m3</v>
          </cell>
          <cell r="F767">
            <v>1.0149999999999999</v>
          </cell>
          <cell r="G767">
            <v>580795.48389005684</v>
          </cell>
          <cell r="H767">
            <v>589507.41614840762</v>
          </cell>
        </row>
        <row r="768">
          <cell r="D768" t="str">
            <v>VËt liÖu kh¸c</v>
          </cell>
          <cell r="E768" t="str">
            <v>%</v>
          </cell>
          <cell r="F768">
            <v>0.5</v>
          </cell>
          <cell r="H768">
            <v>2947.5370807420381</v>
          </cell>
        </row>
        <row r="769">
          <cell r="D769" t="str">
            <v>B. Nh©n c«ng</v>
          </cell>
          <cell r="H769">
            <v>439221.26769230771</v>
          </cell>
        </row>
        <row r="770">
          <cell r="D770" t="str">
            <v>Nh©n c«ng 3.5/7 - nhãm 1</v>
          </cell>
          <cell r="E770" t="str">
            <v>c«ng</v>
          </cell>
          <cell r="F770">
            <v>2.31</v>
          </cell>
          <cell r="G770">
            <v>190139.07692307694</v>
          </cell>
          <cell r="H770">
            <v>439221.26769230771</v>
          </cell>
        </row>
        <row r="771">
          <cell r="D771" t="str">
            <v xml:space="preserve">C. M¸y thi c«ng </v>
          </cell>
          <cell r="H771">
            <v>43999.42532761539</v>
          </cell>
        </row>
        <row r="772">
          <cell r="D772" t="str">
            <v>M¸y trén 250l</v>
          </cell>
          <cell r="E772" t="str">
            <v>ca</v>
          </cell>
          <cell r="F772">
            <v>9.5000000000000001E-2</v>
          </cell>
          <cell r="G772">
            <v>249159.67572307694</v>
          </cell>
          <cell r="H772">
            <v>23670.169193692309</v>
          </cell>
        </row>
        <row r="773">
          <cell r="D773" t="str">
            <v>M¸y dam dui</v>
          </cell>
          <cell r="E773" t="str">
            <v>ca</v>
          </cell>
          <cell r="F773">
            <v>8.8999999999999996E-2</v>
          </cell>
          <cell r="G773">
            <v>201822.91252307693</v>
          </cell>
          <cell r="H773">
            <v>17962.239214553847</v>
          </cell>
        </row>
        <row r="774">
          <cell r="D774" t="str">
            <v>M¸y kh¸c</v>
          </cell>
          <cell r="E774" t="str">
            <v>%</v>
          </cell>
          <cell r="F774">
            <v>10</v>
          </cell>
          <cell r="G774">
            <v>23670.169193692309</v>
          </cell>
          <cell r="H774">
            <v>2367.0169193692309</v>
          </cell>
        </row>
        <row r="775">
          <cell r="D775" t="str">
            <v/>
          </cell>
          <cell r="E775" t="str">
            <v/>
          </cell>
          <cell r="F775" t="str">
            <v/>
          </cell>
          <cell r="G775" t="str">
            <v/>
          </cell>
          <cell r="H775" t="str">
            <v/>
          </cell>
        </row>
        <row r="776">
          <cell r="D776" t="str">
            <v>L¾p dùng cÊu kiÖn th©n r·nh</v>
          </cell>
          <cell r="E776" t="str">
            <v>ck</v>
          </cell>
          <cell r="I776">
            <v>1230.4082142032598</v>
          </cell>
          <cell r="J776">
            <v>20915.298461538463</v>
          </cell>
          <cell r="K776">
            <v>35972.953365384616</v>
          </cell>
        </row>
        <row r="777">
          <cell r="D777" t="str">
            <v>A.VËt liÖu</v>
          </cell>
          <cell r="H777">
            <v>1230.4082142032598</v>
          </cell>
        </row>
        <row r="778">
          <cell r="D778" t="str">
            <v>V÷a  M100</v>
          </cell>
          <cell r="E778" t="str">
            <v>m3</v>
          </cell>
          <cell r="F778">
            <v>2E-3</v>
          </cell>
          <cell r="G778">
            <v>615204.10710162995</v>
          </cell>
          <cell r="H778">
            <v>1230.4082142032598</v>
          </cell>
        </row>
        <row r="779">
          <cell r="D779" t="str">
            <v>B. Nh©n c«ng</v>
          </cell>
          <cell r="H779">
            <v>20915.298461538463</v>
          </cell>
        </row>
        <row r="780">
          <cell r="D780" t="str">
            <v>Nh©n c«ng 3.5/7 - nhãm 1</v>
          </cell>
          <cell r="E780" t="str">
            <v>c«ng</v>
          </cell>
          <cell r="F780">
            <v>0.11</v>
          </cell>
          <cell r="G780">
            <v>190139.07692307694</v>
          </cell>
          <cell r="H780">
            <v>20915.298461538463</v>
          </cell>
        </row>
        <row r="781">
          <cell r="D781" t="str">
            <v xml:space="preserve">C. M¸y thi c«ng </v>
          </cell>
          <cell r="H781">
            <v>35972.953365384616</v>
          </cell>
        </row>
        <row r="782">
          <cell r="D782" t="str">
            <v>CÇn cÈu 6T</v>
          </cell>
          <cell r="E782" t="str">
            <v>ca</v>
          </cell>
          <cell r="F782">
            <v>2.5000000000000001E-2</v>
          </cell>
          <cell r="G782">
            <v>1438918.1346153845</v>
          </cell>
          <cell r="H782">
            <v>35972.953365384616</v>
          </cell>
        </row>
        <row r="783">
          <cell r="D783" t="str">
            <v/>
          </cell>
          <cell r="E783" t="str">
            <v/>
          </cell>
          <cell r="F783" t="str">
            <v/>
          </cell>
          <cell r="G783" t="str">
            <v/>
          </cell>
          <cell r="H783" t="str">
            <v/>
          </cell>
        </row>
        <row r="784">
          <cell r="D784" t="str">
            <v>L¾p dùng cÊu kiÖn tÊm b¶n</v>
          </cell>
          <cell r="E784" t="str">
            <v>ck</v>
          </cell>
          <cell r="I784">
            <v>0</v>
          </cell>
          <cell r="J784">
            <v>11408.344615384616</v>
          </cell>
          <cell r="K784">
            <v>0</v>
          </cell>
        </row>
        <row r="785">
          <cell r="D785" t="str">
            <v>A.VËt liÖu</v>
          </cell>
          <cell r="H785">
            <v>0</v>
          </cell>
        </row>
        <row r="786">
          <cell r="D786" t="str">
            <v>V÷a  M100</v>
          </cell>
          <cell r="E786" t="str">
            <v>m3</v>
          </cell>
          <cell r="F786">
            <v>0</v>
          </cell>
          <cell r="G786">
            <v>615204.10710162995</v>
          </cell>
          <cell r="H786">
            <v>0</v>
          </cell>
        </row>
        <row r="787">
          <cell r="D787" t="str">
            <v>B. Nh©n c«ng</v>
          </cell>
          <cell r="H787">
            <v>11408.344615384616</v>
          </cell>
        </row>
        <row r="788">
          <cell r="D788" t="str">
            <v>Nh©n c«ng 3.5/7 - nhãm 1</v>
          </cell>
          <cell r="E788" t="str">
            <v>c«ng</v>
          </cell>
          <cell r="F788">
            <v>0.06</v>
          </cell>
          <cell r="G788">
            <v>190139.07692307694</v>
          </cell>
          <cell r="H788">
            <v>11408.344615384616</v>
          </cell>
        </row>
        <row r="789">
          <cell r="D789" t="str">
            <v xml:space="preserve">C. M¸y thi c«ng </v>
          </cell>
          <cell r="H789">
            <v>0</v>
          </cell>
        </row>
        <row r="790">
          <cell r="D790" t="str">
            <v>CÇn cÈu 6T</v>
          </cell>
          <cell r="E790" t="str">
            <v>ca</v>
          </cell>
          <cell r="G790">
            <v>1438918.1346153845</v>
          </cell>
          <cell r="H790">
            <v>0</v>
          </cell>
        </row>
        <row r="791">
          <cell r="D791" t="str">
            <v xml:space="preserve">C. M¸y thi c«ng </v>
          </cell>
          <cell r="H791">
            <v>0</v>
          </cell>
        </row>
        <row r="792">
          <cell r="D792" t="str">
            <v>Ô tô 2.5T</v>
          </cell>
          <cell r="E792" t="str">
            <v>ca</v>
          </cell>
          <cell r="G792">
            <v>477058.6862937063</v>
          </cell>
          <cell r="H792">
            <v>0</v>
          </cell>
        </row>
        <row r="793">
          <cell r="D793" t="str">
            <v>Ô tô 7T</v>
          </cell>
          <cell r="E793" t="str">
            <v>ca</v>
          </cell>
          <cell r="G793">
            <v>1020946.7744755246</v>
          </cell>
          <cell r="H793">
            <v>0</v>
          </cell>
        </row>
        <row r="795">
          <cell r="D795" t="str">
            <v>Lắp đặt biển tròn</v>
          </cell>
          <cell r="E795" t="str">
            <v xml:space="preserve">bộ </v>
          </cell>
          <cell r="I795">
            <v>0</v>
          </cell>
          <cell r="J795">
            <v>250820.08615384612</v>
          </cell>
          <cell r="K795">
            <v>57869.072008741263</v>
          </cell>
        </row>
        <row r="796">
          <cell r="D796" t="str">
            <v>A.VËt liÖu</v>
          </cell>
          <cell r="H796">
            <v>0</v>
          </cell>
        </row>
        <row r="797">
          <cell r="D797" t="str">
            <v>Biển tròn D90</v>
          </cell>
          <cell r="E797" t="str">
            <v>cái</v>
          </cell>
          <cell r="F797">
            <v>1</v>
          </cell>
          <cell r="H797">
            <v>0</v>
          </cell>
        </row>
        <row r="798">
          <cell r="D798" t="str">
            <v>Cột biển O90</v>
          </cell>
          <cell r="E798" t="str">
            <v>m</v>
          </cell>
          <cell r="F798">
            <v>3.3</v>
          </cell>
          <cell r="H798">
            <v>0</v>
          </cell>
        </row>
        <row r="799">
          <cell r="D799" t="str">
            <v>B. Nh©n c«ng</v>
          </cell>
          <cell r="H799">
            <v>250820.08615384612</v>
          </cell>
        </row>
        <row r="800">
          <cell r="D800" t="str">
            <v>Nh©n c«ng 3.7/7</v>
          </cell>
          <cell r="E800" t="str">
            <v>c«ng</v>
          </cell>
          <cell r="F800">
            <v>0.72</v>
          </cell>
          <cell r="G800">
            <v>196436.67692307691</v>
          </cell>
          <cell r="H800">
            <v>141434.40738461536</v>
          </cell>
        </row>
        <row r="801">
          <cell r="D801" t="str">
            <v>Nh©n c«ng 3.3/7</v>
          </cell>
          <cell r="E801" t="str">
            <v>c«ng</v>
          </cell>
          <cell r="F801">
            <v>0.59499999999999997</v>
          </cell>
          <cell r="G801">
            <v>183841.47692307693</v>
          </cell>
          <cell r="H801">
            <v>109385.67876923077</v>
          </cell>
        </row>
        <row r="802">
          <cell r="D802" t="str">
            <v xml:space="preserve">C. M¸y thi c«ng </v>
          </cell>
          <cell r="H802">
            <v>57869.072008741263</v>
          </cell>
        </row>
        <row r="803">
          <cell r="D803" t="str">
            <v>Ô tô 2.5T</v>
          </cell>
          <cell r="E803" t="str">
            <v>ca</v>
          </cell>
          <cell r="F803">
            <v>2.5000000000000001E-2</v>
          </cell>
          <cell r="G803">
            <v>477058.6862937063</v>
          </cell>
          <cell r="H803">
            <v>11926.467157342659</v>
          </cell>
        </row>
        <row r="804">
          <cell r="D804" t="str">
            <v>Ô tô 7T</v>
          </cell>
          <cell r="E804" t="str">
            <v>ca</v>
          </cell>
          <cell r="F804">
            <v>4.4999999999999998E-2</v>
          </cell>
          <cell r="G804">
            <v>1020946.7744755246</v>
          </cell>
          <cell r="H804">
            <v>45942.604851398602</v>
          </cell>
        </row>
        <row r="806">
          <cell r="D806" t="str">
            <v>D¸n mµng ph¶n quang biÓn b¸o, màng ph¶n quang hé lan</v>
          </cell>
          <cell r="E806" t="str">
            <v>m2</v>
          </cell>
          <cell r="J806">
            <v>0</v>
          </cell>
          <cell r="K806">
            <v>78574.670769230768</v>
          </cell>
        </row>
        <row r="807">
          <cell r="D807" t="str">
            <v>A.VËt liÖu</v>
          </cell>
          <cell r="H807">
            <v>0</v>
          </cell>
        </row>
        <row r="808">
          <cell r="D808" t="str">
            <v>Mµng ph¶n quang</v>
          </cell>
          <cell r="E808" t="str">
            <v>m2</v>
          </cell>
          <cell r="F808">
            <v>1.1000000000000001</v>
          </cell>
          <cell r="H808">
            <v>0</v>
          </cell>
        </row>
        <row r="809">
          <cell r="D809" t="str">
            <v>B. Nh©n c«ng</v>
          </cell>
          <cell r="H809">
            <v>78574.670769230768</v>
          </cell>
        </row>
        <row r="810">
          <cell r="D810" t="str">
            <v>Nh©n c«ng 3.7/7 - nhãm 1</v>
          </cell>
          <cell r="E810" t="str">
            <v>c«ng</v>
          </cell>
          <cell r="F810">
            <v>0.4</v>
          </cell>
          <cell r="G810">
            <v>196436.67692307691</v>
          </cell>
          <cell r="H810">
            <v>78574.670769230768</v>
          </cell>
        </row>
        <row r="812">
          <cell r="D812" t="str">
            <v xml:space="preserve"> L¾p ®Æt èng n­íc D110, ®ôc lç sole </v>
          </cell>
          <cell r="E812" t="str">
            <v>m</v>
          </cell>
          <cell r="I812">
            <v>41800</v>
          </cell>
          <cell r="J812">
            <v>25687.789292307694</v>
          </cell>
        </row>
        <row r="813">
          <cell r="D813" t="str">
            <v>A. VËt liÖu</v>
          </cell>
          <cell r="H813">
            <v>41800</v>
          </cell>
        </row>
        <row r="814">
          <cell r="D814" t="str">
            <v>èng n­íc D110</v>
          </cell>
          <cell r="E814" t="str">
            <v>m</v>
          </cell>
          <cell r="F814">
            <v>1</v>
          </cell>
          <cell r="G814">
            <v>41800</v>
          </cell>
          <cell r="H814">
            <v>41800</v>
          </cell>
          <cell r="I814" t="str">
            <v>gi¸ quý 2 trang 25</v>
          </cell>
        </row>
        <row r="815">
          <cell r="D815" t="str">
            <v>B. Nh©n c«ng</v>
          </cell>
          <cell r="H815">
            <v>25687.789292307694</v>
          </cell>
        </row>
        <row r="816">
          <cell r="D816" t="str">
            <v>Nh©n c«ng 3.5/7 - nhãm 1</v>
          </cell>
          <cell r="E816" t="str">
            <v>c«ng</v>
          </cell>
          <cell r="F816">
            <v>0.1351</v>
          </cell>
          <cell r="G816">
            <v>190139.07692307694</v>
          </cell>
          <cell r="H816">
            <v>25687.789292307694</v>
          </cell>
        </row>
        <row r="818">
          <cell r="D818" t="str">
            <v>V¶I ®Þa kÜ thuËt</v>
          </cell>
          <cell r="E818" t="str">
            <v>m2</v>
          </cell>
          <cell r="I818">
            <v>15620.000000000002</v>
          </cell>
          <cell r="J818">
            <v>2053.5020307692312</v>
          </cell>
        </row>
        <row r="819">
          <cell r="D819" t="str">
            <v>A. VËt liÖu</v>
          </cell>
          <cell r="H819">
            <v>15620.000000000002</v>
          </cell>
        </row>
        <row r="820">
          <cell r="D820" t="str">
            <v>V¶I ®Þa kÜ thuËt</v>
          </cell>
          <cell r="E820" t="str">
            <v>m2</v>
          </cell>
          <cell r="F820">
            <v>1.1000000000000001</v>
          </cell>
          <cell r="G820">
            <v>14200</v>
          </cell>
          <cell r="H820">
            <v>15620.000000000002</v>
          </cell>
          <cell r="I820" t="str">
            <v>Đơn giá Thanh Hóa 2017</v>
          </cell>
        </row>
        <row r="821">
          <cell r="D821" t="str">
            <v>B. Nh©n c«ng</v>
          </cell>
          <cell r="H821">
            <v>2053.5020307692312</v>
          </cell>
        </row>
        <row r="822">
          <cell r="D822" t="str">
            <v>Nh©n c«ng 3.5/7 - nhãm 1</v>
          </cell>
          <cell r="E822" t="str">
            <v>c«ng</v>
          </cell>
          <cell r="F822">
            <v>1.0800000000000001E-2</v>
          </cell>
          <cell r="G822">
            <v>190139.07692307694</v>
          </cell>
          <cell r="H822">
            <v>2053.5020307692312</v>
          </cell>
        </row>
        <row r="824">
          <cell r="D824" t="str">
            <v>Đào phá đá bằng máy đào1.25m3 có gắn hàm kẹp</v>
          </cell>
          <cell r="E824" t="str">
            <v xml:space="preserve"> m3 </v>
          </cell>
          <cell r="F824">
            <v>1</v>
          </cell>
          <cell r="J824">
            <v>15172.371692307692</v>
          </cell>
          <cell r="K824">
            <v>95951.317264965022</v>
          </cell>
        </row>
        <row r="825">
          <cell r="D825" t="str">
            <v>B. Nhân công nhóm 1</v>
          </cell>
          <cell r="H825">
            <v>15172.371692307692</v>
          </cell>
        </row>
        <row r="826">
          <cell r="D826" t="str">
            <v>Nhân công 3,0/7</v>
          </cell>
          <cell r="E826" t="str">
            <v xml:space="preserve"> công </v>
          </cell>
          <cell r="F826">
            <v>8.6999999999999994E-2</v>
          </cell>
          <cell r="G826">
            <v>174395.07692307694</v>
          </cell>
          <cell r="H826">
            <v>15172.371692307692</v>
          </cell>
        </row>
        <row r="827">
          <cell r="D827" t="str">
            <v xml:space="preserve">C. Máy thi công </v>
          </cell>
          <cell r="H827">
            <v>95951.317264965022</v>
          </cell>
        </row>
        <row r="828">
          <cell r="D828" t="str">
            <v>Máy đào 1,25m3 gắn búa thủy lực</v>
          </cell>
          <cell r="E828" t="str">
            <v xml:space="preserve"> ca </v>
          </cell>
          <cell r="F828">
            <v>3.2000000000000001E-2</v>
          </cell>
          <cell r="G828">
            <v>2967016.5227272725</v>
          </cell>
          <cell r="H828">
            <v>94944.528727272715</v>
          </cell>
        </row>
        <row r="829">
          <cell r="D829" t="str">
            <v>Máy ủi 110CV</v>
          </cell>
          <cell r="E829" t="str">
            <v xml:space="preserve"> ca </v>
          </cell>
          <cell r="F829">
            <v>5.9999999999999995E-4</v>
          </cell>
          <cell r="G829">
            <v>1677980.8961538463</v>
          </cell>
          <cell r="H829">
            <v>1006.7885376923077</v>
          </cell>
        </row>
        <row r="831">
          <cell r="D831" t="str">
            <v>VËn chuyÓn ®¸ TB 2km</v>
          </cell>
          <cell r="E831" t="str">
            <v>m3</v>
          </cell>
          <cell r="K831">
            <v>32552.371079632867</v>
          </cell>
        </row>
        <row r="832">
          <cell r="D832" t="str">
            <v xml:space="preserve">C. M¸y thi c«ng </v>
          </cell>
          <cell r="H832">
            <v>32552.371079632867</v>
          </cell>
        </row>
        <row r="833">
          <cell r="D833" t="str">
            <v>¤ t« tù ®æ 10T vËn chuyÓn km ®Çu tiªn</v>
          </cell>
          <cell r="E833" t="str">
            <v>ca</v>
          </cell>
          <cell r="F833">
            <v>1.38E-2</v>
          </cell>
          <cell r="G833">
            <v>1602775.5332167831</v>
          </cell>
          <cell r="H833">
            <v>22118.302358391607</v>
          </cell>
        </row>
        <row r="834">
          <cell r="D834" t="str">
            <v>¤ t« tù ®æ 10T vËn chuyÓn 1 km tiÕp theo</v>
          </cell>
          <cell r="E834" t="str">
            <v>ca</v>
          </cell>
          <cell r="F834">
            <v>6.5100000000000002E-3</v>
          </cell>
          <cell r="G834">
            <v>1602775.5332167831</v>
          </cell>
          <cell r="H834">
            <v>10434.068721241258</v>
          </cell>
        </row>
        <row r="836">
          <cell r="D836" t="str">
            <v>BT r·nh ®æ t¹i chç fc=12MPa (M150), ®¸ 1x2</v>
          </cell>
          <cell r="E836" t="str">
            <v>m3</v>
          </cell>
          <cell r="I836">
            <v>520145.69906375156</v>
          </cell>
          <cell r="J836">
            <v>420207.36000000004</v>
          </cell>
          <cell r="K836">
            <v>23670.169193692309</v>
          </cell>
        </row>
        <row r="837">
          <cell r="D837" t="str">
            <v>BT r·nh ®æ t¹i chç fc=12MPa (M150), ®¸ 1x2</v>
          </cell>
          <cell r="H837">
            <v>520145.69906375156</v>
          </cell>
        </row>
        <row r="838">
          <cell r="D838" t="str">
            <v>V÷a BT fc=12MPa (M150)</v>
          </cell>
          <cell r="E838" t="str">
            <v>m3</v>
          </cell>
          <cell r="F838">
            <v>1.0249999999999999</v>
          </cell>
          <cell r="G838">
            <v>502434.86989978421</v>
          </cell>
          <cell r="H838">
            <v>514995.74164727877</v>
          </cell>
        </row>
        <row r="839">
          <cell r="D839" t="str">
            <v>VËt liÖu kh¸c</v>
          </cell>
          <cell r="E839" t="str">
            <v>%</v>
          </cell>
          <cell r="F839">
            <v>1</v>
          </cell>
          <cell r="H839">
            <v>5149.9574164727883</v>
          </cell>
        </row>
        <row r="840">
          <cell r="D840" t="str">
            <v>B. Nh©n c«ng</v>
          </cell>
          <cell r="H840">
            <v>420207.36000000004</v>
          </cell>
        </row>
        <row r="841">
          <cell r="D841" t="str">
            <v>Nh©n c«ng 3.5/7</v>
          </cell>
          <cell r="E841" t="str">
            <v>c«ng</v>
          </cell>
          <cell r="F841">
            <v>2.21</v>
          </cell>
          <cell r="G841">
            <v>190139.07692307694</v>
          </cell>
          <cell r="H841">
            <v>420207.36000000004</v>
          </cell>
        </row>
        <row r="842">
          <cell r="D842" t="str">
            <v xml:space="preserve">C. M¸y thi c«ng </v>
          </cell>
          <cell r="H842">
            <v>23670.169193692309</v>
          </cell>
        </row>
        <row r="843">
          <cell r="D843" t="str">
            <v>M¸y trén 250l</v>
          </cell>
          <cell r="E843" t="str">
            <v>ca</v>
          </cell>
          <cell r="F843">
            <v>9.5000000000000001E-2</v>
          </cell>
          <cell r="G843">
            <v>249159.67572307694</v>
          </cell>
          <cell r="H843">
            <v>23670.169193692309</v>
          </cell>
        </row>
        <row r="846">
          <cell r="D846" t="str">
            <v xml:space="preserve">§¥N GI¸ §¶M B¶O AN ToµN GIAO TH¤NG </v>
          </cell>
        </row>
        <row r="847">
          <cell r="B847" t="str">
            <v>CT65</v>
          </cell>
          <cell r="D847" t="str">
            <v>BiÓn b¸o sè 441a,b,c KT1.4*2m 2 cét L=1.8m</v>
          </cell>
          <cell r="E847" t="str">
            <v>bé</v>
          </cell>
          <cell r="F847">
            <v>1</v>
          </cell>
          <cell r="I847">
            <v>4789046.9454545453</v>
          </cell>
          <cell r="J847">
            <v>102675.06000000001</v>
          </cell>
          <cell r="K847">
            <v>22789.522318181822</v>
          </cell>
        </row>
        <row r="848">
          <cell r="C848" t="str">
            <v>VD</v>
          </cell>
          <cell r="D848" t="str">
            <v>A.VËt liÖu (KH 10%)</v>
          </cell>
          <cell r="H848">
            <v>4789046.9454545453</v>
          </cell>
        </row>
        <row r="849">
          <cell r="C849" t="str">
            <v>VL40</v>
          </cell>
          <cell r="D849" t="str">
            <v>BiÓn b¸o PQ KT 1.4*2m</v>
          </cell>
          <cell r="E849" t="str">
            <v>m2</v>
          </cell>
          <cell r="F849">
            <v>2.8</v>
          </cell>
          <cell r="G849">
            <v>1401529.0909090908</v>
          </cell>
          <cell r="H849">
            <v>3924281.4545454541</v>
          </cell>
        </row>
        <row r="850">
          <cell r="C850" t="str">
            <v>VL24</v>
          </cell>
          <cell r="D850" t="str">
            <v xml:space="preserve">Cét ®ì biÓn b¸o </v>
          </cell>
          <cell r="E850" t="str">
            <v>m</v>
          </cell>
          <cell r="F850">
            <v>3.6</v>
          </cell>
          <cell r="G850">
            <v>176865.45454545453</v>
          </cell>
          <cell r="H850">
            <v>636715.63636363635</v>
          </cell>
        </row>
        <row r="851">
          <cell r="D851" t="str">
            <v>VLK</v>
          </cell>
          <cell r="E851" t="str">
            <v>%</v>
          </cell>
          <cell r="F851">
            <v>5</v>
          </cell>
          <cell r="G851">
            <v>4560997.0909090908</v>
          </cell>
          <cell r="H851">
            <v>228049.85454545455</v>
          </cell>
        </row>
        <row r="852">
          <cell r="D852" t="str">
            <v>B. Nhân công:</v>
          </cell>
          <cell r="H852">
            <v>102675.06000000001</v>
          </cell>
        </row>
        <row r="853">
          <cell r="D853" t="str">
            <v>Nhân công 3.5/7 - nhóm 1</v>
          </cell>
          <cell r="E853" t="str">
            <v>công</v>
          </cell>
          <cell r="F853">
            <v>0.54</v>
          </cell>
          <cell r="G853">
            <v>190139</v>
          </cell>
          <cell r="H853">
            <v>102675.06000000001</v>
          </cell>
        </row>
        <row r="854">
          <cell r="D854" t="str">
            <v>C. Máy thi công:</v>
          </cell>
          <cell r="H854">
            <v>22789.522318181822</v>
          </cell>
        </row>
        <row r="855">
          <cell r="D855" t="str">
            <v>Ô tô 2.5T</v>
          </cell>
          <cell r="E855" t="str">
            <v>ca</v>
          </cell>
          <cell r="F855">
            <v>3.5000000000000003E-2</v>
          </cell>
          <cell r="G855">
            <v>651129.20909090911</v>
          </cell>
          <cell r="H855">
            <v>22789.522318181822</v>
          </cell>
        </row>
        <row r="857">
          <cell r="B857" t="str">
            <v>CT66</v>
          </cell>
          <cell r="D857" t="str">
            <v>BiÓn b¸o sè 440 KT60x140cm, 2 cột L=1,8m</v>
          </cell>
          <cell r="E857" t="str">
            <v>bé</v>
          </cell>
          <cell r="F857">
            <v>1</v>
          </cell>
          <cell r="I857">
            <v>1904700.0763636364</v>
          </cell>
          <cell r="J857">
            <v>102675.06000000001</v>
          </cell>
          <cell r="K857">
            <v>22789.522318181822</v>
          </cell>
        </row>
        <row r="858">
          <cell r="C858" t="str">
            <v>VD</v>
          </cell>
          <cell r="D858" t="str">
            <v>A.VËt liÖu (KH 10%)</v>
          </cell>
          <cell r="H858">
            <v>1904700.0763636364</v>
          </cell>
        </row>
        <row r="859">
          <cell r="C859" t="str">
            <v>VL40</v>
          </cell>
          <cell r="D859" t="str">
            <v>BiÓn b¸o PQ KT 1.4*0.6m</v>
          </cell>
          <cell r="E859" t="str">
            <v>m2</v>
          </cell>
          <cell r="F859">
            <v>0.84</v>
          </cell>
          <cell r="G859">
            <v>1401529.0909090908</v>
          </cell>
          <cell r="H859">
            <v>1177284.4363636363</v>
          </cell>
        </row>
        <row r="860">
          <cell r="C860" t="str">
            <v>VL24</v>
          </cell>
          <cell r="D860" t="str">
            <v xml:space="preserve">Cét ®ì biÓn b¸o </v>
          </cell>
          <cell r="E860" t="str">
            <v>m</v>
          </cell>
          <cell r="F860">
            <v>3.6</v>
          </cell>
          <cell r="G860">
            <v>176865.45454545453</v>
          </cell>
          <cell r="H860">
            <v>636715.63636363635</v>
          </cell>
        </row>
        <row r="861">
          <cell r="D861" t="str">
            <v>VLK</v>
          </cell>
          <cell r="E861" t="str">
            <v>%</v>
          </cell>
          <cell r="F861">
            <v>5</v>
          </cell>
          <cell r="G861">
            <v>1814000.0727272728</v>
          </cell>
          <cell r="H861">
            <v>90700.003636363632</v>
          </cell>
        </row>
        <row r="862">
          <cell r="D862" t="str">
            <v>B. Nhân công:</v>
          </cell>
          <cell r="H862">
            <v>102675.06000000001</v>
          </cell>
        </row>
        <row r="863">
          <cell r="D863" t="str">
            <v>Nhân công 3.5/7 - nhóm 1</v>
          </cell>
          <cell r="E863" t="str">
            <v>công</v>
          </cell>
          <cell r="F863">
            <v>0.54</v>
          </cell>
          <cell r="G863">
            <v>190139</v>
          </cell>
          <cell r="H863">
            <v>102675.06000000001</v>
          </cell>
        </row>
        <row r="864">
          <cell r="D864" t="str">
            <v>C. Máy thi công:</v>
          </cell>
          <cell r="H864">
            <v>22789.522318181822</v>
          </cell>
        </row>
        <row r="865">
          <cell r="D865" t="str">
            <v>Ô tô 2.5T</v>
          </cell>
          <cell r="E865" t="str">
            <v>ca</v>
          </cell>
          <cell r="F865">
            <v>3.5000000000000003E-2</v>
          </cell>
          <cell r="G865">
            <v>651129.20909090911</v>
          </cell>
          <cell r="H865">
            <v>22789.522318181822</v>
          </cell>
        </row>
        <row r="867">
          <cell r="B867" t="str">
            <v>CT67</v>
          </cell>
          <cell r="D867" t="str">
            <v>BiÓn b¸o sè 507 KT(125x31.25)  1 cét L=1.8m</v>
          </cell>
          <cell r="E867" t="str">
            <v>c¸i</v>
          </cell>
          <cell r="F867">
            <v>1</v>
          </cell>
          <cell r="I867">
            <v>909121.62528409099</v>
          </cell>
          <cell r="J867">
            <v>102675.06000000001</v>
          </cell>
          <cell r="K867">
            <v>22789.522318181822</v>
          </cell>
        </row>
        <row r="868">
          <cell r="C868" t="str">
            <v>VD</v>
          </cell>
          <cell r="D868" t="str">
            <v>A.VËt liÖu (KH 10%)</v>
          </cell>
          <cell r="H868">
            <v>909121.62528409099</v>
          </cell>
        </row>
        <row r="869">
          <cell r="C869" t="str">
            <v>VL40</v>
          </cell>
          <cell r="D869" t="str">
            <v>BiÓn b¸o PQ KT 1.25*0.3125m</v>
          </cell>
          <cell r="E869" t="str">
            <v>m2</v>
          </cell>
          <cell r="F869">
            <v>0.390625</v>
          </cell>
          <cell r="G869">
            <v>1401529.0909090908</v>
          </cell>
          <cell r="H869">
            <v>547472.30113636365</v>
          </cell>
        </row>
        <row r="870">
          <cell r="C870" t="str">
            <v>VL24</v>
          </cell>
          <cell r="D870" t="str">
            <v xml:space="preserve">Trô ®ì biÓn b¸o </v>
          </cell>
          <cell r="E870" t="str">
            <v>m</v>
          </cell>
          <cell r="F870">
            <v>1.8</v>
          </cell>
          <cell r="G870">
            <v>176865.45454545453</v>
          </cell>
          <cell r="H870">
            <v>318357.81818181818</v>
          </cell>
        </row>
        <row r="871">
          <cell r="D871" t="str">
            <v>VLK</v>
          </cell>
          <cell r="E871" t="str">
            <v>%</v>
          </cell>
          <cell r="F871">
            <v>5</v>
          </cell>
          <cell r="G871">
            <v>865830.11931818188</v>
          </cell>
          <cell r="H871">
            <v>43291.505965909091</v>
          </cell>
        </row>
        <row r="872">
          <cell r="D872" t="str">
            <v>B. Nhân công:</v>
          </cell>
          <cell r="H872">
            <v>102675.06000000001</v>
          </cell>
        </row>
        <row r="873">
          <cell r="D873" t="str">
            <v>Nhân công 3.5/7 - nhóm 1</v>
          </cell>
          <cell r="E873" t="str">
            <v>công</v>
          </cell>
          <cell r="F873">
            <v>0.54</v>
          </cell>
          <cell r="G873">
            <v>190139</v>
          </cell>
          <cell r="H873">
            <v>102675.06000000001</v>
          </cell>
        </row>
        <row r="874">
          <cell r="D874" t="str">
            <v>C. Máy thi công:</v>
          </cell>
          <cell r="H874">
            <v>22789.522318181822</v>
          </cell>
        </row>
        <row r="875">
          <cell r="D875" t="str">
            <v>Ô tô 2.5T</v>
          </cell>
          <cell r="E875" t="str">
            <v>ca</v>
          </cell>
          <cell r="F875">
            <v>3.5000000000000003E-2</v>
          </cell>
          <cell r="G875">
            <v>651129.20909090911</v>
          </cell>
          <cell r="H875">
            <v>22789.522318181822</v>
          </cell>
        </row>
        <row r="877">
          <cell r="B877" t="str">
            <v>CT68</v>
          </cell>
          <cell r="D877" t="str">
            <v>BiÓn b¸o tam giacs KT(70x70x70)  1 cét L=1.8m</v>
          </cell>
          <cell r="E877" t="str">
            <v>c¸i</v>
          </cell>
          <cell r="F877">
            <v>1</v>
          </cell>
          <cell r="I877">
            <v>648859.52727272734</v>
          </cell>
          <cell r="J877">
            <v>117886.18</v>
          </cell>
          <cell r="K877">
            <v>22789.522318181822</v>
          </cell>
        </row>
        <row r="878">
          <cell r="C878" t="str">
            <v>VD</v>
          </cell>
          <cell r="D878" t="str">
            <v>A.VËt liÖu (KH 10%)</v>
          </cell>
          <cell r="H878">
            <v>648859.52727272734</v>
          </cell>
        </row>
        <row r="879">
          <cell r="C879" t="str">
            <v>VL38</v>
          </cell>
          <cell r="D879" t="str">
            <v>BiÓn b¸o PQ tam gi¸c c¹nh 70cm</v>
          </cell>
          <cell r="E879" t="str">
            <v>biÓn</v>
          </cell>
          <cell r="F879">
            <v>1</v>
          </cell>
          <cell r="G879">
            <v>299603.63636363635</v>
          </cell>
          <cell r="H879">
            <v>299603.63636363635</v>
          </cell>
        </row>
        <row r="880">
          <cell r="C880" t="str">
            <v>VL24</v>
          </cell>
          <cell r="D880" t="str">
            <v xml:space="preserve">Trô ®ì biÓn b¸o </v>
          </cell>
          <cell r="E880" t="str">
            <v>m</v>
          </cell>
          <cell r="F880">
            <v>1.8</v>
          </cell>
          <cell r="G880">
            <v>176865.45454545453</v>
          </cell>
          <cell r="H880">
            <v>318357.81818181818</v>
          </cell>
        </row>
        <row r="881">
          <cell r="D881" t="str">
            <v>VLK</v>
          </cell>
          <cell r="E881" t="str">
            <v>%</v>
          </cell>
          <cell r="F881">
            <v>5</v>
          </cell>
          <cell r="G881">
            <v>617961.45454545459</v>
          </cell>
          <cell r="H881">
            <v>30898.072727272731</v>
          </cell>
        </row>
        <row r="882">
          <cell r="D882" t="str">
            <v>B. Nhân công:</v>
          </cell>
          <cell r="H882">
            <v>117886.18</v>
          </cell>
        </row>
        <row r="883">
          <cell r="D883" t="str">
            <v>Nhân công 3.5/7 - nhóm 1</v>
          </cell>
          <cell r="E883" t="str">
            <v>công</v>
          </cell>
          <cell r="F883">
            <v>0.62</v>
          </cell>
          <cell r="G883">
            <v>190139</v>
          </cell>
          <cell r="H883">
            <v>117886.18</v>
          </cell>
        </row>
        <row r="884">
          <cell r="D884" t="str">
            <v>C. Máy thi công:</v>
          </cell>
          <cell r="H884">
            <v>22789.522318181822</v>
          </cell>
        </row>
        <row r="885">
          <cell r="D885" t="str">
            <v>Ô tô 2.5T</v>
          </cell>
          <cell r="E885" t="str">
            <v>ca</v>
          </cell>
          <cell r="F885">
            <v>3.5000000000000003E-2</v>
          </cell>
          <cell r="G885">
            <v>651129.20909090911</v>
          </cell>
          <cell r="H885">
            <v>22789.522318181822</v>
          </cell>
        </row>
        <row r="887">
          <cell r="B887" t="str">
            <v>CT69</v>
          </cell>
          <cell r="D887" t="str">
            <v>ChuyÓn vÞ trÝ biÓn b¸o trong qu¸ tr×nh thi c«ng (th¸o biÓn, vËn chuyÓn ®Õn vÞ trÝ míi, l¾p dùng)</v>
          </cell>
          <cell r="E887" t="str">
            <v xml:space="preserve">lÇn </v>
          </cell>
          <cell r="F887">
            <v>1</v>
          </cell>
          <cell r="H887">
            <v>86938.5</v>
          </cell>
          <cell r="J887">
            <v>86938.5</v>
          </cell>
        </row>
        <row r="888">
          <cell r="C888" t="str">
            <v>VD</v>
          </cell>
          <cell r="D888" t="str">
            <v>B- Nh©n c«ng nhãm 1</v>
          </cell>
          <cell r="H888">
            <v>86938.5</v>
          </cell>
        </row>
        <row r="889">
          <cell r="D889" t="str">
            <v>Nh©n c«ng 3.0/7</v>
          </cell>
          <cell r="E889" t="str">
            <v>c«ng</v>
          </cell>
          <cell r="F889">
            <v>0.5</v>
          </cell>
          <cell r="G889">
            <v>173877</v>
          </cell>
          <cell r="H889">
            <v>86938.5</v>
          </cell>
        </row>
        <row r="891">
          <cell r="B891" t="str">
            <v>CT70</v>
          </cell>
          <cell r="D891" t="str">
            <v>Gắn đinh phản quang</v>
          </cell>
          <cell r="E891" t="str">
            <v>cái</v>
          </cell>
          <cell r="I891">
            <v>210585</v>
          </cell>
          <cell r="J891">
            <v>13119.591</v>
          </cell>
          <cell r="K891">
            <v>9437.5616909090913</v>
          </cell>
        </row>
        <row r="892">
          <cell r="D892" t="str">
            <v>A.VËt liÖu</v>
          </cell>
          <cell r="H892">
            <v>210585</v>
          </cell>
        </row>
        <row r="893">
          <cell r="D893" t="str">
            <v>Đinh phản quang</v>
          </cell>
          <cell r="E893" t="str">
            <v>cái</v>
          </cell>
          <cell r="F893">
            <v>1</v>
          </cell>
          <cell r="G893">
            <v>200000</v>
          </cell>
          <cell r="H893">
            <v>200000</v>
          </cell>
        </row>
        <row r="894">
          <cell r="D894" t="str">
            <v>Keo Bituminuos</v>
          </cell>
          <cell r="E894" t="str">
            <v>kg</v>
          </cell>
          <cell r="F894">
            <v>0.1</v>
          </cell>
          <cell r="G894">
            <v>85000</v>
          </cell>
          <cell r="H894">
            <v>8500</v>
          </cell>
        </row>
        <row r="895">
          <cell r="D895" t="str">
            <v>VËt liÖu kh¸c</v>
          </cell>
          <cell r="E895" t="str">
            <v>%</v>
          </cell>
          <cell r="F895">
            <v>1</v>
          </cell>
          <cell r="H895">
            <v>2085</v>
          </cell>
        </row>
        <row r="896">
          <cell r="D896" t="str">
            <v>B. Nh©n c«ng (nhãm 4)</v>
          </cell>
          <cell r="H896">
            <v>13119.591</v>
          </cell>
        </row>
        <row r="897">
          <cell r="D897" t="str">
            <v>Nh©n c«ng 3.5/7</v>
          </cell>
          <cell r="E897" t="str">
            <v>c«ng</v>
          </cell>
          <cell r="F897">
            <v>6.9000000000000006E-2</v>
          </cell>
          <cell r="G897">
            <v>190139</v>
          </cell>
          <cell r="H897">
            <v>13119.591</v>
          </cell>
        </row>
        <row r="898">
          <cell r="D898" t="str">
            <v>c, Máy thi công:</v>
          </cell>
          <cell r="H898">
            <v>9437.5616909090913</v>
          </cell>
        </row>
        <row r="899">
          <cell r="D899" t="str">
            <v>Lò nung keo</v>
          </cell>
          <cell r="E899" t="str">
            <v>Ca</v>
          </cell>
          <cell r="F899">
            <v>4.0000000000000001E-3</v>
          </cell>
          <cell r="G899">
            <v>731567.4</v>
          </cell>
          <cell r="H899">
            <v>2926.2696000000001</v>
          </cell>
        </row>
        <row r="900">
          <cell r="D900" t="str">
            <v>Ô tô vận tải thùng  2,5 T</v>
          </cell>
          <cell r="E900" t="str">
            <v>Ca</v>
          </cell>
          <cell r="F900">
            <v>0.01</v>
          </cell>
          <cell r="G900">
            <v>651129.20909090911</v>
          </cell>
          <cell r="H900">
            <v>6511.2920909090908</v>
          </cell>
        </row>
        <row r="902">
          <cell r="B902" t="str">
            <v>CT71</v>
          </cell>
          <cell r="D902" t="str">
            <v>Xây đá hộc VXM #100</v>
          </cell>
          <cell r="E902" t="str">
            <v>m3</v>
          </cell>
          <cell r="I902">
            <v>417811.11363449518</v>
          </cell>
          <cell r="J902">
            <v>376475.22</v>
          </cell>
        </row>
        <row r="903">
          <cell r="D903" t="str">
            <v>A.VËt liÖu</v>
          </cell>
          <cell r="H903">
            <v>417811.11363449518</v>
          </cell>
        </row>
        <row r="904">
          <cell r="C904" t="str">
            <v>VL42</v>
          </cell>
          <cell r="D904" t="str">
            <v>Đá hộc</v>
          </cell>
          <cell r="E904" t="str">
            <v>m3</v>
          </cell>
          <cell r="F904">
            <v>1.2</v>
          </cell>
          <cell r="G904">
            <v>125784.01961162337</v>
          </cell>
          <cell r="H904">
            <v>150940.82353394805</v>
          </cell>
        </row>
        <row r="905">
          <cell r="C905" t="str">
            <v>VL04</v>
          </cell>
          <cell r="D905" t="str">
            <v xml:space="preserve">Đá dăm </v>
          </cell>
          <cell r="E905" t="str">
            <v>m3</v>
          </cell>
          <cell r="F905">
            <v>5.7000000000000002E-2</v>
          </cell>
          <cell r="G905">
            <v>148852.01961162337</v>
          </cell>
          <cell r="H905">
            <v>8484.5651178625321</v>
          </cell>
        </row>
        <row r="906">
          <cell r="D906" t="str">
            <v>V÷a M100</v>
          </cell>
          <cell r="E906" t="str">
            <v>m3</v>
          </cell>
          <cell r="F906">
            <v>0.42</v>
          </cell>
          <cell r="G906">
            <v>615204.10710162995</v>
          </cell>
          <cell r="H906">
            <v>258385.72498268457</v>
          </cell>
        </row>
        <row r="907">
          <cell r="D907" t="str">
            <v>B. Nh©n c«ng</v>
          </cell>
          <cell r="H907">
            <v>376475.22</v>
          </cell>
        </row>
        <row r="908">
          <cell r="D908" t="str">
            <v>Nh©n c«ng 3,5/7 - nhãm 2</v>
          </cell>
          <cell r="E908" t="str">
            <v>c«ng</v>
          </cell>
          <cell r="F908">
            <v>1.98</v>
          </cell>
          <cell r="G908">
            <v>190139</v>
          </cell>
          <cell r="H908">
            <v>376475.22</v>
          </cell>
        </row>
        <row r="909">
          <cell r="D909" t="str">
            <v>c, Máy thi công:</v>
          </cell>
          <cell r="H909">
            <v>11757.437170352941</v>
          </cell>
        </row>
        <row r="910">
          <cell r="D910" t="str">
            <v>Máy trộn vữa 150l</v>
          </cell>
          <cell r="E910" t="str">
            <v>Ca</v>
          </cell>
          <cell r="F910">
            <v>5.2999999999999999E-2</v>
          </cell>
          <cell r="G910">
            <v>221838.43717647059</v>
          </cell>
          <cell r="H910">
            <v>11757.437170352941</v>
          </cell>
        </row>
        <row r="913">
          <cell r="D913" t="str">
            <v>BT gia cè lÒ fc=20Mpa (M250), ®¸ 1x2</v>
          </cell>
          <cell r="E913" t="str">
            <v>m3</v>
          </cell>
          <cell r="I913">
            <v>601268.5246971813</v>
          </cell>
          <cell r="J913">
            <v>287404.44923076918</v>
          </cell>
          <cell r="K913">
            <v>44196.434979314683</v>
          </cell>
        </row>
        <row r="914">
          <cell r="D914" t="str">
            <v>A.VËt liÖu</v>
          </cell>
          <cell r="H914">
            <v>601268.5246971813</v>
          </cell>
        </row>
        <row r="915">
          <cell r="D915" t="str">
            <v>V÷a BT fc=20Mpa (M250)</v>
          </cell>
          <cell r="E915" t="str">
            <v>m3</v>
          </cell>
          <cell r="F915">
            <v>1.0249999999999999</v>
          </cell>
          <cell r="G915">
            <v>580795.48389005684</v>
          </cell>
          <cell r="H915">
            <v>595315.37098730821</v>
          </cell>
        </row>
        <row r="916">
          <cell r="D916" t="str">
            <v>VËt liÖu kh¸c</v>
          </cell>
          <cell r="E916" t="str">
            <v>%</v>
          </cell>
          <cell r="F916">
            <v>1</v>
          </cell>
          <cell r="H916">
            <v>5953.1537098730823</v>
          </cell>
        </row>
        <row r="917">
          <cell r="D917" t="str">
            <v>B. Nh©n c«ng</v>
          </cell>
          <cell r="H917">
            <v>287404.44923076918</v>
          </cell>
        </row>
        <row r="918">
          <cell r="D918" t="str">
            <v>Nh©n c«ng 3.0/7</v>
          </cell>
          <cell r="E918" t="str">
            <v>c«ng</v>
          </cell>
          <cell r="F918">
            <v>1.64</v>
          </cell>
          <cell r="G918">
            <v>175246.61538461538</v>
          </cell>
          <cell r="H918">
            <v>287404.44923076918</v>
          </cell>
        </row>
        <row r="919">
          <cell r="D919" t="str">
            <v xml:space="preserve">C. M¸y thi c«ng </v>
          </cell>
          <cell r="H919">
            <v>44196.434979314683</v>
          </cell>
        </row>
        <row r="920">
          <cell r="D920" t="str">
            <v>M¸y trén 250l</v>
          </cell>
          <cell r="E920" t="str">
            <v>ca</v>
          </cell>
          <cell r="F920">
            <v>9.5000000000000001E-2</v>
          </cell>
          <cell r="G920">
            <v>270955.48406643356</v>
          </cell>
          <cell r="H920">
            <v>25740.770986311189</v>
          </cell>
        </row>
        <row r="921">
          <cell r="D921" t="str">
            <v>Máy đầm dùi 1,5KW</v>
          </cell>
          <cell r="E921" t="str">
            <v>ca</v>
          </cell>
          <cell r="F921">
            <v>8.8999999999999996E-2</v>
          </cell>
          <cell r="G921">
            <v>207367.01115734264</v>
          </cell>
          <cell r="H921">
            <v>18455.663993003494</v>
          </cell>
        </row>
        <row r="923">
          <cell r="D923" t="str">
            <v>Mãng ®­êng ®¸ d¨m tiªu chuÈn líp d­íi dµy TB 29cm</v>
          </cell>
          <cell r="E923" t="str">
            <v>m2</v>
          </cell>
          <cell r="I923" t="e">
            <v>#REF!</v>
          </cell>
          <cell r="J923">
            <v>26376.022997153843</v>
          </cell>
          <cell r="K923">
            <v>33408.595789848994</v>
          </cell>
        </row>
        <row r="924">
          <cell r="D924" t="str">
            <v>A.VËt liÖu</v>
          </cell>
          <cell r="H924" t="e">
            <v>#REF!</v>
          </cell>
        </row>
        <row r="925">
          <cell r="C925" t="str">
            <v>VL04</v>
          </cell>
          <cell r="D925" t="str">
            <v>§¸ 4x6</v>
          </cell>
          <cell r="E925" t="str">
            <v>m3</v>
          </cell>
          <cell r="F925">
            <v>0.38260666666666665</v>
          </cell>
          <cell r="G925" t="e">
            <v>#REF!</v>
          </cell>
          <cell r="H925" t="e">
            <v>#REF!</v>
          </cell>
        </row>
        <row r="926">
          <cell r="D926" t="str">
            <v>B. Nh©n c«ng 2.7/7</v>
          </cell>
          <cell r="E926" t="str">
            <v>c«ng</v>
          </cell>
          <cell r="F926">
            <v>0.13958666666666666</v>
          </cell>
          <cell r="G926">
            <v>188958.04038461536</v>
          </cell>
          <cell r="H926">
            <v>26376.022997153843</v>
          </cell>
        </row>
        <row r="927">
          <cell r="D927" t="str">
            <v>C. M¸y thi c«ng</v>
          </cell>
          <cell r="H927">
            <v>33408.595789848994</v>
          </cell>
        </row>
        <row r="928">
          <cell r="D928" t="str">
            <v>M¸y lu 8.5T</v>
          </cell>
          <cell r="E928" t="str">
            <v>ca</v>
          </cell>
          <cell r="F928">
            <v>3.5960000000000006E-2</v>
          </cell>
          <cell r="G928">
            <v>883484.28336880507</v>
          </cell>
          <cell r="H928">
            <v>31770.094829942234</v>
          </cell>
        </row>
        <row r="929">
          <cell r="D929" t="str">
            <v>¤ t« t­íi n­íc 5m3</v>
          </cell>
          <cell r="E929" t="str">
            <v>ca</v>
          </cell>
          <cell r="F929">
            <v>1.5466666666666667E-3</v>
          </cell>
          <cell r="G929">
            <v>1059375.6206293707</v>
          </cell>
          <cell r="H929">
            <v>1638.50095990676</v>
          </cell>
        </row>
        <row r="931">
          <cell r="C931">
            <v>2.7</v>
          </cell>
          <cell r="D931" t="str">
            <v>Bù vênh  đá dăm TC dày 2.7cm</v>
          </cell>
          <cell r="E931" t="str">
            <v>m2</v>
          </cell>
          <cell r="I931" t="e">
            <v>#REF!</v>
          </cell>
          <cell r="J931">
            <v>3127.444526405769</v>
          </cell>
          <cell r="K931">
            <v>3016.9460436026911</v>
          </cell>
        </row>
        <row r="932">
          <cell r="D932" t="str">
            <v>A.VËt liÖu</v>
          </cell>
          <cell r="H932" t="e">
            <v>#REF!</v>
          </cell>
        </row>
        <row r="933">
          <cell r="C933" t="str">
            <v>VL04</v>
          </cell>
          <cell r="D933" t="str">
            <v>§¸ 4x6</v>
          </cell>
          <cell r="E933" t="str">
            <v>m3</v>
          </cell>
          <cell r="F933">
            <v>3.5612999999999999E-2</v>
          </cell>
          <cell r="G933" t="e">
            <v>#REF!</v>
          </cell>
          <cell r="H933" t="e">
            <v>#REF!</v>
          </cell>
        </row>
        <row r="934">
          <cell r="D934" t="str">
            <v>B. Nh©n c«ng 2,7/7 - nhãm 2</v>
          </cell>
          <cell r="E934" t="str">
            <v>c«ng</v>
          </cell>
          <cell r="F934">
            <v>1.6551E-2</v>
          </cell>
          <cell r="G934">
            <v>188958.04038461536</v>
          </cell>
          <cell r="H934">
            <v>3127.444526405769</v>
          </cell>
        </row>
        <row r="935">
          <cell r="D935" t="str">
            <v>C. M¸y thi c«ng</v>
          </cell>
          <cell r="H935">
            <v>3016.9460436026911</v>
          </cell>
        </row>
        <row r="936">
          <cell r="D936" t="str">
            <v>M¸y lu 8,5T</v>
          </cell>
          <cell r="E936" t="str">
            <v>ca</v>
          </cell>
          <cell r="F936">
            <v>3.2400000000000003E-3</v>
          </cell>
          <cell r="G936">
            <v>883484.28336880507</v>
          </cell>
          <cell r="H936">
            <v>2862.4890781149288</v>
          </cell>
        </row>
        <row r="937">
          <cell r="D937" t="str">
            <v>¤ t« t­íi n­íc 5m3</v>
          </cell>
          <cell r="E937" t="str">
            <v>ca</v>
          </cell>
          <cell r="F937">
            <v>1.4580000000000002E-4</v>
          </cell>
          <cell r="G937">
            <v>1059375.6206293707</v>
          </cell>
          <cell r="H937">
            <v>154.45696548776226</v>
          </cell>
        </row>
        <row r="938">
          <cell r="D938" t="str">
            <v>Máy khác</v>
          </cell>
          <cell r="E938" t="str">
            <v>%</v>
          </cell>
          <cell r="G938">
            <v>3016.9460436026911</v>
          </cell>
          <cell r="H938">
            <v>0</v>
          </cell>
        </row>
        <row r="940">
          <cell r="D940" t="str">
            <v>§¾p ®Êt K95 (§¾p lÒ)</v>
          </cell>
          <cell r="E940" t="str">
            <v>m3</v>
          </cell>
          <cell r="I940" t="e">
            <v>#N/A</v>
          </cell>
          <cell r="J940">
            <v>20958.897230769231</v>
          </cell>
          <cell r="K940">
            <v>15984.590403566435</v>
          </cell>
        </row>
        <row r="941">
          <cell r="D941" t="str">
            <v>A.VËt liÖu</v>
          </cell>
          <cell r="H941" t="e">
            <v>#N/A</v>
          </cell>
        </row>
        <row r="942">
          <cell r="C942">
            <v>0</v>
          </cell>
          <cell r="D942" t="str">
            <v>Đất đồi</v>
          </cell>
          <cell r="E942" t="str">
            <v>m3</v>
          </cell>
          <cell r="F942">
            <v>1.1299999999999999</v>
          </cell>
          <cell r="G942" t="e">
            <v>#N/A</v>
          </cell>
          <cell r="H942" t="e">
            <v>#N/A</v>
          </cell>
        </row>
        <row r="943">
          <cell r="D943" t="str">
            <v>B. Nh©n c«ng 4,0/7</v>
          </cell>
          <cell r="E943" t="str">
            <v>c«ng</v>
          </cell>
          <cell r="F943">
            <v>0.1018</v>
          </cell>
          <cell r="G943">
            <v>205883.07692307694</v>
          </cell>
          <cell r="H943">
            <v>20958.897230769231</v>
          </cell>
        </row>
        <row r="944">
          <cell r="D944" t="str">
            <v>C. M¸y thi c«ng</v>
          </cell>
          <cell r="H944">
            <v>15984.590403566435</v>
          </cell>
        </row>
        <row r="945">
          <cell r="D945" t="str">
            <v>M¸y ®Çm cãc</v>
          </cell>
          <cell r="E945" t="str">
            <v>Ca</v>
          </cell>
          <cell r="F945">
            <v>5.0900000000000001E-2</v>
          </cell>
          <cell r="G945">
            <v>314039.10419580422</v>
          </cell>
          <cell r="H945">
            <v>15984.590403566435</v>
          </cell>
        </row>
        <row r="947">
          <cell r="D947" t="str">
            <v>§¾p ®Êt K95</v>
          </cell>
          <cell r="E947" t="str">
            <v>m3</v>
          </cell>
          <cell r="I947" t="e">
            <v>#N/A</v>
          </cell>
          <cell r="J947">
            <v>3049.2911076923074</v>
          </cell>
          <cell r="K947">
            <v>8458.6216458953568</v>
          </cell>
        </row>
        <row r="948">
          <cell r="D948" t="str">
            <v>A.VËt liÖu</v>
          </cell>
          <cell r="H948" t="e">
            <v>#N/A</v>
          </cell>
        </row>
        <row r="949">
          <cell r="C949">
            <v>0</v>
          </cell>
          <cell r="D949" t="str">
            <v>§Êt ®¾p</v>
          </cell>
          <cell r="E949" t="str">
            <v>m3</v>
          </cell>
          <cell r="F949">
            <v>1.1299999999999999</v>
          </cell>
          <cell r="G949" t="e">
            <v>#N/A</v>
          </cell>
          <cell r="H949" t="e">
            <v>#N/A</v>
          </cell>
        </row>
        <row r="950">
          <cell r="D950" t="str">
            <v>B. Nh©n c«ng 3/7 - nhãm 1</v>
          </cell>
          <cell r="E950" t="str">
            <v>c«ng</v>
          </cell>
          <cell r="F950">
            <v>1.7399999999999999E-2</v>
          </cell>
          <cell r="G950">
            <v>175246.61538461538</v>
          </cell>
          <cell r="H950">
            <v>3049.2911076923074</v>
          </cell>
        </row>
        <row r="951">
          <cell r="D951" t="str">
            <v>C. M¸y thi c«ng</v>
          </cell>
          <cell r="H951">
            <v>8458.6216458953568</v>
          </cell>
        </row>
        <row r="952">
          <cell r="D952" t="str">
            <v>M¸y ®Çm 16T</v>
          </cell>
          <cell r="E952" t="str">
            <v>ca</v>
          </cell>
          <cell r="F952">
            <v>3.3500000000000001E-3</v>
          </cell>
          <cell r="G952">
            <v>1534628.1390240195</v>
          </cell>
          <cell r="H952">
            <v>5141.0042657304657</v>
          </cell>
        </row>
        <row r="953">
          <cell r="D953" t="str">
            <v>M¸y ñi 110CV</v>
          </cell>
          <cell r="E953" t="str">
            <v>ca</v>
          </cell>
          <cell r="F953">
            <v>1.67E-3</v>
          </cell>
          <cell r="G953">
            <v>1911744.382867133</v>
          </cell>
          <cell r="H953">
            <v>3192.6131193881124</v>
          </cell>
        </row>
        <row r="954">
          <cell r="D954" t="str">
            <v>M¸y kh¸c</v>
          </cell>
          <cell r="E954" t="str">
            <v>%</v>
          </cell>
          <cell r="F954">
            <v>1.5</v>
          </cell>
          <cell r="H954">
            <v>125.00426077677866</v>
          </cell>
        </row>
        <row r="956">
          <cell r="D956" t="str">
            <v>§¾p ®Êt K98</v>
          </cell>
          <cell r="E956" t="str">
            <v>m3</v>
          </cell>
          <cell r="I956" t="e">
            <v>#N/A</v>
          </cell>
          <cell r="J956">
            <v>3049.2911076923074</v>
          </cell>
          <cell r="K956">
            <v>10617.002908740689</v>
          </cell>
        </row>
        <row r="957">
          <cell r="D957" t="str">
            <v>A.VËt liÖu</v>
          </cell>
          <cell r="H957" t="e">
            <v>#N/A</v>
          </cell>
        </row>
        <row r="958">
          <cell r="C958">
            <v>0</v>
          </cell>
          <cell r="D958" t="str">
            <v>§Êt ®¾p</v>
          </cell>
          <cell r="E958" t="str">
            <v>m3</v>
          </cell>
          <cell r="F958">
            <v>1.1599999999999999</v>
          </cell>
          <cell r="G958" t="e">
            <v>#N/A</v>
          </cell>
          <cell r="H958" t="e">
            <v>#N/A</v>
          </cell>
        </row>
        <row r="959">
          <cell r="D959" t="str">
            <v>B. Nh©n c«ng 3/7 - nhãm 1</v>
          </cell>
          <cell r="E959" t="str">
            <v>c«ng</v>
          </cell>
          <cell r="F959">
            <v>1.7399999999999999E-2</v>
          </cell>
          <cell r="G959">
            <v>175246.61538461538</v>
          </cell>
          <cell r="H959">
            <v>3049.2911076923074</v>
          </cell>
        </row>
        <row r="960">
          <cell r="D960" t="str">
            <v>C. M¸y thi c«ng</v>
          </cell>
          <cell r="H960">
            <v>10617.002908740689</v>
          </cell>
        </row>
        <row r="961">
          <cell r="D961" t="str">
            <v>M¸y ®Çm 16T</v>
          </cell>
          <cell r="E961" t="str">
            <v>ca</v>
          </cell>
          <cell r="F961">
            <v>4.1999999999999997E-3</v>
          </cell>
          <cell r="G961">
            <v>1534628.1390240195</v>
          </cell>
          <cell r="H961">
            <v>6445.4381839008811</v>
          </cell>
        </row>
        <row r="962">
          <cell r="D962" t="str">
            <v>M¸y ñi 110CV</v>
          </cell>
          <cell r="E962" t="str">
            <v>ca</v>
          </cell>
          <cell r="F962">
            <v>2.0999999999999999E-3</v>
          </cell>
          <cell r="G962">
            <v>1911744.382867133</v>
          </cell>
          <cell r="H962">
            <v>4014.6632040209793</v>
          </cell>
        </row>
        <row r="963">
          <cell r="D963" t="str">
            <v>M¸y kh¸c</v>
          </cell>
          <cell r="E963" t="str">
            <v>%</v>
          </cell>
          <cell r="F963">
            <v>1.5</v>
          </cell>
          <cell r="H963">
            <v>156.90152081882792</v>
          </cell>
        </row>
        <row r="965">
          <cell r="D965" t="str">
            <v>Sơn kẻ dẻo nhiệt dày 2mm</v>
          </cell>
          <cell r="E965" t="str">
            <v>m2</v>
          </cell>
          <cell r="F965">
            <v>1</v>
          </cell>
          <cell r="I965" t="e">
            <v>#N/A</v>
          </cell>
          <cell r="J965">
            <v>40850.310576923082</v>
          </cell>
          <cell r="K965">
            <v>6686.4711052447565</v>
          </cell>
        </row>
        <row r="966">
          <cell r="D966" t="str">
            <v>A.Vật liệu</v>
          </cell>
          <cell r="H966" t="e">
            <v>#N/A</v>
          </cell>
        </row>
        <row r="967">
          <cell r="C967">
            <v>0</v>
          </cell>
          <cell r="D967" t="str">
            <v>- Đinh phản quang</v>
          </cell>
          <cell r="E967" t="str">
            <v>kg</v>
          </cell>
          <cell r="F967">
            <v>1</v>
          </cell>
          <cell r="G967" t="e">
            <v>#N/A</v>
          </cell>
          <cell r="H967" t="e">
            <v>#N/A</v>
          </cell>
        </row>
        <row r="968">
          <cell r="C968">
            <v>0</v>
          </cell>
          <cell r="D968" t="str">
            <v>- Keo</v>
          </cell>
          <cell r="E968" t="str">
            <v>kg</v>
          </cell>
          <cell r="F968">
            <v>0.1</v>
          </cell>
          <cell r="G968" t="e">
            <v>#N/A</v>
          </cell>
          <cell r="H968" t="e">
            <v>#N/A</v>
          </cell>
        </row>
        <row r="969">
          <cell r="C969">
            <v>0</v>
          </cell>
          <cell r="D969" t="str">
            <v>- Sơn lót</v>
          </cell>
          <cell r="E969" t="str">
            <v>kg</v>
          </cell>
          <cell r="H969">
            <v>0</v>
          </cell>
        </row>
        <row r="970">
          <cell r="D970" t="str">
            <v>- Vật liệu khác</v>
          </cell>
          <cell r="E970" t="str">
            <v>%</v>
          </cell>
          <cell r="F970">
            <v>1</v>
          </cell>
          <cell r="H970" t="e">
            <v>#N/A</v>
          </cell>
        </row>
        <row r="971">
          <cell r="D971" t="str">
            <v>B. Nhân công 3,5/7 - nhóm 2</v>
          </cell>
          <cell r="E971" t="str">
            <v>công</v>
          </cell>
          <cell r="F971">
            <v>0.19</v>
          </cell>
          <cell r="G971">
            <v>215001.63461538462</v>
          </cell>
          <cell r="H971">
            <v>40850.310576923082</v>
          </cell>
        </row>
        <row r="972">
          <cell r="D972" t="str">
            <v>C. Máy thi công</v>
          </cell>
          <cell r="H972">
            <v>6686.4711052447565</v>
          </cell>
        </row>
        <row r="973">
          <cell r="C973">
            <v>0</v>
          </cell>
          <cell r="D973" t="str">
            <v>- Thiết bị kẻ vạch YHK -10A</v>
          </cell>
          <cell r="E973" t="str">
            <v>Ca</v>
          </cell>
          <cell r="G973">
            <v>284673.65950226242</v>
          </cell>
          <cell r="H973">
            <v>0</v>
          </cell>
        </row>
        <row r="974">
          <cell r="C974">
            <v>0</v>
          </cell>
          <cell r="D974" t="str">
            <v>- Lò nấu sơn YHK -3A</v>
          </cell>
          <cell r="E974" t="str">
            <v>Ca</v>
          </cell>
          <cell r="G974">
            <v>776675.42420814477</v>
          </cell>
          <cell r="H974">
            <v>0</v>
          </cell>
        </row>
        <row r="975">
          <cell r="C975">
            <v>0</v>
          </cell>
          <cell r="D975" t="str">
            <v>- Ôtô 2,5T</v>
          </cell>
          <cell r="E975" t="str">
            <v>Ca</v>
          </cell>
          <cell r="F975">
            <v>0.01</v>
          </cell>
          <cell r="G975">
            <v>655536.3828671329</v>
          </cell>
          <cell r="H975">
            <v>6555.3638286713294</v>
          </cell>
        </row>
        <row r="976">
          <cell r="D976" t="str">
            <v>- Máy khác</v>
          </cell>
          <cell r="E976" t="str">
            <v>%</v>
          </cell>
          <cell r="F976">
            <v>2</v>
          </cell>
          <cell r="H976">
            <v>131.10727657342659</v>
          </cell>
        </row>
        <row r="978">
          <cell r="D978" t="str">
            <v>Khoan tạo lỗ D=7</v>
          </cell>
          <cell r="E978" t="str">
            <v>lỗ</v>
          </cell>
          <cell r="I978" t="e">
            <v>#N/A</v>
          </cell>
          <cell r="J978">
            <v>3158.3334461538461</v>
          </cell>
          <cell r="K978">
            <v>8707.662606980768</v>
          </cell>
        </row>
        <row r="979">
          <cell r="D979" t="str">
            <v>Vật liệu</v>
          </cell>
          <cell r="H979" t="e">
            <v>#N/A</v>
          </cell>
        </row>
        <row r="980">
          <cell r="D980" t="str">
            <v xml:space="preserve"> Mũi khoan D7</v>
          </cell>
          <cell r="E980" t="str">
            <v>cái</v>
          </cell>
          <cell r="F980">
            <v>0.03</v>
          </cell>
          <cell r="G980" t="e">
            <v>#N/A</v>
          </cell>
          <cell r="H980" t="e">
            <v>#N/A</v>
          </cell>
        </row>
        <row r="981">
          <cell r="D981" t="str">
            <v xml:space="preserve"> Vật liệu khác</v>
          </cell>
          <cell r="E981" t="str">
            <v>%</v>
          </cell>
          <cell r="F981">
            <v>5</v>
          </cell>
          <cell r="H981" t="e">
            <v>#N/A</v>
          </cell>
        </row>
        <row r="982">
          <cell r="D982" t="str">
            <v xml:space="preserve"> Nhân công nhóm 1</v>
          </cell>
          <cell r="H982">
            <v>3158.3334461538461</v>
          </cell>
        </row>
        <row r="983">
          <cell r="D983" t="str">
            <v xml:space="preserve"> Nhân công 3,7/7</v>
          </cell>
          <cell r="E983" t="str">
            <v>công</v>
          </cell>
          <cell r="F983">
            <v>1.6E-2</v>
          </cell>
          <cell r="G983">
            <v>197395.84038461538</v>
          </cell>
          <cell r="H983">
            <v>3158.3334461538461</v>
          </cell>
        </row>
        <row r="984">
          <cell r="D984" t="str">
            <v xml:space="preserve"> Máy thi công</v>
          </cell>
          <cell r="H984">
            <v>8707.662606980768</v>
          </cell>
        </row>
        <row r="985">
          <cell r="D985" t="str">
            <v xml:space="preserve"> Máy khoan BT cầm tay 0.62kW</v>
          </cell>
          <cell r="E985" t="str">
            <v>ca</v>
          </cell>
          <cell r="F985">
            <v>4.4999999999999998E-2</v>
          </cell>
          <cell r="G985">
            <v>193503.6134884615</v>
          </cell>
          <cell r="H985">
            <v>8707.662606980768</v>
          </cell>
        </row>
        <row r="987">
          <cell r="D987" t="str">
            <v>L¾p dùng cÊu kiÖn n¾p ranh, bã vØa</v>
          </cell>
          <cell r="E987" t="str">
            <v>ck</v>
          </cell>
          <cell r="I987">
            <v>0</v>
          </cell>
          <cell r="J987">
            <v>20883.555</v>
          </cell>
          <cell r="K987">
            <v>23681.334033566432</v>
          </cell>
        </row>
        <row r="988">
          <cell r="D988" t="str">
            <v>A.VËt liÖu</v>
          </cell>
          <cell r="H988">
            <v>0</v>
          </cell>
        </row>
        <row r="989">
          <cell r="D989" t="str">
            <v>B. Nh©n c«ng</v>
          </cell>
          <cell r="H989">
            <v>20883.555</v>
          </cell>
        </row>
        <row r="990">
          <cell r="D990" t="str">
            <v>Nh©n c«ng 4.0/7</v>
          </cell>
          <cell r="E990" t="str">
            <v>c«ng</v>
          </cell>
          <cell r="F990">
            <v>0.09</v>
          </cell>
          <cell r="G990">
            <v>232039.5</v>
          </cell>
          <cell r="H990">
            <v>20883.555</v>
          </cell>
        </row>
        <row r="991">
          <cell r="D991" t="str">
            <v xml:space="preserve">C. M¸y thi c«ng </v>
          </cell>
          <cell r="H991">
            <v>23681.334033566432</v>
          </cell>
        </row>
        <row r="992">
          <cell r="D992" t="str">
            <v>CÇn cÈu 3T</v>
          </cell>
          <cell r="E992" t="str">
            <v>ca</v>
          </cell>
          <cell r="F992">
            <v>1.7999999999999999E-2</v>
          </cell>
          <cell r="G992">
            <v>1315629.6685314686</v>
          </cell>
          <cell r="H992">
            <v>23681.334033566432</v>
          </cell>
        </row>
        <row r="994">
          <cell r="D994" t="str">
            <v>Lắp đặt vít nở</v>
          </cell>
          <cell r="E994" t="str">
            <v>c¸i</v>
          </cell>
          <cell r="I994" t="e">
            <v>#N/A</v>
          </cell>
          <cell r="J994">
            <v>11792.636826923077</v>
          </cell>
        </row>
        <row r="995">
          <cell r="D995" t="str">
            <v>A.VËt liÖu</v>
          </cell>
          <cell r="H995" t="e">
            <v>#N/A</v>
          </cell>
        </row>
        <row r="996">
          <cell r="D996" t="str">
            <v>Vít nở</v>
          </cell>
          <cell r="E996" t="str">
            <v>cái</v>
          </cell>
          <cell r="F996">
            <v>1</v>
          </cell>
          <cell r="G996" t="e">
            <v>#N/A</v>
          </cell>
          <cell r="H996" t="e">
            <v>#N/A</v>
          </cell>
        </row>
        <row r="997">
          <cell r="D997" t="str">
            <v>B. Nh©n c«ng</v>
          </cell>
          <cell r="H997">
            <v>11792.636826923077</v>
          </cell>
        </row>
        <row r="998">
          <cell r="D998" t="str">
            <v>Nh©n c«ng 4.0/7 - nhãm 1</v>
          </cell>
          <cell r="E998" t="str">
            <v>c«ng</v>
          </cell>
          <cell r="F998">
            <v>5.7000000000000002E-2</v>
          </cell>
          <cell r="G998">
            <v>206888.36538461538</v>
          </cell>
          <cell r="H998">
            <v>11792.636826923077</v>
          </cell>
        </row>
        <row r="1000">
          <cell r="D1000" t="str">
            <v>Tôn thép 2mm</v>
          </cell>
          <cell r="E1000" t="str">
            <v>kg</v>
          </cell>
          <cell r="I1000" t="e">
            <v>#N/A</v>
          </cell>
          <cell r="J1000">
            <v>10344.41826923077</v>
          </cell>
        </row>
        <row r="1001">
          <cell r="D1001" t="str">
            <v>A.VËt liÖu</v>
          </cell>
          <cell r="H1001" t="e">
            <v>#N/A</v>
          </cell>
        </row>
        <row r="1002">
          <cell r="D1002" t="str">
            <v>Thép tấm 2mm</v>
          </cell>
          <cell r="E1002" t="str">
            <v>kg</v>
          </cell>
          <cell r="F1002">
            <v>1</v>
          </cell>
          <cell r="G1002" t="e">
            <v>#N/A</v>
          </cell>
          <cell r="H1002" t="e">
            <v>#N/A</v>
          </cell>
        </row>
        <row r="1003">
          <cell r="D1003" t="str">
            <v>B. Nh©n c«ng</v>
          </cell>
          <cell r="H1003">
            <v>10344.41826923077</v>
          </cell>
        </row>
        <row r="1004">
          <cell r="D1004" t="str">
            <v>Nh©n c«ng 4.0/7 - nhãm 1</v>
          </cell>
          <cell r="E1004" t="str">
            <v>c«ng</v>
          </cell>
          <cell r="F1004">
            <v>0.05</v>
          </cell>
          <cell r="G1004">
            <v>206888.36538461538</v>
          </cell>
          <cell r="H1004">
            <v>10344.41826923077</v>
          </cell>
        </row>
        <row r="1006">
          <cell r="D1006" t="str">
            <v>Tháo dỡ hộ lan</v>
          </cell>
          <cell r="E1006" t="str">
            <v>m</v>
          </cell>
          <cell r="I1006">
            <v>0</v>
          </cell>
          <cell r="J1006">
            <v>8068.6462499999998</v>
          </cell>
        </row>
        <row r="1007">
          <cell r="D1007" t="str">
            <v>A. VËt liÖu</v>
          </cell>
        </row>
        <row r="1008">
          <cell r="D1008" t="str">
            <v>B. Nh©n c«ng</v>
          </cell>
          <cell r="H1008">
            <v>8068.6462499999998</v>
          </cell>
        </row>
        <row r="1009">
          <cell r="D1009" t="str">
            <v>Nh©n c«ng 4.0/7 - nhãm 1 (60%L§)</v>
          </cell>
          <cell r="E1009" t="str">
            <v>c«ng</v>
          </cell>
          <cell r="F1009">
            <v>3.9E-2</v>
          </cell>
          <cell r="G1009">
            <v>206888.36538461538</v>
          </cell>
          <cell r="H1009">
            <v>8068.6462499999998</v>
          </cell>
        </row>
        <row r="1010">
          <cell r="D1010" t="str">
            <v>Tấm nhùa d¸n phản quang</v>
          </cell>
          <cell r="E1010" t="str">
            <v>m2</v>
          </cell>
          <cell r="I1010" t="e">
            <v>#N/A</v>
          </cell>
          <cell r="J1010">
            <v>88726.712307692316</v>
          </cell>
        </row>
        <row r="1011">
          <cell r="D1011" t="str">
            <v>A.VËt liÖu</v>
          </cell>
          <cell r="H1011" t="e">
            <v>#N/A</v>
          </cell>
        </row>
        <row r="1012">
          <cell r="D1012" t="str">
            <v>TÊm nhùa</v>
          </cell>
          <cell r="E1012" t="str">
            <v>m2</v>
          </cell>
          <cell r="F1012">
            <v>1.05</v>
          </cell>
          <cell r="G1012">
            <v>50000</v>
          </cell>
          <cell r="H1012">
            <v>52500</v>
          </cell>
        </row>
        <row r="1013">
          <cell r="D1013" t="str">
            <v>Mµng ph¶n quang</v>
          </cell>
          <cell r="E1013" t="str">
            <v>m2</v>
          </cell>
          <cell r="F1013">
            <v>1.05</v>
          </cell>
          <cell r="G1013" t="e">
            <v>#N/A</v>
          </cell>
          <cell r="H1013" t="e">
            <v>#N/A</v>
          </cell>
        </row>
        <row r="1014">
          <cell r="D1014" t="str">
            <v>B. Nh©n c«ng</v>
          </cell>
          <cell r="H1014">
            <v>88726.712307692316</v>
          </cell>
        </row>
        <row r="1015">
          <cell r="D1015" t="str">
            <v>Nh©n c«ng 3.7/7 - nhãm 2</v>
          </cell>
          <cell r="E1015" t="str">
            <v>c«ng</v>
          </cell>
          <cell r="F1015">
            <v>0.4</v>
          </cell>
          <cell r="G1015">
            <v>221816.78076923077</v>
          </cell>
          <cell r="H1015">
            <v>88726.712307692316</v>
          </cell>
        </row>
        <row r="1017">
          <cell r="D1017" t="str">
            <v>Th¸o dì ck cäc tiªu,cäc H, ck BT ®óc s½n &lt;50kg</v>
          </cell>
          <cell r="E1017" t="str">
            <v>ck</v>
          </cell>
          <cell r="J1017">
            <v>18619.952884615384</v>
          </cell>
        </row>
        <row r="1018">
          <cell r="D1018" t="str">
            <v>B. Nh©n c«ng 4/7 - nhãm 1 (VD =60% l¾p dùng)</v>
          </cell>
          <cell r="E1018" t="str">
            <v>c«ng</v>
          </cell>
          <cell r="F1018">
            <v>0.09</v>
          </cell>
          <cell r="G1018">
            <v>206888.36538461538</v>
          </cell>
          <cell r="H1018">
            <v>18619.952884615384</v>
          </cell>
        </row>
        <row r="1020">
          <cell r="D1020" t="str">
            <v>Mãng ®­êng ®¸ d¨m tiªu chuÈn líp trªn dµy 8cm</v>
          </cell>
          <cell r="E1020" t="str">
            <v>m2</v>
          </cell>
          <cell r="I1020" t="e">
            <v>#N/A</v>
          </cell>
          <cell r="J1020">
            <v>10563.346726153846</v>
          </cell>
          <cell r="K1020">
            <v>4190.5798029931411</v>
          </cell>
        </row>
        <row r="1021">
          <cell r="D1021" t="str">
            <v>A.VËt liÖu</v>
          </cell>
          <cell r="H1021" t="e">
            <v>#N/A</v>
          </cell>
        </row>
        <row r="1022">
          <cell r="D1022" t="str">
            <v>§¸ 4x6</v>
          </cell>
          <cell r="E1022" t="str">
            <v>m3</v>
          </cell>
          <cell r="F1022">
            <v>0.10552</v>
          </cell>
          <cell r="G1022" t="e">
            <v>#N/A</v>
          </cell>
          <cell r="H1022" t="e">
            <v>#N/A</v>
          </cell>
        </row>
        <row r="1023">
          <cell r="D1023" t="str">
            <v>§¸ 2x4</v>
          </cell>
          <cell r="E1023" t="str">
            <v>m3</v>
          </cell>
          <cell r="F1023">
            <v>2.64E-3</v>
          </cell>
          <cell r="G1023" t="e">
            <v>#N/A</v>
          </cell>
          <cell r="H1023" t="e">
            <v>#N/A</v>
          </cell>
        </row>
        <row r="1024">
          <cell r="D1024" t="str">
            <v>§¸ 1x2</v>
          </cell>
          <cell r="E1024" t="str">
            <v>m3</v>
          </cell>
          <cell r="F1024">
            <v>2.64E-3</v>
          </cell>
          <cell r="G1024" t="e">
            <v>#N/A</v>
          </cell>
          <cell r="H1024" t="e">
            <v>#N/A</v>
          </cell>
        </row>
        <row r="1025">
          <cell r="D1025" t="str">
            <v>§¸ 0.5x1</v>
          </cell>
          <cell r="E1025" t="str">
            <v>m3</v>
          </cell>
          <cell r="F1025">
            <v>3.5199999999999997E-3</v>
          </cell>
          <cell r="G1025" t="e">
            <v>#N/A</v>
          </cell>
          <cell r="H1025" t="e">
            <v>#N/A</v>
          </cell>
        </row>
        <row r="1026">
          <cell r="D1026" t="str">
            <v>§¸ 0.15x0.5</v>
          </cell>
          <cell r="E1026" t="str">
            <v>m3</v>
          </cell>
          <cell r="F1026">
            <v>6.1599999999999997E-3</v>
          </cell>
          <cell r="G1026" t="e">
            <v>#N/A</v>
          </cell>
        </row>
        <row r="1027">
          <cell r="D1027" t="str">
            <v>B. Nh©n c«ng 3/7 - nhãm 2</v>
          </cell>
          <cell r="E1027" t="str">
            <v>c«ng</v>
          </cell>
          <cell r="F1027">
            <v>5.3360000000000005E-2</v>
          </cell>
          <cell r="G1027">
            <v>197963.76923076922</v>
          </cell>
          <cell r="H1027">
            <v>10563.346726153846</v>
          </cell>
        </row>
        <row r="1028">
          <cell r="D1028" t="str">
            <v>C. M¸y thi c«ng</v>
          </cell>
          <cell r="H1028">
            <v>4190.5798029931411</v>
          </cell>
        </row>
        <row r="1029">
          <cell r="D1029" t="str">
            <v>M¸y lu 8.5T</v>
          </cell>
          <cell r="E1029" t="str">
            <v>ca</v>
          </cell>
          <cell r="F1029">
            <v>2.64E-3</v>
          </cell>
          <cell r="G1029">
            <v>930645.09717482515</v>
          </cell>
          <cell r="H1029">
            <v>2456.9030565415383</v>
          </cell>
        </row>
        <row r="1030">
          <cell r="D1030" t="str">
            <v>¤ t« t­íi n­íc 5m3</v>
          </cell>
          <cell r="E1030" t="str">
            <v>ca</v>
          </cell>
          <cell r="F1030">
            <v>1.3600000000000001E-3</v>
          </cell>
          <cell r="G1030">
            <v>1073181.3719720279</v>
          </cell>
          <cell r="H1030">
            <v>1459.526665881958</v>
          </cell>
        </row>
        <row r="1031">
          <cell r="D1031" t="str">
            <v>Máy khác</v>
          </cell>
          <cell r="E1031" t="str">
            <v>%</v>
          </cell>
          <cell r="F1031">
            <v>7</v>
          </cell>
          <cell r="G1031">
            <v>3916.4297224234961</v>
          </cell>
          <cell r="H1031">
            <v>274.15008056964473</v>
          </cell>
        </row>
        <row r="1033">
          <cell r="D1033" t="str">
            <v>Bï vªnh mÆt ®­êng cò b»ng đá dăm đen C 19  dày TB 2.196cm</v>
          </cell>
          <cell r="E1033" t="str">
            <v>m3</v>
          </cell>
          <cell r="F1033">
            <v>1</v>
          </cell>
          <cell r="I1033" t="e">
            <v>#REF!</v>
          </cell>
          <cell r="J1033">
            <v>66517.990000000005</v>
          </cell>
          <cell r="K1033">
            <v>107053.36040783576</v>
          </cell>
        </row>
        <row r="1034">
          <cell r="D1034" t="str">
            <v>A.VËt liÖu</v>
          </cell>
          <cell r="H1034" t="e">
            <v>#REF!</v>
          </cell>
        </row>
        <row r="1035">
          <cell r="D1035" t="str">
            <v>- Đá dăm đen C19</v>
          </cell>
          <cell r="E1035" t="str">
            <v>tÊn</v>
          </cell>
          <cell r="F1035">
            <v>2.3233333333333333</v>
          </cell>
          <cell r="G1035" t="e">
            <v>#REF!</v>
          </cell>
          <cell r="H1035" t="e">
            <v>#REF!</v>
          </cell>
          <cell r="I1035">
            <v>1.8636862343856028E-2</v>
          </cell>
        </row>
        <row r="1036">
          <cell r="D1036" t="str">
            <v>B. Nh©n c«ng 4,0/7 - nhãm 2</v>
          </cell>
          <cell r="E1036" t="str">
            <v>c«ng</v>
          </cell>
          <cell r="F1036">
            <v>0.28666666666666668</v>
          </cell>
          <cell r="G1036">
            <v>232039.5</v>
          </cell>
          <cell r="H1036">
            <v>66517.990000000005</v>
          </cell>
        </row>
        <row r="1037">
          <cell r="D1037" t="str">
            <v>C. M¸y thi c«ng</v>
          </cell>
          <cell r="H1037">
            <v>107053.36040783576</v>
          </cell>
        </row>
        <row r="1038">
          <cell r="D1038" t="str">
            <v>- M¸y r¶i 130-140cv</v>
          </cell>
          <cell r="E1038" t="str">
            <v>ca</v>
          </cell>
          <cell r="F1038">
            <v>6.633333333333334E-3</v>
          </cell>
          <cell r="G1038">
            <v>5992882.9954685317</v>
          </cell>
          <cell r="H1038">
            <v>39752.790536607929</v>
          </cell>
        </row>
        <row r="1039">
          <cell r="D1039" t="str">
            <v>- M¸y ®Çm lu 10T</v>
          </cell>
          <cell r="E1039" t="str">
            <v>ca</v>
          </cell>
          <cell r="F1039">
            <v>3.6666666666666667E-2</v>
          </cell>
          <cell r="G1039">
            <v>1108482.5668111888</v>
          </cell>
          <cell r="H1039">
            <v>40644.360783076925</v>
          </cell>
        </row>
        <row r="1040">
          <cell r="D1040" t="str">
            <v>- M¸y ®Çm b¸nh h¬i 16T</v>
          </cell>
          <cell r="E1040" t="str">
            <v>ca</v>
          </cell>
          <cell r="F1040">
            <v>1.5333333333333334E-2</v>
          </cell>
          <cell r="G1040">
            <v>1601551.5384755246</v>
          </cell>
          <cell r="H1040">
            <v>24557.123589958046</v>
          </cell>
        </row>
        <row r="1041">
          <cell r="D1041" t="str">
            <v>M¸y kh¸c</v>
          </cell>
          <cell r="E1041" t="str">
            <v>%</v>
          </cell>
          <cell r="F1041">
            <v>2</v>
          </cell>
          <cell r="H1041">
            <v>2099.0854981928583</v>
          </cell>
        </row>
        <row r="1043">
          <cell r="D1043" t="str">
            <v>Đá dăm đen C19 dµy 7cm</v>
          </cell>
          <cell r="E1043" t="str">
            <v>m2</v>
          </cell>
          <cell r="F1043">
            <v>1</v>
          </cell>
          <cell r="I1043" t="e">
            <v>#REF!</v>
          </cell>
          <cell r="J1043">
            <v>4663.9939499999991</v>
          </cell>
          <cell r="K1043">
            <v>5622.9336386134046</v>
          </cell>
        </row>
        <row r="1044">
          <cell r="D1044" t="str">
            <v>A.VËt liÖu</v>
          </cell>
          <cell r="H1044" t="e">
            <v>#REF!</v>
          </cell>
        </row>
        <row r="1045">
          <cell r="D1045" t="str">
            <v>- Đá dăm đen C19</v>
          </cell>
          <cell r="E1045" t="str">
            <v>tÊn</v>
          </cell>
          <cell r="F1045">
            <v>0.16260000000000002</v>
          </cell>
          <cell r="G1045" t="e">
            <v>#REF!</v>
          </cell>
          <cell r="H1045" t="e">
            <v>#REF!</v>
          </cell>
        </row>
        <row r="1046">
          <cell r="D1046" t="str">
            <v>B. Nh©n c«ng 4,0/7 - nhãm 2</v>
          </cell>
          <cell r="E1046" t="str">
            <v>c«ng</v>
          </cell>
          <cell r="F1046">
            <v>2.0099999999999996E-2</v>
          </cell>
          <cell r="G1046">
            <v>232039.5</v>
          </cell>
          <cell r="H1046">
            <v>4663.9939499999991</v>
          </cell>
        </row>
        <row r="1047">
          <cell r="D1047" t="str">
            <v>C. M¸y thi c«ng</v>
          </cell>
          <cell r="H1047">
            <v>5622.9336386134046</v>
          </cell>
        </row>
        <row r="1048">
          <cell r="D1048" t="str">
            <v>- M¸y r¶i 130-140cv</v>
          </cell>
          <cell r="E1048" t="str">
            <v>ca</v>
          </cell>
          <cell r="F1048">
            <v>4.6399999999999995E-4</v>
          </cell>
          <cell r="G1048">
            <v>5992882.9954685317</v>
          </cell>
          <cell r="H1048">
            <v>2780.6977098973985</v>
          </cell>
        </row>
        <row r="1049">
          <cell r="D1049" t="str">
            <v>- M¸y ®Çm lu 10T</v>
          </cell>
          <cell r="E1049" t="str">
            <v>ca</v>
          </cell>
          <cell r="F1049">
            <v>1.8E-3</v>
          </cell>
          <cell r="G1049">
            <v>1108482.5668111888</v>
          </cell>
          <cell r="H1049">
            <v>1995.2686202601399</v>
          </cell>
        </row>
        <row r="1050">
          <cell r="D1050" t="str">
            <v>- M¸y ®Çm b¸nh h¬i 16T</v>
          </cell>
          <cell r="E1050" t="str">
            <v>ca</v>
          </cell>
          <cell r="F1050">
            <v>4.6000000000000001E-4</v>
          </cell>
          <cell r="G1050">
            <v>1601551.5384755246</v>
          </cell>
          <cell r="H1050">
            <v>736.71370769874136</v>
          </cell>
        </row>
        <row r="1051">
          <cell r="D1051" t="str">
            <v>M¸y kh¸c</v>
          </cell>
          <cell r="E1051" t="str">
            <v>%</v>
          </cell>
          <cell r="F1051">
            <v>2</v>
          </cell>
          <cell r="H1051">
            <v>110.25360075712558</v>
          </cell>
        </row>
        <row r="1053">
          <cell r="D1053" t="str">
            <v>V÷a lãt M50</v>
          </cell>
          <cell r="E1053" t="str">
            <v>m3</v>
          </cell>
          <cell r="I1053">
            <v>0</v>
          </cell>
          <cell r="J1053">
            <v>465498.82211538468</v>
          </cell>
          <cell r="K1053">
            <v>21607.263903846149</v>
          </cell>
        </row>
        <row r="1054">
          <cell r="D1054" t="str">
            <v>A.VËt liÖu</v>
          </cell>
          <cell r="H1054">
            <v>0</v>
          </cell>
        </row>
        <row r="1055">
          <cell r="D1055" t="str">
            <v>V÷a xi măng M50</v>
          </cell>
          <cell r="E1055" t="str">
            <v>m3</v>
          </cell>
          <cell r="F1055">
            <v>1.1666666666666667</v>
          </cell>
          <cell r="G1055">
            <v>0</v>
          </cell>
          <cell r="H1055">
            <v>0</v>
          </cell>
        </row>
        <row r="1056">
          <cell r="D1056" t="str">
            <v>B. Nh©n c«ng</v>
          </cell>
          <cell r="H1056">
            <v>465498.82211538468</v>
          </cell>
        </row>
        <row r="1057">
          <cell r="D1057" t="str">
            <v>Nh©n c«ng 4.0/7</v>
          </cell>
          <cell r="E1057" t="str">
            <v>c«ng</v>
          </cell>
          <cell r="F1057">
            <v>2.2500000000000004</v>
          </cell>
          <cell r="G1057">
            <v>206888.36538461538</v>
          </cell>
          <cell r="H1057">
            <v>465498.82211538468</v>
          </cell>
        </row>
        <row r="1058">
          <cell r="D1058" t="str">
            <v xml:space="preserve">C. M¸y thi c«ng </v>
          </cell>
          <cell r="H1058">
            <v>21607.263903846149</v>
          </cell>
        </row>
        <row r="1059">
          <cell r="D1059" t="str">
            <v>M¸y trén v÷a 80l</v>
          </cell>
          <cell r="E1059" t="str">
            <v>ca</v>
          </cell>
          <cell r="F1059">
            <v>0.1</v>
          </cell>
          <cell r="G1059">
            <v>216072.63903846149</v>
          </cell>
          <cell r="H1059">
            <v>21607.263903846149</v>
          </cell>
        </row>
        <row r="1061">
          <cell r="D1061" t="str">
            <v>BT mãng M100, ®¸ 1x2</v>
          </cell>
          <cell r="E1061" t="str">
            <v>m3</v>
          </cell>
          <cell r="I1061">
            <v>0</v>
          </cell>
          <cell r="J1061">
            <v>287404.44923076918</v>
          </cell>
          <cell r="K1061">
            <v>44662.933537076911</v>
          </cell>
        </row>
        <row r="1062">
          <cell r="D1062" t="str">
            <v>A.VËt liÖu</v>
          </cell>
          <cell r="H1062">
            <v>0</v>
          </cell>
        </row>
        <row r="1063">
          <cell r="D1063" t="str">
            <v>V÷a BT M100</v>
          </cell>
          <cell r="E1063" t="str">
            <v>m3</v>
          </cell>
          <cell r="F1063">
            <v>1.0249999999999999</v>
          </cell>
          <cell r="G1063">
            <v>0</v>
          </cell>
          <cell r="H1063">
            <v>0</v>
          </cell>
        </row>
        <row r="1064">
          <cell r="D1064" t="str">
            <v>VËt liÖu kh¸c</v>
          </cell>
          <cell r="E1064" t="str">
            <v>%</v>
          </cell>
          <cell r="F1064">
            <v>1</v>
          </cell>
          <cell r="H1064">
            <v>0</v>
          </cell>
        </row>
        <row r="1065">
          <cell r="D1065" t="str">
            <v>B. Nh©n c«ng</v>
          </cell>
          <cell r="H1065">
            <v>287404.44923076918</v>
          </cell>
        </row>
        <row r="1066">
          <cell r="D1066" t="str">
            <v>Nh©n c«ng 3.0/7</v>
          </cell>
          <cell r="E1066" t="str">
            <v>c«ng</v>
          </cell>
          <cell r="F1066">
            <v>1.64</v>
          </cell>
          <cell r="G1066">
            <v>175246.61538461538</v>
          </cell>
          <cell r="H1066">
            <v>287404.44923076918</v>
          </cell>
        </row>
        <row r="1067">
          <cell r="D1067" t="str">
            <v xml:space="preserve">C. M¸y thi c«ng </v>
          </cell>
          <cell r="H1067">
            <v>44662.933537076911</v>
          </cell>
        </row>
        <row r="1068">
          <cell r="D1068" t="str">
            <v>M¸y trén 250l</v>
          </cell>
          <cell r="E1068" t="str">
            <v>ca</v>
          </cell>
          <cell r="F1068">
            <v>9.5000000000000001E-2</v>
          </cell>
          <cell r="G1068">
            <v>275866.65203846153</v>
          </cell>
          <cell r="H1068">
            <v>26207.331943653844</v>
          </cell>
        </row>
        <row r="1069">
          <cell r="D1069" t="str">
            <v>M¸y ®Çm dïi 1.5KW</v>
          </cell>
          <cell r="E1069" t="str">
            <v>ca</v>
          </cell>
          <cell r="F1069">
            <v>8.8999999999999996E-2</v>
          </cell>
          <cell r="G1069">
            <v>207366.3100384615</v>
          </cell>
          <cell r="H1069">
            <v>18455.601593423071</v>
          </cell>
        </row>
        <row r="1071">
          <cell r="D1071" t="str">
            <v>BT tÊm b¶n ®óc s½n M200, ®¸ 1x2 thân rãnh</v>
          </cell>
          <cell r="E1071" t="str">
            <v>m3</v>
          </cell>
          <cell r="I1071">
            <v>552128.89921463921</v>
          </cell>
          <cell r="J1071">
            <v>450383.80153846147</v>
          </cell>
          <cell r="K1071">
            <v>26207.331943653844</v>
          </cell>
        </row>
        <row r="1072">
          <cell r="D1072" t="str">
            <v>A.VËt liÖu</v>
          </cell>
          <cell r="H1072">
            <v>552128.89921463921</v>
          </cell>
        </row>
        <row r="1073">
          <cell r="D1073" t="str">
            <v>V÷a BT M200</v>
          </cell>
          <cell r="E1073" t="str">
            <v>m3</v>
          </cell>
          <cell r="F1073">
            <v>1.0149999999999999</v>
          </cell>
          <cell r="G1073">
            <v>541263.04361408646</v>
          </cell>
          <cell r="H1073">
            <v>549381.98926829768</v>
          </cell>
        </row>
        <row r="1074">
          <cell r="D1074" t="str">
            <v>VËt liÖu kh¸c</v>
          </cell>
          <cell r="E1074" t="str">
            <v>%</v>
          </cell>
          <cell r="F1074">
            <v>0.5</v>
          </cell>
          <cell r="H1074">
            <v>2746.9099463414886</v>
          </cell>
        </row>
        <row r="1075">
          <cell r="D1075" t="str">
            <v>B. Nh©n c«ng</v>
          </cell>
          <cell r="H1075">
            <v>450383.80153846147</v>
          </cell>
        </row>
        <row r="1076">
          <cell r="D1076" t="str">
            <v>Nh©n c«ng 3.0/7</v>
          </cell>
          <cell r="E1076" t="str">
            <v>c«ng</v>
          </cell>
          <cell r="F1076">
            <v>2.57</v>
          </cell>
          <cell r="G1076">
            <v>175246.61538461538</v>
          </cell>
          <cell r="H1076">
            <v>450383.80153846147</v>
          </cell>
        </row>
        <row r="1077">
          <cell r="D1077" t="str">
            <v xml:space="preserve">C. M¸y thi c«ng </v>
          </cell>
          <cell r="H1077">
            <v>26207.331943653844</v>
          </cell>
        </row>
        <row r="1078">
          <cell r="D1078" t="str">
            <v>M¸y trén 250l</v>
          </cell>
          <cell r="E1078" t="str">
            <v>ca</v>
          </cell>
          <cell r="F1078">
            <v>9.5000000000000001E-2</v>
          </cell>
          <cell r="G1078">
            <v>275866.65203846153</v>
          </cell>
          <cell r="H1078">
            <v>26207.331943653844</v>
          </cell>
        </row>
        <row r="1080">
          <cell r="D1080" t="str">
            <v>Gia công lắp dựng cốt thép tấm bản D&lt;10cm</v>
          </cell>
          <cell r="E1080" t="str">
            <v>tÊn</v>
          </cell>
          <cell r="I1080" t="e">
            <v>#N/A</v>
          </cell>
          <cell r="J1080">
            <v>3267254.0855769231</v>
          </cell>
          <cell r="K1080">
            <v>83807.992415384608</v>
          </cell>
        </row>
        <row r="1081">
          <cell r="D1081" t="str">
            <v>A.VËt liÖu</v>
          </cell>
          <cell r="H1081" t="e">
            <v>#N/A</v>
          </cell>
        </row>
        <row r="1082">
          <cell r="D1082" t="str">
            <v>ThÐp trßn D≤ 10mm</v>
          </cell>
          <cell r="E1082" t="str">
            <v>kg</v>
          </cell>
          <cell r="F1082">
            <v>1005</v>
          </cell>
          <cell r="G1082" t="e">
            <v>#N/A</v>
          </cell>
          <cell r="H1082" t="e">
            <v>#N/A</v>
          </cell>
        </row>
        <row r="1083">
          <cell r="D1083" t="str">
            <v>D©y thÐp</v>
          </cell>
          <cell r="E1083" t="str">
            <v>kg</v>
          </cell>
          <cell r="F1083">
            <v>21.42</v>
          </cell>
          <cell r="G1083" t="e">
            <v>#N/A</v>
          </cell>
          <cell r="H1083" t="e">
            <v>#N/A</v>
          </cell>
        </row>
        <row r="1084">
          <cell r="D1084" t="str">
            <v>B. Nh©n c«ng 3,5/7 - nhãm 1</v>
          </cell>
          <cell r="E1084" t="str">
            <v>c«ng</v>
          </cell>
          <cell r="F1084">
            <v>17.100000000000001</v>
          </cell>
          <cell r="G1084">
            <v>191067.49038461538</v>
          </cell>
          <cell r="H1084">
            <v>3267254.0855769231</v>
          </cell>
        </row>
        <row r="1085">
          <cell r="D1085" t="str">
            <v>C. M¸y thi c«ng</v>
          </cell>
          <cell r="H1085">
            <v>83807.992415384608</v>
          </cell>
        </row>
        <row r="1086">
          <cell r="D1086" t="str">
            <v>M¸y c¾t uèn cèt thÐp 5kW</v>
          </cell>
          <cell r="E1086" t="str">
            <v>ca</v>
          </cell>
          <cell r="F1086">
            <v>0.4</v>
          </cell>
          <cell r="G1086">
            <v>209519.9810384615</v>
          </cell>
          <cell r="H1086">
            <v>83807.992415384608</v>
          </cell>
        </row>
        <row r="1088">
          <cell r="D1088" t="str">
            <v>Gia công lắp dựng cốt thép tấm bản D&gt;10cm</v>
          </cell>
          <cell r="E1088" t="str">
            <v>tÊn</v>
          </cell>
          <cell r="I1088" t="e">
            <v>#N/A</v>
          </cell>
          <cell r="J1088">
            <v>2261343.4615384615</v>
          </cell>
          <cell r="K1088">
            <v>756701.29108261527</v>
          </cell>
        </row>
        <row r="1089">
          <cell r="D1089" t="str">
            <v>A.VËt liÖu</v>
          </cell>
          <cell r="H1089" t="e">
            <v>#N/A</v>
          </cell>
        </row>
        <row r="1090">
          <cell r="D1090" t="str">
            <v>ThÐp trßn D&gt; 10mm</v>
          </cell>
          <cell r="E1090" t="str">
            <v>kg</v>
          </cell>
          <cell r="F1090">
            <v>1020</v>
          </cell>
          <cell r="G1090" t="e">
            <v>#N/A</v>
          </cell>
          <cell r="H1090" t="e">
            <v>#N/A</v>
          </cell>
        </row>
        <row r="1091">
          <cell r="D1091" t="str">
            <v>D©y thÐp</v>
          </cell>
          <cell r="E1091" t="str">
            <v>kg</v>
          </cell>
          <cell r="F1091">
            <v>14.28</v>
          </cell>
          <cell r="G1091" t="e">
            <v>#N/A</v>
          </cell>
          <cell r="H1091" t="e">
            <v>#N/A</v>
          </cell>
        </row>
        <row r="1092">
          <cell r="D1092" t="str">
            <v>Que hàn</v>
          </cell>
          <cell r="E1092" t="str">
            <v>kg</v>
          </cell>
          <cell r="F1092">
            <v>4.62</v>
          </cell>
          <cell r="G1092" t="e">
            <v>#N/A</v>
          </cell>
          <cell r="H1092" t="e">
            <v>#N/A</v>
          </cell>
        </row>
        <row r="1093">
          <cell r="D1093" t="str">
            <v>B. Nh©n c«ng 3,5/7 - nhãm 1</v>
          </cell>
          <cell r="E1093" t="str">
            <v>c«ng</v>
          </cell>
          <cell r="F1093">
            <v>13.14</v>
          </cell>
          <cell r="G1093">
            <v>172096.15384615384</v>
          </cell>
          <cell r="H1093">
            <v>2261343.4615384615</v>
          </cell>
        </row>
        <row r="1094">
          <cell r="D1094" t="str">
            <v>C. M¸y thi c«ng</v>
          </cell>
          <cell r="H1094">
            <v>756701.29108261527</v>
          </cell>
        </row>
        <row r="1095">
          <cell r="D1095" t="str">
            <v>M¸y hàn 23KW</v>
          </cell>
          <cell r="E1095" t="str">
            <v>ca</v>
          </cell>
          <cell r="F1095">
            <v>2.1269999999999998</v>
          </cell>
          <cell r="G1095">
            <v>324238.31553846149</v>
          </cell>
          <cell r="H1095">
            <v>689654.89715030754</v>
          </cell>
        </row>
        <row r="1096">
          <cell r="D1096" t="str">
            <v>M¸y c¾t uèn cèt thÐp 5kW</v>
          </cell>
          <cell r="E1096" t="str">
            <v>ca</v>
          </cell>
          <cell r="F1096">
            <v>0.32</v>
          </cell>
          <cell r="G1096">
            <v>209519.9810384615</v>
          </cell>
          <cell r="H1096">
            <v>67046.393932307677</v>
          </cell>
        </row>
        <row r="1098">
          <cell r="D1098" t="str">
            <v>Khoan tạo lỗ cột D18</v>
          </cell>
          <cell r="E1098" t="str">
            <v>lỗ</v>
          </cell>
          <cell r="I1098">
            <v>0</v>
          </cell>
          <cell r="J1098">
            <v>2792.9929326923079</v>
          </cell>
          <cell r="K1098">
            <v>736.28814482192297</v>
          </cell>
        </row>
        <row r="1099">
          <cell r="D1099" t="str">
            <v>Vật liệu</v>
          </cell>
        </row>
        <row r="1100">
          <cell r="D1100" t="str">
            <v xml:space="preserve"> Nhân công nhóm 1</v>
          </cell>
          <cell r="H1100">
            <v>2792.9929326923079</v>
          </cell>
        </row>
        <row r="1101">
          <cell r="D1101" t="str">
            <v xml:space="preserve"> Nhân công 4/7</v>
          </cell>
          <cell r="E1101" t="str">
            <v>công</v>
          </cell>
          <cell r="F1101">
            <v>1.3500000000000002E-2</v>
          </cell>
          <cell r="G1101">
            <v>206888.36538461538</v>
          </cell>
          <cell r="H1101">
            <v>2792.9929326923079</v>
          </cell>
        </row>
        <row r="1102">
          <cell r="D1102" t="str">
            <v xml:space="preserve"> Máy thi công</v>
          </cell>
          <cell r="H1102">
            <v>736.28814482192297</v>
          </cell>
        </row>
        <row r="1103">
          <cell r="D1103" t="str">
            <v>Máy khoan 4.5KW</v>
          </cell>
          <cell r="E1103" t="str">
            <v>ca</v>
          </cell>
          <cell r="F1103">
            <v>2.9099999999999998E-3</v>
          </cell>
          <cell r="G1103">
            <v>253019.9810384615</v>
          </cell>
          <cell r="H1103">
            <v>736.28814482192297</v>
          </cell>
        </row>
        <row r="1105">
          <cell r="D1105" t="str">
            <v>Bản táp thép dày 5mm KT 15x20cm</v>
          </cell>
          <cell r="E1105" t="str">
            <v>Kg</v>
          </cell>
          <cell r="I1105" t="e">
            <v>#N/A</v>
          </cell>
          <cell r="J1105">
            <v>3455.563667319941</v>
          </cell>
          <cell r="K1105">
            <v>2420.8222607349335</v>
          </cell>
        </row>
        <row r="1106">
          <cell r="D1106" t="str">
            <v>A.VËt liÖu</v>
          </cell>
          <cell r="H1106" t="e">
            <v>#N/A</v>
          </cell>
        </row>
        <row r="1107">
          <cell r="D1107" t="str">
            <v>Thép tấm 5mm</v>
          </cell>
          <cell r="E1107" t="str">
            <v>kg</v>
          </cell>
          <cell r="F1107">
            <v>1.0249999999999999</v>
          </cell>
          <cell r="G1107" t="e">
            <v>#N/A</v>
          </cell>
          <cell r="H1107" t="e">
            <v>#N/A</v>
          </cell>
        </row>
        <row r="1108">
          <cell r="D1108" t="str">
            <v>Ô xy</v>
          </cell>
          <cell r="E1108" t="str">
            <v>chai</v>
          </cell>
          <cell r="F1108">
            <v>1.1889596602972398E-2</v>
          </cell>
          <cell r="G1108">
            <v>85000</v>
          </cell>
          <cell r="H1108">
            <v>1010.6157112526538</v>
          </cell>
        </row>
        <row r="1109">
          <cell r="D1109" t="str">
            <v>Khí ga</v>
          </cell>
          <cell r="E1109" t="str">
            <v>viên</v>
          </cell>
          <cell r="F1109">
            <v>2.3779193205944796E-2</v>
          </cell>
          <cell r="G1109">
            <v>15000</v>
          </cell>
          <cell r="H1109">
            <v>356.68789808917194</v>
          </cell>
        </row>
        <row r="1110">
          <cell r="D1110" t="str">
            <v>VLK</v>
          </cell>
          <cell r="E1110" t="str">
            <v>%</v>
          </cell>
          <cell r="F1110">
            <v>5</v>
          </cell>
          <cell r="G1110" t="e">
            <v>#N/A</v>
          </cell>
          <cell r="H1110" t="e">
            <v>#N/A</v>
          </cell>
        </row>
        <row r="1111">
          <cell r="D1111" t="str">
            <v>B. Nh©n c«ng 3.7/7</v>
          </cell>
          <cell r="E1111" t="str">
            <v>c«ng</v>
          </cell>
          <cell r="F1111">
            <v>1.3673036093418259E-2</v>
          </cell>
          <cell r="G1111">
            <v>252728.33653846153</v>
          </cell>
          <cell r="H1111">
            <v>3455.563667319941</v>
          </cell>
        </row>
        <row r="1112">
          <cell r="D1112" t="str">
            <v>C. M¸y thi c«ng</v>
          </cell>
          <cell r="H1112">
            <v>2420.8222607349335</v>
          </cell>
        </row>
        <row r="1113">
          <cell r="D1113" t="str">
            <v xml:space="preserve">Máy mài </v>
          </cell>
          <cell r="E1113" t="str">
            <v>ca</v>
          </cell>
          <cell r="F1113">
            <v>1.1889596602972398E-2</v>
          </cell>
          <cell r="G1113">
            <v>193912.80353846151</v>
          </cell>
          <cell r="H1113">
            <v>2305.545010223746</v>
          </cell>
        </row>
        <row r="1114">
          <cell r="D1114" t="str">
            <v>Máy khác</v>
          </cell>
          <cell r="E1114" t="str">
            <v>ca</v>
          </cell>
          <cell r="F1114">
            <v>5</v>
          </cell>
          <cell r="G1114">
            <v>2305.545010223746</v>
          </cell>
          <cell r="H1114">
            <v>115.2772505111873</v>
          </cell>
        </row>
        <row r="1116">
          <cell r="D1116" t="str">
            <v>Hàn đầu bu lông M16 (mỗi đầu bu lông hàn một điểm)</v>
          </cell>
          <cell r="E1116" t="str">
            <v>điểm</v>
          </cell>
          <cell r="I1116" t="e">
            <v>#N/A</v>
          </cell>
          <cell r="J1116">
            <v>6497.1060000000007</v>
          </cell>
          <cell r="K1116">
            <v>1514.192933564615</v>
          </cell>
        </row>
        <row r="1117">
          <cell r="D1117" t="str">
            <v>A.VËt liÖu</v>
          </cell>
          <cell r="H1117" t="e">
            <v>#N/A</v>
          </cell>
        </row>
        <row r="1118">
          <cell r="D1118" t="str">
            <v>Que hàn</v>
          </cell>
          <cell r="E1118" t="str">
            <v>kg</v>
          </cell>
          <cell r="F1118">
            <v>2.5000000000000001E-2</v>
          </cell>
          <cell r="G1118" t="e">
            <v>#N/A</v>
          </cell>
          <cell r="H1118" t="e">
            <v>#N/A</v>
          </cell>
        </row>
        <row r="1119">
          <cell r="D1119" t="str">
            <v>VLK</v>
          </cell>
          <cell r="E1119" t="str">
            <v>%</v>
          </cell>
          <cell r="F1119">
            <v>10</v>
          </cell>
          <cell r="G1119" t="e">
            <v>#N/A</v>
          </cell>
          <cell r="H1119" t="e">
            <v>#N/A</v>
          </cell>
        </row>
        <row r="1120">
          <cell r="D1120" t="str">
            <v>B. Nh©n c«ng 4/7</v>
          </cell>
          <cell r="E1120" t="str">
            <v>c«ng</v>
          </cell>
          <cell r="F1120">
            <v>2.8000000000000004E-2</v>
          </cell>
          <cell r="G1120">
            <v>232039.5</v>
          </cell>
          <cell r="H1120">
            <v>6497.1060000000007</v>
          </cell>
        </row>
        <row r="1121">
          <cell r="D1121" t="str">
            <v>C. M¸y thi c«ng</v>
          </cell>
          <cell r="H1121">
            <v>1514.192933564615</v>
          </cell>
        </row>
        <row r="1122">
          <cell r="D1122" t="str">
            <v>Máy hàn 23KW</v>
          </cell>
          <cell r="E1122" t="str">
            <v>ca</v>
          </cell>
          <cell r="F1122">
            <v>4.6699999999999997E-3</v>
          </cell>
          <cell r="G1122">
            <v>324238.31553846149</v>
          </cell>
          <cell r="H1122">
            <v>1514.192933564615</v>
          </cell>
        </row>
        <row r="1124">
          <cell r="D1124" t="str">
            <v>Hàn  h=6mm</v>
          </cell>
          <cell r="E1124" t="str">
            <v>m</v>
          </cell>
          <cell r="I1124" t="e">
            <v>#N/A</v>
          </cell>
          <cell r="J1124">
            <v>14618.488499999999</v>
          </cell>
          <cell r="K1124">
            <v>20427.013878923073</v>
          </cell>
        </row>
        <row r="1125">
          <cell r="D1125" t="str">
            <v>A.VËt liÖu</v>
          </cell>
          <cell r="H1125" t="e">
            <v>#N/A</v>
          </cell>
        </row>
        <row r="1126">
          <cell r="D1126" t="str">
            <v>Que hàn</v>
          </cell>
          <cell r="E1126" t="str">
            <v>kg</v>
          </cell>
          <cell r="F1126">
            <v>0.56999999999999995</v>
          </cell>
          <cell r="G1126" t="e">
            <v>#N/A</v>
          </cell>
          <cell r="H1126" t="e">
            <v>#N/A</v>
          </cell>
        </row>
        <row r="1127">
          <cell r="D1127" t="str">
            <v>VLK</v>
          </cell>
          <cell r="E1127" t="str">
            <v>%</v>
          </cell>
          <cell r="F1127">
            <v>10</v>
          </cell>
          <cell r="G1127" t="e">
            <v>#N/A</v>
          </cell>
          <cell r="H1127" t="e">
            <v>#N/A</v>
          </cell>
        </row>
        <row r="1128">
          <cell r="D1128" t="str">
            <v>B. Nh©n c«ng 4/7</v>
          </cell>
          <cell r="E1128" t="str">
            <v>c«ng</v>
          </cell>
          <cell r="F1128">
            <v>6.3E-2</v>
          </cell>
          <cell r="G1128">
            <v>232039.5</v>
          </cell>
          <cell r="H1128">
            <v>14618.488499999999</v>
          </cell>
        </row>
        <row r="1129">
          <cell r="D1129" t="str">
            <v>C. M¸y thi c«ng</v>
          </cell>
          <cell r="H1129">
            <v>20427.013878923073</v>
          </cell>
        </row>
        <row r="1130">
          <cell r="D1130" t="str">
            <v>Máy hàn 23KW</v>
          </cell>
          <cell r="E1130" t="str">
            <v>ca</v>
          </cell>
          <cell r="F1130">
            <v>6.3E-2</v>
          </cell>
          <cell r="G1130">
            <v>324238.31553846149</v>
          </cell>
          <cell r="H1130">
            <v>20427.013878923073</v>
          </cell>
        </row>
        <row r="1133">
          <cell r="D1133" t="str">
            <v>Th¸o bu l«ng</v>
          </cell>
          <cell r="E1133" t="str">
            <v>c¸i</v>
          </cell>
          <cell r="I1133" t="e">
            <v>#N/A</v>
          </cell>
          <cell r="J1133">
            <v>6206.6509615384612</v>
          </cell>
        </row>
        <row r="1134">
          <cell r="D1134" t="str">
            <v>A.VËt liÖu</v>
          </cell>
          <cell r="H1134" t="e">
            <v>#N/A</v>
          </cell>
        </row>
        <row r="1135">
          <cell r="D1135" t="str">
            <v>DÇu phanh</v>
          </cell>
          <cell r="E1135" t="str">
            <v>kg</v>
          </cell>
          <cell r="F1135">
            <v>1.4999999999999999E-2</v>
          </cell>
          <cell r="G1135" t="e">
            <v>#N/A</v>
          </cell>
          <cell r="H1135" t="e">
            <v>#N/A</v>
          </cell>
        </row>
        <row r="1136">
          <cell r="D1136" t="str">
            <v>VËt liÖu kh¸c</v>
          </cell>
          <cell r="E1136" t="str">
            <v>%</v>
          </cell>
          <cell r="F1136">
            <v>0.5</v>
          </cell>
          <cell r="H1136" t="e">
            <v>#N/A</v>
          </cell>
        </row>
        <row r="1137">
          <cell r="D1137" t="str">
            <v>B. Nh©n c«ng</v>
          </cell>
          <cell r="H1137">
            <v>6206.6509615384612</v>
          </cell>
        </row>
        <row r="1138">
          <cell r="D1138" t="str">
            <v>Nh©n c«ng 4.0/7 - nhãm 1</v>
          </cell>
          <cell r="E1138" t="str">
            <v>c«ng</v>
          </cell>
          <cell r="F1138">
            <v>0.03</v>
          </cell>
          <cell r="G1138">
            <v>206888.36538461538</v>
          </cell>
          <cell r="H1138">
            <v>6206.6509615384612</v>
          </cell>
        </row>
        <row r="1140">
          <cell r="D1140" t="str">
            <v>L¾p bu l«ng</v>
          </cell>
          <cell r="E1140" t="str">
            <v>c¸i</v>
          </cell>
          <cell r="I1140">
            <v>0</v>
          </cell>
          <cell r="J1140">
            <v>11792.636826923077</v>
          </cell>
        </row>
        <row r="1141">
          <cell r="D1141" t="str">
            <v>A.VËt liÖu</v>
          </cell>
          <cell r="H1141">
            <v>0</v>
          </cell>
        </row>
        <row r="1142">
          <cell r="D1142" t="str">
            <v>B. Nh©n c«ng</v>
          </cell>
          <cell r="H1142">
            <v>11792.636826923077</v>
          </cell>
        </row>
        <row r="1143">
          <cell r="D1143" t="str">
            <v>Nh©n c«ng 4.0/7 - nhãm 1</v>
          </cell>
          <cell r="E1143" t="str">
            <v>c«ng</v>
          </cell>
          <cell r="F1143">
            <v>5.7000000000000002E-2</v>
          </cell>
          <cell r="G1143">
            <v>206888.36538461538</v>
          </cell>
          <cell r="H1143">
            <v>11792.636826923077</v>
          </cell>
        </row>
        <row r="1145">
          <cell r="D1145" t="str">
            <v>D¸n mµng ph¶n quang biÓn b¸o, màng ph¶n quang hé lan</v>
          </cell>
          <cell r="E1145" t="str">
            <v>m2</v>
          </cell>
          <cell r="I1145" t="e">
            <v>#N/A</v>
          </cell>
          <cell r="J1145">
            <v>88726.712307692316</v>
          </cell>
        </row>
        <row r="1146">
          <cell r="D1146" t="str">
            <v>A.VËt liÖu</v>
          </cell>
          <cell r="H1146" t="e">
            <v>#N/A</v>
          </cell>
        </row>
        <row r="1147">
          <cell r="D1147" t="str">
            <v>Mµng ph¶n quang</v>
          </cell>
          <cell r="E1147" t="str">
            <v>m2</v>
          </cell>
          <cell r="F1147">
            <v>1.1000000000000001</v>
          </cell>
          <cell r="G1147" t="e">
            <v>#N/A</v>
          </cell>
          <cell r="H1147" t="e">
            <v>#N/A</v>
          </cell>
        </row>
        <row r="1148">
          <cell r="D1148" t="str">
            <v>B. Nh©n c«ng</v>
          </cell>
          <cell r="H1148">
            <v>88726.712307692316</v>
          </cell>
        </row>
        <row r="1149">
          <cell r="D1149" t="str">
            <v>Nh©n c«ng 3.7/7 - nhãm 2</v>
          </cell>
          <cell r="E1149" t="str">
            <v>c«ng</v>
          </cell>
          <cell r="F1149">
            <v>0.4</v>
          </cell>
          <cell r="G1149">
            <v>221816.78076923077</v>
          </cell>
          <cell r="H1149">
            <v>88726.712307692316</v>
          </cell>
        </row>
        <row r="1150">
          <cell r="D1150" t="str">
            <v>CP DD loại II dày tb 15cm</v>
          </cell>
          <cell r="E1150" t="str">
            <v>m3</v>
          </cell>
          <cell r="I1150" t="e">
            <v>#N/A</v>
          </cell>
          <cell r="J1150">
            <v>9745.6590000000015</v>
          </cell>
          <cell r="K1150">
            <v>31365.994683121724</v>
          </cell>
        </row>
        <row r="1151">
          <cell r="D1151" t="str">
            <v>A.VËt liÖu</v>
          </cell>
          <cell r="H1151" t="e">
            <v>#N/A</v>
          </cell>
        </row>
        <row r="1152">
          <cell r="D1152" t="str">
            <v>CP DD loại II</v>
          </cell>
          <cell r="E1152" t="str">
            <v>m3</v>
          </cell>
          <cell r="F1152">
            <v>1.42</v>
          </cell>
          <cell r="G1152" t="e">
            <v>#N/A</v>
          </cell>
          <cell r="H1152" t="e">
            <v>#N/A</v>
          </cell>
        </row>
        <row r="1153">
          <cell r="D1153" t="str">
            <v>B. Nh©n c«ng 4/7 - nhãm 2</v>
          </cell>
          <cell r="E1153" t="str">
            <v>c«ng</v>
          </cell>
          <cell r="F1153">
            <v>4.2000000000000003E-2</v>
          </cell>
          <cell r="G1153">
            <v>232039.5</v>
          </cell>
          <cell r="H1153">
            <v>9745.6590000000015</v>
          </cell>
        </row>
        <row r="1154">
          <cell r="D1154" t="str">
            <v>C. M¸y thi c«ng</v>
          </cell>
          <cell r="H1154">
            <v>31365.994683121724</v>
          </cell>
        </row>
        <row r="1155">
          <cell r="D1155" t="str">
            <v>M¸y ñi 110CV</v>
          </cell>
          <cell r="E1155" t="str">
            <v>ca</v>
          </cell>
          <cell r="F1155">
            <v>5.0000000000000001E-3</v>
          </cell>
          <cell r="G1155">
            <v>2017102.8785594408</v>
          </cell>
          <cell r="H1155">
            <v>10085.514392797204</v>
          </cell>
        </row>
        <row r="1156">
          <cell r="D1156" t="str">
            <v>Máy san 110CV</v>
          </cell>
          <cell r="E1156" t="str">
            <v>ca</v>
          </cell>
          <cell r="F1156">
            <v>1.0499999999999999E-3</v>
          </cell>
          <cell r="G1156">
            <v>2183537.3598321676</v>
          </cell>
          <cell r="H1156">
            <v>2292.7142278237757</v>
          </cell>
        </row>
        <row r="1157">
          <cell r="D1157" t="str">
            <v>Máy lu rung 25T</v>
          </cell>
          <cell r="E1157" t="str">
            <v>ca</v>
          </cell>
          <cell r="F1157">
            <v>2.5000000000000001E-3</v>
          </cell>
          <cell r="G1157">
            <v>2980726.3193566436</v>
          </cell>
          <cell r="H1157">
            <v>7451.815798391609</v>
          </cell>
        </row>
        <row r="1158">
          <cell r="D1158" t="str">
            <v>Lu bánh lốp 16T</v>
          </cell>
          <cell r="E1158" t="str">
            <v>ca</v>
          </cell>
          <cell r="F1158">
            <v>3.7000000000000002E-3</v>
          </cell>
          <cell r="G1158">
            <v>1601551.5384755246</v>
          </cell>
          <cell r="H1158">
            <v>5925.7406923594417</v>
          </cell>
        </row>
        <row r="1159">
          <cell r="D1159" t="str">
            <v>Lu 10T</v>
          </cell>
          <cell r="E1159" t="str">
            <v>ca</v>
          </cell>
          <cell r="F1159">
            <v>2.5000000000000001E-3</v>
          </cell>
          <cell r="G1159">
            <v>1108482.5668111888</v>
          </cell>
          <cell r="H1159">
            <v>2771.2064170279723</v>
          </cell>
        </row>
        <row r="1160">
          <cell r="D1160" t="str">
            <v>Ô tô tưới nước 5m3</v>
          </cell>
          <cell r="E1160" t="str">
            <v>ca</v>
          </cell>
          <cell r="F1160">
            <v>2.5000000000000001E-3</v>
          </cell>
          <cell r="G1160">
            <v>1073181.3719720279</v>
          </cell>
          <cell r="H1160">
            <v>2682.9534299300699</v>
          </cell>
        </row>
        <row r="1161">
          <cell r="D1161" t="str">
            <v>M¸y kh¸c</v>
          </cell>
          <cell r="E1161" t="str">
            <v>%</v>
          </cell>
          <cell r="F1161">
            <v>0.5</v>
          </cell>
          <cell r="H1161">
            <v>156.04972479165036</v>
          </cell>
        </row>
        <row r="1163">
          <cell r="D1163" t="str">
            <v>Mãng ®­êng ®¸ d¨m tiªu chuÈn líp trªn dµy 12cm</v>
          </cell>
          <cell r="E1163" t="str">
            <v>m2</v>
          </cell>
          <cell r="I1163" t="e">
            <v>#N/A</v>
          </cell>
          <cell r="J1163">
            <v>15845.020089230768</v>
          </cell>
          <cell r="K1163">
            <v>6285.8697044897126</v>
          </cell>
        </row>
        <row r="1164">
          <cell r="D1164" t="str">
            <v>A.VËt liÖu</v>
          </cell>
          <cell r="H1164" t="e">
            <v>#N/A</v>
          </cell>
        </row>
        <row r="1165">
          <cell r="D1165" t="str">
            <v>§¸ 4x6</v>
          </cell>
          <cell r="E1165" t="str">
            <v>m3</v>
          </cell>
          <cell r="F1165">
            <v>0.15828</v>
          </cell>
          <cell r="G1165" t="e">
            <v>#N/A</v>
          </cell>
          <cell r="H1165" t="e">
            <v>#N/A</v>
          </cell>
        </row>
        <row r="1166">
          <cell r="D1166" t="str">
            <v>§¸ 2x4</v>
          </cell>
          <cell r="E1166" t="str">
            <v>m3</v>
          </cell>
          <cell r="F1166">
            <v>3.96E-3</v>
          </cell>
          <cell r="G1166" t="e">
            <v>#N/A</v>
          </cell>
          <cell r="H1166" t="e">
            <v>#N/A</v>
          </cell>
        </row>
        <row r="1167">
          <cell r="D1167" t="str">
            <v>§¸ 1x2</v>
          </cell>
          <cell r="E1167" t="str">
            <v>m3</v>
          </cell>
          <cell r="F1167">
            <v>3.96E-3</v>
          </cell>
          <cell r="G1167" t="e">
            <v>#N/A</v>
          </cell>
          <cell r="H1167" t="e">
            <v>#N/A</v>
          </cell>
        </row>
        <row r="1168">
          <cell r="D1168" t="str">
            <v>§¸ 0.5x1</v>
          </cell>
          <cell r="E1168" t="str">
            <v>m3</v>
          </cell>
          <cell r="F1168">
            <v>5.28E-3</v>
          </cell>
          <cell r="G1168" t="e">
            <v>#N/A</v>
          </cell>
          <cell r="H1168" t="e">
            <v>#N/A</v>
          </cell>
        </row>
        <row r="1169">
          <cell r="D1169" t="str">
            <v>§¸ 0.15x0.5</v>
          </cell>
          <cell r="E1169" t="str">
            <v>m3</v>
          </cell>
          <cell r="F1169">
            <v>9.2399999999999999E-3</v>
          </cell>
          <cell r="G1169" t="e">
            <v>#N/A</v>
          </cell>
          <cell r="H1169" t="e">
            <v>#N/A</v>
          </cell>
        </row>
        <row r="1170">
          <cell r="D1170" t="str">
            <v>B. Nh©n c«ng 3/7 - nhãm 2</v>
          </cell>
          <cell r="E1170" t="str">
            <v>c«ng</v>
          </cell>
          <cell r="F1170">
            <v>8.004E-2</v>
          </cell>
          <cell r="G1170">
            <v>197963.76923076922</v>
          </cell>
          <cell r="H1170">
            <v>15845.020089230768</v>
          </cell>
        </row>
        <row r="1171">
          <cell r="D1171" t="str">
            <v>C. M¸y thi c«ng</v>
          </cell>
          <cell r="H1171">
            <v>6285.8697044897126</v>
          </cell>
        </row>
        <row r="1172">
          <cell r="D1172" t="str">
            <v>M¸y lu 8.5T</v>
          </cell>
          <cell r="E1172" t="str">
            <v>ca</v>
          </cell>
          <cell r="F1172">
            <v>3.96E-3</v>
          </cell>
          <cell r="G1172">
            <v>930645.09717482515</v>
          </cell>
          <cell r="H1172">
            <v>3685.3545848123076</v>
          </cell>
        </row>
        <row r="1173">
          <cell r="D1173" t="str">
            <v>¤ t« t­íi n­íc 5m3</v>
          </cell>
          <cell r="E1173" t="str">
            <v>ca</v>
          </cell>
          <cell r="F1173">
            <v>2.0400000000000001E-3</v>
          </cell>
          <cell r="G1173">
            <v>1073181.3719720279</v>
          </cell>
          <cell r="H1173">
            <v>2189.2899988229369</v>
          </cell>
        </row>
        <row r="1174">
          <cell r="D1174" t="str">
            <v>Máy khác</v>
          </cell>
          <cell r="E1174" t="str">
            <v>%</v>
          </cell>
          <cell r="F1174">
            <v>7</v>
          </cell>
          <cell r="G1174">
            <v>5874.644583635245</v>
          </cell>
          <cell r="H1174">
            <v>411.22512085446715</v>
          </cell>
        </row>
        <row r="1178">
          <cell r="D1178" t="str">
            <v xml:space="preserve">Đào kết cấu mặt đường cũ bằng máy </v>
          </cell>
          <cell r="E1178" t="str">
            <v>m3</v>
          </cell>
          <cell r="J1178">
            <v>11776.572553846152</v>
          </cell>
          <cell r="K1178">
            <v>14548.42478887021</v>
          </cell>
        </row>
        <row r="1179">
          <cell r="D1179" t="str">
            <v>B. Nh©n c«ng</v>
          </cell>
          <cell r="H1179">
            <v>11776.572553846152</v>
          </cell>
        </row>
        <row r="1180">
          <cell r="D1180" t="str">
            <v xml:space="preserve">Nh©n c«ng 3,0/7 </v>
          </cell>
          <cell r="E1180" t="str">
            <v>c«ng</v>
          </cell>
          <cell r="F1180">
            <v>6.7199999999999996E-2</v>
          </cell>
          <cell r="G1180">
            <v>175246.61538461538</v>
          </cell>
          <cell r="H1180">
            <v>11776.572553846152</v>
          </cell>
        </row>
        <row r="1181">
          <cell r="D1181" t="str">
            <v xml:space="preserve">C. Máy thi công </v>
          </cell>
          <cell r="H1181">
            <v>14548.42478887021</v>
          </cell>
        </row>
        <row r="1182">
          <cell r="D1182" t="str">
            <v>Máy đào 0.8m3</v>
          </cell>
          <cell r="E1182" t="str">
            <v>ca</v>
          </cell>
          <cell r="F1182">
            <v>4.9100000000000003E-3</v>
          </cell>
          <cell r="G1182">
            <v>2650799.7151048952</v>
          </cell>
          <cell r="H1182">
            <v>13015.426601165036</v>
          </cell>
        </row>
        <row r="1183">
          <cell r="D1183" t="str">
            <v>Máy ủi 110CV</v>
          </cell>
          <cell r="E1183" t="str">
            <v>ca</v>
          </cell>
          <cell r="F1183">
            <v>7.5999999999999993E-4</v>
          </cell>
          <cell r="G1183">
            <v>2017102.8785594408</v>
          </cell>
          <cell r="H1183">
            <v>1532.9981877051748</v>
          </cell>
        </row>
        <row r="1188">
          <cell r="D1188" t="str">
            <v>Th¸o dì cÊu kiÖn n¾p hè thu, bã vØa</v>
          </cell>
          <cell r="E1188" t="str">
            <v>ck</v>
          </cell>
          <cell r="I1188">
            <v>0</v>
          </cell>
          <cell r="J1188">
            <v>12530.133</v>
          </cell>
          <cell r="K1188">
            <v>14208.80042013986</v>
          </cell>
        </row>
        <row r="1189">
          <cell r="D1189" t="str">
            <v>A.VËt liÖu</v>
          </cell>
          <cell r="H1189">
            <v>0</v>
          </cell>
        </row>
        <row r="1190">
          <cell r="D1190" t="str">
            <v>B. Nh©n c«ng (VD = 60% l¾p dùng)</v>
          </cell>
          <cell r="H1190">
            <v>12530.133</v>
          </cell>
        </row>
        <row r="1191">
          <cell r="D1191" t="str">
            <v>Nh©n c«ng 4.0/7</v>
          </cell>
          <cell r="E1191" t="str">
            <v>c«ng</v>
          </cell>
          <cell r="F1191">
            <v>5.3999999999999999E-2</v>
          </cell>
          <cell r="G1191">
            <v>232039.5</v>
          </cell>
          <cell r="H1191">
            <v>12530.133</v>
          </cell>
        </row>
        <row r="1192">
          <cell r="D1192" t="str">
            <v>C. M¸y thi c«ng (VD = 60% l¾p dùng)</v>
          </cell>
          <cell r="H1192">
            <v>14208.80042013986</v>
          </cell>
        </row>
        <row r="1193">
          <cell r="D1193" t="str">
            <v>CÇn cÈu 3T</v>
          </cell>
          <cell r="E1193" t="str">
            <v>ca</v>
          </cell>
          <cell r="F1193">
            <v>1.0799999999999999E-2</v>
          </cell>
          <cell r="G1193">
            <v>1315629.6685314686</v>
          </cell>
          <cell r="H1193">
            <v>14208.80042013986</v>
          </cell>
        </row>
        <row r="1195">
          <cell r="D1195" t="str">
            <v>L¾p dùng ck cäc tiªu,cäc H, ck BT ®óc s½n &lt;50kg</v>
          </cell>
          <cell r="E1195" t="str">
            <v>ck</v>
          </cell>
          <cell r="J1195">
            <v>31033.254807692305</v>
          </cell>
        </row>
        <row r="1196">
          <cell r="D1196" t="str">
            <v>B. Nh©n c«ng 4/7 - nhãm 1</v>
          </cell>
          <cell r="E1196" t="str">
            <v>c«ng</v>
          </cell>
          <cell r="F1196">
            <v>0.15</v>
          </cell>
          <cell r="G1196">
            <v>206888.36538461538</v>
          </cell>
          <cell r="H1196">
            <v>31033.254807692305</v>
          </cell>
        </row>
        <row r="1198">
          <cell r="D1198" t="str">
            <v>Gia công lắp dựng cốt thép D&lt;10cm</v>
          </cell>
          <cell r="E1198" t="str">
            <v>tÊn</v>
          </cell>
          <cell r="I1198" t="e">
            <v>#N/A</v>
          </cell>
          <cell r="J1198">
            <v>2096010.3695192309</v>
          </cell>
          <cell r="K1198">
            <v>83807.992415384608</v>
          </cell>
        </row>
        <row r="1199">
          <cell r="D1199" t="str">
            <v>A.VËt liÖu</v>
          </cell>
          <cell r="H1199" t="e">
            <v>#N/A</v>
          </cell>
        </row>
        <row r="1200">
          <cell r="D1200" t="str">
            <v>ThÐp trßn D≤ 10mm</v>
          </cell>
          <cell r="E1200" t="str">
            <v>kg</v>
          </cell>
          <cell r="F1200">
            <v>1005</v>
          </cell>
          <cell r="G1200" t="e">
            <v>#N/A</v>
          </cell>
          <cell r="H1200" t="e">
            <v>#N/A</v>
          </cell>
        </row>
        <row r="1201">
          <cell r="D1201" t="str">
            <v>D©y thÐp</v>
          </cell>
          <cell r="E1201" t="str">
            <v>kg</v>
          </cell>
          <cell r="F1201">
            <v>21.42</v>
          </cell>
          <cell r="G1201" t="e">
            <v>#N/A</v>
          </cell>
          <cell r="H1201" t="e">
            <v>#N/A</v>
          </cell>
        </row>
        <row r="1202">
          <cell r="D1202" t="str">
            <v>B. Nh©n c«ng 3.5/7 - nhãm 1</v>
          </cell>
          <cell r="E1202" t="str">
            <v>c«ng</v>
          </cell>
          <cell r="F1202">
            <v>10.97</v>
          </cell>
          <cell r="G1202">
            <v>191067.49038461538</v>
          </cell>
          <cell r="H1202">
            <v>2096010.3695192309</v>
          </cell>
        </row>
        <row r="1203">
          <cell r="D1203" t="str">
            <v>C. M¸y thi c«ng</v>
          </cell>
          <cell r="H1203">
            <v>83807.992415384608</v>
          </cell>
        </row>
        <row r="1204">
          <cell r="D1204" t="str">
            <v>M¸y c¾t uèn cèt thÐp 5kW</v>
          </cell>
          <cell r="E1204" t="str">
            <v>ca</v>
          </cell>
          <cell r="F1204">
            <v>0.4</v>
          </cell>
          <cell r="G1204">
            <v>209519.9810384615</v>
          </cell>
          <cell r="H1204">
            <v>83807.992415384608</v>
          </cell>
        </row>
        <row r="1206">
          <cell r="D1206" t="str">
            <v>Gia công lắp dựng cốt thép D&gt;10cm</v>
          </cell>
          <cell r="E1206" t="str">
            <v>tÊn</v>
          </cell>
          <cell r="I1206" t="e">
            <v>#N/A</v>
          </cell>
          <cell r="J1206">
            <v>1326008.3832692308</v>
          </cell>
          <cell r="K1206" t="e">
            <v>#REF!</v>
          </cell>
        </row>
        <row r="1207">
          <cell r="D1207" t="str">
            <v>A.VËt liÖu</v>
          </cell>
          <cell r="H1207" t="e">
            <v>#N/A</v>
          </cell>
        </row>
        <row r="1208">
          <cell r="D1208" t="str">
            <v>ThÐp trßn D&gt; 10mm</v>
          </cell>
          <cell r="E1208" t="str">
            <v>kg</v>
          </cell>
          <cell r="F1208">
            <v>1020</v>
          </cell>
          <cell r="G1208" t="e">
            <v>#N/A</v>
          </cell>
          <cell r="H1208" t="e">
            <v>#N/A</v>
          </cell>
        </row>
        <row r="1209">
          <cell r="D1209" t="str">
            <v>D©y thÐp</v>
          </cell>
          <cell r="E1209" t="str">
            <v>kg</v>
          </cell>
          <cell r="F1209">
            <v>14.28</v>
          </cell>
          <cell r="G1209" t="e">
            <v>#N/A</v>
          </cell>
          <cell r="H1209" t="e">
            <v>#N/A</v>
          </cell>
        </row>
        <row r="1210">
          <cell r="D1210" t="str">
            <v>Que hàn</v>
          </cell>
          <cell r="E1210" t="str">
            <v>kg</v>
          </cell>
          <cell r="F1210">
            <v>5.3</v>
          </cell>
          <cell r="G1210" t="e">
            <v>#N/A</v>
          </cell>
          <cell r="H1210" t="e">
            <v>#N/A</v>
          </cell>
        </row>
        <row r="1211">
          <cell r="D1211" t="str">
            <v>B. Nh©n c«ng 4/7 - nhãm 1</v>
          </cell>
          <cell r="E1211" t="str">
            <v>c«ng</v>
          </cell>
          <cell r="F1211">
            <v>6.94</v>
          </cell>
          <cell r="G1211">
            <v>191067.49038461538</v>
          </cell>
          <cell r="H1211">
            <v>1326008.3832692308</v>
          </cell>
        </row>
        <row r="1212">
          <cell r="D1212" t="str">
            <v>C. M¸y thi c«ng</v>
          </cell>
          <cell r="H1212" t="e">
            <v>#REF!</v>
          </cell>
        </row>
        <row r="1213">
          <cell r="D1213" t="str">
            <v>M¸y hàn 23KW</v>
          </cell>
          <cell r="E1213" t="str">
            <v>ca</v>
          </cell>
          <cell r="F1213">
            <v>1.28</v>
          </cell>
          <cell r="G1213" t="e">
            <v>#REF!</v>
          </cell>
          <cell r="H1213" t="e">
            <v>#REF!</v>
          </cell>
        </row>
        <row r="1214">
          <cell r="D1214" t="str">
            <v>M¸y c¾t uèn cèt thÐp 5kW</v>
          </cell>
          <cell r="E1214" t="str">
            <v>ca</v>
          </cell>
          <cell r="F1214">
            <v>0.32</v>
          </cell>
          <cell r="G1214">
            <v>209519.9810384615</v>
          </cell>
          <cell r="H1214">
            <v>67046.393932307677</v>
          </cell>
        </row>
        <row r="1215">
          <cell r="D1215" t="str">
            <v>§¸ d¨m ®Öm</v>
          </cell>
          <cell r="E1215" t="str">
            <v>m3</v>
          </cell>
          <cell r="I1215" t="e">
            <v>#N/A</v>
          </cell>
          <cell r="J1215">
            <v>343418.46</v>
          </cell>
          <cell r="K1215">
            <v>0</v>
          </cell>
        </row>
        <row r="1216">
          <cell r="D1216" t="str">
            <v>A.VËt liÖu</v>
          </cell>
          <cell r="H1216" t="e">
            <v>#N/A</v>
          </cell>
        </row>
        <row r="1217">
          <cell r="D1217" t="str">
            <v>§¸ d¨m 2x4</v>
          </cell>
          <cell r="E1217" t="str">
            <v>m3</v>
          </cell>
          <cell r="F1217">
            <v>1.2</v>
          </cell>
          <cell r="G1217" t="e">
            <v>#N/A</v>
          </cell>
          <cell r="H1217" t="e">
            <v>#N/A</v>
          </cell>
        </row>
        <row r="1218">
          <cell r="D1218" t="str">
            <v>B. Nh©n c«ng</v>
          </cell>
          <cell r="H1218">
            <v>343418.46</v>
          </cell>
        </row>
        <row r="1219">
          <cell r="D1219" t="str">
            <v>Nh©n c«ng 4.0/7 - nhãm 2</v>
          </cell>
          <cell r="E1219" t="str">
            <v>c«ng</v>
          </cell>
          <cell r="F1219">
            <v>1.48</v>
          </cell>
          <cell r="G1219">
            <v>232039.5</v>
          </cell>
          <cell r="H1219">
            <v>343418.46</v>
          </cell>
        </row>
        <row r="1221">
          <cell r="D1221" t="str">
            <v>§ôc nh¸m</v>
          </cell>
          <cell r="E1221" t="str">
            <v>m2</v>
          </cell>
          <cell r="I1221">
            <v>0</v>
          </cell>
          <cell r="J1221">
            <v>29609.376057692305</v>
          </cell>
          <cell r="K1221">
            <v>0</v>
          </cell>
        </row>
        <row r="1222">
          <cell r="D1222" t="str">
            <v>B. Nh©n c«ng</v>
          </cell>
          <cell r="H1222">
            <v>29609.376057692305</v>
          </cell>
        </row>
        <row r="1223">
          <cell r="D1223" t="str">
            <v>Nh©n c«ng 3.7/7 - nhãm 1</v>
          </cell>
          <cell r="E1223" t="str">
            <v>c«ng</v>
          </cell>
          <cell r="F1223">
            <v>0.15</v>
          </cell>
          <cell r="G1223">
            <v>197395.84038461538</v>
          </cell>
          <cell r="H1223">
            <v>29609.376057692305</v>
          </cell>
        </row>
        <row r="1225">
          <cell r="D1225" t="str">
            <v>Th¸o dì g¹ch vØa hÌ</v>
          </cell>
          <cell r="E1225" t="str">
            <v>m2</v>
          </cell>
          <cell r="I1225">
            <v>0</v>
          </cell>
          <cell r="J1225">
            <v>21475.012326923075</v>
          </cell>
          <cell r="K1225">
            <v>0</v>
          </cell>
        </row>
        <row r="1226">
          <cell r="D1226" t="str">
            <v>B. Nh©n c«ng</v>
          </cell>
          <cell r="H1226">
            <v>21475.012326923075</v>
          </cell>
        </row>
        <row r="1227">
          <cell r="D1227" t="str">
            <v>Nh©n c«ng 4.0/7 - nhãm 1</v>
          </cell>
          <cell r="E1227" t="str">
            <v>c«ng</v>
          </cell>
          <cell r="F1227">
            <v>0.10379999999999999</v>
          </cell>
          <cell r="G1227">
            <v>206888.36538461538</v>
          </cell>
          <cell r="H1227">
            <v>21475.012326923075</v>
          </cell>
        </row>
        <row r="1229">
          <cell r="D1229" t="str">
            <v>L¸t g¹ch vØa hÌ</v>
          </cell>
          <cell r="E1229" t="str">
            <v>m2</v>
          </cell>
          <cell r="I1229">
            <v>0</v>
          </cell>
          <cell r="J1229">
            <v>35791.687211538454</v>
          </cell>
          <cell r="K1229">
            <v>0</v>
          </cell>
        </row>
        <row r="1230">
          <cell r="D1230" t="str">
            <v>B. Nh©n c«ng</v>
          </cell>
          <cell r="H1230">
            <v>35791.687211538454</v>
          </cell>
        </row>
        <row r="1231">
          <cell r="D1231" t="str">
            <v>Nh©n c«ng 4.0/7 - nhãm 1</v>
          </cell>
          <cell r="E1231" t="str">
            <v>c«ng</v>
          </cell>
          <cell r="F1231">
            <v>0.17299999999999999</v>
          </cell>
          <cell r="G1231">
            <v>206888.36538461538</v>
          </cell>
          <cell r="H1231">
            <v>35791.687211538454</v>
          </cell>
        </row>
        <row r="1233">
          <cell r="D1233" t="str">
            <v>BT bã vØa ®óc s½n M200, ®¸ 1x2</v>
          </cell>
          <cell r="E1233" t="str">
            <v>m3</v>
          </cell>
          <cell r="I1233">
            <v>0</v>
          </cell>
          <cell r="J1233">
            <v>427991.17846153845</v>
          </cell>
          <cell r="K1233">
            <v>28828.065138019228</v>
          </cell>
        </row>
        <row r="1234">
          <cell r="D1234" t="str">
            <v>A.VËt liÖu</v>
          </cell>
          <cell r="H1234">
            <v>0</v>
          </cell>
        </row>
        <row r="1235">
          <cell r="D1235" t="str">
            <v>V÷a BT M200</v>
          </cell>
          <cell r="E1235" t="str">
            <v>m3</v>
          </cell>
          <cell r="F1235">
            <v>1.0149999999999999</v>
          </cell>
          <cell r="G1235">
            <v>0</v>
          </cell>
          <cell r="H1235">
            <v>0</v>
          </cell>
        </row>
        <row r="1236">
          <cell r="D1236" t="str">
            <v>VËt liÖu kh¸c</v>
          </cell>
          <cell r="E1236" t="str">
            <v>%</v>
          </cell>
          <cell r="F1236">
            <v>0.5</v>
          </cell>
          <cell r="H1236">
            <v>0</v>
          </cell>
        </row>
        <row r="1237">
          <cell r="D1237" t="str">
            <v>B. Nh©n c«ng</v>
          </cell>
          <cell r="H1237">
            <v>427991.17846153845</v>
          </cell>
        </row>
        <row r="1238">
          <cell r="D1238" t="str">
            <v>Nh©n c«ng 3.5/7 - nhãm 1</v>
          </cell>
          <cell r="E1238" t="str">
            <v>c«ng</v>
          </cell>
          <cell r="F1238">
            <v>2.2400000000000002</v>
          </cell>
          <cell r="G1238">
            <v>191067.49038461538</v>
          </cell>
          <cell r="H1238">
            <v>427991.17846153845</v>
          </cell>
        </row>
        <row r="1239">
          <cell r="D1239" t="str">
            <v xml:space="preserve">C. M¸y thi c«ng </v>
          </cell>
          <cell r="H1239">
            <v>28828.065138019228</v>
          </cell>
        </row>
        <row r="1240">
          <cell r="D1240" t="str">
            <v>M¸y trén 250l</v>
          </cell>
          <cell r="E1240" t="str">
            <v>ca</v>
          </cell>
          <cell r="F1240">
            <v>9.5000000000000001E-2</v>
          </cell>
          <cell r="G1240">
            <v>275866.65203846153</v>
          </cell>
          <cell r="H1240">
            <v>26207.331943653844</v>
          </cell>
        </row>
        <row r="1241">
          <cell r="D1241" t="str">
            <v>M¸y kh¸c</v>
          </cell>
          <cell r="E1241" t="str">
            <v>%</v>
          </cell>
          <cell r="F1241">
            <v>10</v>
          </cell>
          <cell r="G1241">
            <v>26207.331943653844</v>
          </cell>
          <cell r="H1241">
            <v>2620.7331943653844</v>
          </cell>
        </row>
        <row r="1243">
          <cell r="D1243" t="str">
            <v>Tr¸t vữa dµy 2cm</v>
          </cell>
          <cell r="E1243" t="str">
            <v>m3</v>
          </cell>
          <cell r="I1243">
            <v>0</v>
          </cell>
          <cell r="J1243">
            <v>66204.276923076919</v>
          </cell>
          <cell r="K1243">
            <v>680.62881297115371</v>
          </cell>
        </row>
        <row r="1244">
          <cell r="D1244" t="str">
            <v>A.VËt liÖu</v>
          </cell>
          <cell r="H1244">
            <v>0</v>
          </cell>
        </row>
        <row r="1245">
          <cell r="D1245" t="str">
            <v xml:space="preserve">V÷a XM </v>
          </cell>
          <cell r="E1245" t="str">
            <v>m3</v>
          </cell>
          <cell r="F1245">
            <v>2.3E-2</v>
          </cell>
          <cell r="G1245">
            <v>0</v>
          </cell>
          <cell r="H1245">
            <v>0</v>
          </cell>
        </row>
        <row r="1246">
          <cell r="D1246" t="str">
            <v>VËt liÖu kh¸c</v>
          </cell>
          <cell r="E1246" t="str">
            <v>%</v>
          </cell>
          <cell r="F1246">
            <v>0.5</v>
          </cell>
          <cell r="H1246">
            <v>0</v>
          </cell>
        </row>
        <row r="1247">
          <cell r="D1247" t="str">
            <v>B. Nh©n c«ng</v>
          </cell>
          <cell r="H1247">
            <v>66204.276923076919</v>
          </cell>
        </row>
        <row r="1248">
          <cell r="D1248" t="str">
            <v>Nh©n c«ng 4.0/7 - nhãm 1</v>
          </cell>
          <cell r="E1248" t="str">
            <v>c«ng</v>
          </cell>
          <cell r="F1248">
            <v>0.32</v>
          </cell>
          <cell r="G1248">
            <v>206888.36538461538</v>
          </cell>
          <cell r="H1248">
            <v>66204.276923076919</v>
          </cell>
        </row>
        <row r="1249">
          <cell r="D1249" t="str">
            <v xml:space="preserve">C. M¸y thi c«ng </v>
          </cell>
          <cell r="H1249">
            <v>680.62881297115371</v>
          </cell>
        </row>
        <row r="1250">
          <cell r="D1250" t="str">
            <v>M¸y trén 80l</v>
          </cell>
          <cell r="E1250" t="str">
            <v>ca</v>
          </cell>
          <cell r="F1250">
            <v>3.0000000000000001E-3</v>
          </cell>
          <cell r="G1250">
            <v>216072.63903846149</v>
          </cell>
          <cell r="H1250">
            <v>648.21791711538447</v>
          </cell>
        </row>
        <row r="1251">
          <cell r="D1251" t="str">
            <v>M¸y kh¸c</v>
          </cell>
          <cell r="E1251" t="str">
            <v>%</v>
          </cell>
          <cell r="F1251">
            <v>5</v>
          </cell>
          <cell r="G1251">
            <v>648.21791711538447</v>
          </cell>
          <cell r="H1251">
            <v>32.410895855769226</v>
          </cell>
        </row>
        <row r="1253">
          <cell r="D1253" t="str">
            <v>X©y g¹ch</v>
          </cell>
          <cell r="E1253" t="str">
            <v>m3</v>
          </cell>
          <cell r="I1253" t="e">
            <v>#N/A</v>
          </cell>
          <cell r="J1253">
            <v>449008.60240384616</v>
          </cell>
        </row>
        <row r="1254">
          <cell r="D1254" t="str">
            <v>A.VËt liÖu</v>
          </cell>
          <cell r="H1254" t="e">
            <v>#N/A</v>
          </cell>
        </row>
        <row r="1255">
          <cell r="D1255" t="str">
            <v>G¹ch</v>
          </cell>
          <cell r="E1255" t="str">
            <v>viªn</v>
          </cell>
          <cell r="F1255">
            <v>582</v>
          </cell>
          <cell r="G1255" t="e">
            <v>#N/A</v>
          </cell>
          <cell r="H1255" t="e">
            <v>#N/A</v>
          </cell>
        </row>
        <row r="1256">
          <cell r="D1256" t="str">
            <v>V÷a M100</v>
          </cell>
          <cell r="E1256" t="str">
            <v>m3</v>
          </cell>
          <cell r="F1256">
            <v>0.34200000000000003</v>
          </cell>
          <cell r="G1256">
            <v>0</v>
          </cell>
          <cell r="H1256">
            <v>0</v>
          </cell>
        </row>
        <row r="1257">
          <cell r="D1257" t="str">
            <v>B. Nh©n c«ng</v>
          </cell>
          <cell r="H1257">
            <v>449008.60240384616</v>
          </cell>
        </row>
        <row r="1258">
          <cell r="D1258" t="str">
            <v>Nh©n c«ng 3,5/7</v>
          </cell>
          <cell r="E1258" t="str">
            <v>c«ng</v>
          </cell>
          <cell r="F1258">
            <v>2.35</v>
          </cell>
          <cell r="G1258">
            <v>191067.49038461538</v>
          </cell>
          <cell r="H1258">
            <v>449008.60240384616</v>
          </cell>
        </row>
        <row r="1260">
          <cell r="D1260" t="str">
            <v>Rót vữa Sikaground 214</v>
          </cell>
          <cell r="E1260" t="str">
            <v>lít</v>
          </cell>
          <cell r="I1260">
            <v>0</v>
          </cell>
          <cell r="J1260">
            <v>19106.749038461538</v>
          </cell>
        </row>
        <row r="1261">
          <cell r="D1261" t="str">
            <v>A.Vật liệu</v>
          </cell>
          <cell r="H1261">
            <v>0</v>
          </cell>
        </row>
        <row r="1262">
          <cell r="D1262" t="str">
            <v>Vữa Sikaground 214</v>
          </cell>
          <cell r="E1262" t="str">
            <v>lít</v>
          </cell>
          <cell r="F1262">
            <v>1.0249999999999999</v>
          </cell>
          <cell r="G1262">
            <v>0</v>
          </cell>
          <cell r="H1262">
            <v>0</v>
          </cell>
        </row>
        <row r="1263">
          <cell r="D1263" t="str">
            <v>Vật liệu khác</v>
          </cell>
          <cell r="E1263" t="str">
            <v>%</v>
          </cell>
          <cell r="F1263">
            <v>5</v>
          </cell>
          <cell r="H1263">
            <v>0</v>
          </cell>
        </row>
        <row r="1264">
          <cell r="D1264" t="str">
            <v>B. Nhân công</v>
          </cell>
          <cell r="H1264">
            <v>19106.749038461538</v>
          </cell>
        </row>
        <row r="1265">
          <cell r="D1265" t="str">
            <v>Nhân công 3,5/7</v>
          </cell>
          <cell r="E1265" t="str">
            <v>công</v>
          </cell>
          <cell r="F1265">
            <v>0.1</v>
          </cell>
          <cell r="G1265">
            <v>191067.49038461538</v>
          </cell>
          <cell r="H1265">
            <v>19106.749038461538</v>
          </cell>
        </row>
        <row r="1267">
          <cell r="D1267" t="str">
            <v>Quét Sika dur 732 mật độ 0,3kg/m2</v>
          </cell>
          <cell r="E1267" t="str">
            <v>m2</v>
          </cell>
          <cell r="I1267" t="e">
            <v>#N/A</v>
          </cell>
          <cell r="J1267">
            <v>5732.0247115384609</v>
          </cell>
        </row>
        <row r="1268">
          <cell r="D1268" t="str">
            <v>A.Vật liệu</v>
          </cell>
          <cell r="H1268" t="e">
            <v>#N/A</v>
          </cell>
        </row>
        <row r="1269">
          <cell r="D1269" t="str">
            <v>Sikadur 732</v>
          </cell>
          <cell r="E1269" t="str">
            <v>kg</v>
          </cell>
          <cell r="F1269">
            <v>0.3</v>
          </cell>
          <cell r="G1269" t="e">
            <v>#N/A</v>
          </cell>
          <cell r="H1269" t="e">
            <v>#N/A</v>
          </cell>
        </row>
        <row r="1270">
          <cell r="D1270" t="str">
            <v>Vật liệu khác</v>
          </cell>
          <cell r="E1270" t="str">
            <v>%</v>
          </cell>
          <cell r="F1270">
            <v>10</v>
          </cell>
          <cell r="H1270" t="e">
            <v>#N/A</v>
          </cell>
        </row>
        <row r="1271">
          <cell r="D1271" t="str">
            <v>B. Nh©n c«ng</v>
          </cell>
          <cell r="H1271">
            <v>5732.0247115384609</v>
          </cell>
        </row>
        <row r="1272">
          <cell r="D1272" t="str">
            <v>Nhân công 3,5/7</v>
          </cell>
          <cell r="E1272" t="str">
            <v>công</v>
          </cell>
          <cell r="F1272">
            <v>0.03</v>
          </cell>
          <cell r="G1272">
            <v>191067.49038461538</v>
          </cell>
          <cell r="H1272">
            <v>5732.0247115384609</v>
          </cell>
        </row>
        <row r="1273">
          <cell r="D1273" t="str">
            <v>§¾p cÊp phèi ®¸ d¨m lo¹i 1</v>
          </cell>
          <cell r="E1273" t="str">
            <v>m3</v>
          </cell>
          <cell r="I1273" t="e">
            <v>#N/A</v>
          </cell>
          <cell r="J1273">
            <v>10673.816999999999</v>
          </cell>
          <cell r="K1273">
            <v>21279.072172105592</v>
          </cell>
        </row>
        <row r="1274">
          <cell r="D1274" t="str">
            <v>A.VËt liÖu</v>
          </cell>
          <cell r="H1274" t="e">
            <v>#N/A</v>
          </cell>
        </row>
        <row r="1275">
          <cell r="D1275" t="str">
            <v>CÊp phèi ®¸ d¨m lo¹i 1</v>
          </cell>
          <cell r="E1275" t="str">
            <v>m3</v>
          </cell>
          <cell r="F1275">
            <v>1.42</v>
          </cell>
          <cell r="G1275" t="e">
            <v>#N/A</v>
          </cell>
          <cell r="H1275" t="e">
            <v>#N/A</v>
          </cell>
        </row>
        <row r="1276">
          <cell r="D1276" t="str">
            <v>B. Nh©n c«ng 4.0/7 - nhãm 2</v>
          </cell>
          <cell r="E1276" t="str">
            <v>c«ng</v>
          </cell>
          <cell r="F1276">
            <v>4.5999999999999999E-2</v>
          </cell>
          <cell r="G1276">
            <v>232039.5</v>
          </cell>
          <cell r="H1276">
            <v>10673.816999999999</v>
          </cell>
        </row>
        <row r="1277">
          <cell r="D1277" t="str">
            <v>C. M¸y thi c«ng</v>
          </cell>
          <cell r="H1277">
            <v>21279.072172105592</v>
          </cell>
        </row>
        <row r="1278">
          <cell r="D1278" t="str">
            <v>M¸y r¶i 50 - 60m3/h</v>
          </cell>
          <cell r="E1278" t="str">
            <v>ca</v>
          </cell>
          <cell r="F1278">
            <v>2.5000000000000001E-3</v>
          </cell>
          <cell r="G1278">
            <v>103789.12146853143</v>
          </cell>
          <cell r="H1278">
            <v>259.47280367132856</v>
          </cell>
          <cell r="I1278" t="str">
            <v>Líp mãng trªn</v>
          </cell>
        </row>
        <row r="1279">
          <cell r="D1279" t="str">
            <v>M¸y lu rung 25T</v>
          </cell>
          <cell r="E1279" t="str">
            <v>ca</v>
          </cell>
          <cell r="F1279">
            <v>2.5000000000000001E-3</v>
          </cell>
          <cell r="G1279">
            <v>2980726.3193566436</v>
          </cell>
          <cell r="H1279">
            <v>7451.815798391609</v>
          </cell>
        </row>
        <row r="1280">
          <cell r="D1280" t="str">
            <v>M¸y lu lèp 16T</v>
          </cell>
          <cell r="E1280" t="str">
            <v>ca</v>
          </cell>
          <cell r="F1280">
            <v>5.0000000000000001E-3</v>
          </cell>
          <cell r="G1280">
            <v>1601551.5384755246</v>
          </cell>
          <cell r="H1280">
            <v>8007.7576923776232</v>
          </cell>
        </row>
        <row r="1281">
          <cell r="D1281" t="str">
            <v>M¸y lu 10T</v>
          </cell>
          <cell r="E1281" t="str">
            <v>ca</v>
          </cell>
          <cell r="F1281">
            <v>2.5000000000000001E-3</v>
          </cell>
          <cell r="G1281">
            <v>1108482.5668111888</v>
          </cell>
          <cell r="H1281">
            <v>2771.2064170279723</v>
          </cell>
        </row>
        <row r="1282">
          <cell r="D1282" t="str">
            <v>¤ t« t­íi n­íc 5m3</v>
          </cell>
          <cell r="E1282" t="str">
            <v>ca</v>
          </cell>
          <cell r="F1282">
            <v>2.5000000000000001E-3</v>
          </cell>
          <cell r="G1282">
            <v>1073181.3719720279</v>
          </cell>
          <cell r="H1282">
            <v>2682.9534299300699</v>
          </cell>
        </row>
        <row r="1283">
          <cell r="D1283" t="str">
            <v>M¸y kh¸c</v>
          </cell>
          <cell r="E1283" t="str">
            <v>%</v>
          </cell>
          <cell r="F1283">
            <v>0.5</v>
          </cell>
          <cell r="H1283">
            <v>105.866030706993</v>
          </cell>
        </row>
        <row r="1285">
          <cell r="D1285" t="str">
            <v>§¾p cÊp phèi ®¸ d¨m lo¹i 2</v>
          </cell>
          <cell r="E1285" t="str">
            <v>m3</v>
          </cell>
          <cell r="I1285" t="e">
            <v>#N/A</v>
          </cell>
          <cell r="J1285">
            <v>9745.6590000000015</v>
          </cell>
          <cell r="K1285">
            <v>31365.994683121724</v>
          </cell>
        </row>
        <row r="1286">
          <cell r="D1286" t="str">
            <v>A.VËt liÖu</v>
          </cell>
          <cell r="H1286" t="e">
            <v>#N/A</v>
          </cell>
        </row>
        <row r="1287">
          <cell r="D1287" t="str">
            <v>CÊp phèi ®¸ d¨m lo¹i 2</v>
          </cell>
          <cell r="E1287" t="str">
            <v>m3</v>
          </cell>
          <cell r="F1287">
            <v>1.42</v>
          </cell>
          <cell r="G1287" t="e">
            <v>#N/A</v>
          </cell>
          <cell r="H1287" t="e">
            <v>#N/A</v>
          </cell>
        </row>
        <row r="1288">
          <cell r="D1288" t="str">
            <v>B. Nh©n c«ng 4.0/7</v>
          </cell>
          <cell r="E1288" t="str">
            <v>c«ng</v>
          </cell>
          <cell r="F1288">
            <v>4.2000000000000003E-2</v>
          </cell>
          <cell r="G1288">
            <v>232039.5</v>
          </cell>
          <cell r="H1288">
            <v>9745.6590000000015</v>
          </cell>
        </row>
        <row r="1289">
          <cell r="D1289" t="str">
            <v>C. M¸y thi c«ng</v>
          </cell>
          <cell r="H1289">
            <v>31365.994683121724</v>
          </cell>
        </row>
        <row r="1290">
          <cell r="D1290" t="str">
            <v>M¸y ñi 110CV</v>
          </cell>
          <cell r="E1290" t="str">
            <v>ca</v>
          </cell>
          <cell r="F1290">
            <v>5.0000000000000001E-3</v>
          </cell>
          <cell r="G1290">
            <v>2017102.8785594408</v>
          </cell>
          <cell r="H1290">
            <v>10085.514392797204</v>
          </cell>
        </row>
        <row r="1291">
          <cell r="D1291" t="str">
            <v>M¸y san 108CV</v>
          </cell>
          <cell r="E1291" t="str">
            <v>ca</v>
          </cell>
          <cell r="F1291">
            <v>1.0499999999999999E-3</v>
          </cell>
          <cell r="G1291">
            <v>2183537.3598321676</v>
          </cell>
          <cell r="H1291">
            <v>2292.7142278237757</v>
          </cell>
          <cell r="I1291" t="str">
            <v>Líp mãng d­íi</v>
          </cell>
        </row>
        <row r="1292">
          <cell r="D1292" t="str">
            <v>M¸y lu rung 25T</v>
          </cell>
          <cell r="E1292" t="str">
            <v>ca</v>
          </cell>
          <cell r="F1292">
            <v>2.5000000000000001E-3</v>
          </cell>
          <cell r="G1292">
            <v>2980726.3193566436</v>
          </cell>
          <cell r="H1292">
            <v>7451.815798391609</v>
          </cell>
        </row>
        <row r="1293">
          <cell r="D1293" t="str">
            <v>M¸y lu lèp 16T</v>
          </cell>
          <cell r="E1293" t="str">
            <v>ca</v>
          </cell>
          <cell r="F1293">
            <v>3.7000000000000002E-3</v>
          </cell>
          <cell r="G1293">
            <v>1601551.5384755246</v>
          </cell>
          <cell r="H1293">
            <v>5925.7406923594417</v>
          </cell>
        </row>
        <row r="1294">
          <cell r="D1294" t="str">
            <v>M¸y lu 10T</v>
          </cell>
          <cell r="E1294" t="str">
            <v>ca</v>
          </cell>
          <cell r="F1294">
            <v>2.5000000000000001E-3</v>
          </cell>
          <cell r="G1294">
            <v>1108482.5668111888</v>
          </cell>
          <cell r="H1294">
            <v>2771.2064170279723</v>
          </cell>
        </row>
        <row r="1295">
          <cell r="D1295" t="str">
            <v>¤ t« t­íi n­íc 5m3</v>
          </cell>
          <cell r="E1295" t="str">
            <v>ca</v>
          </cell>
          <cell r="F1295">
            <v>2.5000000000000001E-3</v>
          </cell>
          <cell r="G1295">
            <v>1073181.3719720279</v>
          </cell>
          <cell r="H1295">
            <v>2682.9534299300699</v>
          </cell>
        </row>
        <row r="1296">
          <cell r="D1296" t="str">
            <v>M¸y kh¸c</v>
          </cell>
          <cell r="E1296" t="str">
            <v>%</v>
          </cell>
          <cell r="F1296">
            <v>0.5</v>
          </cell>
          <cell r="H1296">
            <v>156.04972479165036</v>
          </cell>
        </row>
        <row r="1298">
          <cell r="D1298" t="str">
            <v>S¬n gi¶i ph©n c¸ch (s¬n bª t«ng)</v>
          </cell>
          <cell r="E1298" t="str">
            <v>m2</v>
          </cell>
          <cell r="I1298" t="e">
            <v>#N/A</v>
          </cell>
          <cell r="J1298">
            <v>21713.542442307691</v>
          </cell>
        </row>
        <row r="1299">
          <cell r="D1299" t="str">
            <v>A.VËt liÖu</v>
          </cell>
          <cell r="H1299" t="e">
            <v>#N/A</v>
          </cell>
        </row>
        <row r="1300">
          <cell r="D1300" t="str">
            <v>S¬n</v>
          </cell>
          <cell r="E1300" t="str">
            <v>kg</v>
          </cell>
          <cell r="F1300">
            <v>0.312</v>
          </cell>
          <cell r="G1300" t="e">
            <v>#N/A</v>
          </cell>
          <cell r="H1300" t="e">
            <v>#N/A</v>
          </cell>
        </row>
        <row r="1301">
          <cell r="D1301" t="str">
            <v>B. Nh©n c«ng</v>
          </cell>
          <cell r="H1301">
            <v>21713.542442307691</v>
          </cell>
        </row>
        <row r="1302">
          <cell r="D1302" t="str">
            <v>Nh©n c«ng 3,7/7</v>
          </cell>
          <cell r="E1302" t="str">
            <v>c«ng</v>
          </cell>
          <cell r="F1302">
            <v>0.11</v>
          </cell>
          <cell r="G1302">
            <v>197395.84038461538</v>
          </cell>
          <cell r="H1302">
            <v>21713.542442307691</v>
          </cell>
        </row>
        <row r="1304">
          <cell r="D1304" t="str">
            <v>Nhùa dÝnh b¸m 1kg/m2</v>
          </cell>
          <cell r="E1304" t="str">
            <v>m2</v>
          </cell>
          <cell r="F1304">
            <v>1</v>
          </cell>
          <cell r="I1304" t="e">
            <v>#N/A</v>
          </cell>
          <cell r="J1304">
            <v>675.10513269230773</v>
          </cell>
          <cell r="K1304">
            <v>3769.5747869504894</v>
          </cell>
        </row>
        <row r="1305">
          <cell r="D1305" t="str">
            <v>A.VËt liÖu</v>
          </cell>
          <cell r="H1305" t="e">
            <v>#N/A</v>
          </cell>
        </row>
        <row r="1306">
          <cell r="D1306" t="str">
            <v>- Nhùa ®­êng</v>
          </cell>
          <cell r="E1306" t="str">
            <v>kg</v>
          </cell>
          <cell r="F1306">
            <v>0.78650000000000009</v>
          </cell>
          <cell r="G1306" t="e">
            <v>#N/A</v>
          </cell>
          <cell r="H1306" t="e">
            <v>#N/A</v>
          </cell>
        </row>
        <row r="1307">
          <cell r="D1307" t="str">
            <v>- DÇu ho¶</v>
          </cell>
          <cell r="E1307" t="str">
            <v>kg</v>
          </cell>
          <cell r="F1307">
            <v>0.32100000000000001</v>
          </cell>
          <cell r="G1307" t="e">
            <v>#N/A</v>
          </cell>
          <cell r="H1307" t="e">
            <v>#N/A</v>
          </cell>
        </row>
        <row r="1308">
          <cell r="D1308" t="str">
            <v>B. Nh©n c«ng 3,5/7 - nhãm 2</v>
          </cell>
          <cell r="E1308" t="str">
            <v>c«ng</v>
          </cell>
          <cell r="F1308">
            <v>3.14E-3</v>
          </cell>
          <cell r="G1308">
            <v>215001.63461538462</v>
          </cell>
          <cell r="H1308">
            <v>675.10513269230773</v>
          </cell>
        </row>
        <row r="1309">
          <cell r="D1309" t="str">
            <v>C. M¸y thi c«ng</v>
          </cell>
          <cell r="H1309">
            <v>3769.5747869504894</v>
          </cell>
        </row>
        <row r="1310">
          <cell r="D1310" t="str">
            <v>- ThiÕt bÞ nÊu nhùa</v>
          </cell>
          <cell r="E1310" t="str">
            <v>ca</v>
          </cell>
          <cell r="F1310">
            <v>4.8999999999999998E-4</v>
          </cell>
          <cell r="G1310">
            <v>297380.2115384615</v>
          </cell>
          <cell r="H1310">
            <v>145.71630365384613</v>
          </cell>
        </row>
        <row r="1311">
          <cell r="D1311" t="str">
            <v>- ¤t« t­íi nhùa</v>
          </cell>
          <cell r="E1311" t="str">
            <v>ca</v>
          </cell>
          <cell r="F1311">
            <v>9.7999999999999997E-4</v>
          </cell>
          <cell r="G1311">
            <v>3054144.3365594405</v>
          </cell>
          <cell r="H1311">
            <v>2993.0614498282516</v>
          </cell>
        </row>
        <row r="1312">
          <cell r="D1312" t="str">
            <v>- M¸y nÐn khÝ</v>
          </cell>
          <cell r="E1312" t="str">
            <v>ca</v>
          </cell>
          <cell r="F1312">
            <v>4.8999999999999998E-4</v>
          </cell>
          <cell r="G1312">
            <v>1287340.8846293706</v>
          </cell>
          <cell r="H1312">
            <v>630.79703346839165</v>
          </cell>
        </row>
        <row r="1314">
          <cell r="D1314" t="str">
            <v>Nhùa dÝnh b¸m 0,8kg/m2</v>
          </cell>
          <cell r="E1314" t="str">
            <v>m2</v>
          </cell>
          <cell r="F1314">
            <v>1</v>
          </cell>
          <cell r="I1314" t="e">
            <v>#N/A</v>
          </cell>
          <cell r="J1314">
            <v>675.10513269230773</v>
          </cell>
          <cell r="K1314">
            <v>3769.5747869504894</v>
          </cell>
        </row>
        <row r="1315">
          <cell r="D1315" t="str">
            <v>A.VËt liÖu</v>
          </cell>
          <cell r="H1315" t="e">
            <v>#N/A</v>
          </cell>
        </row>
        <row r="1316">
          <cell r="D1316" t="str">
            <v>- Nhùa ®­êng</v>
          </cell>
          <cell r="E1316" t="str">
            <v>kg</v>
          </cell>
          <cell r="F1316">
            <v>0.62915999999999994</v>
          </cell>
          <cell r="G1316" t="e">
            <v>#N/A</v>
          </cell>
          <cell r="H1316" t="e">
            <v>#N/A</v>
          </cell>
        </row>
        <row r="1317">
          <cell r="D1317" t="str">
            <v>- DÇu ho¶</v>
          </cell>
          <cell r="E1317" t="str">
            <v>kg</v>
          </cell>
          <cell r="F1317">
            <v>0.25679999999999997</v>
          </cell>
          <cell r="G1317" t="e">
            <v>#N/A</v>
          </cell>
          <cell r="H1317" t="e">
            <v>#N/A</v>
          </cell>
        </row>
        <row r="1318">
          <cell r="D1318" t="str">
            <v>B. Nh©n c«ng 3,5/7</v>
          </cell>
          <cell r="E1318" t="str">
            <v>c«ng</v>
          </cell>
          <cell r="F1318">
            <v>3.14E-3</v>
          </cell>
          <cell r="G1318">
            <v>215001.63461538462</v>
          </cell>
          <cell r="H1318">
            <v>675.10513269230773</v>
          </cell>
        </row>
        <row r="1319">
          <cell r="D1319" t="str">
            <v>C. M¸y thi c«ng</v>
          </cell>
          <cell r="H1319">
            <v>3769.5747869504894</v>
          </cell>
        </row>
        <row r="1320">
          <cell r="D1320" t="str">
            <v>- ThiÕt bÞ nÊu nhùa</v>
          </cell>
          <cell r="E1320" t="str">
            <v>ca</v>
          </cell>
          <cell r="F1320">
            <v>4.8999999999999998E-4</v>
          </cell>
          <cell r="G1320">
            <v>297380.2115384615</v>
          </cell>
          <cell r="H1320">
            <v>145.71630365384613</v>
          </cell>
        </row>
        <row r="1321">
          <cell r="D1321" t="str">
            <v>- ¤t« t­íi nhùa</v>
          </cell>
          <cell r="E1321" t="str">
            <v>ca</v>
          </cell>
          <cell r="F1321">
            <v>9.7999999999999997E-4</v>
          </cell>
          <cell r="G1321">
            <v>3054144.3365594405</v>
          </cell>
          <cell r="H1321">
            <v>2993.0614498282516</v>
          </cell>
        </row>
        <row r="1322">
          <cell r="D1322" t="str">
            <v>- M¸y nÐn khÝ</v>
          </cell>
          <cell r="E1322" t="str">
            <v>ca</v>
          </cell>
          <cell r="F1322">
            <v>4.8999999999999998E-4</v>
          </cell>
          <cell r="G1322">
            <v>1287340.8846293706</v>
          </cell>
          <cell r="H1322">
            <v>630.79703346839165</v>
          </cell>
        </row>
        <row r="1324">
          <cell r="D1324" t="str">
            <v>Mãng ®­êng ®¸ d¨m tiªu chuÈn líp d­íi dµy 20cm</v>
          </cell>
          <cell r="E1324" t="str">
            <v>m2</v>
          </cell>
          <cell r="I1324" t="e">
            <v>#N/A</v>
          </cell>
          <cell r="J1324">
            <v>23166.255751153843</v>
          </cell>
          <cell r="K1324">
            <v>23494.518213925592</v>
          </cell>
        </row>
        <row r="1325">
          <cell r="D1325" t="str">
            <v>A.VËt liÖu</v>
          </cell>
          <cell r="H1325" t="e">
            <v>#N/A</v>
          </cell>
        </row>
        <row r="1326">
          <cell r="D1326" t="str">
            <v>§¸ 4x6</v>
          </cell>
          <cell r="E1326" t="str">
            <v>m3</v>
          </cell>
          <cell r="F1326">
            <v>0.26379999999999998</v>
          </cell>
          <cell r="G1326" t="e">
            <v>#N/A</v>
          </cell>
          <cell r="H1326" t="e">
            <v>#N/A</v>
          </cell>
        </row>
        <row r="1327">
          <cell r="D1327" t="str">
            <v>B. Nh©n c«ng 2.7/7</v>
          </cell>
          <cell r="E1327" t="str">
            <v>c«ng</v>
          </cell>
          <cell r="F1327">
            <v>0.1226</v>
          </cell>
          <cell r="G1327">
            <v>188958.04038461536</v>
          </cell>
          <cell r="H1327">
            <v>23166.255751153843</v>
          </cell>
        </row>
        <row r="1328">
          <cell r="D1328" t="str">
            <v>C. M¸y thi c«ng</v>
          </cell>
          <cell r="H1328">
            <v>23494.518213925592</v>
          </cell>
        </row>
        <row r="1329">
          <cell r="D1329" t="str">
            <v>M¸y lu 8.5T</v>
          </cell>
          <cell r="E1329" t="str">
            <v>ca</v>
          </cell>
          <cell r="F1329">
            <v>2.4E-2</v>
          </cell>
          <cell r="G1329">
            <v>930645.09717482515</v>
          </cell>
          <cell r="H1329">
            <v>22335.482332195803</v>
          </cell>
        </row>
        <row r="1330">
          <cell r="D1330" t="str">
            <v>¤ t« t­íi n­íc 5m3</v>
          </cell>
          <cell r="E1330" t="str">
            <v>ca</v>
          </cell>
          <cell r="F1330">
            <v>1.08E-3</v>
          </cell>
          <cell r="G1330">
            <v>1073181.3719720279</v>
          </cell>
          <cell r="H1330">
            <v>1159.0358817297902</v>
          </cell>
        </row>
        <row r="1332">
          <cell r="D1332" t="str">
            <v>Mãng ®­êng ®¸ d¨m tiªu chuÈn líp d­íi dµy 20cm</v>
          </cell>
          <cell r="E1332" t="str">
            <v>m2</v>
          </cell>
          <cell r="I1332" t="e">
            <v>#N/A</v>
          </cell>
          <cell r="J1332">
            <v>25225.898391346152</v>
          </cell>
          <cell r="K1332">
            <v>2849212.0603934079</v>
          </cell>
        </row>
        <row r="1333">
          <cell r="D1333" t="str">
            <v>A.VËt liÖu</v>
          </cell>
          <cell r="H1333" t="e">
            <v>#N/A</v>
          </cell>
        </row>
        <row r="1334">
          <cell r="D1334" t="str">
            <v>§¸ 4x6</v>
          </cell>
          <cell r="E1334" t="str">
            <v>m3</v>
          </cell>
          <cell r="F1334">
            <v>0.32979999999999998</v>
          </cell>
          <cell r="G1334" t="e">
            <v>#N/A</v>
          </cell>
          <cell r="H1334" t="e">
            <v>#N/A</v>
          </cell>
        </row>
        <row r="1335">
          <cell r="D1335" t="str">
            <v>B. Nh©n c«ng 2.7/7</v>
          </cell>
          <cell r="E1335" t="str">
            <v>c«ng</v>
          </cell>
          <cell r="F1335">
            <v>0.13350000000000001</v>
          </cell>
          <cell r="G1335">
            <v>188958.04038461536</v>
          </cell>
          <cell r="H1335">
            <v>25225.898391346152</v>
          </cell>
        </row>
        <row r="1336">
          <cell r="D1336" t="str">
            <v>C. M¸y thi c«ng</v>
          </cell>
          <cell r="H1336">
            <v>2849212.0603934079</v>
          </cell>
        </row>
        <row r="1337">
          <cell r="D1337" t="str">
            <v>M¸y lu 8.5T</v>
          </cell>
          <cell r="E1337" t="str">
            <v>ca</v>
          </cell>
          <cell r="F1337">
            <v>3.06</v>
          </cell>
          <cell r="G1337">
            <v>930645.09717482515</v>
          </cell>
          <cell r="H1337">
            <v>2847773.9973549652</v>
          </cell>
        </row>
        <row r="1338">
          <cell r="D1338" t="str">
            <v>¤ t« t­íi n­íc 5m3</v>
          </cell>
          <cell r="E1338" t="str">
            <v>ca</v>
          </cell>
          <cell r="F1338">
            <v>1.34E-3</v>
          </cell>
          <cell r="G1338">
            <v>1073181.3719720279</v>
          </cell>
          <cell r="H1338">
            <v>1438.0630384425174</v>
          </cell>
        </row>
        <row r="1340">
          <cell r="D1340" t="str">
            <v>Mãng ®­êng ®¸ d¨m tiªu chuÈn líp d­íi dµy 22cm</v>
          </cell>
          <cell r="E1340" t="str">
            <v>m2</v>
          </cell>
          <cell r="I1340" t="e">
            <v>#N/A</v>
          </cell>
          <cell r="J1340">
            <v>25225.898391346152</v>
          </cell>
          <cell r="K1340">
            <v>2849212.0603934079</v>
          </cell>
        </row>
        <row r="1341">
          <cell r="D1341" t="str">
            <v>A.VËt liÖu</v>
          </cell>
          <cell r="H1341" t="e">
            <v>#N/A</v>
          </cell>
        </row>
        <row r="1342">
          <cell r="D1342" t="str">
            <v>§¸ 4x6</v>
          </cell>
          <cell r="E1342" t="str">
            <v>m3</v>
          </cell>
          <cell r="F1342">
            <v>0.32979999999999998</v>
          </cell>
          <cell r="G1342" t="e">
            <v>#N/A</v>
          </cell>
          <cell r="H1342" t="e">
            <v>#N/A</v>
          </cell>
        </row>
        <row r="1343">
          <cell r="D1343" t="str">
            <v>B. Nh©n c«ng 2.7/7</v>
          </cell>
          <cell r="E1343" t="str">
            <v>c«ng</v>
          </cell>
          <cell r="F1343">
            <v>0.13350000000000001</v>
          </cell>
          <cell r="G1343">
            <v>188958.04038461536</v>
          </cell>
          <cell r="H1343">
            <v>25225.898391346152</v>
          </cell>
        </row>
        <row r="1344">
          <cell r="D1344" t="str">
            <v>C. M¸y thi c«ng</v>
          </cell>
          <cell r="H1344">
            <v>2849212.0603934079</v>
          </cell>
        </row>
        <row r="1345">
          <cell r="D1345" t="str">
            <v>M¸y lu 8.5T</v>
          </cell>
          <cell r="E1345" t="str">
            <v>ca</v>
          </cell>
          <cell r="F1345">
            <v>3.06</v>
          </cell>
          <cell r="G1345">
            <v>930645.09717482515</v>
          </cell>
          <cell r="H1345">
            <v>2847773.9973549652</v>
          </cell>
        </row>
        <row r="1346">
          <cell r="D1346" t="str">
            <v>¤ t« t­íi n­íc 5m3</v>
          </cell>
          <cell r="E1346" t="str">
            <v>ca</v>
          </cell>
          <cell r="F1346">
            <v>1.34E-3</v>
          </cell>
          <cell r="G1346">
            <v>1073181.3719720279</v>
          </cell>
          <cell r="H1346">
            <v>1438.0630384425174</v>
          </cell>
        </row>
        <row r="1348">
          <cell r="D1348" t="str">
            <v xml:space="preserve">L¸ng nhùa 1 líp TCN 1.8kg/m2 </v>
          </cell>
          <cell r="E1348" t="str">
            <v>m2</v>
          </cell>
          <cell r="I1348" t="e">
            <v>#N/A</v>
          </cell>
          <cell r="J1348">
            <v>7740.0588461538473</v>
          </cell>
          <cell r="K1348">
            <v>8005.3511331062946</v>
          </cell>
        </row>
        <row r="1349">
          <cell r="D1349" t="str">
            <v>A.VËt liÖu</v>
          </cell>
          <cell r="H1349" t="e">
            <v>#N/A</v>
          </cell>
        </row>
        <row r="1350">
          <cell r="D1350" t="str">
            <v>Nhùa ®­êng</v>
          </cell>
          <cell r="E1350" t="str">
            <v>kg</v>
          </cell>
          <cell r="F1350">
            <v>1.93</v>
          </cell>
          <cell r="G1350" t="e">
            <v>#N/A</v>
          </cell>
          <cell r="H1350" t="e">
            <v>#N/A</v>
          </cell>
        </row>
        <row r="1351">
          <cell r="D1351" t="str">
            <v>§¸ 0.5 ÷ 1.6</v>
          </cell>
          <cell r="E1351" t="str">
            <v>m3</v>
          </cell>
          <cell r="F1351">
            <v>2.52E-2</v>
          </cell>
          <cell r="G1351" t="e">
            <v>#N/A</v>
          </cell>
          <cell r="H1351" t="e">
            <v>#N/A</v>
          </cell>
        </row>
        <row r="1352">
          <cell r="D1352" t="str">
            <v>B. Nh©n c«ng 3,5/7 - nhãm 2</v>
          </cell>
          <cell r="E1352" t="str">
            <v>c«ng</v>
          </cell>
          <cell r="F1352">
            <v>3.6000000000000004E-2</v>
          </cell>
          <cell r="G1352">
            <v>215001.63461538462</v>
          </cell>
          <cell r="H1352">
            <v>7740.0588461538473</v>
          </cell>
        </row>
        <row r="1353">
          <cell r="D1353" t="str">
            <v>C. M¸y thi c«ng</v>
          </cell>
          <cell r="H1353">
            <v>8005.3511331062946</v>
          </cell>
        </row>
        <row r="1354">
          <cell r="D1354" t="str">
            <v>M¸y lu 8.5T</v>
          </cell>
          <cell r="E1354" t="str">
            <v>Ca</v>
          </cell>
          <cell r="F1354">
            <v>3.2000000000000002E-3</v>
          </cell>
          <cell r="G1354">
            <v>930645.09717482515</v>
          </cell>
          <cell r="H1354">
            <v>2978.0643109594407</v>
          </cell>
        </row>
        <row r="1355">
          <cell r="D1355" t="str">
            <v>M¸y t­íi nhùa</v>
          </cell>
          <cell r="E1355" t="str">
            <v>Ca</v>
          </cell>
          <cell r="F1355">
            <v>1.5E-3</v>
          </cell>
          <cell r="G1355">
            <v>3054144.3365594405</v>
          </cell>
          <cell r="H1355">
            <v>4581.2165048391607</v>
          </cell>
        </row>
        <row r="1356">
          <cell r="D1356" t="str">
            <v>ThiÕt bÞ nÊu nhùa</v>
          </cell>
          <cell r="E1356" t="str">
            <v>Ca</v>
          </cell>
          <cell r="F1356">
            <v>1.5E-3</v>
          </cell>
          <cell r="G1356">
            <v>297380.2115384615</v>
          </cell>
          <cell r="H1356">
            <v>446.07031730769228</v>
          </cell>
        </row>
        <row r="1358">
          <cell r="D1358" t="str">
            <v xml:space="preserve">Th¶m mÆt ®­êng BTNC 19 h¹t trung dµy 5cm - vËn chuyÓn BTN tõ tr¹m trén </v>
          </cell>
          <cell r="E1358" t="str">
            <v>m2</v>
          </cell>
          <cell r="F1358">
            <v>1</v>
          </cell>
          <cell r="I1358">
            <v>0</v>
          </cell>
          <cell r="J1358">
            <v>4223.1189000000004</v>
          </cell>
          <cell r="K1358">
            <v>5055.2049505277273</v>
          </cell>
        </row>
        <row r="1359">
          <cell r="D1359" t="str">
            <v>A.VËt liÖu</v>
          </cell>
          <cell r="H1359">
            <v>0</v>
          </cell>
        </row>
        <row r="1360">
          <cell r="D1360" t="str">
            <v>- Bªt«ng nhùa C19</v>
          </cell>
          <cell r="E1360" t="str">
            <v>tÊn</v>
          </cell>
          <cell r="F1360">
            <v>0.11869999999999999</v>
          </cell>
          <cell r="G1360">
            <v>0</v>
          </cell>
          <cell r="H1360">
            <v>0</v>
          </cell>
        </row>
        <row r="1361">
          <cell r="D1361" t="str">
            <v>B. Nh©n c«ng 4,0/7 - nhãm 2</v>
          </cell>
          <cell r="E1361" t="str">
            <v>c«ng</v>
          </cell>
          <cell r="F1361">
            <v>1.8200000000000001E-2</v>
          </cell>
          <cell r="G1361">
            <v>232039.5</v>
          </cell>
          <cell r="H1361">
            <v>4223.1189000000004</v>
          </cell>
        </row>
        <row r="1362">
          <cell r="D1362" t="str">
            <v>C. M¸y thi c«ng</v>
          </cell>
          <cell r="H1362">
            <v>5055.2049505277273</v>
          </cell>
        </row>
        <row r="1363">
          <cell r="D1363" t="str">
            <v>- M¸y r¶i 130-140cv</v>
          </cell>
          <cell r="E1363" t="str">
            <v>ca</v>
          </cell>
          <cell r="F1363">
            <v>4.3400000000000003E-4</v>
          </cell>
          <cell r="G1363">
            <v>5992882.9954685317</v>
          </cell>
          <cell r="H1363">
            <v>2600.9112200333429</v>
          </cell>
        </row>
        <row r="1364">
          <cell r="D1364" t="str">
            <v>- M¸y ®Çm lu 10T</v>
          </cell>
          <cell r="E1364" t="str">
            <v>ca</v>
          </cell>
          <cell r="F1364">
            <v>1.1999999999999999E-3</v>
          </cell>
          <cell r="G1364">
            <v>1108482.5668111888</v>
          </cell>
          <cell r="H1364">
            <v>1330.1790801734264</v>
          </cell>
        </row>
        <row r="1365">
          <cell r="D1365" t="str">
            <v>- M¸y ®Çm b¸nh h¬i 16T</v>
          </cell>
          <cell r="E1365" t="str">
            <v>ca</v>
          </cell>
          <cell r="F1365">
            <v>6.4000000000000005E-4</v>
          </cell>
          <cell r="G1365">
            <v>1601551.5384755246</v>
          </cell>
          <cell r="H1365">
            <v>1024.9929846243358</v>
          </cell>
        </row>
        <row r="1366">
          <cell r="D1366" t="str">
            <v>M¸y kh¸c</v>
          </cell>
          <cell r="E1366" t="str">
            <v>%</v>
          </cell>
          <cell r="F1366">
            <v>2</v>
          </cell>
          <cell r="H1366">
            <v>99.121665696622117</v>
          </cell>
        </row>
        <row r="1368">
          <cell r="D1368" t="str">
            <v>Th¶m mÆt ®­êng BTNC 12.5 h¹t trung dµy 5cm - vËn chuyÓn BTN tõ tr¹m trén</v>
          </cell>
          <cell r="E1368" t="str">
            <v>m2</v>
          </cell>
          <cell r="F1368">
            <v>1</v>
          </cell>
          <cell r="I1368" t="e">
            <v>#REF!</v>
          </cell>
          <cell r="J1368">
            <v>4223.1189000000004</v>
          </cell>
          <cell r="K1368">
            <v>5055.2049505277273</v>
          </cell>
        </row>
        <row r="1369">
          <cell r="D1369" t="str">
            <v>A.VËt liÖu</v>
          </cell>
          <cell r="H1369" t="e">
            <v>#REF!</v>
          </cell>
        </row>
        <row r="1370">
          <cell r="D1370" t="str">
            <v>- Bªt«ng nhùa C12.5</v>
          </cell>
          <cell r="E1370" t="str">
            <v>tÊn</v>
          </cell>
          <cell r="F1370">
            <v>0.11869999999999999</v>
          </cell>
          <cell r="G1370" t="e">
            <v>#REF!</v>
          </cell>
          <cell r="H1370" t="e">
            <v>#REF!</v>
          </cell>
        </row>
        <row r="1371">
          <cell r="D1371" t="str">
            <v>B. Nh©n c«ng 4,0/7 - nhãm 2</v>
          </cell>
          <cell r="E1371" t="str">
            <v>c«ng</v>
          </cell>
          <cell r="F1371">
            <v>1.8200000000000001E-2</v>
          </cell>
          <cell r="G1371">
            <v>232039.5</v>
          </cell>
          <cell r="H1371">
            <v>4223.1189000000004</v>
          </cell>
        </row>
        <row r="1372">
          <cell r="D1372" t="str">
            <v>C. M¸y thi c«ng</v>
          </cell>
          <cell r="H1372">
            <v>5055.2049505277273</v>
          </cell>
        </row>
        <row r="1373">
          <cell r="D1373" t="str">
            <v>- M¸y r¶i 130-140cv</v>
          </cell>
          <cell r="E1373" t="str">
            <v>ca</v>
          </cell>
          <cell r="F1373">
            <v>4.3400000000000003E-4</v>
          </cell>
          <cell r="G1373">
            <v>5992882.9954685317</v>
          </cell>
          <cell r="H1373">
            <v>2600.9112200333429</v>
          </cell>
        </row>
        <row r="1374">
          <cell r="D1374" t="str">
            <v>- M¸y ®Çm lu 10T</v>
          </cell>
          <cell r="E1374" t="str">
            <v>ca</v>
          </cell>
          <cell r="F1374">
            <v>1.1999999999999999E-3</v>
          </cell>
          <cell r="G1374">
            <v>1108482.5668111888</v>
          </cell>
          <cell r="H1374">
            <v>1330.1790801734264</v>
          </cell>
        </row>
        <row r="1375">
          <cell r="D1375" t="str">
            <v>- M¸y ®Çm b¸nh h¬i 16T</v>
          </cell>
          <cell r="E1375" t="str">
            <v>ca</v>
          </cell>
          <cell r="F1375">
            <v>6.4000000000000005E-4</v>
          </cell>
          <cell r="G1375">
            <v>1601551.5384755246</v>
          </cell>
          <cell r="H1375">
            <v>1024.9929846243358</v>
          </cell>
        </row>
        <row r="1376">
          <cell r="D1376" t="str">
            <v>M¸y kh¸c</v>
          </cell>
          <cell r="E1376" t="str">
            <v>%</v>
          </cell>
          <cell r="F1376">
            <v>2</v>
          </cell>
          <cell r="H1376">
            <v>99.121665696622117</v>
          </cell>
        </row>
        <row r="1378">
          <cell r="D1378" t="str">
            <v>Th¶m mÆt ®­êng BTNC 12.5 h¹t trung dµy 3cm - vËn chuyÓn BTN tõ tr¹m trén</v>
          </cell>
          <cell r="E1378" t="str">
            <v>m2</v>
          </cell>
          <cell r="F1378">
            <v>1</v>
          </cell>
          <cell r="I1378" t="e">
            <v>#REF!</v>
          </cell>
          <cell r="J1378">
            <v>2533.8713400000001</v>
          </cell>
          <cell r="K1378">
            <v>3033.1229703166364</v>
          </cell>
        </row>
        <row r="1379">
          <cell r="D1379" t="str">
            <v>A.VËt liÖu</v>
          </cell>
          <cell r="H1379" t="e">
            <v>#REF!</v>
          </cell>
        </row>
        <row r="1380">
          <cell r="D1380" t="str">
            <v>- Bªt«ng nhùa C12.5</v>
          </cell>
          <cell r="E1380" t="str">
            <v>tÊn</v>
          </cell>
          <cell r="F1380">
            <v>0.11869999999999999</v>
          </cell>
          <cell r="G1380" t="e">
            <v>#REF!</v>
          </cell>
          <cell r="H1380" t="e">
            <v>#REF!</v>
          </cell>
        </row>
        <row r="1381">
          <cell r="D1381" t="str">
            <v>B. Nh©n c«ng 4,0/7 - nhãm 2</v>
          </cell>
          <cell r="E1381" t="str">
            <v>c«ng</v>
          </cell>
          <cell r="F1381">
            <v>1.8200000000000001E-2</v>
          </cell>
          <cell r="G1381">
            <v>232039.5</v>
          </cell>
          <cell r="H1381">
            <v>2533.8713400000001</v>
          </cell>
        </row>
        <row r="1382">
          <cell r="D1382" t="str">
            <v>C. M¸y thi c«ng</v>
          </cell>
          <cell r="H1382">
            <v>3033.1229703166364</v>
          </cell>
        </row>
        <row r="1383">
          <cell r="D1383" t="str">
            <v>- M¸y r¶i 130-140cv</v>
          </cell>
          <cell r="E1383" t="str">
            <v>ca</v>
          </cell>
          <cell r="F1383">
            <v>4.3400000000000003E-4</v>
          </cell>
          <cell r="G1383">
            <v>5992882.9954685317</v>
          </cell>
          <cell r="H1383">
            <v>2600.9112200333429</v>
          </cell>
        </row>
        <row r="1384">
          <cell r="D1384" t="str">
            <v>- M¸y ®Çm lu 10T</v>
          </cell>
          <cell r="E1384" t="str">
            <v>ca</v>
          </cell>
          <cell r="F1384">
            <v>1.1999999999999999E-3</v>
          </cell>
          <cell r="G1384">
            <v>1108482.5668111888</v>
          </cell>
          <cell r="H1384">
            <v>1330.1790801734264</v>
          </cell>
        </row>
        <row r="1385">
          <cell r="D1385" t="str">
            <v>- M¸y ®Çm b¸nh h¬i 16T</v>
          </cell>
          <cell r="E1385" t="str">
            <v>ca</v>
          </cell>
          <cell r="F1385">
            <v>6.4000000000000005E-4</v>
          </cell>
          <cell r="G1385">
            <v>1601551.5384755246</v>
          </cell>
          <cell r="H1385">
            <v>1024.9929846243358</v>
          </cell>
        </row>
        <row r="1386">
          <cell r="D1386" t="str">
            <v>M¸y kh¸c</v>
          </cell>
          <cell r="E1386" t="str">
            <v>%</v>
          </cell>
          <cell r="F1386">
            <v>2</v>
          </cell>
          <cell r="H1386">
            <v>99.121665696622117</v>
          </cell>
        </row>
        <row r="1388">
          <cell r="D1388" t="str">
            <v>Bï vªnh mÆt ®­êng BTNC 12.5 h¹t trung dµy 4.58cm - vËn chuyÓn BTN tõ tr¹m trén</v>
          </cell>
          <cell r="E1388" t="str">
            <v>m2</v>
          </cell>
          <cell r="F1388">
            <v>1</v>
          </cell>
          <cell r="I1388" t="e">
            <v>#REF!</v>
          </cell>
          <cell r="J1388">
            <v>3868.3769124</v>
          </cell>
          <cell r="K1388">
            <v>4630.5677346833982</v>
          </cell>
        </row>
        <row r="1389">
          <cell r="D1389" t="str">
            <v>A.VËt liÖu</v>
          </cell>
          <cell r="H1389" t="e">
            <v>#REF!</v>
          </cell>
        </row>
        <row r="1390">
          <cell r="D1390" t="str">
            <v>- Bªt«ng nhùa C12.5</v>
          </cell>
          <cell r="E1390" t="str">
            <v>tÊn</v>
          </cell>
          <cell r="F1390">
            <v>0.10872919999999998</v>
          </cell>
          <cell r="G1390" t="e">
            <v>#REF!</v>
          </cell>
          <cell r="H1390" t="e">
            <v>#REF!</v>
          </cell>
        </row>
        <row r="1391">
          <cell r="D1391" t="str">
            <v>B. Nh©n c«ng 4,0/7 - nhãm 2</v>
          </cell>
          <cell r="E1391" t="str">
            <v>c«ng</v>
          </cell>
          <cell r="F1391">
            <v>1.6671200000000001E-2</v>
          </cell>
          <cell r="G1391">
            <v>232039.5</v>
          </cell>
          <cell r="H1391">
            <v>3868.3769124</v>
          </cell>
        </row>
        <row r="1392">
          <cell r="D1392" t="str">
            <v>C. M¸y thi c«ng</v>
          </cell>
          <cell r="H1392">
            <v>4630.5677346833982</v>
          </cell>
        </row>
        <row r="1393">
          <cell r="D1393" t="str">
            <v>- M¸y r¶i 130-140cv</v>
          </cell>
          <cell r="E1393" t="str">
            <v>ca</v>
          </cell>
          <cell r="F1393">
            <v>3.9754400000000005E-4</v>
          </cell>
          <cell r="G1393">
            <v>5992882.9954685317</v>
          </cell>
          <cell r="H1393">
            <v>2382.4346775505423</v>
          </cell>
        </row>
        <row r="1394">
          <cell r="D1394" t="str">
            <v>- M¸y ®Çm lu 10T</v>
          </cell>
          <cell r="E1394" t="str">
            <v>ca</v>
          </cell>
          <cell r="F1394">
            <v>1.0991999999999998E-3</v>
          </cell>
          <cell r="G1394">
            <v>1108482.5668111888</v>
          </cell>
          <cell r="H1394">
            <v>1218.4440374388585</v>
          </cell>
        </row>
        <row r="1395">
          <cell r="D1395" t="str">
            <v>- M¸y ®Çm b¸nh h¬i 16T</v>
          </cell>
          <cell r="E1395" t="str">
            <v>ca</v>
          </cell>
          <cell r="F1395">
            <v>5.8624000000000013E-4</v>
          </cell>
          <cell r="G1395">
            <v>1601551.5384755246</v>
          </cell>
          <cell r="H1395">
            <v>938.89357391589181</v>
          </cell>
        </row>
        <row r="1396">
          <cell r="D1396" t="str">
            <v>M¸y kh¸c</v>
          </cell>
          <cell r="E1396" t="str">
            <v>%</v>
          </cell>
          <cell r="F1396">
            <v>2</v>
          </cell>
          <cell r="H1396">
            <v>90.795445778105844</v>
          </cell>
        </row>
        <row r="1398">
          <cell r="D1398" t="str">
            <v>VËn chuyÓn ®Êt cÊp 3 ®æ ®i TB 3km</v>
          </cell>
          <cell r="E1398" t="str">
            <v>m3</v>
          </cell>
          <cell r="K1398">
            <v>27239.334784917479</v>
          </cell>
        </row>
        <row r="1399">
          <cell r="D1399" t="str">
            <v xml:space="preserve">C. M¸y thi c«ng </v>
          </cell>
          <cell r="H1399">
            <v>27239.334784917479</v>
          </cell>
        </row>
        <row r="1400">
          <cell r="D1400" t="str">
            <v>¤ t« tù ®æ 10T vËn chuyÓn km ®Çu tiªn</v>
          </cell>
          <cell r="E1400" t="str">
            <v>ca</v>
          </cell>
          <cell r="F1400">
            <v>8.3999999999999995E-3</v>
          </cell>
          <cell r="G1400">
            <v>1891620.471174825</v>
          </cell>
          <cell r="H1400">
            <v>15889.611957868528</v>
          </cell>
        </row>
        <row r="1401">
          <cell r="D1401" t="str">
            <v>¤ t« tù ®æ 10T vËn chuyÓn 2 km tiÕp theo</v>
          </cell>
          <cell r="E1401" t="str">
            <v>ca</v>
          </cell>
          <cell r="F1401">
            <v>6.0000000000000001E-3</v>
          </cell>
          <cell r="G1401">
            <v>1891620.471174825</v>
          </cell>
          <cell r="H1401">
            <v>11349.72282704895</v>
          </cell>
        </row>
        <row r="1403">
          <cell r="D1403" t="str">
            <v>VËn chuyÓn ®Êt cÊp 2 ®æ ®i TB 3km</v>
          </cell>
          <cell r="E1403" t="str">
            <v>m3</v>
          </cell>
          <cell r="K1403">
            <v>24780.228172390205</v>
          </cell>
        </row>
        <row r="1404">
          <cell r="D1404" t="str">
            <v xml:space="preserve">C. M¸y thi c«ng </v>
          </cell>
          <cell r="H1404">
            <v>24780.228172390205</v>
          </cell>
        </row>
        <row r="1405">
          <cell r="D1405" t="str">
            <v>¤ t« tù ®æ 10T vËn chuyÓn km ®Çu tiªn</v>
          </cell>
          <cell r="E1405" t="str">
            <v>ca</v>
          </cell>
          <cell r="F1405">
            <v>7.7000000000000002E-3</v>
          </cell>
          <cell r="G1405">
            <v>1891620.471174825</v>
          </cell>
          <cell r="H1405">
            <v>14565.477628046152</v>
          </cell>
        </row>
        <row r="1406">
          <cell r="D1406" t="str">
            <v>¤ t« tù ®æ 10T vËn chuyÓn 2 km tiÕp theo</v>
          </cell>
          <cell r="E1406" t="str">
            <v>ca</v>
          </cell>
          <cell r="F1406">
            <v>5.4000000000000003E-3</v>
          </cell>
          <cell r="G1406">
            <v>1891620.471174825</v>
          </cell>
          <cell r="H1406">
            <v>10214.750544344055</v>
          </cell>
        </row>
        <row r="1408">
          <cell r="D1408" t="str">
            <v>Bï vªnh mÆt ®­êng BTNC 12.5 h¹t trung dµy TB 5.85cm - vËn chuyÓn BTN tõ tr¹m trén</v>
          </cell>
          <cell r="E1408" t="str">
            <v>m2</v>
          </cell>
          <cell r="F1408">
            <v>1</v>
          </cell>
          <cell r="I1408" t="e">
            <v>#REF!</v>
          </cell>
          <cell r="J1408">
            <v>4944.9274874999992</v>
          </cell>
          <cell r="K1408">
            <v>5113.5868105280524</v>
          </cell>
        </row>
        <row r="1409">
          <cell r="D1409" t="str">
            <v>A.VËt liÖu</v>
          </cell>
          <cell r="H1409" t="e">
            <v>#REF!</v>
          </cell>
        </row>
        <row r="1410">
          <cell r="D1410" t="str">
            <v>- Bªt«ng nhùa C12.5</v>
          </cell>
          <cell r="E1410" t="str">
            <v>tÊn</v>
          </cell>
          <cell r="F1410">
            <v>0.13889571428571429</v>
          </cell>
          <cell r="G1410" t="e">
            <v>#REF!</v>
          </cell>
          <cell r="H1410" t="e">
            <v>#REF!</v>
          </cell>
        </row>
        <row r="1411">
          <cell r="D1411" t="str">
            <v>B. Nh©n c«ng 4,0/7 - nhãm 2</v>
          </cell>
          <cell r="E1411" t="str">
            <v>c«ng</v>
          </cell>
          <cell r="F1411">
            <v>2.1310714285714284E-2</v>
          </cell>
          <cell r="G1411">
            <v>232039.5</v>
          </cell>
          <cell r="H1411">
            <v>4944.9274874999992</v>
          </cell>
        </row>
        <row r="1412">
          <cell r="D1412" t="str">
            <v>C. M¸y thi c«ng</v>
          </cell>
          <cell r="H1412">
            <v>5113.5868105280524</v>
          </cell>
        </row>
        <row r="1413">
          <cell r="D1413" t="str">
            <v>- M¸y r¶i 130-140cv</v>
          </cell>
          <cell r="E1413" t="str">
            <v>ca</v>
          </cell>
          <cell r="F1413">
            <v>5.0811428571428572E-4</v>
          </cell>
          <cell r="G1413">
            <v>5992882.9954685317</v>
          </cell>
          <cell r="H1413">
            <v>3045.069462611782</v>
          </cell>
        </row>
        <row r="1414">
          <cell r="D1414" t="str">
            <v>- M¸y ®Çm lu 10T</v>
          </cell>
          <cell r="E1414" t="str">
            <v>ca</v>
          </cell>
          <cell r="F1414">
            <v>1.0028571428571428E-3</v>
          </cell>
          <cell r="G1414">
            <v>1108482.5668111888</v>
          </cell>
          <cell r="H1414">
            <v>1111.6496598592207</v>
          </cell>
        </row>
        <row r="1415">
          <cell r="D1415" t="str">
            <v>- M¸y ®Çm b¸nh h¬i 16T</v>
          </cell>
          <cell r="E1415" t="str">
            <v>ca</v>
          </cell>
          <cell r="F1415">
            <v>5.348571428571428E-4</v>
          </cell>
          <cell r="G1415">
            <v>1601551.5384755246</v>
          </cell>
          <cell r="H1415">
            <v>856.60128000748057</v>
          </cell>
        </row>
        <row r="1416">
          <cell r="D1416" t="str">
            <v>M¸y kh¸c</v>
          </cell>
          <cell r="E1416" t="str">
            <v>%</v>
          </cell>
          <cell r="F1416">
            <v>2</v>
          </cell>
          <cell r="H1416">
            <v>100.26640804956966</v>
          </cell>
        </row>
        <row r="1418">
          <cell r="D1418" t="str">
            <v>Bï vªnh mÆt ®­êng cò b»ng BTNC 19 h¹t trung dày TB 2cm- vËn chuyÓn BTN tõ tr¹m trén</v>
          </cell>
          <cell r="E1418" t="str">
            <v>m2</v>
          </cell>
          <cell r="F1418">
            <v>1</v>
          </cell>
          <cell r="I1418">
            <v>0</v>
          </cell>
          <cell r="J1418">
            <v>1686.1537000000001</v>
          </cell>
          <cell r="K1418">
            <v>2508.1131190375963</v>
          </cell>
        </row>
        <row r="1419">
          <cell r="D1419" t="str">
            <v>A.VËt liÖu</v>
          </cell>
          <cell r="H1419">
            <v>0</v>
          </cell>
        </row>
        <row r="1420">
          <cell r="D1420" t="str">
            <v>- Bªt«ng nhùa C19</v>
          </cell>
          <cell r="E1420" t="str">
            <v>tÊn</v>
          </cell>
          <cell r="F1420">
            <v>4.6866666666666668E-2</v>
          </cell>
          <cell r="G1420">
            <v>0</v>
          </cell>
          <cell r="H1420">
            <v>0</v>
          </cell>
          <cell r="I1420">
            <v>1.8636862343856028E-2</v>
          </cell>
        </row>
        <row r="1421">
          <cell r="D1421" t="str">
            <v>B. Nh©n c«ng 4,0/7 - nhãm 2</v>
          </cell>
          <cell r="E1421" t="str">
            <v>c«ng</v>
          </cell>
          <cell r="F1421">
            <v>7.2666666666666669E-3</v>
          </cell>
          <cell r="G1421">
            <v>232039.5</v>
          </cell>
          <cell r="H1421">
            <v>1686.1537000000001</v>
          </cell>
        </row>
        <row r="1422">
          <cell r="D1422" t="str">
            <v>C. M¸y thi c«ng</v>
          </cell>
          <cell r="H1422">
            <v>2508.1131190375963</v>
          </cell>
        </row>
        <row r="1423">
          <cell r="D1423" t="str">
            <v>- M¸y r¶i 130-140cv</v>
          </cell>
          <cell r="E1423" t="str">
            <v>ca</v>
          </cell>
          <cell r="F1423">
            <v>1.7133333333333334E-4</v>
          </cell>
          <cell r="G1423">
            <v>5992882.9954685317</v>
          </cell>
          <cell r="H1423">
            <v>1026.7806198902751</v>
          </cell>
        </row>
        <row r="1424">
          <cell r="D1424" t="str">
            <v>- M¸y ®Çm lu 10T</v>
          </cell>
          <cell r="E1424" t="str">
            <v>ca</v>
          </cell>
          <cell r="F1424">
            <v>7.3333333333333334E-4</v>
          </cell>
          <cell r="G1424">
            <v>1108482.5668111888</v>
          </cell>
          <cell r="H1424">
            <v>812.88721566153845</v>
          </cell>
        </row>
        <row r="1425">
          <cell r="D1425" t="str">
            <v>- M¸y ®Çm b¸nh h¬i 16T</v>
          </cell>
          <cell r="E1425" t="str">
            <v>ca</v>
          </cell>
          <cell r="F1425">
            <v>3.8666666666666667E-4</v>
          </cell>
          <cell r="G1425">
            <v>1601551.5384755246</v>
          </cell>
          <cell r="H1425">
            <v>619.26659487720281</v>
          </cell>
        </row>
        <row r="1426">
          <cell r="D1426" t="str">
            <v>M¸y kh¸c</v>
          </cell>
          <cell r="E1426" t="str">
            <v>%</v>
          </cell>
          <cell r="F1426">
            <v>2</v>
          </cell>
          <cell r="H1426">
            <v>49.178688608580323</v>
          </cell>
        </row>
        <row r="1428">
          <cell r="D1428" t="str">
            <v>Th¶m mÆt ®­êng BTNC 12.5 h¹t trung dµy 7cm - vËn chuyÓn BTN tõ tr¹m trén</v>
          </cell>
          <cell r="E1428" t="str">
            <v>m2</v>
          </cell>
          <cell r="F1428">
            <v>1</v>
          </cell>
          <cell r="I1428" t="e">
            <v>#REF!</v>
          </cell>
          <cell r="J1428">
            <v>5917.0072499999997</v>
          </cell>
          <cell r="K1428">
            <v>6118.8218245634826</v>
          </cell>
        </row>
        <row r="1429">
          <cell r="D1429" t="str">
            <v>A.VËt liÖu</v>
          </cell>
          <cell r="H1429" t="e">
            <v>#REF!</v>
          </cell>
        </row>
        <row r="1430">
          <cell r="D1430" t="str">
            <v>- Bªt«ng nhùa C12.5</v>
          </cell>
          <cell r="E1430" t="str">
            <v>tÊn</v>
          </cell>
          <cell r="F1430">
            <v>0.16620000000000001</v>
          </cell>
          <cell r="G1430" t="e">
            <v>#REF!</v>
          </cell>
          <cell r="H1430" t="e">
            <v>#REF!</v>
          </cell>
        </row>
        <row r="1431">
          <cell r="D1431" t="str">
            <v>B. Nh©n c«ng 4,0/7 - nhãm 2</v>
          </cell>
          <cell r="E1431" t="str">
            <v>c«ng</v>
          </cell>
          <cell r="F1431">
            <v>2.5499999999999998E-2</v>
          </cell>
          <cell r="G1431">
            <v>232039.5</v>
          </cell>
          <cell r="H1431">
            <v>5917.0072499999997</v>
          </cell>
        </row>
        <row r="1432">
          <cell r="D1432" t="str">
            <v>C. M¸y thi c«ng</v>
          </cell>
          <cell r="H1432">
            <v>6118.8218245634826</v>
          </cell>
        </row>
        <row r="1433">
          <cell r="D1433" t="str">
            <v>- M¸y r¶i 130-140cv</v>
          </cell>
          <cell r="E1433" t="str">
            <v>ca</v>
          </cell>
          <cell r="F1433">
            <v>6.0800000000000003E-4</v>
          </cell>
          <cell r="G1433">
            <v>5992882.9954685317</v>
          </cell>
          <cell r="H1433">
            <v>3643.6728612448674</v>
          </cell>
        </row>
        <row r="1434">
          <cell r="D1434" t="str">
            <v>- M¸y ®Çm lu 10T</v>
          </cell>
          <cell r="E1434" t="str">
            <v>ca</v>
          </cell>
          <cell r="F1434">
            <v>1.1999999999999999E-3</v>
          </cell>
          <cell r="G1434">
            <v>1108482.5668111888</v>
          </cell>
          <cell r="H1434">
            <v>1330.1790801734264</v>
          </cell>
        </row>
        <row r="1435">
          <cell r="D1435" t="str">
            <v>- M¸y ®Çm b¸nh h¬i 16T</v>
          </cell>
          <cell r="E1435" t="str">
            <v>ca</v>
          </cell>
          <cell r="F1435">
            <v>6.4000000000000005E-4</v>
          </cell>
          <cell r="G1435">
            <v>1601551.5384755246</v>
          </cell>
          <cell r="H1435">
            <v>1024.9929846243358</v>
          </cell>
        </row>
        <row r="1436">
          <cell r="D1436" t="str">
            <v>M¸y kh¸c</v>
          </cell>
          <cell r="E1436" t="str">
            <v>%</v>
          </cell>
          <cell r="F1436">
            <v>2</v>
          </cell>
          <cell r="H1436">
            <v>119.9768985208526</v>
          </cell>
        </row>
        <row r="1439">
          <cell r="D1439" t="str">
            <v>Gia công lắp dựng cốt thép tấm đan đổ tại chỗ D&lt;10cm</v>
          </cell>
          <cell r="E1439" t="str">
            <v>tÊn</v>
          </cell>
          <cell r="I1439" t="e">
            <v>#N/A</v>
          </cell>
          <cell r="J1439">
            <v>2472413.3255769229</v>
          </cell>
          <cell r="K1439">
            <v>83807.992415384608</v>
          </cell>
        </row>
        <row r="1440">
          <cell r="D1440" t="str">
            <v>A.VËt liÖu</v>
          </cell>
          <cell r="H1440" t="e">
            <v>#N/A</v>
          </cell>
        </row>
        <row r="1441">
          <cell r="D1441" t="str">
            <v>ThÐp trßn D≤ 10mm</v>
          </cell>
          <cell r="E1441" t="str">
            <v>kg</v>
          </cell>
          <cell r="F1441">
            <v>1005</v>
          </cell>
          <cell r="G1441" t="e">
            <v>#N/A</v>
          </cell>
          <cell r="H1441" t="e">
            <v>#N/A</v>
          </cell>
        </row>
        <row r="1442">
          <cell r="D1442" t="str">
            <v>D©y thÐp</v>
          </cell>
          <cell r="E1442" t="str">
            <v>kg</v>
          </cell>
          <cell r="F1442">
            <v>21.42</v>
          </cell>
          <cell r="G1442" t="e">
            <v>#N/A</v>
          </cell>
          <cell r="H1442" t="e">
            <v>#N/A</v>
          </cell>
        </row>
        <row r="1443">
          <cell r="D1443" t="str">
            <v>B. Nh©n c«ng 3.5/7</v>
          </cell>
          <cell r="E1443" t="str">
            <v>c«ng</v>
          </cell>
          <cell r="F1443">
            <v>12.94</v>
          </cell>
          <cell r="G1443">
            <v>191067.49038461538</v>
          </cell>
          <cell r="H1443">
            <v>2472413.3255769229</v>
          </cell>
        </row>
        <row r="1444">
          <cell r="D1444" t="str">
            <v>C. M¸y thi c«ng</v>
          </cell>
          <cell r="H1444">
            <v>83807.992415384608</v>
          </cell>
        </row>
        <row r="1445">
          <cell r="D1445" t="str">
            <v>M¸y c¾t uèn cèt thÐp 5kW</v>
          </cell>
          <cell r="E1445" t="str">
            <v>ca</v>
          </cell>
          <cell r="F1445">
            <v>0.4</v>
          </cell>
          <cell r="G1445">
            <v>209519.9810384615</v>
          </cell>
          <cell r="H1445">
            <v>83807.992415384608</v>
          </cell>
        </row>
        <row r="1447">
          <cell r="D1447" t="str">
            <v>Gia công lắp dựng cốt thép tấm đan đổ tại chỗ D&gt;10cm</v>
          </cell>
          <cell r="E1447" t="str">
            <v>tÊn</v>
          </cell>
          <cell r="I1447" t="e">
            <v>#N/A</v>
          </cell>
          <cell r="J1447">
            <v>1925960.3030769229</v>
          </cell>
          <cell r="K1447">
            <v>443162.83995692298</v>
          </cell>
        </row>
        <row r="1448">
          <cell r="D1448" t="str">
            <v>A.VËt liÖu</v>
          </cell>
          <cell r="H1448" t="e">
            <v>#N/A</v>
          </cell>
        </row>
        <row r="1449">
          <cell r="D1449" t="str">
            <v>ThÐp trßn D&gt; 10mm</v>
          </cell>
          <cell r="E1449" t="str">
            <v>kg</v>
          </cell>
          <cell r="F1449">
            <v>1020</v>
          </cell>
          <cell r="G1449" t="e">
            <v>#N/A</v>
          </cell>
          <cell r="H1449" t="e">
            <v>#N/A</v>
          </cell>
        </row>
        <row r="1450">
          <cell r="D1450" t="str">
            <v>D©y thÐp</v>
          </cell>
          <cell r="E1450" t="str">
            <v>kg</v>
          </cell>
          <cell r="F1450">
            <v>14.28</v>
          </cell>
          <cell r="G1450" t="e">
            <v>#N/A</v>
          </cell>
          <cell r="H1450" t="e">
            <v>#N/A</v>
          </cell>
        </row>
        <row r="1451">
          <cell r="D1451" t="str">
            <v>Que hàn</v>
          </cell>
          <cell r="E1451" t="str">
            <v>kg</v>
          </cell>
          <cell r="F1451">
            <v>4.82</v>
          </cell>
          <cell r="G1451" t="e">
            <v>#N/A</v>
          </cell>
          <cell r="H1451" t="e">
            <v>#N/A</v>
          </cell>
        </row>
        <row r="1452">
          <cell r="D1452" t="str">
            <v>B. Nh©n c«ng 3.5/7</v>
          </cell>
          <cell r="E1452" t="str">
            <v>c«ng</v>
          </cell>
          <cell r="F1452">
            <v>10.08</v>
          </cell>
          <cell r="G1452">
            <v>191067.49038461538</v>
          </cell>
          <cell r="H1452">
            <v>1925960.3030769229</v>
          </cell>
        </row>
        <row r="1453">
          <cell r="D1453" t="str">
            <v>C. M¸y thi c«ng</v>
          </cell>
          <cell r="H1453">
            <v>443162.83995692298</v>
          </cell>
        </row>
        <row r="1454">
          <cell r="D1454" t="str">
            <v>M¸y hàn 23KW</v>
          </cell>
          <cell r="E1454" t="str">
            <v>ca</v>
          </cell>
          <cell r="F1454">
            <v>1.1599999999999999</v>
          </cell>
          <cell r="G1454">
            <v>324238.31553846149</v>
          </cell>
          <cell r="H1454">
            <v>376116.44602461532</v>
          </cell>
        </row>
        <row r="1455">
          <cell r="D1455" t="str">
            <v>M¸y c¾t uèn cèt thÐp 5kW</v>
          </cell>
          <cell r="E1455" t="str">
            <v>ca</v>
          </cell>
          <cell r="F1455">
            <v>0.32</v>
          </cell>
          <cell r="G1455">
            <v>209519.9810384615</v>
          </cell>
          <cell r="H1455">
            <v>67046.393932307677</v>
          </cell>
        </row>
        <row r="1456">
          <cell r="D1456" t="str">
            <v/>
          </cell>
          <cell r="E1456" t="str">
            <v/>
          </cell>
          <cell r="F1456" t="str">
            <v/>
          </cell>
          <cell r="G1456" t="str">
            <v/>
          </cell>
          <cell r="H1456" t="str">
            <v/>
          </cell>
        </row>
        <row r="1457">
          <cell r="D1457" t="str">
            <v>BT tÊm b¶n ®æ t¹i chç M300, ®¸ 1x2</v>
          </cell>
          <cell r="E1457" t="str">
            <v>m3</v>
          </cell>
          <cell r="I1457">
            <v>0</v>
          </cell>
          <cell r="J1457">
            <v>422344.34307692311</v>
          </cell>
          <cell r="K1457">
            <v>44662.933537076911</v>
          </cell>
        </row>
        <row r="1458">
          <cell r="D1458" t="str">
            <v>A.VËt liÖu</v>
          </cell>
          <cell r="H1458">
            <v>0</v>
          </cell>
        </row>
        <row r="1459">
          <cell r="D1459" t="str">
            <v>V÷a BT M300</v>
          </cell>
          <cell r="E1459" t="str">
            <v>m3</v>
          </cell>
          <cell r="F1459">
            <v>1.0249999999999999</v>
          </cell>
          <cell r="G1459">
            <v>0</v>
          </cell>
          <cell r="H1459">
            <v>0</v>
          </cell>
        </row>
        <row r="1460">
          <cell r="D1460" t="str">
            <v>VËt liÖu kh¸c</v>
          </cell>
          <cell r="E1460" t="str">
            <v>%</v>
          </cell>
          <cell r="F1460">
            <v>1</v>
          </cell>
          <cell r="H1460">
            <v>0</v>
          </cell>
        </row>
        <row r="1461">
          <cell r="D1461" t="str">
            <v>B. Nh©n c«ng</v>
          </cell>
          <cell r="H1461">
            <v>422344.34307692311</v>
          </cell>
        </row>
        <row r="1462">
          <cell r="D1462" t="str">
            <v>Nh©n c«ng 3.0/7 - nhãm 1</v>
          </cell>
          <cell r="E1462" t="str">
            <v>c«ng</v>
          </cell>
          <cell r="F1462">
            <v>2.41</v>
          </cell>
          <cell r="G1462">
            <v>175246.61538461538</v>
          </cell>
          <cell r="H1462">
            <v>422344.34307692311</v>
          </cell>
        </row>
        <row r="1463">
          <cell r="D1463" t="str">
            <v xml:space="preserve">C. M¸y thi c«ng </v>
          </cell>
          <cell r="H1463">
            <v>44662.933537076911</v>
          </cell>
        </row>
        <row r="1464">
          <cell r="D1464" t="str">
            <v>M¸y trén 250l</v>
          </cell>
          <cell r="E1464" t="str">
            <v>ca</v>
          </cell>
          <cell r="F1464">
            <v>9.5000000000000001E-2</v>
          </cell>
          <cell r="G1464">
            <v>275866.65203846153</v>
          </cell>
          <cell r="H1464">
            <v>26207.331943653844</v>
          </cell>
        </row>
        <row r="1465">
          <cell r="D1465" t="str">
            <v>M¸y ®Çm dïi 1.5KW</v>
          </cell>
          <cell r="E1465" t="str">
            <v>ca</v>
          </cell>
          <cell r="F1465">
            <v>8.8999999999999996E-2</v>
          </cell>
          <cell r="G1465">
            <v>207366.3100384615</v>
          </cell>
          <cell r="H1465">
            <v>18455.601593423071</v>
          </cell>
        </row>
        <row r="1467">
          <cell r="D1467" t="str">
            <v>BT th©n r·nh ®æ t¹i chç M250, ®¸ 1x2</v>
          </cell>
          <cell r="E1467" t="str">
            <v>m3</v>
          </cell>
          <cell r="I1467" t="e">
            <v>#REF!</v>
          </cell>
          <cell r="J1467">
            <v>422259.15375</v>
          </cell>
          <cell r="K1467">
            <v>26207.331943653844</v>
          </cell>
        </row>
        <row r="1468">
          <cell r="D1468" t="str">
            <v>A.VËt liÖu</v>
          </cell>
          <cell r="H1468" t="e">
            <v>#REF!</v>
          </cell>
        </row>
        <row r="1469">
          <cell r="D1469" t="str">
            <v>V÷a BT M250</v>
          </cell>
          <cell r="E1469" t="str">
            <v>m3</v>
          </cell>
          <cell r="F1469">
            <v>1.0249999999999999</v>
          </cell>
          <cell r="G1469" t="e">
            <v>#REF!</v>
          </cell>
          <cell r="H1469" t="e">
            <v>#REF!</v>
          </cell>
        </row>
        <row r="1470">
          <cell r="D1470" t="str">
            <v>VËt liÖu kh¸c</v>
          </cell>
          <cell r="E1470" t="str">
            <v>%</v>
          </cell>
          <cell r="F1470">
            <v>1</v>
          </cell>
          <cell r="H1470" t="e">
            <v>#REF!</v>
          </cell>
        </row>
        <row r="1471">
          <cell r="D1471" t="str">
            <v>B. Nh©n c«ng</v>
          </cell>
          <cell r="H1471">
            <v>422259.15375</v>
          </cell>
        </row>
        <row r="1472">
          <cell r="D1472" t="str">
            <v>Nh©n c«ng 3.5/7 - nhãm 1</v>
          </cell>
          <cell r="E1472" t="str">
            <v>c«ng</v>
          </cell>
          <cell r="F1472">
            <v>2.21</v>
          </cell>
          <cell r="G1472">
            <v>191067.49038461538</v>
          </cell>
          <cell r="H1472">
            <v>422259.15375</v>
          </cell>
        </row>
        <row r="1473">
          <cell r="D1473" t="str">
            <v xml:space="preserve">C. M¸y thi c«ng </v>
          </cell>
          <cell r="H1473">
            <v>26207.331943653844</v>
          </cell>
        </row>
        <row r="1474">
          <cell r="D1474" t="str">
            <v>M¸y trén 250l</v>
          </cell>
          <cell r="E1474" t="str">
            <v>ca</v>
          </cell>
          <cell r="F1474">
            <v>9.5000000000000001E-2</v>
          </cell>
          <cell r="G1474">
            <v>275866.65203846153</v>
          </cell>
          <cell r="H1474">
            <v>26207.331943653844</v>
          </cell>
        </row>
        <row r="1475">
          <cell r="D1475" t="str">
            <v>M¸y kh¸c</v>
          </cell>
          <cell r="E1475" t="str">
            <v>%</v>
          </cell>
          <cell r="F1475">
            <v>0</v>
          </cell>
          <cell r="G1475">
            <v>26207.331943653844</v>
          </cell>
          <cell r="H1475">
            <v>0</v>
          </cell>
        </row>
        <row r="1477">
          <cell r="D1477" t="str">
            <v>L¾p dùng cÊu kiÖn th©n r·nh</v>
          </cell>
          <cell r="E1477" t="str">
            <v>ck</v>
          </cell>
          <cell r="I1477">
            <v>0</v>
          </cell>
          <cell r="J1477">
            <v>58009.875</v>
          </cell>
          <cell r="K1477">
            <v>6228.607009790212</v>
          </cell>
        </row>
        <row r="1478">
          <cell r="D1478" t="str">
            <v>A.VËt liÖu</v>
          </cell>
          <cell r="H1478">
            <v>0</v>
          </cell>
        </row>
        <row r="1479">
          <cell r="D1479" t="str">
            <v>V÷a  M125</v>
          </cell>
          <cell r="E1479" t="str">
            <v>m3</v>
          </cell>
          <cell r="F1479">
            <v>7.0000000000000007E-2</v>
          </cell>
          <cell r="G1479">
            <v>0</v>
          </cell>
          <cell r="H1479">
            <v>0</v>
          </cell>
        </row>
        <row r="1480">
          <cell r="D1480" t="str">
            <v>VËt liÖu kh¸c</v>
          </cell>
          <cell r="E1480" t="str">
            <v>%</v>
          </cell>
          <cell r="F1480">
            <v>10</v>
          </cell>
          <cell r="H1480">
            <v>0</v>
          </cell>
        </row>
        <row r="1481">
          <cell r="D1481" t="str">
            <v>B. Nh©n c«ng</v>
          </cell>
          <cell r="H1481">
            <v>58009.875</v>
          </cell>
        </row>
        <row r="1482">
          <cell r="D1482" t="str">
            <v>Nh©n c«ng 4.0/7</v>
          </cell>
          <cell r="E1482" t="str">
            <v>c«ng</v>
          </cell>
          <cell r="F1482">
            <v>0.25</v>
          </cell>
          <cell r="G1482">
            <v>232039.5</v>
          </cell>
          <cell r="H1482">
            <v>58009.875</v>
          </cell>
        </row>
        <row r="1483">
          <cell r="D1483" t="str">
            <v xml:space="preserve">C. M¸y thi c«ng </v>
          </cell>
          <cell r="H1483">
            <v>6228.607009790212</v>
          </cell>
        </row>
        <row r="1484">
          <cell r="D1484" t="str">
            <v>CÇn cÈu 10T</v>
          </cell>
          <cell r="E1484" t="str">
            <v>ca</v>
          </cell>
          <cell r="F1484">
            <v>0.05</v>
          </cell>
          <cell r="G1484">
            <v>124572.14019580424</v>
          </cell>
          <cell r="H1484">
            <v>6228.607009790212</v>
          </cell>
        </row>
        <row r="1486">
          <cell r="D1486" t="str">
            <v>§¾p ®Êt K95</v>
          </cell>
          <cell r="E1486" t="str">
            <v>m3</v>
          </cell>
          <cell r="I1486" t="e">
            <v>#N/A</v>
          </cell>
          <cell r="J1486">
            <v>3049.2911076923074</v>
          </cell>
          <cell r="K1486">
            <v>10470.262809550972</v>
          </cell>
        </row>
        <row r="1487">
          <cell r="D1487" t="str">
            <v>A.VËt liÖu</v>
          </cell>
          <cell r="H1487" t="e">
            <v>#N/A</v>
          </cell>
        </row>
        <row r="1488">
          <cell r="D1488" t="str">
            <v>§Êt ®¾p</v>
          </cell>
          <cell r="E1488" t="str">
            <v>m3</v>
          </cell>
          <cell r="F1488">
            <v>1.1299999999999999</v>
          </cell>
          <cell r="G1488" t="e">
            <v>#N/A</v>
          </cell>
          <cell r="H1488" t="e">
            <v>#N/A</v>
          </cell>
        </row>
        <row r="1489">
          <cell r="D1489" t="str">
            <v>B. Nh©n c«ng 3/7 - nhãm 1</v>
          </cell>
          <cell r="E1489" t="str">
            <v>c«ng</v>
          </cell>
          <cell r="F1489">
            <v>1.7399999999999999E-2</v>
          </cell>
          <cell r="G1489">
            <v>175246.61538461538</v>
          </cell>
          <cell r="H1489">
            <v>3049.2911076923074</v>
          </cell>
        </row>
        <row r="1490">
          <cell r="D1490" t="str">
            <v>C. M¸y thi c«ng</v>
          </cell>
          <cell r="H1490">
            <v>10470.262809550972</v>
          </cell>
        </row>
        <row r="1491">
          <cell r="D1491" t="str">
            <v>M¸y ®Çm 9T</v>
          </cell>
          <cell r="E1491" t="str">
            <v>ca</v>
          </cell>
          <cell r="F1491">
            <v>4.1999999999999997E-3</v>
          </cell>
          <cell r="G1491">
            <v>1447527.0992027973</v>
          </cell>
          <cell r="H1491">
            <v>6079.6138166517485</v>
          </cell>
        </row>
        <row r="1492">
          <cell r="D1492" t="str">
            <v>M¸y ñi 110CV</v>
          </cell>
          <cell r="E1492" t="str">
            <v>ca</v>
          </cell>
          <cell r="F1492">
            <v>2.0999999999999999E-3</v>
          </cell>
          <cell r="G1492">
            <v>2017102.8785594408</v>
          </cell>
          <cell r="H1492">
            <v>4235.9160449748251</v>
          </cell>
        </row>
        <row r="1493">
          <cell r="D1493" t="str">
            <v>M¸y kh¸c</v>
          </cell>
          <cell r="E1493" t="str">
            <v>%</v>
          </cell>
          <cell r="F1493">
            <v>1.5</v>
          </cell>
          <cell r="H1493">
            <v>154.73294792439859</v>
          </cell>
        </row>
        <row r="1495">
          <cell r="D1495" t="str">
            <v>§µo mãng cét ®Êt cÊp 3 ( cäc tiªu, cäc H, cäc Km..)</v>
          </cell>
          <cell r="E1495" t="str">
            <v>m3</v>
          </cell>
          <cell r="I1495">
            <v>0</v>
          </cell>
          <cell r="J1495">
            <v>332968.56923076918</v>
          </cell>
          <cell r="K1495">
            <v>0</v>
          </cell>
        </row>
        <row r="1496">
          <cell r="D1496" t="str">
            <v>B. Nh©n c«ng</v>
          </cell>
          <cell r="H1496">
            <v>332968.56923076918</v>
          </cell>
        </row>
        <row r="1497">
          <cell r="D1497" t="str">
            <v>Nh©n c«ng 3.0/7</v>
          </cell>
          <cell r="E1497" t="str">
            <v>c«ng</v>
          </cell>
          <cell r="F1497">
            <v>1.9</v>
          </cell>
          <cell r="G1497">
            <v>175246.61538461538</v>
          </cell>
          <cell r="H1497">
            <v>332968.56923076918</v>
          </cell>
        </row>
        <row r="1499">
          <cell r="D1499" t="str">
            <v xml:space="preserve">L¸ng nhùa 3 líp TCN 4.5kg/m2 </v>
          </cell>
          <cell r="E1499" t="str">
            <v>m2</v>
          </cell>
          <cell r="I1499" t="e">
            <v>#N/A</v>
          </cell>
          <cell r="J1499">
            <v>15480.117692307695</v>
          </cell>
          <cell r="K1499">
            <v>11039.975468857341</v>
          </cell>
        </row>
        <row r="1500">
          <cell r="D1500" t="str">
            <v>A.VËt liÖu</v>
          </cell>
          <cell r="H1500" t="e">
            <v>#N/A</v>
          </cell>
        </row>
        <row r="1501">
          <cell r="D1501" t="str">
            <v>Nhùa ®­êng</v>
          </cell>
          <cell r="E1501" t="str">
            <v>kg</v>
          </cell>
          <cell r="F1501">
            <v>4.8099999999999996</v>
          </cell>
          <cell r="G1501" t="e">
            <v>#N/A</v>
          </cell>
          <cell r="H1501" t="e">
            <v>#N/A</v>
          </cell>
        </row>
        <row r="1502">
          <cell r="D1502" t="str">
            <v>§¸ 0.5 ÷ 2</v>
          </cell>
          <cell r="E1502" t="str">
            <v>m3</v>
          </cell>
          <cell r="F1502">
            <v>2.9900000000000003E-2</v>
          </cell>
          <cell r="G1502" t="e">
            <v>#N/A</v>
          </cell>
          <cell r="H1502" t="e">
            <v>#N/A</v>
          </cell>
        </row>
        <row r="1503">
          <cell r="D1503" t="str">
            <v>§¸ 0.5 ÷ 1.6</v>
          </cell>
          <cell r="E1503" t="str">
            <v>m3</v>
          </cell>
          <cell r="F1503">
            <v>1.5800000000000002E-2</v>
          </cell>
          <cell r="G1503" t="e">
            <v>#N/A</v>
          </cell>
          <cell r="H1503" t="e">
            <v>#N/A</v>
          </cell>
        </row>
        <row r="1504">
          <cell r="D1504" t="str">
            <v>§¸ 0.5 ÷ 1</v>
          </cell>
          <cell r="E1504" t="str">
            <v>m3</v>
          </cell>
          <cell r="F1504">
            <v>1.0500000000000001E-2</v>
          </cell>
          <cell r="G1504" t="e">
            <v>#N/A</v>
          </cell>
          <cell r="H1504" t="e">
            <v>#N/A</v>
          </cell>
        </row>
        <row r="1505">
          <cell r="D1505" t="str">
            <v>B. Nh©n c«ng 3,5/7 - nhãm 2</v>
          </cell>
          <cell r="E1505" t="str">
            <v>c«ng</v>
          </cell>
          <cell r="F1505">
            <v>7.2000000000000008E-2</v>
          </cell>
          <cell r="G1505">
            <v>215001.63461538462</v>
          </cell>
          <cell r="H1505">
            <v>15480.117692307695</v>
          </cell>
        </row>
        <row r="1506">
          <cell r="D1506" t="str">
            <v>C. M¸y thi c«ng</v>
          </cell>
          <cell r="H1506">
            <v>11039.975468857341</v>
          </cell>
        </row>
        <row r="1507">
          <cell r="D1507" t="str">
            <v>M¸y lu 8.5T</v>
          </cell>
          <cell r="E1507" t="str">
            <v>Ca</v>
          </cell>
          <cell r="F1507">
            <v>4.3E-3</v>
          </cell>
          <cell r="G1507">
            <v>930645.09717482515</v>
          </cell>
          <cell r="H1507">
            <v>4001.7739178517481</v>
          </cell>
        </row>
        <row r="1508">
          <cell r="D1508" t="str">
            <v>M¸y t­íi nhùa</v>
          </cell>
          <cell r="E1508" t="str">
            <v>Ca</v>
          </cell>
          <cell r="F1508">
            <v>2.0999999999999999E-3</v>
          </cell>
          <cell r="G1508">
            <v>3054144.3365594405</v>
          </cell>
          <cell r="H1508">
            <v>6413.7031067748248</v>
          </cell>
        </row>
        <row r="1509">
          <cell r="D1509" t="str">
            <v>ThiÕt bÞ nÊu nhùa</v>
          </cell>
          <cell r="E1509" t="str">
            <v>Ca</v>
          </cell>
          <cell r="F1509">
            <v>2.0999999999999999E-3</v>
          </cell>
          <cell r="G1509">
            <v>297380.2115384615</v>
          </cell>
          <cell r="H1509">
            <v>624.49844423076911</v>
          </cell>
        </row>
        <row r="1511">
          <cell r="D1511" t="str">
            <v>Th¸o dì ck cäc tiªu,cäc H, ck BT ®óc s½n &lt;50kg</v>
          </cell>
          <cell r="E1511" t="str">
            <v>ck</v>
          </cell>
          <cell r="J1511">
            <v>18619.952884615384</v>
          </cell>
        </row>
        <row r="1512">
          <cell r="D1512" t="str">
            <v>B. Nh©n c«ng 4/7 - nhãm 1 (VD =60% l¾p dùng)</v>
          </cell>
          <cell r="E1512" t="str">
            <v>c«ng</v>
          </cell>
          <cell r="F1512">
            <v>0.09</v>
          </cell>
          <cell r="G1512">
            <v>206888.36538461538</v>
          </cell>
          <cell r="H1512">
            <v>18619.952884615384</v>
          </cell>
        </row>
        <row r="1514">
          <cell r="D1514" t="str">
            <v>Mãng ®­êng ®¸ d¨m tiªu chuÈn líp trªn dµy 15cm</v>
          </cell>
          <cell r="E1514" t="str">
            <v>m2</v>
          </cell>
          <cell r="I1514" t="e">
            <v>#N/A</v>
          </cell>
          <cell r="J1514">
            <v>25377.064823653844</v>
          </cell>
          <cell r="K1514">
            <v>21239.672725706292</v>
          </cell>
        </row>
        <row r="1515">
          <cell r="D1515" t="str">
            <v>A.VËt liÖu</v>
          </cell>
          <cell r="H1515" t="e">
            <v>#N/A</v>
          </cell>
        </row>
        <row r="1516">
          <cell r="D1516" t="str">
            <v>§¸ 4x6</v>
          </cell>
          <cell r="E1516" t="str">
            <v>m3</v>
          </cell>
          <cell r="F1516">
            <v>0.19789999999999999</v>
          </cell>
          <cell r="G1516" t="e">
            <v>#N/A</v>
          </cell>
          <cell r="H1516" t="e">
            <v>#N/A</v>
          </cell>
        </row>
        <row r="1517">
          <cell r="D1517" t="str">
            <v>§¸ 2x4</v>
          </cell>
          <cell r="E1517" t="str">
            <v>m3</v>
          </cell>
          <cell r="F1517">
            <v>5.3E-3</v>
          </cell>
          <cell r="G1517" t="e">
            <v>#N/A</v>
          </cell>
          <cell r="H1517" t="e">
            <v>#N/A</v>
          </cell>
        </row>
        <row r="1518">
          <cell r="D1518" t="str">
            <v>§¸ 1x2</v>
          </cell>
          <cell r="E1518" t="str">
            <v>m3</v>
          </cell>
          <cell r="F1518">
            <v>5.5000000000000005E-3</v>
          </cell>
          <cell r="G1518" t="e">
            <v>#N/A</v>
          </cell>
          <cell r="H1518" t="e">
            <v>#N/A</v>
          </cell>
        </row>
        <row r="1519">
          <cell r="D1519" t="str">
            <v>§¸ 0.5x1</v>
          </cell>
          <cell r="E1519" t="str">
            <v>m3</v>
          </cell>
          <cell r="F1519">
            <v>7.4000000000000003E-3</v>
          </cell>
          <cell r="G1519" t="e">
            <v>#N/A</v>
          </cell>
          <cell r="H1519" t="e">
            <v>#N/A</v>
          </cell>
        </row>
        <row r="1520">
          <cell r="D1520" t="str">
            <v>B. Nh©n c«ng 2.7/7 - nhãm 2</v>
          </cell>
          <cell r="E1520" t="str">
            <v>c«ng</v>
          </cell>
          <cell r="F1520">
            <v>0.1343</v>
          </cell>
          <cell r="G1520">
            <v>188958.04038461536</v>
          </cell>
          <cell r="H1520">
            <v>25377.064823653844</v>
          </cell>
        </row>
        <row r="1521">
          <cell r="D1521" t="str">
            <v>C. M¸y thi c«ng</v>
          </cell>
          <cell r="H1521">
            <v>21239.672725706292</v>
          </cell>
        </row>
        <row r="1522">
          <cell r="D1522" t="str">
            <v>M¸y lu 8.5T</v>
          </cell>
          <cell r="E1522" t="str">
            <v>ca</v>
          </cell>
          <cell r="F1522">
            <v>2.1899999999999999E-2</v>
          </cell>
          <cell r="G1522">
            <v>930645.09717482515</v>
          </cell>
          <cell r="H1522">
            <v>20381.12762812867</v>
          </cell>
        </row>
        <row r="1523">
          <cell r="D1523" t="str">
            <v>¤ t« t­íi n­íc 5m3</v>
          </cell>
          <cell r="E1523" t="str">
            <v>ca</v>
          </cell>
          <cell r="F1523">
            <v>8.0000000000000004E-4</v>
          </cell>
          <cell r="G1523">
            <v>1073181.3719720279</v>
          </cell>
          <cell r="H1523">
            <v>858.54509757762241</v>
          </cell>
        </row>
        <row r="1524">
          <cell r="D1524" t="str">
            <v>Mãng ®­êng ®¸ d¨m tiªu chuÈn líp d­íi dµy 15cm</v>
          </cell>
          <cell r="E1524" t="str">
            <v>m2</v>
          </cell>
          <cell r="I1524" t="e">
            <v>#N/A</v>
          </cell>
          <cell r="J1524">
            <v>13642.770515769229</v>
          </cell>
          <cell r="K1524">
            <v>18168.543905029372</v>
          </cell>
        </row>
        <row r="1525">
          <cell r="D1525" t="str">
            <v>A.VËt liÖu</v>
          </cell>
          <cell r="H1525" t="e">
            <v>#N/A</v>
          </cell>
        </row>
        <row r="1526">
          <cell r="D1526" t="str">
            <v>§¸ 4x6</v>
          </cell>
          <cell r="E1526" t="str">
            <v>m3</v>
          </cell>
          <cell r="F1526">
            <v>0.19789999999999999</v>
          </cell>
          <cell r="G1526" t="e">
            <v>#N/A</v>
          </cell>
          <cell r="H1526" t="e">
            <v>#N/A</v>
          </cell>
        </row>
        <row r="1527">
          <cell r="D1527" t="str">
            <v>B. Nh©n c«ng 2.7/7</v>
          </cell>
          <cell r="E1527" t="str">
            <v>c«ng</v>
          </cell>
          <cell r="F1527">
            <v>7.22E-2</v>
          </cell>
          <cell r="G1527">
            <v>188958.04038461536</v>
          </cell>
          <cell r="H1527">
            <v>13642.770515769229</v>
          </cell>
        </row>
        <row r="1528">
          <cell r="D1528" t="str">
            <v>C. M¸y thi c«ng</v>
          </cell>
          <cell r="H1528">
            <v>18168.543905029372</v>
          </cell>
        </row>
        <row r="1529">
          <cell r="D1529" t="str">
            <v>M¸y lu 8.5T</v>
          </cell>
          <cell r="E1529" t="str">
            <v>ca</v>
          </cell>
          <cell r="F1529">
            <v>1.8600000000000002E-2</v>
          </cell>
          <cell r="G1529">
            <v>930645.09717482515</v>
          </cell>
          <cell r="H1529">
            <v>17309.99880745175</v>
          </cell>
        </row>
        <row r="1530">
          <cell r="D1530" t="str">
            <v>¤ t« t­íi n­íc 5m3</v>
          </cell>
          <cell r="E1530" t="str">
            <v>ca</v>
          </cell>
          <cell r="F1530">
            <v>8.0000000000000004E-4</v>
          </cell>
          <cell r="G1530">
            <v>1073181.3719720279</v>
          </cell>
          <cell r="H1530">
            <v>858.54509757762241</v>
          </cell>
        </row>
        <row r="1532">
          <cell r="D1532" t="str">
            <v>San gạt tạo phẳng bằng đá dăm tiêu chuẩn dày TB 3cm</v>
          </cell>
          <cell r="E1532" t="str">
            <v>m2</v>
          </cell>
          <cell r="I1532" t="e">
            <v>#N/A</v>
          </cell>
          <cell r="J1532">
            <v>3876.0018033894225</v>
          </cell>
          <cell r="K1532">
            <v>3666.9940407809786</v>
          </cell>
        </row>
        <row r="1533">
          <cell r="D1533" t="str">
            <v>A.VËt liÖu</v>
          </cell>
          <cell r="H1533" t="e">
            <v>#N/A</v>
          </cell>
        </row>
        <row r="1534">
          <cell r="D1534" t="str">
            <v>§¸ 1x2</v>
          </cell>
          <cell r="E1534" t="str">
            <v>m3</v>
          </cell>
          <cell r="F1534">
            <v>3.9599999999999996E-2</v>
          </cell>
          <cell r="G1534" t="e">
            <v>#N/A</v>
          </cell>
          <cell r="H1534" t="e">
            <v>#N/A</v>
          </cell>
        </row>
        <row r="1535">
          <cell r="D1535" t="str">
            <v>B. Nh©n c«ng 2.7/7</v>
          </cell>
          <cell r="E1535" t="str">
            <v>c«ng</v>
          </cell>
          <cell r="F1535">
            <v>2.0512499999999999E-2</v>
          </cell>
          <cell r="G1535">
            <v>188958.04038461536</v>
          </cell>
          <cell r="H1535">
            <v>3876.0018033894225</v>
          </cell>
        </row>
        <row r="1536">
          <cell r="D1536" t="str">
            <v>C. M¸y thi c«ng</v>
          </cell>
          <cell r="H1536">
            <v>3666.9940407809786</v>
          </cell>
        </row>
        <row r="1537">
          <cell r="D1537" t="str">
            <v>M¸y lu 8.5T</v>
          </cell>
          <cell r="E1537" t="str">
            <v>ca</v>
          </cell>
          <cell r="F1537">
            <v>3.7499999999999999E-3</v>
          </cell>
          <cell r="G1537">
            <v>930645.09717482515</v>
          </cell>
          <cell r="H1537">
            <v>3489.919114405594</v>
          </cell>
        </row>
        <row r="1538">
          <cell r="D1538" t="str">
            <v>¤ t« t­íi n­íc 5m3</v>
          </cell>
          <cell r="E1538" t="str">
            <v>ca</v>
          </cell>
          <cell r="F1538">
            <v>1.65E-4</v>
          </cell>
          <cell r="G1538">
            <v>1073181.3719720279</v>
          </cell>
          <cell r="H1538">
            <v>177.07492637538462</v>
          </cell>
        </row>
        <row r="1540">
          <cell r="D1540" t="str">
            <v>L¾p dùng cÊu kiÖn biÓn b¸o, cét Km</v>
          </cell>
          <cell r="E1540" t="str">
            <v>ck</v>
          </cell>
          <cell r="I1540">
            <v>0</v>
          </cell>
          <cell r="J1540">
            <v>20883.555</v>
          </cell>
          <cell r="K1540">
            <v>23681.334033566432</v>
          </cell>
        </row>
        <row r="1541">
          <cell r="D1541" t="str">
            <v>A.VËt liÖu</v>
          </cell>
          <cell r="H1541">
            <v>0</v>
          </cell>
        </row>
        <row r="1542">
          <cell r="D1542" t="str">
            <v>B. Nh©n c«ng</v>
          </cell>
          <cell r="H1542">
            <v>20883.555</v>
          </cell>
        </row>
        <row r="1543">
          <cell r="D1543" t="str">
            <v>Nh©n c«ng 4.0/7</v>
          </cell>
          <cell r="E1543" t="str">
            <v>c«ng</v>
          </cell>
          <cell r="F1543">
            <v>0.09</v>
          </cell>
          <cell r="G1543">
            <v>232039.5</v>
          </cell>
          <cell r="H1543">
            <v>20883.555</v>
          </cell>
        </row>
        <row r="1544">
          <cell r="D1544" t="str">
            <v xml:space="preserve">C. M¸y thi c«ng </v>
          </cell>
          <cell r="H1544">
            <v>23681.334033566432</v>
          </cell>
        </row>
        <row r="1545">
          <cell r="D1545" t="str">
            <v>CÇn cÈu 3T</v>
          </cell>
          <cell r="E1545" t="str">
            <v>ca</v>
          </cell>
          <cell r="F1545">
            <v>1.7999999999999999E-2</v>
          </cell>
          <cell r="G1545">
            <v>1315629.6685314686</v>
          </cell>
          <cell r="H1545">
            <v>23681.334033566432</v>
          </cell>
        </row>
        <row r="1547">
          <cell r="D1547" t="str">
            <v>BiÓn vu«ng c¹nh 70cm, 1 cét D90mm</v>
          </cell>
          <cell r="E1547" t="str">
            <v>biÓn</v>
          </cell>
          <cell r="I1547" t="e">
            <v>#N/A</v>
          </cell>
        </row>
        <row r="1548">
          <cell r="D1548" t="str">
            <v>A.VËt liÖu</v>
          </cell>
          <cell r="H1548" t="e">
            <v>#N/A</v>
          </cell>
        </row>
        <row r="1549">
          <cell r="D1549" t="str">
            <v>BiÓn ch÷ nhËt 120x25cm</v>
          </cell>
          <cell r="E1549" t="str">
            <v>m2</v>
          </cell>
          <cell r="F1549">
            <v>0.48999999999999994</v>
          </cell>
          <cell r="G1549" t="e">
            <v>#N/A</v>
          </cell>
          <cell r="H1549" t="e">
            <v>#N/A</v>
          </cell>
        </row>
        <row r="1550">
          <cell r="D1550" t="str">
            <v>Cét biÓn b¸o D90mm cao 3.2m</v>
          </cell>
          <cell r="E1550" t="str">
            <v>m</v>
          </cell>
          <cell r="F1550">
            <v>3.2</v>
          </cell>
          <cell r="G1550" t="e">
            <v>#N/A</v>
          </cell>
          <cell r="H1550" t="e">
            <v>#N/A</v>
          </cell>
        </row>
        <row r="1552">
          <cell r="D1552" t="str">
            <v>BiÓn tam gi¸c c¹nh 70cm, 1 cét D90mm</v>
          </cell>
          <cell r="E1552" t="str">
            <v>biÓn</v>
          </cell>
          <cell r="I1552" t="e">
            <v>#N/A</v>
          </cell>
        </row>
        <row r="1553">
          <cell r="D1553" t="str">
            <v>A.VËt liÖu</v>
          </cell>
          <cell r="H1553" t="e">
            <v>#N/A</v>
          </cell>
        </row>
        <row r="1554">
          <cell r="D1554" t="str">
            <v>BiÓn tam gi¸c c¹nh 70cm</v>
          </cell>
          <cell r="E1554" t="str">
            <v>c¸i</v>
          </cell>
          <cell r="F1554">
            <v>1</v>
          </cell>
          <cell r="G1554" t="e">
            <v>#N/A</v>
          </cell>
          <cell r="H1554" t="e">
            <v>#N/A</v>
          </cell>
        </row>
        <row r="1555">
          <cell r="D1555" t="str">
            <v>Cét biÓn b¸o D90mm cao 3.2m</v>
          </cell>
          <cell r="E1555" t="str">
            <v>m</v>
          </cell>
          <cell r="F1555">
            <v>3.2</v>
          </cell>
          <cell r="G1555" t="e">
            <v>#N/A</v>
          </cell>
          <cell r="H1555" t="e">
            <v>#N/A</v>
          </cell>
        </row>
        <row r="1557">
          <cell r="D1557" t="str">
            <v>BiÓn  trßn D70cm, 1 cét D90mm</v>
          </cell>
          <cell r="E1557" t="str">
            <v>biÓn</v>
          </cell>
          <cell r="I1557" t="e">
            <v>#N/A</v>
          </cell>
        </row>
        <row r="1558">
          <cell r="D1558" t="str">
            <v>A.VËt liÖu</v>
          </cell>
          <cell r="H1558" t="e">
            <v>#N/A</v>
          </cell>
        </row>
        <row r="1559">
          <cell r="D1559" t="str">
            <v>BiÓn trßn D70cm</v>
          </cell>
          <cell r="E1559" t="str">
            <v>c¸i</v>
          </cell>
          <cell r="F1559">
            <v>1</v>
          </cell>
          <cell r="G1559" t="e">
            <v>#N/A</v>
          </cell>
          <cell r="H1559" t="e">
            <v>#N/A</v>
          </cell>
        </row>
        <row r="1560">
          <cell r="D1560" t="str">
            <v>Cét biÓn b¸o D90mm cao 3.2m</v>
          </cell>
          <cell r="E1560" t="str">
            <v>m</v>
          </cell>
          <cell r="F1560">
            <v>3.2</v>
          </cell>
          <cell r="G1560" t="e">
            <v>#N/A</v>
          </cell>
          <cell r="H1560" t="e">
            <v>#N/A</v>
          </cell>
        </row>
        <row r="1562">
          <cell r="D1562" t="str">
            <v>BT lãt mãng ®æ t¹i chç M150, ®¸ 1x2</v>
          </cell>
          <cell r="E1562" t="str">
            <v>m3</v>
          </cell>
          <cell r="I1562">
            <v>0</v>
          </cell>
          <cell r="J1562">
            <v>287404.44923076918</v>
          </cell>
          <cell r="K1562">
            <v>44662.933537076911</v>
          </cell>
        </row>
        <row r="1563">
          <cell r="D1563" t="str">
            <v>A.VËt liÖu</v>
          </cell>
          <cell r="H1563">
            <v>0</v>
          </cell>
        </row>
        <row r="1564">
          <cell r="D1564" t="str">
            <v>V÷a BT M150</v>
          </cell>
          <cell r="E1564" t="str">
            <v>m3</v>
          </cell>
          <cell r="F1564">
            <v>1.0249999999999999</v>
          </cell>
          <cell r="G1564">
            <v>0</v>
          </cell>
          <cell r="H1564">
            <v>0</v>
          </cell>
        </row>
        <row r="1565">
          <cell r="D1565" t="str">
            <v>VËt liÖu kh¸c</v>
          </cell>
          <cell r="E1565" t="str">
            <v>%</v>
          </cell>
          <cell r="F1565">
            <v>1</v>
          </cell>
          <cell r="H1565">
            <v>0</v>
          </cell>
        </row>
        <row r="1566">
          <cell r="D1566" t="str">
            <v>B. Nh©n c«ng</v>
          </cell>
          <cell r="H1566">
            <v>287404.44923076918</v>
          </cell>
        </row>
        <row r="1567">
          <cell r="D1567" t="str">
            <v>Nh©n c«ng 3.0/7</v>
          </cell>
          <cell r="E1567" t="str">
            <v>c«ng</v>
          </cell>
          <cell r="F1567">
            <v>1.64</v>
          </cell>
          <cell r="G1567">
            <v>175246.61538461538</v>
          </cell>
          <cell r="H1567">
            <v>287404.44923076918</v>
          </cell>
        </row>
        <row r="1568">
          <cell r="D1568" t="str">
            <v xml:space="preserve">C. M¸y thi c«ng </v>
          </cell>
          <cell r="H1568">
            <v>44662.933537076911</v>
          </cell>
        </row>
        <row r="1569">
          <cell r="D1569" t="str">
            <v>M¸y trén 250l</v>
          </cell>
          <cell r="E1569" t="str">
            <v>ca</v>
          </cell>
          <cell r="F1569">
            <v>9.5000000000000001E-2</v>
          </cell>
          <cell r="G1569">
            <v>275866.65203846153</v>
          </cell>
          <cell r="H1569">
            <v>26207.331943653844</v>
          </cell>
        </row>
        <row r="1570">
          <cell r="D1570" t="str">
            <v>M¸y ®Çm dïi 1,5kw</v>
          </cell>
          <cell r="E1570" t="str">
            <v>ca</v>
          </cell>
          <cell r="F1570">
            <v>8.8999999999999996E-2</v>
          </cell>
          <cell r="G1570">
            <v>207366.3100384615</v>
          </cell>
          <cell r="H1570">
            <v>18455.601593423071</v>
          </cell>
        </row>
        <row r="1571">
          <cell r="J1571" t="str">
            <v>b·I ®óc t¹i km 9+800</v>
          </cell>
        </row>
        <row r="1572">
          <cell r="D1572" t="str">
            <v>Vận chuyển, bôc xếp ck BT đúc sẵn từ bãi đúc ra hiện trường</v>
          </cell>
          <cell r="E1572" t="str">
            <v>tấn</v>
          </cell>
          <cell r="F1572">
            <v>1</v>
          </cell>
          <cell r="J1572">
            <v>5082.1518461538462</v>
          </cell>
          <cell r="K1572">
            <v>2153.8981200604203</v>
          </cell>
        </row>
        <row r="1573">
          <cell r="D1573" t="str">
            <v>Nhân công</v>
          </cell>
          <cell r="H1573">
            <v>5082.1518461538462</v>
          </cell>
        </row>
        <row r="1574">
          <cell r="D1574" t="str">
            <v xml:space="preserve"> - Nhân công 3,0/7 (bốc xếp lên + xuống)</v>
          </cell>
          <cell r="E1574" t="str">
            <v>công</v>
          </cell>
          <cell r="F1574">
            <v>2.9000000000000001E-2</v>
          </cell>
          <cell r="G1574">
            <v>175246.61538461538</v>
          </cell>
          <cell r="H1574">
            <v>5082.1518461538462</v>
          </cell>
        </row>
        <row r="1575">
          <cell r="D1575" t="str">
            <v>Máy thi công:</v>
          </cell>
          <cell r="H1575">
            <v>2153.8981200604203</v>
          </cell>
        </row>
        <row r="1576">
          <cell r="D1576" t="str">
            <v>Cẩu 10T (bốc xếp lên + xuống)</v>
          </cell>
          <cell r="E1576" t="str">
            <v>ca</v>
          </cell>
          <cell r="F1576">
            <v>1.4999999999999999E-2</v>
          </cell>
          <cell r="G1576">
            <v>124572.14019580424</v>
          </cell>
          <cell r="H1576">
            <v>1868.5821029370636</v>
          </cell>
        </row>
        <row r="1577">
          <cell r="D1577" t="str">
            <v>Ô tô vận tải thùng 7T (vc cự ly bq 1.4 km)</v>
          </cell>
          <cell r="E1577" t="str">
            <v>ca</v>
          </cell>
          <cell r="F1577">
            <v>3.3600000000000001E-3</v>
          </cell>
          <cell r="G1577">
            <v>84915.481286713301</v>
          </cell>
          <cell r="H1577">
            <v>285.31601712335669</v>
          </cell>
        </row>
        <row r="1579">
          <cell r="D1579" t="str">
            <v>C¾t mÆt ®­êng BTN dµy 5cm</v>
          </cell>
          <cell r="E1579" t="str">
            <v>m</v>
          </cell>
          <cell r="F1579">
            <v>1</v>
          </cell>
          <cell r="I1579" t="e">
            <v>#N/A</v>
          </cell>
          <cell r="J1579">
            <v>3632.6576</v>
          </cell>
          <cell r="K1579">
            <v>843.79196666666678</v>
          </cell>
        </row>
        <row r="1580">
          <cell r="D1580" t="str">
            <v>A.VËt liÖu</v>
          </cell>
          <cell r="H1580" t="e">
            <v>#N/A</v>
          </cell>
        </row>
        <row r="1581">
          <cell r="D1581" t="str">
            <v>- L­ìi c¾t bª t«ng lo¹i 356 mm</v>
          </cell>
          <cell r="E1581" t="str">
            <v>c¸i</v>
          </cell>
          <cell r="F1581">
            <v>2.5000000000000001E-3</v>
          </cell>
          <cell r="G1581" t="e">
            <v>#N/A</v>
          </cell>
          <cell r="H1581" t="e">
            <v>#N/A</v>
          </cell>
        </row>
        <row r="1582">
          <cell r="D1582" t="str">
            <v>- VËt liÖu kh¸c</v>
          </cell>
          <cell r="E1582" t="str">
            <v>%</v>
          </cell>
          <cell r="F1582">
            <v>2</v>
          </cell>
          <cell r="H1582" t="e">
            <v>#N/A</v>
          </cell>
        </row>
        <row r="1583">
          <cell r="D1583" t="str">
            <v>B. Nh©n c«ng 4.0/7 - nhãm 1</v>
          </cell>
          <cell r="E1583" t="str">
            <v>c«ng</v>
          </cell>
          <cell r="F1583">
            <v>1.7600000000000001E-2</v>
          </cell>
          <cell r="G1583">
            <v>206401</v>
          </cell>
          <cell r="H1583">
            <v>3632.6576</v>
          </cell>
        </row>
        <row r="1584">
          <cell r="D1584" t="str">
            <v>C. M¸y thi c«ng</v>
          </cell>
          <cell r="H1584">
            <v>843.79196666666678</v>
          </cell>
        </row>
        <row r="1585">
          <cell r="D1585" t="str">
            <v>- M¸y c¾t bªt«ng MCD 218</v>
          </cell>
          <cell r="E1585" t="str">
            <v>ca</v>
          </cell>
          <cell r="F1585">
            <v>2.2000000000000001E-3</v>
          </cell>
          <cell r="G1585">
            <v>383541.80303030304</v>
          </cell>
          <cell r="H1585">
            <v>843.79196666666678</v>
          </cell>
        </row>
        <row r="1587">
          <cell r="D1587" t="str">
            <v>Nhùa dÝnh b¸m 0,5kg/m2</v>
          </cell>
          <cell r="E1587" t="str">
            <v>m2</v>
          </cell>
          <cell r="F1587">
            <v>1</v>
          </cell>
          <cell r="I1587" t="e">
            <v>#N/A</v>
          </cell>
          <cell r="J1587">
            <v>675.10513269230773</v>
          </cell>
          <cell r="K1587">
            <v>3769.5747869504894</v>
          </cell>
        </row>
        <row r="1588">
          <cell r="D1588" t="str">
            <v>A.VËt liÖu</v>
          </cell>
          <cell r="H1588" t="e">
            <v>#N/A</v>
          </cell>
        </row>
        <row r="1589">
          <cell r="D1589" t="str">
            <v>- Nhùa ®­êng</v>
          </cell>
          <cell r="E1589" t="str">
            <v>kg</v>
          </cell>
          <cell r="F1589">
            <v>0.32322000000000001</v>
          </cell>
          <cell r="G1589" t="e">
            <v>#N/A</v>
          </cell>
          <cell r="H1589" t="e">
            <v>#N/A</v>
          </cell>
        </row>
        <row r="1590">
          <cell r="D1590" t="str">
            <v>- DÇu ho¶</v>
          </cell>
          <cell r="E1590" t="str">
            <v>kg</v>
          </cell>
          <cell r="F1590">
            <v>0.1605</v>
          </cell>
          <cell r="G1590" t="e">
            <v>#N/A</v>
          </cell>
          <cell r="H1590" t="e">
            <v>#N/A</v>
          </cell>
        </row>
        <row r="1591">
          <cell r="D1591" t="str">
            <v>B. Nh©n c«ng 3,5/7 - nhãm 2</v>
          </cell>
          <cell r="E1591" t="str">
            <v>c«ng</v>
          </cell>
          <cell r="F1591">
            <v>3.14E-3</v>
          </cell>
          <cell r="G1591">
            <v>215001.63461538462</v>
          </cell>
          <cell r="H1591">
            <v>675.10513269230773</v>
          </cell>
        </row>
        <row r="1592">
          <cell r="D1592" t="str">
            <v>C. M¸y thi c«ng</v>
          </cell>
          <cell r="H1592">
            <v>3769.5747869504894</v>
          </cell>
        </row>
        <row r="1593">
          <cell r="D1593" t="str">
            <v>- ThiÕt bÞ nÊu nhùa</v>
          </cell>
          <cell r="E1593" t="str">
            <v>ca</v>
          </cell>
          <cell r="F1593">
            <v>4.8999999999999998E-4</v>
          </cell>
          <cell r="G1593">
            <v>297380.2115384615</v>
          </cell>
          <cell r="H1593">
            <v>145.71630365384613</v>
          </cell>
        </row>
        <row r="1594">
          <cell r="D1594" t="str">
            <v>- ¤t« t­íi nhùa</v>
          </cell>
          <cell r="E1594" t="str">
            <v>ca</v>
          </cell>
          <cell r="F1594">
            <v>9.7999999999999997E-4</v>
          </cell>
          <cell r="G1594">
            <v>3054144.3365594405</v>
          </cell>
          <cell r="H1594">
            <v>2993.0614498282516</v>
          </cell>
        </row>
        <row r="1595">
          <cell r="D1595" t="str">
            <v>- M¸y nÐn khÝ</v>
          </cell>
          <cell r="E1595" t="str">
            <v>ca</v>
          </cell>
          <cell r="F1595">
            <v>4.8999999999999998E-4</v>
          </cell>
          <cell r="G1595">
            <v>1287340.8846293706</v>
          </cell>
          <cell r="H1595">
            <v>630.79703346839165</v>
          </cell>
        </row>
      </sheetData>
      <sheetData sheetId="8" refreshError="1"/>
      <sheetData sheetId="9">
        <row r="4">
          <cell r="B4" t="str">
            <v>VL01</v>
          </cell>
          <cell r="C4" t="str">
            <v>§¸ 0.5</v>
          </cell>
          <cell r="D4" t="str">
            <v>m3</v>
          </cell>
          <cell r="E4">
            <v>137146</v>
          </cell>
          <cell r="F4">
            <v>22602.019611623375</v>
          </cell>
          <cell r="G4">
            <v>159748.01961162337</v>
          </cell>
        </row>
        <row r="5">
          <cell r="B5" t="str">
            <v>VL02</v>
          </cell>
          <cell r="C5" t="str">
            <v>§¸ 1x2</v>
          </cell>
          <cell r="D5" t="str">
            <v>m3</v>
          </cell>
          <cell r="E5">
            <v>142182</v>
          </cell>
          <cell r="F5">
            <v>22602.019611623375</v>
          </cell>
          <cell r="G5">
            <v>164784.01961162337</v>
          </cell>
        </row>
        <row r="6">
          <cell r="B6" t="str">
            <v>VL03</v>
          </cell>
          <cell r="C6" t="str">
            <v>§¸ 2x4</v>
          </cell>
          <cell r="D6" t="str">
            <v>m3</v>
          </cell>
          <cell r="E6">
            <v>131091</v>
          </cell>
          <cell r="F6">
            <v>22602.019611623375</v>
          </cell>
          <cell r="G6">
            <v>153693.01961162337</v>
          </cell>
        </row>
        <row r="7">
          <cell r="B7" t="str">
            <v>VL04</v>
          </cell>
          <cell r="C7" t="str">
            <v>§¸ 4x6</v>
          </cell>
          <cell r="D7" t="str">
            <v>m3</v>
          </cell>
          <cell r="E7">
            <v>126250</v>
          </cell>
          <cell r="F7">
            <v>22602.019611623375</v>
          </cell>
          <cell r="G7">
            <v>148852.01961162337</v>
          </cell>
        </row>
        <row r="8">
          <cell r="B8" t="str">
            <v>VL05</v>
          </cell>
          <cell r="C8" t="str">
            <v>C¸t vµng</v>
          </cell>
          <cell r="D8" t="str">
            <v>m3</v>
          </cell>
          <cell r="E8">
            <v>109091</v>
          </cell>
          <cell r="F8">
            <v>122981.57729853895</v>
          </cell>
          <cell r="G8">
            <v>232072.57729853893</v>
          </cell>
        </row>
        <row r="9">
          <cell r="B9" t="str">
            <v>VL06</v>
          </cell>
          <cell r="C9" t="str">
            <v>Nhùa ®­êng phuy</v>
          </cell>
          <cell r="D9" t="str">
            <v>kg</v>
          </cell>
          <cell r="E9">
            <v>12600</v>
          </cell>
          <cell r="F9">
            <v>447.58908343974662</v>
          </cell>
          <cell r="G9">
            <v>13047.589083439747</v>
          </cell>
        </row>
        <row r="10">
          <cell r="B10" t="str">
            <v>VL07</v>
          </cell>
          <cell r="C10" t="str">
            <v>S¬n dÎo nhiÖt (mµu tr¾ng hoÆc vµng)</v>
          </cell>
          <cell r="D10" t="str">
            <v>kg</v>
          </cell>
          <cell r="E10">
            <v>15000</v>
          </cell>
          <cell r="G10">
            <v>15000</v>
          </cell>
        </row>
        <row r="11">
          <cell r="B11" t="str">
            <v>VL08</v>
          </cell>
          <cell r="C11" t="str">
            <v>S¬n lãt</v>
          </cell>
          <cell r="D11" t="str">
            <v>kg</v>
          </cell>
          <cell r="E11">
            <v>69150</v>
          </cell>
          <cell r="G11">
            <v>69150</v>
          </cell>
        </row>
        <row r="12">
          <cell r="B12" t="str">
            <v>VL09</v>
          </cell>
          <cell r="C12" t="str">
            <v>Ga ®èt</v>
          </cell>
          <cell r="D12" t="str">
            <v>kg</v>
          </cell>
          <cell r="E12">
            <v>35000</v>
          </cell>
          <cell r="G12">
            <v>35000</v>
          </cell>
        </row>
        <row r="13">
          <cell r="B13" t="str">
            <v>VL11</v>
          </cell>
          <cell r="C13" t="str">
            <v>Xi m¨ng PC40</v>
          </cell>
          <cell r="D13" t="str">
            <v>kg</v>
          </cell>
          <cell r="E13">
            <v>1062.2729999999999</v>
          </cell>
          <cell r="F13">
            <v>45.850158578251751</v>
          </cell>
          <cell r="G13">
            <v>1108.1231585782516</v>
          </cell>
        </row>
        <row r="14">
          <cell r="B14" t="str">
            <v>VL12</v>
          </cell>
          <cell r="C14" t="str">
            <v>N­íc</v>
          </cell>
          <cell r="D14" t="str">
            <v>lÝt</v>
          </cell>
          <cell r="E14">
            <v>7</v>
          </cell>
          <cell r="G14">
            <v>7</v>
          </cell>
        </row>
        <row r="15">
          <cell r="B15" t="str">
            <v>VL13</v>
          </cell>
          <cell r="C15" t="str">
            <v>Que hàn</v>
          </cell>
          <cell r="D15" t="str">
            <v>kg</v>
          </cell>
          <cell r="E15">
            <v>22000</v>
          </cell>
          <cell r="G15">
            <v>22000</v>
          </cell>
        </row>
        <row r="16">
          <cell r="B16" t="str">
            <v>VL14</v>
          </cell>
          <cell r="C16" t="str">
            <v>ThÐp tÊm</v>
          </cell>
          <cell r="D16" t="str">
            <v>kg</v>
          </cell>
          <cell r="E16">
            <v>11640</v>
          </cell>
          <cell r="F16">
            <v>335.2953443223401</v>
          </cell>
          <cell r="G16">
            <v>11975.29534432234</v>
          </cell>
        </row>
        <row r="17">
          <cell r="B17" t="str">
            <v>VL15</v>
          </cell>
          <cell r="C17" t="str">
            <v>ThÐp h×nh</v>
          </cell>
          <cell r="D17" t="str">
            <v>kg</v>
          </cell>
          <cell r="E17">
            <v>11640</v>
          </cell>
          <cell r="F17">
            <v>335.2953443223401</v>
          </cell>
          <cell r="G17">
            <v>11975.29534432234</v>
          </cell>
        </row>
        <row r="18">
          <cell r="B18" t="str">
            <v>VL16</v>
          </cell>
          <cell r="C18" t="str">
            <v>ThÐp trßn d&lt;10</v>
          </cell>
          <cell r="D18" t="str">
            <v>kg</v>
          </cell>
          <cell r="E18">
            <v>11500</v>
          </cell>
          <cell r="F18">
            <v>335.2953443223401</v>
          </cell>
          <cell r="G18">
            <v>11835.29534432234</v>
          </cell>
        </row>
        <row r="19">
          <cell r="B19" t="str">
            <v>VL17</v>
          </cell>
          <cell r="C19" t="str">
            <v>ThÐp trßn d&gt;10</v>
          </cell>
          <cell r="D19" t="str">
            <v>kg</v>
          </cell>
          <cell r="E19">
            <v>11700</v>
          </cell>
          <cell r="F19">
            <v>335.2953443223401</v>
          </cell>
          <cell r="G19">
            <v>12035.29534432234</v>
          </cell>
        </row>
        <row r="20">
          <cell r="B20" t="str">
            <v>VL18</v>
          </cell>
          <cell r="C20" t="str">
            <v>D©y thÐp</v>
          </cell>
          <cell r="D20" t="str">
            <v>kg</v>
          </cell>
          <cell r="E20">
            <v>13100</v>
          </cell>
          <cell r="G20">
            <v>13100</v>
          </cell>
        </row>
        <row r="21">
          <cell r="B21" t="str">
            <v>VL19</v>
          </cell>
          <cell r="C21" t="str">
            <v>Mµng ph¶n quang biÓn b¸o</v>
          </cell>
          <cell r="D21" t="str">
            <v>m2</v>
          </cell>
          <cell r="E21">
            <v>409999.99999999994</v>
          </cell>
          <cell r="G21">
            <v>409999.99999999994</v>
          </cell>
        </row>
        <row r="22">
          <cell r="B22" t="str">
            <v>VL20</v>
          </cell>
          <cell r="C22" t="str">
            <v>Lưỡi cắt BT</v>
          </cell>
          <cell r="D22" t="str">
            <v>cái</v>
          </cell>
          <cell r="E22">
            <v>125000</v>
          </cell>
          <cell r="G22">
            <v>125000</v>
          </cell>
        </row>
        <row r="23">
          <cell r="B23" t="str">
            <v>VL21</v>
          </cell>
          <cell r="C23" t="str">
            <v>Răng cào</v>
          </cell>
          <cell r="D23" t="str">
            <v xml:space="preserve">bộ </v>
          </cell>
          <cell r="E23">
            <v>14167509</v>
          </cell>
          <cell r="G23">
            <v>14167509</v>
          </cell>
        </row>
        <row r="24">
          <cell r="B24" t="str">
            <v>VL22</v>
          </cell>
          <cell r="C24" t="str">
            <v>Nhũ tương</v>
          </cell>
          <cell r="D24" t="str">
            <v>Kg</v>
          </cell>
          <cell r="E24">
            <v>10200</v>
          </cell>
          <cell r="F24">
            <v>345.12175599034668</v>
          </cell>
          <cell r="G24">
            <v>10545.121755990347</v>
          </cell>
        </row>
        <row r="25">
          <cell r="B25" t="str">
            <v>VL23</v>
          </cell>
          <cell r="C25" t="str">
            <v>Cap phoi da dam loai 1</v>
          </cell>
          <cell r="D25" t="str">
            <v>m3</v>
          </cell>
          <cell r="E25">
            <v>127364</v>
          </cell>
          <cell r="F25">
            <v>22602.019611623375</v>
          </cell>
          <cell r="G25">
            <v>149966.01961162337</v>
          </cell>
        </row>
        <row r="26">
          <cell r="B26" t="str">
            <v>VL24</v>
          </cell>
          <cell r="C26" t="str">
            <v>Cét biÓn O90</v>
          </cell>
          <cell r="D26" t="str">
            <v>m</v>
          </cell>
          <cell r="E26">
            <v>176865.45454545453</v>
          </cell>
          <cell r="G26">
            <v>176865.45454545453</v>
          </cell>
        </row>
        <row r="27">
          <cell r="B27" t="str">
            <v>VL25</v>
          </cell>
          <cell r="C27" t="str">
            <v>Biển phản quang tam giác cạnh 90cm</v>
          </cell>
          <cell r="D27" t="str">
            <v>c¸i</v>
          </cell>
          <cell r="E27">
            <v>435983.63636363635</v>
          </cell>
          <cell r="G27">
            <v>435983.63636363635</v>
          </cell>
        </row>
        <row r="28">
          <cell r="B28" t="str">
            <v>VL26</v>
          </cell>
          <cell r="C28" t="str">
            <v>Tấm Hộ lan cột vuông bước 3m</v>
          </cell>
          <cell r="D28" t="str">
            <v>md</v>
          </cell>
          <cell r="E28">
            <v>238495.75757575757</v>
          </cell>
          <cell r="G28">
            <v>238495.75757575757</v>
          </cell>
        </row>
        <row r="29">
          <cell r="B29" t="str">
            <v>VL27</v>
          </cell>
          <cell r="C29" t="str">
            <v>Cot ho lan ton song</v>
          </cell>
          <cell r="D29" t="str">
            <v>cot</v>
          </cell>
          <cell r="E29">
            <v>639354.54545454541</v>
          </cell>
          <cell r="G29">
            <v>639354.54545454541</v>
          </cell>
        </row>
        <row r="30">
          <cell r="B30" t="str">
            <v>VL28</v>
          </cell>
          <cell r="C30" t="str">
            <v xml:space="preserve">Sơn </v>
          </cell>
          <cell r="D30" t="str">
            <v>kg</v>
          </cell>
          <cell r="E30">
            <v>43000</v>
          </cell>
          <cell r="G30">
            <v>43000</v>
          </cell>
        </row>
        <row r="31">
          <cell r="B31" t="str">
            <v>VL29</v>
          </cell>
          <cell r="C31" t="str">
            <v>Tấm tôn</v>
          </cell>
          <cell r="D31" t="str">
            <v>m2</v>
          </cell>
          <cell r="E31">
            <v>91818</v>
          </cell>
          <cell r="G31">
            <v>91818</v>
          </cell>
        </row>
        <row r="32">
          <cell r="B32" t="str">
            <v>VL30</v>
          </cell>
          <cell r="C32" t="str">
            <v>Mũi khoan D12</v>
          </cell>
          <cell r="D32" t="str">
            <v>cái</v>
          </cell>
          <cell r="E32">
            <v>125000</v>
          </cell>
          <cell r="G32">
            <v>125000</v>
          </cell>
        </row>
        <row r="33">
          <cell r="B33" t="str">
            <v>VL31</v>
          </cell>
          <cell r="C33" t="str">
            <v>Bu lông</v>
          </cell>
          <cell r="D33" t="str">
            <v xml:space="preserve">bộ </v>
          </cell>
          <cell r="E33">
            <v>5000</v>
          </cell>
          <cell r="G33">
            <v>5000</v>
          </cell>
        </row>
        <row r="34">
          <cell r="B34" t="str">
            <v>VL32</v>
          </cell>
          <cell r="C34" t="str">
            <v>Biển phản quang tròn D 90cm</v>
          </cell>
          <cell r="D34" t="str">
            <v>cái</v>
          </cell>
          <cell r="E34">
            <v>918436.36363636353</v>
          </cell>
          <cell r="G34">
            <v>918436.36363636353</v>
          </cell>
        </row>
        <row r="35">
          <cell r="B35" t="str">
            <v>VL33</v>
          </cell>
          <cell r="C35" t="str">
            <v>Xi m¨ng PC30</v>
          </cell>
          <cell r="D35" t="str">
            <v>kg</v>
          </cell>
          <cell r="E35">
            <v>955</v>
          </cell>
          <cell r="G35">
            <v>955</v>
          </cell>
        </row>
        <row r="36">
          <cell r="B36" t="str">
            <v>VL34</v>
          </cell>
          <cell r="C36" t="str">
            <v>D©y ph¶n quang tr¾ng ®á</v>
          </cell>
          <cell r="D36" t="str">
            <v>m</v>
          </cell>
          <cell r="E36">
            <v>3000</v>
          </cell>
          <cell r="G36">
            <v>3000</v>
          </cell>
        </row>
        <row r="37">
          <cell r="B37" t="str">
            <v>VL38</v>
          </cell>
          <cell r="C37" t="str">
            <v>BiÓn b¸o  tam gi¸c c¹nh 70cm</v>
          </cell>
          <cell r="D37" t="str">
            <v>c¸i</v>
          </cell>
          <cell r="E37">
            <v>299603.63636363635</v>
          </cell>
          <cell r="G37">
            <v>299603.63636363635</v>
          </cell>
        </row>
        <row r="38">
          <cell r="B38" t="str">
            <v>VL40</v>
          </cell>
          <cell r="C38" t="str">
            <v>BiÓn b¸o ph¶n quang</v>
          </cell>
          <cell r="D38" t="str">
            <v>m2</v>
          </cell>
          <cell r="E38">
            <v>1401529.0909090908</v>
          </cell>
          <cell r="G38">
            <v>1401529.0909090908</v>
          </cell>
        </row>
        <row r="39">
          <cell r="B39" t="str">
            <v>VL42</v>
          </cell>
          <cell r="C39" t="str">
            <v>§¸ 4x6</v>
          </cell>
          <cell r="D39" t="str">
            <v>m3</v>
          </cell>
          <cell r="E39">
            <v>103182</v>
          </cell>
          <cell r="F39">
            <v>22602.019611623375</v>
          </cell>
          <cell r="G39">
            <v>125784.01961162337</v>
          </cell>
        </row>
        <row r="43">
          <cell r="C43" t="str">
            <v>Giấy dầu</v>
          </cell>
          <cell r="D43" t="str">
            <v>m2</v>
          </cell>
          <cell r="E43">
            <v>6000</v>
          </cell>
          <cell r="G43">
            <v>6000</v>
          </cell>
        </row>
        <row r="44">
          <cell r="C44" t="str">
            <v>Đinh phản quang</v>
          </cell>
          <cell r="D44" t="str">
            <v>đinh</v>
          </cell>
          <cell r="G44">
            <v>165000</v>
          </cell>
        </row>
        <row r="45">
          <cell r="C45" t="str">
            <v>Keo lót</v>
          </cell>
          <cell r="D45" t="str">
            <v>kg</v>
          </cell>
          <cell r="G45">
            <v>40000</v>
          </cell>
        </row>
        <row r="46">
          <cell r="C46" t="str">
            <v>Cét biÓn O90</v>
          </cell>
          <cell r="D46" t="str">
            <v>m</v>
          </cell>
          <cell r="E46">
            <v>182795.45454545453</v>
          </cell>
          <cell r="G46">
            <v>182795.45454545453</v>
          </cell>
        </row>
        <row r="47">
          <cell r="C47" t="str">
            <v>Sơn bê tông</v>
          </cell>
          <cell r="D47" t="str">
            <v>kg</v>
          </cell>
          <cell r="E47">
            <v>50000</v>
          </cell>
          <cell r="G47">
            <v>50000</v>
          </cell>
        </row>
      </sheetData>
      <sheetData sheetId="10">
        <row r="2">
          <cell r="B2" t="str">
            <v>MVL</v>
          </cell>
          <cell r="C2" t="str">
            <v>VËt liÖu</v>
          </cell>
          <cell r="D2" t="str">
            <v>§¬n vÞ</v>
          </cell>
          <cell r="E2" t="str">
            <v>Gi¸ vl</v>
          </cell>
          <cell r="F2" t="str">
            <v>C­íc v/c</v>
          </cell>
          <cell r="G2" t="str">
            <v>tæng céng</v>
          </cell>
        </row>
        <row r="3">
          <cell r="B3">
            <v>2</v>
          </cell>
          <cell r="C3">
            <v>3</v>
          </cell>
          <cell r="D3">
            <v>4</v>
          </cell>
          <cell r="E3">
            <v>5</v>
          </cell>
          <cell r="F3">
            <v>7</v>
          </cell>
        </row>
        <row r="4">
          <cell r="B4" t="str">
            <v>VL01</v>
          </cell>
          <cell r="C4" t="str">
            <v>§¸ 0.5</v>
          </cell>
          <cell r="D4" t="str">
            <v>m3</v>
          </cell>
          <cell r="E4">
            <v>150000</v>
          </cell>
          <cell r="G4">
            <v>150000</v>
          </cell>
        </row>
        <row r="5">
          <cell r="B5" t="str">
            <v>VL02</v>
          </cell>
          <cell r="C5" t="str">
            <v>§¸ 1x2</v>
          </cell>
          <cell r="D5" t="str">
            <v>m3</v>
          </cell>
          <cell r="E5">
            <v>150000</v>
          </cell>
          <cell r="G5">
            <v>150000</v>
          </cell>
        </row>
        <row r="6">
          <cell r="B6" t="str">
            <v>VL03</v>
          </cell>
          <cell r="C6" t="str">
            <v>Đá mạt</v>
          </cell>
          <cell r="D6" t="str">
            <v>m3</v>
          </cell>
          <cell r="E6">
            <v>150000</v>
          </cell>
          <cell r="G6">
            <v>150000</v>
          </cell>
        </row>
        <row r="7">
          <cell r="B7" t="str">
            <v>VL04</v>
          </cell>
          <cell r="C7" t="str">
            <v>Bét ®¸</v>
          </cell>
          <cell r="D7" t="str">
            <v>kg</v>
          </cell>
          <cell r="E7">
            <v>90.908749999999998</v>
          </cell>
          <cell r="F7">
            <v>188.74479826034684</v>
          </cell>
          <cell r="G7">
            <v>279.65354826034684</v>
          </cell>
        </row>
        <row r="8">
          <cell r="B8" t="str">
            <v>VL05</v>
          </cell>
          <cell r="C8" t="str">
            <v xml:space="preserve">C¸t vµng </v>
          </cell>
          <cell r="D8" t="str">
            <v>m3</v>
          </cell>
          <cell r="E8">
            <v>109091</v>
          </cell>
          <cell r="F8">
            <v>65368.586131655844</v>
          </cell>
          <cell r="G8">
            <v>174459.58613165584</v>
          </cell>
        </row>
        <row r="9">
          <cell r="B9" t="str">
            <v>VL06</v>
          </cell>
          <cell r="C9" t="str">
            <v>Nhùa lỏng</v>
          </cell>
          <cell r="D9" t="str">
            <v>kg</v>
          </cell>
          <cell r="E9">
            <v>11200</v>
          </cell>
          <cell r="F9">
            <v>306.87651341742844</v>
          </cell>
          <cell r="G9">
            <v>11506.876513417428</v>
          </cell>
        </row>
        <row r="10">
          <cell r="B10" t="str">
            <v>VL07</v>
          </cell>
          <cell r="C10" t="str">
            <v>DÇu ®iezen</v>
          </cell>
          <cell r="D10" t="str">
            <v>kg</v>
          </cell>
          <cell r="E10">
            <v>13887.147335423195</v>
          </cell>
          <cell r="G10">
            <v>13887.147335423195</v>
          </cell>
        </row>
        <row r="11">
          <cell r="B11" t="str">
            <v>VL08</v>
          </cell>
          <cell r="C11" t="str">
            <v>DÇu mazut</v>
          </cell>
          <cell r="D11" t="str">
            <v>kg</v>
          </cell>
          <cell r="E11">
            <v>9736.363636363636</v>
          </cell>
          <cell r="G11">
            <v>9736.363636363636</v>
          </cell>
        </row>
        <row r="12">
          <cell r="B12" t="str">
            <v>VL09</v>
          </cell>
          <cell r="C12" t="str">
            <v>DÇu b¶o «n</v>
          </cell>
          <cell r="D12" t="str">
            <v>kg</v>
          </cell>
          <cell r="E12">
            <v>31818</v>
          </cell>
          <cell r="G12">
            <v>31818</v>
          </cell>
        </row>
        <row r="24">
          <cell r="C24" t="str">
            <v>Dầu bảo ôn</v>
          </cell>
          <cell r="D24" t="str">
            <v>kg</v>
          </cell>
          <cell r="E24">
            <v>20600</v>
          </cell>
        </row>
        <row r="25">
          <cell r="C25" t="str">
            <v>Bột đá</v>
          </cell>
          <cell r="D25" t="str">
            <v>kg</v>
          </cell>
          <cell r="E25">
            <v>400</v>
          </cell>
        </row>
      </sheetData>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
      <sheetName val="Quantity"/>
      <sheetName val="KP_List"/>
      <sheetName val="PU_ITALY "/>
      <sheetName val="Prices"/>
      <sheetName val="Module1"/>
      <sheetName val="Module2"/>
      <sheetName val="XL4Poppy"/>
      <sheetName val="THDZ0,4"/>
      <sheetName val="TH DZ35"/>
      <sheetName val="THTram"/>
      <sheetName val="6787CWFASE2CASE2_00"/>
      <sheetName val="DON GIA CAN THO"/>
      <sheetName val="Tro giup"/>
      <sheetName val="Don gia chi tiet"/>
      <sheetName val="Sheet1"/>
      <sheetName val="조명시설"/>
      <sheetName val="TinhGiaMTC"/>
      <sheetName val="TinhGiaNC"/>
      <sheetName val="Input"/>
      <sheetName val="SILICATE"/>
      <sheetName val="Don gia"/>
      <sheetName val="DG"/>
      <sheetName val="DC"/>
      <sheetName val="NL"/>
      <sheetName val="DON GIA TRAM (3)"/>
      <sheetName val="dongia"/>
      <sheetName val="7606 DZ"/>
      <sheetName val="ptnc"/>
      <sheetName val="ptvl"/>
      <sheetName val="ptm"/>
      <sheetName val="chi tiet TBA"/>
      <sheetName val="RAB AR&amp;STR"/>
      <sheetName val="Earthwork"/>
      <sheetName val="DANHPHAP"/>
      <sheetName val="chi tiet C"/>
      <sheetName val="공통가설"/>
      <sheetName val="TONGKE-HT"/>
      <sheetName val="물량표S"/>
      <sheetName val="DATA"/>
      <sheetName val="Customize Your Purchase Order"/>
      <sheetName val="Control"/>
      <sheetName val="THVATTU"/>
      <sheetName val="gvl"/>
      <sheetName val="#REF"/>
      <sheetName val="내역서"/>
      <sheetName val="PU_ITALY_"/>
      <sheetName val="Tro_giup"/>
      <sheetName val="RAB_AR&amp;STR"/>
      <sheetName val="chi_tiet_TBA"/>
      <sheetName val="chi_tiet_C"/>
      <sheetName val="TH_DZ35"/>
      <sheetName val="Customize_Your_Purchase_Order"/>
      <sheetName val="Shdet1"/>
      <sheetName val="402"/>
      <sheetName val="BG"/>
      <sheetName val="FitOutConfCentre"/>
      <sheetName val="KLHT"/>
      <sheetName val="CHITIET VL-NC-TT -1p"/>
      <sheetName val="CHITIET VL-NC-TT-3p"/>
      <sheetName val="TONG HOP VL-NC TT"/>
      <sheetName val="TDTKP1"/>
      <sheetName val="KPVC-BD "/>
      <sheetName val="XT_Buoc 3"/>
      <sheetName val="VL,NC,MTC"/>
      <sheetName val="Adix A"/>
      <sheetName val="Mall"/>
      <sheetName val="dnc4"/>
      <sheetName val="갑지"/>
      <sheetName val="침하계"/>
      <sheetName val="BETON"/>
      <sheetName val="24-ACMV"/>
      <sheetName val="DON_GIA_CAN_THO"/>
      <sheetName val="PU_ITALY_1"/>
      <sheetName val="TH_DZ351"/>
      <sheetName val="Tro_giup1"/>
      <sheetName val="DON_GIA_CAN_THO1"/>
      <sheetName val="PU_ITALY_2"/>
      <sheetName val="TH_DZ352"/>
      <sheetName val="Tro_giup2"/>
      <sheetName val="DON_GIA_CAN_THO2"/>
      <sheetName val="Don_gia_chi_tiet"/>
      <sheetName val="Don_gia"/>
      <sheetName val="DON_GIA_TRAM_(3)"/>
      <sheetName val="7606_DZ"/>
      <sheetName val="TONG_HOP_VL-NC_TT"/>
      <sheetName val="CHITIET_VL-NC-TT_-1p"/>
      <sheetName val="KPVC-BD_"/>
      <sheetName val="dongia (2)"/>
      <sheetName val="Ky Lam Bridge"/>
      <sheetName val="Provisional Sums Item"/>
      <sheetName val="Gas Pressure Welding"/>
      <sheetName val="General Item&amp;General Requiremen"/>
      <sheetName val="General Items"/>
      <sheetName val="Regenral Requirements"/>
      <sheetName val="DGTH"/>
      <sheetName val="HĐ ngoài"/>
      <sheetName val="dg67-1"/>
      <sheetName val="Ng.hàng xà+bulong"/>
      <sheetName val="chiet tinh"/>
      <sheetName val="Commercial value"/>
      <sheetName val="S-curve "/>
      <sheetName val="NC"/>
      <sheetName val="TONG HOP VL-NC"/>
      <sheetName val="lam-moi"/>
      <sheetName val="phuluc1"/>
      <sheetName val="So doi chieu LC"/>
      <sheetName val="CBKC-110"/>
      <sheetName val="CTG"/>
      <sheetName val="VL"/>
      <sheetName val="PTDG"/>
      <sheetName val="DONVIBAN"/>
      <sheetName val="NGUON"/>
      <sheetName val="KPTH-T12"/>
      <sheetName val="Thamgia-T10"/>
      <sheetName val="PROFILE"/>
      <sheetName val="Đầu vào"/>
      <sheetName val="K95"/>
      <sheetName val="K98"/>
      <sheetName val="Ts"/>
      <sheetName val="A1.CN"/>
      <sheetName val="XD"/>
      <sheetName val="Cuongricc"/>
      <sheetName val="DG-VL"/>
      <sheetName val="PTDGCT"/>
      <sheetName val="????"/>
      <sheetName val="TONG HOP T5 1998"/>
      <sheetName val="TBA"/>
      <sheetName val="4.PTDG"/>
      <sheetName val="A1, May"/>
      <sheetName val="Máy"/>
      <sheetName val="Vat lieu"/>
      <sheetName val="May"/>
      <sheetName val="실행철강하도"/>
      <sheetName val="project management"/>
      <sheetName val="chitimc"/>
      <sheetName val="giathanh1"/>
      <sheetName val="Du_lieu"/>
      <sheetName val="THVT"/>
      <sheetName val="O20"/>
      <sheetName val="CAT_5"/>
      <sheetName val="BQMP"/>
      <sheetName val="산근"/>
      <sheetName val="inter"/>
      <sheetName val="대비"/>
      <sheetName val="REINF."/>
      <sheetName val="SKETCH"/>
      <sheetName val="LOADS"/>
      <sheetName val="Titles"/>
      <sheetName val="Rates 2009"/>
      <sheetName val="P"/>
      <sheetName val="MAIN GATE HOUSE"/>
      <sheetName val="집계표"/>
      <sheetName val="SL"/>
      <sheetName val="DTXL"/>
      <sheetName val="EIRR&gt;1&lt;1"/>
      <sheetName val="EIRR&gt; 2"/>
      <sheetName val="EIRR&lt;2"/>
      <sheetName val="Cp&gt;10-Ln&lt;10"/>
      <sheetName val="Ln&lt;20"/>
      <sheetName val="TH_CNO"/>
      <sheetName val="NK_CHUNG"/>
      <sheetName val="366"/>
      <sheetName val="CT vat lieu"/>
      <sheetName val="vcdngan"/>
      <sheetName val="DG DZ"/>
      <sheetName val="DG TBA"/>
      <sheetName val="DGXD"/>
      <sheetName val="CT-35"/>
      <sheetName val="CT-0.4KV"/>
      <sheetName val="Data Input"/>
      <sheetName val="Du toan"/>
      <sheetName val="Keothep"/>
      <sheetName val="Re-bar"/>
      <sheetName val="DLDTLN"/>
      <sheetName val="차액보증"/>
      <sheetName val="Dulieu"/>
      <sheetName val="SITE-E"/>
      <sheetName val="Bang KL"/>
      <sheetName val="Config"/>
      <sheetName val="DMCP"/>
      <sheetName val="HS_TDT"/>
      <sheetName val="ALLOWANCE"/>
      <sheetName val="MH RATE"/>
      <sheetName val="Sheet3"/>
      <sheetName val="금융비용"/>
      <sheetName val="입찰안"/>
      <sheetName val="RAB_AR&amp;STR1"/>
      <sheetName val="chi_tiet_TBA1"/>
      <sheetName val="chi_tiet_C1"/>
      <sheetName val="Customize_Your_Purchase_Order1"/>
      <sheetName val="CHITIET_VL-NC-TT-3p"/>
      <sheetName val="S-curve_"/>
      <sheetName val="So_doi_chieu_LC"/>
      <sheetName val="Adix_A"/>
      <sheetName val="HĐ_ngoài"/>
      <sheetName val="XT_Buoc_3"/>
      <sheetName val="dongia_(2)"/>
      <sheetName val="BGD"/>
      <sheetName val="KCS"/>
      <sheetName val="KD"/>
      <sheetName val="KT"/>
      <sheetName val="KTNL"/>
      <sheetName val="KH"/>
      <sheetName val="PX-SX"/>
      <sheetName val="TC"/>
      <sheetName val="Lcau - Lxuc"/>
      <sheetName val="LaborPY"/>
      <sheetName val="LaborKH"/>
      <sheetName val="Equip "/>
      <sheetName val="Material"/>
      <sheetName val="DG thep ma kem"/>
      <sheetName val="dm366"/>
      <sheetName val="damgiua"/>
      <sheetName val="dgct"/>
      <sheetName val="WT-LIST"/>
      <sheetName val="DM 6061"/>
      <sheetName val="Gia"/>
      <sheetName val="EXTERNAL"/>
      <sheetName val="Trạm biến áp"/>
      <sheetName val="Đơn Giá "/>
      <sheetName val="Chi tiet XD TBA"/>
      <sheetName val="Giá"/>
      <sheetName val="DM1776"/>
      <sheetName val="DM228"/>
      <sheetName val="DM4970"/>
      <sheetName val="Camay_DP"/>
      <sheetName val="DM6061"/>
      <sheetName val="Luong2"/>
      <sheetName val="Chenh lech vat tu"/>
      <sheetName val="Diện tích"/>
      <sheetName val="1_Khái toán"/>
      <sheetName val="ironmongery"/>
      <sheetName val="DTOAN"/>
      <sheetName val="Equipment"/>
      <sheetName val="DT_THAU"/>
      <sheetName val="말뚝지지력산정"/>
      <sheetName val="rate material"/>
      <sheetName val="04 - XUONG DET B"/>
      <sheetName val="CTGX"/>
      <sheetName val="CTG-1"/>
      <sheetName val="DM"/>
      <sheetName val="bt19"/>
      <sheetName val="Btr25"/>
      <sheetName val="BANCO (2)"/>
      <sheetName val="MT DPin (2)"/>
      <sheetName val="Sheet2"/>
      <sheetName val="chiettinh"/>
      <sheetName val="DonGiaLD"/>
      <sheetName val="Gia vat tu"/>
      <sheetName val="6787CWFASE2CASE2_00.xls"/>
      <sheetName val="list"/>
      <sheetName val="T&amp;D"/>
      <sheetName val="Ca máy"/>
      <sheetName val="Cước VC + ĐM CP Tư vấn"/>
      <sheetName val="Dự toán"/>
      <sheetName val="Đơn Giá TH"/>
      <sheetName val="Nhân công"/>
      <sheetName val="Phân tích"/>
      <sheetName val="Hệ số"/>
      <sheetName val="C.P Thiết bị"/>
      <sheetName val="T.H Kinh phí"/>
      <sheetName val="Vật tư"/>
      <sheetName val="Trang bìa"/>
      <sheetName val="7606-TBA"/>
      <sheetName val="7606-ĐZ"/>
      <sheetName val="DM 67"/>
      <sheetName val="PU_ITALY_3"/>
      <sheetName val="TH_DZ353"/>
      <sheetName val="Tro_giup3"/>
      <sheetName val="Don_gia1"/>
      <sheetName val="DON_GIA_TRAM_(3)1"/>
      <sheetName val="DON_GIA_CAN_THO3"/>
      <sheetName val="Don_gia_chi_tiet1"/>
      <sheetName val="7606_DZ1"/>
      <sheetName val="CHITIET_VL-NC-TT_-1p1"/>
      <sheetName val="TONG_HOP_VL-NC_TT1"/>
      <sheetName val="KPVC-BD_1"/>
      <sheetName val="Ky_Lam_Bridge"/>
      <sheetName val="Provisional_Sums_Item"/>
      <sheetName val="Gas_Pressure_Welding"/>
      <sheetName val="General_Item&amp;General_Requiremen"/>
      <sheetName val="General_Items"/>
      <sheetName val="Regenral_Requirements"/>
      <sheetName val="Ng_hàng_xà+bulong"/>
      <sheetName val="chiet_tinh"/>
      <sheetName val="CT_vat_lieu"/>
      <sheetName val="DM_6061"/>
      <sheetName val="DG_thep_ma_kem"/>
      <sheetName val="DG_DZ"/>
      <sheetName val="DG_TBA"/>
      <sheetName val="Commercial_value"/>
      <sheetName val="TONG_HOP_VL-NC"/>
      <sheetName val="Rates_2009"/>
      <sheetName val="Data_Input"/>
      <sheetName val="DG7606"/>
      <sheetName val="Don gia chi tiet DIEN 2"/>
      <sheetName val="DG7606DZ"/>
      <sheetName val="Luong NII"/>
      <sheetName val="Cpbetong"/>
      <sheetName val="366fun"/>
      <sheetName val="DM_60606061"/>
      <sheetName val="DINH MUC THI NGHIEM"/>
      <sheetName val="CUOCVC"/>
      <sheetName val="Luong NI"/>
      <sheetName val="Vatlieu"/>
      <sheetName val="CT"/>
      <sheetName val="DTCTchung"/>
      <sheetName val="cuocbd"/>
      <sheetName val="CUOC"/>
      <sheetName val="CT1"/>
      <sheetName val="6PILE  (돌출)"/>
      <sheetName val="6MONTHS"/>
      <sheetName val="Bill 1_Quy dinh chung"/>
      <sheetName val="1.R18 BF"/>
      <sheetName val="A"/>
      <sheetName val="G"/>
      <sheetName val="F-B"/>
      <sheetName val="H-J"/>
      <sheetName val="6.External works-R18"/>
      <sheetName val="???S"/>
      <sheetName val="???"/>
      <sheetName val="??"/>
      <sheetName val="HÐ ngoài"/>
      <sheetName val="??????"/>
      <sheetName val="HÐ_ngoài"/>
      <sheetName val="Elect (3)"/>
      <sheetName val="B"/>
      <sheetName val="BQMPALOC"/>
      <sheetName val="NDOCBT"/>
      <sheetName val="basis"/>
      <sheetName val="E"/>
      <sheetName val="K"/>
      <sheetName val="수입"/>
      <sheetName val="eq_data"/>
      <sheetName val="plan&amp;section of foundation"/>
      <sheetName val="design criteria"/>
      <sheetName val="Bond 수수료 계산 포맷"/>
      <sheetName val="ITB COST"/>
      <sheetName val="DGsuyrong"/>
      <sheetName val="PhanTichVua"/>
      <sheetName val="PhanTichVT"/>
      <sheetName val="KhoiluongDT"/>
      <sheetName val="DG1426"/>
      <sheetName val="KH-Q1,Q2,01"/>
      <sheetName val="BM"/>
      <sheetName val="KL Chi tiết Xây tô"/>
      <sheetName val="07Base Cost"/>
      <sheetName val="Chi tiet KL"/>
      <sheetName val="Tổng hợp KL"/>
      <sheetName val="01"/>
      <sheetName val="02"/>
      <sheetName val=" 03"/>
      <sheetName val="04"/>
      <sheetName val="05"/>
      <sheetName val="06"/>
      <sheetName val="07"/>
      <sheetName val="08"/>
      <sheetName val="09"/>
      <sheetName val="chieu day san"/>
      <sheetName val="Podium Concrete Works"/>
      <sheetName val="KLCT- TOWER"/>
      <sheetName val="KLCT- PODIUM"/>
      <sheetName val="Gia thanh chuoi su"/>
      <sheetName val="Tiep dia"/>
      <sheetName val="Don gia vung III-Can Tho"/>
      <sheetName val="base"/>
      <sheetName val="DGG"/>
      <sheetName val="INDEX"/>
      <sheetName val="Area Cal"/>
      <sheetName val="Phan khai KLuong"/>
      <sheetName val="Duphong"/>
      <sheetName val="PAGE 1"/>
      <sheetName val="CE(E)"/>
      <sheetName val="CE(M)"/>
      <sheetName val="Project Data"/>
      <sheetName val="실행"/>
      <sheetName val="Barrem"/>
      <sheetName val="負荷集計（断熱不燃）"/>
      <sheetName val="갑지1"/>
      <sheetName val="Duc_bk"/>
      <sheetName val="CANDOI"/>
      <sheetName val="MATK"/>
      <sheetName val="NHATKY"/>
      <sheetName val="Xay lapduongR3"/>
      <sheetName val="Standardwerte"/>
      <sheetName val="BKBANRA"/>
      <sheetName val="BKMUAVAO"/>
      <sheetName val="INFO"/>
      <sheetName val="Summary"/>
      <sheetName val="GAEYO"/>
      <sheetName val="Đầu tư"/>
      <sheetName val="dg tphcm"/>
      <sheetName val="Dlieu dau vao"/>
      <sheetName val="7606"/>
      <sheetName val="MTL$-INTER"/>
      <sheetName val="____"/>
      <sheetName val="___S"/>
      <sheetName val="___"/>
      <sheetName val="__"/>
      <sheetName val="______"/>
      <sheetName val="DETAIL "/>
      <sheetName val="GTTBA"/>
      <sheetName val="I-KAMAR"/>
      <sheetName val="OT"/>
      <sheetName val="Income Statement"/>
      <sheetName val="Shareholders' Equity"/>
      <sheetName val="PU_ITALY_4"/>
      <sheetName val="TH_DZ354"/>
      <sheetName val="Tro_giup4"/>
      <sheetName val="Don_gia2"/>
      <sheetName val="DON_GIA_TRAM_(3)2"/>
      <sheetName val="chi_tiet_TBA2"/>
      <sheetName val="DON_GIA_CAN_THO4"/>
      <sheetName val="RAB_AR&amp;STR2"/>
      <sheetName val="chi_tiet_C2"/>
      <sheetName val="7606_DZ2"/>
      <sheetName val="Don_gia_chi_tiet2"/>
      <sheetName val="Customize_Your_Purchase_Order2"/>
      <sheetName val="XT_Buoc_31"/>
      <sheetName val="CHITIET_VL-NC-TT_-1p2"/>
      <sheetName val="CHITIET_VL-NC-TT-3p1"/>
      <sheetName val="TONG_HOP_VL-NC_TT2"/>
      <sheetName val="KPVC-BD_2"/>
      <sheetName val="dongia_(2)1"/>
      <sheetName val="Gia_vat_tu1"/>
      <sheetName val="Adix_A1"/>
      <sheetName val="Ky_Lam_Bridge1"/>
      <sheetName val="Provisional_Sums_Item1"/>
      <sheetName val="Gas_Pressure_Welding1"/>
      <sheetName val="General_Item&amp;General_Requireme1"/>
      <sheetName val="General_Items1"/>
      <sheetName val="Regenral_Requirements1"/>
      <sheetName val="S-curve_1"/>
      <sheetName val="HĐ_ngoài1"/>
      <sheetName val="Ng_hàng_xà+bulong1"/>
      <sheetName val="CT_vat_lieu1"/>
      <sheetName val="Income_Statement1"/>
      <sheetName val="Shareholders'_Equity1"/>
      <sheetName val="So_doi_chieu_LC1"/>
      <sheetName val="project_management"/>
      <sheetName val="MAIN_GATE_HOUSE"/>
      <sheetName val="REINF_"/>
      <sheetName val="A1_CN"/>
      <sheetName val="Đầu_vào"/>
      <sheetName val="Du_toan"/>
      <sheetName val="MH_RATE"/>
      <sheetName val="Gia_vat_tu"/>
      <sheetName val="Income_Statement"/>
      <sheetName val="Shareholders'_Equity"/>
      <sheetName val="VC.xd"/>
      <sheetName val="Gia.VLTB"/>
      <sheetName val="B.Luong"/>
      <sheetName val="C.May"/>
      <sheetName val="don_giaQB"/>
      <sheetName val="dm 366"/>
      <sheetName val="DM 6060"/>
      <sheetName val="DM_4970"/>
      <sheetName val="TK-TUBU"/>
      <sheetName val="DGIA"/>
      <sheetName val="TT"/>
      <sheetName val="SP10"/>
      <sheetName val="GV1-D13 (Casement door)"/>
      <sheetName val="DK"/>
      <sheetName val="tonghop"/>
      <sheetName val="DATA2"/>
      <sheetName val="Loại Vật tư"/>
      <sheetName val="DTICH"/>
      <sheetName val="DUCVIETPQ"/>
      <sheetName val="D&amp;W"/>
      <sheetName val="INFOR-ST"/>
      <sheetName val="T.KÊ K.CẤU"/>
      <sheetName val="BIDDING-SUM"/>
      <sheetName val="Measure 1306"/>
      <sheetName val="0"/>
      <sheetName val="gia cong tac"/>
      <sheetName val="DL"/>
      <sheetName val="Bill 02 - Xay gach-Pou "/>
      <sheetName val="Bill 03-Chống thấm-Pou"/>
      <sheetName val="Bill 04-Kim loại-Pou"/>
      <sheetName val="Bill 05 - Hoan thien-Pou "/>
      <sheetName val="Bill 02 - Xay gach-Tower"/>
      <sheetName val="Bill 03-Chống thấm-Tower"/>
      <sheetName val="Bill 04-Kim loại-Tower"/>
      <sheetName val="Bill 05 - Hoan thien-Tower"/>
      <sheetName val="KL- KHAC"/>
      <sheetName val="BILL 3 - KẾT CẤU HẦM"/>
      <sheetName val="PTĐG"/>
      <sheetName val="RATE"/>
      <sheetName val="DTC&amp;TP&amp;NCC"/>
      <sheetName val="PTĐG LTBT"/>
      <sheetName val="CTG-PRECHEx1.4"/>
      <sheetName val="CTG-AB (2)"/>
      <sheetName val="CTG-AB (3)"/>
      <sheetName val="CTG-PLP-1.08"/>
      <sheetName val="CTG-QUYCHE"/>
      <sheetName val="CTG-AB"/>
      <sheetName val="Pre Đội nhóm"/>
      <sheetName val="Vat tu XD"/>
      <sheetName val="database"/>
      <sheetName val="inpukeoI"/>
      <sheetName val="Tower - Concrete Works"/>
      <sheetName val="Bill-04 ket cau thap- UNI"/>
      <sheetName val="LEGEND"/>
      <sheetName val="Door and window"/>
      <sheetName val="PEDESB"/>
      <sheetName val="Bill 01 - CTN"/>
      <sheetName val="Bill 2.2 Villa 2 beds"/>
      <sheetName val="토공"/>
      <sheetName val="Harga ME "/>
      <sheetName val="Alat"/>
      <sheetName val="Analisa Gabungan"/>
      <sheetName val="Sub"/>
      <sheetName val="Chi tiet"/>
      <sheetName val="TH Vat tu"/>
      <sheetName val="Cửa"/>
      <sheetName val="JP_List"/>
      <sheetName val="SUBS"/>
      <sheetName val="Feeds"/>
      <sheetName val="final list 2005"/>
      <sheetName val="final_list_2005"/>
      <sheetName val="WORKINGS"/>
      <sheetName val="LV data"/>
      <sheetName val="Bang trong luong rieng thep"/>
      <sheetName val="PRI-LS"/>
      <sheetName val="NKC6"/>
      <sheetName val="DTXD"/>
      <sheetName val="CPDDII"/>
      <sheetName val="NVL"/>
      <sheetName val="Note"/>
      <sheetName val="DLdauvao"/>
      <sheetName val="CẤP THOÁT NƯỚC"/>
      <sheetName val="ESTI."/>
      <sheetName val="TH MTC"/>
      <sheetName val="TH N.Cong"/>
      <sheetName val="Bang_KL"/>
      <sheetName val="Lcau_-_Lxuc"/>
      <sheetName val="DG-TNHC-85"/>
      <sheetName val="Dia"/>
      <sheetName val="THDT goi thau TB"/>
      <sheetName val="Tien do TV"/>
      <sheetName val="QD957"/>
      <sheetName val="Sheet4"/>
      <sheetName val="Supplier"/>
      <sheetName val=" Bill.5-Earthing.2 - Add Works"/>
      <sheetName val="bridge # 1"/>
      <sheetName val="Isolasi Luar Dalam"/>
      <sheetName val="Isolasi Luar"/>
      <sheetName val="TK-COL"/>
      <sheetName val="02_Dulieu_Cua"/>
      <sheetName val="HMCV"/>
      <sheetName val="CauKien"/>
      <sheetName val="KL san lap"/>
      <sheetName val="Chenh lech ca may"/>
      <sheetName val="TLg CN&amp;Laixe"/>
      <sheetName val="TLg CN&amp;Laixe (2)"/>
      <sheetName val="TLg Laitau"/>
      <sheetName val="TLg Laitau (2)"/>
      <sheetName val="Bang 3_Chi tiet phan Dz"/>
      <sheetName val="KHOI LUONG"/>
      <sheetName val="Setting"/>
      <sheetName val="Settings"/>
      <sheetName val="Equipment list (PAC)"/>
      <sheetName val="計算条件"/>
      <sheetName val="TINH KHOI LUONG"/>
      <sheetName val="DATA BASE"/>
      <sheetName val="Mat_Source"/>
      <sheetName val="入力作成表"/>
      <sheetName val="CPA"/>
      <sheetName val="PS-Labour_M"/>
      <sheetName val="DM7606"/>
      <sheetName val="XDM22"/>
      <sheetName val="Gvlch"/>
      <sheetName val="DGLX"/>
      <sheetName val="DinhMuc"/>
      <sheetName val="7606(TT01)"/>
      <sheetName val="7606TBA(TT01)"/>
      <sheetName val="DG7606TBA"/>
      <sheetName val="CTTN"/>
      <sheetName val="Luong_Cnhan"/>
      <sheetName val="DMTN"/>
      <sheetName val="VatTU"/>
      <sheetName val="dgtn"/>
      <sheetName val="DG 1426"/>
      <sheetName val="SEX"/>
      <sheetName val="HVAC.BLOCK B4"/>
      <sheetName val="subcon sched"/>
      <sheetName val="VND"/>
      <sheetName val="Buy vs. Lease Car"/>
      <sheetName val="daf-3(OK)"/>
      <sheetName val="daf-7(OK)"/>
      <sheetName val="SourceData"/>
      <sheetName val="新规"/>
      <sheetName val="Master"/>
      <sheetName val="BẢNG KHỐI LƯỢNG TỔNG HỢP"/>
      <sheetName val="Hardware"/>
      <sheetName val="HWW"/>
      <sheetName val="TH_CPTB"/>
      <sheetName val="CP Khac cuoc VC"/>
      <sheetName val="Code"/>
      <sheetName val="Budget Code"/>
      <sheetName val="CTKL KTX HT"/>
      <sheetName val="PRE (E)"/>
      <sheetName val="2.Chiet tinh"/>
      <sheetName val="NHÀ NHẬP LIỆU"/>
      <sheetName val="MÓNG SILO"/>
      <sheetName val="Z"/>
      <sheetName val="Tong du toan"/>
      <sheetName val="Bill 2 - ketcau"/>
      <sheetName val="A1"/>
      <sheetName val="IBASE"/>
      <sheetName val="DANHMUC"/>
      <sheetName val="13-Cốt thép (10mm&lt;D≤18mm) FO16"/>
      <sheetName val="du lieu du toan"/>
      <sheetName val="Equip_"/>
      <sheetName val="Trạm_biến_áp"/>
      <sheetName val="Đơn_Giá_"/>
      <sheetName val="Chenh_lech_vat_tu"/>
      <sheetName val="Diện_tích"/>
      <sheetName val="1_Khái_toán"/>
      <sheetName val="TONG_HOP_T5_1998"/>
      <sheetName val="Chi_tiet_XD_TBA"/>
      <sheetName val="CT-0_4KV"/>
      <sheetName val="Chi_tiet_KL"/>
      <sheetName val="Tổng_hợp_KL"/>
      <sheetName val="rate_material"/>
      <sheetName val="KL_Chi_tiết_Xây_tô"/>
      <sheetName val="04_-_XUONG_DET_B"/>
      <sheetName val="07Base_Cost"/>
      <sheetName val="_03"/>
      <sheetName val="chieu_day_san"/>
      <sheetName val="Podium_Concrete_Works"/>
      <sheetName val="KLCT-_TOWER"/>
      <sheetName val="KLCT-_PODIUM"/>
      <sheetName val="Gia_thanh_chuoi_su"/>
      <sheetName val="Tiep_dia"/>
      <sheetName val="Don_gia_vung_III-Can_Tho"/>
      <sheetName val="Bill_1_Quy_dinh_chung"/>
      <sheetName val="1_R18_BF"/>
      <sheetName val="6_External_works-R18"/>
      <sheetName val="Phan_khai_KLuong"/>
      <sheetName val="Area_Cal"/>
      <sheetName val="Elect_(3)"/>
      <sheetName val="plan&amp;section_of_foundation"/>
      <sheetName val="design_criteria"/>
      <sheetName val="Bond_수수료_계산_포맷"/>
      <sheetName val="ITB_COST"/>
      <sheetName val="PAGE_1"/>
      <sheetName val="Loại_Vật_tư"/>
      <sheetName val="DM_67"/>
      <sheetName val="Đầu_tư"/>
      <sheetName val="dg_tphcm"/>
      <sheetName val="T_KÊ_K_CẤU"/>
      <sheetName val="4_PTDG"/>
      <sheetName val="A1,_May"/>
      <sheetName val="Vat_lieu"/>
      <sheetName val="Door_and_window"/>
      <sheetName val="Project_Data"/>
      <sheetName val="EIRR&gt;_2"/>
      <sheetName val="6PILE__(돌출)"/>
      <sheetName val="HÐ_ngoài1"/>
      <sheetName val="Xay_lapduongR3"/>
      <sheetName val="wsLists"/>
      <sheetName val="Chi tiet lan can"/>
      <sheetName val="#REF!"/>
      <sheetName val="Open"/>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sheetData sheetId="409"/>
      <sheetData sheetId="410"/>
      <sheetData sheetId="411" refreshError="1"/>
      <sheetData sheetId="412"/>
      <sheetData sheetId="413" refreshError="1"/>
      <sheetData sheetId="414"/>
      <sheetData sheetId="415"/>
      <sheetData sheetId="416" refreshError="1"/>
      <sheetData sheetId="417" refreshError="1"/>
      <sheetData sheetId="418"/>
      <sheetData sheetId="419"/>
      <sheetData sheetId="420"/>
      <sheetData sheetId="421"/>
      <sheetData sheetId="422"/>
      <sheetData sheetId="423"/>
      <sheetData sheetId="424"/>
      <sheetData sheetId="425" refreshError="1"/>
      <sheetData sheetId="426"/>
      <sheetData sheetId="427" refreshError="1"/>
      <sheetData sheetId="428" refreshError="1"/>
      <sheetData sheetId="429" refreshError="1"/>
      <sheetData sheetId="430" refreshError="1"/>
      <sheetData sheetId="431" refreshError="1"/>
      <sheetData sheetId="432" refreshError="1"/>
      <sheetData sheetId="433"/>
      <sheetData sheetId="434"/>
      <sheetData sheetId="435" refreshError="1"/>
      <sheetData sheetId="436" refreshError="1"/>
      <sheetData sheetId="437" refreshError="1"/>
      <sheetData sheetId="438" refreshError="1"/>
      <sheetData sheetId="439"/>
      <sheetData sheetId="440" refreshError="1"/>
      <sheetData sheetId="441" refreshError="1"/>
      <sheetData sheetId="442" refreshError="1"/>
      <sheetData sheetId="443"/>
      <sheetData sheetId="444"/>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P_List"/>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Tong muc dau tu"/>
      <sheetName val="Bang Tra"/>
      <sheetName val="THXL"/>
      <sheetName val="Du toan"/>
      <sheetName val="PTDG-PY,SC"/>
      <sheetName val="PTDG-TPTN"/>
      <sheetName val="PTDG-PL"/>
      <sheetName val="PTDG-BTN"/>
      <sheetName val="GVL-BTN"/>
      <sheetName val="Cuoc VC-BTN"/>
      <sheetName val="PLV"/>
      <sheetName val="GVL-bai duc"/>
      <sheetName val="Cuoc VCVL den bai duc"/>
      <sheetName val="GVL-PY,SC"/>
      <sheetName val="Cuoc VC-PY,SC"/>
      <sheetName val="GVL-TPTN"/>
      <sheetName val="Cuoc VC-TPTN"/>
      <sheetName val="GVL-PL"/>
      <sheetName val="Cuoc VC-PL "/>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5">
          <cell r="B5" t="str">
            <v>VL01</v>
          </cell>
          <cell r="C5" t="str">
            <v>§¸ 0.5</v>
          </cell>
          <cell r="D5" t="str">
            <v>m3</v>
          </cell>
          <cell r="E5">
            <v>136000</v>
          </cell>
          <cell r="F5">
            <v>4932.8508555524477</v>
          </cell>
          <cell r="G5">
            <v>140932.85085555245</v>
          </cell>
        </row>
        <row r="6">
          <cell r="B6" t="str">
            <v>VL02</v>
          </cell>
          <cell r="C6" t="str">
            <v>§¸ 1x2</v>
          </cell>
          <cell r="D6" t="str">
            <v>m3</v>
          </cell>
          <cell r="E6">
            <v>136000</v>
          </cell>
          <cell r="F6">
            <v>4932.8508555524477</v>
          </cell>
          <cell r="G6">
            <v>140932.85085555245</v>
          </cell>
        </row>
        <row r="7">
          <cell r="B7" t="str">
            <v>VL03</v>
          </cell>
          <cell r="C7" t="str">
            <v>§¸ 2x4</v>
          </cell>
          <cell r="D7" t="str">
            <v>m3</v>
          </cell>
          <cell r="E7">
            <v>136000</v>
          </cell>
          <cell r="F7">
            <v>4932.8508555524477</v>
          </cell>
          <cell r="G7">
            <v>140932.85085555245</v>
          </cell>
        </row>
        <row r="8">
          <cell r="B8" t="str">
            <v>VL04</v>
          </cell>
          <cell r="C8" t="str">
            <v>§¸ 4x6</v>
          </cell>
          <cell r="D8" t="str">
            <v>m3</v>
          </cell>
          <cell r="E8">
            <v>118000</v>
          </cell>
          <cell r="F8">
            <v>4932.8508555524477</v>
          </cell>
          <cell r="G8">
            <v>122932.85085555245</v>
          </cell>
        </row>
        <row r="9">
          <cell r="B9" t="str">
            <v>VL05</v>
          </cell>
          <cell r="C9" t="str">
            <v>§¸ héc</v>
          </cell>
          <cell r="D9" t="str">
            <v>m3</v>
          </cell>
          <cell r="E9">
            <v>118000</v>
          </cell>
          <cell r="F9">
            <v>4932.8508555524477</v>
          </cell>
          <cell r="G9">
            <v>122932.85085555245</v>
          </cell>
        </row>
        <row r="10">
          <cell r="B10" t="str">
            <v>VL06</v>
          </cell>
          <cell r="C10" t="str">
            <v>§¸ th¶i</v>
          </cell>
          <cell r="D10" t="str">
            <v>m3</v>
          </cell>
          <cell r="E10">
            <v>118000</v>
          </cell>
          <cell r="F10">
            <v>4932.8508555524477</v>
          </cell>
          <cell r="G10">
            <v>122932.85085555245</v>
          </cell>
        </row>
        <row r="11">
          <cell r="B11" t="str">
            <v>VL07</v>
          </cell>
          <cell r="C11" t="str">
            <v>C¸t vµng</v>
          </cell>
          <cell r="D11" t="str">
            <v>m3</v>
          </cell>
          <cell r="E11">
            <v>300000</v>
          </cell>
          <cell r="F11">
            <v>13662.046100139858</v>
          </cell>
          <cell r="G11">
            <v>313662.04610013985</v>
          </cell>
        </row>
        <row r="12">
          <cell r="B12" t="str">
            <v>VL08</v>
          </cell>
          <cell r="C12" t="str">
            <v>CP loại 1</v>
          </cell>
          <cell r="D12" t="str">
            <v>m3</v>
          </cell>
          <cell r="E12">
            <v>136000</v>
          </cell>
          <cell r="F12">
            <v>4932.8508555524477</v>
          </cell>
          <cell r="G12">
            <v>140932.85085555245</v>
          </cell>
        </row>
        <row r="13">
          <cell r="B13" t="str">
            <v>VL09</v>
          </cell>
          <cell r="C13" t="str">
            <v>CP loại 2</v>
          </cell>
          <cell r="D13" t="str">
            <v>m3</v>
          </cell>
          <cell r="E13">
            <v>136000</v>
          </cell>
          <cell r="F13">
            <v>4932.8508555524477</v>
          </cell>
          <cell r="G13">
            <v>140932.85085555245</v>
          </cell>
        </row>
        <row r="14">
          <cell r="B14" t="str">
            <v>VL10</v>
          </cell>
          <cell r="C14" t="str">
            <v>Nhùa ®­êng phuy</v>
          </cell>
          <cell r="D14" t="str">
            <v>kg</v>
          </cell>
          <cell r="E14">
            <v>13500</v>
          </cell>
          <cell r="F14">
            <v>783.19999999999993</v>
          </cell>
          <cell r="G14">
            <v>14283.2</v>
          </cell>
        </row>
        <row r="15">
          <cell r="B15" t="str">
            <v>VL11</v>
          </cell>
          <cell r="C15" t="str">
            <v>L­ìi c¾t BT nhùa</v>
          </cell>
          <cell r="D15" t="str">
            <v>c¸i</v>
          </cell>
          <cell r="E15">
            <v>1714286</v>
          </cell>
          <cell r="G15">
            <v>1714286</v>
          </cell>
        </row>
        <row r="16">
          <cell r="B16" t="str">
            <v>VL12</v>
          </cell>
          <cell r="C16" t="str">
            <v>S¬n dÎo nhiÖt</v>
          </cell>
          <cell r="D16" t="str">
            <v>kg</v>
          </cell>
          <cell r="E16">
            <v>25200</v>
          </cell>
          <cell r="G16">
            <v>25200</v>
          </cell>
        </row>
        <row r="17">
          <cell r="B17" t="str">
            <v>VL13</v>
          </cell>
          <cell r="C17" t="str">
            <v>S¬n lãt</v>
          </cell>
          <cell r="D17" t="str">
            <v>kg</v>
          </cell>
          <cell r="E17">
            <v>77000</v>
          </cell>
          <cell r="G17">
            <v>77000</v>
          </cell>
        </row>
        <row r="18">
          <cell r="B18" t="str">
            <v>VL14</v>
          </cell>
          <cell r="C18" t="str">
            <v>Ga ®èt</v>
          </cell>
          <cell r="D18" t="str">
            <v>kg</v>
          </cell>
          <cell r="E18">
            <v>32550</v>
          </cell>
          <cell r="G18">
            <v>32550</v>
          </cell>
        </row>
        <row r="19">
          <cell r="B19" t="str">
            <v>VL15</v>
          </cell>
          <cell r="C19" t="str">
            <v>Xi m¨ng PC40</v>
          </cell>
          <cell r="D19" t="str">
            <v>kg</v>
          </cell>
          <cell r="E19">
            <v>1404</v>
          </cell>
          <cell r="F19">
            <v>34.079103639440561</v>
          </cell>
          <cell r="G19">
            <v>1438.0791036394405</v>
          </cell>
        </row>
        <row r="20">
          <cell r="B20" t="str">
            <v>VL16</v>
          </cell>
          <cell r="C20" t="str">
            <v>N­íc</v>
          </cell>
          <cell r="D20" t="str">
            <v>lÝt</v>
          </cell>
          <cell r="E20">
            <v>5</v>
          </cell>
          <cell r="G20">
            <v>5</v>
          </cell>
        </row>
        <row r="21">
          <cell r="B21" t="str">
            <v>VL17</v>
          </cell>
          <cell r="C21" t="str">
            <v>Que hàn</v>
          </cell>
          <cell r="D21" t="str">
            <v>kg</v>
          </cell>
          <cell r="E21">
            <v>21000</v>
          </cell>
          <cell r="G21">
            <v>21000</v>
          </cell>
        </row>
        <row r="22">
          <cell r="B22" t="str">
            <v>VL18</v>
          </cell>
          <cell r="C22" t="str">
            <v>ThÐp tÊm</v>
          </cell>
          <cell r="D22" t="str">
            <v>kg</v>
          </cell>
          <cell r="E22">
            <v>10275.697</v>
          </cell>
          <cell r="F22">
            <v>60.301056819020978</v>
          </cell>
          <cell r="G22">
            <v>10335.99805681902</v>
          </cell>
        </row>
        <row r="23">
          <cell r="B23" t="str">
            <v>VL19</v>
          </cell>
          <cell r="C23" t="str">
            <v>ThÐp h×nh</v>
          </cell>
          <cell r="D23" t="str">
            <v>kg</v>
          </cell>
          <cell r="E23">
            <v>10275.697</v>
          </cell>
          <cell r="F23">
            <v>60.301056819020978</v>
          </cell>
          <cell r="G23">
            <v>10335.99805681902</v>
          </cell>
        </row>
        <row r="24">
          <cell r="B24" t="str">
            <v>VL20</v>
          </cell>
          <cell r="C24" t="str">
            <v>ThÐp trßn d&lt;10</v>
          </cell>
          <cell r="D24" t="str">
            <v>kg</v>
          </cell>
          <cell r="E24">
            <v>10425.697</v>
          </cell>
          <cell r="F24">
            <v>60.301056819020978</v>
          </cell>
          <cell r="G24">
            <v>10485.99805681902</v>
          </cell>
        </row>
        <row r="25">
          <cell r="B25" t="str">
            <v>VL21</v>
          </cell>
          <cell r="C25" t="str">
            <v>ThÐp trßn d&gt;10</v>
          </cell>
          <cell r="D25" t="str">
            <v>kg</v>
          </cell>
          <cell r="E25">
            <v>10575.697</v>
          </cell>
          <cell r="F25">
            <v>60.301056819020978</v>
          </cell>
          <cell r="G25">
            <v>10635.99805681902</v>
          </cell>
        </row>
        <row r="26">
          <cell r="B26" t="str">
            <v>VL22</v>
          </cell>
          <cell r="C26" t="str">
            <v>D©y thÐp</v>
          </cell>
          <cell r="D26" t="str">
            <v>kg</v>
          </cell>
          <cell r="E26">
            <v>17000</v>
          </cell>
          <cell r="G26">
            <v>17000</v>
          </cell>
        </row>
        <row r="27">
          <cell r="B27" t="str">
            <v>VL23</v>
          </cell>
          <cell r="C27" t="str">
            <v>DÇu háa</v>
          </cell>
          <cell r="D27" t="str">
            <v>kg</v>
          </cell>
          <cell r="E27">
            <v>13082.54963427377</v>
          </cell>
          <cell r="G27">
            <v>13082.54963427377</v>
          </cell>
        </row>
        <row r="28">
          <cell r="B28" t="str">
            <v>VL24</v>
          </cell>
          <cell r="C28" t="str">
            <v>DÇu phanh</v>
          </cell>
          <cell r="D28" t="str">
            <v>kg</v>
          </cell>
          <cell r="E28">
            <v>14510</v>
          </cell>
          <cell r="G28">
            <v>14510</v>
          </cell>
        </row>
        <row r="29">
          <cell r="B29" t="str">
            <v>VL25</v>
          </cell>
          <cell r="C29" t="str">
            <v>Mµng ph¶n quang biÓn b¸o</v>
          </cell>
          <cell r="D29" t="str">
            <v>m2</v>
          </cell>
          <cell r="E29">
            <v>852000</v>
          </cell>
          <cell r="G29">
            <v>852000</v>
          </cell>
        </row>
        <row r="30">
          <cell r="B30" t="str">
            <v>VL26</v>
          </cell>
          <cell r="C30" t="str">
            <v>Sơn bê tông</v>
          </cell>
          <cell r="D30" t="str">
            <v>kg</v>
          </cell>
          <cell r="E30">
            <v>76442</v>
          </cell>
          <cell r="G30">
            <v>76442</v>
          </cell>
        </row>
        <row r="31">
          <cell r="B31" t="str">
            <v>VL27</v>
          </cell>
          <cell r="C31" t="str">
            <v>Sơn sắt thép</v>
          </cell>
          <cell r="D31" t="str">
            <v>kg</v>
          </cell>
          <cell r="E31">
            <v>23100</v>
          </cell>
          <cell r="G31">
            <v>23100</v>
          </cell>
        </row>
        <row r="32">
          <cell r="B32" t="str">
            <v>VL28</v>
          </cell>
          <cell r="C32" t="str">
            <v>Cột biển báo</v>
          </cell>
          <cell r="D32" t="str">
            <v>m</v>
          </cell>
          <cell r="E32">
            <v>214599</v>
          </cell>
          <cell r="G32">
            <v>214599</v>
          </cell>
        </row>
        <row r="33">
          <cell r="B33" t="str">
            <v>VL29</v>
          </cell>
          <cell r="C33" t="str">
            <v>Biển báo phản quang</v>
          </cell>
          <cell r="D33" t="str">
            <v>m2</v>
          </cell>
          <cell r="E33">
            <v>3458322</v>
          </cell>
          <cell r="G33">
            <v>3458322</v>
          </cell>
        </row>
        <row r="34">
          <cell r="B34" t="str">
            <v>VL30</v>
          </cell>
          <cell r="C34" t="str">
            <v>Xi m¨ng PC30</v>
          </cell>
          <cell r="D34" t="str">
            <v>kg</v>
          </cell>
          <cell r="E34">
            <v>1351.1410000000001</v>
          </cell>
          <cell r="F34">
            <v>34.079103639440561</v>
          </cell>
          <cell r="G34">
            <v>1385.2201036394406</v>
          </cell>
        </row>
        <row r="35">
          <cell r="B35" t="str">
            <v>VL31</v>
          </cell>
          <cell r="C35" t="str">
            <v>R¨ng cµo</v>
          </cell>
          <cell r="D35" t="str">
            <v>bé</v>
          </cell>
          <cell r="E35">
            <v>14167501</v>
          </cell>
          <cell r="G35">
            <v>14167501</v>
          </cell>
        </row>
        <row r="36">
          <cell r="B36" t="str">
            <v>VL32</v>
          </cell>
          <cell r="C36" t="str">
            <v>§Êt ®¾p</v>
          </cell>
          <cell r="D36" t="str">
            <v>m3</v>
          </cell>
          <cell r="E36">
            <v>69750</v>
          </cell>
          <cell r="G36">
            <v>69750</v>
          </cell>
        </row>
        <row r="37">
          <cell r="B37" t="str">
            <v>VL33</v>
          </cell>
          <cell r="C37" t="str">
            <v>Khung bulong mãng cét</v>
          </cell>
          <cell r="D37" t="str">
            <v>bé</v>
          </cell>
          <cell r="E37">
            <v>3600000</v>
          </cell>
          <cell r="G37">
            <v>3600000</v>
          </cell>
        </row>
        <row r="38">
          <cell r="B38" t="str">
            <v>VL34</v>
          </cell>
          <cell r="C38" t="str">
            <v>Cét biÓn b¸o cao 6.6m, tay v­¬n kÐp</v>
          </cell>
          <cell r="D38" t="str">
            <v>cét</v>
          </cell>
          <cell r="E38">
            <v>58780000</v>
          </cell>
          <cell r="G38">
            <v>58780000</v>
          </cell>
        </row>
        <row r="39">
          <cell r="B39" t="str">
            <v>VL35</v>
          </cell>
          <cell r="C39" t="str">
            <v>Mặt biển báo phản quang tam giác</v>
          </cell>
          <cell r="D39" t="str">
            <v>cái</v>
          </cell>
          <cell r="E39">
            <v>1163374</v>
          </cell>
          <cell r="G39">
            <v>1163374</v>
          </cell>
        </row>
        <row r="40">
          <cell r="B40" t="str">
            <v>VL36</v>
          </cell>
          <cell r="C40" t="str">
            <v>Nhò t­¬ng</v>
          </cell>
          <cell r="D40" t="str">
            <v>kg</v>
          </cell>
          <cell r="E40">
            <v>10000</v>
          </cell>
          <cell r="F40">
            <v>783.19999999999993</v>
          </cell>
          <cell r="G40">
            <v>10783.2</v>
          </cell>
        </row>
      </sheetData>
      <sheetData sheetId="19"/>
      <sheetData sheetId="20"/>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TMDT"/>
      <sheetName val="TXL"/>
      <sheetName val="DTCT-XL"/>
      <sheetName val="PTDG-CL"/>
      <sheetName val="VL-CL"/>
      <sheetName val="PLV"/>
      <sheetName val="Nhan cong"/>
      <sheetName val="Gia ca may"/>
      <sheetName val="Nhan cong (cu)"/>
      <sheetName val="vc20-25"/>
      <sheetName val="A6,MAY"/>
    </sheetNames>
    <sheetDataSet>
      <sheetData sheetId="0" refreshError="1"/>
      <sheetData sheetId="1" refreshError="1"/>
      <sheetData sheetId="2" refreshError="1"/>
      <sheetData sheetId="3" refreshError="1"/>
      <sheetData sheetId="4" refreshError="1"/>
      <sheetData sheetId="5">
        <row r="6">
          <cell r="B6" t="str">
            <v>VL01</v>
          </cell>
          <cell r="C6" t="str">
            <v>- §¸ 1 x 2</v>
          </cell>
          <cell r="D6" t="str">
            <v>m3</v>
          </cell>
          <cell r="E6">
            <v>110000</v>
          </cell>
        </row>
        <row r="7">
          <cell r="B7" t="str">
            <v>VL02</v>
          </cell>
          <cell r="C7" t="str">
            <v>- §¸ 2 x 4</v>
          </cell>
          <cell r="D7" t="str">
            <v>m3</v>
          </cell>
          <cell r="E7">
            <v>108000</v>
          </cell>
        </row>
        <row r="8">
          <cell r="B8" t="str">
            <v>VL03</v>
          </cell>
          <cell r="C8" t="str">
            <v>- §¸ 4 x 6</v>
          </cell>
          <cell r="D8" t="str">
            <v>m3</v>
          </cell>
          <cell r="E8">
            <v>106000</v>
          </cell>
        </row>
        <row r="9">
          <cell r="B9" t="str">
            <v>VL04</v>
          </cell>
          <cell r="C9" t="str">
            <v xml:space="preserve">- §¸ 0.5 x 1 </v>
          </cell>
          <cell r="D9" t="str">
            <v>m3</v>
          </cell>
          <cell r="E9">
            <v>110000</v>
          </cell>
        </row>
        <row r="10">
          <cell r="B10" t="str">
            <v>VL05</v>
          </cell>
          <cell r="C10" t="str">
            <v>- §¸ 0.5 x 1.6</v>
          </cell>
          <cell r="D10" t="str">
            <v>m3</v>
          </cell>
          <cell r="E10">
            <v>110000</v>
          </cell>
        </row>
        <row r="11">
          <cell r="B11" t="str">
            <v>VL06</v>
          </cell>
          <cell r="C11" t="str">
            <v>- §¸ 0.5 x 2</v>
          </cell>
          <cell r="D11" t="str">
            <v>m3</v>
          </cell>
          <cell r="E11">
            <v>110000</v>
          </cell>
        </row>
        <row r="12">
          <cell r="B12" t="str">
            <v>VL07</v>
          </cell>
          <cell r="C12" t="str">
            <v>- §¸ m¹t 0 x 0.5</v>
          </cell>
          <cell r="D12" t="str">
            <v>m3</v>
          </cell>
          <cell r="E12">
            <v>110000</v>
          </cell>
        </row>
        <row r="13">
          <cell r="B13" t="str">
            <v>VL08</v>
          </cell>
          <cell r="C13" t="str">
            <v>- §¸ 1 x 1,6</v>
          </cell>
          <cell r="D13" t="str">
            <v>m3</v>
          </cell>
          <cell r="E13">
            <v>110000</v>
          </cell>
        </row>
        <row r="14">
          <cell r="B14" t="str">
            <v>VL09</v>
          </cell>
          <cell r="C14" t="str">
            <v>- CÊp phèi ®¸ d¨m lo¹i I</v>
          </cell>
          <cell r="D14" t="str">
            <v>m3</v>
          </cell>
          <cell r="E14">
            <v>100000</v>
          </cell>
        </row>
        <row r="15">
          <cell r="B15" t="str">
            <v>VL10</v>
          </cell>
          <cell r="C15" t="str">
            <v>- CÊp phèi ®¸ d¨m lo¹i II</v>
          </cell>
          <cell r="D15" t="str">
            <v>m3</v>
          </cell>
          <cell r="E15">
            <v>70000</v>
          </cell>
        </row>
        <row r="16">
          <cell r="B16" t="str">
            <v>VL11</v>
          </cell>
          <cell r="C16" t="str">
            <v>- C¸t vµng</v>
          </cell>
          <cell r="D16" t="str">
            <v>m3</v>
          </cell>
          <cell r="E16">
            <v>300000</v>
          </cell>
        </row>
        <row r="17">
          <cell r="B17" t="str">
            <v>VL12</v>
          </cell>
          <cell r="C17" t="str">
            <v>- Bét ®¸</v>
          </cell>
          <cell r="D17" t="str">
            <v>kg</v>
          </cell>
          <cell r="E17">
            <v>700</v>
          </cell>
        </row>
        <row r="18">
          <cell r="B18" t="str">
            <v>VL13</v>
          </cell>
          <cell r="C18" t="str">
            <v>- Nhùa ®­êng ®Æc nãng 60/70</v>
          </cell>
          <cell r="D18" t="str">
            <v>kg</v>
          </cell>
          <cell r="E18">
            <v>15600</v>
          </cell>
        </row>
        <row r="19">
          <cell r="B19" t="str">
            <v>VL14</v>
          </cell>
          <cell r="C19" t="str">
            <v>- Nhùa ®­êng phuy 60/70</v>
          </cell>
          <cell r="D19" t="str">
            <v>kg</v>
          </cell>
          <cell r="E19">
            <v>16636</v>
          </cell>
        </row>
        <row r="20">
          <cell r="B20" t="str">
            <v>VL15</v>
          </cell>
          <cell r="C20" t="str">
            <v>- DÇu háa</v>
          </cell>
          <cell r="D20" t="str">
            <v>kg</v>
          </cell>
          <cell r="E20">
            <v>21556.948798328107</v>
          </cell>
        </row>
        <row r="21">
          <cell r="B21" t="str">
            <v>VL16</v>
          </cell>
          <cell r="C21" t="str">
            <v>- S¬n dÎo nhiÖt</v>
          </cell>
          <cell r="D21" t="str">
            <v>kg</v>
          </cell>
          <cell r="E21">
            <v>24100</v>
          </cell>
        </row>
        <row r="22">
          <cell r="B22" t="str">
            <v>VL17</v>
          </cell>
          <cell r="C22" t="str">
            <v>- Gas ®èt</v>
          </cell>
          <cell r="D22" t="str">
            <v>kg</v>
          </cell>
          <cell r="E22">
            <v>35583.333333333336</v>
          </cell>
        </row>
        <row r="23">
          <cell r="B23" t="str">
            <v>VL18</v>
          </cell>
          <cell r="C23" t="str">
            <v>- S¬n lãt</v>
          </cell>
          <cell r="D23" t="str">
            <v>kg</v>
          </cell>
          <cell r="E23">
            <v>77000</v>
          </cell>
        </row>
        <row r="24">
          <cell r="B24" t="str">
            <v>VL19</v>
          </cell>
          <cell r="C24" t="str">
            <v>- S¬n chèng gØ</v>
          </cell>
          <cell r="D24" t="str">
            <v>kg</v>
          </cell>
          <cell r="E24">
            <v>32500</v>
          </cell>
        </row>
        <row r="25">
          <cell r="B25" t="str">
            <v>VL20</v>
          </cell>
          <cell r="C25" t="str">
            <v>- S¬n mµu</v>
          </cell>
          <cell r="D25" t="str">
            <v>kg</v>
          </cell>
          <cell r="E25">
            <v>35000</v>
          </cell>
        </row>
        <row r="26">
          <cell r="B26" t="str">
            <v>VL21</v>
          </cell>
          <cell r="C26" t="str">
            <v>- §¸ th¶i</v>
          </cell>
          <cell r="D26" t="str">
            <v>m3</v>
          </cell>
          <cell r="E26">
            <v>73500</v>
          </cell>
        </row>
        <row r="27">
          <cell r="B27" t="str">
            <v>VL22</v>
          </cell>
          <cell r="C27" t="str">
            <v>- N­íc</v>
          </cell>
          <cell r="D27" t="str">
            <v>lÝt</v>
          </cell>
          <cell r="E27">
            <v>10</v>
          </cell>
        </row>
        <row r="28">
          <cell r="B28" t="str">
            <v>VL23</v>
          </cell>
          <cell r="C28" t="str">
            <v>- Xi m¨ng PC30</v>
          </cell>
          <cell r="D28" t="str">
            <v>kg</v>
          </cell>
          <cell r="E28">
            <v>998</v>
          </cell>
        </row>
        <row r="29">
          <cell r="B29" t="str">
            <v>VL24</v>
          </cell>
          <cell r="C29" t="str">
            <v>- L­ìi c¾t bª t«ng lo¹i 356 mm</v>
          </cell>
          <cell r="D29" t="str">
            <v>c¸i</v>
          </cell>
          <cell r="E29">
            <v>636363.63636363635</v>
          </cell>
        </row>
        <row r="30">
          <cell r="B30" t="str">
            <v>VL25</v>
          </cell>
          <cell r="C30" t="str">
            <v>- §¸ héc</v>
          </cell>
          <cell r="D30" t="str">
            <v>m3</v>
          </cell>
          <cell r="E30">
            <v>105000</v>
          </cell>
        </row>
        <row r="31">
          <cell r="B31" t="str">
            <v>VL26</v>
          </cell>
          <cell r="C31" t="str">
            <v>- Bª T«ng nhùa h¹t trung</v>
          </cell>
          <cell r="D31" t="str">
            <v>tÊn</v>
          </cell>
          <cell r="E31">
            <v>1958371</v>
          </cell>
        </row>
        <row r="32">
          <cell r="B32" t="str">
            <v>VL27</v>
          </cell>
          <cell r="C32" t="str">
            <v>- Bª T«ng nhùa nguéi</v>
          </cell>
          <cell r="D32" t="str">
            <v>tÊn</v>
          </cell>
          <cell r="E32">
            <v>1205320</v>
          </cell>
        </row>
        <row r="33">
          <cell r="B33" t="str">
            <v>VL28</v>
          </cell>
          <cell r="C33" t="str">
            <v>- Cñi</v>
          </cell>
          <cell r="D33" t="str">
            <v>kg</v>
          </cell>
          <cell r="E33">
            <v>700</v>
          </cell>
        </row>
        <row r="34">
          <cell r="B34" t="str">
            <v>VL29</v>
          </cell>
          <cell r="C34" t="str">
            <v>- ThÐp trßn D &lt; 10 mm</v>
          </cell>
          <cell r="D34" t="str">
            <v>kg</v>
          </cell>
          <cell r="E34">
            <v>16364</v>
          </cell>
        </row>
        <row r="35">
          <cell r="B35" t="str">
            <v>VL30</v>
          </cell>
          <cell r="C35" t="str">
            <v>- D©y thÐp</v>
          </cell>
          <cell r="D35" t="str">
            <v>kg</v>
          </cell>
          <cell r="E35">
            <v>20000</v>
          </cell>
        </row>
        <row r="36">
          <cell r="B36" t="str">
            <v>VL31</v>
          </cell>
          <cell r="C36" t="str">
            <v>- C¸t mÞn</v>
          </cell>
          <cell r="D36" t="str">
            <v>m3</v>
          </cell>
          <cell r="E36">
            <v>181818</v>
          </cell>
        </row>
        <row r="37">
          <cell r="B37" t="str">
            <v>VL32</v>
          </cell>
          <cell r="C37" t="str">
            <v xml:space="preserve">- Gç v¸n </v>
          </cell>
          <cell r="D37" t="str">
            <v>m3</v>
          </cell>
          <cell r="E37">
            <v>2363636</v>
          </cell>
        </row>
        <row r="38">
          <cell r="B38" t="str">
            <v>VL33</v>
          </cell>
          <cell r="C38" t="str">
            <v>- Gç ®µ nÑp</v>
          </cell>
          <cell r="D38" t="str">
            <v>m3</v>
          </cell>
          <cell r="E38">
            <v>2363636</v>
          </cell>
        </row>
        <row r="39">
          <cell r="B39" t="str">
            <v>VL34</v>
          </cell>
          <cell r="C39" t="str">
            <v>- Gç chèng</v>
          </cell>
          <cell r="D39" t="str">
            <v>m3</v>
          </cell>
          <cell r="E39">
            <v>2363636</v>
          </cell>
        </row>
        <row r="40">
          <cell r="B40" t="str">
            <v>VL35</v>
          </cell>
          <cell r="C40" t="str">
            <v>- §inh</v>
          </cell>
          <cell r="D40" t="str">
            <v>kg</v>
          </cell>
          <cell r="E40">
            <v>20000</v>
          </cell>
        </row>
        <row r="41">
          <cell r="B41" t="str">
            <v>VL36</v>
          </cell>
          <cell r="C41" t="str">
            <v>- §Êt</v>
          </cell>
          <cell r="D41" t="str">
            <v>m3</v>
          </cell>
          <cell r="E41">
            <v>64000</v>
          </cell>
        </row>
        <row r="42">
          <cell r="B42" t="str">
            <v>VL37</v>
          </cell>
          <cell r="C42" t="str">
            <v>- §¸ mµi</v>
          </cell>
          <cell r="D42" t="str">
            <v>viªn</v>
          </cell>
          <cell r="E42">
            <v>13500</v>
          </cell>
        </row>
        <row r="43">
          <cell r="B43" t="str">
            <v>VL38</v>
          </cell>
          <cell r="C43" t="str">
            <v xml:space="preserve">- §¸ c¾t </v>
          </cell>
          <cell r="D43" t="str">
            <v>viªn</v>
          </cell>
          <cell r="E43">
            <v>12000</v>
          </cell>
        </row>
        <row r="44">
          <cell r="B44" t="str">
            <v>VL39</v>
          </cell>
          <cell r="C44" t="str">
            <v>- ThÐp trßn D &gt; 10 mm</v>
          </cell>
          <cell r="D44" t="str">
            <v>kg</v>
          </cell>
          <cell r="E44">
            <v>16364</v>
          </cell>
        </row>
        <row r="45">
          <cell r="B45" t="str">
            <v>VL40</v>
          </cell>
          <cell r="C45" t="str">
            <v xml:space="preserve">- Que hµn </v>
          </cell>
          <cell r="D45" t="str">
            <v>kg</v>
          </cell>
          <cell r="E45">
            <v>18182</v>
          </cell>
        </row>
        <row r="46">
          <cell r="B46" t="str">
            <v>VL41</v>
          </cell>
          <cell r="C46" t="str">
            <v>- Bao t¶i</v>
          </cell>
          <cell r="D46" t="str">
            <v>m2</v>
          </cell>
          <cell r="E46">
            <v>5000</v>
          </cell>
        </row>
        <row r="47">
          <cell r="B47" t="str">
            <v>VL42</v>
          </cell>
          <cell r="C47" t="str">
            <v>- S¬n tr¾ng</v>
          </cell>
          <cell r="D47" t="str">
            <v>kg</v>
          </cell>
          <cell r="E47">
            <v>47273</v>
          </cell>
        </row>
        <row r="48">
          <cell r="B48" t="str">
            <v>VL43</v>
          </cell>
          <cell r="C48" t="str">
            <v>- S¬n ®á</v>
          </cell>
          <cell r="D48" t="str">
            <v>kg</v>
          </cell>
          <cell r="E48">
            <v>47273</v>
          </cell>
        </row>
        <row r="49">
          <cell r="B49" t="str">
            <v>VL44</v>
          </cell>
          <cell r="C49" t="str">
            <v>- Mòi khoan D24</v>
          </cell>
          <cell r="D49" t="str">
            <v xml:space="preserve">c¸i </v>
          </cell>
          <cell r="E49">
            <v>98000</v>
          </cell>
        </row>
        <row r="50">
          <cell r="B50" t="str">
            <v>VL45</v>
          </cell>
          <cell r="C50" t="str">
            <v xml:space="preserve">- G¹ch x©y </v>
          </cell>
          <cell r="D50" t="str">
            <v>viªn</v>
          </cell>
          <cell r="E50">
            <v>900</v>
          </cell>
        </row>
        <row r="51">
          <cell r="B51" t="str">
            <v>VL46</v>
          </cell>
          <cell r="C51" t="str">
            <v>- V¶i ®Þa kü thuËt kh«ng dÖt 12kN/m</v>
          </cell>
          <cell r="D51" t="str">
            <v>m2</v>
          </cell>
          <cell r="E51">
            <v>15455</v>
          </cell>
        </row>
        <row r="52">
          <cell r="B52" t="str">
            <v>VL47</v>
          </cell>
          <cell r="C52" t="str">
            <v>- BiÓn tam gi¸c ph¶n quang c¹nh 700mm</v>
          </cell>
          <cell r="D52" t="str">
            <v>c¸i</v>
          </cell>
          <cell r="E52">
            <v>328236</v>
          </cell>
        </row>
        <row r="53">
          <cell r="B53" t="str">
            <v>VL48</v>
          </cell>
          <cell r="C53" t="str">
            <v>- BiÓn chØ dÉn, biÓn ph¶n quang</v>
          </cell>
          <cell r="D53" t="str">
            <v>m2</v>
          </cell>
          <cell r="E53">
            <v>1159357</v>
          </cell>
        </row>
        <row r="54">
          <cell r="B54" t="str">
            <v>VL49</v>
          </cell>
          <cell r="C54" t="str">
            <v>- Cét biÓn b¸o D90mm</v>
          </cell>
          <cell r="D54" t="str">
            <v>m</v>
          </cell>
          <cell r="E54">
            <v>164456.28571428571</v>
          </cell>
        </row>
        <row r="55">
          <cell r="B55" t="str">
            <v>VL50</v>
          </cell>
          <cell r="C55" t="str">
            <v>- G­¬ng cÇu låi inox ®­êng kÝnh 800mm</v>
          </cell>
          <cell r="D55" t="str">
            <v>c¸i</v>
          </cell>
          <cell r="E55">
            <v>4378500</v>
          </cell>
        </row>
      </sheetData>
      <sheetData sheetId="6" refreshError="1"/>
      <sheetData sheetId="7">
        <row r="22">
          <cell r="J22">
            <v>208029.23076923081</v>
          </cell>
        </row>
      </sheetData>
      <sheetData sheetId="8" refreshError="1"/>
      <sheetData sheetId="9" refreshError="1"/>
      <sheetData sheetId="10" refreshError="1"/>
      <sheetData sheetId="11"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rtUp"/>
      <sheetName val="TMĐT(tc)"/>
      <sheetName val="goi thau tv"/>
      <sheetName val="Tổng mức -QD  (2)"/>
      <sheetName val="Bảng tra hs"/>
      <sheetName val="THuyết minh"/>
      <sheetName val="Tổng mức -QD "/>
      <sheetName val="Tổng mức"/>
      <sheetName val="Sheet3"/>
      <sheetName val="Sheet2"/>
      <sheetName val="TH KPXL"/>
      <sheetName val="DGCT"/>
      <sheetName val="PTĐG"/>
      <sheetName val="Vật liệu"/>
      <sheetName val="Nhân công"/>
      <sheetName val="Giá ca máy"/>
      <sheetName val="VC BTN"/>
      <sheetName val="Bảng tính NC máy"/>
      <sheetName val="Lương lái xe"/>
      <sheetName val="Lương TT, TP máy tàu"/>
      <sheetName val="Lương t.thủ, thợ máy thợ điện"/>
      <sheetName val="Lương đk tàu hút, cuốc, nạo sôn"/>
      <sheetName val="Lương tàu hút cuốc, đào gầu"/>
      <sheetName val="Lương thợ lặn"/>
      <sheetName val="Chênh lệch VT"/>
      <sheetName val="Cước VC"/>
      <sheetName val="Chênh lệch máy"/>
      <sheetName val="CVC Km16+700"/>
      <sheetName val="CVC Km44+700"/>
      <sheetName val="DDGTH -ĐBGT"/>
      <sheetName val="Sheet1"/>
      <sheetName val="VC đến công trình"/>
      <sheetName val="Máy ĐN"/>
      <sheetName val="NC ĐN"/>
      <sheetName val="Cước QNam"/>
      <sheetName val="foxz"/>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ow r="13">
          <cell r="C13" t="str">
            <v>- Máy đào 0,40m3</v>
          </cell>
          <cell r="D13" t="str">
            <v>ca</v>
          </cell>
          <cell r="E13">
            <v>43</v>
          </cell>
          <cell r="F13" t="str">
            <v>Lít diezel</v>
          </cell>
          <cell r="G13">
            <v>216750</v>
          </cell>
          <cell r="H13">
            <v>1441300</v>
          </cell>
          <cell r="I13">
            <v>215300.76545454538</v>
          </cell>
          <cell r="J13">
            <v>1656600.7654545454</v>
          </cell>
        </row>
        <row r="14">
          <cell r="C14" t="str">
            <v>- Máy đào 0,50m3</v>
          </cell>
          <cell r="D14" t="str">
            <v>ca</v>
          </cell>
          <cell r="E14">
            <v>51</v>
          </cell>
          <cell r="F14" t="str">
            <v>Lít diezel</v>
          </cell>
          <cell r="G14">
            <v>216750</v>
          </cell>
          <cell r="H14">
            <v>1661463</v>
          </cell>
          <cell r="I14">
            <v>255356.72181818172</v>
          </cell>
          <cell r="J14">
            <v>1916819.7218181817</v>
          </cell>
        </row>
        <row r="15">
          <cell r="C15" t="str">
            <v>- Máy đào 0,65m3</v>
          </cell>
          <cell r="D15" t="str">
            <v>ca</v>
          </cell>
          <cell r="E15">
            <v>59</v>
          </cell>
          <cell r="F15" t="str">
            <v>Lít diezel</v>
          </cell>
          <cell r="G15">
            <v>439450</v>
          </cell>
          <cell r="H15">
            <v>2087262</v>
          </cell>
          <cell r="I15">
            <v>295412.6781818181</v>
          </cell>
          <cell r="J15">
            <v>2382674.6781818182</v>
          </cell>
        </row>
        <row r="16">
          <cell r="C16" t="str">
            <v>- Máy đào 0,80m3</v>
          </cell>
          <cell r="D16" t="str">
            <v>ca</v>
          </cell>
          <cell r="E16">
            <v>65</v>
          </cell>
          <cell r="F16" t="str">
            <v>Lít diezel</v>
          </cell>
          <cell r="G16">
            <v>439450</v>
          </cell>
          <cell r="H16">
            <v>2253213</v>
          </cell>
          <cell r="I16">
            <v>325454.64545454533</v>
          </cell>
          <cell r="J16">
            <v>2578667.6454545455</v>
          </cell>
        </row>
        <row r="17">
          <cell r="C17" t="str">
            <v>- Máy đào 1,25m3</v>
          </cell>
          <cell r="D17" t="str">
            <v>ca</v>
          </cell>
          <cell r="E17">
            <v>83</v>
          </cell>
          <cell r="F17" t="str">
            <v>Lít diezel</v>
          </cell>
          <cell r="G17">
            <v>519350</v>
          </cell>
          <cell r="H17">
            <v>2651596</v>
          </cell>
          <cell r="I17">
            <v>415580.54727272713</v>
          </cell>
          <cell r="J17">
            <v>3067176.5472727269</v>
          </cell>
        </row>
        <row r="18">
          <cell r="C18" t="str">
            <v>- Máy đào 1,60m3</v>
          </cell>
          <cell r="D18" t="str">
            <v>ca</v>
          </cell>
          <cell r="E18">
            <v>113</v>
          </cell>
          <cell r="F18" t="str">
            <v>Lít diezel</v>
          </cell>
          <cell r="G18">
            <v>519350</v>
          </cell>
          <cell r="H18">
            <v>3748744</v>
          </cell>
          <cell r="I18">
            <v>565790.38363636343</v>
          </cell>
          <cell r="J18">
            <v>4314534.3836363638</v>
          </cell>
        </row>
        <row r="19">
          <cell r="C19" t="str">
            <v>- Máy đào 2,30m3</v>
          </cell>
          <cell r="D19" t="str">
            <v>ca</v>
          </cell>
          <cell r="E19">
            <v>138</v>
          </cell>
          <cell r="F19" t="str">
            <v>Lít diezel</v>
          </cell>
          <cell r="G19">
            <v>573750</v>
          </cell>
          <cell r="H19">
            <v>4757440</v>
          </cell>
          <cell r="I19">
            <v>690965.24727272696</v>
          </cell>
          <cell r="J19">
            <v>5448405.2472727271</v>
          </cell>
        </row>
        <row r="20">
          <cell r="C20" t="str">
            <v>- Máy đào 3,60m3</v>
          </cell>
          <cell r="D20" t="str">
            <v>ca</v>
          </cell>
          <cell r="E20">
            <v>199</v>
          </cell>
          <cell r="F20" t="str">
            <v>Lít diezel</v>
          </cell>
          <cell r="G20">
            <v>573750</v>
          </cell>
          <cell r="H20">
            <v>7524470</v>
          </cell>
          <cell r="I20">
            <v>996391.91454545432</v>
          </cell>
          <cell r="J20">
            <v>8520861.9145454541</v>
          </cell>
        </row>
        <row r="21">
          <cell r="C21" t="str">
            <v>Máy đào một gầu, bánh hơi - dung tích gầu:</v>
          </cell>
          <cell r="D21">
            <v>0</v>
          </cell>
          <cell r="E21">
            <v>0</v>
          </cell>
          <cell r="F21">
            <v>0</v>
          </cell>
          <cell r="G21">
            <v>0</v>
          </cell>
          <cell r="H21">
            <v>0</v>
          </cell>
          <cell r="I21" t="str">
            <v/>
          </cell>
          <cell r="J21">
            <v>0</v>
          </cell>
        </row>
        <row r="22">
          <cell r="C22" t="str">
            <v>- Máy đào bánh hơi 0,75m3</v>
          </cell>
          <cell r="D22" t="str">
            <v>ca</v>
          </cell>
          <cell r="E22">
            <v>57</v>
          </cell>
          <cell r="F22" t="str">
            <v>Lít diezel</v>
          </cell>
          <cell r="G22">
            <v>439450</v>
          </cell>
          <cell r="H22">
            <v>2100030</v>
          </cell>
          <cell r="I22">
            <v>285398.68909090903</v>
          </cell>
          <cell r="J22">
            <v>2385428.689090909</v>
          </cell>
        </row>
        <row r="23">
          <cell r="C23" t="str">
            <v>- Máy đào bánh hơi 1,25m3</v>
          </cell>
          <cell r="D23" t="str">
            <v>ca</v>
          </cell>
          <cell r="E23">
            <v>73</v>
          </cell>
          <cell r="F23" t="str">
            <v>Lít diezel</v>
          </cell>
          <cell r="G23">
            <v>519350</v>
          </cell>
          <cell r="H23">
            <v>3099636</v>
          </cell>
          <cell r="I23">
            <v>365510.60181818175</v>
          </cell>
          <cell r="J23">
            <v>3465146.6018181816</v>
          </cell>
        </row>
        <row r="24">
          <cell r="C24" t="str">
            <v>* Máy đào gầu ngoạm (gầu dây) - dung tích gầu:</v>
          </cell>
          <cell r="D24">
            <v>0</v>
          </cell>
          <cell r="E24">
            <v>0</v>
          </cell>
          <cell r="F24">
            <v>0</v>
          </cell>
          <cell r="G24">
            <v>0</v>
          </cell>
          <cell r="H24">
            <v>0</v>
          </cell>
          <cell r="I24" t="str">
            <v/>
          </cell>
          <cell r="J24">
            <v>0</v>
          </cell>
        </row>
        <row r="25">
          <cell r="C25" t="str">
            <v>- Máy đào gầu ngoạm 0,40m3</v>
          </cell>
          <cell r="D25" t="str">
            <v>ca</v>
          </cell>
          <cell r="E25">
            <v>59</v>
          </cell>
          <cell r="F25" t="str">
            <v>Lít diezel</v>
          </cell>
          <cell r="G25">
            <v>439450</v>
          </cell>
          <cell r="H25">
            <v>2058050</v>
          </cell>
          <cell r="I25">
            <v>295412.6781818181</v>
          </cell>
          <cell r="J25">
            <v>2353462.6781818182</v>
          </cell>
        </row>
        <row r="26">
          <cell r="C26" t="str">
            <v>- Máy đào gầu ngoạm 0,65m3</v>
          </cell>
          <cell r="D26" t="str">
            <v>ca</v>
          </cell>
          <cell r="E26">
            <v>65</v>
          </cell>
          <cell r="F26" t="str">
            <v>Lít diezel</v>
          </cell>
          <cell r="G26">
            <v>439450</v>
          </cell>
          <cell r="H26">
            <v>2220990</v>
          </cell>
          <cell r="I26">
            <v>325454.64545454533</v>
          </cell>
          <cell r="J26">
            <v>2546444.6454545455</v>
          </cell>
        </row>
        <row r="27">
          <cell r="C27" t="str">
            <v>- Máy đào gầu ngoạm 1,00m3</v>
          </cell>
          <cell r="D27" t="str">
            <v>ca</v>
          </cell>
          <cell r="E27">
            <v>83</v>
          </cell>
          <cell r="F27" t="str">
            <v>Lít diezel</v>
          </cell>
          <cell r="G27">
            <v>519350</v>
          </cell>
          <cell r="H27">
            <v>3070885</v>
          </cell>
          <cell r="I27">
            <v>415580.54727272713</v>
          </cell>
          <cell r="J27">
            <v>3486465.5472727269</v>
          </cell>
        </row>
        <row r="28">
          <cell r="C28" t="str">
            <v>- Máy đào gầu ngoạm 1,20m3</v>
          </cell>
          <cell r="D28" t="str">
            <v>ca</v>
          </cell>
          <cell r="E28">
            <v>113</v>
          </cell>
          <cell r="F28" t="str">
            <v>Lít diezel</v>
          </cell>
          <cell r="G28">
            <v>519350</v>
          </cell>
          <cell r="H28">
            <v>3651634</v>
          </cell>
          <cell r="I28">
            <v>565790.38363636343</v>
          </cell>
          <cell r="J28">
            <v>4217424.3836363638</v>
          </cell>
        </row>
        <row r="29">
          <cell r="C29" t="str">
            <v>- Máy đào gầu ngoạm 1,60m3</v>
          </cell>
          <cell r="D29" t="str">
            <v>ca</v>
          </cell>
          <cell r="E29">
            <v>128</v>
          </cell>
          <cell r="F29" t="str">
            <v>Lít diezel</v>
          </cell>
          <cell r="G29">
            <v>573750</v>
          </cell>
          <cell r="H29">
            <v>4376988</v>
          </cell>
          <cell r="I29">
            <v>640895.30181818164</v>
          </cell>
          <cell r="J29">
            <v>5017883.3018181818</v>
          </cell>
        </row>
        <row r="30">
          <cell r="C30" t="str">
            <v>- Máy đào gầu ngoạm 2,3m3</v>
          </cell>
          <cell r="D30" t="str">
            <v>ca</v>
          </cell>
          <cell r="E30">
            <v>164</v>
          </cell>
          <cell r="F30" t="str">
            <v>Lít diezel</v>
          </cell>
          <cell r="G30">
            <v>573750</v>
          </cell>
          <cell r="H30">
            <v>5560683</v>
          </cell>
          <cell r="I30">
            <v>821147.10545454524</v>
          </cell>
          <cell r="J30">
            <v>6381830.1054545455</v>
          </cell>
        </row>
        <row r="31">
          <cell r="C31" t="str">
            <v>Máy xúc lật - dung tích gầu:</v>
          </cell>
          <cell r="D31" t="str">
            <v>ca</v>
          </cell>
          <cell r="E31">
            <v>0</v>
          </cell>
          <cell r="F31">
            <v>0</v>
          </cell>
          <cell r="G31">
            <v>0</v>
          </cell>
          <cell r="H31">
            <v>0</v>
          </cell>
          <cell r="I31" t="str">
            <v/>
          </cell>
          <cell r="J31">
            <v>0</v>
          </cell>
        </row>
        <row r="32">
          <cell r="C32" t="str">
            <v>- Máy xúc 0,60m3</v>
          </cell>
          <cell r="D32" t="str">
            <v>ca</v>
          </cell>
          <cell r="E32">
            <v>29</v>
          </cell>
          <cell r="F32" t="str">
            <v>Lít diezel</v>
          </cell>
          <cell r="G32">
            <v>216750</v>
          </cell>
          <cell r="H32">
            <v>1107934</v>
          </cell>
          <cell r="I32">
            <v>145202.84181818177</v>
          </cell>
          <cell r="J32">
            <v>1253136.8418181818</v>
          </cell>
        </row>
        <row r="33">
          <cell r="C33" t="str">
            <v>- Máy xúc 1,00m3</v>
          </cell>
          <cell r="D33" t="str">
            <v>ca</v>
          </cell>
          <cell r="E33">
            <v>39</v>
          </cell>
          <cell r="F33" t="str">
            <v>Lít diezel</v>
          </cell>
          <cell r="G33">
            <v>216750</v>
          </cell>
          <cell r="H33">
            <v>1401163</v>
          </cell>
          <cell r="I33">
            <v>195272.7872727272</v>
          </cell>
          <cell r="J33">
            <v>1596435.7872727271</v>
          </cell>
        </row>
        <row r="34">
          <cell r="C34" t="str">
            <v>- Máy xúc 1,25m3</v>
          </cell>
          <cell r="D34" t="str">
            <v>ca</v>
          </cell>
          <cell r="E34">
            <v>47</v>
          </cell>
          <cell r="F34" t="str">
            <v>Lít diezel</v>
          </cell>
          <cell r="G34">
            <v>439450</v>
          </cell>
          <cell r="H34">
            <v>1836963</v>
          </cell>
          <cell r="I34">
            <v>235328.74363636356</v>
          </cell>
          <cell r="J34">
            <v>2072291.7436363637</v>
          </cell>
        </row>
        <row r="35">
          <cell r="C35" t="str">
            <v>- Máy xúc 1,65m3</v>
          </cell>
          <cell r="D35" t="str">
            <v>ca</v>
          </cell>
          <cell r="E35">
            <v>75</v>
          </cell>
          <cell r="F35" t="str">
            <v>lít diezel</v>
          </cell>
          <cell r="G35">
            <v>439450</v>
          </cell>
          <cell r="H35">
            <v>2400290</v>
          </cell>
          <cell r="I35">
            <v>375524.59090909082</v>
          </cell>
          <cell r="J35">
            <v>2775814.5909090908</v>
          </cell>
        </row>
        <row r="36">
          <cell r="C36" t="str">
            <v>- Máy xúc 2,3m3</v>
          </cell>
          <cell r="D36" t="str">
            <v>ca</v>
          </cell>
          <cell r="E36">
            <v>95</v>
          </cell>
          <cell r="F36" t="str">
            <v>lít diezel</v>
          </cell>
          <cell r="G36">
            <v>519350</v>
          </cell>
          <cell r="H36">
            <v>2907687</v>
          </cell>
          <cell r="I36">
            <v>475664.4818181817</v>
          </cell>
          <cell r="J36">
            <v>3383351.4818181815</v>
          </cell>
        </row>
        <row r="37">
          <cell r="C37" t="str">
            <v>- Máy xúc 2,80m3</v>
          </cell>
          <cell r="D37" t="str">
            <v>ca</v>
          </cell>
          <cell r="E37">
            <v>101</v>
          </cell>
          <cell r="F37" t="str">
            <v>Lít diezel</v>
          </cell>
          <cell r="G37">
            <v>519350</v>
          </cell>
          <cell r="H37">
            <v>3302256</v>
          </cell>
          <cell r="I37">
            <v>505706.44909090892</v>
          </cell>
          <cell r="J37">
            <v>3807962.4490909087</v>
          </cell>
        </row>
        <row r="38">
          <cell r="C38" t="str">
            <v>- Máy xúc 3,20m3</v>
          </cell>
          <cell r="D38" t="str">
            <v>ca</v>
          </cell>
          <cell r="E38">
            <v>134</v>
          </cell>
          <cell r="F38" t="str">
            <v>Lít diezel</v>
          </cell>
          <cell r="G38">
            <v>519350</v>
          </cell>
          <cell r="H38">
            <v>4402743</v>
          </cell>
          <cell r="I38">
            <v>670937.26909090881</v>
          </cell>
          <cell r="J38">
            <v>5073680.2690909086</v>
          </cell>
        </row>
        <row r="39">
          <cell r="C39" t="str">
            <v>Máy ủi - công suất:</v>
          </cell>
          <cell r="D39" t="str">
            <v>ca</v>
          </cell>
          <cell r="E39">
            <v>0</v>
          </cell>
          <cell r="F39">
            <v>0</v>
          </cell>
          <cell r="G39">
            <v>0</v>
          </cell>
          <cell r="H39">
            <v>0</v>
          </cell>
          <cell r="I39">
            <v>0</v>
          </cell>
          <cell r="J39">
            <v>0</v>
          </cell>
        </row>
        <row r="40">
          <cell r="C40" t="str">
            <v>- Máy ủi 75,0CV</v>
          </cell>
          <cell r="D40" t="str">
            <v>ca</v>
          </cell>
          <cell r="E40">
            <v>38</v>
          </cell>
          <cell r="F40" t="str">
            <v>Lít diezel</v>
          </cell>
          <cell r="G40">
            <v>216750</v>
          </cell>
          <cell r="H40">
            <v>1161520</v>
          </cell>
          <cell r="I40">
            <v>190265.79272727267</v>
          </cell>
          <cell r="J40">
            <v>1351785.7927272727</v>
          </cell>
        </row>
        <row r="41">
          <cell r="C41" t="str">
            <v>- Máy ủi 108CV</v>
          </cell>
          <cell r="D41" t="str">
            <v>ca</v>
          </cell>
          <cell r="E41">
            <v>46</v>
          </cell>
          <cell r="F41" t="str">
            <v>Lít diezel</v>
          </cell>
          <cell r="G41">
            <v>439450</v>
          </cell>
          <cell r="H41">
            <v>1739366</v>
          </cell>
          <cell r="I41">
            <v>230321.74909090903</v>
          </cell>
          <cell r="J41">
            <v>1969687.749090909</v>
          </cell>
        </row>
        <row r="42">
          <cell r="C42" t="str">
            <v>- Máy ủi 110CV</v>
          </cell>
          <cell r="D42" t="str">
            <v>ca</v>
          </cell>
          <cell r="E42">
            <v>46</v>
          </cell>
          <cell r="F42" t="str">
            <v>Lít diezel</v>
          </cell>
          <cell r="G42">
            <v>439450</v>
          </cell>
          <cell r="H42">
            <v>1739366</v>
          </cell>
          <cell r="I42">
            <v>230321.74909090903</v>
          </cell>
          <cell r="J42">
            <v>1969687.749090909</v>
          </cell>
        </row>
        <row r="43">
          <cell r="C43" t="str">
            <v>- Máy ủi 140CV</v>
          </cell>
          <cell r="D43" t="str">
            <v>ca</v>
          </cell>
          <cell r="E43">
            <v>59</v>
          </cell>
          <cell r="F43" t="str">
            <v>Lít diezel</v>
          </cell>
          <cell r="G43">
            <v>439450</v>
          </cell>
          <cell r="H43">
            <v>2356586</v>
          </cell>
          <cell r="I43">
            <v>295412.6781818181</v>
          </cell>
          <cell r="J43">
            <v>2651998.6781818182</v>
          </cell>
        </row>
        <row r="44">
          <cell r="C44" t="str">
            <v>- Máy ủi 180,0CV</v>
          </cell>
          <cell r="D44" t="str">
            <v>ca</v>
          </cell>
          <cell r="E44">
            <v>76</v>
          </cell>
          <cell r="F44" t="str">
            <v>Lít diezel</v>
          </cell>
          <cell r="G44">
            <v>439450</v>
          </cell>
          <cell r="H44">
            <v>2829141</v>
          </cell>
          <cell r="I44">
            <v>380531.58545454533</v>
          </cell>
          <cell r="J44">
            <v>3209672.5854545454</v>
          </cell>
        </row>
        <row r="45">
          <cell r="C45" t="str">
            <v>- Máy ủi 250,0CV</v>
          </cell>
          <cell r="D45" t="str">
            <v>ca</v>
          </cell>
          <cell r="E45">
            <v>94</v>
          </cell>
          <cell r="F45" t="str">
            <v>Lít diezel</v>
          </cell>
          <cell r="G45">
            <v>486200</v>
          </cell>
          <cell r="H45">
            <v>3448394</v>
          </cell>
          <cell r="I45">
            <v>470657.48727272713</v>
          </cell>
          <cell r="J45">
            <v>3919051.4872727273</v>
          </cell>
        </row>
        <row r="46">
          <cell r="C46" t="str">
            <v>- Máy ủi 320,0CV</v>
          </cell>
          <cell r="D46" t="str">
            <v>ca</v>
          </cell>
          <cell r="E46">
            <v>125</v>
          </cell>
          <cell r="F46" t="str">
            <v>Lít diezel</v>
          </cell>
          <cell r="G46">
            <v>540600</v>
          </cell>
          <cell r="H46">
            <v>4774492</v>
          </cell>
          <cell r="I46">
            <v>625874.31818181789</v>
          </cell>
          <cell r="J46">
            <v>5400366.3181818184</v>
          </cell>
        </row>
        <row r="47">
          <cell r="C47" t="str">
            <v>Máy san tự hành - công suất:</v>
          </cell>
          <cell r="D47">
            <v>0</v>
          </cell>
          <cell r="E47">
            <v>0</v>
          </cell>
          <cell r="F47">
            <v>0</v>
          </cell>
          <cell r="G47">
            <v>0</v>
          </cell>
          <cell r="H47">
            <v>0</v>
          </cell>
          <cell r="I47">
            <v>0</v>
          </cell>
          <cell r="J47">
            <v>0</v>
          </cell>
        </row>
        <row r="48">
          <cell r="C48" t="str">
            <v>- Máy san 108CV</v>
          </cell>
          <cell r="D48" t="str">
            <v>ca</v>
          </cell>
          <cell r="E48">
            <v>39</v>
          </cell>
          <cell r="F48" t="str">
            <v>lít diezel</v>
          </cell>
          <cell r="G48">
            <v>439450</v>
          </cell>
          <cell r="H48">
            <v>1899196</v>
          </cell>
          <cell r="I48">
            <v>195272.7872727272</v>
          </cell>
          <cell r="J48">
            <v>2094468.7872727271</v>
          </cell>
        </row>
        <row r="49">
          <cell r="C49" t="str">
            <v>- Máy san 110CV</v>
          </cell>
          <cell r="D49" t="str">
            <v>ca</v>
          </cell>
          <cell r="E49">
            <v>39</v>
          </cell>
          <cell r="F49" t="str">
            <v>lít diezel</v>
          </cell>
          <cell r="G49">
            <v>439450</v>
          </cell>
          <cell r="H49">
            <v>1899196</v>
          </cell>
          <cell r="I49">
            <v>195272.7872727272</v>
          </cell>
          <cell r="J49">
            <v>2094468.7872727271</v>
          </cell>
        </row>
        <row r="50">
          <cell r="C50" t="str">
            <v>- Máy san 180,0CV</v>
          </cell>
          <cell r="D50" t="str">
            <v>ca</v>
          </cell>
          <cell r="E50">
            <v>54</v>
          </cell>
          <cell r="F50" t="str">
            <v>lít diezel</v>
          </cell>
          <cell r="G50">
            <v>439450</v>
          </cell>
          <cell r="H50">
            <v>2656094</v>
          </cell>
          <cell r="I50">
            <v>270377.70545454533</v>
          </cell>
          <cell r="J50">
            <v>2926471.7054545451</v>
          </cell>
        </row>
        <row r="51">
          <cell r="C51" t="str">
            <v>Máy đầm đất cầm tay - trọng lượng:</v>
          </cell>
          <cell r="D51">
            <v>0</v>
          </cell>
          <cell r="E51">
            <v>0</v>
          </cell>
          <cell r="F51">
            <v>0</v>
          </cell>
          <cell r="G51">
            <v>0</v>
          </cell>
          <cell r="H51">
            <v>0</v>
          </cell>
          <cell r="I51">
            <v>0</v>
          </cell>
          <cell r="J51">
            <v>0</v>
          </cell>
        </row>
        <row r="52">
          <cell r="C52" t="str">
            <v>- Máy đầm cóc 50kg</v>
          </cell>
          <cell r="D52">
            <v>0</v>
          </cell>
          <cell r="E52">
            <v>3</v>
          </cell>
          <cell r="F52" t="str">
            <v>lít xăng</v>
          </cell>
          <cell r="G52">
            <v>183600</v>
          </cell>
          <cell r="H52">
            <v>266371</v>
          </cell>
          <cell r="I52">
            <v>10054.366363636356</v>
          </cell>
          <cell r="J52">
            <v>276425.36636363633</v>
          </cell>
        </row>
        <row r="53">
          <cell r="C53" t="str">
            <v>- Đầm cóc 60kg</v>
          </cell>
          <cell r="D53" t="str">
            <v>ca</v>
          </cell>
          <cell r="E53">
            <v>4</v>
          </cell>
          <cell r="F53" t="str">
            <v>lít xăng</v>
          </cell>
          <cell r="G53">
            <v>183600</v>
          </cell>
          <cell r="H53">
            <v>291534</v>
          </cell>
          <cell r="I53">
            <v>13405.821818181807</v>
          </cell>
          <cell r="J53">
            <v>304939.82181818178</v>
          </cell>
        </row>
        <row r="54">
          <cell r="C54" t="str">
            <v>- Máy đầm cóc 70kg</v>
          </cell>
          <cell r="D54">
            <v>0</v>
          </cell>
          <cell r="E54">
            <v>4</v>
          </cell>
          <cell r="F54" t="str">
            <v>lít xăng</v>
          </cell>
          <cell r="G54">
            <v>183600</v>
          </cell>
          <cell r="H54">
            <v>300837</v>
          </cell>
          <cell r="I54">
            <v>13405.821818181807</v>
          </cell>
          <cell r="J54">
            <v>314242.82181818178</v>
          </cell>
        </row>
        <row r="55">
          <cell r="C55" t="str">
            <v>- Máy đầm cóc 80kg</v>
          </cell>
          <cell r="D55" t="str">
            <v>ca</v>
          </cell>
          <cell r="E55">
            <v>5</v>
          </cell>
          <cell r="F55" t="str">
            <v>lít xăng</v>
          </cell>
          <cell r="G55">
            <v>183600</v>
          </cell>
          <cell r="H55">
            <v>316877</v>
          </cell>
          <cell r="I55">
            <v>16757.277272727257</v>
          </cell>
          <cell r="J55">
            <v>333634.27727272728</v>
          </cell>
        </row>
        <row r="56">
          <cell r="C56" t="str">
            <v>Máy đầm bánh hơi tự hành - trọng lượng:</v>
          </cell>
          <cell r="D56">
            <v>0</v>
          </cell>
          <cell r="E56">
            <v>0</v>
          </cell>
          <cell r="F56">
            <v>0</v>
          </cell>
          <cell r="G56">
            <v>0</v>
          </cell>
          <cell r="H56">
            <v>0</v>
          </cell>
          <cell r="I56">
            <v>0</v>
          </cell>
          <cell r="J56">
            <v>0</v>
          </cell>
        </row>
        <row r="57">
          <cell r="C57" t="str">
            <v>- Máy lu bánh lốp 9T</v>
          </cell>
          <cell r="D57" t="str">
            <v>ca</v>
          </cell>
          <cell r="E57">
            <v>34</v>
          </cell>
          <cell r="F57" t="str">
            <v>lít diezel</v>
          </cell>
          <cell r="G57">
            <v>255850</v>
          </cell>
          <cell r="H57">
            <v>1234809</v>
          </cell>
          <cell r="I57">
            <v>170237.81454545449</v>
          </cell>
          <cell r="J57">
            <v>1405046.8145454545</v>
          </cell>
        </row>
        <row r="58">
          <cell r="C58" t="str">
            <v>- Máy lu bánh lốp 16T</v>
          </cell>
          <cell r="D58" t="str">
            <v>ca</v>
          </cell>
          <cell r="E58">
            <v>38</v>
          </cell>
          <cell r="F58" t="str">
            <v>lít diezel</v>
          </cell>
          <cell r="G58">
            <v>255850</v>
          </cell>
          <cell r="H58">
            <v>1360996</v>
          </cell>
          <cell r="I58">
            <v>190265.79272727267</v>
          </cell>
          <cell r="J58">
            <v>1551261.7927272727</v>
          </cell>
        </row>
        <row r="59">
          <cell r="C59" t="str">
            <v>- Máy đầm 25T</v>
          </cell>
          <cell r="D59" t="str">
            <v>ca</v>
          </cell>
          <cell r="E59">
            <v>55</v>
          </cell>
          <cell r="F59" t="str">
            <v>lít diezel</v>
          </cell>
          <cell r="G59">
            <v>255850</v>
          </cell>
          <cell r="H59">
            <v>1690917</v>
          </cell>
          <cell r="I59">
            <v>275384.6999999999</v>
          </cell>
          <cell r="J59">
            <v>1966301.7</v>
          </cell>
        </row>
        <row r="60">
          <cell r="C60" t="str">
            <v>Máy đầm rung tự hành - trọng lượng:</v>
          </cell>
          <cell r="D60">
            <v>0</v>
          </cell>
          <cell r="E60">
            <v>0</v>
          </cell>
          <cell r="F60">
            <v>0</v>
          </cell>
          <cell r="G60">
            <v>0</v>
          </cell>
          <cell r="H60">
            <v>0</v>
          </cell>
          <cell r="I60">
            <v>0</v>
          </cell>
          <cell r="J60">
            <v>0</v>
          </cell>
        </row>
        <row r="61">
          <cell r="C61" t="str">
            <v>- Máy đầm rung 8,0T</v>
          </cell>
          <cell r="D61" t="str">
            <v>ca</v>
          </cell>
          <cell r="E61">
            <v>19</v>
          </cell>
          <cell r="F61" t="str">
            <v>lít diezel</v>
          </cell>
          <cell r="G61">
            <v>216750</v>
          </cell>
          <cell r="H61">
            <v>1168477</v>
          </cell>
          <cell r="I61">
            <v>95132.896363636333</v>
          </cell>
          <cell r="J61">
            <v>1263609.8963636362</v>
          </cell>
        </row>
        <row r="62">
          <cell r="C62" t="str">
            <v>- Máy đầm rung 15,0T</v>
          </cell>
          <cell r="D62" t="str">
            <v>ca</v>
          </cell>
          <cell r="E62">
            <v>39</v>
          </cell>
          <cell r="F62" t="str">
            <v>lít diezel</v>
          </cell>
          <cell r="G62">
            <v>216750</v>
          </cell>
          <cell r="H62">
            <v>1844354</v>
          </cell>
          <cell r="I62">
            <v>195272.7872727272</v>
          </cell>
          <cell r="J62">
            <v>2039626.7872727271</v>
          </cell>
        </row>
        <row r="63">
          <cell r="C63" t="str">
            <v>- Máy đầm rung 18,0T</v>
          </cell>
          <cell r="D63" t="str">
            <v>ca</v>
          </cell>
          <cell r="E63">
            <v>53</v>
          </cell>
          <cell r="F63" t="str">
            <v>lít diezel</v>
          </cell>
          <cell r="G63">
            <v>216750</v>
          </cell>
          <cell r="H63">
            <v>2205300</v>
          </cell>
          <cell r="I63">
            <v>265370.71090909082</v>
          </cell>
          <cell r="J63">
            <v>2470670.7109090909</v>
          </cell>
        </row>
        <row r="64">
          <cell r="C64" t="str">
            <v>- Máy đầm rung 25T</v>
          </cell>
          <cell r="D64" t="str">
            <v>ca</v>
          </cell>
          <cell r="E64">
            <v>67</v>
          </cell>
          <cell r="F64" t="str">
            <v>lít diezel</v>
          </cell>
          <cell r="G64">
            <v>216750</v>
          </cell>
          <cell r="H64">
            <v>2391835</v>
          </cell>
          <cell r="I64">
            <v>335468.63454545441</v>
          </cell>
          <cell r="J64">
            <v>2727303.6345454543</v>
          </cell>
        </row>
        <row r="65">
          <cell r="C65" t="str">
            <v>Máy đầm bánh thép tự hành - trọng lượng:</v>
          </cell>
          <cell r="D65">
            <v>0</v>
          </cell>
          <cell r="E65">
            <v>0</v>
          </cell>
          <cell r="F65">
            <v>0</v>
          </cell>
          <cell r="G65">
            <v>0</v>
          </cell>
          <cell r="H65">
            <v>0</v>
          </cell>
          <cell r="I65">
            <v>0</v>
          </cell>
          <cell r="J65">
            <v>0</v>
          </cell>
        </row>
        <row r="66">
          <cell r="C66" t="str">
            <v>- Máy lu 8,5T</v>
          </cell>
          <cell r="D66" t="str">
            <v>ca</v>
          </cell>
          <cell r="E66">
            <v>24</v>
          </cell>
          <cell r="F66" t="str">
            <v>lít diezel</v>
          </cell>
          <cell r="G66">
            <v>183600</v>
          </cell>
          <cell r="H66">
            <v>791469</v>
          </cell>
          <cell r="I66">
            <v>120167.86909090905</v>
          </cell>
          <cell r="J66">
            <v>911636.86909090902</v>
          </cell>
        </row>
        <row r="67">
          <cell r="C67" t="str">
            <v>- Máy lu 10T</v>
          </cell>
          <cell r="D67" t="str">
            <v>ca</v>
          </cell>
          <cell r="E67">
            <v>26</v>
          </cell>
          <cell r="F67" t="str">
            <v>lít diezel</v>
          </cell>
          <cell r="G67">
            <v>216750</v>
          </cell>
          <cell r="H67">
            <v>948213</v>
          </cell>
          <cell r="I67">
            <v>130181.85818181813</v>
          </cell>
          <cell r="J67">
            <v>1078394.8581818182</v>
          </cell>
        </row>
        <row r="68">
          <cell r="C68" t="str">
            <v>- Máy đầm 15,5T</v>
          </cell>
          <cell r="D68" t="str">
            <v>ca</v>
          </cell>
          <cell r="E68">
            <v>42</v>
          </cell>
          <cell r="F68" t="str">
            <v>lít diezel</v>
          </cell>
          <cell r="G68">
            <v>216750</v>
          </cell>
          <cell r="H68">
            <v>1381490</v>
          </cell>
          <cell r="I68">
            <v>210293.77090909085</v>
          </cell>
          <cell r="J68">
            <v>1591783.7709090908</v>
          </cell>
        </row>
        <row r="69">
          <cell r="C69" t="str">
            <v>M102.0000. MÁY NÂNG CHUYỂN</v>
          </cell>
          <cell r="D69">
            <v>0</v>
          </cell>
          <cell r="E69">
            <v>0</v>
          </cell>
          <cell r="F69">
            <v>0</v>
          </cell>
          <cell r="G69">
            <v>0</v>
          </cell>
          <cell r="H69">
            <v>0</v>
          </cell>
          <cell r="I69">
            <v>0</v>
          </cell>
          <cell r="J69">
            <v>0</v>
          </cell>
        </row>
        <row r="70">
          <cell r="C70" t="str">
            <v xml:space="preserve">Cần trục ô tô - sức nâng: </v>
          </cell>
          <cell r="D70">
            <v>0</v>
          </cell>
          <cell r="E70">
            <v>0</v>
          </cell>
          <cell r="F70">
            <v>0</v>
          </cell>
          <cell r="G70">
            <v>0</v>
          </cell>
          <cell r="H70">
            <v>0</v>
          </cell>
          <cell r="I70">
            <v>0</v>
          </cell>
          <cell r="J70">
            <v>0</v>
          </cell>
        </row>
        <row r="71">
          <cell r="C71" t="str">
            <v>- Cần cẩu 3,0T (cần trục ôtô)</v>
          </cell>
          <cell r="D71" t="str">
            <v>ca</v>
          </cell>
          <cell r="E71">
            <v>25</v>
          </cell>
          <cell r="F71" t="str">
            <v>lít diezel</v>
          </cell>
          <cell r="G71">
            <v>444550</v>
          </cell>
          <cell r="H71">
            <v>1218502</v>
          </cell>
          <cell r="I71">
            <v>125174.86363636359</v>
          </cell>
          <cell r="J71">
            <v>1343676.8636363635</v>
          </cell>
        </row>
        <row r="72">
          <cell r="C72" t="str">
            <v>- Cần cẩu 4,0T (cần trục ôtô)</v>
          </cell>
          <cell r="D72" t="str">
            <v>ca</v>
          </cell>
          <cell r="E72">
            <v>26</v>
          </cell>
          <cell r="F72" t="str">
            <v>lít diezel</v>
          </cell>
          <cell r="G72">
            <v>444550</v>
          </cell>
          <cell r="H72">
            <v>1265841</v>
          </cell>
          <cell r="I72">
            <v>0</v>
          </cell>
          <cell r="J72">
            <v>0</v>
          </cell>
        </row>
        <row r="73">
          <cell r="C73" t="str">
            <v>- Cần cẩu 5,0T (cần trục ôtô)</v>
          </cell>
          <cell r="D73" t="str">
            <v>ca</v>
          </cell>
          <cell r="E73">
            <v>30</v>
          </cell>
          <cell r="F73" t="str">
            <v>lít diezel</v>
          </cell>
          <cell r="G73">
            <v>444550</v>
          </cell>
          <cell r="H73">
            <v>1357210</v>
          </cell>
          <cell r="I73">
            <v>150209.83636363634</v>
          </cell>
          <cell r="J73">
            <v>1507419.8363636364</v>
          </cell>
        </row>
        <row r="74">
          <cell r="C74" t="str">
            <v>- Cần cẩu 6T (cần trục ô tô)</v>
          </cell>
          <cell r="D74" t="str">
            <v>ca</v>
          </cell>
          <cell r="E74">
            <v>33</v>
          </cell>
          <cell r="F74" t="str">
            <v>lít diezel</v>
          </cell>
          <cell r="G74">
            <v>444550</v>
          </cell>
          <cell r="H74">
            <v>1524169</v>
          </cell>
          <cell r="I74">
            <v>165230.81999999995</v>
          </cell>
          <cell r="J74">
            <v>1689399.8199999998</v>
          </cell>
        </row>
        <row r="75">
          <cell r="C75" t="str">
            <v>- Cần cẩu 10T (cần trục ô tô)</v>
          </cell>
          <cell r="D75" t="str">
            <v>ca</v>
          </cell>
          <cell r="E75">
            <v>37</v>
          </cell>
          <cell r="F75" t="str">
            <v>lít diezel</v>
          </cell>
          <cell r="G75">
            <v>505750</v>
          </cell>
          <cell r="H75">
            <v>1901854</v>
          </cell>
          <cell r="I75">
            <v>185258.79818181813</v>
          </cell>
          <cell r="J75">
            <v>2087112.7981818181</v>
          </cell>
        </row>
        <row r="76">
          <cell r="C76" t="str">
            <v>- Cần cẩu 16T (cần trục ô tô)</v>
          </cell>
          <cell r="D76" t="str">
            <v>ca</v>
          </cell>
          <cell r="E76">
            <v>43</v>
          </cell>
          <cell r="F76" t="str">
            <v>lít diezel</v>
          </cell>
          <cell r="G76">
            <v>505750</v>
          </cell>
          <cell r="H76">
            <v>2137572</v>
          </cell>
          <cell r="I76">
            <v>215300.76545454538</v>
          </cell>
          <cell r="J76">
            <v>2352872.7654545456</v>
          </cell>
        </row>
        <row r="77">
          <cell r="C77" t="str">
            <v>- Cần cẩu 20,0T (cần trục ôtô)</v>
          </cell>
          <cell r="D77" t="str">
            <v>ca</v>
          </cell>
          <cell r="E77">
            <v>44</v>
          </cell>
          <cell r="F77" t="str">
            <v>lít diezel</v>
          </cell>
          <cell r="G77">
            <v>505750</v>
          </cell>
          <cell r="H77">
            <v>2368232</v>
          </cell>
          <cell r="I77">
            <v>0</v>
          </cell>
          <cell r="J77">
            <v>0</v>
          </cell>
        </row>
        <row r="78">
          <cell r="C78" t="str">
            <v>- Cần cẩu 25T (cần trục ô tô)</v>
          </cell>
          <cell r="D78" t="str">
            <v>ca</v>
          </cell>
          <cell r="E78">
            <v>50</v>
          </cell>
          <cell r="F78" t="str">
            <v>lít diezel</v>
          </cell>
          <cell r="G78">
            <v>603500</v>
          </cell>
          <cell r="H78">
            <v>2712102</v>
          </cell>
          <cell r="I78">
            <v>250349.72727272718</v>
          </cell>
          <cell r="J78">
            <v>2962451.7272727271</v>
          </cell>
        </row>
        <row r="79">
          <cell r="C79" t="str">
            <v xml:space="preserve">Cần trục bánh hơi - sức nâng: </v>
          </cell>
          <cell r="D79">
            <v>0</v>
          </cell>
          <cell r="E79">
            <v>0</v>
          </cell>
          <cell r="F79">
            <v>0</v>
          </cell>
          <cell r="G79">
            <v>0</v>
          </cell>
          <cell r="H79">
            <v>0</v>
          </cell>
          <cell r="I79">
            <v>0</v>
          </cell>
          <cell r="J79">
            <v>0</v>
          </cell>
        </row>
        <row r="80">
          <cell r="C80" t="str">
            <v>- Cần cẩu 16T (cần trục bánh hơi)</v>
          </cell>
          <cell r="D80" t="str">
            <v>ca</v>
          </cell>
          <cell r="E80">
            <v>33</v>
          </cell>
          <cell r="F80" t="str">
            <v>lít diezel</v>
          </cell>
          <cell r="G80">
            <v>439450</v>
          </cell>
          <cell r="H80">
            <v>1648579</v>
          </cell>
          <cell r="I80">
            <v>165230.81999999995</v>
          </cell>
          <cell r="J80">
            <v>1813809.8199999998</v>
          </cell>
        </row>
        <row r="81">
          <cell r="C81" t="str">
            <v>- Cần cẩu 25T (cần trục bánh hơi)</v>
          </cell>
          <cell r="D81" t="str">
            <v>ca</v>
          </cell>
          <cell r="E81">
            <v>36</v>
          </cell>
          <cell r="F81" t="str">
            <v>lít diezel</v>
          </cell>
          <cell r="G81">
            <v>519350</v>
          </cell>
          <cell r="H81">
            <v>1951091</v>
          </cell>
          <cell r="I81">
            <v>180251.80363636356</v>
          </cell>
          <cell r="J81">
            <v>2131342.8036363637</v>
          </cell>
        </row>
        <row r="82">
          <cell r="C82" t="str">
            <v>- Cần cẩu 40T (cần trục bánh hơi)</v>
          </cell>
          <cell r="D82" t="str">
            <v>ca</v>
          </cell>
          <cell r="E82">
            <v>50</v>
          </cell>
          <cell r="F82" t="str">
            <v>lít diezel</v>
          </cell>
          <cell r="G82">
            <v>519350</v>
          </cell>
          <cell r="H82">
            <v>3046254</v>
          </cell>
          <cell r="I82">
            <v>250349.72727272718</v>
          </cell>
          <cell r="J82">
            <v>3296603.7272727271</v>
          </cell>
        </row>
        <row r="83">
          <cell r="C83" t="str">
            <v>- Cần cẩu 63,0T (cần trục bánh hơi)</v>
          </cell>
          <cell r="D83" t="str">
            <v>ca</v>
          </cell>
          <cell r="E83">
            <v>61</v>
          </cell>
          <cell r="F83" t="str">
            <v>lít diezel</v>
          </cell>
          <cell r="G83">
            <v>519350</v>
          </cell>
          <cell r="H83">
            <v>3533192</v>
          </cell>
          <cell r="I83">
            <v>305426.66727272718</v>
          </cell>
          <cell r="J83">
            <v>3838618.667272727</v>
          </cell>
        </row>
        <row r="84">
          <cell r="C84" t="str">
            <v>- Cần cẩu 90,0T (cần trục bánh hơi)</v>
          </cell>
          <cell r="D84" t="str">
            <v>ca</v>
          </cell>
          <cell r="E84">
            <v>69</v>
          </cell>
          <cell r="F84" t="str">
            <v>lít diezel</v>
          </cell>
          <cell r="G84">
            <v>573750</v>
          </cell>
          <cell r="H84">
            <v>5456487</v>
          </cell>
          <cell r="I84">
            <v>345482.62363636348</v>
          </cell>
          <cell r="J84">
            <v>5801969.6236363631</v>
          </cell>
        </row>
        <row r="85">
          <cell r="C85" t="str">
            <v>- Cần cẩu 100,0T (cần trục bánh hơi)</v>
          </cell>
          <cell r="D85" t="str">
            <v>ca</v>
          </cell>
          <cell r="E85">
            <v>74</v>
          </cell>
          <cell r="F85" t="str">
            <v>lít diezel</v>
          </cell>
          <cell r="G85">
            <v>790500</v>
          </cell>
          <cell r="H85">
            <v>6568617</v>
          </cell>
          <cell r="I85">
            <v>370517.59636363626</v>
          </cell>
          <cell r="J85">
            <v>6939134.5963636367</v>
          </cell>
        </row>
        <row r="86">
          <cell r="C86" t="str">
            <v>- Cần cẩu 110,0T (cần trục bánh hơi)</v>
          </cell>
          <cell r="D86" t="str">
            <v>ca</v>
          </cell>
          <cell r="E86">
            <v>78</v>
          </cell>
          <cell r="F86" t="str">
            <v>lít diezel</v>
          </cell>
          <cell r="G86">
            <v>790500</v>
          </cell>
          <cell r="H86">
            <v>7836978</v>
          </cell>
          <cell r="I86">
            <v>390545.57454545441</v>
          </cell>
          <cell r="J86">
            <v>8227523.5745454542</v>
          </cell>
        </row>
        <row r="87">
          <cell r="C87" t="str">
            <v>- Cần cẩu 130,0T (cần trục bánh hơi)</v>
          </cell>
          <cell r="D87" t="str">
            <v>ca</v>
          </cell>
          <cell r="E87">
            <v>81</v>
          </cell>
          <cell r="F87" t="str">
            <v>lít diezel</v>
          </cell>
          <cell r="G87">
            <v>790500</v>
          </cell>
          <cell r="H87">
            <v>9065726</v>
          </cell>
          <cell r="I87">
            <v>405566.55818181805</v>
          </cell>
          <cell r="J87">
            <v>9471292.5581818186</v>
          </cell>
        </row>
        <row r="88">
          <cell r="C88" t="str">
            <v xml:space="preserve">Cần trục bánh xích - sức nâng: </v>
          </cell>
          <cell r="D88">
            <v>0</v>
          </cell>
          <cell r="E88">
            <v>0</v>
          </cell>
          <cell r="F88">
            <v>0</v>
          </cell>
          <cell r="G88">
            <v>0</v>
          </cell>
          <cell r="H88">
            <v>0</v>
          </cell>
          <cell r="I88">
            <v>0</v>
          </cell>
          <cell r="J88">
            <v>0</v>
          </cell>
        </row>
        <row r="89">
          <cell r="C89" t="str">
            <v>- Cần cẩu 5,0T (cần trục bánh xích)</v>
          </cell>
          <cell r="D89" t="str">
            <v>ca</v>
          </cell>
          <cell r="E89">
            <v>32</v>
          </cell>
          <cell r="F89" t="str">
            <v>lít diezel</v>
          </cell>
          <cell r="G89">
            <v>439450</v>
          </cell>
          <cell r="H89">
            <v>1488172</v>
          </cell>
          <cell r="I89">
            <v>160223.82545454541</v>
          </cell>
          <cell r="J89">
            <v>1648395.8254545454</v>
          </cell>
        </row>
        <row r="90">
          <cell r="C90" t="str">
            <v>- Cần cẩu 10,0T (cần trục bánh xích)</v>
          </cell>
          <cell r="D90" t="str">
            <v>ca</v>
          </cell>
          <cell r="E90">
            <v>36</v>
          </cell>
          <cell r="F90" t="str">
            <v>lít diezel</v>
          </cell>
          <cell r="G90">
            <v>439450</v>
          </cell>
          <cell r="H90">
            <v>1725411</v>
          </cell>
          <cell r="I90">
            <v>180251.80363636356</v>
          </cell>
          <cell r="J90">
            <v>1905662.8036363635</v>
          </cell>
        </row>
        <row r="91">
          <cell r="C91" t="str">
            <v>- Cần cẩu 16,0T (cần trục bánh xích)</v>
          </cell>
          <cell r="D91" t="str">
            <v>ca</v>
          </cell>
          <cell r="E91">
            <v>45</v>
          </cell>
          <cell r="F91" t="str">
            <v>lít diezel</v>
          </cell>
          <cell r="G91">
            <v>439450</v>
          </cell>
          <cell r="H91">
            <v>2090861</v>
          </cell>
          <cell r="I91">
            <v>225314.75454545449</v>
          </cell>
          <cell r="J91">
            <v>2316175.7545454544</v>
          </cell>
        </row>
        <row r="92">
          <cell r="C92" t="str">
            <v>- Cần cẩu 25,0T (cần trục bánh xích)</v>
          </cell>
          <cell r="D92" t="str">
            <v>ca</v>
          </cell>
          <cell r="E92">
            <v>47</v>
          </cell>
          <cell r="F92" t="str">
            <v>lít diezel</v>
          </cell>
          <cell r="G92">
            <v>519350</v>
          </cell>
          <cell r="H92">
            <v>2518850</v>
          </cell>
          <cell r="I92">
            <v>235328.74363636356</v>
          </cell>
          <cell r="J92">
            <v>2754178.7436363637</v>
          </cell>
        </row>
        <row r="93">
          <cell r="C93" t="str">
            <v>- Cần cẩu 28,0T (cần trục bánh xích)</v>
          </cell>
          <cell r="D93" t="str">
            <v>ca</v>
          </cell>
          <cell r="E93">
            <v>49</v>
          </cell>
          <cell r="F93" t="str">
            <v>lít diezel</v>
          </cell>
          <cell r="G93">
            <v>519350</v>
          </cell>
          <cell r="H93">
            <v>2925284</v>
          </cell>
          <cell r="I93">
            <v>245342.73272727264</v>
          </cell>
          <cell r="J93">
            <v>3170626.7327272724</v>
          </cell>
        </row>
        <row r="94">
          <cell r="C94" t="str">
            <v>- Cần cẩu 40,0T (cần trục bánh xích)</v>
          </cell>
          <cell r="D94" t="str">
            <v>ca</v>
          </cell>
          <cell r="E94">
            <v>51</v>
          </cell>
          <cell r="F94" t="str">
            <v>lít diezel</v>
          </cell>
          <cell r="G94">
            <v>519350</v>
          </cell>
          <cell r="H94">
            <v>3630140</v>
          </cell>
          <cell r="I94">
            <v>255356.72181818172</v>
          </cell>
          <cell r="J94">
            <v>3885496.7218181817</v>
          </cell>
        </row>
        <row r="95">
          <cell r="C95" t="str">
            <v>- Cần cẩu 50,0T (cần trục bánh xích)</v>
          </cell>
          <cell r="D95" t="str">
            <v>ca</v>
          </cell>
          <cell r="E95">
            <v>54</v>
          </cell>
          <cell r="F95" t="str">
            <v>lít diezel</v>
          </cell>
          <cell r="G95">
            <v>519350</v>
          </cell>
          <cell r="H95">
            <v>3664329</v>
          </cell>
          <cell r="I95">
            <v>270377.70545454533</v>
          </cell>
          <cell r="J95">
            <v>3934706.7054545451</v>
          </cell>
        </row>
        <row r="96">
          <cell r="C96" t="str">
            <v>- Cần cẩu 63,0T (cần trục bánh xích)</v>
          </cell>
          <cell r="D96" t="str">
            <v>ca</v>
          </cell>
          <cell r="E96">
            <v>56</v>
          </cell>
          <cell r="F96" t="str">
            <v>lít diezel</v>
          </cell>
          <cell r="G96">
            <v>573750</v>
          </cell>
          <cell r="H96">
            <v>4519777</v>
          </cell>
          <cell r="I96">
            <v>280391.69454545446</v>
          </cell>
          <cell r="J96">
            <v>4800168.6945454543</v>
          </cell>
        </row>
        <row r="97">
          <cell r="C97" t="str">
            <v>- Cần cẩu 80,0T (cần trục bánh xích)</v>
          </cell>
          <cell r="D97" t="str">
            <v>ca</v>
          </cell>
          <cell r="E97">
            <v>58</v>
          </cell>
          <cell r="F97" t="str">
            <v>lít diezel</v>
          </cell>
          <cell r="G97">
            <v>573750</v>
          </cell>
          <cell r="H97">
            <v>4542570</v>
          </cell>
          <cell r="I97">
            <v>290405.68363636354</v>
          </cell>
          <cell r="J97">
            <v>4832975.6836363636</v>
          </cell>
        </row>
        <row r="98">
          <cell r="C98" t="str">
            <v>- Cần cẩu 100,0T (cần trục bánh xích)</v>
          </cell>
          <cell r="D98" t="str">
            <v>ca</v>
          </cell>
          <cell r="E98">
            <v>59</v>
          </cell>
          <cell r="F98" t="str">
            <v>lít diezel</v>
          </cell>
          <cell r="G98">
            <v>790500</v>
          </cell>
          <cell r="H98">
            <v>6350315</v>
          </cell>
          <cell r="I98">
            <v>295412.6781818181</v>
          </cell>
          <cell r="J98">
            <v>6645727.6781818178</v>
          </cell>
        </row>
        <row r="99">
          <cell r="C99" t="str">
            <v>- Cần cẩu 110,0T (cần trục bánh xích)</v>
          </cell>
          <cell r="D99" t="str">
            <v>ca</v>
          </cell>
          <cell r="E99">
            <v>63</v>
          </cell>
          <cell r="F99" t="str">
            <v>lít diezel</v>
          </cell>
          <cell r="G99">
            <v>790500</v>
          </cell>
          <cell r="H99">
            <v>7129151</v>
          </cell>
          <cell r="I99">
            <v>315440.65636363626</v>
          </cell>
          <cell r="J99">
            <v>7444591.6563636363</v>
          </cell>
        </row>
        <row r="100">
          <cell r="C100" t="str">
            <v>- Cần cẩu 130,0T (cần trục bánh xích)</v>
          </cell>
          <cell r="D100" t="str">
            <v>ca</v>
          </cell>
          <cell r="E100">
            <v>72</v>
          </cell>
          <cell r="F100" t="str">
            <v>lít diezel</v>
          </cell>
          <cell r="G100">
            <v>790500</v>
          </cell>
          <cell r="H100">
            <v>9285027</v>
          </cell>
          <cell r="I100">
            <v>360503.60727272712</v>
          </cell>
          <cell r="J100">
            <v>9645530.6072727274</v>
          </cell>
        </row>
        <row r="101">
          <cell r="C101" t="str">
            <v>- Cần cẩu 150,0T (cần trục bánh xích)</v>
          </cell>
          <cell r="D101" t="str">
            <v>ca</v>
          </cell>
          <cell r="E101">
            <v>83</v>
          </cell>
          <cell r="F101" t="str">
            <v>lít diezel</v>
          </cell>
          <cell r="G101">
            <v>790500</v>
          </cell>
          <cell r="H101">
            <v>10298613</v>
          </cell>
          <cell r="I101">
            <v>415580.54727272713</v>
          </cell>
          <cell r="J101">
            <v>10714193.547272727</v>
          </cell>
        </row>
        <row r="102">
          <cell r="C102" t="str">
            <v xml:space="preserve">Cẩu lao dầm - sức nâng: </v>
          </cell>
          <cell r="D102">
            <v>0</v>
          </cell>
          <cell r="E102">
            <v>0</v>
          </cell>
          <cell r="F102">
            <v>0</v>
          </cell>
          <cell r="G102">
            <v>0</v>
          </cell>
          <cell r="H102">
            <v>0</v>
          </cell>
          <cell r="I102" t="str">
            <v/>
          </cell>
          <cell r="J102">
            <v>0</v>
          </cell>
        </row>
        <row r="103">
          <cell r="C103" t="str">
            <v>- Cẩu lao dầm K33-60</v>
          </cell>
          <cell r="D103" t="str">
            <v>ca</v>
          </cell>
          <cell r="E103">
            <v>233</v>
          </cell>
          <cell r="F103" t="str">
            <v>Kwh</v>
          </cell>
          <cell r="G103">
            <v>1353200</v>
          </cell>
          <cell r="H103">
            <v>4802144</v>
          </cell>
          <cell r="I103">
            <v>23672.613600000026</v>
          </cell>
          <cell r="J103">
            <v>4825816.6135999998</v>
          </cell>
        </row>
        <row r="104">
          <cell r="C104" t="str">
            <v xml:space="preserve">Máy vận thăng - sức nâng: </v>
          </cell>
          <cell r="D104">
            <v>0</v>
          </cell>
          <cell r="E104">
            <v>0</v>
          </cell>
          <cell r="F104">
            <v>0</v>
          </cell>
          <cell r="G104">
            <v>0</v>
          </cell>
          <cell r="H104">
            <v>0</v>
          </cell>
          <cell r="I104" t="str">
            <v/>
          </cell>
          <cell r="J104">
            <v>0</v>
          </cell>
        </row>
        <row r="105">
          <cell r="C105" t="str">
            <v>- Máy vận thăng 0,8T</v>
          </cell>
          <cell r="D105" t="str">
            <v>ca</v>
          </cell>
          <cell r="E105">
            <v>21</v>
          </cell>
          <cell r="F105" t="str">
            <v>Kwh</v>
          </cell>
          <cell r="G105">
            <v>183600</v>
          </cell>
          <cell r="H105">
            <v>367768</v>
          </cell>
          <cell r="I105">
            <v>2133.5832000000023</v>
          </cell>
          <cell r="J105">
            <v>369901.58319999999</v>
          </cell>
        </row>
        <row r="106">
          <cell r="C106" t="str">
            <v>- Máy vận thăng 3,0T</v>
          </cell>
          <cell r="D106" t="str">
            <v>ca</v>
          </cell>
          <cell r="E106">
            <v>39</v>
          </cell>
          <cell r="F106" t="str">
            <v>Kwh</v>
          </cell>
          <cell r="G106">
            <v>183600</v>
          </cell>
          <cell r="H106">
            <v>468356</v>
          </cell>
          <cell r="I106">
            <v>3962.3688000000038</v>
          </cell>
          <cell r="J106">
            <v>472318.3688</v>
          </cell>
        </row>
        <row r="107">
          <cell r="C107" t="str">
            <v>Tời điện, sức kéo</v>
          </cell>
          <cell r="D107">
            <v>0</v>
          </cell>
          <cell r="E107">
            <v>0</v>
          </cell>
          <cell r="F107">
            <v>0</v>
          </cell>
          <cell r="G107">
            <v>0</v>
          </cell>
          <cell r="H107">
            <v>0</v>
          </cell>
          <cell r="I107" t="str">
            <v/>
          </cell>
          <cell r="J107">
            <v>0</v>
          </cell>
        </row>
        <row r="108">
          <cell r="C108" t="str">
            <v>- Tời điện 5T</v>
          </cell>
          <cell r="D108" t="str">
            <v>ca</v>
          </cell>
          <cell r="E108">
            <v>14</v>
          </cell>
          <cell r="F108" t="str">
            <v>Kwh</v>
          </cell>
          <cell r="G108">
            <v>183600</v>
          </cell>
          <cell r="H108">
            <v>195503</v>
          </cell>
          <cell r="I108">
            <v>1422.3888000000015</v>
          </cell>
          <cell r="J108">
            <v>196925.38880000002</v>
          </cell>
        </row>
        <row r="109">
          <cell r="C109" t="str">
            <v>Pa lăng xích, sức nâng</v>
          </cell>
          <cell r="D109">
            <v>0</v>
          </cell>
          <cell r="E109">
            <v>0</v>
          </cell>
          <cell r="F109">
            <v>0</v>
          </cell>
          <cell r="G109">
            <v>0</v>
          </cell>
          <cell r="H109">
            <v>0</v>
          </cell>
          <cell r="I109" t="str">
            <v/>
          </cell>
          <cell r="J109">
            <v>0</v>
          </cell>
        </row>
        <row r="110">
          <cell r="C110" t="str">
            <v>- Pa lăng xích 3T</v>
          </cell>
          <cell r="D110" t="str">
            <v>ca</v>
          </cell>
          <cell r="E110">
            <v>0</v>
          </cell>
          <cell r="F110">
            <v>0</v>
          </cell>
          <cell r="G110">
            <v>183600</v>
          </cell>
          <cell r="H110">
            <v>192393</v>
          </cell>
          <cell r="I110" t="str">
            <v/>
          </cell>
          <cell r="J110">
            <v>192393</v>
          </cell>
        </row>
        <row r="111">
          <cell r="C111" t="str">
            <v>- Pa lăng xích 5T</v>
          </cell>
          <cell r="D111" t="str">
            <v>ca</v>
          </cell>
          <cell r="E111">
            <v>0</v>
          </cell>
          <cell r="F111">
            <v>0</v>
          </cell>
          <cell r="G111">
            <v>183600</v>
          </cell>
          <cell r="H111">
            <v>194776</v>
          </cell>
          <cell r="I111" t="str">
            <v/>
          </cell>
          <cell r="J111">
            <v>194776</v>
          </cell>
        </row>
        <row r="112">
          <cell r="C112" t="str">
            <v>Kích nâng - sức nâng:</v>
          </cell>
          <cell r="D112">
            <v>0</v>
          </cell>
          <cell r="E112">
            <v>0</v>
          </cell>
          <cell r="F112">
            <v>0</v>
          </cell>
          <cell r="G112">
            <v>0</v>
          </cell>
          <cell r="H112">
            <v>0</v>
          </cell>
          <cell r="I112" t="str">
            <v/>
          </cell>
          <cell r="J112">
            <v>0</v>
          </cell>
        </row>
        <row r="113">
          <cell r="C113" t="str">
            <v>- Kích nâng 10T</v>
          </cell>
          <cell r="D113" t="str">
            <v>ca</v>
          </cell>
          <cell r="E113">
            <v>0</v>
          </cell>
          <cell r="F113">
            <v>0</v>
          </cell>
          <cell r="G113">
            <v>216750</v>
          </cell>
          <cell r="H113">
            <v>222168</v>
          </cell>
          <cell r="I113" t="str">
            <v/>
          </cell>
          <cell r="J113">
            <v>222168</v>
          </cell>
        </row>
        <row r="114">
          <cell r="C114" t="str">
            <v>- Kích nâng 30T</v>
          </cell>
          <cell r="D114" t="str">
            <v>ca</v>
          </cell>
          <cell r="E114">
            <v>0</v>
          </cell>
          <cell r="F114">
            <v>0</v>
          </cell>
          <cell r="G114">
            <v>216750</v>
          </cell>
          <cell r="H114">
            <v>223581</v>
          </cell>
          <cell r="I114" t="str">
            <v/>
          </cell>
          <cell r="J114">
            <v>223581</v>
          </cell>
        </row>
        <row r="115">
          <cell r="C115" t="str">
            <v>- Kích nâng 50T</v>
          </cell>
          <cell r="D115" t="str">
            <v>ca</v>
          </cell>
          <cell r="E115">
            <v>0</v>
          </cell>
          <cell r="F115">
            <v>0</v>
          </cell>
          <cell r="G115">
            <v>216750</v>
          </cell>
          <cell r="H115">
            <v>228292</v>
          </cell>
          <cell r="I115" t="str">
            <v/>
          </cell>
          <cell r="J115">
            <v>228292</v>
          </cell>
        </row>
        <row r="116">
          <cell r="C116" t="str">
            <v>- Kích nâng 100T</v>
          </cell>
          <cell r="D116" t="str">
            <v>ca</v>
          </cell>
          <cell r="E116">
            <v>0</v>
          </cell>
          <cell r="F116">
            <v>0</v>
          </cell>
          <cell r="G116">
            <v>216750</v>
          </cell>
          <cell r="H116">
            <v>239128</v>
          </cell>
          <cell r="I116" t="str">
            <v/>
          </cell>
          <cell r="J116">
            <v>239128</v>
          </cell>
        </row>
        <row r="117">
          <cell r="C117" t="str">
            <v>- Kích nâng 200T</v>
          </cell>
          <cell r="D117" t="str">
            <v>ca</v>
          </cell>
          <cell r="E117">
            <v>0</v>
          </cell>
          <cell r="F117">
            <v>0</v>
          </cell>
          <cell r="G117">
            <v>216750</v>
          </cell>
          <cell r="H117">
            <v>249021</v>
          </cell>
          <cell r="I117" t="str">
            <v/>
          </cell>
          <cell r="J117">
            <v>249021</v>
          </cell>
        </row>
        <row r="118">
          <cell r="C118" t="str">
            <v>- Kích nâng 250T</v>
          </cell>
          <cell r="D118" t="str">
            <v>ca</v>
          </cell>
          <cell r="E118">
            <v>0</v>
          </cell>
          <cell r="F118">
            <v>0</v>
          </cell>
          <cell r="G118">
            <v>216750</v>
          </cell>
          <cell r="H118">
            <v>265150</v>
          </cell>
          <cell r="I118" t="str">
            <v/>
          </cell>
          <cell r="J118">
            <v>265150</v>
          </cell>
        </row>
        <row r="119">
          <cell r="C119" t="str">
            <v>- Kích nâng 500T</v>
          </cell>
          <cell r="D119" t="str">
            <v>ca</v>
          </cell>
          <cell r="E119">
            <v>0</v>
          </cell>
          <cell r="F119">
            <v>0</v>
          </cell>
          <cell r="G119">
            <v>216750</v>
          </cell>
          <cell r="H119">
            <v>321800</v>
          </cell>
          <cell r="I119" t="str">
            <v/>
          </cell>
          <cell r="J119">
            <v>321800</v>
          </cell>
        </row>
        <row r="120">
          <cell r="C120" t="str">
            <v>- Xe thang chiều cao 9m</v>
          </cell>
          <cell r="D120" t="str">
            <v>ca</v>
          </cell>
          <cell r="E120">
            <v>25</v>
          </cell>
          <cell r="F120" t="str">
            <v>Lít diezel</v>
          </cell>
          <cell r="G120">
            <v>505750</v>
          </cell>
          <cell r="H120">
            <v>1518141</v>
          </cell>
          <cell r="I120">
            <v>125174.86363636359</v>
          </cell>
          <cell r="J120">
            <v>1643315.8636363635</v>
          </cell>
        </row>
        <row r="121">
          <cell r="C121" t="str">
            <v>- Xe nâng chiều cao 12m</v>
          </cell>
          <cell r="D121" t="str">
            <v>ca</v>
          </cell>
          <cell r="E121">
            <v>25</v>
          </cell>
          <cell r="F121" t="str">
            <v>Lít diezel</v>
          </cell>
          <cell r="G121">
            <v>505750</v>
          </cell>
          <cell r="H121">
            <v>1320893</v>
          </cell>
          <cell r="I121">
            <v>125174.86363636359</v>
          </cell>
          <cell r="J121">
            <v>1446067.8636363635</v>
          </cell>
        </row>
        <row r="122">
          <cell r="C122" t="str">
            <v>M104.0000. MÁY SẢN XUẤT VẬT LIỆU XÂY DỰNG</v>
          </cell>
          <cell r="D122">
            <v>0</v>
          </cell>
          <cell r="E122">
            <v>0</v>
          </cell>
          <cell r="F122">
            <v>0</v>
          </cell>
          <cell r="G122">
            <v>0</v>
          </cell>
          <cell r="H122">
            <v>0</v>
          </cell>
          <cell r="I122">
            <v>0</v>
          </cell>
          <cell r="J122">
            <v>0</v>
          </cell>
        </row>
        <row r="123">
          <cell r="C123" t="str">
            <v>Máy trộn bêtông - dung tích:</v>
          </cell>
          <cell r="D123">
            <v>0</v>
          </cell>
          <cell r="E123">
            <v>0</v>
          </cell>
          <cell r="F123">
            <v>0</v>
          </cell>
          <cell r="G123">
            <v>0</v>
          </cell>
          <cell r="H123">
            <v>0</v>
          </cell>
          <cell r="I123">
            <v>0</v>
          </cell>
          <cell r="J123">
            <v>0</v>
          </cell>
        </row>
        <row r="124">
          <cell r="C124" t="str">
            <v>- Máy trộn BT 250l</v>
          </cell>
          <cell r="D124" t="str">
            <v>ca</v>
          </cell>
          <cell r="E124">
            <v>11</v>
          </cell>
          <cell r="F124" t="str">
            <v>Kwh</v>
          </cell>
          <cell r="G124">
            <v>183600</v>
          </cell>
          <cell r="H124">
            <v>227750</v>
          </cell>
          <cell r="I124">
            <v>1117.5912000000012</v>
          </cell>
          <cell r="J124">
            <v>228867.5912</v>
          </cell>
        </row>
        <row r="125">
          <cell r="C125" t="str">
            <v>- Máy trộn BT 500 lít</v>
          </cell>
          <cell r="D125" t="str">
            <v>ca</v>
          </cell>
          <cell r="E125">
            <v>34</v>
          </cell>
          <cell r="F125" t="str">
            <v>Kwh</v>
          </cell>
          <cell r="G125">
            <v>216750</v>
          </cell>
          <cell r="H125">
            <v>307977</v>
          </cell>
          <cell r="I125">
            <v>3454.3728000000037</v>
          </cell>
          <cell r="J125">
            <v>311431.37280000001</v>
          </cell>
        </row>
        <row r="126">
          <cell r="C126" t="str">
            <v>Máy trộn vữa - dung tích:</v>
          </cell>
          <cell r="D126">
            <v>0</v>
          </cell>
          <cell r="E126">
            <v>0</v>
          </cell>
          <cell r="F126">
            <v>0</v>
          </cell>
          <cell r="G126">
            <v>0</v>
          </cell>
          <cell r="H126">
            <v>0</v>
          </cell>
          <cell r="I126">
            <v>0</v>
          </cell>
          <cell r="J126">
            <v>0</v>
          </cell>
        </row>
        <row r="127">
          <cell r="C127" t="str">
            <v>- Máy trộn vữa 80 lít</v>
          </cell>
          <cell r="D127" t="str">
            <v>ca</v>
          </cell>
          <cell r="E127">
            <v>5</v>
          </cell>
          <cell r="F127" t="str">
            <v>Kwh</v>
          </cell>
          <cell r="G127">
            <v>183600</v>
          </cell>
          <cell r="H127">
            <v>221633</v>
          </cell>
          <cell r="I127">
            <v>507.99600000000055</v>
          </cell>
          <cell r="J127">
            <v>222140.99600000001</v>
          </cell>
        </row>
        <row r="128">
          <cell r="C128" t="str">
            <v>- Máy trộn vữa 150,0 lít</v>
          </cell>
          <cell r="D128" t="str">
            <v>ca</v>
          </cell>
          <cell r="E128">
            <v>8</v>
          </cell>
          <cell r="F128" t="str">
            <v>Kwh</v>
          </cell>
          <cell r="G128">
            <v>183600</v>
          </cell>
          <cell r="H128">
            <v>238173</v>
          </cell>
          <cell r="I128">
            <v>812.79360000000088</v>
          </cell>
          <cell r="J128">
            <v>238985.7936</v>
          </cell>
        </row>
        <row r="129">
          <cell r="C129" t="str">
            <v>- Máy trộn vữa 250,0 lít</v>
          </cell>
          <cell r="D129" t="str">
            <v>ca</v>
          </cell>
          <cell r="E129">
            <v>11</v>
          </cell>
          <cell r="F129" t="str">
            <v>Kwh</v>
          </cell>
          <cell r="G129">
            <v>183600</v>
          </cell>
          <cell r="H129">
            <v>254845</v>
          </cell>
          <cell r="I129">
            <v>1117.5912000000012</v>
          </cell>
          <cell r="J129">
            <v>255962.5912</v>
          </cell>
        </row>
        <row r="130">
          <cell r="C130" t="str">
            <v>Trạm trộn bêtông - năng suất:</v>
          </cell>
          <cell r="D130">
            <v>0</v>
          </cell>
          <cell r="E130">
            <v>0</v>
          </cell>
          <cell r="F130">
            <v>0</v>
          </cell>
          <cell r="G130">
            <v>0</v>
          </cell>
          <cell r="H130">
            <v>0</v>
          </cell>
          <cell r="I130">
            <v>0</v>
          </cell>
          <cell r="J130">
            <v>0</v>
          </cell>
        </row>
        <row r="131">
          <cell r="C131" t="str">
            <v>- Trạm trộn bêtông 16,0 m3/h</v>
          </cell>
          <cell r="D131" t="str">
            <v>ca</v>
          </cell>
          <cell r="E131">
            <v>92</v>
          </cell>
          <cell r="F131" t="str">
            <v>kWh</v>
          </cell>
          <cell r="G131">
            <v>439450</v>
          </cell>
          <cell r="H131">
            <v>11564906</v>
          </cell>
          <cell r="I131">
            <v>9347.1264000000083</v>
          </cell>
          <cell r="J131">
            <v>11574253.126399999</v>
          </cell>
        </row>
        <row r="132">
          <cell r="C132" t="str">
            <v>- Trạm trộn bêtông 25,0 m3/h</v>
          </cell>
          <cell r="D132" t="str">
            <v>ca</v>
          </cell>
          <cell r="E132">
            <v>116</v>
          </cell>
          <cell r="F132" t="str">
            <v>kWh</v>
          </cell>
          <cell r="G132">
            <v>439450</v>
          </cell>
          <cell r="H132">
            <v>1976292</v>
          </cell>
          <cell r="I132">
            <v>11785.507200000013</v>
          </cell>
          <cell r="J132">
            <v>1988077.5072000001</v>
          </cell>
        </row>
        <row r="133">
          <cell r="C133" t="str">
            <v>- Trạm trộn bêtông 30,0 m3/h</v>
          </cell>
          <cell r="D133" t="str">
            <v>ca</v>
          </cell>
          <cell r="E133">
            <v>172</v>
          </cell>
          <cell r="F133" t="str">
            <v>kWh</v>
          </cell>
          <cell r="G133">
            <v>623050</v>
          </cell>
          <cell r="H133">
            <v>2607209</v>
          </cell>
          <cell r="I133">
            <v>17475.062400000017</v>
          </cell>
          <cell r="J133">
            <v>2624684.0624000002</v>
          </cell>
        </row>
        <row r="134">
          <cell r="C134" t="str">
            <v>- Trạm trộn bêtông 50,0 m3/h</v>
          </cell>
          <cell r="D134" t="str">
            <v>ca</v>
          </cell>
          <cell r="E134">
            <v>198</v>
          </cell>
          <cell r="F134" t="str">
            <v>kWh</v>
          </cell>
          <cell r="G134">
            <v>623050</v>
          </cell>
          <cell r="H134">
            <v>3662590</v>
          </cell>
          <cell r="I134">
            <v>20116.641600000021</v>
          </cell>
          <cell r="J134">
            <v>3682706.6416000002</v>
          </cell>
        </row>
        <row r="135">
          <cell r="C135" t="str">
            <v>- Trạm trộn bêtông 75,0 m3/h</v>
          </cell>
          <cell r="D135" t="str">
            <v>ca</v>
          </cell>
          <cell r="E135">
            <v>418</v>
          </cell>
          <cell r="F135" t="str">
            <v>kWh</v>
          </cell>
          <cell r="G135">
            <v>886550</v>
          </cell>
          <cell r="H135">
            <v>4870646</v>
          </cell>
          <cell r="I135">
            <v>42468.46560000004</v>
          </cell>
          <cell r="J135">
            <v>4913114.4655999998</v>
          </cell>
        </row>
        <row r="136">
          <cell r="C136" t="str">
            <v>- Trạm trộn bêtông 125,0 m3/h</v>
          </cell>
          <cell r="D136" t="str">
            <v>ca</v>
          </cell>
          <cell r="E136">
            <v>446</v>
          </cell>
          <cell r="F136" t="str">
            <v>kWh</v>
          </cell>
          <cell r="G136">
            <v>886550</v>
          </cell>
          <cell r="H136">
            <v>7087140</v>
          </cell>
          <cell r="I136">
            <v>45313.243200000048</v>
          </cell>
          <cell r="J136">
            <v>7132453.2432000004</v>
          </cell>
        </row>
        <row r="137">
          <cell r="C137" t="str">
            <v>- Trạm trộn bêtông 160,0 m3/h</v>
          </cell>
          <cell r="D137" t="str">
            <v>ca</v>
          </cell>
          <cell r="E137">
            <v>553</v>
          </cell>
          <cell r="F137" t="str">
            <v>kWh</v>
          </cell>
          <cell r="G137">
            <v>1070150</v>
          </cell>
          <cell r="H137">
            <v>7655130</v>
          </cell>
          <cell r="I137">
            <v>56184.357600000061</v>
          </cell>
          <cell r="J137">
            <v>7711314.3575999998</v>
          </cell>
        </row>
        <row r="138">
          <cell r="C138" t="str">
            <v>Trạm trộn bêtông asphan - năng suất</v>
          </cell>
          <cell r="D138">
            <v>0</v>
          </cell>
          <cell r="E138">
            <v>0</v>
          </cell>
          <cell r="F138">
            <v>0</v>
          </cell>
          <cell r="G138">
            <v>0</v>
          </cell>
          <cell r="H138">
            <v>0</v>
          </cell>
          <cell r="I138" t="str">
            <v/>
          </cell>
          <cell r="J138">
            <v>0</v>
          </cell>
        </row>
        <row r="139">
          <cell r="C139" t="str">
            <v>- Trạm trộn 25,0 T/h</v>
          </cell>
          <cell r="D139" t="str">
            <v>ca</v>
          </cell>
          <cell r="E139">
            <v>210</v>
          </cell>
          <cell r="F139" t="str">
            <v>Kwh</v>
          </cell>
          <cell r="G139">
            <v>2671550</v>
          </cell>
          <cell r="H139">
            <v>7818999</v>
          </cell>
          <cell r="I139">
            <v>21335.83200000002</v>
          </cell>
          <cell r="J139">
            <v>7840334.8320000004</v>
          </cell>
        </row>
        <row r="140">
          <cell r="C140" t="str">
            <v>- Trạm trộn 50,0 T/h</v>
          </cell>
          <cell r="D140" t="str">
            <v>ca</v>
          </cell>
          <cell r="E140">
            <v>300</v>
          </cell>
          <cell r="F140" t="str">
            <v>Kwh</v>
          </cell>
          <cell r="G140">
            <v>3327750</v>
          </cell>
          <cell r="H140">
            <v>8939475</v>
          </cell>
          <cell r="I140">
            <v>30479.760000000031</v>
          </cell>
          <cell r="J140">
            <v>8969954.7599999998</v>
          </cell>
        </row>
        <row r="141">
          <cell r="C141" t="str">
            <v>- Trạm trộn 60,0 T/h</v>
          </cell>
          <cell r="D141" t="str">
            <v>ca</v>
          </cell>
          <cell r="E141">
            <v>324</v>
          </cell>
          <cell r="F141" t="str">
            <v>Kwh</v>
          </cell>
          <cell r="G141">
            <v>3327750</v>
          </cell>
          <cell r="H141">
            <v>9440909</v>
          </cell>
          <cell r="I141">
            <v>32918.140800000037</v>
          </cell>
          <cell r="J141">
            <v>9473827.1407999992</v>
          </cell>
        </row>
        <row r="142">
          <cell r="C142" t="str">
            <v>- Trạm trộn 80T/h</v>
          </cell>
          <cell r="D142" t="str">
            <v>ca</v>
          </cell>
          <cell r="E142">
            <v>384</v>
          </cell>
          <cell r="F142" t="str">
            <v>Kwh</v>
          </cell>
          <cell r="G142">
            <v>3327750</v>
          </cell>
          <cell r="H142">
            <v>9249628</v>
          </cell>
          <cell r="I142">
            <v>39014.092800000042</v>
          </cell>
          <cell r="J142">
            <v>9288642.0928000007</v>
          </cell>
        </row>
        <row r="143">
          <cell r="C143" t="str">
            <v>M105.0000. MÁY VÀ THIẾT BỊ THI CÔNG MẶT ĐƯỜNG</v>
          </cell>
          <cell r="D143">
            <v>0</v>
          </cell>
          <cell r="E143">
            <v>0</v>
          </cell>
          <cell r="F143">
            <v>0</v>
          </cell>
          <cell r="G143">
            <v>0</v>
          </cell>
          <cell r="H143">
            <v>0</v>
          </cell>
          <cell r="I143">
            <v>0</v>
          </cell>
          <cell r="J143">
            <v>0</v>
          </cell>
        </row>
        <row r="144">
          <cell r="C144" t="str">
            <v>Máy phun nhựa đường - công suất</v>
          </cell>
          <cell r="D144">
            <v>0</v>
          </cell>
          <cell r="E144">
            <v>0</v>
          </cell>
          <cell r="F144">
            <v>0</v>
          </cell>
          <cell r="G144">
            <v>0</v>
          </cell>
          <cell r="H144">
            <v>0</v>
          </cell>
          <cell r="I144">
            <v>0</v>
          </cell>
          <cell r="J144">
            <v>0</v>
          </cell>
        </row>
        <row r="145">
          <cell r="C145" t="str">
            <v>- Máy phun nhựa đường</v>
          </cell>
          <cell r="D145" t="str">
            <v>ca</v>
          </cell>
          <cell r="E145">
            <v>57</v>
          </cell>
          <cell r="F145" t="str">
            <v>lít diezel</v>
          </cell>
          <cell r="G145">
            <v>505750</v>
          </cell>
          <cell r="H145">
            <v>2791454</v>
          </cell>
          <cell r="I145">
            <v>285398.68909090903</v>
          </cell>
          <cell r="J145">
            <v>3076852.689090909</v>
          </cell>
        </row>
        <row r="146">
          <cell r="C146" t="str">
            <v>Máy rải hỗn hợp bê tông nhựa - năng suất:</v>
          </cell>
          <cell r="D146">
            <v>0</v>
          </cell>
          <cell r="E146">
            <v>0</v>
          </cell>
          <cell r="F146">
            <v>0</v>
          </cell>
          <cell r="G146">
            <v>0</v>
          </cell>
          <cell r="H146">
            <v>0</v>
          </cell>
          <cell r="I146">
            <v>0</v>
          </cell>
          <cell r="J146">
            <v>0</v>
          </cell>
        </row>
        <row r="147">
          <cell r="C147" t="str">
            <v>- Máy rải bêtông 65,0 T/h</v>
          </cell>
          <cell r="D147" t="str">
            <v>ca</v>
          </cell>
          <cell r="E147">
            <v>34</v>
          </cell>
          <cell r="F147" t="str">
            <v>lít diezel</v>
          </cell>
          <cell r="G147">
            <v>439450</v>
          </cell>
          <cell r="H147">
            <v>2754524</v>
          </cell>
          <cell r="I147">
            <v>170237.81454545449</v>
          </cell>
          <cell r="J147">
            <v>2924761.8145454545</v>
          </cell>
        </row>
        <row r="148">
          <cell r="C148" t="str">
            <v>- Máy rải bêtông 100,0 T/h</v>
          </cell>
          <cell r="D148" t="str">
            <v>ca</v>
          </cell>
          <cell r="E148">
            <v>50</v>
          </cell>
          <cell r="F148" t="str">
            <v>lít diezel</v>
          </cell>
          <cell r="G148">
            <v>439450</v>
          </cell>
          <cell r="H148">
            <v>3290495</v>
          </cell>
          <cell r="I148">
            <v>250349.72727272718</v>
          </cell>
          <cell r="J148">
            <v>3540844.7272727271</v>
          </cell>
        </row>
        <row r="149">
          <cell r="C149" t="str">
            <v>- Máy rải 130-140CV</v>
          </cell>
          <cell r="D149" t="str">
            <v>ca</v>
          </cell>
          <cell r="E149">
            <v>63</v>
          </cell>
          <cell r="F149" t="str">
            <v>lít diezel</v>
          </cell>
          <cell r="G149">
            <v>439450</v>
          </cell>
          <cell r="H149">
            <v>5192817</v>
          </cell>
          <cell r="I149">
            <v>315440.65636363626</v>
          </cell>
          <cell r="J149">
            <v>5508257.6563636363</v>
          </cell>
        </row>
        <row r="150">
          <cell r="C150" t="str">
            <v>- Máy rải CPĐD 60m3/h</v>
          </cell>
          <cell r="D150" t="str">
            <v>ca</v>
          </cell>
          <cell r="E150">
            <v>30</v>
          </cell>
          <cell r="F150" t="str">
            <v>lít diezel</v>
          </cell>
          <cell r="G150">
            <v>439450</v>
          </cell>
          <cell r="H150">
            <v>3585487</v>
          </cell>
          <cell r="I150">
            <v>150209.83636363634</v>
          </cell>
          <cell r="J150">
            <v>3735696.8363636364</v>
          </cell>
        </row>
        <row r="151">
          <cell r="C151" t="str">
            <v>- Máy cào bóc Wirtgen C1000</v>
          </cell>
          <cell r="D151" t="str">
            <v>ca</v>
          </cell>
          <cell r="E151">
            <v>92</v>
          </cell>
          <cell r="F151" t="str">
            <v>lít diezel</v>
          </cell>
          <cell r="G151">
            <v>255850</v>
          </cell>
          <cell r="H151">
            <v>4653281</v>
          </cell>
          <cell r="I151">
            <v>460643.49818181805</v>
          </cell>
          <cell r="J151">
            <v>5113924.4981818181</v>
          </cell>
        </row>
        <row r="152">
          <cell r="C152" t="str">
            <v>- Thiết bị sơn kẻ vạch YHK10A</v>
          </cell>
          <cell r="D152" t="str">
            <v>ca</v>
          </cell>
          <cell r="E152">
            <v>0</v>
          </cell>
          <cell r="F152">
            <v>0</v>
          </cell>
          <cell r="G152">
            <v>216750</v>
          </cell>
          <cell r="H152">
            <v>294535</v>
          </cell>
          <cell r="I152" t="str">
            <v/>
          </cell>
          <cell r="J152">
            <v>294535</v>
          </cell>
        </row>
        <row r="153">
          <cell r="C153" t="str">
            <v>- Lò nấu sơn YHK 3A</v>
          </cell>
          <cell r="D153" t="str">
            <v>ca</v>
          </cell>
          <cell r="E153">
            <v>11</v>
          </cell>
          <cell r="F153" t="str">
            <v>lít diezel</v>
          </cell>
          <cell r="G153">
            <v>216750</v>
          </cell>
          <cell r="H153">
            <v>740535</v>
          </cell>
          <cell r="I153">
            <v>55076.939999999988</v>
          </cell>
          <cell r="J153">
            <v>795611.94</v>
          </cell>
        </row>
        <row r="154">
          <cell r="C154" t="str">
            <v>- Nồi nấu nhựa</v>
          </cell>
          <cell r="D154" t="str">
            <v>ca</v>
          </cell>
          <cell r="E154">
            <v>0</v>
          </cell>
          <cell r="F154">
            <v>0</v>
          </cell>
          <cell r="G154">
            <v>216750</v>
          </cell>
          <cell r="H154">
            <v>304324</v>
          </cell>
          <cell r="I154" t="str">
            <v/>
          </cell>
          <cell r="J154">
            <v>304324</v>
          </cell>
        </row>
        <row r="155">
          <cell r="C155" t="str">
            <v>M106.0000. PHƯƠNG TIỆN VẬN TẢI ĐƯỜNG BỘ</v>
          </cell>
          <cell r="D155">
            <v>0</v>
          </cell>
          <cell r="E155">
            <v>0</v>
          </cell>
          <cell r="F155">
            <v>0</v>
          </cell>
          <cell r="G155">
            <v>0</v>
          </cell>
          <cell r="H155">
            <v>0</v>
          </cell>
          <cell r="I155">
            <v>0</v>
          </cell>
          <cell r="J155">
            <v>0</v>
          </cell>
        </row>
        <row r="156">
          <cell r="C156" t="str">
            <v>Ôtô vận tải thùng  - trọng tải</v>
          </cell>
          <cell r="D156">
            <v>0</v>
          </cell>
          <cell r="E156">
            <v>0</v>
          </cell>
          <cell r="F156">
            <v>0</v>
          </cell>
          <cell r="G156">
            <v>0</v>
          </cell>
          <cell r="H156">
            <v>0</v>
          </cell>
          <cell r="I156">
            <v>0</v>
          </cell>
          <cell r="J156">
            <v>0</v>
          </cell>
        </row>
        <row r="157">
          <cell r="C157" t="str">
            <v>- Ôtô vận tải 2,0T</v>
          </cell>
          <cell r="D157" t="str">
            <v>ca</v>
          </cell>
          <cell r="E157">
            <v>12</v>
          </cell>
          <cell r="F157" t="str">
            <v>lít xăng</v>
          </cell>
          <cell r="G157">
            <v>218450</v>
          </cell>
          <cell r="H157">
            <v>600587</v>
          </cell>
          <cell r="I157">
            <v>40217.465454545425</v>
          </cell>
          <cell r="J157">
            <v>640804.46545454545</v>
          </cell>
        </row>
        <row r="158">
          <cell r="C158" t="str">
            <v>- Ôtô chứa nhiên liệu 2,5 tấn</v>
          </cell>
          <cell r="D158" t="str">
            <v>ca</v>
          </cell>
          <cell r="E158">
            <v>13</v>
          </cell>
          <cell r="F158" t="str">
            <v>lít xăng</v>
          </cell>
          <cell r="G158">
            <v>218450</v>
          </cell>
          <cell r="H158">
            <v>647704</v>
          </cell>
          <cell r="I158">
            <v>43568.92090909087</v>
          </cell>
          <cell r="J158">
            <v>691272.9209090909</v>
          </cell>
        </row>
        <row r="159">
          <cell r="C159" t="str">
            <v>- Ô tô tải 2,5T</v>
          </cell>
          <cell r="D159" t="str">
            <v>ca</v>
          </cell>
          <cell r="E159">
            <v>13</v>
          </cell>
          <cell r="F159" t="str">
            <v>lít xăng</v>
          </cell>
          <cell r="G159">
            <v>218450</v>
          </cell>
          <cell r="H159">
            <v>647704</v>
          </cell>
          <cell r="I159">
            <v>43568.92090909087</v>
          </cell>
          <cell r="J159">
            <v>691272.9209090909</v>
          </cell>
        </row>
        <row r="160">
          <cell r="C160" t="str">
            <v>- Ôtô vận tải 5,0T</v>
          </cell>
          <cell r="D160" t="str">
            <v>ca</v>
          </cell>
          <cell r="E160">
            <v>25</v>
          </cell>
          <cell r="F160" t="str">
            <v>lít diezel</v>
          </cell>
          <cell r="G160">
            <v>218450</v>
          </cell>
          <cell r="H160">
            <v>849918</v>
          </cell>
          <cell r="I160">
            <v>125174.86363636359</v>
          </cell>
          <cell r="J160">
            <v>975092.86363636353</v>
          </cell>
        </row>
        <row r="161">
          <cell r="C161" t="str">
            <v>- Ôtô vận tải 7,0T</v>
          </cell>
          <cell r="D161" t="str">
            <v>ca</v>
          </cell>
          <cell r="E161">
            <v>31</v>
          </cell>
          <cell r="F161" t="str">
            <v>lít diezel</v>
          </cell>
          <cell r="G161">
            <v>218450</v>
          </cell>
          <cell r="H161">
            <v>1037420</v>
          </cell>
          <cell r="I161">
            <v>155216.83090909087</v>
          </cell>
          <cell r="J161">
            <v>1192636.8309090908</v>
          </cell>
        </row>
        <row r="162">
          <cell r="C162" t="str">
            <v>- Ôtô vận tải 10,0T</v>
          </cell>
          <cell r="D162" t="str">
            <v>ca</v>
          </cell>
          <cell r="E162">
            <v>38</v>
          </cell>
          <cell r="F162" t="str">
            <v>lít diezel</v>
          </cell>
          <cell r="G162">
            <v>249900</v>
          </cell>
          <cell r="H162">
            <v>1273777</v>
          </cell>
          <cell r="I162">
            <v>190265.79272727267</v>
          </cell>
          <cell r="J162">
            <v>1464042.7927272727</v>
          </cell>
        </row>
        <row r="163">
          <cell r="C163" t="str">
            <v>- Ô tô tải 12T</v>
          </cell>
          <cell r="D163" t="str">
            <v>ca</v>
          </cell>
          <cell r="E163">
            <v>41</v>
          </cell>
          <cell r="F163" t="str">
            <v>lít diezel</v>
          </cell>
          <cell r="G163">
            <v>292400</v>
          </cell>
          <cell r="H163">
            <v>1398768</v>
          </cell>
          <cell r="I163">
            <v>205286.77636363631</v>
          </cell>
          <cell r="J163">
            <v>1604054.7763636364</v>
          </cell>
        </row>
        <row r="164">
          <cell r="C164" t="str">
            <v>- Ôtô vận tải 15T</v>
          </cell>
          <cell r="D164" t="str">
            <v>ca</v>
          </cell>
          <cell r="E164">
            <v>46</v>
          </cell>
          <cell r="F164" t="str">
            <v>lít diezel</v>
          </cell>
          <cell r="G164">
            <v>292400</v>
          </cell>
          <cell r="H164">
            <v>1596488</v>
          </cell>
          <cell r="I164">
            <v>230321.74909090903</v>
          </cell>
          <cell r="J164">
            <v>1826809.749090909</v>
          </cell>
        </row>
        <row r="165">
          <cell r="C165" t="str">
            <v>- Ôtô vận tải 20T</v>
          </cell>
          <cell r="D165" t="str">
            <v>ca</v>
          </cell>
          <cell r="E165">
            <v>56</v>
          </cell>
          <cell r="F165" t="str">
            <v>lít diezel</v>
          </cell>
          <cell r="G165">
            <v>292400</v>
          </cell>
          <cell r="H165">
            <v>2118422</v>
          </cell>
          <cell r="I165">
            <v>280391.69454545446</v>
          </cell>
          <cell r="J165">
            <v>2398813.6945454543</v>
          </cell>
        </row>
        <row r="166">
          <cell r="C166" t="str">
            <v>Ôtô tự đổ - trọng tải:</v>
          </cell>
          <cell r="D166">
            <v>0</v>
          </cell>
          <cell r="E166">
            <v>0</v>
          </cell>
          <cell r="F166">
            <v>0</v>
          </cell>
          <cell r="G166">
            <v>0</v>
          </cell>
          <cell r="H166">
            <v>0</v>
          </cell>
          <cell r="I166">
            <v>0</v>
          </cell>
          <cell r="J166">
            <v>0</v>
          </cell>
        </row>
        <row r="167">
          <cell r="C167" t="str">
            <v>- Ôtô tự đổ 5,0T</v>
          </cell>
          <cell r="D167" t="str">
            <v>ca</v>
          </cell>
          <cell r="E167">
            <v>41</v>
          </cell>
          <cell r="F167" t="str">
            <v>lít diezel</v>
          </cell>
          <cell r="G167">
            <v>218450</v>
          </cell>
          <cell r="H167">
            <v>1070007</v>
          </cell>
          <cell r="I167">
            <v>205286.77636363631</v>
          </cell>
          <cell r="J167">
            <v>1275293.7763636364</v>
          </cell>
        </row>
        <row r="168">
          <cell r="C168" t="str">
            <v>- Ôtô chở phế thải 7 tấn</v>
          </cell>
          <cell r="D168" t="str">
            <v>ca</v>
          </cell>
          <cell r="E168">
            <v>46</v>
          </cell>
          <cell r="F168" t="str">
            <v>lít diezel</v>
          </cell>
          <cell r="G168">
            <v>218450</v>
          </cell>
          <cell r="H168">
            <v>1201674</v>
          </cell>
          <cell r="I168">
            <v>230321.74909090903</v>
          </cell>
          <cell r="J168">
            <v>1431995.749090909</v>
          </cell>
        </row>
        <row r="169">
          <cell r="C169" t="str">
            <v>- Ôtô tự đổ 7T</v>
          </cell>
          <cell r="D169" t="str">
            <v>ca</v>
          </cell>
          <cell r="E169">
            <v>46</v>
          </cell>
          <cell r="F169" t="str">
            <v>lít diezel</v>
          </cell>
          <cell r="G169">
            <v>218450</v>
          </cell>
          <cell r="H169">
            <v>1201674</v>
          </cell>
          <cell r="I169">
            <v>230321.74909090903</v>
          </cell>
          <cell r="J169">
            <v>1431995.749090909</v>
          </cell>
        </row>
        <row r="170">
          <cell r="C170" t="str">
            <v>- Ô tô tự đổ 10T</v>
          </cell>
          <cell r="D170" t="str">
            <v>ca</v>
          </cell>
          <cell r="E170">
            <v>57</v>
          </cell>
          <cell r="F170" t="str">
            <v>lít diezel</v>
          </cell>
          <cell r="G170">
            <v>249900</v>
          </cell>
          <cell r="H170">
            <v>1574992</v>
          </cell>
          <cell r="I170">
            <v>285398.68909090903</v>
          </cell>
          <cell r="J170">
            <v>1860390.689090909</v>
          </cell>
        </row>
        <row r="171">
          <cell r="C171" t="str">
            <v>- Ô tô tự đổ 12T</v>
          </cell>
          <cell r="D171" t="str">
            <v>ca</v>
          </cell>
          <cell r="E171">
            <v>65</v>
          </cell>
          <cell r="F171" t="str">
            <v>lít diezel</v>
          </cell>
          <cell r="G171">
            <v>292400</v>
          </cell>
          <cell r="H171">
            <v>1812612</v>
          </cell>
          <cell r="I171">
            <v>325454.64545454533</v>
          </cell>
          <cell r="J171">
            <v>2138066.6454545455</v>
          </cell>
        </row>
        <row r="172">
          <cell r="C172" t="str">
            <v>- Ôtô tự đổ 22,0T</v>
          </cell>
          <cell r="D172" t="str">
            <v>ca</v>
          </cell>
          <cell r="E172">
            <v>77</v>
          </cell>
          <cell r="F172" t="str">
            <v>lít diezel</v>
          </cell>
          <cell r="G172">
            <v>292400</v>
          </cell>
          <cell r="H172">
            <v>2595095</v>
          </cell>
          <cell r="I172">
            <v>385538.5799999999</v>
          </cell>
          <cell r="J172">
            <v>2980633.58</v>
          </cell>
        </row>
        <row r="173">
          <cell r="C173" t="str">
            <v>- Ôtô tự đổ 25,0T</v>
          </cell>
          <cell r="D173" t="str">
            <v>ca</v>
          </cell>
          <cell r="E173">
            <v>81</v>
          </cell>
          <cell r="F173" t="str">
            <v>lít diezel</v>
          </cell>
          <cell r="G173">
            <v>349350</v>
          </cell>
          <cell r="H173">
            <v>3001504</v>
          </cell>
          <cell r="I173">
            <v>405566.55818181805</v>
          </cell>
          <cell r="J173">
            <v>3407070.5581818181</v>
          </cell>
        </row>
        <row r="174">
          <cell r="C174" t="str">
            <v>- Ôtô tự đổ 27,0T</v>
          </cell>
          <cell r="D174" t="str">
            <v>ca</v>
          </cell>
          <cell r="E174">
            <v>86</v>
          </cell>
          <cell r="F174" t="str">
            <v>lít diezel</v>
          </cell>
          <cell r="G174">
            <v>349350</v>
          </cell>
          <cell r="H174">
            <v>3346934</v>
          </cell>
          <cell r="I174">
            <v>430601.53090909077</v>
          </cell>
          <cell r="J174">
            <v>3777535.5309090908</v>
          </cell>
        </row>
        <row r="175">
          <cell r="C175" t="str">
            <v>Ôtô chuyển trộn bê tông - dung tích thùng trộn</v>
          </cell>
          <cell r="D175">
            <v>0</v>
          </cell>
          <cell r="E175">
            <v>0</v>
          </cell>
          <cell r="F175">
            <v>0</v>
          </cell>
          <cell r="G175">
            <v>0</v>
          </cell>
          <cell r="H175">
            <v>0</v>
          </cell>
          <cell r="I175">
            <v>0</v>
          </cell>
          <cell r="J175">
            <v>0</v>
          </cell>
        </row>
        <row r="176">
          <cell r="C176" t="str">
            <v xml:space="preserve">- Ôtô trộn bê tông 6,0m3 </v>
          </cell>
          <cell r="D176" t="str">
            <v>ca</v>
          </cell>
          <cell r="E176">
            <v>43</v>
          </cell>
          <cell r="F176" t="str">
            <v>lít diezel</v>
          </cell>
          <cell r="G176">
            <v>505750</v>
          </cell>
          <cell r="H176">
            <v>1942750</v>
          </cell>
          <cell r="I176">
            <v>215300.76545454538</v>
          </cell>
          <cell r="J176">
            <v>2158050.7654545456</v>
          </cell>
        </row>
        <row r="177">
          <cell r="C177" t="str">
            <v xml:space="preserve">- Ôtô trộn bê tông 10,7m3 </v>
          </cell>
          <cell r="D177" t="str">
            <v>ca</v>
          </cell>
          <cell r="E177">
            <v>64</v>
          </cell>
          <cell r="F177" t="str">
            <v>lít diezel</v>
          </cell>
          <cell r="G177">
            <v>505750</v>
          </cell>
          <cell r="H177">
            <v>3547946</v>
          </cell>
          <cell r="I177">
            <v>320447.65090909082</v>
          </cell>
          <cell r="J177">
            <v>3868393.6509090909</v>
          </cell>
        </row>
        <row r="178">
          <cell r="C178" t="str">
            <v xml:space="preserve">- Ôtô trộn bê tông 14,5m3 </v>
          </cell>
          <cell r="D178" t="str">
            <v>ca</v>
          </cell>
          <cell r="E178">
            <v>70</v>
          </cell>
          <cell r="F178" t="str">
            <v>lít diezel</v>
          </cell>
          <cell r="G178">
            <v>603500</v>
          </cell>
          <cell r="H178">
            <v>4553644</v>
          </cell>
          <cell r="I178">
            <v>350489.61818181805</v>
          </cell>
          <cell r="J178">
            <v>4904133.6181818182</v>
          </cell>
        </row>
        <row r="179">
          <cell r="C179" t="str">
            <v>- Ô tô đầu kéo 272CV</v>
          </cell>
          <cell r="D179" t="str">
            <v>ca</v>
          </cell>
          <cell r="E179">
            <v>56</v>
          </cell>
          <cell r="F179" t="str">
            <v>lít diezel</v>
          </cell>
          <cell r="G179">
            <v>349350</v>
          </cell>
          <cell r="H179">
            <v>2062086</v>
          </cell>
          <cell r="I179">
            <v>280391.69454545446</v>
          </cell>
          <cell r="J179">
            <v>2342477.6945454543</v>
          </cell>
        </row>
        <row r="180">
          <cell r="C180" t="str">
            <v>- Ô tô đầu kéo 360CV</v>
          </cell>
          <cell r="D180" t="str">
            <v>ca</v>
          </cell>
          <cell r="E180">
            <v>68</v>
          </cell>
          <cell r="F180" t="str">
            <v>lít diezel</v>
          </cell>
          <cell r="G180">
            <v>349350</v>
          </cell>
          <cell r="H180">
            <v>2060040</v>
          </cell>
          <cell r="I180">
            <v>340475.62909090897</v>
          </cell>
          <cell r="J180">
            <v>2400515.6290909089</v>
          </cell>
        </row>
        <row r="181">
          <cell r="C181" t="str">
            <v>Ôtô tưới nước - dung tích</v>
          </cell>
          <cell r="D181">
            <v>0</v>
          </cell>
          <cell r="E181">
            <v>0</v>
          </cell>
          <cell r="F181">
            <v>0</v>
          </cell>
          <cell r="G181">
            <v>0</v>
          </cell>
          <cell r="H181">
            <v>0</v>
          </cell>
          <cell r="I181">
            <v>0</v>
          </cell>
          <cell r="J181">
            <v>0</v>
          </cell>
        </row>
        <row r="182">
          <cell r="C182" t="str">
            <v>- Ôtô tưới nước 4,0m3</v>
          </cell>
          <cell r="D182" t="str">
            <v>ca</v>
          </cell>
          <cell r="E182">
            <v>20</v>
          </cell>
          <cell r="F182" t="str">
            <v>lít diezel</v>
          </cell>
          <cell r="G182">
            <v>218450</v>
          </cell>
          <cell r="H182">
            <v>868863</v>
          </cell>
          <cell r="I182">
            <v>100139.89090909087</v>
          </cell>
          <cell r="J182">
            <v>969002.89090909087</v>
          </cell>
        </row>
        <row r="183">
          <cell r="C183" t="str">
            <v>- Ô tô tưới nước 5m3</v>
          </cell>
          <cell r="D183" t="str">
            <v>ca</v>
          </cell>
          <cell r="E183">
            <v>23</v>
          </cell>
          <cell r="F183" t="str">
            <v>lít diezel</v>
          </cell>
          <cell r="G183">
            <v>259250</v>
          </cell>
          <cell r="H183">
            <v>974985</v>
          </cell>
          <cell r="I183">
            <v>115160.87454545451</v>
          </cell>
          <cell r="J183">
            <v>1090145.8745454545</v>
          </cell>
        </row>
        <row r="184">
          <cell r="C184" t="str">
            <v>- Ôtô tưới nước 6,0m3</v>
          </cell>
          <cell r="D184" t="str">
            <v>ca</v>
          </cell>
          <cell r="E184">
            <v>24</v>
          </cell>
          <cell r="F184" t="str">
            <v>lít diezel</v>
          </cell>
          <cell r="G184">
            <v>259250</v>
          </cell>
          <cell r="H184">
            <v>1053708</v>
          </cell>
          <cell r="I184">
            <v>120167.86909090905</v>
          </cell>
          <cell r="J184">
            <v>1173875.8690909091</v>
          </cell>
        </row>
        <row r="185">
          <cell r="C185" t="str">
            <v>- Ôtô tưới nước 7,0m3</v>
          </cell>
          <cell r="D185" t="str">
            <v>ca</v>
          </cell>
          <cell r="E185">
            <v>26</v>
          </cell>
          <cell r="F185" t="str">
            <v>lít diezel</v>
          </cell>
          <cell r="G185">
            <v>259250</v>
          </cell>
          <cell r="H185">
            <v>1150394</v>
          </cell>
          <cell r="I185">
            <v>130181.85818181813</v>
          </cell>
          <cell r="J185">
            <v>1280575.8581818182</v>
          </cell>
        </row>
        <row r="186">
          <cell r="C186" t="str">
            <v>- Ôtô tưới nước 9,0m3</v>
          </cell>
          <cell r="D186" t="str">
            <v>ca</v>
          </cell>
          <cell r="E186">
            <v>27</v>
          </cell>
          <cell r="F186" t="str">
            <v>lít diezel</v>
          </cell>
          <cell r="G186">
            <v>292400</v>
          </cell>
          <cell r="H186">
            <v>1288283</v>
          </cell>
          <cell r="I186">
            <v>135188.85272727266</v>
          </cell>
          <cell r="J186">
            <v>1423471.8527272725</v>
          </cell>
        </row>
        <row r="187">
          <cell r="C187" t="str">
            <v>- Ôtô tưới nước 16,0m3</v>
          </cell>
          <cell r="D187" t="str">
            <v>ca</v>
          </cell>
          <cell r="E187">
            <v>35</v>
          </cell>
          <cell r="F187" t="str">
            <v>lít diezel</v>
          </cell>
          <cell r="G187">
            <v>292400</v>
          </cell>
          <cell r="H187">
            <v>1574166</v>
          </cell>
          <cell r="I187">
            <v>175244.80909090902</v>
          </cell>
          <cell r="J187">
            <v>1749410.8090909091</v>
          </cell>
        </row>
        <row r="188">
          <cell r="C188" t="str">
            <v>Rơ mooc - trọng tải</v>
          </cell>
          <cell r="D188" t="str">
            <v>ca</v>
          </cell>
          <cell r="E188">
            <v>0</v>
          </cell>
          <cell r="F188">
            <v>0</v>
          </cell>
          <cell r="G188">
            <v>0</v>
          </cell>
          <cell r="H188">
            <v>0</v>
          </cell>
          <cell r="I188" t="str">
            <v/>
          </cell>
          <cell r="J188">
            <v>0</v>
          </cell>
        </row>
        <row r="189">
          <cell r="C189" t="str">
            <v>- Rơ mooc 100,0T</v>
          </cell>
          <cell r="D189" t="str">
            <v>ca</v>
          </cell>
          <cell r="E189">
            <v>0</v>
          </cell>
          <cell r="F189">
            <v>0</v>
          </cell>
          <cell r="G189">
            <v>0</v>
          </cell>
          <cell r="H189">
            <v>0</v>
          </cell>
          <cell r="I189" t="str">
            <v/>
          </cell>
          <cell r="J189">
            <v>0</v>
          </cell>
        </row>
        <row r="190">
          <cell r="C190" t="str">
            <v>- Rơ mooc 125T</v>
          </cell>
          <cell r="D190" t="str">
            <v>ca</v>
          </cell>
          <cell r="E190">
            <v>0</v>
          </cell>
          <cell r="F190">
            <v>0</v>
          </cell>
          <cell r="G190">
            <v>0</v>
          </cell>
          <cell r="H190">
            <v>0</v>
          </cell>
          <cell r="I190" t="str">
            <v/>
          </cell>
          <cell r="J190">
            <v>0</v>
          </cell>
        </row>
        <row r="191">
          <cell r="C191" t="str">
            <v>M108.0000. MÁY VÀ THIẾT BỊ ĐỘNG LỰC</v>
          </cell>
          <cell r="D191">
            <v>0</v>
          </cell>
          <cell r="E191">
            <v>0</v>
          </cell>
          <cell r="F191">
            <v>0</v>
          </cell>
          <cell r="G191">
            <v>0</v>
          </cell>
          <cell r="H191">
            <v>0</v>
          </cell>
          <cell r="I191">
            <v>0</v>
          </cell>
          <cell r="J191">
            <v>0</v>
          </cell>
        </row>
        <row r="192">
          <cell r="C192" t="str">
            <v>Máy phát điện lưu động - công suất:</v>
          </cell>
          <cell r="D192">
            <v>0</v>
          </cell>
          <cell r="E192">
            <v>0</v>
          </cell>
          <cell r="F192">
            <v>0</v>
          </cell>
          <cell r="G192">
            <v>0</v>
          </cell>
          <cell r="H192">
            <v>0</v>
          </cell>
          <cell r="I192">
            <v>0</v>
          </cell>
          <cell r="J192">
            <v>0</v>
          </cell>
        </row>
        <row r="193">
          <cell r="C193" t="str">
            <v>- Máy phát điện 10,0 kW</v>
          </cell>
          <cell r="D193" t="str">
            <v>ca</v>
          </cell>
          <cell r="E193">
            <v>11</v>
          </cell>
          <cell r="F193" t="str">
            <v>Lít diezel</v>
          </cell>
          <cell r="G193">
            <v>183600</v>
          </cell>
          <cell r="H193">
            <v>383234</v>
          </cell>
          <cell r="I193">
            <v>55076.939999999988</v>
          </cell>
          <cell r="J193">
            <v>438310.94</v>
          </cell>
        </row>
        <row r="194">
          <cell r="C194" t="str">
            <v>- Máy phát điện 30,0 kW</v>
          </cell>
          <cell r="D194" t="str">
            <v>ca</v>
          </cell>
          <cell r="E194">
            <v>24</v>
          </cell>
          <cell r="F194" t="str">
            <v>Lít diezel</v>
          </cell>
          <cell r="G194">
            <v>183600</v>
          </cell>
          <cell r="H194">
            <v>607488</v>
          </cell>
          <cell r="I194">
            <v>120167.86909090905</v>
          </cell>
          <cell r="J194">
            <v>727655.86909090902</v>
          </cell>
        </row>
        <row r="195">
          <cell r="C195" t="str">
            <v>- Máy phát điện 50,0 kW</v>
          </cell>
          <cell r="D195" t="str">
            <v>ca</v>
          </cell>
          <cell r="E195">
            <v>36</v>
          </cell>
          <cell r="F195" t="str">
            <v>Lít diezel</v>
          </cell>
          <cell r="G195">
            <v>183600</v>
          </cell>
          <cell r="H195">
            <v>815754</v>
          </cell>
          <cell r="I195">
            <v>180251.80363636356</v>
          </cell>
          <cell r="J195">
            <v>996005.80363636359</v>
          </cell>
        </row>
        <row r="196">
          <cell r="C196" t="str">
            <v>- Máy phát điện 75,0 kW</v>
          </cell>
          <cell r="D196" t="str">
            <v>ca</v>
          </cell>
          <cell r="E196">
            <v>45</v>
          </cell>
          <cell r="F196" t="str">
            <v>Lít diezel</v>
          </cell>
          <cell r="G196">
            <v>216750</v>
          </cell>
          <cell r="H196">
            <v>1025567</v>
          </cell>
          <cell r="I196">
            <v>225314.75454545449</v>
          </cell>
          <cell r="J196">
            <v>1250881.7545454544</v>
          </cell>
        </row>
        <row r="197">
          <cell r="C197" t="str">
            <v>Máy nén khí, động cơ xăng - công suất:</v>
          </cell>
          <cell r="D197">
            <v>0</v>
          </cell>
          <cell r="E197">
            <v>0</v>
          </cell>
          <cell r="F197">
            <v>0</v>
          </cell>
          <cell r="G197">
            <v>0</v>
          </cell>
          <cell r="H197">
            <v>0</v>
          </cell>
          <cell r="I197" t="str">
            <v/>
          </cell>
          <cell r="J197">
            <v>0</v>
          </cell>
        </row>
        <row r="198">
          <cell r="C198" t="str">
            <v>- Máy nén khí 120,0m3/h</v>
          </cell>
          <cell r="D198" t="str">
            <v>ca</v>
          </cell>
          <cell r="E198">
            <v>14</v>
          </cell>
          <cell r="F198" t="str">
            <v>Lít xăng</v>
          </cell>
          <cell r="G198">
            <v>216750</v>
          </cell>
          <cell r="H198">
            <v>508021</v>
          </cell>
          <cell r="I198">
            <v>46920.376363636322</v>
          </cell>
          <cell r="J198">
            <v>554941.37636363634</v>
          </cell>
        </row>
        <row r="199">
          <cell r="C199" t="str">
            <v>- Máy nén khí 200,0m3/h</v>
          </cell>
          <cell r="D199" t="str">
            <v>ca</v>
          </cell>
          <cell r="E199">
            <v>24</v>
          </cell>
          <cell r="F199" t="str">
            <v>Lít xăng</v>
          </cell>
          <cell r="G199">
            <v>216750</v>
          </cell>
          <cell r="H199">
            <v>706285</v>
          </cell>
          <cell r="I199">
            <v>80434.93090909085</v>
          </cell>
          <cell r="J199">
            <v>786719.93090909091</v>
          </cell>
        </row>
        <row r="200">
          <cell r="C200" t="str">
            <v>- Máy nén khí 300,0m3/h</v>
          </cell>
          <cell r="D200" t="str">
            <v>ca</v>
          </cell>
          <cell r="E200">
            <v>33</v>
          </cell>
          <cell r="F200" t="str">
            <v>Lít xăng</v>
          </cell>
          <cell r="G200">
            <v>216750</v>
          </cell>
          <cell r="H200">
            <v>898909</v>
          </cell>
          <cell r="I200">
            <v>110598.0299999999</v>
          </cell>
          <cell r="J200">
            <v>1009507.0299999999</v>
          </cell>
        </row>
        <row r="201">
          <cell r="C201" t="str">
            <v>- Máy nén khí 600,0m3/h</v>
          </cell>
          <cell r="D201" t="str">
            <v>ca</v>
          </cell>
          <cell r="E201">
            <v>46</v>
          </cell>
          <cell r="F201" t="str">
            <v>Lít xăng</v>
          </cell>
          <cell r="G201">
            <v>216750</v>
          </cell>
          <cell r="H201">
            <v>1315032</v>
          </cell>
          <cell r="I201">
            <v>154166.95090909078</v>
          </cell>
          <cell r="J201">
            <v>1469198.9509090907</v>
          </cell>
        </row>
        <row r="202">
          <cell r="C202" t="str">
            <v>Máy nén khí, động cơ diezel - công suất:</v>
          </cell>
          <cell r="D202">
            <v>0</v>
          </cell>
          <cell r="E202">
            <v>0</v>
          </cell>
          <cell r="F202">
            <v>0</v>
          </cell>
          <cell r="G202">
            <v>0</v>
          </cell>
          <cell r="H202">
            <v>0</v>
          </cell>
          <cell r="I202" t="str">
            <v/>
          </cell>
          <cell r="J202">
            <v>0</v>
          </cell>
        </row>
        <row r="203">
          <cell r="C203" t="str">
            <v>- Máy nén khí 120,0 m3/h</v>
          </cell>
          <cell r="D203" t="str">
            <v>ca</v>
          </cell>
          <cell r="E203">
            <v>14</v>
          </cell>
          <cell r="F203" t="str">
            <v>lít diezel</v>
          </cell>
          <cell r="G203">
            <v>216750</v>
          </cell>
          <cell r="H203">
            <v>471273</v>
          </cell>
          <cell r="I203">
            <v>70097.923636363616</v>
          </cell>
          <cell r="J203">
            <v>541370.92363636359</v>
          </cell>
        </row>
        <row r="204">
          <cell r="C204" t="str">
            <v>- Máy nén khí 240m3/h</v>
          </cell>
          <cell r="D204" t="str">
            <v>ca</v>
          </cell>
          <cell r="E204">
            <v>28</v>
          </cell>
          <cell r="F204" t="str">
            <v>lít diezel</v>
          </cell>
          <cell r="G204">
            <v>216750</v>
          </cell>
          <cell r="H204">
            <v>729187</v>
          </cell>
          <cell r="I204">
            <v>140195.84727272723</v>
          </cell>
          <cell r="J204">
            <v>869382.84727272717</v>
          </cell>
        </row>
        <row r="205">
          <cell r="C205" t="str">
            <v>- Máy nén khí 300m3/h</v>
          </cell>
          <cell r="D205" t="str">
            <v>ca</v>
          </cell>
          <cell r="E205">
            <v>32</v>
          </cell>
          <cell r="F205" t="str">
            <v>lít diezel</v>
          </cell>
          <cell r="G205">
            <v>216750</v>
          </cell>
          <cell r="H205">
            <v>829044</v>
          </cell>
          <cell r="I205">
            <v>160223.82545454541</v>
          </cell>
          <cell r="J205">
            <v>989267.82545454544</v>
          </cell>
        </row>
        <row r="206">
          <cell r="C206" t="str">
            <v>- Máy nén khí 360m3/h</v>
          </cell>
          <cell r="D206" t="str">
            <v>ca</v>
          </cell>
          <cell r="E206">
            <v>35</v>
          </cell>
          <cell r="F206" t="str">
            <v>lít diezel</v>
          </cell>
          <cell r="G206">
            <v>216750</v>
          </cell>
          <cell r="H206">
            <v>883160</v>
          </cell>
          <cell r="I206">
            <v>175244.80909090902</v>
          </cell>
          <cell r="J206">
            <v>1058404.8090909091</v>
          </cell>
        </row>
        <row r="207">
          <cell r="C207" t="str">
            <v>- Máy ép khí 420m3/h</v>
          </cell>
          <cell r="D207" t="str">
            <v>ca</v>
          </cell>
          <cell r="E207">
            <v>38</v>
          </cell>
          <cell r="F207" t="str">
            <v>lít diezel</v>
          </cell>
          <cell r="G207">
            <v>216750</v>
          </cell>
          <cell r="H207">
            <v>997202</v>
          </cell>
          <cell r="I207">
            <v>190265.79272727267</v>
          </cell>
          <cell r="J207">
            <v>1187467.7927272727</v>
          </cell>
        </row>
        <row r="208">
          <cell r="C208" t="str">
            <v>- Máy nén khí 540m3/h</v>
          </cell>
          <cell r="D208" t="str">
            <v>ca</v>
          </cell>
          <cell r="E208">
            <v>36</v>
          </cell>
          <cell r="F208" t="str">
            <v>lít diezel</v>
          </cell>
          <cell r="G208">
            <v>216750</v>
          </cell>
          <cell r="H208">
            <v>1023170</v>
          </cell>
          <cell r="I208">
            <v>180251.80363636356</v>
          </cell>
          <cell r="J208">
            <v>1203421.8036363635</v>
          </cell>
        </row>
        <row r="209">
          <cell r="C209" t="str">
            <v>- Máy nén khí 600m3/h</v>
          </cell>
          <cell r="D209" t="str">
            <v>ca</v>
          </cell>
          <cell r="E209">
            <v>38</v>
          </cell>
          <cell r="F209" t="str">
            <v>lít diezel</v>
          </cell>
          <cell r="G209">
            <v>216750</v>
          </cell>
          <cell r="H209">
            <v>1125150</v>
          </cell>
          <cell r="I209">
            <v>190265.79272727267</v>
          </cell>
          <cell r="J209">
            <v>1315415.7927272727</v>
          </cell>
        </row>
        <row r="210">
          <cell r="C210" t="str">
            <v>- Máy nén khí điêzen 660m3/h</v>
          </cell>
          <cell r="D210" t="str">
            <v>ca</v>
          </cell>
          <cell r="E210">
            <v>39</v>
          </cell>
          <cell r="F210" t="str">
            <v>lít diezel</v>
          </cell>
          <cell r="G210">
            <v>216750</v>
          </cell>
          <cell r="H210">
            <v>1214952</v>
          </cell>
          <cell r="I210">
            <v>195272.7872727272</v>
          </cell>
          <cell r="J210">
            <v>1410224.7872727271</v>
          </cell>
        </row>
        <row r="211">
          <cell r="C211" t="str">
            <v>- Máy nén khí 1200,0 m3/h</v>
          </cell>
          <cell r="D211" t="str">
            <v>ca</v>
          </cell>
          <cell r="E211">
            <v>75</v>
          </cell>
          <cell r="F211" t="str">
            <v>lít diezel</v>
          </cell>
          <cell r="G211">
            <v>216750</v>
          </cell>
          <cell r="H211">
            <v>2120880</v>
          </cell>
          <cell r="I211">
            <v>375524.59090909082</v>
          </cell>
          <cell r="J211">
            <v>2496404.5909090908</v>
          </cell>
        </row>
        <row r="212">
          <cell r="C212" t="str">
            <v>* Máy nén khí, động cơ điện - công suất:</v>
          </cell>
          <cell r="D212">
            <v>0</v>
          </cell>
          <cell r="E212">
            <v>0</v>
          </cell>
          <cell r="F212">
            <v>0</v>
          </cell>
          <cell r="G212">
            <v>0</v>
          </cell>
          <cell r="H212">
            <v>0</v>
          </cell>
          <cell r="I212">
            <v>0</v>
          </cell>
          <cell r="J212">
            <v>0</v>
          </cell>
        </row>
        <row r="213">
          <cell r="C213" t="str">
            <v>- Máy nén khí 216,0 m3/h</v>
          </cell>
          <cell r="D213" t="str">
            <v>ca</v>
          </cell>
          <cell r="E213">
            <v>52</v>
          </cell>
          <cell r="F213" t="str">
            <v>kwh</v>
          </cell>
          <cell r="G213">
            <v>183600</v>
          </cell>
          <cell r="H213">
            <v>371218</v>
          </cell>
          <cell r="I213">
            <v>5283.1584000000057</v>
          </cell>
          <cell r="J213">
            <v>376501.15840000001</v>
          </cell>
        </row>
        <row r="214">
          <cell r="C214" t="str">
            <v>- Máy nén khí 270,0 m3/h</v>
          </cell>
          <cell r="D214" t="str">
            <v>ca</v>
          </cell>
          <cell r="E214">
            <v>80</v>
          </cell>
          <cell r="F214" t="str">
            <v>kwh</v>
          </cell>
          <cell r="G214">
            <v>183600</v>
          </cell>
          <cell r="H214">
            <v>446352</v>
          </cell>
          <cell r="I214">
            <v>8127.9360000000088</v>
          </cell>
          <cell r="J214">
            <v>454479.93599999999</v>
          </cell>
        </row>
        <row r="215">
          <cell r="C215" t="str">
            <v>- Máy nén khí 300,0 m3/h</v>
          </cell>
          <cell r="D215" t="str">
            <v>ca</v>
          </cell>
          <cell r="E215">
            <v>86</v>
          </cell>
          <cell r="F215" t="str">
            <v>kwh</v>
          </cell>
          <cell r="G215">
            <v>183600</v>
          </cell>
          <cell r="H215">
            <v>490480</v>
          </cell>
          <cell r="I215">
            <v>8737.5312000000085</v>
          </cell>
          <cell r="J215">
            <v>499217.53120000003</v>
          </cell>
        </row>
        <row r="216">
          <cell r="C216" t="str">
            <v>- Máy nén khí 600,0 m3/h</v>
          </cell>
          <cell r="D216" t="str">
            <v>ca</v>
          </cell>
          <cell r="E216">
            <v>125</v>
          </cell>
          <cell r="F216" t="str">
            <v>kwh</v>
          </cell>
          <cell r="G216">
            <v>216750</v>
          </cell>
          <cell r="H216">
            <v>770671</v>
          </cell>
          <cell r="I216">
            <v>12699.900000000014</v>
          </cell>
          <cell r="J216">
            <v>783370.9</v>
          </cell>
        </row>
        <row r="217">
          <cell r="C217" t="str">
            <v>M112.0000. MÁY VÀ THIẾT BỊ THI CÔNG KHÁC</v>
          </cell>
          <cell r="D217">
            <v>0</v>
          </cell>
          <cell r="E217">
            <v>0</v>
          </cell>
          <cell r="F217">
            <v>0</v>
          </cell>
          <cell r="G217">
            <v>0</v>
          </cell>
          <cell r="H217">
            <v>0</v>
          </cell>
          <cell r="I217" t="str">
            <v/>
          </cell>
          <cell r="J217">
            <v>0</v>
          </cell>
        </row>
        <row r="218">
          <cell r="C218" t="str">
            <v>Máy bơm nước, động cơ điện - công suất:</v>
          </cell>
          <cell r="D218">
            <v>0</v>
          </cell>
          <cell r="E218">
            <v>0</v>
          </cell>
          <cell r="F218">
            <v>0</v>
          </cell>
          <cell r="G218">
            <v>0</v>
          </cell>
          <cell r="H218">
            <v>0</v>
          </cell>
          <cell r="I218" t="str">
            <v/>
          </cell>
          <cell r="J218">
            <v>0</v>
          </cell>
        </row>
        <row r="219">
          <cell r="C219" t="str">
            <v>- Máy bơm nước 1,1 kW</v>
          </cell>
          <cell r="D219" t="str">
            <v>ca</v>
          </cell>
          <cell r="E219">
            <v>3</v>
          </cell>
          <cell r="F219" t="str">
            <v>kWh</v>
          </cell>
          <cell r="G219">
            <v>183600</v>
          </cell>
          <cell r="H219">
            <v>193062</v>
          </cell>
          <cell r="I219">
            <v>304.79760000000033</v>
          </cell>
          <cell r="J219">
            <v>193366.79759999999</v>
          </cell>
        </row>
        <row r="220">
          <cell r="C220" t="str">
            <v>- Máy bơm nước 1,5 kW</v>
          </cell>
          <cell r="D220" t="str">
            <v>ca</v>
          </cell>
          <cell r="E220">
            <v>4</v>
          </cell>
          <cell r="F220" t="str">
            <v>kWh</v>
          </cell>
          <cell r="G220">
            <v>183600</v>
          </cell>
          <cell r="H220">
            <v>195030</v>
          </cell>
          <cell r="I220">
            <v>406.39680000000044</v>
          </cell>
          <cell r="J220">
            <v>195436.39679999999</v>
          </cell>
        </row>
        <row r="221">
          <cell r="C221" t="str">
            <v>- Máy bơm nước 2,0 kW</v>
          </cell>
          <cell r="D221" t="str">
            <v>ca</v>
          </cell>
          <cell r="E221">
            <v>5</v>
          </cell>
          <cell r="F221" t="str">
            <v>kWh</v>
          </cell>
          <cell r="G221">
            <v>183600</v>
          </cell>
          <cell r="H221">
            <v>196996</v>
          </cell>
          <cell r="I221">
            <v>507.99600000000055</v>
          </cell>
          <cell r="J221">
            <v>197503.99600000001</v>
          </cell>
        </row>
        <row r="222">
          <cell r="C222" t="str">
            <v>- Máy bơm nước 2,80 kW</v>
          </cell>
          <cell r="D222" t="str">
            <v>ca</v>
          </cell>
          <cell r="E222">
            <v>8</v>
          </cell>
          <cell r="F222" t="str">
            <v>kWh</v>
          </cell>
          <cell r="G222">
            <v>183600</v>
          </cell>
          <cell r="H222">
            <v>202898</v>
          </cell>
          <cell r="I222">
            <v>812.79360000000088</v>
          </cell>
          <cell r="J222">
            <v>203710.7936</v>
          </cell>
        </row>
        <row r="223">
          <cell r="C223" t="str">
            <v>- Máy bơm nước 4,50 kW</v>
          </cell>
          <cell r="D223" t="str">
            <v>ca</v>
          </cell>
          <cell r="E223">
            <v>12</v>
          </cell>
          <cell r="F223" t="str">
            <v>kWh</v>
          </cell>
          <cell r="G223">
            <v>183600</v>
          </cell>
          <cell r="H223">
            <v>214506</v>
          </cell>
          <cell r="I223">
            <v>1219.1904000000013</v>
          </cell>
          <cell r="J223">
            <v>215725.19039999999</v>
          </cell>
        </row>
        <row r="224">
          <cell r="C224" t="str">
            <v>- Máy bơm nước 7 kW</v>
          </cell>
          <cell r="D224" t="str">
            <v>ca</v>
          </cell>
          <cell r="E224">
            <v>17</v>
          </cell>
          <cell r="F224" t="str">
            <v>kWh</v>
          </cell>
          <cell r="G224">
            <v>183600</v>
          </cell>
          <cell r="H224">
            <v>228555</v>
          </cell>
          <cell r="I224">
            <v>1727.1864000000019</v>
          </cell>
          <cell r="J224">
            <v>230282.18640000001</v>
          </cell>
        </row>
        <row r="225">
          <cell r="C225" t="str">
            <v>- Máy bơm nước 14,0 kW</v>
          </cell>
          <cell r="D225" t="str">
            <v>ca</v>
          </cell>
          <cell r="E225">
            <v>34</v>
          </cell>
          <cell r="F225" t="str">
            <v>kWh</v>
          </cell>
          <cell r="G225">
            <v>216750</v>
          </cell>
          <cell r="H225">
            <v>299052</v>
          </cell>
          <cell r="I225">
            <v>3454.3728000000037</v>
          </cell>
          <cell r="J225">
            <v>302506.37280000001</v>
          </cell>
        </row>
        <row r="226">
          <cell r="C226" t="str">
            <v>- Máy bơm nước 20,0 kW</v>
          </cell>
          <cell r="D226" t="str">
            <v>ca</v>
          </cell>
          <cell r="E226">
            <v>48</v>
          </cell>
          <cell r="F226" t="str">
            <v>kWh</v>
          </cell>
          <cell r="G226">
            <v>216750</v>
          </cell>
          <cell r="H226">
            <v>337766</v>
          </cell>
          <cell r="I226">
            <v>4876.7616000000053</v>
          </cell>
          <cell r="J226">
            <v>342642.76160000003</v>
          </cell>
        </row>
        <row r="227">
          <cell r="C227" t="str">
            <v>- Máy bơm nước 22,0 kW</v>
          </cell>
          <cell r="D227" t="str">
            <v>ca</v>
          </cell>
          <cell r="E227">
            <v>53</v>
          </cell>
          <cell r="F227" t="str">
            <v>kWh</v>
          </cell>
          <cell r="G227">
            <v>216750</v>
          </cell>
          <cell r="H227">
            <v>352335</v>
          </cell>
          <cell r="I227">
            <v>5384.7576000000063</v>
          </cell>
          <cell r="J227">
            <v>357719.75760000001</v>
          </cell>
        </row>
        <row r="228">
          <cell r="C228" t="str">
            <v>- Máy bơm nước 75,0 kW</v>
          </cell>
          <cell r="D228" t="str">
            <v>ca</v>
          </cell>
          <cell r="E228">
            <v>180</v>
          </cell>
          <cell r="F228" t="str">
            <v>kWh</v>
          </cell>
          <cell r="G228">
            <v>216750</v>
          </cell>
          <cell r="H228">
            <v>650605</v>
          </cell>
          <cell r="I228">
            <v>18287.856000000022</v>
          </cell>
          <cell r="J228">
            <v>668892.85600000003</v>
          </cell>
        </row>
        <row r="229">
          <cell r="C229" t="str">
            <v>Máy bơm vữa - năng suất:</v>
          </cell>
          <cell r="D229">
            <v>0</v>
          </cell>
          <cell r="E229">
            <v>0</v>
          </cell>
          <cell r="F229">
            <v>0</v>
          </cell>
          <cell r="G229">
            <v>0</v>
          </cell>
          <cell r="H229">
            <v>0</v>
          </cell>
          <cell r="I229" t="str">
            <v/>
          </cell>
          <cell r="J229">
            <v>0</v>
          </cell>
        </row>
        <row r="230">
          <cell r="C230" t="str">
            <v>- Máy bơm vữa 6,0 m3/h</v>
          </cell>
          <cell r="D230" t="str">
            <v>ca</v>
          </cell>
          <cell r="E230">
            <v>19</v>
          </cell>
          <cell r="F230" t="str">
            <v>kWh</v>
          </cell>
          <cell r="G230">
            <v>400350</v>
          </cell>
          <cell r="H230">
            <v>674813</v>
          </cell>
          <cell r="I230">
            <v>1930.3848000000021</v>
          </cell>
          <cell r="J230">
            <v>676743.3848</v>
          </cell>
        </row>
        <row r="231">
          <cell r="C231" t="str">
            <v>- Máy bơm vữa 9,0 m3/h</v>
          </cell>
          <cell r="D231" t="str">
            <v>ca</v>
          </cell>
          <cell r="E231">
            <v>34</v>
          </cell>
          <cell r="F231" t="str">
            <v>kWh</v>
          </cell>
          <cell r="G231">
            <v>400350</v>
          </cell>
          <cell r="H231">
            <v>762032</v>
          </cell>
          <cell r="I231">
            <v>3454.3728000000037</v>
          </cell>
          <cell r="J231">
            <v>765486.37280000001</v>
          </cell>
        </row>
        <row r="232">
          <cell r="C232" t="str">
            <v>- Máy bơm vữa 32 - 50 m3/h</v>
          </cell>
          <cell r="D232" t="str">
            <v>ca</v>
          </cell>
          <cell r="E232">
            <v>72</v>
          </cell>
          <cell r="F232" t="str">
            <v>kWh</v>
          </cell>
          <cell r="G232">
            <v>400350</v>
          </cell>
          <cell r="H232">
            <v>914811</v>
          </cell>
          <cell r="I232">
            <v>7315.1424000000079</v>
          </cell>
          <cell r="J232">
            <v>922126.14240000001</v>
          </cell>
        </row>
        <row r="233">
          <cell r="C233" t="str">
            <v>Máy phun vẩy - năng suất:</v>
          </cell>
          <cell r="D233">
            <v>0</v>
          </cell>
          <cell r="E233">
            <v>0</v>
          </cell>
          <cell r="F233">
            <v>0</v>
          </cell>
          <cell r="G233">
            <v>0</v>
          </cell>
          <cell r="H233">
            <v>0</v>
          </cell>
          <cell r="I233" t="str">
            <v/>
          </cell>
          <cell r="J233">
            <v>0</v>
          </cell>
        </row>
        <row r="234">
          <cell r="C234" t="str">
            <v>- Máy phun vẩy 9m3/h</v>
          </cell>
          <cell r="D234" t="str">
            <v>ca</v>
          </cell>
          <cell r="E234">
            <v>54</v>
          </cell>
          <cell r="F234" t="str">
            <v>kWh</v>
          </cell>
          <cell r="G234">
            <v>886550</v>
          </cell>
          <cell r="H234">
            <v>2951810</v>
          </cell>
          <cell r="I234">
            <v>5486.356800000005</v>
          </cell>
          <cell r="J234">
            <v>2957296.3568000002</v>
          </cell>
        </row>
        <row r="235">
          <cell r="C235" t="str">
            <v>- Máy phun vẩy 16m3/h</v>
          </cell>
          <cell r="D235" t="str">
            <v>ca</v>
          </cell>
          <cell r="E235">
            <v>429</v>
          </cell>
          <cell r="F235" t="str">
            <v>kWh</v>
          </cell>
          <cell r="G235">
            <v>1142400</v>
          </cell>
          <cell r="H235">
            <v>9400621</v>
          </cell>
          <cell r="I235">
            <v>43586.056800000042</v>
          </cell>
          <cell r="J235">
            <v>9444207.0568000004</v>
          </cell>
        </row>
        <row r="236">
          <cell r="C236" t="str">
            <v>Máy đầm bêtông, đầm bàn - công suất:</v>
          </cell>
          <cell r="D236">
            <v>0</v>
          </cell>
          <cell r="E236">
            <v>0</v>
          </cell>
          <cell r="F236">
            <v>0</v>
          </cell>
          <cell r="G236">
            <v>0</v>
          </cell>
          <cell r="H236">
            <v>0</v>
          </cell>
          <cell r="I236" t="str">
            <v/>
          </cell>
          <cell r="J236">
            <v>0</v>
          </cell>
        </row>
        <row r="237">
          <cell r="C237" t="str">
            <v>- Máy đầm bàn 1,0KW</v>
          </cell>
          <cell r="D237" t="str">
            <v>ca</v>
          </cell>
          <cell r="E237">
            <v>5</v>
          </cell>
          <cell r="F237" t="str">
            <v>kWh</v>
          </cell>
          <cell r="G237">
            <v>183600</v>
          </cell>
          <cell r="H237">
            <v>195218</v>
          </cell>
          <cell r="I237">
            <v>507.99600000000055</v>
          </cell>
          <cell r="J237">
            <v>195725.99600000001</v>
          </cell>
        </row>
        <row r="238">
          <cell r="C238" t="str">
            <v>* Máy đầm bêtông, đầm dùi - công suất:</v>
          </cell>
          <cell r="D238">
            <v>0</v>
          </cell>
          <cell r="E238">
            <v>0</v>
          </cell>
          <cell r="F238">
            <v>0</v>
          </cell>
          <cell r="G238">
            <v>0</v>
          </cell>
          <cell r="H238">
            <v>0</v>
          </cell>
          <cell r="I238" t="str">
            <v/>
          </cell>
          <cell r="J238">
            <v>0</v>
          </cell>
        </row>
        <row r="239">
          <cell r="C239" t="str">
            <v>- Máy đầm dùi 1,0 kW</v>
          </cell>
          <cell r="D239" t="str">
            <v>ca</v>
          </cell>
          <cell r="E239">
            <v>5</v>
          </cell>
          <cell r="F239" t="str">
            <v>kWh</v>
          </cell>
          <cell r="G239">
            <v>183600</v>
          </cell>
          <cell r="H239">
            <v>195084</v>
          </cell>
          <cell r="I239">
            <v>507.99600000000055</v>
          </cell>
          <cell r="J239">
            <v>195591.99600000001</v>
          </cell>
        </row>
        <row r="240">
          <cell r="C240" t="str">
            <v>- Máy đầm dùi 1,5KW</v>
          </cell>
          <cell r="D240" t="str">
            <v>ca</v>
          </cell>
          <cell r="E240">
            <v>7</v>
          </cell>
          <cell r="F240" t="str">
            <v>kWh</v>
          </cell>
          <cell r="G240">
            <v>183600</v>
          </cell>
          <cell r="H240">
            <v>198724</v>
          </cell>
          <cell r="I240">
            <v>711.19440000000077</v>
          </cell>
          <cell r="J240">
            <v>199435.19440000001</v>
          </cell>
        </row>
        <row r="241">
          <cell r="C241" t="str">
            <v>- Máy đầm dùi 2,8 kW</v>
          </cell>
          <cell r="D241" t="str">
            <v>ca</v>
          </cell>
          <cell r="E241">
            <v>13</v>
          </cell>
          <cell r="F241" t="str">
            <v>kWh</v>
          </cell>
          <cell r="G241">
            <v>183600</v>
          </cell>
          <cell r="H241">
            <v>229174</v>
          </cell>
          <cell r="I241">
            <v>0</v>
          </cell>
          <cell r="J241">
            <v>0</v>
          </cell>
        </row>
        <row r="242">
          <cell r="C242" t="str">
            <v>- Máy đầm dùi 3,5 kW</v>
          </cell>
          <cell r="D242" t="str">
            <v>ca</v>
          </cell>
          <cell r="E242">
            <v>16</v>
          </cell>
          <cell r="F242" t="str">
            <v>kWh</v>
          </cell>
          <cell r="G242">
            <v>183600</v>
          </cell>
          <cell r="H242">
            <v>269667</v>
          </cell>
          <cell r="I242">
            <v>1625.5872000000018</v>
          </cell>
          <cell r="J242">
            <v>271292.58720000001</v>
          </cell>
        </row>
        <row r="243">
          <cell r="C243" t="str">
            <v>Máy phun (chưa tính khí nén):</v>
          </cell>
          <cell r="D243">
            <v>0</v>
          </cell>
          <cell r="E243">
            <v>0</v>
          </cell>
          <cell r="F243">
            <v>0</v>
          </cell>
          <cell r="G243">
            <v>0</v>
          </cell>
          <cell r="H243">
            <v>0</v>
          </cell>
          <cell r="I243" t="str">
            <v/>
          </cell>
          <cell r="J243">
            <v>0</v>
          </cell>
        </row>
        <row r="244">
          <cell r="C244" t="str">
            <v>- Máy phun sơn 400m2/h</v>
          </cell>
          <cell r="D244" t="str">
            <v>ca</v>
          </cell>
          <cell r="E244">
            <v>0</v>
          </cell>
          <cell r="F244">
            <v>0</v>
          </cell>
          <cell r="G244">
            <v>183600</v>
          </cell>
          <cell r="H244">
            <v>206583</v>
          </cell>
          <cell r="I244" t="str">
            <v/>
          </cell>
          <cell r="J244">
            <v>206583</v>
          </cell>
        </row>
        <row r="245">
          <cell r="C245" t="str">
            <v>- Máy phun cát</v>
          </cell>
          <cell r="D245" t="str">
            <v>ca</v>
          </cell>
          <cell r="E245">
            <v>0</v>
          </cell>
          <cell r="F245">
            <v>0</v>
          </cell>
          <cell r="G245">
            <v>183600</v>
          </cell>
          <cell r="H245">
            <v>214160</v>
          </cell>
          <cell r="I245" t="str">
            <v/>
          </cell>
          <cell r="J245">
            <v>214160</v>
          </cell>
        </row>
        <row r="246">
          <cell r="C246" t="str">
            <v>Máy khoan đứng - công suất:</v>
          </cell>
          <cell r="D246">
            <v>0</v>
          </cell>
          <cell r="E246">
            <v>0</v>
          </cell>
          <cell r="F246">
            <v>0</v>
          </cell>
          <cell r="G246">
            <v>0</v>
          </cell>
          <cell r="H246">
            <v>0</v>
          </cell>
          <cell r="I246" t="str">
            <v/>
          </cell>
          <cell r="J246">
            <v>0</v>
          </cell>
        </row>
        <row r="247">
          <cell r="C247" t="str">
            <v>- Máy khoan 2,5KW</v>
          </cell>
          <cell r="D247" t="str">
            <v>ca</v>
          </cell>
          <cell r="E247">
            <v>5</v>
          </cell>
          <cell r="F247" t="str">
            <v>kWh</v>
          </cell>
          <cell r="G247">
            <v>183600</v>
          </cell>
          <cell r="H247">
            <v>236355</v>
          </cell>
          <cell r="I247">
            <v>507.99600000000055</v>
          </cell>
          <cell r="J247">
            <v>236862.99600000001</v>
          </cell>
        </row>
        <row r="248">
          <cell r="C248" t="str">
            <v>- Máy khoan 4,5KW</v>
          </cell>
          <cell r="D248" t="str">
            <v>ca</v>
          </cell>
          <cell r="E248">
            <v>9</v>
          </cell>
          <cell r="F248" t="str">
            <v>Kwh</v>
          </cell>
          <cell r="G248">
            <v>183600</v>
          </cell>
          <cell r="H248">
            <v>257838</v>
          </cell>
          <cell r="I248">
            <v>914.39280000000099</v>
          </cell>
          <cell r="J248">
            <v>258752.3928</v>
          </cell>
        </row>
        <row r="249">
          <cell r="C249" t="str">
            <v>Máy khoan bêtông cầm tay - công suất:</v>
          </cell>
          <cell r="D249">
            <v>0</v>
          </cell>
          <cell r="E249">
            <v>0</v>
          </cell>
          <cell r="F249">
            <v>0</v>
          </cell>
          <cell r="G249">
            <v>0</v>
          </cell>
          <cell r="H249">
            <v>0</v>
          </cell>
          <cell r="I249" t="str">
            <v/>
          </cell>
          <cell r="J249">
            <v>0</v>
          </cell>
        </row>
        <row r="250">
          <cell r="C250" t="str">
            <v xml:space="preserve">- Máy khoan BT 0,62 KW </v>
          </cell>
          <cell r="D250" t="str">
            <v>ca</v>
          </cell>
          <cell r="E250">
            <v>0.9</v>
          </cell>
          <cell r="F250" t="str">
            <v>Kwh</v>
          </cell>
          <cell r="G250">
            <v>183600</v>
          </cell>
          <cell r="H250">
            <v>201704</v>
          </cell>
          <cell r="I250">
            <v>91.439280000000096</v>
          </cell>
          <cell r="J250">
            <v>201795.43927999999</v>
          </cell>
        </row>
        <row r="251">
          <cell r="C251" t="str">
            <v xml:space="preserve">- Máy khoan BT 0,75 kW </v>
          </cell>
          <cell r="D251" t="str">
            <v>ca</v>
          </cell>
          <cell r="E251">
            <v>1.1000000000000001</v>
          </cell>
          <cell r="F251" t="str">
            <v>Kwh</v>
          </cell>
          <cell r="G251">
            <v>183600</v>
          </cell>
          <cell r="H251">
            <v>201844</v>
          </cell>
          <cell r="I251">
            <v>111.75912000000012</v>
          </cell>
          <cell r="J251">
            <v>201955.75912</v>
          </cell>
        </row>
        <row r="252">
          <cell r="C252" t="str">
            <v xml:space="preserve">- Máy khoan BT 0,85 kW </v>
          </cell>
          <cell r="D252" t="str">
            <v>ca</v>
          </cell>
          <cell r="E252">
            <v>1.3</v>
          </cell>
          <cell r="F252" t="str">
            <v>Kwh</v>
          </cell>
          <cell r="G252">
            <v>183600</v>
          </cell>
          <cell r="H252">
            <v>203491</v>
          </cell>
          <cell r="I252">
            <v>132.07896000000014</v>
          </cell>
          <cell r="J252">
            <v>203623.07896000001</v>
          </cell>
        </row>
        <row r="253">
          <cell r="C253" t="str">
            <v xml:space="preserve">- Máy khoan BT 1,5 KW </v>
          </cell>
          <cell r="D253" t="str">
            <v>ca</v>
          </cell>
          <cell r="E253">
            <v>2.2999999999999998</v>
          </cell>
          <cell r="F253" t="str">
            <v>Kwh</v>
          </cell>
          <cell r="G253">
            <v>183600</v>
          </cell>
          <cell r="H253">
            <v>220203</v>
          </cell>
          <cell r="I253">
            <v>233.67816000000022</v>
          </cell>
          <cell r="J253">
            <v>220436.67816000001</v>
          </cell>
        </row>
        <row r="254">
          <cell r="C254" t="str">
            <v>Máy luồn cáp - công suất:</v>
          </cell>
          <cell r="D254">
            <v>0</v>
          </cell>
          <cell r="E254">
            <v>0</v>
          </cell>
          <cell r="F254">
            <v>0</v>
          </cell>
          <cell r="G254">
            <v>0</v>
          </cell>
          <cell r="H254">
            <v>0</v>
          </cell>
          <cell r="I254" t="str">
            <v/>
          </cell>
          <cell r="J254">
            <v>0</v>
          </cell>
        </row>
        <row r="255">
          <cell r="C255" t="str">
            <v>- Máy luồn cáp 15KW</v>
          </cell>
          <cell r="D255" t="str">
            <v>ca</v>
          </cell>
          <cell r="E255">
            <v>27</v>
          </cell>
          <cell r="F255" t="str">
            <v>Kwh</v>
          </cell>
          <cell r="G255">
            <v>216750</v>
          </cell>
          <cell r="H255">
            <v>331739</v>
          </cell>
          <cell r="I255">
            <v>2743.1784000000025</v>
          </cell>
          <cell r="J255">
            <v>334482.17839999998</v>
          </cell>
        </row>
        <row r="256">
          <cell r="C256" t="str">
            <v>Máy cắt cáp - công suất:</v>
          </cell>
          <cell r="D256">
            <v>0</v>
          </cell>
          <cell r="E256">
            <v>0</v>
          </cell>
          <cell r="F256">
            <v>0</v>
          </cell>
          <cell r="G256">
            <v>0</v>
          </cell>
          <cell r="H256">
            <v>0</v>
          </cell>
          <cell r="I256" t="str">
            <v/>
          </cell>
          <cell r="J256">
            <v>0</v>
          </cell>
        </row>
        <row r="257">
          <cell r="C257" t="str">
            <v>- Máy cắt cáp 10KW</v>
          </cell>
          <cell r="D257" t="str">
            <v>ca</v>
          </cell>
          <cell r="E257">
            <v>13</v>
          </cell>
          <cell r="F257" t="str">
            <v>Kwh</v>
          </cell>
          <cell r="G257">
            <v>183600</v>
          </cell>
          <cell r="H257">
            <v>230474</v>
          </cell>
          <cell r="I257">
            <v>1320.7896000000014</v>
          </cell>
          <cell r="J257">
            <v>231794.78959999999</v>
          </cell>
        </row>
        <row r="258">
          <cell r="C258" t="str">
            <v>Máy cắt bêtông - công suất:</v>
          </cell>
          <cell r="D258">
            <v>0</v>
          </cell>
          <cell r="E258">
            <v>0</v>
          </cell>
          <cell r="F258">
            <v>0</v>
          </cell>
          <cell r="G258">
            <v>0</v>
          </cell>
          <cell r="H258">
            <v>0</v>
          </cell>
          <cell r="I258" t="str">
            <v/>
          </cell>
          <cell r="J258">
            <v>0</v>
          </cell>
        </row>
        <row r="259">
          <cell r="C259" t="str">
            <v xml:space="preserve">- Máy cắt BT 7,50 kW </v>
          </cell>
          <cell r="D259" t="str">
            <v>ca</v>
          </cell>
          <cell r="E259">
            <v>11</v>
          </cell>
          <cell r="F259" t="str">
            <v>Kwh</v>
          </cell>
          <cell r="G259">
            <v>183600</v>
          </cell>
          <cell r="H259">
            <v>253307</v>
          </cell>
          <cell r="I259">
            <v>1117.5912000000012</v>
          </cell>
          <cell r="J259">
            <v>254424.5912</v>
          </cell>
        </row>
        <row r="260">
          <cell r="C260" t="str">
            <v>- Máy cắt bê tông MCD 218</v>
          </cell>
          <cell r="D260" t="str">
            <v>ca</v>
          </cell>
          <cell r="E260">
            <v>8</v>
          </cell>
          <cell r="F260" t="str">
            <v>Lít xăng</v>
          </cell>
          <cell r="G260">
            <v>216750</v>
          </cell>
          <cell r="H260">
            <v>439858</v>
          </cell>
          <cell r="I260">
            <v>26811.643636363613</v>
          </cell>
          <cell r="J260">
            <v>466669.64363636362</v>
          </cell>
        </row>
        <row r="261">
          <cell r="C261" t="str">
            <v>Máy cắt ống - công suất:</v>
          </cell>
          <cell r="D261">
            <v>0</v>
          </cell>
          <cell r="E261">
            <v>0</v>
          </cell>
          <cell r="F261">
            <v>0</v>
          </cell>
          <cell r="G261">
            <v>0</v>
          </cell>
          <cell r="H261">
            <v>0</v>
          </cell>
          <cell r="I261" t="str">
            <v/>
          </cell>
          <cell r="J261">
            <v>0</v>
          </cell>
        </row>
        <row r="262">
          <cell r="C262" t="str">
            <v>- Máy cắt ống 5,0KW</v>
          </cell>
          <cell r="D262" t="str">
            <v>ca</v>
          </cell>
          <cell r="E262">
            <v>9</v>
          </cell>
          <cell r="F262" t="str">
            <v>kWh</v>
          </cell>
          <cell r="G262">
            <v>183600</v>
          </cell>
          <cell r="H262">
            <v>227477</v>
          </cell>
          <cell r="I262">
            <v>914.39280000000099</v>
          </cell>
          <cell r="J262">
            <v>228391.3928</v>
          </cell>
        </row>
        <row r="263">
          <cell r="C263" t="str">
            <v>Máy cắt uốn cốt thép - công suất:</v>
          </cell>
          <cell r="D263">
            <v>0</v>
          </cell>
          <cell r="E263">
            <v>0</v>
          </cell>
          <cell r="F263">
            <v>0</v>
          </cell>
          <cell r="G263">
            <v>0</v>
          </cell>
          <cell r="H263">
            <v>0</v>
          </cell>
          <cell r="I263" t="str">
            <v/>
          </cell>
          <cell r="J263">
            <v>0</v>
          </cell>
        </row>
        <row r="264">
          <cell r="C264" t="str">
            <v>- Máy cắt uốn cốt thép 5KW</v>
          </cell>
          <cell r="D264" t="str">
            <v>ca</v>
          </cell>
          <cell r="E264">
            <v>9</v>
          </cell>
          <cell r="F264" t="str">
            <v>Kwh</v>
          </cell>
          <cell r="G264">
            <v>183600</v>
          </cell>
          <cell r="H264">
            <v>216919</v>
          </cell>
          <cell r="I264">
            <v>914.39280000000099</v>
          </cell>
          <cell r="J264">
            <v>217833.3928</v>
          </cell>
        </row>
        <row r="265">
          <cell r="C265" t="str">
            <v>- Máy cắt thép</v>
          </cell>
          <cell r="D265" t="str">
            <v>ca</v>
          </cell>
          <cell r="E265">
            <v>13</v>
          </cell>
          <cell r="F265" t="str">
            <v>kWh</v>
          </cell>
          <cell r="G265">
            <v>183600</v>
          </cell>
          <cell r="H265">
            <v>266389</v>
          </cell>
          <cell r="I265">
            <v>1320.7896000000014</v>
          </cell>
          <cell r="J265">
            <v>267709.78960000002</v>
          </cell>
        </row>
        <row r="266">
          <cell r="C266" t="str">
            <v>Búa căn khí nén (chưa tính khí nén)- tiêu hao khí nén:</v>
          </cell>
          <cell r="D266">
            <v>0</v>
          </cell>
          <cell r="E266">
            <v>0</v>
          </cell>
          <cell r="F266">
            <v>0</v>
          </cell>
          <cell r="G266">
            <v>0</v>
          </cell>
          <cell r="H266">
            <v>0</v>
          </cell>
          <cell r="I266" t="str">
            <v/>
          </cell>
          <cell r="J266">
            <v>0</v>
          </cell>
        </row>
        <row r="267">
          <cell r="C267" t="str">
            <v>- Búa căn khí nén 1,5m3/ph</v>
          </cell>
          <cell r="D267" t="str">
            <v>ca</v>
          </cell>
          <cell r="E267">
            <v>0</v>
          </cell>
          <cell r="F267">
            <v>0</v>
          </cell>
          <cell r="G267">
            <v>216750</v>
          </cell>
          <cell r="H267">
            <v>237172</v>
          </cell>
          <cell r="I267" t="str">
            <v/>
          </cell>
          <cell r="J267">
            <v>237172</v>
          </cell>
        </row>
        <row r="268">
          <cell r="C268" t="str">
            <v>- Búa căn khí nén 3,0m3/ph</v>
          </cell>
          <cell r="D268" t="str">
            <v>ca</v>
          </cell>
          <cell r="E268">
            <v>0</v>
          </cell>
          <cell r="F268">
            <v>0</v>
          </cell>
          <cell r="G268">
            <v>216750</v>
          </cell>
          <cell r="H268">
            <v>239819</v>
          </cell>
          <cell r="I268" t="str">
            <v/>
          </cell>
          <cell r="J268">
            <v>239819</v>
          </cell>
        </row>
        <row r="269">
          <cell r="C269" t="str">
            <v>Máy uốn ống - công suất:</v>
          </cell>
          <cell r="D269">
            <v>0</v>
          </cell>
          <cell r="E269">
            <v>0</v>
          </cell>
          <cell r="F269">
            <v>0</v>
          </cell>
          <cell r="G269">
            <v>0</v>
          </cell>
          <cell r="H269">
            <v>0</v>
          </cell>
          <cell r="I269" t="str">
            <v/>
          </cell>
          <cell r="J269">
            <v>0</v>
          </cell>
        </row>
        <row r="270">
          <cell r="C270" t="str">
            <v>- Máy uốn ống 2,8KW</v>
          </cell>
          <cell r="D270" t="str">
            <v>ca</v>
          </cell>
          <cell r="E270">
            <v>5</v>
          </cell>
          <cell r="F270" t="str">
            <v>kWh</v>
          </cell>
          <cell r="G270">
            <v>183600</v>
          </cell>
          <cell r="H270">
            <v>220794</v>
          </cell>
          <cell r="I270">
            <v>507.99600000000055</v>
          </cell>
          <cell r="J270">
            <v>221301.99600000001</v>
          </cell>
        </row>
        <row r="271">
          <cell r="C271" t="str">
            <v>Máy cưa kim loại - công suất</v>
          </cell>
          <cell r="D271">
            <v>0</v>
          </cell>
          <cell r="E271">
            <v>0</v>
          </cell>
          <cell r="F271">
            <v>0</v>
          </cell>
          <cell r="G271">
            <v>0</v>
          </cell>
          <cell r="H271">
            <v>0</v>
          </cell>
          <cell r="I271" t="str">
            <v/>
          </cell>
          <cell r="J271">
            <v>0</v>
          </cell>
        </row>
        <row r="272">
          <cell r="C272" t="str">
            <v>- Máy cưa 1,7KW</v>
          </cell>
          <cell r="D272" t="str">
            <v>ca</v>
          </cell>
          <cell r="E272">
            <v>4</v>
          </cell>
          <cell r="F272" t="str">
            <v>kWh</v>
          </cell>
          <cell r="G272">
            <v>183600</v>
          </cell>
          <cell r="H272">
            <v>213086</v>
          </cell>
          <cell r="I272">
            <v>406.39680000000044</v>
          </cell>
          <cell r="J272">
            <v>213492.39679999999</v>
          </cell>
        </row>
        <row r="273">
          <cell r="C273" t="str">
            <v>- Máy cưa 2,7KW</v>
          </cell>
          <cell r="D273" t="str">
            <v>ca</v>
          </cell>
          <cell r="E273">
            <v>6</v>
          </cell>
          <cell r="F273" t="str">
            <v>kWh</v>
          </cell>
          <cell r="G273">
            <v>183600</v>
          </cell>
          <cell r="H273">
            <v>221048</v>
          </cell>
          <cell r="I273">
            <v>609.59520000000066</v>
          </cell>
          <cell r="J273">
            <v>221657.59520000001</v>
          </cell>
        </row>
        <row r="274">
          <cell r="C274" t="str">
            <v>- Máy bào thép 7,5KW</v>
          </cell>
          <cell r="D274" t="str">
            <v>ca</v>
          </cell>
          <cell r="E274">
            <v>16</v>
          </cell>
          <cell r="F274" t="str">
            <v>kWh</v>
          </cell>
          <cell r="G274">
            <v>183600</v>
          </cell>
          <cell r="H274">
            <v>278923</v>
          </cell>
          <cell r="I274">
            <v>1625.5872000000018</v>
          </cell>
          <cell r="J274">
            <v>280548.58720000001</v>
          </cell>
        </row>
        <row r="275">
          <cell r="C275" t="str">
            <v>- Máy phay 7,0KW</v>
          </cell>
          <cell r="D275" t="str">
            <v>ca</v>
          </cell>
          <cell r="E275">
            <v>15</v>
          </cell>
          <cell r="F275" t="str">
            <v>kWh</v>
          </cell>
          <cell r="G275">
            <v>183600</v>
          </cell>
          <cell r="H275">
            <v>292495</v>
          </cell>
          <cell r="I275">
            <v>1523.9880000000016</v>
          </cell>
          <cell r="J275">
            <v>294018.98800000001</v>
          </cell>
        </row>
        <row r="276">
          <cell r="C276" t="str">
            <v>Máy mài - công suất</v>
          </cell>
          <cell r="D276">
            <v>0</v>
          </cell>
          <cell r="E276">
            <v>0</v>
          </cell>
          <cell r="F276">
            <v>0</v>
          </cell>
          <cell r="G276">
            <v>0</v>
          </cell>
          <cell r="H276">
            <v>0</v>
          </cell>
          <cell r="I276" t="str">
            <v/>
          </cell>
          <cell r="J276">
            <v>0</v>
          </cell>
        </row>
        <row r="277">
          <cell r="C277" t="str">
            <v>- Máy mài 1,0 kW</v>
          </cell>
          <cell r="D277" t="str">
            <v>ca</v>
          </cell>
          <cell r="E277">
            <v>2</v>
          </cell>
          <cell r="F277" t="str">
            <v>Kwh</v>
          </cell>
          <cell r="G277">
            <v>183600</v>
          </cell>
          <cell r="H277">
            <v>190949</v>
          </cell>
          <cell r="I277">
            <v>203.19840000000022</v>
          </cell>
          <cell r="J277">
            <v>191152.19839999999</v>
          </cell>
        </row>
        <row r="278">
          <cell r="C278" t="str">
            <v>- Máy mài 2,7KW</v>
          </cell>
          <cell r="D278" t="str">
            <v>ca</v>
          </cell>
          <cell r="E278">
            <v>4</v>
          </cell>
          <cell r="F278" t="str">
            <v>Kwh</v>
          </cell>
          <cell r="G278">
            <v>183600</v>
          </cell>
          <cell r="H278">
            <v>201941</v>
          </cell>
          <cell r="I278">
            <v>406.39680000000044</v>
          </cell>
          <cell r="J278">
            <v>202347.39679999999</v>
          </cell>
        </row>
        <row r="279">
          <cell r="C279" t="str">
            <v>Máy biến thế hàn xoay chiều - công suất</v>
          </cell>
          <cell r="D279">
            <v>0</v>
          </cell>
          <cell r="E279">
            <v>0</v>
          </cell>
          <cell r="F279">
            <v>0</v>
          </cell>
          <cell r="G279">
            <v>0</v>
          </cell>
          <cell r="H279">
            <v>0</v>
          </cell>
          <cell r="I279" t="str">
            <v/>
          </cell>
          <cell r="J279">
            <v>0</v>
          </cell>
        </row>
        <row r="280">
          <cell r="C280" t="str">
            <v>- Máy hàn 7KW</v>
          </cell>
          <cell r="D280" t="str">
            <v>ca</v>
          </cell>
          <cell r="E280">
            <v>15</v>
          </cell>
          <cell r="F280" t="str">
            <v>Kwh</v>
          </cell>
          <cell r="G280">
            <v>216750</v>
          </cell>
          <cell r="H280">
            <v>249884</v>
          </cell>
          <cell r="I280">
            <v>1523.9880000000016</v>
          </cell>
          <cell r="J280">
            <v>251407.98800000001</v>
          </cell>
        </row>
        <row r="281">
          <cell r="C281" t="str">
            <v>- Máy hàn 14KW</v>
          </cell>
          <cell r="D281" t="str">
            <v>ca</v>
          </cell>
          <cell r="E281">
            <v>29</v>
          </cell>
          <cell r="F281" t="str">
            <v>Kwh</v>
          </cell>
          <cell r="G281">
            <v>216750</v>
          </cell>
          <cell r="H281">
            <v>281348</v>
          </cell>
          <cell r="I281">
            <v>2946.3768000000032</v>
          </cell>
          <cell r="J281">
            <v>284294.37680000003</v>
          </cell>
        </row>
        <row r="282">
          <cell r="C282" t="str">
            <v>- Máy hàn 23KW</v>
          </cell>
          <cell r="D282" t="str">
            <v>ca</v>
          </cell>
          <cell r="E282">
            <v>48</v>
          </cell>
          <cell r="F282" t="str">
            <v>Kwh</v>
          </cell>
          <cell r="G282">
            <v>216750</v>
          </cell>
          <cell r="H282">
            <v>326986</v>
          </cell>
          <cell r="I282">
            <v>4876.7616000000053</v>
          </cell>
          <cell r="J282">
            <v>331862.76160000003</v>
          </cell>
        </row>
        <row r="283">
          <cell r="C283" t="str">
            <v>- Máy hàn điện 27,5CV</v>
          </cell>
          <cell r="D283" t="str">
            <v>ca</v>
          </cell>
          <cell r="E283">
            <v>58</v>
          </cell>
          <cell r="F283" t="str">
            <v>Kwh</v>
          </cell>
          <cell r="G283">
            <v>216750</v>
          </cell>
          <cell r="H283">
            <v>348762</v>
          </cell>
          <cell r="I283">
            <v>5892.7536000000064</v>
          </cell>
          <cell r="J283">
            <v>354654.7536</v>
          </cell>
        </row>
        <row r="284">
          <cell r="C284" t="str">
            <v>Máy hàn hơi - công suất</v>
          </cell>
          <cell r="D284">
            <v>0</v>
          </cell>
          <cell r="E284">
            <v>0</v>
          </cell>
          <cell r="F284">
            <v>0</v>
          </cell>
          <cell r="G284">
            <v>0</v>
          </cell>
          <cell r="H284">
            <v>0</v>
          </cell>
          <cell r="I284" t="str">
            <v/>
          </cell>
          <cell r="J284">
            <v>0</v>
          </cell>
        </row>
        <row r="285">
          <cell r="C285" t="str">
            <v>- Máy hàn hơi 1000l/h</v>
          </cell>
          <cell r="D285" t="str">
            <v>ca</v>
          </cell>
          <cell r="E285">
            <v>0</v>
          </cell>
          <cell r="F285">
            <v>0</v>
          </cell>
          <cell r="G285">
            <v>216750</v>
          </cell>
          <cell r="H285">
            <v>228242</v>
          </cell>
          <cell r="I285" t="str">
            <v/>
          </cell>
          <cell r="J285">
            <v>228242</v>
          </cell>
        </row>
        <row r="286">
          <cell r="C286" t="str">
            <v>- Máy hàn hơi 2000l/h</v>
          </cell>
          <cell r="D286" t="str">
            <v>ca</v>
          </cell>
          <cell r="E286">
            <v>0</v>
          </cell>
          <cell r="F286">
            <v>0</v>
          </cell>
          <cell r="G286">
            <v>216750</v>
          </cell>
          <cell r="H286">
            <v>234326</v>
          </cell>
          <cell r="I286" t="str">
            <v/>
          </cell>
          <cell r="J286">
            <v>234326</v>
          </cell>
        </row>
        <row r="287">
          <cell r="C287" t="str">
            <v>Máy cắt sắt cầm tay, công suất</v>
          </cell>
          <cell r="D287">
            <v>0</v>
          </cell>
          <cell r="E287">
            <v>0</v>
          </cell>
          <cell r="F287">
            <v>0</v>
          </cell>
          <cell r="G287">
            <v>0</v>
          </cell>
          <cell r="H287">
            <v>0</v>
          </cell>
          <cell r="I287">
            <v>0</v>
          </cell>
          <cell r="J287">
            <v>0</v>
          </cell>
        </row>
        <row r="288">
          <cell r="C288" t="str">
            <v>- Máy cắt sắt cầm tay 1,7KW</v>
          </cell>
          <cell r="D288" t="str">
            <v>ca</v>
          </cell>
          <cell r="E288">
            <v>3</v>
          </cell>
          <cell r="F288" t="str">
            <v>Kwh</v>
          </cell>
          <cell r="G288">
            <v>183600</v>
          </cell>
          <cell r="H288">
            <v>215414</v>
          </cell>
          <cell r="I288">
            <v>304.79760000000033</v>
          </cell>
          <cell r="J288">
            <v>215718.79759999999</v>
          </cell>
        </row>
        <row r="289">
          <cell r="C289" t="str">
            <v>- Xe nhặt rác</v>
          </cell>
          <cell r="D289" t="str">
            <v>ca</v>
          </cell>
          <cell r="E289">
            <v>15</v>
          </cell>
          <cell r="F289" t="str">
            <v>Lít diezel</v>
          </cell>
          <cell r="G289">
            <v>218450</v>
          </cell>
          <cell r="H289">
            <v>1583718</v>
          </cell>
          <cell r="I289">
            <v>75104.918181818168</v>
          </cell>
          <cell r="J289">
            <v>1658822.9181818182</v>
          </cell>
        </row>
      </sheetData>
      <sheetData sheetId="33"/>
      <sheetData sheetId="34"/>
      <sheetData sheetId="35"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ng KL 88+670"/>
      <sheetName val="TM"/>
      <sheetName val="TMDT"/>
      <sheetName val="TXL"/>
      <sheetName val="DTCT-XL"/>
      <sheetName val="PTDG"/>
      <sheetName val="Nhan cong Hoa Binh"/>
      <sheetName val="GCM"/>
      <sheetName val="VL"/>
      <sheetName val="Nhan cong (cu)"/>
      <sheetName val="Dam bao giao thong"/>
      <sheetName val="DTCT_DBGT"/>
      <sheetName val="PhanTich_DBGT"/>
      <sheetName val="cuoc vc"/>
      <sheetName val="Thop.KS"/>
      <sheetName val="Dtoan .KS"/>
      <sheetName val="DG KS"/>
      <sheetName val="GCM KS"/>
      <sheetName val="GVL"/>
      <sheetName val="Bang luong KS"/>
      <sheetName val="TT BTN"/>
      <sheetName val="PLV"/>
      <sheetName val="CVC VL tới TT BTN "/>
      <sheetName val="Nhan cong Ha Nam"/>
      <sheetName val="GCM Hà Nam"/>
      <sheetName val="CVC"/>
      <sheetName val="Vật liệu"/>
    </sheetNames>
    <sheetDataSet>
      <sheetData sheetId="0"/>
      <sheetData sheetId="1"/>
      <sheetData sheetId="2"/>
      <sheetData sheetId="3"/>
      <sheetData sheetId="4"/>
      <sheetData sheetId="5"/>
      <sheetData sheetId="6">
        <row r="20">
          <cell r="J20">
            <v>215736.15384615387</v>
          </cell>
        </row>
        <row r="30">
          <cell r="J30">
            <v>248126.92307692306</v>
          </cell>
        </row>
        <row r="71">
          <cell r="I71">
            <v>201013.07692307694</v>
          </cell>
        </row>
        <row r="72">
          <cell r="I72">
            <v>230459.23076923072</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rtUp"/>
      <sheetName val="TMDT"/>
      <sheetName val="TXL"/>
      <sheetName val="DTCT-XL"/>
      <sheetName val="PTDG-CL"/>
      <sheetName val="KL-NamSach"/>
      <sheetName val="Sheet1"/>
      <sheetName val="NC"/>
      <sheetName val="Đơn giá máy"/>
      <sheetName val="VL-Den"/>
      <sheetName val="KL-DaiAn"/>
      <sheetName val="KLDayLenDen"/>
      <sheetName val="PLV1"/>
      <sheetName val="PLV2"/>
      <sheetName val="Cuoc VC"/>
      <sheetName val="VC"/>
      <sheetName val="CuLyVC"/>
      <sheetName val="VL1"/>
      <sheetName val="VL2-CG"/>
      <sheetName val="VL-BTN"/>
      <sheetName val="Đam bao giao thong"/>
      <sheetName val="PTCT-DBGI"/>
      <sheetName val="Phân tich -ĐBGT"/>
      <sheetName val="NC-2"/>
      <sheetName val="VL (PA2)"/>
      <sheetName val="Cuoc VC (PA2)"/>
      <sheetName val="Gia ca may"/>
      <sheetName val="DBGT"/>
      <sheetName val="DGCT-DBGI"/>
      <sheetName val="PTDG-ĐBGT"/>
      <sheetName val="Sheet5"/>
    </sheetNames>
    <sheetDataSet>
      <sheetData sheetId="0"/>
      <sheetData sheetId="1"/>
      <sheetData sheetId="2"/>
      <sheetData sheetId="3"/>
      <sheetData sheetId="4"/>
      <sheetData sheetId="5"/>
      <sheetData sheetId="6"/>
      <sheetData sheetId="7">
        <row r="20">
          <cell r="J20">
            <v>193620.76923076922</v>
          </cell>
        </row>
        <row r="72">
          <cell r="I72">
            <v>208343.84615384616</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Phu luc Du toan"/>
      <sheetName val="Tong muc dau tu"/>
      <sheetName val="Bang Tra"/>
      <sheetName val="THXL"/>
      <sheetName val="TMDT"/>
      <sheetName val="TXL"/>
      <sheetName val="Du toan"/>
      <sheetName val="PTDG-CL"/>
      <sheetName val="PLV"/>
      <sheetName val="Vat lieu"/>
      <sheetName val="Cuoc VC-1"/>
      <sheetName val="Cuoc VC-2"/>
      <sheetName val="NC-1"/>
      <sheetName val="NC-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ow r="20">
          <cell r="J20">
            <v>224582.30769230772</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Phu luc Du toan"/>
      <sheetName val="Tong muc dau tu"/>
      <sheetName val="Bang Tra"/>
      <sheetName val="THXL"/>
      <sheetName val="TMDT"/>
      <sheetName val="TXL"/>
      <sheetName val="Du toan"/>
      <sheetName val="PTDG-CL"/>
      <sheetName val="PLV"/>
      <sheetName val="Vat lieu-1"/>
      <sheetName val="Vat lieu-2"/>
      <sheetName val="Cuoc VC-1"/>
      <sheetName val="Cuoc VC-2"/>
      <sheetName val="NC-1"/>
      <sheetName val="NC-2"/>
      <sheetName val="NC-3"/>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72">
          <cell r="I72">
            <v>234882.30769230769</v>
          </cell>
        </row>
      </sheetData>
      <sheetData sheetId="16"/>
      <sheetData sheetId="17"/>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TMDT"/>
      <sheetName val="TXL"/>
      <sheetName val="DTCT-XL"/>
      <sheetName val="PTDG-CL"/>
      <sheetName val="KL-NamSach"/>
      <sheetName val="Sheet1"/>
      <sheetName val="NC"/>
      <sheetName val="Đơn giá máy"/>
      <sheetName val="VL-Den"/>
      <sheetName val="KL-DaiAn"/>
      <sheetName val="KLDayLenDen"/>
      <sheetName val="PLV1"/>
      <sheetName val="PLV2"/>
      <sheetName val="Cuoc VC"/>
      <sheetName val="VC"/>
      <sheetName val="CuLyVC"/>
      <sheetName val="VL-NS"/>
      <sheetName val="VL-CG"/>
      <sheetName val="VL-BTN"/>
      <sheetName val="Đam bao giao thong"/>
      <sheetName val="PTCT-DBGI"/>
      <sheetName val="Phân tich -ĐBGT"/>
      <sheetName val="NC-2"/>
      <sheetName val="VL (PA2)"/>
      <sheetName val="Cuoc VC (PA2)"/>
      <sheetName val="Gia ca may"/>
      <sheetName val="DBGT"/>
      <sheetName val="DGCT-DBGI"/>
      <sheetName val="PTDG-ĐBGT"/>
      <sheetName val="Sheet5"/>
    </sheetNames>
    <sheetDataSet>
      <sheetData sheetId="0"/>
      <sheetData sheetId="1"/>
      <sheetData sheetId="2"/>
      <sheetData sheetId="3"/>
      <sheetData sheetId="4"/>
      <sheetData sheetId="5"/>
      <sheetData sheetId="6"/>
      <sheetData sheetId="7">
        <row r="30">
          <cell r="J30">
            <v>226011.53846153847</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rtUp"/>
      <sheetName val="TMĐT(tc)"/>
      <sheetName val="THuyết minh"/>
      <sheetName val="Tổng mức"/>
      <sheetName val="THKP"/>
      <sheetName val="DGTH"/>
      <sheetName val="Chênh lệch VT"/>
      <sheetName val="Cước VC"/>
      <sheetName val="phân tich vật tư"/>
      <sheetName val="CP VUA"/>
      <sheetName val="BTN"/>
      <sheetName val="GVL - BTN"/>
      <sheetName val="GVL "/>
      <sheetName val="Chênh lệch máy"/>
      <sheetName val="CVC Km16+700"/>
      <sheetName val="CVC Km44+700"/>
      <sheetName val="THKP-DBGT"/>
      <sheetName val="CT ĐBGT"/>
      <sheetName val="PT ĐBGT"/>
      <sheetName val="DDGTH -ĐBGT"/>
      <sheetName val="DGCT-DBGT"/>
      <sheetName val="Sheet1"/>
      <sheetName val="Chi tiết VC vật liệu"/>
      <sheetName val="Cước ĐB"/>
      <sheetName val="Bảng tr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5">
          <cell r="A5" t="str">
            <v>CT.1</v>
          </cell>
          <cell r="B5" t="str">
            <v>SC. 39306</v>
          </cell>
          <cell r="C5" t="str">
            <v>Biển báo 440 KT60x140cm*1 cột L=1.8m (KH10%)</v>
          </cell>
          <cell r="D5" t="str">
            <v>bộ</v>
          </cell>
          <cell r="E5">
            <v>1</v>
          </cell>
          <cell r="F5">
            <v>0</v>
          </cell>
          <cell r="G5">
            <v>0</v>
          </cell>
          <cell r="H5">
            <v>209921.78454545455</v>
          </cell>
          <cell r="I5">
            <v>119895.43269230769</v>
          </cell>
          <cell r="J5">
            <v>38446.433286713283</v>
          </cell>
        </row>
        <row r="6">
          <cell r="A6">
            <v>0</v>
          </cell>
          <cell r="B6" t="str">
            <v>VD</v>
          </cell>
          <cell r="C6" t="str">
            <v>A.Vật liệu :</v>
          </cell>
          <cell r="D6">
            <v>0</v>
          </cell>
          <cell r="E6">
            <v>0</v>
          </cell>
          <cell r="F6">
            <v>0</v>
          </cell>
          <cell r="G6">
            <v>209921.78454545455</v>
          </cell>
          <cell r="H6">
            <v>0</v>
          </cell>
        </row>
        <row r="7">
          <cell r="A7">
            <v>0</v>
          </cell>
          <cell r="B7" t="str">
            <v>VL.27</v>
          </cell>
          <cell r="C7" t="str">
            <v>Biển báo phản quang PQ KT 0.6x1.4m</v>
          </cell>
          <cell r="D7" t="str">
            <v>m2</v>
          </cell>
          <cell r="E7">
            <v>0.84</v>
          </cell>
          <cell r="F7">
            <v>1661113.6363636362</v>
          </cell>
          <cell r="G7">
            <v>1395335.4545454544</v>
          </cell>
          <cell r="H7">
            <v>0</v>
          </cell>
        </row>
        <row r="8">
          <cell r="A8">
            <v>0</v>
          </cell>
          <cell r="B8" t="str">
            <v>VL.26</v>
          </cell>
          <cell r="C8" t="str">
            <v>Cột biển báo O90 L=4.45</v>
          </cell>
          <cell r="D8" t="str">
            <v>m</v>
          </cell>
          <cell r="E8">
            <v>3.6</v>
          </cell>
          <cell r="F8">
            <v>167755.45454545453</v>
          </cell>
          <cell r="G8">
            <v>603919.63636363635</v>
          </cell>
          <cell r="H8">
            <v>0</v>
          </cell>
        </row>
        <row r="9">
          <cell r="A9">
            <v>0</v>
          </cell>
          <cell r="B9">
            <v>0</v>
          </cell>
          <cell r="C9" t="str">
            <v>VLK</v>
          </cell>
          <cell r="D9" t="str">
            <v>%</v>
          </cell>
          <cell r="E9">
            <v>5</v>
          </cell>
          <cell r="F9">
            <v>1999255.0909090908</v>
          </cell>
          <cell r="G9">
            <v>99962.754545454532</v>
          </cell>
          <cell r="H9">
            <v>0</v>
          </cell>
        </row>
        <row r="10">
          <cell r="A10">
            <v>0</v>
          </cell>
          <cell r="B10">
            <v>0</v>
          </cell>
          <cell r="C10" t="str">
            <v>B. Nhân công:</v>
          </cell>
          <cell r="D10">
            <v>0</v>
          </cell>
          <cell r="E10">
            <v>0</v>
          </cell>
          <cell r="F10">
            <v>0</v>
          </cell>
          <cell r="G10">
            <v>119895.43269230769</v>
          </cell>
        </row>
        <row r="11">
          <cell r="A11">
            <v>3</v>
          </cell>
          <cell r="B11">
            <v>0</v>
          </cell>
          <cell r="C11" t="str">
            <v>Nhân công 3.7/7</v>
          </cell>
          <cell r="D11" t="str">
            <v>công</v>
          </cell>
          <cell r="E11">
            <v>0.625</v>
          </cell>
          <cell r="F11">
            <v>191832.69230769231</v>
          </cell>
          <cell r="G11">
            <v>119895.43269230769</v>
          </cell>
        </row>
        <row r="12">
          <cell r="A12">
            <v>0</v>
          </cell>
          <cell r="B12">
            <v>0</v>
          </cell>
          <cell r="C12" t="str">
            <v>C. Máy thi công:</v>
          </cell>
          <cell r="D12">
            <v>0</v>
          </cell>
          <cell r="E12">
            <v>0</v>
          </cell>
          <cell r="F12">
            <v>0</v>
          </cell>
          <cell r="G12">
            <v>38446.433286713283</v>
          </cell>
          <cell r="H12">
            <v>0</v>
          </cell>
          <cell r="J12">
            <v>0</v>
          </cell>
        </row>
        <row r="13">
          <cell r="A13">
            <v>0</v>
          </cell>
          <cell r="B13">
            <v>0</v>
          </cell>
          <cell r="C13" t="str">
            <v>Ô tô 2.5T</v>
          </cell>
          <cell r="D13" t="str">
            <v>ca</v>
          </cell>
          <cell r="E13">
            <v>0.06</v>
          </cell>
          <cell r="F13">
            <v>640773.88811188808</v>
          </cell>
          <cell r="G13">
            <v>38446.433286713283</v>
          </cell>
        </row>
        <row r="14">
          <cell r="A14" t="str">
            <v>CT.2</v>
          </cell>
          <cell r="B14" t="str">
            <v>SC. 39306</v>
          </cell>
          <cell r="C14" t="str">
            <v>Biển báo số 441 "Công trường đang thi công" K a, b, Phía trước là công trường Kt 1.4x2 1 cột L=1.85m KH 10%</v>
          </cell>
          <cell r="D14" t="str">
            <v>bộ</v>
          </cell>
          <cell r="E14">
            <v>1</v>
          </cell>
          <cell r="F14">
            <v>0</v>
          </cell>
          <cell r="G14">
            <v>0</v>
          </cell>
          <cell r="H14">
            <v>511874.99045454536</v>
          </cell>
          <cell r="I14">
            <v>239790.86538461538</v>
          </cell>
          <cell r="J14">
            <v>76892.866573426567</v>
          </cell>
        </row>
        <row r="15">
          <cell r="A15">
            <v>0</v>
          </cell>
          <cell r="B15" t="str">
            <v>VD</v>
          </cell>
          <cell r="C15" t="str">
            <v>A.Vật liệu:</v>
          </cell>
          <cell r="D15">
            <v>0</v>
          </cell>
          <cell r="E15">
            <v>0</v>
          </cell>
          <cell r="F15">
            <v>0</v>
          </cell>
          <cell r="G15">
            <v>511874.99045454536</v>
          </cell>
          <cell r="H15">
            <v>0</v>
          </cell>
        </row>
        <row r="16">
          <cell r="A16">
            <v>0</v>
          </cell>
          <cell r="B16" t="str">
            <v>VL.28</v>
          </cell>
          <cell r="C16" t="str">
            <v>Biển báo PQ KT 1.4x2m</v>
          </cell>
          <cell r="D16" t="str">
            <v>m2</v>
          </cell>
          <cell r="E16">
            <v>2.8</v>
          </cell>
          <cell r="F16">
            <v>1519394.5454545454</v>
          </cell>
          <cell r="G16">
            <v>4254304.7272727266</v>
          </cell>
          <cell r="H16">
            <v>0</v>
          </cell>
        </row>
        <row r="17">
          <cell r="A17">
            <v>0</v>
          </cell>
          <cell r="B17" t="str">
            <v>VL.26</v>
          </cell>
          <cell r="C17" t="str">
            <v>Cột biển báo O90 L=1.85m</v>
          </cell>
          <cell r="D17" t="str">
            <v>m</v>
          </cell>
          <cell r="E17">
            <v>3.7</v>
          </cell>
          <cell r="F17">
            <v>167755.45454545453</v>
          </cell>
          <cell r="G17">
            <v>620695.18181818177</v>
          </cell>
          <cell r="H17">
            <v>0</v>
          </cell>
        </row>
        <row r="18">
          <cell r="A18">
            <v>0</v>
          </cell>
          <cell r="B18">
            <v>0</v>
          </cell>
          <cell r="C18" t="str">
            <v>VLK</v>
          </cell>
          <cell r="D18" t="str">
            <v>%</v>
          </cell>
          <cell r="E18">
            <v>5</v>
          </cell>
          <cell r="F18">
            <v>4874999.9090909082</v>
          </cell>
          <cell r="G18">
            <v>243749.99545454542</v>
          </cell>
          <cell r="H18">
            <v>0</v>
          </cell>
        </row>
        <row r="19">
          <cell r="A19">
            <v>0</v>
          </cell>
          <cell r="B19">
            <v>0</v>
          </cell>
          <cell r="C19" t="str">
            <v>B. Nhân công:</v>
          </cell>
          <cell r="D19">
            <v>0</v>
          </cell>
          <cell r="E19">
            <v>0</v>
          </cell>
          <cell r="F19">
            <v>0</v>
          </cell>
          <cell r="G19">
            <v>239790.86538461538</v>
          </cell>
        </row>
        <row r="20">
          <cell r="A20">
            <v>3</v>
          </cell>
          <cell r="B20">
            <v>0</v>
          </cell>
          <cell r="C20" t="str">
            <v>Nhân công 3.7/7 nhóm 1</v>
          </cell>
          <cell r="D20" t="str">
            <v>công</v>
          </cell>
          <cell r="E20">
            <v>1.25</v>
          </cell>
          <cell r="F20">
            <v>191832.69230769231</v>
          </cell>
          <cell r="G20">
            <v>239790.86538461538</v>
          </cell>
        </row>
        <row r="21">
          <cell r="A21">
            <v>0</v>
          </cell>
          <cell r="B21">
            <v>0</v>
          </cell>
          <cell r="C21" t="str">
            <v>C. Máy thi công:</v>
          </cell>
          <cell r="D21">
            <v>0</v>
          </cell>
          <cell r="E21">
            <v>0</v>
          </cell>
          <cell r="F21">
            <v>0</v>
          </cell>
          <cell r="G21">
            <v>76892.866573426567</v>
          </cell>
          <cell r="H21">
            <v>0</v>
          </cell>
          <cell r="J21">
            <v>0</v>
          </cell>
        </row>
        <row r="22">
          <cell r="A22">
            <v>0</v>
          </cell>
          <cell r="B22">
            <v>0</v>
          </cell>
          <cell r="C22" t="str">
            <v>Ô tô 2.5T</v>
          </cell>
          <cell r="D22" t="str">
            <v>ca</v>
          </cell>
          <cell r="E22">
            <v>0.12</v>
          </cell>
          <cell r="F22">
            <v>640773.88811188808</v>
          </cell>
          <cell r="G22">
            <v>76892.866573426567</v>
          </cell>
        </row>
        <row r="23">
          <cell r="A23" t="str">
            <v>CT.3</v>
          </cell>
          <cell r="B23" t="str">
            <v>SC. 39306</v>
          </cell>
          <cell r="C23" t="str">
            <v>Biển báo 507 chỉ hướng đi KT: 130x35(cm) KH 10%</v>
          </cell>
          <cell r="D23" t="str">
            <v>bộ</v>
          </cell>
          <cell r="E23">
            <v>1</v>
          </cell>
          <cell r="F23">
            <v>0</v>
          </cell>
          <cell r="G23">
            <v>0</v>
          </cell>
          <cell r="H23">
            <v>79359.703977272729</v>
          </cell>
          <cell r="I23">
            <v>47958.173076923078</v>
          </cell>
          <cell r="J23">
            <v>19223.216643356642</v>
          </cell>
        </row>
        <row r="24">
          <cell r="A24">
            <v>0</v>
          </cell>
          <cell r="B24" t="str">
            <v>VD</v>
          </cell>
          <cell r="C24" t="str">
            <v>A.Vật liệu :</v>
          </cell>
          <cell r="D24">
            <v>0</v>
          </cell>
          <cell r="E24">
            <v>0</v>
          </cell>
          <cell r="F24">
            <v>0</v>
          </cell>
          <cell r="G24">
            <v>79359.703977272729</v>
          </cell>
          <cell r="H24">
            <v>0</v>
          </cell>
        </row>
        <row r="25">
          <cell r="A25">
            <v>0</v>
          </cell>
          <cell r="B25" t="str">
            <v>VL.27</v>
          </cell>
          <cell r="C25" t="str">
            <v>Biển báo PQ KT 130x35cm</v>
          </cell>
          <cell r="D25" t="str">
            <v>m2</v>
          </cell>
          <cell r="E25">
            <v>0.45499999999999996</v>
          </cell>
          <cell r="F25">
            <v>1661113.6363636362</v>
          </cell>
          <cell r="G25">
            <v>755806.70454545447</v>
          </cell>
          <cell r="H25">
            <v>0</v>
          </cell>
        </row>
        <row r="26">
          <cell r="A26">
            <v>0</v>
          </cell>
          <cell r="B26">
            <v>0</v>
          </cell>
          <cell r="C26" t="str">
            <v>VLK</v>
          </cell>
          <cell r="D26" t="str">
            <v>%</v>
          </cell>
          <cell r="E26">
            <v>5</v>
          </cell>
          <cell r="F26">
            <v>755806.70454545447</v>
          </cell>
          <cell r="G26">
            <v>37790.335227272721</v>
          </cell>
          <cell r="H26">
            <v>0</v>
          </cell>
        </row>
        <row r="27">
          <cell r="A27">
            <v>0</v>
          </cell>
          <cell r="B27">
            <v>0</v>
          </cell>
          <cell r="C27" t="str">
            <v>B. Nhân công:</v>
          </cell>
          <cell r="D27">
            <v>0</v>
          </cell>
          <cell r="E27">
            <v>0</v>
          </cell>
          <cell r="F27">
            <v>0</v>
          </cell>
          <cell r="G27">
            <v>47958.173076923078</v>
          </cell>
        </row>
        <row r="28">
          <cell r="A28">
            <v>3</v>
          </cell>
          <cell r="B28">
            <v>0</v>
          </cell>
          <cell r="C28" t="str">
            <v>Nhân công 3.7/7 nhóm 1</v>
          </cell>
          <cell r="D28" t="str">
            <v>công</v>
          </cell>
          <cell r="E28">
            <v>0.25</v>
          </cell>
          <cell r="F28">
            <v>191832.69230769231</v>
          </cell>
          <cell r="G28">
            <v>47958.173076923078</v>
          </cell>
        </row>
        <row r="29">
          <cell r="A29">
            <v>0</v>
          </cell>
          <cell r="B29">
            <v>0</v>
          </cell>
          <cell r="C29" t="str">
            <v>C. Máy thi công:</v>
          </cell>
          <cell r="D29">
            <v>0</v>
          </cell>
          <cell r="E29">
            <v>0</v>
          </cell>
          <cell r="F29">
            <v>0</v>
          </cell>
          <cell r="G29">
            <v>19223.216643356642</v>
          </cell>
          <cell r="H29">
            <v>0</v>
          </cell>
          <cell r="J29">
            <v>0</v>
          </cell>
        </row>
        <row r="30">
          <cell r="A30">
            <v>0</v>
          </cell>
          <cell r="B30">
            <v>0</v>
          </cell>
          <cell r="C30" t="str">
            <v>Ô tô 2.5T</v>
          </cell>
          <cell r="D30" t="str">
            <v>ca</v>
          </cell>
          <cell r="E30">
            <v>0.03</v>
          </cell>
          <cell r="F30">
            <v>640773.88811188808</v>
          </cell>
          <cell r="G30">
            <v>19223.216643356642</v>
          </cell>
        </row>
        <row r="31">
          <cell r="A31" t="str">
            <v>CT.4</v>
          </cell>
          <cell r="B31" t="str">
            <v>SC. 39306</v>
          </cell>
          <cell r="C31" t="str">
            <v>Biển báo tam giác KT(70x70x70)  1 cột L=3.45m (KH10%)</v>
          </cell>
          <cell r="D31" t="str">
            <v>cái</v>
          </cell>
          <cell r="E31">
            <v>1</v>
          </cell>
          <cell r="F31">
            <v>0</v>
          </cell>
          <cell r="G31">
            <v>0</v>
          </cell>
          <cell r="H31">
            <v>36602.331818181818</v>
          </cell>
          <cell r="I31">
            <v>47958.173076923078</v>
          </cell>
          <cell r="J31">
            <v>19223.216643356642</v>
          </cell>
        </row>
        <row r="32">
          <cell r="A32">
            <v>0</v>
          </cell>
          <cell r="B32" t="str">
            <v>VD</v>
          </cell>
          <cell r="C32" t="str">
            <v>A.Vật liệu:</v>
          </cell>
          <cell r="D32">
            <v>0</v>
          </cell>
          <cell r="E32">
            <v>0</v>
          </cell>
          <cell r="F32">
            <v>0</v>
          </cell>
          <cell r="G32">
            <v>36602.331818181818</v>
          </cell>
          <cell r="H32">
            <v>0</v>
          </cell>
        </row>
        <row r="33">
          <cell r="A33">
            <v>0</v>
          </cell>
          <cell r="B33" t="str">
            <v>VL.22</v>
          </cell>
          <cell r="C33" t="str">
            <v>Biển tam giác</v>
          </cell>
          <cell r="D33" t="str">
            <v>m2</v>
          </cell>
          <cell r="E33">
            <v>1</v>
          </cell>
          <cell r="F33">
            <v>348593.63636363635</v>
          </cell>
          <cell r="G33">
            <v>348593.63636363635</v>
          </cell>
          <cell r="H33">
            <v>0</v>
          </cell>
        </row>
        <row r="34">
          <cell r="A34">
            <v>0</v>
          </cell>
          <cell r="B34">
            <v>0</v>
          </cell>
          <cell r="C34" t="str">
            <v>VLK</v>
          </cell>
          <cell r="D34" t="str">
            <v>%</v>
          </cell>
          <cell r="E34">
            <v>5</v>
          </cell>
          <cell r="F34">
            <v>348593.63636363635</v>
          </cell>
          <cell r="G34">
            <v>17429.68181818182</v>
          </cell>
          <cell r="H34">
            <v>0</v>
          </cell>
        </row>
        <row r="35">
          <cell r="A35">
            <v>0</v>
          </cell>
          <cell r="B35">
            <v>0</v>
          </cell>
          <cell r="C35" t="str">
            <v>B. Nhân công:</v>
          </cell>
          <cell r="D35">
            <v>0</v>
          </cell>
          <cell r="E35">
            <v>0</v>
          </cell>
          <cell r="F35">
            <v>0</v>
          </cell>
          <cell r="G35">
            <v>47958.173076923078</v>
          </cell>
        </row>
        <row r="36">
          <cell r="A36">
            <v>3</v>
          </cell>
          <cell r="B36">
            <v>0</v>
          </cell>
          <cell r="C36" t="str">
            <v>Nhân công 3.7/7</v>
          </cell>
          <cell r="D36" t="str">
            <v>công</v>
          </cell>
          <cell r="E36">
            <v>0.25</v>
          </cell>
          <cell r="F36">
            <v>191832.69230769231</v>
          </cell>
          <cell r="G36">
            <v>47958.173076923078</v>
          </cell>
        </row>
        <row r="37">
          <cell r="A37">
            <v>0</v>
          </cell>
          <cell r="B37">
            <v>0</v>
          </cell>
          <cell r="C37" t="str">
            <v>C. Máy thi công:</v>
          </cell>
          <cell r="D37">
            <v>0</v>
          </cell>
          <cell r="E37">
            <v>0</v>
          </cell>
          <cell r="F37">
            <v>0</v>
          </cell>
          <cell r="G37">
            <v>19223.216643356642</v>
          </cell>
          <cell r="H37">
            <v>0</v>
          </cell>
          <cell r="J37">
            <v>0</v>
          </cell>
        </row>
        <row r="38">
          <cell r="A38">
            <v>0</v>
          </cell>
          <cell r="B38">
            <v>0</v>
          </cell>
          <cell r="C38" t="str">
            <v>Ô tô 2.5T</v>
          </cell>
          <cell r="D38" t="str">
            <v>ca</v>
          </cell>
          <cell r="E38">
            <v>0.03</v>
          </cell>
          <cell r="F38">
            <v>640773.88811188808</v>
          </cell>
          <cell r="G38">
            <v>19223.216643356642</v>
          </cell>
        </row>
        <row r="39">
          <cell r="A39" t="str">
            <v>CT.5</v>
          </cell>
          <cell r="B39" t="str">
            <v>AI.11713</v>
          </cell>
          <cell r="C39" t="str">
            <v xml:space="preserve"> Sản xuất khung giá đỡ (KH 10%)</v>
          </cell>
          <cell r="D39" t="str">
            <v>kg</v>
          </cell>
          <cell r="E39">
            <v>1</v>
          </cell>
          <cell r="F39">
            <v>0</v>
          </cell>
          <cell r="G39">
            <v>0</v>
          </cell>
          <cell r="H39">
            <v>1673.9984732880687</v>
          </cell>
          <cell r="I39">
            <v>626.01323076923074</v>
          </cell>
          <cell r="J39">
            <v>333.16369332621366</v>
          </cell>
        </row>
        <row r="40">
          <cell r="A40">
            <v>0</v>
          </cell>
          <cell r="B40" t="str">
            <v>VD</v>
          </cell>
          <cell r="C40" t="str">
            <v>A.Vật liệu (LC 10 lần):</v>
          </cell>
          <cell r="D40">
            <v>0</v>
          </cell>
          <cell r="E40">
            <v>0</v>
          </cell>
          <cell r="F40">
            <v>0</v>
          </cell>
          <cell r="G40">
            <v>1673.9984732880687</v>
          </cell>
          <cell r="H40">
            <v>0</v>
          </cell>
        </row>
        <row r="41">
          <cell r="A41">
            <v>0</v>
          </cell>
          <cell r="B41" t="str">
            <v>VL.13</v>
          </cell>
          <cell r="C41" t="str">
            <v>Thép hộp 5x5cm dày 1mm L=11.9</v>
          </cell>
          <cell r="D41" t="str">
            <v>kg</v>
          </cell>
          <cell r="E41">
            <v>1.1000000000000001</v>
          </cell>
          <cell r="F41">
            <v>11424.303192576746</v>
          </cell>
          <cell r="G41">
            <v>12566.733511834422</v>
          </cell>
          <cell r="H41">
            <v>0</v>
          </cell>
        </row>
        <row r="42">
          <cell r="A42">
            <v>0</v>
          </cell>
          <cell r="B42" t="str">
            <v>VL.16</v>
          </cell>
          <cell r="C42" t="str">
            <v>Que hàn</v>
          </cell>
          <cell r="D42" t="str">
            <v>kg</v>
          </cell>
          <cell r="E42">
            <v>0.15229999999999999</v>
          </cell>
          <cell r="F42">
            <v>21818.181818181816</v>
          </cell>
          <cell r="G42">
            <v>3322.9090909090905</v>
          </cell>
          <cell r="H42">
            <v>0</v>
          </cell>
        </row>
        <row r="43">
          <cell r="A43">
            <v>0</v>
          </cell>
          <cell r="B43" t="str">
            <v>VL.37</v>
          </cell>
          <cell r="C43" t="str">
            <v>Đá mài</v>
          </cell>
          <cell r="D43" t="str">
            <v>viên</v>
          </cell>
          <cell r="E43">
            <v>3.0400000000000002E-3</v>
          </cell>
          <cell r="F43">
            <v>10000</v>
          </cell>
          <cell r="G43">
            <v>30.400000000000002</v>
          </cell>
          <cell r="H43">
            <v>0</v>
          </cell>
        </row>
        <row r="44">
          <cell r="A44">
            <v>0</v>
          </cell>
          <cell r="B44" t="str">
            <v>VL.38</v>
          </cell>
          <cell r="C44" t="str">
            <v>Đá cắt</v>
          </cell>
          <cell r="D44" t="str">
            <v>viên</v>
          </cell>
          <cell r="E44">
            <v>2.2799999999999999E-3</v>
          </cell>
          <cell r="F44">
            <v>10000</v>
          </cell>
          <cell r="G44">
            <v>22.8</v>
          </cell>
          <cell r="H44">
            <v>0</v>
          </cell>
        </row>
        <row r="45">
          <cell r="A45">
            <v>0</v>
          </cell>
          <cell r="B45">
            <v>0</v>
          </cell>
          <cell r="C45" t="str">
            <v>VLK</v>
          </cell>
          <cell r="D45" t="str">
            <v>%</v>
          </cell>
          <cell r="E45">
            <v>5</v>
          </cell>
          <cell r="F45">
            <v>15942.842602743511</v>
          </cell>
          <cell r="G45">
            <v>797.14213013717551</v>
          </cell>
          <cell r="H45">
            <v>0</v>
          </cell>
        </row>
        <row r="46">
          <cell r="A46">
            <v>0</v>
          </cell>
          <cell r="B46">
            <v>0</v>
          </cell>
          <cell r="C46" t="str">
            <v>B. Nhân công:</v>
          </cell>
          <cell r="D46">
            <v>0</v>
          </cell>
          <cell r="E46">
            <v>0</v>
          </cell>
          <cell r="F46">
            <v>0</v>
          </cell>
          <cell r="G46">
            <v>626.01323076923074</v>
          </cell>
        </row>
        <row r="47">
          <cell r="A47">
            <v>3</v>
          </cell>
          <cell r="B47">
            <v>0</v>
          </cell>
          <cell r="C47" t="str">
            <v>Nhân công 4.5/7</v>
          </cell>
          <cell r="D47" t="str">
            <v>công</v>
          </cell>
          <cell r="E47">
            <v>2.8559999999999999E-2</v>
          </cell>
          <cell r="F47">
            <v>219192.30769230769</v>
          </cell>
          <cell r="G47">
            <v>6260.1323076923072</v>
          </cell>
        </row>
        <row r="48">
          <cell r="A48">
            <v>0</v>
          </cell>
          <cell r="B48">
            <v>0</v>
          </cell>
          <cell r="C48" t="str">
            <v>C. Máy thi công:</v>
          </cell>
          <cell r="D48">
            <v>0</v>
          </cell>
          <cell r="E48">
            <v>0</v>
          </cell>
          <cell r="F48">
            <v>0</v>
          </cell>
          <cell r="G48">
            <v>333.16369332621366</v>
          </cell>
          <cell r="H48">
            <v>0</v>
          </cell>
          <cell r="J48">
            <v>0</v>
          </cell>
        </row>
        <row r="49">
          <cell r="A49">
            <v>0</v>
          </cell>
          <cell r="B49">
            <v>0</v>
          </cell>
          <cell r="C49" t="str">
            <v>Máy hàn 23KW</v>
          </cell>
          <cell r="D49" t="str">
            <v>ca</v>
          </cell>
          <cell r="E49">
            <v>5.0800000000000003E-3</v>
          </cell>
          <cell r="F49">
            <v>309066.61675213673</v>
          </cell>
          <cell r="G49">
            <v>1570.0584131008548</v>
          </cell>
        </row>
        <row r="50">
          <cell r="A50">
            <v>0</v>
          </cell>
          <cell r="B50">
            <v>0</v>
          </cell>
          <cell r="C50" t="str">
            <v>Máy mài 2.7kw</v>
          </cell>
          <cell r="D50" t="str">
            <v>ca</v>
          </cell>
          <cell r="E50">
            <v>4.3200000000000001E-3</v>
          </cell>
          <cell r="F50">
            <v>188462.91412587411</v>
          </cell>
          <cell r="G50">
            <v>814.15978902377617</v>
          </cell>
        </row>
        <row r="51">
          <cell r="A51">
            <v>0</v>
          </cell>
          <cell r="B51">
            <v>0</v>
          </cell>
          <cell r="C51" t="str">
            <v>Máy cắt 5KW</v>
          </cell>
          <cell r="D51" t="str">
            <v>ca</v>
          </cell>
          <cell r="E51">
            <v>4.4200000000000003E-3</v>
          </cell>
          <cell r="F51">
            <v>203208.75958041957</v>
          </cell>
          <cell r="G51">
            <v>898.18271734545453</v>
          </cell>
        </row>
        <row r="52">
          <cell r="A52">
            <v>0</v>
          </cell>
          <cell r="B52">
            <v>0</v>
          </cell>
          <cell r="C52" t="str">
            <v>Máy khác</v>
          </cell>
          <cell r="D52" t="str">
            <v>%</v>
          </cell>
          <cell r="E52">
            <v>1.5</v>
          </cell>
          <cell r="F52">
            <v>3282.4009194700852</v>
          </cell>
          <cell r="G52">
            <v>49.236013792051274</v>
          </cell>
        </row>
        <row r="53">
          <cell r="A53" t="str">
            <v>CT6</v>
          </cell>
          <cell r="B53" t="str">
            <v>AG.11110</v>
          </cell>
          <cell r="C53" t="str">
            <v>BT ụ dựng cọc tiêu (KH 10%)</v>
          </cell>
          <cell r="D53" t="str">
            <v>m3</v>
          </cell>
          <cell r="E53">
            <v>1</v>
          </cell>
          <cell r="F53">
            <v>0</v>
          </cell>
          <cell r="G53">
            <v>0</v>
          </cell>
          <cell r="H53">
            <v>86178.909895972727</v>
          </cell>
          <cell r="I53">
            <v>31166.307692307695</v>
          </cell>
          <cell r="J53">
            <v>2504.4980196503498</v>
          </cell>
        </row>
        <row r="54">
          <cell r="A54">
            <v>0</v>
          </cell>
          <cell r="B54" t="str">
            <v>VD</v>
          </cell>
          <cell r="C54" t="str">
            <v>A.Vật liệu:</v>
          </cell>
          <cell r="D54">
            <v>0</v>
          </cell>
          <cell r="E54">
            <v>0</v>
          </cell>
          <cell r="F54">
            <v>0</v>
          </cell>
          <cell r="G54">
            <v>86178.909895972727</v>
          </cell>
          <cell r="H54">
            <v>0</v>
          </cell>
        </row>
        <row r="55">
          <cell r="A55">
            <v>0</v>
          </cell>
          <cell r="B55">
            <v>0</v>
          </cell>
          <cell r="C55" t="str">
            <v>BT M250 đá 1x2</v>
          </cell>
          <cell r="D55" t="str">
            <v>m3</v>
          </cell>
          <cell r="E55">
            <v>1.0449999999999999</v>
          </cell>
          <cell r="F55">
            <v>824678.56359782512</v>
          </cell>
          <cell r="G55">
            <v>861789.09895972721</v>
          </cell>
          <cell r="H55">
            <v>0</v>
          </cell>
        </row>
        <row r="56">
          <cell r="A56">
            <v>0</v>
          </cell>
          <cell r="B56">
            <v>0</v>
          </cell>
          <cell r="C56" t="str">
            <v>B. Nhân công:</v>
          </cell>
          <cell r="D56">
            <v>0</v>
          </cell>
          <cell r="E56">
            <v>0</v>
          </cell>
          <cell r="F56">
            <v>0</v>
          </cell>
          <cell r="G56">
            <v>31166.307692307695</v>
          </cell>
        </row>
        <row r="57">
          <cell r="A57">
            <v>3</v>
          </cell>
          <cell r="B57">
            <v>0</v>
          </cell>
          <cell r="C57" t="str">
            <v>Nhân công 3./7</v>
          </cell>
          <cell r="D57" t="str">
            <v>công</v>
          </cell>
          <cell r="E57">
            <v>1.83</v>
          </cell>
          <cell r="F57">
            <v>170307.69230769231</v>
          </cell>
          <cell r="G57">
            <v>311663.07692307694</v>
          </cell>
        </row>
        <row r="58">
          <cell r="A58">
            <v>0</v>
          </cell>
          <cell r="B58">
            <v>0</v>
          </cell>
          <cell r="C58" t="str">
            <v>C. Máy thi công:</v>
          </cell>
          <cell r="D58">
            <v>0</v>
          </cell>
          <cell r="E58">
            <v>0</v>
          </cell>
          <cell r="F58">
            <v>0</v>
          </cell>
          <cell r="G58">
            <v>2504.4980196503498</v>
          </cell>
          <cell r="H58">
            <v>0</v>
          </cell>
          <cell r="J58">
            <v>0</v>
          </cell>
        </row>
        <row r="59">
          <cell r="A59">
            <v>0</v>
          </cell>
          <cell r="B59">
            <v>0</v>
          </cell>
          <cell r="C59" t="str">
            <v>Máy trộn 250l</v>
          </cell>
          <cell r="D59" t="str">
            <v>ca</v>
          </cell>
          <cell r="E59">
            <v>9.5000000000000001E-2</v>
          </cell>
          <cell r="F59">
            <v>263631.37048951047</v>
          </cell>
          <cell r="G59">
            <v>25044.980196503497</v>
          </cell>
        </row>
        <row r="60">
          <cell r="A60" t="str">
            <v>CT.7</v>
          </cell>
          <cell r="B60" t="str">
            <v>TT</v>
          </cell>
          <cell r="C60" t="str">
            <v>Ống nhựa PVC D76cm, L=1.2m làm rào chắn (KH 20%)</v>
          </cell>
          <cell r="D60" t="str">
            <v>cái</v>
          </cell>
          <cell r="E60">
            <v>1</v>
          </cell>
          <cell r="F60">
            <v>0</v>
          </cell>
          <cell r="G60">
            <v>0</v>
          </cell>
          <cell r="H60">
            <v>18650.373818181815</v>
          </cell>
          <cell r="I60">
            <v>2975.2499520000001</v>
          </cell>
          <cell r="J60">
            <v>0</v>
          </cell>
        </row>
        <row r="61">
          <cell r="A61">
            <v>0</v>
          </cell>
          <cell r="B61" t="str">
            <v>VD</v>
          </cell>
          <cell r="C61" t="str">
            <v>A.Vật liệu:</v>
          </cell>
          <cell r="D61">
            <v>0</v>
          </cell>
          <cell r="E61">
            <v>0</v>
          </cell>
          <cell r="F61">
            <v>0</v>
          </cell>
          <cell r="G61">
            <v>18650.373818181815</v>
          </cell>
          <cell r="H61">
            <v>0</v>
          </cell>
        </row>
        <row r="62">
          <cell r="A62">
            <v>0</v>
          </cell>
          <cell r="B62" t="str">
            <v>VL.40</v>
          </cell>
          <cell r="C62" t="str">
            <v>Ống nhựa PVC D76cm</v>
          </cell>
          <cell r="D62" t="str">
            <v>m</v>
          </cell>
          <cell r="E62">
            <v>1.2</v>
          </cell>
          <cell r="F62">
            <v>40909.090909090904</v>
          </cell>
          <cell r="G62">
            <v>49090.909090909081</v>
          </cell>
          <cell r="H62">
            <v>0</v>
          </cell>
        </row>
        <row r="63">
          <cell r="A63">
            <v>0</v>
          </cell>
          <cell r="B63" t="str">
            <v>VL.39</v>
          </cell>
          <cell r="C63" t="str">
            <v>Màng phản quang màu vàng</v>
          </cell>
          <cell r="D63" t="str">
            <v>m2</v>
          </cell>
          <cell r="E63">
            <v>8.2896000000000011E-2</v>
          </cell>
          <cell r="F63">
            <v>532727.27272727271</v>
          </cell>
          <cell r="G63">
            <v>44160.960000000006</v>
          </cell>
          <cell r="H63">
            <v>0</v>
          </cell>
        </row>
        <row r="64">
          <cell r="A64">
            <v>0</v>
          </cell>
          <cell r="B64">
            <v>0</v>
          </cell>
          <cell r="C64" t="str">
            <v>B. Nhân công:</v>
          </cell>
          <cell r="D64">
            <v>0</v>
          </cell>
          <cell r="E64">
            <v>0</v>
          </cell>
          <cell r="F64">
            <v>0</v>
          </cell>
          <cell r="G64">
            <v>2975.2499520000001</v>
          </cell>
        </row>
        <row r="65">
          <cell r="A65">
            <v>3</v>
          </cell>
          <cell r="B65">
            <v>0</v>
          </cell>
          <cell r="C65" t="str">
            <v>Nhân công 3./7</v>
          </cell>
          <cell r="D65" t="str">
            <v>công</v>
          </cell>
          <cell r="E65">
            <v>0.05</v>
          </cell>
          <cell r="F65">
            <v>170307.69230769231</v>
          </cell>
          <cell r="G65">
            <v>8515.3846153846152</v>
          </cell>
        </row>
        <row r="66">
          <cell r="A66">
            <v>0</v>
          </cell>
          <cell r="B66">
            <v>0</v>
          </cell>
          <cell r="C66" t="str">
            <v xml:space="preserve">Nhân công 3,7/7 </v>
          </cell>
          <cell r="D66" t="str">
            <v>công</v>
          </cell>
          <cell r="E66">
            <v>3.3158400000000005E-2</v>
          </cell>
          <cell r="F66">
            <v>191832.69230769231</v>
          </cell>
          <cell r="G66">
            <v>6360.8651446153854</v>
          </cell>
          <cell r="H66">
            <v>0</v>
          </cell>
          <cell r="I66">
            <v>0</v>
          </cell>
          <cell r="J66">
            <v>0</v>
          </cell>
        </row>
        <row r="67">
          <cell r="A67" t="str">
            <v>CT.8</v>
          </cell>
          <cell r="B67" t="str">
            <v>SC. 39610</v>
          </cell>
          <cell r="C67" t="str">
            <v>Di chuyển biển báo trong quá trình thi công</v>
          </cell>
          <cell r="D67" t="str">
            <v>lần</v>
          </cell>
          <cell r="E67">
            <v>1</v>
          </cell>
          <cell r="F67">
            <v>0</v>
          </cell>
          <cell r="G67">
            <v>0</v>
          </cell>
          <cell r="H67">
            <v>0</v>
          </cell>
          <cell r="I67">
            <v>38366.538461538461</v>
          </cell>
          <cell r="J67">
            <v>7048.5127692307697</v>
          </cell>
        </row>
        <row r="68">
          <cell r="A68">
            <v>0</v>
          </cell>
          <cell r="B68" t="str">
            <v>VD</v>
          </cell>
          <cell r="C68" t="str">
            <v>B. Nhân công:</v>
          </cell>
          <cell r="D68">
            <v>0</v>
          </cell>
          <cell r="E68">
            <v>0</v>
          </cell>
          <cell r="F68">
            <v>0</v>
          </cell>
          <cell r="G68">
            <v>38366.538461538461</v>
          </cell>
        </row>
        <row r="69">
          <cell r="A69">
            <v>0</v>
          </cell>
          <cell r="B69">
            <v>0</v>
          </cell>
          <cell r="C69" t="str">
            <v>Nhân công 3.7/7</v>
          </cell>
          <cell r="D69" t="str">
            <v>c«ng</v>
          </cell>
          <cell r="E69">
            <v>0.2</v>
          </cell>
          <cell r="F69">
            <v>191832.69230769231</v>
          </cell>
          <cell r="G69">
            <v>38366.538461538461</v>
          </cell>
        </row>
        <row r="70">
          <cell r="A70">
            <v>0</v>
          </cell>
          <cell r="B70">
            <v>0</v>
          </cell>
          <cell r="C70" t="str">
            <v>C. Máy thi công:</v>
          </cell>
          <cell r="D70">
            <v>0</v>
          </cell>
          <cell r="E70">
            <v>0</v>
          </cell>
          <cell r="F70">
            <v>0</v>
          </cell>
          <cell r="G70">
            <v>7048.5127692307697</v>
          </cell>
          <cell r="H70">
            <v>0</v>
          </cell>
          <cell r="J70">
            <v>0</v>
          </cell>
        </row>
        <row r="71">
          <cell r="A71">
            <v>0</v>
          </cell>
          <cell r="B71">
            <v>0</v>
          </cell>
          <cell r="C71" t="str">
            <v>Ô tô 2.5T</v>
          </cell>
          <cell r="D71" t="str">
            <v>ca</v>
          </cell>
          <cell r="E71">
            <v>0.01</v>
          </cell>
          <cell r="F71">
            <v>640773.88811188808</v>
          </cell>
          <cell r="G71">
            <v>6407.7388811188812</v>
          </cell>
        </row>
        <row r="72">
          <cell r="A72">
            <v>0</v>
          </cell>
          <cell r="B72">
            <v>0</v>
          </cell>
          <cell r="C72" t="str">
            <v>Máy khác</v>
          </cell>
          <cell r="D72" t="str">
            <v>%</v>
          </cell>
          <cell r="E72">
            <v>10</v>
          </cell>
          <cell r="F72">
            <v>0</v>
          </cell>
          <cell r="G72">
            <v>640.77388811188814</v>
          </cell>
        </row>
        <row r="73">
          <cell r="F73">
            <v>0</v>
          </cell>
        </row>
        <row r="74">
          <cell r="F74">
            <v>0</v>
          </cell>
        </row>
        <row r="75">
          <cell r="F75">
            <v>0</v>
          </cell>
        </row>
        <row r="76">
          <cell r="F76">
            <v>0</v>
          </cell>
        </row>
        <row r="77">
          <cell r="F77">
            <v>0</v>
          </cell>
        </row>
        <row r="78">
          <cell r="F78">
            <v>0</v>
          </cell>
        </row>
        <row r="79">
          <cell r="F79">
            <v>0</v>
          </cell>
        </row>
        <row r="80">
          <cell r="F80">
            <v>0</v>
          </cell>
        </row>
        <row r="81">
          <cell r="F81">
            <v>0</v>
          </cell>
        </row>
        <row r="82">
          <cell r="F82">
            <v>0</v>
          </cell>
        </row>
        <row r="83">
          <cell r="F83">
            <v>0</v>
          </cell>
        </row>
      </sheetData>
      <sheetData sheetId="19"/>
      <sheetData sheetId="20"/>
      <sheetData sheetId="21"/>
      <sheetData sheetId="22"/>
      <sheetData sheetId="23"/>
      <sheetData sheetId="2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Dien giai"/>
      <sheetName val="DT KSTK (2)"/>
      <sheetName val="HelpMe"/>
      <sheetName val="Dien CS"/>
      <sheetName val="Sheet2"/>
      <sheetName val="PTnoi"/>
      <sheetName val="Gia VL-M_"/>
      <sheetName val="GCM"/>
      <sheetName val="Luong"/>
      <sheetName val="di duong"/>
      <sheetName val="Khoi luong"/>
      <sheetName val="PTDG"/>
      <sheetName val="DT KSTK"/>
      <sheetName val="PTDG_DNang"/>
      <sheetName val="Gia VL-M_DNang"/>
      <sheetName val="GCM_DNang"/>
      <sheetName val="di duong_DNang"/>
      <sheetName val="Luong CN_DNang"/>
      <sheetName val="% XL (2)"/>
      <sheetName val="hso"/>
      <sheetName val="% XL"/>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sheetData sheetId="11" refreshError="1"/>
      <sheetData sheetId="12">
        <row r="4">
          <cell r="B4" t="str">
            <v>CO.011003</v>
          </cell>
          <cell r="D4" t="str">
            <v>Đo vẽ trắc dọc trên cạn, ĐH cấp 3 (Tuyến cũ )</v>
          </cell>
          <cell r="E4" t="str">
            <v>100m</v>
          </cell>
          <cell r="H4">
            <v>940543.89464980771</v>
          </cell>
        </row>
        <row r="5">
          <cell r="D5" t="str">
            <v xml:space="preserve"> - Vật liệu </v>
          </cell>
          <cell r="H5">
            <v>28949</v>
          </cell>
        </row>
        <row r="6">
          <cell r="D6" t="str">
            <v>Mốc bê tông đúc sẵn</v>
          </cell>
          <cell r="E6" t="str">
            <v>cái</v>
          </cell>
          <cell r="F6">
            <v>0.3</v>
          </cell>
          <cell r="G6">
            <v>15000</v>
          </cell>
          <cell r="H6">
            <v>4500</v>
          </cell>
        </row>
        <row r="7">
          <cell r="D7" t="str">
            <v>Xi măng PC30</v>
          </cell>
          <cell r="E7" t="str">
            <v>Kg</v>
          </cell>
          <cell r="F7">
            <v>1.5</v>
          </cell>
          <cell r="G7">
            <v>1418.181818181818</v>
          </cell>
          <cell r="H7">
            <v>2127.272727272727</v>
          </cell>
        </row>
        <row r="8">
          <cell r="D8" t="str">
            <v>Cọc gỗ 0.04x0.04x0.4</v>
          </cell>
          <cell r="E8" t="str">
            <v>cọc</v>
          </cell>
          <cell r="F8">
            <v>3</v>
          </cell>
          <cell r="G8">
            <v>3500</v>
          </cell>
          <cell r="H8">
            <v>10500</v>
          </cell>
        </row>
        <row r="9">
          <cell r="D9" t="str">
            <v>Sơn đỏ, trắng</v>
          </cell>
          <cell r="E9" t="str">
            <v>kg</v>
          </cell>
          <cell r="F9">
            <v>0.1</v>
          </cell>
          <cell r="G9">
            <v>79500</v>
          </cell>
          <cell r="H9">
            <v>7950</v>
          </cell>
        </row>
        <row r="10">
          <cell r="D10" t="str">
            <v xml:space="preserve">Sổ đo </v>
          </cell>
          <cell r="E10" t="str">
            <v>quyển</v>
          </cell>
          <cell r="F10">
            <v>0.5</v>
          </cell>
          <cell r="G10">
            <v>1500</v>
          </cell>
          <cell r="H10">
            <v>750</v>
          </cell>
        </row>
        <row r="11">
          <cell r="D11" t="str">
            <v>Giấy kẻ ly cao 0.3m</v>
          </cell>
          <cell r="E11" t="str">
            <v>m</v>
          </cell>
          <cell r="F11">
            <v>0.2</v>
          </cell>
          <cell r="G11">
            <v>1500</v>
          </cell>
          <cell r="H11">
            <v>300</v>
          </cell>
        </row>
        <row r="12">
          <cell r="D12" t="str">
            <v>Giấy can cao 0.3m</v>
          </cell>
          <cell r="E12" t="str">
            <v>m</v>
          </cell>
          <cell r="F12">
            <v>0.2</v>
          </cell>
          <cell r="G12">
            <v>950</v>
          </cell>
          <cell r="H12">
            <v>190</v>
          </cell>
        </row>
        <row r="13">
          <cell r="D13" t="str">
            <v>Vật liệu khác</v>
          </cell>
          <cell r="E13" t="str">
            <v>%</v>
          </cell>
          <cell r="F13">
            <v>10</v>
          </cell>
          <cell r="G13">
            <v>26317.272727272728</v>
          </cell>
          <cell r="H13">
            <v>2631.727272727273</v>
          </cell>
        </row>
        <row r="14">
          <cell r="D14" t="str">
            <v xml:space="preserve"> - Nhân công (K=0,75)</v>
          </cell>
          <cell r="H14">
            <v>552123.70096153847</v>
          </cell>
        </row>
        <row r="15">
          <cell r="D15" t="str">
            <v>Bậc 4/7</v>
          </cell>
          <cell r="E15" t="str">
            <v>công</v>
          </cell>
          <cell r="F15">
            <v>2.87</v>
          </cell>
          <cell r="G15">
            <v>256503.46153846153</v>
          </cell>
          <cell r="H15">
            <v>736164.93461538467</v>
          </cell>
        </row>
        <row r="16">
          <cell r="D16" t="str">
            <v xml:space="preserve"> - Máy thi công (K=0,75)</v>
          </cell>
          <cell r="H16">
            <v>2564.8245000000002</v>
          </cell>
        </row>
        <row r="17">
          <cell r="D17" t="str">
            <v>Bộ đo mia bala</v>
          </cell>
          <cell r="E17" t="str">
            <v>ca</v>
          </cell>
          <cell r="F17">
            <v>0.18</v>
          </cell>
          <cell r="G17">
            <v>1773</v>
          </cell>
          <cell r="H17">
            <v>319.14</v>
          </cell>
        </row>
        <row r="18">
          <cell r="D18" t="str">
            <v>Ni 030</v>
          </cell>
          <cell r="E18" t="str">
            <v>ca</v>
          </cell>
          <cell r="F18">
            <v>0.36</v>
          </cell>
          <cell r="G18">
            <v>7725</v>
          </cell>
          <cell r="H18">
            <v>2781</v>
          </cell>
        </row>
        <row r="19">
          <cell r="D19" t="str">
            <v>ống nhòm</v>
          </cell>
          <cell r="E19" t="str">
            <v>ca</v>
          </cell>
          <cell r="F19">
            <v>0.18</v>
          </cell>
          <cell r="G19">
            <v>871</v>
          </cell>
          <cell r="H19">
            <v>156.78</v>
          </cell>
        </row>
        <row r="20">
          <cell r="D20" t="str">
            <v>Thiết bị khác</v>
          </cell>
          <cell r="E20" t="str">
            <v>%</v>
          </cell>
          <cell r="F20">
            <v>5</v>
          </cell>
          <cell r="G20">
            <v>3256.92</v>
          </cell>
          <cell r="H20">
            <v>162.846</v>
          </cell>
        </row>
        <row r="21">
          <cell r="D21" t="str">
            <v>a) Chi phí chung (55%*NC)</v>
          </cell>
          <cell r="H21">
            <v>303668.0355288462</v>
          </cell>
        </row>
        <row r="22">
          <cell r="D22" t="str">
            <v>b) Thu nhập chịu thuế tính trước [6%*(VL+NC+M+CPC)]</v>
          </cell>
          <cell r="H22">
            <v>53238.333659423079</v>
          </cell>
        </row>
        <row r="23">
          <cell r="D23" t="str">
            <v>Cộng đơn gíá (Z=VL+NC+M+CPC+T)</v>
          </cell>
          <cell r="H23">
            <v>940543.89464980771</v>
          </cell>
        </row>
        <row r="25">
          <cell r="B25" t="str">
            <v>CO.01104</v>
          </cell>
          <cell r="D25" t="str">
            <v>Đo vẽ cắt dọc trên cạn, địa hình cấp 4 (Tuyến cũ)</v>
          </cell>
          <cell r="E25" t="str">
            <v>1 m</v>
          </cell>
          <cell r="H25">
            <v>12162.773836807692</v>
          </cell>
        </row>
        <row r="26">
          <cell r="D26" t="str">
            <v xml:space="preserve"> - Vật liệu </v>
          </cell>
          <cell r="H26">
            <v>316.98999999999995</v>
          </cell>
        </row>
        <row r="27">
          <cell r="D27" t="str">
            <v>Mốc bê tông đúc sẵn</v>
          </cell>
          <cell r="E27" t="str">
            <v>cái</v>
          </cell>
          <cell r="F27">
            <v>3.5000000000000001E-3</v>
          </cell>
          <cell r="G27">
            <v>15000</v>
          </cell>
          <cell r="H27">
            <v>52.5</v>
          </cell>
        </row>
        <row r="28">
          <cell r="D28" t="str">
            <v>Xi măng PC30</v>
          </cell>
          <cell r="E28" t="str">
            <v>Kg</v>
          </cell>
          <cell r="F28">
            <v>1.4999999999999999E-2</v>
          </cell>
          <cell r="G28">
            <v>1418.181818181818</v>
          </cell>
          <cell r="H28">
            <v>21.27272727272727</v>
          </cell>
        </row>
        <row r="29">
          <cell r="D29" t="str">
            <v>Cọc gỗ 0.04x0.04x0.4</v>
          </cell>
          <cell r="E29" t="str">
            <v>cọc</v>
          </cell>
          <cell r="F29">
            <v>3.5000000000000003E-2</v>
          </cell>
          <cell r="G29">
            <v>3500</v>
          </cell>
          <cell r="H29">
            <v>122.50000000000001</v>
          </cell>
        </row>
        <row r="30">
          <cell r="D30" t="str">
            <v>Sơn đỏ, trắng</v>
          </cell>
          <cell r="E30" t="str">
            <v>kg</v>
          </cell>
          <cell r="F30">
            <v>1E-3</v>
          </cell>
          <cell r="G30">
            <v>79500</v>
          </cell>
          <cell r="H30">
            <v>79.5</v>
          </cell>
        </row>
        <row r="31">
          <cell r="D31" t="str">
            <v xml:space="preserve">Sổ đo </v>
          </cell>
          <cell r="E31" t="str">
            <v>quyển</v>
          </cell>
          <cell r="F31">
            <v>5.0000000000000001E-3</v>
          </cell>
          <cell r="G31">
            <v>1500</v>
          </cell>
          <cell r="H31">
            <v>7.5</v>
          </cell>
        </row>
        <row r="32">
          <cell r="D32" t="str">
            <v>Giấy kẻ ly cao 0.3m</v>
          </cell>
          <cell r="E32" t="str">
            <v>m</v>
          </cell>
          <cell r="F32">
            <v>2E-3</v>
          </cell>
          <cell r="G32">
            <v>1500</v>
          </cell>
          <cell r="H32">
            <v>3</v>
          </cell>
        </row>
        <row r="33">
          <cell r="D33" t="str">
            <v>Giấy can cao 0.3m</v>
          </cell>
          <cell r="E33" t="str">
            <v>m</v>
          </cell>
          <cell r="F33">
            <v>2E-3</v>
          </cell>
          <cell r="G33">
            <v>950</v>
          </cell>
          <cell r="H33">
            <v>1.9000000000000001</v>
          </cell>
        </row>
        <row r="34">
          <cell r="D34" t="str">
            <v>Vật liệu khác</v>
          </cell>
          <cell r="E34" t="str">
            <v>%</v>
          </cell>
          <cell r="F34">
            <v>10</v>
          </cell>
          <cell r="G34">
            <v>288.17272727272723</v>
          </cell>
          <cell r="H34">
            <v>28.817272727272723</v>
          </cell>
        </row>
        <row r="35">
          <cell r="D35" t="str">
            <v xml:space="preserve"> - Nhân công (K=0,75)</v>
          </cell>
          <cell r="H35">
            <v>7175.6843365384611</v>
          </cell>
        </row>
        <row r="36">
          <cell r="D36" t="str">
            <v>Bậc 4/7</v>
          </cell>
          <cell r="E36" t="str">
            <v>công</v>
          </cell>
          <cell r="F36">
            <v>3.73E-2</v>
          </cell>
          <cell r="G36">
            <v>256503.46153846153</v>
          </cell>
          <cell r="H36">
            <v>9567.5791153846149</v>
          </cell>
        </row>
        <row r="37">
          <cell r="D37" t="str">
            <v xml:space="preserve"> - Máy thi công (K=0,75)</v>
          </cell>
          <cell r="H37">
            <v>35.014218749999998</v>
          </cell>
        </row>
        <row r="38">
          <cell r="D38" t="str">
            <v>Bộ đo mia bala</v>
          </cell>
          <cell r="E38" t="str">
            <v>ca</v>
          </cell>
          <cell r="F38">
            <v>2.5000000000000001E-3</v>
          </cell>
          <cell r="G38">
            <v>1773</v>
          </cell>
          <cell r="H38">
            <v>4.4325000000000001</v>
          </cell>
        </row>
        <row r="39">
          <cell r="D39" t="str">
            <v>Ni 030</v>
          </cell>
          <cell r="E39" t="str">
            <v>ca</v>
          </cell>
          <cell r="F39">
            <v>4.8999999999999998E-3</v>
          </cell>
          <cell r="G39">
            <v>7725</v>
          </cell>
          <cell r="H39">
            <v>37.852499999999999</v>
          </cell>
        </row>
        <row r="40">
          <cell r="D40" t="str">
            <v>ống nhòm</v>
          </cell>
          <cell r="E40" t="str">
            <v>ca</v>
          </cell>
          <cell r="F40">
            <v>2.5000000000000001E-3</v>
          </cell>
          <cell r="G40">
            <v>871</v>
          </cell>
          <cell r="H40">
            <v>2.1775000000000002</v>
          </cell>
        </row>
        <row r="41">
          <cell r="D41" t="str">
            <v>Thiết bị khác</v>
          </cell>
          <cell r="E41" t="str">
            <v>%</v>
          </cell>
          <cell r="F41">
            <v>5</v>
          </cell>
          <cell r="G41">
            <v>44.462499999999999</v>
          </cell>
          <cell r="H41">
            <v>2.223125</v>
          </cell>
        </row>
        <row r="42">
          <cell r="D42" t="str">
            <v>a) Chi phí chung (55%*NC)</v>
          </cell>
          <cell r="H42">
            <v>3946.6263850961541</v>
          </cell>
        </row>
        <row r="43">
          <cell r="D43" t="str">
            <v>b) Thu nhập chịu thuế tính trước [6%*(VL+NC+M+CPC)]</v>
          </cell>
          <cell r="H43">
            <v>688.45889642307679</v>
          </cell>
        </row>
        <row r="44">
          <cell r="D44" t="str">
            <v>Cộng đơn gíá (Z=VL+NC+M+CPC+T)</v>
          </cell>
          <cell r="H44">
            <v>12162.773836807692</v>
          </cell>
        </row>
        <row r="46">
          <cell r="B46" t="str">
            <v>CO.011003a</v>
          </cell>
          <cell r="D46" t="str">
            <v>Đo vẽ trắc dọc trên cạn, ĐH cấp 3 (Cầu, cống)</v>
          </cell>
          <cell r="E46" t="str">
            <v>100m</v>
          </cell>
          <cell r="H46">
            <v>1486458.6674396927</v>
          </cell>
        </row>
        <row r="47">
          <cell r="D47" t="str">
            <v xml:space="preserve"> - Vật liệu </v>
          </cell>
          <cell r="H47">
            <v>28949</v>
          </cell>
        </row>
        <row r="48">
          <cell r="D48" t="str">
            <v>Mốc bê tông đúc sẵn</v>
          </cell>
          <cell r="E48" t="str">
            <v>cái</v>
          </cell>
          <cell r="F48">
            <v>0.3</v>
          </cell>
          <cell r="G48">
            <v>15000</v>
          </cell>
          <cell r="H48">
            <v>4500</v>
          </cell>
        </row>
        <row r="49">
          <cell r="D49" t="str">
            <v>Xi măng PC30</v>
          </cell>
          <cell r="E49" t="str">
            <v>Kg</v>
          </cell>
          <cell r="F49">
            <v>1.5</v>
          </cell>
          <cell r="G49">
            <v>1418.181818181818</v>
          </cell>
          <cell r="H49">
            <v>2127.272727272727</v>
          </cell>
        </row>
        <row r="50">
          <cell r="D50" t="str">
            <v>Cọc gỗ 0.04x0.04x0.4</v>
          </cell>
          <cell r="E50" t="str">
            <v>cọc</v>
          </cell>
          <cell r="F50">
            <v>3</v>
          </cell>
          <cell r="G50">
            <v>3500</v>
          </cell>
          <cell r="H50">
            <v>10500</v>
          </cell>
        </row>
        <row r="51">
          <cell r="D51" t="str">
            <v>Sơn đỏ, trắng</v>
          </cell>
          <cell r="E51" t="str">
            <v>kg</v>
          </cell>
          <cell r="F51">
            <v>0.1</v>
          </cell>
          <cell r="G51">
            <v>79500</v>
          </cell>
          <cell r="H51">
            <v>7950</v>
          </cell>
        </row>
        <row r="52">
          <cell r="D52" t="str">
            <v xml:space="preserve">Sổ đo </v>
          </cell>
          <cell r="E52" t="str">
            <v>quyển</v>
          </cell>
          <cell r="F52">
            <v>0.5</v>
          </cell>
          <cell r="G52">
            <v>1500</v>
          </cell>
          <cell r="H52">
            <v>750</v>
          </cell>
        </row>
        <row r="53">
          <cell r="D53" t="str">
            <v>Giấy kẻ ly cao 0.3m</v>
          </cell>
          <cell r="E53" t="str">
            <v>m</v>
          </cell>
          <cell r="F53">
            <v>0.2</v>
          </cell>
          <cell r="G53">
            <v>1500</v>
          </cell>
          <cell r="H53">
            <v>300</v>
          </cell>
        </row>
        <row r="54">
          <cell r="D54" t="str">
            <v>Giấy can cao 0.3m</v>
          </cell>
          <cell r="E54" t="str">
            <v>m</v>
          </cell>
          <cell r="F54">
            <v>0.2</v>
          </cell>
          <cell r="G54">
            <v>950</v>
          </cell>
          <cell r="H54">
            <v>190</v>
          </cell>
        </row>
        <row r="55">
          <cell r="D55" t="str">
            <v>Vật liệu khác</v>
          </cell>
          <cell r="E55" t="str">
            <v>%</v>
          </cell>
          <cell r="F55">
            <v>10</v>
          </cell>
          <cell r="G55">
            <v>26317.272727272728</v>
          </cell>
          <cell r="H55">
            <v>2631.727272727273</v>
          </cell>
        </row>
        <row r="56">
          <cell r="D56" t="str">
            <v xml:space="preserve"> - Nhân công (K = 1,2)</v>
          </cell>
          <cell r="H56">
            <v>883397.92153846158</v>
          </cell>
        </row>
        <row r="57">
          <cell r="D57" t="str">
            <v>Bậc 4/7</v>
          </cell>
          <cell r="E57" t="str">
            <v>công</v>
          </cell>
          <cell r="F57">
            <v>2.87</v>
          </cell>
          <cell r="G57">
            <v>256503.46153846153</v>
          </cell>
          <cell r="H57">
            <v>736164.93461538467</v>
          </cell>
        </row>
        <row r="58">
          <cell r="D58" t="str">
            <v xml:space="preserve"> - Máy thi công (K = 1,2)</v>
          </cell>
          <cell r="H58">
            <v>4103.7191999999995</v>
          </cell>
        </row>
        <row r="59">
          <cell r="D59" t="str">
            <v>Bộ đo mia bala</v>
          </cell>
          <cell r="E59" t="str">
            <v>ca</v>
          </cell>
          <cell r="F59">
            <v>0.18</v>
          </cell>
          <cell r="G59">
            <v>1773</v>
          </cell>
          <cell r="H59">
            <v>319.14</v>
          </cell>
        </row>
        <row r="60">
          <cell r="D60" t="str">
            <v>Ni 030</v>
          </cell>
          <cell r="E60" t="str">
            <v>ca</v>
          </cell>
          <cell r="F60">
            <v>0.36</v>
          </cell>
          <cell r="G60">
            <v>7725</v>
          </cell>
          <cell r="H60">
            <v>2781</v>
          </cell>
        </row>
        <row r="61">
          <cell r="D61" t="str">
            <v>ống nhòm</v>
          </cell>
          <cell r="E61" t="str">
            <v>ca</v>
          </cell>
          <cell r="F61">
            <v>0.18</v>
          </cell>
          <cell r="G61">
            <v>871</v>
          </cell>
          <cell r="H61">
            <v>156.78</v>
          </cell>
        </row>
        <row r="62">
          <cell r="D62" t="str">
            <v>Thiết bị khác</v>
          </cell>
          <cell r="E62" t="str">
            <v>%</v>
          </cell>
          <cell r="F62">
            <v>5</v>
          </cell>
          <cell r="G62">
            <v>3256.92</v>
          </cell>
          <cell r="H62">
            <v>162.846</v>
          </cell>
        </row>
        <row r="63">
          <cell r="D63" t="str">
            <v>a) Chi phí chung (55%*NC)</v>
          </cell>
          <cell r="H63">
            <v>485868.85684615391</v>
          </cell>
        </row>
        <row r="64">
          <cell r="D64" t="str">
            <v>b) Thu nhập chịu thuế tính trước [6%*(VL+NC+M+CPC)]</v>
          </cell>
          <cell r="H64">
            <v>84139.169855076936</v>
          </cell>
        </row>
        <row r="65">
          <cell r="D65" t="str">
            <v>Cộng đơn gíá (Z=VL+NC+M+CPC+T)</v>
          </cell>
          <cell r="H65">
            <v>1486458.6674396927</v>
          </cell>
        </row>
        <row r="67">
          <cell r="B67" t="str">
            <v>CO.01104a</v>
          </cell>
          <cell r="D67" t="str">
            <v>Đo vẽ cắt dọc trên cạn, địa hình cấp 4 (Cầu, cống)</v>
          </cell>
          <cell r="E67" t="str">
            <v>1 m</v>
          </cell>
          <cell r="H67">
            <v>19258.832498892309</v>
          </cell>
        </row>
        <row r="68">
          <cell r="D68" t="str">
            <v xml:space="preserve"> - Vật liệu </v>
          </cell>
          <cell r="H68">
            <v>316.98999999999995</v>
          </cell>
        </row>
        <row r="69">
          <cell r="D69" t="str">
            <v>Mốc bê tông đúc sẵn</v>
          </cell>
          <cell r="E69" t="str">
            <v>cái</v>
          </cell>
          <cell r="F69">
            <v>3.5000000000000001E-3</v>
          </cell>
          <cell r="G69">
            <v>15000</v>
          </cell>
          <cell r="H69">
            <v>52.5</v>
          </cell>
        </row>
        <row r="70">
          <cell r="D70" t="str">
            <v>Xi măng PC30</v>
          </cell>
          <cell r="E70" t="str">
            <v>Kg</v>
          </cell>
          <cell r="F70">
            <v>1.4999999999999999E-2</v>
          </cell>
          <cell r="G70">
            <v>1418.181818181818</v>
          </cell>
          <cell r="H70">
            <v>21.27272727272727</v>
          </cell>
        </row>
        <row r="71">
          <cell r="D71" t="str">
            <v>Cọc gỗ 0.04x0.04x0.4</v>
          </cell>
          <cell r="E71" t="str">
            <v>cọc</v>
          </cell>
          <cell r="F71">
            <v>3.5000000000000003E-2</v>
          </cell>
          <cell r="G71">
            <v>3500</v>
          </cell>
          <cell r="H71">
            <v>122.50000000000001</v>
          </cell>
        </row>
        <row r="72">
          <cell r="D72" t="str">
            <v>Sơn đỏ, trắng</v>
          </cell>
          <cell r="E72" t="str">
            <v>kg</v>
          </cell>
          <cell r="F72">
            <v>1E-3</v>
          </cell>
          <cell r="G72">
            <v>79500</v>
          </cell>
          <cell r="H72">
            <v>79.5</v>
          </cell>
        </row>
        <row r="73">
          <cell r="D73" t="str">
            <v xml:space="preserve">Sổ đo </v>
          </cell>
          <cell r="E73" t="str">
            <v>quyển</v>
          </cell>
          <cell r="F73">
            <v>5.0000000000000001E-3</v>
          </cell>
          <cell r="G73">
            <v>1500</v>
          </cell>
          <cell r="H73">
            <v>7.5</v>
          </cell>
        </row>
        <row r="74">
          <cell r="D74" t="str">
            <v>Giấy kẻ ly cao 0.3m</v>
          </cell>
          <cell r="E74" t="str">
            <v>m</v>
          </cell>
          <cell r="F74">
            <v>2E-3</v>
          </cell>
          <cell r="G74">
            <v>1500</v>
          </cell>
          <cell r="H74">
            <v>3</v>
          </cell>
        </row>
        <row r="75">
          <cell r="D75" t="str">
            <v>Giấy can cao 0.3m</v>
          </cell>
          <cell r="E75" t="str">
            <v>m</v>
          </cell>
          <cell r="F75">
            <v>2E-3</v>
          </cell>
          <cell r="G75">
            <v>950</v>
          </cell>
          <cell r="H75">
            <v>1.9000000000000001</v>
          </cell>
        </row>
        <row r="76">
          <cell r="D76" t="str">
            <v>Vật liệu khác</v>
          </cell>
          <cell r="E76" t="str">
            <v>%</v>
          </cell>
          <cell r="F76">
            <v>10</v>
          </cell>
          <cell r="G76">
            <v>288.17272727272723</v>
          </cell>
          <cell r="H76">
            <v>28.817272727272723</v>
          </cell>
        </row>
        <row r="77">
          <cell r="D77" t="str">
            <v xml:space="preserve"> - Nhân công (K = 1,2)</v>
          </cell>
          <cell r="H77">
            <v>11481.094938461538</v>
          </cell>
        </row>
        <row r="78">
          <cell r="D78" t="str">
            <v>Bậc 4/7</v>
          </cell>
          <cell r="E78" t="str">
            <v>công</v>
          </cell>
          <cell r="F78">
            <v>3.73E-2</v>
          </cell>
          <cell r="G78">
            <v>256503.46153846153</v>
          </cell>
          <cell r="H78">
            <v>9567.5791153846149</v>
          </cell>
        </row>
        <row r="79">
          <cell r="D79" t="str">
            <v xml:space="preserve"> - Máy thi công (K = 1,2)</v>
          </cell>
          <cell r="H79">
            <v>56.022750000000002</v>
          </cell>
        </row>
        <row r="80">
          <cell r="D80" t="str">
            <v>Bộ đo mia bala</v>
          </cell>
          <cell r="E80" t="str">
            <v>ca</v>
          </cell>
          <cell r="F80">
            <v>2.5000000000000001E-3</v>
          </cell>
          <cell r="G80">
            <v>1773</v>
          </cell>
          <cell r="H80">
            <v>4.4325000000000001</v>
          </cell>
        </row>
        <row r="81">
          <cell r="D81" t="str">
            <v>Ni 030</v>
          </cell>
          <cell r="E81" t="str">
            <v>ca</v>
          </cell>
          <cell r="F81">
            <v>4.8999999999999998E-3</v>
          </cell>
          <cell r="G81">
            <v>7725</v>
          </cell>
          <cell r="H81">
            <v>37.852499999999999</v>
          </cell>
        </row>
        <row r="82">
          <cell r="D82" t="str">
            <v>ống nhòm</v>
          </cell>
          <cell r="E82" t="str">
            <v>ca</v>
          </cell>
          <cell r="F82">
            <v>2.5000000000000001E-3</v>
          </cell>
          <cell r="G82">
            <v>871</v>
          </cell>
          <cell r="H82">
            <v>2.1775000000000002</v>
          </cell>
        </row>
        <row r="83">
          <cell r="D83" t="str">
            <v>Thiết bị khác</v>
          </cell>
          <cell r="E83" t="str">
            <v>%</v>
          </cell>
          <cell r="F83">
            <v>5</v>
          </cell>
          <cell r="G83">
            <v>44.462499999999999</v>
          </cell>
          <cell r="H83">
            <v>2.223125</v>
          </cell>
        </row>
        <row r="84">
          <cell r="D84" t="str">
            <v>a) Chi phí chung (55%*NC)</v>
          </cell>
          <cell r="H84">
            <v>6314.6022161538467</v>
          </cell>
        </row>
        <row r="85">
          <cell r="D85" t="str">
            <v>b) Thu nhập chịu thuế tính trước [6%*(VL+NC+M+CPC)]</v>
          </cell>
          <cell r="H85">
            <v>1090.1225942769231</v>
          </cell>
        </row>
        <row r="86">
          <cell r="D86" t="str">
            <v>Cộng đơn gíá (Z=VL+NC+M+CPC+T)</v>
          </cell>
          <cell r="H86">
            <v>19258.832498892309</v>
          </cell>
        </row>
        <row r="88">
          <cell r="B88" t="str">
            <v>CO.01304</v>
          </cell>
          <cell r="D88" t="str">
            <v>Đo vẽ cắt dọc dưới nước, địa hình cấp 4</v>
          </cell>
          <cell r="E88" t="str">
            <v>1 m</v>
          </cell>
          <cell r="H88">
            <v>22754.808122307692</v>
          </cell>
        </row>
        <row r="89">
          <cell r="D89" t="str">
            <v xml:space="preserve"> - Vật liệu </v>
          </cell>
          <cell r="H89">
            <v>319.73999999999995</v>
          </cell>
        </row>
        <row r="90">
          <cell r="D90" t="str">
            <v>Mốc bê tông đúc sẵn</v>
          </cell>
          <cell r="E90" t="str">
            <v>cái</v>
          </cell>
          <cell r="F90">
            <v>3.5000000000000001E-3</v>
          </cell>
          <cell r="G90">
            <v>15000</v>
          </cell>
          <cell r="H90">
            <v>52.5</v>
          </cell>
        </row>
        <row r="91">
          <cell r="D91" t="str">
            <v>Xi măng PC30</v>
          </cell>
          <cell r="E91" t="str">
            <v>Kg</v>
          </cell>
          <cell r="F91">
            <v>1.4999999999999999E-2</v>
          </cell>
          <cell r="G91">
            <v>1418.181818181818</v>
          </cell>
          <cell r="H91">
            <v>21.27272727272727</v>
          </cell>
        </row>
        <row r="92">
          <cell r="D92" t="str">
            <v>Cọc gỗ 0.04x0.04x0.4</v>
          </cell>
          <cell r="E92" t="str">
            <v>cọc</v>
          </cell>
          <cell r="F92">
            <v>3.5000000000000003E-2</v>
          </cell>
          <cell r="G92">
            <v>3500</v>
          </cell>
          <cell r="H92">
            <v>122.50000000000001</v>
          </cell>
        </row>
        <row r="93">
          <cell r="D93" t="str">
            <v>Sơn đỏ, trắng</v>
          </cell>
          <cell r="E93" t="str">
            <v>kg</v>
          </cell>
          <cell r="F93">
            <v>1E-3</v>
          </cell>
          <cell r="G93">
            <v>79500</v>
          </cell>
          <cell r="H93">
            <v>79.5</v>
          </cell>
        </row>
        <row r="94">
          <cell r="D94" t="str">
            <v xml:space="preserve">Sổ đo </v>
          </cell>
          <cell r="E94" t="str">
            <v>quyển</v>
          </cell>
          <cell r="F94">
            <v>5.0000000000000001E-3</v>
          </cell>
          <cell r="G94">
            <v>1500</v>
          </cell>
          <cell r="H94">
            <v>7.5</v>
          </cell>
        </row>
        <row r="95">
          <cell r="D95" t="str">
            <v>Giấy kẻ ly cao 0.3m</v>
          </cell>
          <cell r="E95" t="str">
            <v>m</v>
          </cell>
          <cell r="F95">
            <v>2E-3</v>
          </cell>
          <cell r="G95">
            <v>1500</v>
          </cell>
          <cell r="H95">
            <v>3</v>
          </cell>
        </row>
        <row r="96">
          <cell r="D96" t="str">
            <v>Giấy can cao 0.3m</v>
          </cell>
          <cell r="E96" t="str">
            <v>m</v>
          </cell>
          <cell r="F96">
            <v>2E-3</v>
          </cell>
          <cell r="G96">
            <v>950</v>
          </cell>
          <cell r="H96">
            <v>1.9000000000000001</v>
          </cell>
        </row>
        <row r="97">
          <cell r="D97" t="str">
            <v>Giấy viết</v>
          </cell>
          <cell r="E97" t="str">
            <v>tập</v>
          </cell>
          <cell r="F97">
            <v>1E-3</v>
          </cell>
          <cell r="G97">
            <v>2500</v>
          </cell>
          <cell r="H97">
            <v>2.5</v>
          </cell>
        </row>
        <row r="98">
          <cell r="D98" t="str">
            <v>Vật liệu khác</v>
          </cell>
          <cell r="E98" t="str">
            <v>%</v>
          </cell>
          <cell r="F98">
            <v>10</v>
          </cell>
          <cell r="G98">
            <v>290.67272727272723</v>
          </cell>
          <cell r="H98">
            <v>29.067272727272723</v>
          </cell>
        </row>
        <row r="99">
          <cell r="D99" t="str">
            <v xml:space="preserve"> - Nhân công </v>
          </cell>
          <cell r="H99">
            <v>13594.683461538461</v>
          </cell>
        </row>
        <row r="100">
          <cell r="D100" t="str">
            <v>Bậc 4/7</v>
          </cell>
          <cell r="E100" t="str">
            <v>công</v>
          </cell>
          <cell r="F100">
            <v>5.2999999999999999E-2</v>
          </cell>
          <cell r="G100">
            <v>256503.46153846153</v>
          </cell>
          <cell r="H100">
            <v>13594.683461538461</v>
          </cell>
        </row>
        <row r="101">
          <cell r="D101" t="str">
            <v xml:space="preserve"> - Máy thi công </v>
          </cell>
          <cell r="H101">
            <v>75.300750000000008</v>
          </cell>
        </row>
        <row r="102">
          <cell r="D102" t="str">
            <v>Bộ đo mia bala</v>
          </cell>
          <cell r="E102" t="str">
            <v>ca</v>
          </cell>
          <cell r="F102">
            <v>3.7499999999999999E-3</v>
          </cell>
          <cell r="G102">
            <v>1773</v>
          </cell>
          <cell r="H102">
            <v>6.6487499999999997</v>
          </cell>
        </row>
        <row r="103">
          <cell r="D103" t="str">
            <v>Ni 030</v>
          </cell>
          <cell r="E103" t="str">
            <v>ca</v>
          </cell>
          <cell r="F103">
            <v>8.0000000000000002E-3</v>
          </cell>
          <cell r="G103">
            <v>7725</v>
          </cell>
          <cell r="H103">
            <v>61.800000000000004</v>
          </cell>
        </row>
        <row r="104">
          <cell r="D104" t="str">
            <v>ống nhòm</v>
          </cell>
          <cell r="E104" t="str">
            <v>ca</v>
          </cell>
          <cell r="F104">
            <v>3.7499999999999999E-3</v>
          </cell>
          <cell r="G104">
            <v>871</v>
          </cell>
          <cell r="H104">
            <v>3.2662499999999999</v>
          </cell>
        </row>
        <row r="105">
          <cell r="D105" t="str">
            <v>Thiết bị khác</v>
          </cell>
          <cell r="E105" t="str">
            <v>%</v>
          </cell>
          <cell r="F105">
            <v>5</v>
          </cell>
          <cell r="G105">
            <v>71.715000000000003</v>
          </cell>
          <cell r="H105">
            <v>3.5857500000000004</v>
          </cell>
        </row>
        <row r="106">
          <cell r="D106" t="str">
            <v>a) Chi phí chung (55%*NC)</v>
          </cell>
          <cell r="H106">
            <v>7477.0759038461547</v>
          </cell>
        </row>
        <row r="107">
          <cell r="D107" t="str">
            <v>b) Thu nhập chịu thuế tính trước [6%*(VL+NC+M+CPC)]</v>
          </cell>
          <cell r="H107">
            <v>1288.0080069230769</v>
          </cell>
        </row>
        <row r="108">
          <cell r="D108" t="str">
            <v>Cộng đơn gíá (Z=VL+NC+M+CPC+T)</v>
          </cell>
          <cell r="H108">
            <v>22754.808122307692</v>
          </cell>
        </row>
        <row r="110">
          <cell r="B110" t="str">
            <v>CO.012003</v>
          </cell>
          <cell r="D110" t="str">
            <v>Đo vẽ trắc ngang trên cạn, ĐH cấp 3</v>
          </cell>
          <cell r="E110" t="str">
            <v>100m</v>
          </cell>
          <cell r="H110">
            <v>1616665.5353076921</v>
          </cell>
        </row>
        <row r="111">
          <cell r="D111" t="str">
            <v xml:space="preserve"> - Vật liệu </v>
          </cell>
          <cell r="H111">
            <v>35244</v>
          </cell>
        </row>
        <row r="112">
          <cell r="D112" t="str">
            <v>Cọc gỗ 0.04x0.04x0.4</v>
          </cell>
          <cell r="E112" t="str">
            <v>cọc</v>
          </cell>
          <cell r="F112">
            <v>7</v>
          </cell>
          <cell r="G112">
            <v>3500</v>
          </cell>
          <cell r="H112">
            <v>24500</v>
          </cell>
        </row>
        <row r="113">
          <cell r="D113" t="str">
            <v>Sơn đỏ, trắng</v>
          </cell>
          <cell r="E113" t="str">
            <v>kg</v>
          </cell>
          <cell r="F113">
            <v>7.0000000000000007E-2</v>
          </cell>
          <cell r="G113">
            <v>79500</v>
          </cell>
          <cell r="H113">
            <v>5565.0000000000009</v>
          </cell>
        </row>
        <row r="114">
          <cell r="D114" t="str">
            <v xml:space="preserve">Sổ đo </v>
          </cell>
          <cell r="E114" t="str">
            <v>quyển</v>
          </cell>
          <cell r="F114">
            <v>0.5</v>
          </cell>
          <cell r="G114">
            <v>1500</v>
          </cell>
          <cell r="H114">
            <v>750</v>
          </cell>
        </row>
        <row r="115">
          <cell r="D115" t="str">
            <v>Giấy kẻ ly cao 0.3m</v>
          </cell>
          <cell r="E115" t="str">
            <v>m</v>
          </cell>
          <cell r="F115">
            <v>0.5</v>
          </cell>
          <cell r="G115">
            <v>1500</v>
          </cell>
          <cell r="H115">
            <v>750</v>
          </cell>
        </row>
        <row r="116">
          <cell r="D116" t="str">
            <v>Giấy can cao 0.3m</v>
          </cell>
          <cell r="E116" t="str">
            <v>m</v>
          </cell>
          <cell r="F116">
            <v>0.5</v>
          </cell>
          <cell r="G116">
            <v>950</v>
          </cell>
          <cell r="H116">
            <v>475</v>
          </cell>
        </row>
        <row r="117">
          <cell r="D117" t="str">
            <v>Vật liệu khác</v>
          </cell>
          <cell r="E117" t="str">
            <v>%</v>
          </cell>
          <cell r="F117">
            <v>10</v>
          </cell>
          <cell r="G117">
            <v>32040</v>
          </cell>
          <cell r="H117">
            <v>3204</v>
          </cell>
        </row>
        <row r="118">
          <cell r="D118" t="str">
            <v xml:space="preserve"> - Nhân công</v>
          </cell>
          <cell r="H118">
            <v>956757.91153846146</v>
          </cell>
        </row>
        <row r="119">
          <cell r="D119" t="str">
            <v>Bậc 4/7</v>
          </cell>
          <cell r="E119" t="str">
            <v>công</v>
          </cell>
          <cell r="F119">
            <v>3.73</v>
          </cell>
          <cell r="G119">
            <v>256503.46153846153</v>
          </cell>
          <cell r="H119">
            <v>956757.91153846146</v>
          </cell>
        </row>
        <row r="120">
          <cell r="D120" t="str">
            <v xml:space="preserve"> - Máy thi công </v>
          </cell>
          <cell r="H120">
            <v>6937.4025000000001</v>
          </cell>
        </row>
        <row r="121">
          <cell r="D121" t="str">
            <v>Máy theo 020</v>
          </cell>
          <cell r="E121" t="str">
            <v>ca</v>
          </cell>
          <cell r="F121">
            <v>0.39</v>
          </cell>
          <cell r="G121">
            <v>13970</v>
          </cell>
          <cell r="H121">
            <v>5448.3</v>
          </cell>
        </row>
        <row r="122">
          <cell r="D122" t="str">
            <v>Ni 030</v>
          </cell>
          <cell r="E122" t="str">
            <v>ca</v>
          </cell>
          <cell r="F122">
            <v>0.15</v>
          </cell>
          <cell r="G122">
            <v>7725</v>
          </cell>
          <cell r="H122">
            <v>1158.75</v>
          </cell>
        </row>
        <row r="123">
          <cell r="D123" t="str">
            <v>Thiết bị khác</v>
          </cell>
          <cell r="E123" t="str">
            <v>%</v>
          </cell>
          <cell r="F123">
            <v>5</v>
          </cell>
          <cell r="G123">
            <v>6607.05</v>
          </cell>
          <cell r="H123">
            <v>330.35250000000002</v>
          </cell>
        </row>
        <row r="124">
          <cell r="D124" t="str">
            <v>a) Chi phí chung (55%*NC)</v>
          </cell>
          <cell r="H124">
            <v>526216.85134615388</v>
          </cell>
        </row>
        <row r="125">
          <cell r="D125" t="str">
            <v>b) Thu nhập chịu thuế tính trước [6%*(VL+NC+M+CPC)]</v>
          </cell>
          <cell r="H125">
            <v>91509.369923076913</v>
          </cell>
        </row>
        <row r="126">
          <cell r="D126" t="str">
            <v>Cộng đơn gíá (Z=VL+NC+M+CPC+T)</v>
          </cell>
          <cell r="H126">
            <v>1616665.5353076921</v>
          </cell>
        </row>
        <row r="127">
          <cell r="B127" t="str">
            <v>CO.01204</v>
          </cell>
          <cell r="D127" t="str">
            <v>Đo vẽ cắt ngang trên cạn, địa hình cấp 4</v>
          </cell>
          <cell r="E127" t="str">
            <v>1 m</v>
          </cell>
          <cell r="H127">
            <v>20962.876167423077</v>
          </cell>
        </row>
        <row r="128">
          <cell r="D128" t="str">
            <v xml:space="preserve"> - Vật liệu </v>
          </cell>
          <cell r="H128">
            <v>399.685</v>
          </cell>
        </row>
        <row r="129">
          <cell r="D129" t="str">
            <v>Cọc gỗ 0.04x0.04x0.4</v>
          </cell>
          <cell r="E129" t="str">
            <v>cọc</v>
          </cell>
          <cell r="F129">
            <v>0.08</v>
          </cell>
          <cell r="G129">
            <v>3500</v>
          </cell>
          <cell r="H129">
            <v>280</v>
          </cell>
        </row>
        <row r="130">
          <cell r="D130" t="str">
            <v>Sơn đỏ, trắng</v>
          </cell>
          <cell r="E130" t="str">
            <v>kg</v>
          </cell>
          <cell r="F130">
            <v>8.0000000000000004E-4</v>
          </cell>
          <cell r="G130">
            <v>79500</v>
          </cell>
          <cell r="H130">
            <v>63.6</v>
          </cell>
        </row>
        <row r="131">
          <cell r="D131" t="str">
            <v xml:space="preserve">Sổ đo </v>
          </cell>
          <cell r="E131" t="str">
            <v>quyển</v>
          </cell>
          <cell r="F131">
            <v>5.0000000000000001E-3</v>
          </cell>
          <cell r="G131">
            <v>1500</v>
          </cell>
          <cell r="H131">
            <v>7.5</v>
          </cell>
        </row>
        <row r="132">
          <cell r="D132" t="str">
            <v>Giấy kẻ ly cao 0.3m</v>
          </cell>
          <cell r="E132" t="str">
            <v>m</v>
          </cell>
          <cell r="F132">
            <v>5.0000000000000001E-3</v>
          </cell>
          <cell r="G132">
            <v>1500</v>
          </cell>
          <cell r="H132">
            <v>7.5</v>
          </cell>
        </row>
        <row r="133">
          <cell r="D133" t="str">
            <v>Giấy can cao 0.3m</v>
          </cell>
          <cell r="E133" t="str">
            <v>m</v>
          </cell>
          <cell r="F133">
            <v>5.0000000000000001E-3</v>
          </cell>
          <cell r="G133">
            <v>950</v>
          </cell>
          <cell r="H133">
            <v>4.75</v>
          </cell>
        </row>
        <row r="134">
          <cell r="D134" t="str">
            <v>Vật liệu khác</v>
          </cell>
          <cell r="E134" t="str">
            <v>%</v>
          </cell>
          <cell r="F134">
            <v>10</v>
          </cell>
          <cell r="G134">
            <v>363.35</v>
          </cell>
          <cell r="H134">
            <v>36.335000000000001</v>
          </cell>
        </row>
        <row r="135">
          <cell r="D135" t="str">
            <v xml:space="preserve"> - Nhân công</v>
          </cell>
          <cell r="H135">
            <v>12440.417884615385</v>
          </cell>
        </row>
        <row r="136">
          <cell r="D136" t="str">
            <v>Bậc 4/7</v>
          </cell>
          <cell r="E136" t="str">
            <v>công</v>
          </cell>
          <cell r="F136">
            <v>4.8500000000000001E-2</v>
          </cell>
          <cell r="G136">
            <v>256503.46153846153</v>
          </cell>
          <cell r="H136">
            <v>12440.417884615385</v>
          </cell>
        </row>
        <row r="137">
          <cell r="D137" t="str">
            <v xml:space="preserve"> - Máy thi công </v>
          </cell>
          <cell r="H137">
            <v>93.965549999999993</v>
          </cell>
        </row>
        <row r="138">
          <cell r="D138" t="str">
            <v>Máy theo 020</v>
          </cell>
          <cell r="E138" t="str">
            <v>ca</v>
          </cell>
          <cell r="F138">
            <v>5.3E-3</v>
          </cell>
          <cell r="G138">
            <v>13970</v>
          </cell>
          <cell r="H138">
            <v>74.040999999999997</v>
          </cell>
        </row>
        <row r="139">
          <cell r="D139" t="str">
            <v>Ni 030</v>
          </cell>
          <cell r="E139" t="str">
            <v>ca</v>
          </cell>
          <cell r="F139">
            <v>2E-3</v>
          </cell>
          <cell r="G139">
            <v>7725</v>
          </cell>
          <cell r="H139">
            <v>15.450000000000001</v>
          </cell>
        </row>
        <row r="140">
          <cell r="D140" t="str">
            <v>Thiết bị khác</v>
          </cell>
          <cell r="E140" t="str">
            <v>%</v>
          </cell>
          <cell r="F140">
            <v>5</v>
          </cell>
          <cell r="G140">
            <v>89.491</v>
          </cell>
          <cell r="H140">
            <v>4.4745499999999998</v>
          </cell>
        </row>
        <row r="141">
          <cell r="D141" t="str">
            <v>a) Chi phí chung (55%*NC)</v>
          </cell>
          <cell r="H141">
            <v>6842.2298365384622</v>
          </cell>
        </row>
        <row r="142">
          <cell r="D142" t="str">
            <v>b) Thu nhập chịu thuế tính trước [6%*(VL+NC+M+CPC)]</v>
          </cell>
          <cell r="H142">
            <v>1186.5778962692307</v>
          </cell>
        </row>
        <row r="143">
          <cell r="D143" t="str">
            <v>Cộng đơn gíá (Z=VL+NC+M+CPC+T)</v>
          </cell>
          <cell r="H143">
            <v>20962.876167423077</v>
          </cell>
        </row>
        <row r="144">
          <cell r="B144" t="str">
            <v>CO.01404</v>
          </cell>
          <cell r="D144" t="str">
            <v>Đo vẽ cắt dọc dòng chảy, địa hình cấp 4</v>
          </cell>
          <cell r="E144" t="str">
            <v>1 m</v>
          </cell>
          <cell r="H144">
            <v>31121.155741769227</v>
          </cell>
        </row>
        <row r="145">
          <cell r="D145" t="str">
            <v xml:space="preserve"> - Vật liệu </v>
          </cell>
          <cell r="H145">
            <v>305.19499999999999</v>
          </cell>
        </row>
        <row r="146">
          <cell r="D146" t="str">
            <v>Cọc gỗ 0.04x0.04x0.4</v>
          </cell>
          <cell r="E146" t="str">
            <v>cọc</v>
          </cell>
          <cell r="F146">
            <v>0.06</v>
          </cell>
          <cell r="G146">
            <v>3500</v>
          </cell>
          <cell r="H146">
            <v>210</v>
          </cell>
        </row>
        <row r="147">
          <cell r="D147" t="str">
            <v>Sơn đỏ, trắng</v>
          </cell>
          <cell r="E147" t="str">
            <v>kg</v>
          </cell>
          <cell r="F147">
            <v>5.9999999999999995E-4</v>
          </cell>
          <cell r="G147">
            <v>79500</v>
          </cell>
          <cell r="H147">
            <v>47.699999999999996</v>
          </cell>
        </row>
        <row r="148">
          <cell r="D148" t="str">
            <v xml:space="preserve">Sổ đo </v>
          </cell>
          <cell r="E148" t="str">
            <v>quyển</v>
          </cell>
          <cell r="F148">
            <v>5.0000000000000001E-3</v>
          </cell>
          <cell r="G148">
            <v>1500</v>
          </cell>
          <cell r="H148">
            <v>7.5</v>
          </cell>
        </row>
        <row r="149">
          <cell r="D149" t="str">
            <v>Giấy kẻ ly cao 0.3m</v>
          </cell>
          <cell r="E149" t="str">
            <v>m</v>
          </cell>
          <cell r="F149">
            <v>5.0000000000000001E-3</v>
          </cell>
          <cell r="G149">
            <v>1500</v>
          </cell>
          <cell r="H149">
            <v>7.5</v>
          </cell>
        </row>
        <row r="150">
          <cell r="D150" t="str">
            <v>Giấy can cao 0.3m</v>
          </cell>
          <cell r="E150" t="str">
            <v>m</v>
          </cell>
          <cell r="F150">
            <v>5.0000000000000001E-3</v>
          </cell>
          <cell r="G150">
            <v>950</v>
          </cell>
          <cell r="H150">
            <v>4.75</v>
          </cell>
        </row>
        <row r="151">
          <cell r="D151" t="str">
            <v>Vật liệu khác</v>
          </cell>
          <cell r="E151" t="str">
            <v>%</v>
          </cell>
          <cell r="F151">
            <v>10</v>
          </cell>
          <cell r="G151">
            <v>277.45</v>
          </cell>
          <cell r="H151">
            <v>27.745000000000001</v>
          </cell>
        </row>
        <row r="152">
          <cell r="D152" t="str">
            <v xml:space="preserve"> - Nhân công</v>
          </cell>
          <cell r="H152">
            <v>18647.801653846152</v>
          </cell>
        </row>
        <row r="153">
          <cell r="D153" t="str">
            <v>Bậc 4/7</v>
          </cell>
          <cell r="E153" t="str">
            <v>công</v>
          </cell>
          <cell r="F153">
            <v>7.2700000000000001E-2</v>
          </cell>
          <cell r="G153">
            <v>256503.46153846153</v>
          </cell>
          <cell r="H153">
            <v>18647.801653846152</v>
          </cell>
        </row>
        <row r="154">
          <cell r="D154" t="str">
            <v xml:space="preserve"> - Máy thi công </v>
          </cell>
          <cell r="H154">
            <v>150.29332499999998</v>
          </cell>
        </row>
        <row r="155">
          <cell r="D155" t="str">
            <v>Máy theo 020</v>
          </cell>
          <cell r="E155" t="str">
            <v>ca</v>
          </cell>
          <cell r="F155">
            <v>8.199999999999999E-3</v>
          </cell>
          <cell r="G155">
            <v>13970</v>
          </cell>
          <cell r="H155">
            <v>114.55399999999999</v>
          </cell>
        </row>
        <row r="156">
          <cell r="D156" t="str">
            <v>Ni 030</v>
          </cell>
          <cell r="E156" t="str">
            <v>ca</v>
          </cell>
          <cell r="F156">
            <v>3.7000000000000002E-3</v>
          </cell>
          <cell r="G156">
            <v>7725</v>
          </cell>
          <cell r="H156">
            <v>28.5825</v>
          </cell>
        </row>
        <row r="157">
          <cell r="D157" t="str">
            <v>Thiết bị khác</v>
          </cell>
          <cell r="E157" t="str">
            <v>%</v>
          </cell>
          <cell r="F157">
            <v>5</v>
          </cell>
          <cell r="G157">
            <v>143.13649999999998</v>
          </cell>
          <cell r="H157">
            <v>7.1568249999999995</v>
          </cell>
        </row>
        <row r="158">
          <cell r="D158" t="str">
            <v>a) Chi phí chung (55%*NC)</v>
          </cell>
          <cell r="H158">
            <v>10256.290909615385</v>
          </cell>
        </row>
        <row r="159">
          <cell r="D159" t="str">
            <v>b) Thu nhập chịu thuế tính trước [6%*(VL+NC+M+CPC)]</v>
          </cell>
          <cell r="H159">
            <v>1761.5748533076921</v>
          </cell>
        </row>
        <row r="160">
          <cell r="D160" t="str">
            <v>Cộng đơn gíá (Z=VL+NC+M+CPC+T)</v>
          </cell>
          <cell r="H160">
            <v>31121.155741769227</v>
          </cell>
        </row>
        <row r="161">
          <cell r="B161" t="str">
            <v>CO.01304vd</v>
          </cell>
          <cell r="D161" t="str">
            <v>Đo vẽ cắt ngang thượng hạ lưu sông dưới nước, địa hình cấp 4</v>
          </cell>
          <cell r="E161" t="str">
            <v>1 m</v>
          </cell>
          <cell r="H161">
            <v>22754.808122307692</v>
          </cell>
        </row>
        <row r="162">
          <cell r="D162" t="str">
            <v xml:space="preserve"> - Vật liệu </v>
          </cell>
          <cell r="H162">
            <v>319.73999999999995</v>
          </cell>
        </row>
        <row r="163">
          <cell r="D163" t="str">
            <v>Mốc bê tông đúc sẵn</v>
          </cell>
          <cell r="E163" t="str">
            <v>cái</v>
          </cell>
          <cell r="F163">
            <v>3.5000000000000001E-3</v>
          </cell>
          <cell r="G163">
            <v>15000</v>
          </cell>
          <cell r="H163">
            <v>52.5</v>
          </cell>
        </row>
        <row r="164">
          <cell r="D164" t="str">
            <v>Xi măng PC30</v>
          </cell>
          <cell r="E164" t="str">
            <v>Kg</v>
          </cell>
          <cell r="F164">
            <v>1.4999999999999999E-2</v>
          </cell>
          <cell r="G164">
            <v>1418.181818181818</v>
          </cell>
          <cell r="H164">
            <v>21.27272727272727</v>
          </cell>
        </row>
        <row r="165">
          <cell r="D165" t="str">
            <v>Cọc gỗ 0.04x0.04x0.4</v>
          </cell>
          <cell r="E165" t="str">
            <v>cọc</v>
          </cell>
          <cell r="F165">
            <v>3.5000000000000003E-2</v>
          </cell>
          <cell r="G165">
            <v>3500</v>
          </cell>
          <cell r="H165">
            <v>122.50000000000001</v>
          </cell>
        </row>
        <row r="166">
          <cell r="D166" t="str">
            <v>Sơn đỏ, trắng</v>
          </cell>
          <cell r="E166" t="str">
            <v>kg</v>
          </cell>
          <cell r="F166">
            <v>1E-3</v>
          </cell>
          <cell r="G166">
            <v>79500</v>
          </cell>
          <cell r="H166">
            <v>79.5</v>
          </cell>
        </row>
        <row r="167">
          <cell r="D167" t="str">
            <v xml:space="preserve">Sổ đo </v>
          </cell>
          <cell r="E167" t="str">
            <v>quyển</v>
          </cell>
          <cell r="F167">
            <v>5.0000000000000001E-3</v>
          </cell>
          <cell r="G167">
            <v>1500</v>
          </cell>
          <cell r="H167">
            <v>7.5</v>
          </cell>
        </row>
        <row r="168">
          <cell r="D168" t="str">
            <v>Giấy kẻ ly cao 0.3m</v>
          </cell>
          <cell r="E168" t="str">
            <v>m</v>
          </cell>
          <cell r="F168">
            <v>2E-3</v>
          </cell>
          <cell r="G168">
            <v>1500</v>
          </cell>
          <cell r="H168">
            <v>3</v>
          </cell>
        </row>
        <row r="169">
          <cell r="D169" t="str">
            <v>Giấy can cao 0.3m</v>
          </cell>
          <cell r="E169" t="str">
            <v>m</v>
          </cell>
          <cell r="F169">
            <v>2E-3</v>
          </cell>
          <cell r="G169">
            <v>950</v>
          </cell>
          <cell r="H169">
            <v>1.9000000000000001</v>
          </cell>
        </row>
        <row r="170">
          <cell r="D170" t="str">
            <v>Giấy viết</v>
          </cell>
          <cell r="E170" t="str">
            <v>tập</v>
          </cell>
          <cell r="F170">
            <v>1E-3</v>
          </cell>
          <cell r="G170">
            <v>2500</v>
          </cell>
          <cell r="H170">
            <v>2.5</v>
          </cell>
        </row>
        <row r="171">
          <cell r="D171" t="str">
            <v>Vật liệu khác</v>
          </cell>
          <cell r="E171" t="str">
            <v>%</v>
          </cell>
          <cell r="F171">
            <v>10</v>
          </cell>
          <cell r="G171">
            <v>290.67272727272723</v>
          </cell>
          <cell r="H171">
            <v>29.067272727272723</v>
          </cell>
        </row>
        <row r="172">
          <cell r="D172" t="str">
            <v xml:space="preserve"> - Nhân công </v>
          </cell>
          <cell r="H172">
            <v>13594.683461538461</v>
          </cell>
        </row>
        <row r="173">
          <cell r="D173" t="str">
            <v>Bậc 4/7</v>
          </cell>
          <cell r="E173" t="str">
            <v>công</v>
          </cell>
          <cell r="F173">
            <v>5.2999999999999999E-2</v>
          </cell>
          <cell r="G173">
            <v>256503.46153846153</v>
          </cell>
          <cell r="H173">
            <v>13594.683461538461</v>
          </cell>
        </row>
        <row r="174">
          <cell r="D174" t="str">
            <v xml:space="preserve"> - Máy thi công </v>
          </cell>
          <cell r="H174">
            <v>75.300750000000008</v>
          </cell>
        </row>
        <row r="175">
          <cell r="D175" t="str">
            <v>Bộ đo mia bala</v>
          </cell>
          <cell r="E175" t="str">
            <v>ca</v>
          </cell>
          <cell r="F175">
            <v>3.7499999999999999E-3</v>
          </cell>
          <cell r="G175">
            <v>1773</v>
          </cell>
          <cell r="H175">
            <v>6.6487499999999997</v>
          </cell>
        </row>
        <row r="176">
          <cell r="D176" t="str">
            <v>Ni 030</v>
          </cell>
          <cell r="E176" t="str">
            <v>ca</v>
          </cell>
          <cell r="F176">
            <v>8.0000000000000002E-3</v>
          </cell>
          <cell r="G176">
            <v>7725</v>
          </cell>
          <cell r="H176">
            <v>61.800000000000004</v>
          </cell>
        </row>
        <row r="177">
          <cell r="D177" t="str">
            <v>ống nhòm</v>
          </cell>
          <cell r="E177" t="str">
            <v>ca</v>
          </cell>
          <cell r="F177">
            <v>3.7499999999999999E-3</v>
          </cell>
          <cell r="G177">
            <v>871</v>
          </cell>
          <cell r="H177">
            <v>3.2662499999999999</v>
          </cell>
        </row>
        <row r="178">
          <cell r="D178" t="str">
            <v>Thiết bị khác</v>
          </cell>
          <cell r="E178" t="str">
            <v>%</v>
          </cell>
          <cell r="F178">
            <v>5</v>
          </cell>
          <cell r="G178">
            <v>71.715000000000003</v>
          </cell>
          <cell r="H178">
            <v>3.5857500000000004</v>
          </cell>
        </row>
        <row r="179">
          <cell r="D179" t="str">
            <v>a) Chi phí chung (55%*NC)</v>
          </cell>
          <cell r="H179">
            <v>7477.0759038461547</v>
          </cell>
        </row>
        <row r="180">
          <cell r="D180" t="str">
            <v>b) Thu nhập chịu thuế tính trước [6%*(VL+NC+M+CPC)]</v>
          </cell>
          <cell r="H180">
            <v>1288.0080069230769</v>
          </cell>
        </row>
        <row r="181">
          <cell r="D181" t="str">
            <v>Cộng đơn gíá (Z=VL+NC+M+CPC+T)</v>
          </cell>
          <cell r="H181">
            <v>22754.808122307692</v>
          </cell>
        </row>
        <row r="183">
          <cell r="B183" t="str">
            <v>CO.01104vd</v>
          </cell>
          <cell r="D183" t="str">
            <v>Đo vẽ cắt ngang thượng hạ lưu sông trên cạn, địa hình cấp 4</v>
          </cell>
          <cell r="E183" t="str">
            <v>1 m</v>
          </cell>
          <cell r="H183">
            <v>16105.028649076921</v>
          </cell>
        </row>
        <row r="184">
          <cell r="D184" t="str">
            <v xml:space="preserve"> - Vật liệu </v>
          </cell>
          <cell r="H184">
            <v>316.98999999999995</v>
          </cell>
        </row>
        <row r="185">
          <cell r="D185" t="str">
            <v>Mốc bê tông đúc sẵn</v>
          </cell>
          <cell r="E185" t="str">
            <v>cái</v>
          </cell>
          <cell r="F185">
            <v>3.5000000000000001E-3</v>
          </cell>
          <cell r="G185">
            <v>15000</v>
          </cell>
          <cell r="H185">
            <v>52.5</v>
          </cell>
        </row>
        <row r="186">
          <cell r="D186" t="str">
            <v>Xi măng PC30</v>
          </cell>
          <cell r="E186" t="str">
            <v>Kg</v>
          </cell>
          <cell r="F186">
            <v>1.4999999999999999E-2</v>
          </cell>
          <cell r="G186">
            <v>1418.181818181818</v>
          </cell>
          <cell r="H186">
            <v>21.27272727272727</v>
          </cell>
        </row>
        <row r="187">
          <cell r="D187" t="str">
            <v>Cọc gỗ 0.04x0.04x0.4</v>
          </cell>
          <cell r="E187" t="str">
            <v>cọc</v>
          </cell>
          <cell r="F187">
            <v>3.5000000000000003E-2</v>
          </cell>
          <cell r="G187">
            <v>3500</v>
          </cell>
          <cell r="H187">
            <v>122.50000000000001</v>
          </cell>
        </row>
        <row r="188">
          <cell r="D188" t="str">
            <v>Sơn đỏ, trắng</v>
          </cell>
          <cell r="E188" t="str">
            <v>kg</v>
          </cell>
          <cell r="F188">
            <v>1E-3</v>
          </cell>
          <cell r="G188">
            <v>79500</v>
          </cell>
          <cell r="H188">
            <v>79.5</v>
          </cell>
        </row>
        <row r="189">
          <cell r="D189" t="str">
            <v xml:space="preserve">Sổ đo </v>
          </cell>
          <cell r="E189" t="str">
            <v>quyển</v>
          </cell>
          <cell r="F189">
            <v>5.0000000000000001E-3</v>
          </cell>
          <cell r="G189">
            <v>1500</v>
          </cell>
          <cell r="H189">
            <v>7.5</v>
          </cell>
        </row>
        <row r="190">
          <cell r="D190" t="str">
            <v>Giấy kẻ ly cao 0.3m</v>
          </cell>
          <cell r="E190" t="str">
            <v>m</v>
          </cell>
          <cell r="F190">
            <v>2E-3</v>
          </cell>
          <cell r="G190">
            <v>1500</v>
          </cell>
          <cell r="H190">
            <v>3</v>
          </cell>
        </row>
        <row r="191">
          <cell r="D191" t="str">
            <v>Giấy can cao 0.3m</v>
          </cell>
          <cell r="E191" t="str">
            <v>m</v>
          </cell>
          <cell r="F191">
            <v>2E-3</v>
          </cell>
          <cell r="G191">
            <v>950</v>
          </cell>
          <cell r="H191">
            <v>1.9000000000000001</v>
          </cell>
        </row>
        <row r="192">
          <cell r="D192" t="str">
            <v>Vật liệu khác</v>
          </cell>
          <cell r="E192" t="str">
            <v>%</v>
          </cell>
          <cell r="F192">
            <v>10</v>
          </cell>
          <cell r="G192">
            <v>288.17272727272723</v>
          </cell>
          <cell r="H192">
            <v>28.817272727272723</v>
          </cell>
        </row>
        <row r="193">
          <cell r="D193" t="str">
            <v xml:space="preserve"> - Nhân công </v>
          </cell>
          <cell r="H193">
            <v>9567.5791153846149</v>
          </cell>
        </row>
        <row r="194">
          <cell r="D194" t="str">
            <v>Bậc 4/7</v>
          </cell>
          <cell r="E194" t="str">
            <v>công</v>
          </cell>
          <cell r="F194">
            <v>3.73E-2</v>
          </cell>
          <cell r="G194">
            <v>256503.46153846153</v>
          </cell>
          <cell r="H194">
            <v>9567.5791153846149</v>
          </cell>
        </row>
        <row r="195">
          <cell r="D195" t="str">
            <v xml:space="preserve"> - Máy thi công </v>
          </cell>
          <cell r="H195">
            <v>46.685625000000002</v>
          </cell>
        </row>
        <row r="196">
          <cell r="D196" t="str">
            <v>Bộ đo mia bala</v>
          </cell>
          <cell r="E196" t="str">
            <v>ca</v>
          </cell>
          <cell r="F196">
            <v>2.5000000000000001E-3</v>
          </cell>
          <cell r="G196">
            <v>1773</v>
          </cell>
          <cell r="H196">
            <v>4.4325000000000001</v>
          </cell>
        </row>
        <row r="197">
          <cell r="D197" t="str">
            <v>Ni 030</v>
          </cell>
          <cell r="E197" t="str">
            <v>ca</v>
          </cell>
          <cell r="F197">
            <v>4.8999999999999998E-3</v>
          </cell>
          <cell r="G197">
            <v>7725</v>
          </cell>
          <cell r="H197">
            <v>37.852499999999999</v>
          </cell>
        </row>
        <row r="198">
          <cell r="D198" t="str">
            <v>ống nhòm</v>
          </cell>
          <cell r="E198" t="str">
            <v>ca</v>
          </cell>
          <cell r="F198">
            <v>2.5000000000000001E-3</v>
          </cell>
          <cell r="G198">
            <v>871</v>
          </cell>
          <cell r="H198">
            <v>2.1775000000000002</v>
          </cell>
        </row>
        <row r="199">
          <cell r="D199" t="str">
            <v>Thiết bị khác</v>
          </cell>
          <cell r="E199" t="str">
            <v>%</v>
          </cell>
          <cell r="F199">
            <v>5</v>
          </cell>
          <cell r="G199">
            <v>44.462499999999999</v>
          </cell>
          <cell r="H199">
            <v>2.223125</v>
          </cell>
        </row>
        <row r="200">
          <cell r="D200" t="str">
            <v>a) Chi phí chung (55%*NC)</v>
          </cell>
          <cell r="H200">
            <v>5262.1685134615382</v>
          </cell>
        </row>
        <row r="201">
          <cell r="D201" t="str">
            <v>b) Thu nhập chịu thuế tính trước [6%*(VL+NC+M+CPC)]</v>
          </cell>
          <cell r="H201">
            <v>911.60539523076909</v>
          </cell>
        </row>
        <row r="202">
          <cell r="D202" t="str">
            <v>Cộng đơn gíá (Z=VL+NC+M+CPC+T)</v>
          </cell>
          <cell r="H202">
            <v>16105.028649076921</v>
          </cell>
        </row>
        <row r="204">
          <cell r="B204" t="str">
            <v>CM.02204</v>
          </cell>
          <cell r="D204" t="str">
            <v>Đo vẽ bình đồ trên cạn, tỷ lệ 1/500, ĐĐM 1m, ĐH cấp 4</v>
          </cell>
          <cell r="E204" t="str">
            <v>ha</v>
          </cell>
          <cell r="H204">
            <v>6460396.2319269218</v>
          </cell>
        </row>
        <row r="205">
          <cell r="D205" t="str">
            <v xml:space="preserve"> - Vật liệu </v>
          </cell>
          <cell r="H205">
            <v>19892.7</v>
          </cell>
        </row>
        <row r="206">
          <cell r="D206" t="str">
            <v>Cọc gỗ 4x4x30</v>
          </cell>
          <cell r="E206" t="str">
            <v>cọc</v>
          </cell>
          <cell r="F206">
            <v>3</v>
          </cell>
          <cell r="G206">
            <v>2000</v>
          </cell>
          <cell r="H206">
            <v>6000</v>
          </cell>
        </row>
        <row r="207">
          <cell r="D207" t="str">
            <v xml:space="preserve">Sổ đo </v>
          </cell>
          <cell r="E207" t="str">
            <v>quyển</v>
          </cell>
          <cell r="F207">
            <v>0.7</v>
          </cell>
          <cell r="G207">
            <v>1500</v>
          </cell>
          <cell r="H207">
            <v>1050</v>
          </cell>
        </row>
        <row r="208">
          <cell r="D208" t="str">
            <v>Giấy vẽ bản đồ (50x50)</v>
          </cell>
          <cell r="E208" t="str">
            <v>tờ</v>
          </cell>
          <cell r="F208">
            <v>0.18</v>
          </cell>
          <cell r="G208">
            <v>3600</v>
          </cell>
          <cell r="H208">
            <v>648</v>
          </cell>
        </row>
        <row r="209">
          <cell r="D209" t="str">
            <v>Bản gỗ 60x60</v>
          </cell>
          <cell r="E209" t="str">
            <v>cái</v>
          </cell>
          <cell r="F209">
            <v>0.16</v>
          </cell>
          <cell r="G209">
            <v>60000</v>
          </cell>
          <cell r="H209">
            <v>9600</v>
          </cell>
        </row>
        <row r="210">
          <cell r="D210" t="str">
            <v>Vật liệu khác</v>
          </cell>
          <cell r="E210" t="str">
            <v>%</v>
          </cell>
          <cell r="F210">
            <v>15</v>
          </cell>
          <cell r="G210">
            <v>17298</v>
          </cell>
          <cell r="H210">
            <v>2594.6999999999998</v>
          </cell>
        </row>
        <row r="211">
          <cell r="D211" t="str">
            <v xml:space="preserve"> - Nhân công</v>
          </cell>
          <cell r="H211">
            <v>3898852.615384615</v>
          </cell>
        </row>
        <row r="212">
          <cell r="D212" t="str">
            <v>Bậc 4/7</v>
          </cell>
          <cell r="E212" t="str">
            <v>công</v>
          </cell>
          <cell r="F212">
            <v>15.2</v>
          </cell>
          <cell r="G212">
            <v>256503.46153846153</v>
          </cell>
          <cell r="H212">
            <v>3898852.615384615</v>
          </cell>
        </row>
        <row r="213">
          <cell r="D213" t="str">
            <v xml:space="preserve"> - Máy thi công </v>
          </cell>
          <cell r="H213">
            <v>31599.172499999997</v>
          </cell>
        </row>
        <row r="214">
          <cell r="D214" t="str">
            <v>Máy theo 020</v>
          </cell>
          <cell r="E214" t="str">
            <v>ca</v>
          </cell>
          <cell r="F214">
            <v>0.5</v>
          </cell>
          <cell r="G214">
            <v>13970</v>
          </cell>
          <cell r="H214">
            <v>6985</v>
          </cell>
        </row>
        <row r="215">
          <cell r="D215" t="str">
            <v>Ni 030</v>
          </cell>
          <cell r="E215" t="str">
            <v>ca</v>
          </cell>
          <cell r="F215">
            <v>0.05</v>
          </cell>
          <cell r="G215">
            <v>7725</v>
          </cell>
          <cell r="H215">
            <v>386.25</v>
          </cell>
        </row>
        <row r="216">
          <cell r="D216" t="str">
            <v>Dalta 020</v>
          </cell>
          <cell r="E216" t="str">
            <v>ca</v>
          </cell>
          <cell r="F216">
            <v>1.1339999999999999</v>
          </cell>
          <cell r="G216">
            <v>19100</v>
          </cell>
          <cell r="H216">
            <v>21659.399999999998</v>
          </cell>
        </row>
        <row r="217">
          <cell r="D217" t="str">
            <v>Bộ đo mia bala</v>
          </cell>
          <cell r="E217" t="str">
            <v>ca</v>
          </cell>
          <cell r="F217">
            <v>0.6</v>
          </cell>
          <cell r="G217">
            <v>1773</v>
          </cell>
          <cell r="H217">
            <v>1063.8</v>
          </cell>
        </row>
        <row r="218">
          <cell r="D218" t="str">
            <v>Thiết bị khác</v>
          </cell>
          <cell r="E218" t="str">
            <v>%</v>
          </cell>
          <cell r="F218">
            <v>5</v>
          </cell>
          <cell r="G218">
            <v>30094.449999999997</v>
          </cell>
          <cell r="H218">
            <v>1504.7224999999999</v>
          </cell>
        </row>
        <row r="219">
          <cell r="D219" t="str">
            <v>a) Chi phí chung (55%*NC)</v>
          </cell>
          <cell r="H219">
            <v>2144368.9384615384</v>
          </cell>
        </row>
        <row r="220">
          <cell r="D220" t="str">
            <v>b) Thu nhập chịu thuế tính trước [6%*(VL+NC+M+CPC)]</v>
          </cell>
          <cell r="H220">
            <v>365682.80558076914</v>
          </cell>
        </row>
        <row r="221">
          <cell r="D221" t="str">
            <v>Cộng đơn gíá (Z=VL+NC+M+CPC+T)</v>
          </cell>
          <cell r="H221">
            <v>6460396.2319269218</v>
          </cell>
        </row>
        <row r="223">
          <cell r="B223" t="str">
            <v>CN.02204</v>
          </cell>
          <cell r="D223" t="str">
            <v>Đo vẽ bình đồ dưới nước, tỷ lệ 1/500, ĐĐM 1m, ĐH cấp 4</v>
          </cell>
          <cell r="E223" t="str">
            <v>ha</v>
          </cell>
          <cell r="H223">
            <v>8347467.7395115374</v>
          </cell>
        </row>
        <row r="224">
          <cell r="D224" t="str">
            <v xml:space="preserve"> - Vật liệu </v>
          </cell>
          <cell r="H224">
            <v>19027.8</v>
          </cell>
        </row>
        <row r="225">
          <cell r="D225" t="str">
            <v>Cọc gỗ 4x4x30</v>
          </cell>
          <cell r="E225" t="str">
            <v>cọc</v>
          </cell>
          <cell r="F225">
            <v>3</v>
          </cell>
          <cell r="G225">
            <v>2000</v>
          </cell>
          <cell r="H225">
            <v>6000</v>
          </cell>
        </row>
        <row r="226">
          <cell r="D226" t="str">
            <v xml:space="preserve">Sổ đo </v>
          </cell>
          <cell r="E226" t="str">
            <v>quyển</v>
          </cell>
          <cell r="F226">
            <v>0.7</v>
          </cell>
          <cell r="G226">
            <v>1500</v>
          </cell>
          <cell r="H226">
            <v>1050</v>
          </cell>
        </row>
        <row r="227">
          <cell r="D227" t="str">
            <v>Giấy vẽ bản đồ (50x50)</v>
          </cell>
          <cell r="E227" t="str">
            <v>tờ</v>
          </cell>
          <cell r="F227">
            <v>0.18</v>
          </cell>
          <cell r="G227">
            <v>3600</v>
          </cell>
          <cell r="H227">
            <v>648</v>
          </cell>
        </row>
        <row r="228">
          <cell r="D228" t="str">
            <v>Bản gỗ 60x60</v>
          </cell>
          <cell r="E228" t="str">
            <v>cái</v>
          </cell>
          <cell r="F228">
            <v>0.16</v>
          </cell>
          <cell r="G228">
            <v>60000</v>
          </cell>
          <cell r="H228">
            <v>9600</v>
          </cell>
        </row>
        <row r="229">
          <cell r="D229" t="str">
            <v>Vật liệu khác</v>
          </cell>
          <cell r="E229" t="str">
            <v>%</v>
          </cell>
          <cell r="F229">
            <v>10</v>
          </cell>
          <cell r="G229">
            <v>17298</v>
          </cell>
          <cell r="H229">
            <v>1729.8000000000002</v>
          </cell>
        </row>
        <row r="230">
          <cell r="D230" t="str">
            <v xml:space="preserve"> - Nhân công</v>
          </cell>
          <cell r="H230">
            <v>5053118.192307692</v>
          </cell>
        </row>
        <row r="231">
          <cell r="D231" t="str">
            <v>Bậc 4/7</v>
          </cell>
          <cell r="E231" t="str">
            <v>công</v>
          </cell>
          <cell r="F231">
            <v>19.7</v>
          </cell>
          <cell r="G231">
            <v>256503.46153846153</v>
          </cell>
          <cell r="H231">
            <v>5053118.192307692</v>
          </cell>
        </row>
        <row r="232">
          <cell r="D232" t="str">
            <v xml:space="preserve"> - Máy thi công </v>
          </cell>
          <cell r="H232">
            <v>23608.567499999997</v>
          </cell>
        </row>
        <row r="233">
          <cell r="D233" t="str">
            <v>Máy theo 020</v>
          </cell>
          <cell r="E233" t="str">
            <v>ca</v>
          </cell>
          <cell r="F233">
            <v>0.43</v>
          </cell>
          <cell r="G233">
            <v>13970</v>
          </cell>
          <cell r="H233">
            <v>6007.0999999999995</v>
          </cell>
        </row>
        <row r="234">
          <cell r="D234" t="str">
            <v>Ni 030</v>
          </cell>
          <cell r="E234" t="str">
            <v>ca</v>
          </cell>
          <cell r="F234">
            <v>4.2000000000000003E-2</v>
          </cell>
          <cell r="G234">
            <v>7725</v>
          </cell>
          <cell r="H234">
            <v>324.45000000000005</v>
          </cell>
        </row>
        <row r="235">
          <cell r="D235" t="str">
            <v>Dalta 020</v>
          </cell>
          <cell r="E235" t="str">
            <v>ca</v>
          </cell>
          <cell r="F235">
            <v>0.79</v>
          </cell>
          <cell r="G235">
            <v>19100</v>
          </cell>
          <cell r="H235">
            <v>15089</v>
          </cell>
        </row>
        <row r="236">
          <cell r="D236" t="str">
            <v>Bộ đo mia bala</v>
          </cell>
          <cell r="E236" t="str">
            <v>ca</v>
          </cell>
          <cell r="F236">
            <v>0.6</v>
          </cell>
          <cell r="G236">
            <v>1773</v>
          </cell>
          <cell r="H236">
            <v>1063.8</v>
          </cell>
        </row>
        <row r="237">
          <cell r="D237" t="str">
            <v>Thiết bị khác</v>
          </cell>
          <cell r="E237" t="str">
            <v>%</v>
          </cell>
          <cell r="F237">
            <v>5</v>
          </cell>
          <cell r="G237">
            <v>22484.35</v>
          </cell>
          <cell r="H237">
            <v>1124.2175</v>
          </cell>
        </row>
        <row r="238">
          <cell r="D238" t="str">
            <v>a) Chi phí chung (55%*NC)</v>
          </cell>
          <cell r="H238">
            <v>2779215.0057692309</v>
          </cell>
        </row>
        <row r="239">
          <cell r="D239" t="str">
            <v>b) Thu nhập chịu thuế tính trước [6%*(VL+NC+M+CPC)]</v>
          </cell>
          <cell r="H239">
            <v>472498.17393461533</v>
          </cell>
        </row>
        <row r="240">
          <cell r="D240" t="str">
            <v>Cộng đơn gíá (Z=VL+NC+M+CPC+T)</v>
          </cell>
          <cell r="H240">
            <v>8347467.7395115374</v>
          </cell>
        </row>
        <row r="242">
          <cell r="B242" t="str">
            <v>CM.03103</v>
          </cell>
          <cell r="D242" t="str">
            <v>Đo vẽ bình đồ trên cạn, tỷ lệ 1/1000, ĐĐM 1m, ĐH cấp 3</v>
          </cell>
          <cell r="E242" t="str">
            <v>100ha</v>
          </cell>
          <cell r="H242">
            <v>169452592.61416921</v>
          </cell>
        </row>
        <row r="243">
          <cell r="D243" t="str">
            <v xml:space="preserve"> - Vật liệu </v>
          </cell>
          <cell r="H243">
            <v>411700</v>
          </cell>
        </row>
        <row r="244">
          <cell r="D244" t="str">
            <v>Cọc gỗ 4x4x30</v>
          </cell>
          <cell r="E244" t="str">
            <v>cọc</v>
          </cell>
          <cell r="F244">
            <v>35</v>
          </cell>
          <cell r="G244">
            <v>2000</v>
          </cell>
          <cell r="H244">
            <v>70000</v>
          </cell>
        </row>
        <row r="245">
          <cell r="D245" t="str">
            <v xml:space="preserve">Sổ đo </v>
          </cell>
          <cell r="E245" t="str">
            <v>quyển</v>
          </cell>
          <cell r="F245">
            <v>20</v>
          </cell>
          <cell r="G245">
            <v>1500</v>
          </cell>
          <cell r="H245">
            <v>30000</v>
          </cell>
        </row>
        <row r="246">
          <cell r="D246" t="str">
            <v>Giấy vẽ bản đồ (50x50)</v>
          </cell>
          <cell r="E246" t="str">
            <v>tờ</v>
          </cell>
          <cell r="F246">
            <v>5</v>
          </cell>
          <cell r="G246">
            <v>3600</v>
          </cell>
          <cell r="H246">
            <v>18000</v>
          </cell>
        </row>
        <row r="247">
          <cell r="D247" t="str">
            <v>Bản gỗ 60x60</v>
          </cell>
          <cell r="E247" t="str">
            <v>cái</v>
          </cell>
          <cell r="F247">
            <v>4</v>
          </cell>
          <cell r="G247">
            <v>60000</v>
          </cell>
          <cell r="H247">
            <v>240000</v>
          </cell>
        </row>
        <row r="248">
          <cell r="D248" t="str">
            <v>Vật liệu khác</v>
          </cell>
          <cell r="E248" t="str">
            <v>%</v>
          </cell>
          <cell r="F248">
            <v>15</v>
          </cell>
          <cell r="G248">
            <v>358000</v>
          </cell>
          <cell r="H248">
            <v>53700</v>
          </cell>
        </row>
        <row r="249">
          <cell r="D249" t="str">
            <v xml:space="preserve"> - Nhân công</v>
          </cell>
          <cell r="H249">
            <v>102344881.15384614</v>
          </cell>
        </row>
        <row r="250">
          <cell r="D250" t="str">
            <v>Bậc 4/7</v>
          </cell>
          <cell r="E250" t="str">
            <v>công</v>
          </cell>
          <cell r="F250">
            <v>399</v>
          </cell>
          <cell r="G250">
            <v>256503.46153846153</v>
          </cell>
          <cell r="H250">
            <v>102344881.15384614</v>
          </cell>
        </row>
        <row r="251">
          <cell r="D251" t="str">
            <v xml:space="preserve"> - Máy thi công </v>
          </cell>
          <cell r="H251">
            <v>814670.64</v>
          </cell>
        </row>
        <row r="252">
          <cell r="D252" t="str">
            <v>Máy theo 020</v>
          </cell>
          <cell r="E252" t="str">
            <v>ca</v>
          </cell>
          <cell r="F252">
            <v>8.8000000000000007</v>
          </cell>
          <cell r="G252">
            <v>13970</v>
          </cell>
          <cell r="H252">
            <v>122936.00000000001</v>
          </cell>
        </row>
        <row r="253">
          <cell r="D253" t="str">
            <v>Ni 030</v>
          </cell>
          <cell r="E253" t="str">
            <v>ca</v>
          </cell>
          <cell r="F253">
            <v>3.2</v>
          </cell>
          <cell r="G253">
            <v>7725</v>
          </cell>
          <cell r="H253">
            <v>24720</v>
          </cell>
        </row>
        <row r="254">
          <cell r="D254" t="str">
            <v>Dalta 020</v>
          </cell>
          <cell r="E254" t="str">
            <v>ca</v>
          </cell>
          <cell r="F254">
            <v>32</v>
          </cell>
          <cell r="G254">
            <v>19100</v>
          </cell>
          <cell r="H254">
            <v>611200</v>
          </cell>
        </row>
        <row r="255">
          <cell r="D255" t="str">
            <v>Bộ đo mia bala</v>
          </cell>
          <cell r="E255" t="str">
            <v>ca</v>
          </cell>
          <cell r="F255">
            <v>9.6</v>
          </cell>
          <cell r="G255">
            <v>1773</v>
          </cell>
          <cell r="H255">
            <v>17020.8</v>
          </cell>
        </row>
        <row r="256">
          <cell r="D256" t="str">
            <v>Thiết bị khác</v>
          </cell>
          <cell r="E256" t="str">
            <v>%</v>
          </cell>
          <cell r="F256">
            <v>5</v>
          </cell>
          <cell r="G256">
            <v>775876.8</v>
          </cell>
          <cell r="H256">
            <v>38793.840000000004</v>
          </cell>
        </row>
        <row r="257">
          <cell r="D257" t="str">
            <v>a) Chi phí chung (55%*NC)</v>
          </cell>
          <cell r="H257">
            <v>56289684.634615384</v>
          </cell>
        </row>
        <row r="258">
          <cell r="D258" t="str">
            <v>b) Thu nhập chịu thuế tính trước [6%*(VL+NC+M+CPC)]</v>
          </cell>
          <cell r="H258">
            <v>9591656.1857076902</v>
          </cell>
        </row>
        <row r="259">
          <cell r="D259" t="str">
            <v>Cộng đơn gíá (Z=VL+NC+M+CPC+T)</v>
          </cell>
          <cell r="H259">
            <v>169452592.61416921</v>
          </cell>
        </row>
        <row r="261">
          <cell r="B261" t="str">
            <v>CM.04103</v>
          </cell>
          <cell r="D261" t="str">
            <v>Đo vẽ bình đồ trên cạn, tỷ lệ 1/2000, ĐĐM 1m, ĐH cấp 3</v>
          </cell>
          <cell r="E261" t="str">
            <v>100ha</v>
          </cell>
          <cell r="H261">
            <v>90988011.107761547</v>
          </cell>
        </row>
        <row r="262">
          <cell r="D262" t="str">
            <v xml:space="preserve"> - Vật liệu </v>
          </cell>
          <cell r="H262">
            <v>144785</v>
          </cell>
        </row>
        <row r="263">
          <cell r="D263" t="str">
            <v>Cọc gỗ 4x4x30</v>
          </cell>
          <cell r="E263" t="str">
            <v>cọc</v>
          </cell>
          <cell r="F263">
            <v>13</v>
          </cell>
          <cell r="G263">
            <v>2000</v>
          </cell>
          <cell r="H263">
            <v>26000</v>
          </cell>
        </row>
        <row r="264">
          <cell r="D264" t="str">
            <v xml:space="preserve">Sổ đo </v>
          </cell>
          <cell r="E264" t="str">
            <v>quyển</v>
          </cell>
          <cell r="F264">
            <v>3</v>
          </cell>
          <cell r="G264">
            <v>1500</v>
          </cell>
          <cell r="H264">
            <v>4500</v>
          </cell>
        </row>
        <row r="265">
          <cell r="D265" t="str">
            <v>Giấy vẽ bản đồ (50x50)</v>
          </cell>
          <cell r="E265" t="str">
            <v>tờ</v>
          </cell>
          <cell r="F265">
            <v>1.5</v>
          </cell>
          <cell r="G265">
            <v>3600</v>
          </cell>
          <cell r="H265">
            <v>5400</v>
          </cell>
        </row>
        <row r="266">
          <cell r="D266" t="str">
            <v>Bản gỗ 60x60</v>
          </cell>
          <cell r="E266" t="str">
            <v>cái</v>
          </cell>
          <cell r="F266">
            <v>1.5</v>
          </cell>
          <cell r="G266">
            <v>60000</v>
          </cell>
          <cell r="H266">
            <v>90000</v>
          </cell>
        </row>
        <row r="267">
          <cell r="D267" t="str">
            <v>Vật liệu khác</v>
          </cell>
          <cell r="E267" t="str">
            <v>%</v>
          </cell>
          <cell r="F267">
            <v>15</v>
          </cell>
          <cell r="G267">
            <v>125900</v>
          </cell>
          <cell r="H267">
            <v>18885</v>
          </cell>
        </row>
        <row r="268">
          <cell r="D268" t="str">
            <v xml:space="preserve"> - Nhân công</v>
          </cell>
          <cell r="H268">
            <v>55071293.192307688</v>
          </cell>
        </row>
        <row r="269">
          <cell r="D269" t="str">
            <v>Bậc 4/7</v>
          </cell>
          <cell r="E269" t="str">
            <v>công</v>
          </cell>
          <cell r="F269">
            <v>214.7</v>
          </cell>
          <cell r="G269">
            <v>256503.46153846153</v>
          </cell>
          <cell r="H269">
            <v>55071293.192307688</v>
          </cell>
        </row>
        <row r="270">
          <cell r="D270" t="str">
            <v xml:space="preserve"> - Máy thi công </v>
          </cell>
          <cell r="H270">
            <v>332456.88</v>
          </cell>
        </row>
        <row r="271">
          <cell r="D271" t="str">
            <v>Máy theo 020</v>
          </cell>
          <cell r="E271" t="str">
            <v>ca</v>
          </cell>
          <cell r="F271">
            <v>3.6</v>
          </cell>
          <cell r="G271">
            <v>13970</v>
          </cell>
          <cell r="H271">
            <v>50292</v>
          </cell>
        </row>
        <row r="272">
          <cell r="D272" t="str">
            <v>Ni 030</v>
          </cell>
          <cell r="E272" t="str">
            <v>ca</v>
          </cell>
          <cell r="F272">
            <v>1.6</v>
          </cell>
          <cell r="G272">
            <v>7725</v>
          </cell>
          <cell r="H272">
            <v>12360</v>
          </cell>
        </row>
        <row r="273">
          <cell r="D273" t="str">
            <v>Dalta 020</v>
          </cell>
          <cell r="E273" t="str">
            <v>ca</v>
          </cell>
          <cell r="F273">
            <v>13</v>
          </cell>
          <cell r="G273">
            <v>19100</v>
          </cell>
          <cell r="H273">
            <v>248300</v>
          </cell>
        </row>
        <row r="274">
          <cell r="D274" t="str">
            <v>Bộ đo mia bala</v>
          </cell>
          <cell r="E274" t="str">
            <v>ca</v>
          </cell>
          <cell r="F274">
            <v>3.2</v>
          </cell>
          <cell r="G274">
            <v>1773</v>
          </cell>
          <cell r="H274">
            <v>5673.6</v>
          </cell>
        </row>
        <row r="275">
          <cell r="D275" t="str">
            <v>Thiết bị khác</v>
          </cell>
          <cell r="E275" t="str">
            <v>%</v>
          </cell>
          <cell r="F275">
            <v>5</v>
          </cell>
          <cell r="G275">
            <v>316625.59999999998</v>
          </cell>
          <cell r="H275">
            <v>15831.279999999999</v>
          </cell>
        </row>
        <row r="276">
          <cell r="D276" t="str">
            <v>a) Chi phí chung (55%*NC)</v>
          </cell>
          <cell r="H276">
            <v>30289211.25576923</v>
          </cell>
        </row>
        <row r="277">
          <cell r="D277" t="str">
            <v>b) Thu nhập chịu thuế tính trước [6%*(VL+NC+M+CPC)]</v>
          </cell>
          <cell r="H277">
            <v>5150264.7796846153</v>
          </cell>
        </row>
        <row r="278">
          <cell r="D278" t="str">
            <v>Cộng đơn gíá (Z=VL+NC+M+CPC+T)</v>
          </cell>
          <cell r="H278">
            <v>90988011.107761547</v>
          </cell>
        </row>
        <row r="280">
          <cell r="B280" t="str">
            <v>CM.04104</v>
          </cell>
          <cell r="D280" t="str">
            <v>Đo vẽ bình đồ trên cạn, tỷ lệ 1/2000, ĐĐM 1m, ĐH cấp 4</v>
          </cell>
          <cell r="E280" t="str">
            <v>100ha</v>
          </cell>
          <cell r="H280">
            <v>116783110.57286923</v>
          </cell>
        </row>
        <row r="281">
          <cell r="D281" t="str">
            <v xml:space="preserve"> - Vật liệu </v>
          </cell>
          <cell r="H281">
            <v>144785</v>
          </cell>
        </row>
        <row r="282">
          <cell r="D282" t="str">
            <v>Cọc gỗ 4x4x30</v>
          </cell>
          <cell r="E282" t="str">
            <v>cọc</v>
          </cell>
          <cell r="F282">
            <v>13</v>
          </cell>
          <cell r="G282">
            <v>2000</v>
          </cell>
          <cell r="H282">
            <v>26000</v>
          </cell>
        </row>
        <row r="283">
          <cell r="D283" t="str">
            <v xml:space="preserve">Sổ đo </v>
          </cell>
          <cell r="E283" t="str">
            <v>quyển</v>
          </cell>
          <cell r="F283">
            <v>3</v>
          </cell>
          <cell r="G283">
            <v>1500</v>
          </cell>
          <cell r="H283">
            <v>4500</v>
          </cell>
        </row>
        <row r="284">
          <cell r="D284" t="str">
            <v>Giấy vẽ bản đồ (50x50)</v>
          </cell>
          <cell r="E284" t="str">
            <v>tờ</v>
          </cell>
          <cell r="F284">
            <v>1.5</v>
          </cell>
          <cell r="G284">
            <v>3600</v>
          </cell>
          <cell r="H284">
            <v>5400</v>
          </cell>
        </row>
        <row r="285">
          <cell r="D285" t="str">
            <v>Bản gỗ 60x60</v>
          </cell>
          <cell r="E285" t="str">
            <v>cái</v>
          </cell>
          <cell r="F285">
            <v>1.5</v>
          </cell>
          <cell r="G285">
            <v>60000</v>
          </cell>
          <cell r="H285">
            <v>90000</v>
          </cell>
        </row>
        <row r="286">
          <cell r="D286" t="str">
            <v>Vật liệu khác</v>
          </cell>
          <cell r="E286" t="str">
            <v>%</v>
          </cell>
          <cell r="F286">
            <v>15</v>
          </cell>
          <cell r="G286">
            <v>125900</v>
          </cell>
          <cell r="H286">
            <v>18885</v>
          </cell>
        </row>
        <row r="287">
          <cell r="D287" t="str">
            <v xml:space="preserve"> - Nhân công</v>
          </cell>
          <cell r="H287">
            <v>70666703.653846145</v>
          </cell>
        </row>
        <row r="288">
          <cell r="D288" t="str">
            <v>Bậc 4/7</v>
          </cell>
          <cell r="E288" t="str">
            <v>công</v>
          </cell>
          <cell r="F288">
            <v>275.5</v>
          </cell>
          <cell r="G288">
            <v>256503.46153846153</v>
          </cell>
          <cell r="H288">
            <v>70666703.653846145</v>
          </cell>
        </row>
        <row r="289">
          <cell r="D289" t="str">
            <v xml:space="preserve"> - Máy thi công </v>
          </cell>
          <cell r="H289">
            <v>494570.16000000003</v>
          </cell>
        </row>
        <row r="290">
          <cell r="D290" t="str">
            <v>Máy theo 020</v>
          </cell>
          <cell r="E290" t="str">
            <v>ca</v>
          </cell>
          <cell r="F290">
            <v>5.6</v>
          </cell>
          <cell r="G290">
            <v>13970</v>
          </cell>
          <cell r="H290">
            <v>78232</v>
          </cell>
        </row>
        <row r="291">
          <cell r="D291" t="str">
            <v>Ni 030</v>
          </cell>
          <cell r="E291" t="str">
            <v>ca</v>
          </cell>
          <cell r="F291">
            <v>2.4</v>
          </cell>
          <cell r="G291">
            <v>7725</v>
          </cell>
          <cell r="H291">
            <v>18540</v>
          </cell>
        </row>
        <row r="292">
          <cell r="D292" t="str">
            <v>Dalta 020</v>
          </cell>
          <cell r="E292" t="str">
            <v>ca</v>
          </cell>
          <cell r="F292">
            <v>19</v>
          </cell>
          <cell r="G292">
            <v>19100</v>
          </cell>
          <cell r="H292">
            <v>362900</v>
          </cell>
        </row>
        <row r="293">
          <cell r="D293" t="str">
            <v>Bộ đo mia bala</v>
          </cell>
          <cell r="E293" t="str">
            <v>ca</v>
          </cell>
          <cell r="F293">
            <v>6.4</v>
          </cell>
          <cell r="G293">
            <v>1773</v>
          </cell>
          <cell r="H293">
            <v>11347.2</v>
          </cell>
        </row>
        <row r="294">
          <cell r="D294" t="str">
            <v>Thiết bị khác</v>
          </cell>
          <cell r="E294" t="str">
            <v>%</v>
          </cell>
          <cell r="F294">
            <v>5</v>
          </cell>
          <cell r="G294">
            <v>471019.2</v>
          </cell>
          <cell r="H294">
            <v>23550.960000000003</v>
          </cell>
        </row>
        <row r="295">
          <cell r="D295" t="str">
            <v>a) Chi phí chung (55%*NC)</v>
          </cell>
          <cell r="H295">
            <v>38866687.009615384</v>
          </cell>
        </row>
        <row r="296">
          <cell r="D296" t="str">
            <v>b) Thu nhập chịu thuế tính trước [6%*(VL+NC+M+CPC)]</v>
          </cell>
          <cell r="H296">
            <v>6610364.7494076919</v>
          </cell>
        </row>
        <row r="297">
          <cell r="D297" t="str">
            <v>Cộng đơn gíá (Z=VL+NC+M+CPC+T)</v>
          </cell>
          <cell r="H297">
            <v>116783110.57286923</v>
          </cell>
        </row>
        <row r="299">
          <cell r="B299" t="str">
            <v>CL.03103</v>
          </cell>
          <cell r="D299" t="str">
            <v>Thủy chuẩn kỹ thuật địa hình cấp 3</v>
          </cell>
          <cell r="E299" t="str">
            <v>1 km</v>
          </cell>
          <cell r="H299">
            <v>1803733.7998038461</v>
          </cell>
        </row>
        <row r="300">
          <cell r="D300" t="str">
            <v xml:space="preserve"> - Vật liệu </v>
          </cell>
          <cell r="H300">
            <v>877.5</v>
          </cell>
        </row>
        <row r="301">
          <cell r="D301" t="str">
            <v xml:space="preserve">Sổ đo </v>
          </cell>
          <cell r="E301" t="str">
            <v>quyển</v>
          </cell>
          <cell r="F301">
            <v>0.2</v>
          </cell>
          <cell r="G301">
            <v>1500</v>
          </cell>
          <cell r="H301">
            <v>300</v>
          </cell>
        </row>
        <row r="302">
          <cell r="D302" t="str">
            <v>Giấy viết</v>
          </cell>
          <cell r="E302" t="str">
            <v>tập</v>
          </cell>
          <cell r="F302">
            <v>0.15</v>
          </cell>
          <cell r="G302">
            <v>2500</v>
          </cell>
          <cell r="H302">
            <v>375</v>
          </cell>
        </row>
        <row r="303">
          <cell r="D303" t="str">
            <v>Vật liệu khác</v>
          </cell>
          <cell r="E303" t="str">
            <v>%</v>
          </cell>
          <cell r="F303">
            <v>30</v>
          </cell>
          <cell r="G303">
            <v>675</v>
          </cell>
          <cell r="H303">
            <v>202.5</v>
          </cell>
        </row>
        <row r="304">
          <cell r="D304" t="str">
            <v xml:space="preserve"> - Nhân công</v>
          </cell>
          <cell r="H304">
            <v>1095269.7807692306</v>
          </cell>
        </row>
        <row r="305">
          <cell r="D305" t="str">
            <v>Bậc 4/7</v>
          </cell>
          <cell r="E305" t="str">
            <v>công</v>
          </cell>
          <cell r="F305">
            <v>4.2699999999999996</v>
          </cell>
          <cell r="G305">
            <v>256503.46153846153</v>
          </cell>
          <cell r="H305">
            <v>1095269.7807692306</v>
          </cell>
        </row>
        <row r="306">
          <cell r="D306" t="str">
            <v xml:space="preserve"> - Máy thi công </v>
          </cell>
          <cell r="H306">
            <v>3090</v>
          </cell>
        </row>
        <row r="307">
          <cell r="D307" t="str">
            <v>Ni 030</v>
          </cell>
          <cell r="E307" t="str">
            <v>ca</v>
          </cell>
          <cell r="F307">
            <v>0.4</v>
          </cell>
          <cell r="G307">
            <v>7725</v>
          </cell>
          <cell r="H307">
            <v>3090</v>
          </cell>
        </row>
        <row r="308">
          <cell r="D308" t="str">
            <v>a) Chi phí chung (55%*NC)</v>
          </cell>
          <cell r="H308">
            <v>602398.37942307687</v>
          </cell>
        </row>
        <row r="309">
          <cell r="D309" t="str">
            <v>b) Thu nhập chịu thuế tính trước [6%*(VL+NC+M+CPC)]</v>
          </cell>
          <cell r="H309">
            <v>102098.13961153846</v>
          </cell>
        </row>
        <row r="310">
          <cell r="D310" t="str">
            <v>Cộng đơn gíá (Z=VL+NC+M+CPC+T)</v>
          </cell>
          <cell r="H310">
            <v>1803733.7998038461</v>
          </cell>
        </row>
        <row r="312">
          <cell r="B312" t="str">
            <v>CL.03104</v>
          </cell>
          <cell r="D312" t="str">
            <v>Thủy chuẩn kỹ thuật địa hình cấp 4</v>
          </cell>
          <cell r="E312" t="str">
            <v>1 km</v>
          </cell>
          <cell r="H312">
            <v>2488096.5032423073</v>
          </cell>
        </row>
        <row r="313">
          <cell r="D313" t="str">
            <v xml:space="preserve"> - Vật liệu </v>
          </cell>
          <cell r="H313">
            <v>877.5</v>
          </cell>
        </row>
        <row r="314">
          <cell r="D314" t="str">
            <v xml:space="preserve">Sổ đo </v>
          </cell>
          <cell r="E314" t="str">
            <v>quyển</v>
          </cell>
          <cell r="F314">
            <v>0.2</v>
          </cell>
          <cell r="G314">
            <v>1500</v>
          </cell>
          <cell r="H314">
            <v>300</v>
          </cell>
        </row>
        <row r="315">
          <cell r="D315" t="str">
            <v>Giấy viết</v>
          </cell>
          <cell r="E315" t="str">
            <v>tập</v>
          </cell>
          <cell r="F315">
            <v>0.15</v>
          </cell>
          <cell r="G315">
            <v>2500</v>
          </cell>
          <cell r="H315">
            <v>375</v>
          </cell>
        </row>
        <row r="316">
          <cell r="D316" t="str">
            <v>Vật liệu khác</v>
          </cell>
          <cell r="E316" t="str">
            <v>%</v>
          </cell>
          <cell r="F316">
            <v>30</v>
          </cell>
          <cell r="G316">
            <v>675</v>
          </cell>
          <cell r="H316">
            <v>202.5</v>
          </cell>
        </row>
        <row r="317">
          <cell r="D317" t="str">
            <v xml:space="preserve"> - Nhân công</v>
          </cell>
          <cell r="H317">
            <v>1510805.3884615384</v>
          </cell>
        </row>
        <row r="318">
          <cell r="D318" t="str">
            <v>Bậc 4/7</v>
          </cell>
          <cell r="E318" t="str">
            <v>công</v>
          </cell>
          <cell r="F318">
            <v>5.89</v>
          </cell>
          <cell r="G318">
            <v>256503.46153846153</v>
          </cell>
          <cell r="H318">
            <v>1510805.3884615384</v>
          </cell>
        </row>
        <row r="319">
          <cell r="D319" t="str">
            <v xml:space="preserve"> - Máy thi công </v>
          </cell>
          <cell r="H319">
            <v>4635</v>
          </cell>
        </row>
        <row r="320">
          <cell r="D320" t="str">
            <v>Ni 030</v>
          </cell>
          <cell r="E320" t="str">
            <v>ca</v>
          </cell>
          <cell r="F320">
            <v>0.6</v>
          </cell>
          <cell r="G320">
            <v>7725</v>
          </cell>
          <cell r="H320">
            <v>4635</v>
          </cell>
        </row>
        <row r="321">
          <cell r="D321" t="str">
            <v>a) Chi phí chung (55%*NC)</v>
          </cell>
          <cell r="H321">
            <v>830942.96365384618</v>
          </cell>
        </row>
        <row r="322">
          <cell r="D322" t="str">
            <v>b) Thu nhập chịu thuế tính trước [6%*(VL+NC+M+CPC)]</v>
          </cell>
          <cell r="H322">
            <v>140835.65112692304</v>
          </cell>
        </row>
        <row r="323">
          <cell r="D323" t="str">
            <v>Cộng đơn gíá (Z=VL+NC+M+CPC+T)</v>
          </cell>
          <cell r="H323">
            <v>2488096.5032423073</v>
          </cell>
        </row>
        <row r="325">
          <cell r="B325" t="str">
            <v>CK.04303</v>
          </cell>
          <cell r="D325" t="str">
            <v>Đường chuyền cấp 2, địa hình cấp 3</v>
          </cell>
          <cell r="E325" t="str">
            <v>1 điểm</v>
          </cell>
          <cell r="H325">
            <v>4080765.9255407695</v>
          </cell>
        </row>
        <row r="326">
          <cell r="D326" t="str">
            <v xml:space="preserve"> - Vật liệu </v>
          </cell>
          <cell r="H326">
            <v>26846.75</v>
          </cell>
        </row>
        <row r="327">
          <cell r="D327" t="str">
            <v>Xi măng PC30</v>
          </cell>
          <cell r="E327" t="str">
            <v>Kg</v>
          </cell>
          <cell r="F327">
            <v>3</v>
          </cell>
          <cell r="G327">
            <v>1418.181818181818</v>
          </cell>
          <cell r="H327">
            <v>4254.545454545454</v>
          </cell>
        </row>
        <row r="328">
          <cell r="D328" t="str">
            <v>Đá sỏi 1x2</v>
          </cell>
          <cell r="E328" t="str">
            <v>m3</v>
          </cell>
          <cell r="F328">
            <v>0.01</v>
          </cell>
          <cell r="G328">
            <v>163636.36363636362</v>
          </cell>
          <cell r="H328">
            <v>1636.3636363636363</v>
          </cell>
        </row>
        <row r="329">
          <cell r="D329" t="str">
            <v>Cát vàng</v>
          </cell>
          <cell r="E329" t="str">
            <v>m3</v>
          </cell>
          <cell r="F329">
            <v>6.0000000000000001E-3</v>
          </cell>
          <cell r="G329">
            <v>68181.818181818177</v>
          </cell>
          <cell r="H329">
            <v>409.09090909090907</v>
          </cell>
        </row>
        <row r="330">
          <cell r="D330" t="str">
            <v>Đinh</v>
          </cell>
          <cell r="E330" t="str">
            <v>kg</v>
          </cell>
          <cell r="F330">
            <v>0.1</v>
          </cell>
          <cell r="G330">
            <v>20000</v>
          </cell>
          <cell r="H330">
            <v>2000</v>
          </cell>
        </row>
        <row r="331">
          <cell r="D331" t="str">
            <v>Sơn đỏ, trắng</v>
          </cell>
          <cell r="E331" t="str">
            <v>kg</v>
          </cell>
          <cell r="F331">
            <v>0.2</v>
          </cell>
          <cell r="G331">
            <v>79500</v>
          </cell>
          <cell r="H331">
            <v>15900</v>
          </cell>
        </row>
        <row r="332">
          <cell r="D332" t="str">
            <v xml:space="preserve">Sổ đo </v>
          </cell>
          <cell r="E332" t="str">
            <v>quyển</v>
          </cell>
          <cell r="F332">
            <v>1.5</v>
          </cell>
          <cell r="G332">
            <v>1500</v>
          </cell>
          <cell r="H332">
            <v>2250</v>
          </cell>
        </row>
        <row r="333">
          <cell r="D333" t="str">
            <v>Vật liệu khác</v>
          </cell>
          <cell r="E333" t="str">
            <v>%</v>
          </cell>
          <cell r="F333">
            <v>1.5</v>
          </cell>
          <cell r="G333">
            <v>26450</v>
          </cell>
          <cell r="H333">
            <v>396.75</v>
          </cell>
        </row>
        <row r="334">
          <cell r="D334" t="str">
            <v xml:space="preserve"> - Nhân công</v>
          </cell>
          <cell r="H334">
            <v>2459868.1961538461</v>
          </cell>
        </row>
        <row r="335">
          <cell r="D335" t="str">
            <v>Bậc 4/7</v>
          </cell>
          <cell r="E335" t="str">
            <v>công</v>
          </cell>
          <cell r="F335">
            <v>9.59</v>
          </cell>
          <cell r="G335">
            <v>256503.46153846153</v>
          </cell>
          <cell r="H335">
            <v>2459868.1961538461</v>
          </cell>
        </row>
        <row r="336">
          <cell r="D336" t="str">
            <v xml:space="preserve"> - Máy thi công </v>
          </cell>
          <cell r="H336">
            <v>10136.721000000001</v>
          </cell>
        </row>
        <row r="337">
          <cell r="D337" t="str">
            <v>Máy Theo 020</v>
          </cell>
          <cell r="E337" t="str">
            <v>ca</v>
          </cell>
          <cell r="F337">
            <v>0.25</v>
          </cell>
          <cell r="G337">
            <v>13970</v>
          </cell>
          <cell r="H337">
            <v>3492.5</v>
          </cell>
        </row>
        <row r="338">
          <cell r="D338" t="str">
            <v>Đittomat</v>
          </cell>
          <cell r="E338" t="str">
            <v>ca</v>
          </cell>
          <cell r="F338">
            <v>0.12</v>
          </cell>
          <cell r="G338">
            <v>51346</v>
          </cell>
          <cell r="H338">
            <v>6161.5199999999995</v>
          </cell>
        </row>
        <row r="339">
          <cell r="D339" t="str">
            <v>Thiết bị khác</v>
          </cell>
          <cell r="E339" t="str">
            <v>%</v>
          </cell>
          <cell r="F339">
            <v>5</v>
          </cell>
          <cell r="G339">
            <v>9654.02</v>
          </cell>
          <cell r="H339">
            <v>482.70100000000002</v>
          </cell>
        </row>
        <row r="340">
          <cell r="D340" t="str">
            <v>a) Chi phí chung (55%*NC)</v>
          </cell>
          <cell r="H340">
            <v>1352927.5078846156</v>
          </cell>
        </row>
        <row r="341">
          <cell r="D341" t="str">
            <v>b) Thu nhập chịu thuế tính trước [6%*(VL+NC+M+CPC)]</v>
          </cell>
          <cell r="H341">
            <v>230986.7505023077</v>
          </cell>
        </row>
        <row r="342">
          <cell r="D342" t="str">
            <v>Cộng đơn gíá (Z=VL+NC+M+CPC+T)</v>
          </cell>
          <cell r="H342">
            <v>4080765.9255407695</v>
          </cell>
        </row>
        <row r="344">
          <cell r="B344" t="str">
            <v>CK.04304</v>
          </cell>
          <cell r="D344" t="str">
            <v>Đường chuyền cấp 2, địa hình cấp 4</v>
          </cell>
          <cell r="E344" t="str">
            <v>1 điểm</v>
          </cell>
          <cell r="H344">
            <v>5564209.7493707687</v>
          </cell>
        </row>
        <row r="345">
          <cell r="D345" t="str">
            <v xml:space="preserve"> - Vật liệu </v>
          </cell>
          <cell r="H345">
            <v>26846.75</v>
          </cell>
        </row>
        <row r="346">
          <cell r="D346" t="str">
            <v>Xi măng PC30</v>
          </cell>
          <cell r="E346" t="str">
            <v>Kg</v>
          </cell>
          <cell r="F346">
            <v>3</v>
          </cell>
          <cell r="G346">
            <v>1418.181818181818</v>
          </cell>
          <cell r="H346">
            <v>4254.545454545454</v>
          </cell>
        </row>
        <row r="347">
          <cell r="D347" t="str">
            <v>Đá sỏi 1x2</v>
          </cell>
          <cell r="E347" t="str">
            <v>m3</v>
          </cell>
          <cell r="F347">
            <v>0.01</v>
          </cell>
          <cell r="G347">
            <v>163636.36363636362</v>
          </cell>
          <cell r="H347">
            <v>1636.3636363636363</v>
          </cell>
        </row>
        <row r="348">
          <cell r="D348" t="str">
            <v>Cát vàng</v>
          </cell>
          <cell r="E348" t="str">
            <v>m3</v>
          </cell>
          <cell r="F348">
            <v>6.0000000000000001E-3</v>
          </cell>
          <cell r="G348">
            <v>68181.818181818177</v>
          </cell>
          <cell r="H348">
            <v>409.09090909090907</v>
          </cell>
        </row>
        <row r="349">
          <cell r="D349" t="str">
            <v>Đinh</v>
          </cell>
          <cell r="E349" t="str">
            <v>kg</v>
          </cell>
          <cell r="F349">
            <v>0.1</v>
          </cell>
          <cell r="G349">
            <v>20000</v>
          </cell>
          <cell r="H349">
            <v>2000</v>
          </cell>
        </row>
        <row r="350">
          <cell r="D350" t="str">
            <v>Sơn đỏ, trắng</v>
          </cell>
          <cell r="E350" t="str">
            <v>kg</v>
          </cell>
          <cell r="F350">
            <v>0.2</v>
          </cell>
          <cell r="G350">
            <v>79500</v>
          </cell>
          <cell r="H350">
            <v>15900</v>
          </cell>
        </row>
        <row r="351">
          <cell r="D351" t="str">
            <v xml:space="preserve">Sổ đo </v>
          </cell>
          <cell r="E351" t="str">
            <v>quyển</v>
          </cell>
          <cell r="F351">
            <v>1.5</v>
          </cell>
          <cell r="G351">
            <v>1500</v>
          </cell>
          <cell r="H351">
            <v>2250</v>
          </cell>
        </row>
        <row r="352">
          <cell r="D352" t="str">
            <v>Vật liệu khác</v>
          </cell>
          <cell r="E352" t="str">
            <v>%</v>
          </cell>
          <cell r="F352">
            <v>1.5</v>
          </cell>
          <cell r="G352">
            <v>26450</v>
          </cell>
          <cell r="H352">
            <v>396.75</v>
          </cell>
        </row>
        <row r="353">
          <cell r="D353" t="str">
            <v xml:space="preserve"> - Nhân công</v>
          </cell>
          <cell r="H353">
            <v>3360195.346153846</v>
          </cell>
        </row>
        <row r="354">
          <cell r="D354" t="str">
            <v>Bậc 4/7</v>
          </cell>
          <cell r="E354" t="str">
            <v>công</v>
          </cell>
          <cell r="F354">
            <v>13.1</v>
          </cell>
          <cell r="G354">
            <v>256503.46153846153</v>
          </cell>
          <cell r="H354">
            <v>3360195.346153846</v>
          </cell>
        </row>
        <row r="355">
          <cell r="D355" t="str">
            <v xml:space="preserve"> - Máy thi công </v>
          </cell>
          <cell r="H355">
            <v>14104.944</v>
          </cell>
        </row>
        <row r="356">
          <cell r="D356" t="str">
            <v>Máy Theo 020</v>
          </cell>
          <cell r="E356" t="str">
            <v>ca</v>
          </cell>
          <cell r="F356">
            <v>0.3</v>
          </cell>
          <cell r="G356">
            <v>13970</v>
          </cell>
          <cell r="H356">
            <v>4191</v>
          </cell>
        </row>
        <row r="357">
          <cell r="D357" t="str">
            <v>Đittomat</v>
          </cell>
          <cell r="E357" t="str">
            <v>ca</v>
          </cell>
          <cell r="F357">
            <v>0.18</v>
          </cell>
          <cell r="G357">
            <v>51346</v>
          </cell>
          <cell r="H357">
            <v>9242.2799999999988</v>
          </cell>
        </row>
        <row r="358">
          <cell r="D358" t="str">
            <v>Thiết bị khác</v>
          </cell>
          <cell r="E358" t="str">
            <v>%</v>
          </cell>
          <cell r="F358">
            <v>5</v>
          </cell>
          <cell r="G358">
            <v>13433.279999999999</v>
          </cell>
          <cell r="H358">
            <v>671.66399999999999</v>
          </cell>
        </row>
        <row r="359">
          <cell r="D359" t="str">
            <v>a) Chi phí chung (55%*NC)</v>
          </cell>
          <cell r="H359">
            <v>1848107.4403846154</v>
          </cell>
        </row>
        <row r="360">
          <cell r="D360" t="str">
            <v>b) Thu nhập chịu thuế tính trước [6%*(VL+NC+M+CPC)]</v>
          </cell>
          <cell r="H360">
            <v>314955.26883230766</v>
          </cell>
        </row>
        <row r="361">
          <cell r="D361" t="str">
            <v>Cộng đơn gíá (Z=VL+NC+M+CPC+T)</v>
          </cell>
          <cell r="H361">
            <v>5564209.7493707687</v>
          </cell>
        </row>
        <row r="363">
          <cell r="B363" t="str">
            <v>CL.02103</v>
          </cell>
          <cell r="D363" t="str">
            <v>Thủy chuẩn hạng 4, địa hình cấp 3</v>
          </cell>
          <cell r="E363" t="str">
            <v>1 Km</v>
          </cell>
          <cell r="H363">
            <v>3617564.9514807696</v>
          </cell>
        </row>
        <row r="364">
          <cell r="D364" t="str">
            <v xml:space="preserve"> - Vật liệu </v>
          </cell>
          <cell r="H364">
            <v>9622.5</v>
          </cell>
        </row>
        <row r="365">
          <cell r="D365" t="str">
            <v>Gỗ xẻ nhóm 5</v>
          </cell>
          <cell r="E365" t="str">
            <v>m3</v>
          </cell>
          <cell r="F365">
            <v>1.5E-3</v>
          </cell>
          <cell r="G365">
            <v>2727272.7272727271</v>
          </cell>
          <cell r="H365">
            <v>4090.9090909090905</v>
          </cell>
        </row>
        <row r="366">
          <cell r="D366" t="str">
            <v>Xi măng PC30</v>
          </cell>
          <cell r="E366" t="str">
            <v>Kg</v>
          </cell>
          <cell r="F366">
            <v>2</v>
          </cell>
          <cell r="G366">
            <v>1418.181818181818</v>
          </cell>
          <cell r="H366">
            <v>2836.363636363636</v>
          </cell>
        </row>
        <row r="367">
          <cell r="D367" t="str">
            <v>Đá sỏi 1x2</v>
          </cell>
          <cell r="E367" t="str">
            <v>m3</v>
          </cell>
          <cell r="F367">
            <v>6.0000000000000001E-3</v>
          </cell>
          <cell r="G367">
            <v>163636.36363636362</v>
          </cell>
          <cell r="H367">
            <v>981.81818181818176</v>
          </cell>
        </row>
        <row r="368">
          <cell r="D368" t="str">
            <v>Cát vàng</v>
          </cell>
          <cell r="E368" t="str">
            <v>m3</v>
          </cell>
          <cell r="F368">
            <v>3.5000000000000001E-3</v>
          </cell>
          <cell r="G368">
            <v>68181.818181818177</v>
          </cell>
          <cell r="H368">
            <v>238.63636363636363</v>
          </cell>
        </row>
        <row r="369">
          <cell r="D369" t="str">
            <v>Đinh</v>
          </cell>
          <cell r="E369" t="str">
            <v>kg</v>
          </cell>
          <cell r="F369">
            <v>0.03</v>
          </cell>
          <cell r="G369">
            <v>20000</v>
          </cell>
          <cell r="H369">
            <v>600</v>
          </cell>
        </row>
        <row r="370">
          <cell r="D370" t="str">
            <v>Vật liệu khác</v>
          </cell>
          <cell r="E370" t="str">
            <v>%</v>
          </cell>
          <cell r="F370">
            <v>10</v>
          </cell>
          <cell r="G370">
            <v>8747.7272727272721</v>
          </cell>
          <cell r="H370">
            <v>874.77272727272725</v>
          </cell>
        </row>
        <row r="371">
          <cell r="D371" t="str">
            <v xml:space="preserve"> - Nhân công</v>
          </cell>
          <cell r="H371">
            <v>2193104.5961538465</v>
          </cell>
        </row>
        <row r="372">
          <cell r="D372" t="str">
            <v>Bậc 4/7</v>
          </cell>
          <cell r="E372" t="str">
            <v>công</v>
          </cell>
          <cell r="F372">
            <v>8.5500000000000007</v>
          </cell>
          <cell r="G372">
            <v>256503.46153846153</v>
          </cell>
          <cell r="H372">
            <v>2193104.5961538465</v>
          </cell>
        </row>
        <row r="373">
          <cell r="D373" t="str">
            <v xml:space="preserve"> - Máy thi công </v>
          </cell>
          <cell r="H373">
            <v>3862.5</v>
          </cell>
        </row>
        <row r="374">
          <cell r="D374" t="str">
            <v>Ni 030</v>
          </cell>
          <cell r="E374" t="str">
            <v>ca</v>
          </cell>
          <cell r="F374">
            <v>0.5</v>
          </cell>
          <cell r="G374">
            <v>7725</v>
          </cell>
          <cell r="H374">
            <v>3862.5</v>
          </cell>
        </row>
        <row r="375">
          <cell r="D375" t="str">
            <v>a) Chi phí chung (55%*NC)</v>
          </cell>
          <cell r="H375">
            <v>1206207.5278846156</v>
          </cell>
        </row>
        <row r="376">
          <cell r="D376" t="str">
            <v>b) Thu nhập chịu thuế tính trước [6%*(VL+NC+M+CPC)]</v>
          </cell>
          <cell r="H376">
            <v>204767.82744230772</v>
          </cell>
        </row>
        <row r="377">
          <cell r="D377" t="str">
            <v>Cộng đơn gíá (Z=VL+NC+M+CPC+T)</v>
          </cell>
          <cell r="H377">
            <v>3617564.9514807696</v>
          </cell>
        </row>
        <row r="379">
          <cell r="B379" t="str">
            <v>CL.02104</v>
          </cell>
          <cell r="D379" t="str">
            <v>Thủy chuẩn hạng 4, địa hình cấp 4</v>
          </cell>
          <cell r="E379" t="str">
            <v>1 Km</v>
          </cell>
          <cell r="H379">
            <v>4821111.7853076924</v>
          </cell>
        </row>
        <row r="380">
          <cell r="D380" t="str">
            <v xml:space="preserve"> - Vật liệu </v>
          </cell>
          <cell r="H380">
            <v>9622.5</v>
          </cell>
        </row>
        <row r="381">
          <cell r="D381" t="str">
            <v>Gỗ xẻ nhóm 5</v>
          </cell>
          <cell r="E381" t="str">
            <v>m3</v>
          </cell>
          <cell r="F381">
            <v>1.5E-3</v>
          </cell>
          <cell r="G381">
            <v>2727272.7272727271</v>
          </cell>
          <cell r="H381">
            <v>4090.9090909090905</v>
          </cell>
        </row>
        <row r="382">
          <cell r="D382" t="str">
            <v>Xi măng PC30</v>
          </cell>
          <cell r="E382" t="str">
            <v>Kg</v>
          </cell>
          <cell r="F382">
            <v>2</v>
          </cell>
          <cell r="G382">
            <v>1418.181818181818</v>
          </cell>
          <cell r="H382">
            <v>2836.363636363636</v>
          </cell>
        </row>
        <row r="383">
          <cell r="D383" t="str">
            <v>Đá sỏi 1x2</v>
          </cell>
          <cell r="E383" t="str">
            <v>m3</v>
          </cell>
          <cell r="F383">
            <v>6.0000000000000001E-3</v>
          </cell>
          <cell r="G383">
            <v>163636.36363636362</v>
          </cell>
          <cell r="H383">
            <v>981.81818181818176</v>
          </cell>
        </row>
        <row r="384">
          <cell r="D384" t="str">
            <v>Cát vàng</v>
          </cell>
          <cell r="E384" t="str">
            <v>m3</v>
          </cell>
          <cell r="F384">
            <v>3.5000000000000001E-3</v>
          </cell>
          <cell r="G384">
            <v>68181.818181818177</v>
          </cell>
          <cell r="H384">
            <v>238.63636363636363</v>
          </cell>
        </row>
        <row r="385">
          <cell r="D385" t="str">
            <v>Đinh</v>
          </cell>
          <cell r="E385" t="str">
            <v>kg</v>
          </cell>
          <cell r="F385">
            <v>0.03</v>
          </cell>
          <cell r="G385">
            <v>20000</v>
          </cell>
          <cell r="H385">
            <v>600</v>
          </cell>
        </row>
        <row r="386">
          <cell r="D386" t="str">
            <v>Vật liệu khác</v>
          </cell>
          <cell r="E386" t="str">
            <v>%</v>
          </cell>
          <cell r="F386">
            <v>10</v>
          </cell>
          <cell r="G386">
            <v>8747.7272727272721</v>
          </cell>
          <cell r="H386">
            <v>874.77272727272725</v>
          </cell>
        </row>
        <row r="387">
          <cell r="D387" t="str">
            <v xml:space="preserve"> - Nhân công</v>
          </cell>
          <cell r="H387">
            <v>2924139.4615384615</v>
          </cell>
        </row>
        <row r="388">
          <cell r="D388" t="str">
            <v>Bậc 4/7</v>
          </cell>
          <cell r="E388" t="str">
            <v>công</v>
          </cell>
          <cell r="F388">
            <v>11.4</v>
          </cell>
          <cell r="G388">
            <v>256503.46153846153</v>
          </cell>
          <cell r="H388">
            <v>2924139.4615384615</v>
          </cell>
        </row>
        <row r="389">
          <cell r="D389" t="str">
            <v xml:space="preserve"> - Máy thi công </v>
          </cell>
          <cell r="H389">
            <v>6180</v>
          </cell>
        </row>
        <row r="390">
          <cell r="D390" t="str">
            <v>Ni 030</v>
          </cell>
          <cell r="E390" t="str">
            <v>ca</v>
          </cell>
          <cell r="F390">
            <v>0.8</v>
          </cell>
          <cell r="G390">
            <v>7725</v>
          </cell>
          <cell r="H390">
            <v>6180</v>
          </cell>
        </row>
        <row r="391">
          <cell r="D391" t="str">
            <v>a) Chi phí chung (55%*NC)</v>
          </cell>
          <cell r="H391">
            <v>1608276.703846154</v>
          </cell>
        </row>
        <row r="392">
          <cell r="D392" t="str">
            <v>b) Thu nhập chịu thuế tính trước [6%*(VL+NC+M+CPC)]</v>
          </cell>
          <cell r="H392">
            <v>272893.11992307694</v>
          </cell>
        </row>
        <row r="393">
          <cell r="D393" t="str">
            <v>Cộng đơn gíá (Z=VL+NC+M+CPC+T)</v>
          </cell>
          <cell r="H393">
            <v>4821111.7853076924</v>
          </cell>
        </row>
        <row r="395">
          <cell r="B395" t="str">
            <v>CK.01104vd</v>
          </cell>
          <cell r="D395" t="str">
            <v>Lập mốc GPS hạng IV</v>
          </cell>
          <cell r="E395" t="str">
            <v>1 điểm</v>
          </cell>
          <cell r="H395">
            <v>33166813.776840214</v>
          </cell>
        </row>
        <row r="396">
          <cell r="D396" t="str">
            <v xml:space="preserve"> - Vật liệu </v>
          </cell>
          <cell r="H396">
            <v>166522.90909090909</v>
          </cell>
        </row>
        <row r="397">
          <cell r="D397" t="str">
            <v>Xi măng PC30</v>
          </cell>
          <cell r="E397" t="str">
            <v>Kg</v>
          </cell>
          <cell r="F397">
            <v>20</v>
          </cell>
          <cell r="G397">
            <v>1418.181818181818</v>
          </cell>
          <cell r="H397">
            <v>28363.63636363636</v>
          </cell>
        </row>
        <row r="398">
          <cell r="D398" t="str">
            <v>Đá sỏi 1x2</v>
          </cell>
          <cell r="E398" t="str">
            <v>m3</v>
          </cell>
          <cell r="F398">
            <v>0.06</v>
          </cell>
          <cell r="G398">
            <v>163636.36363636362</v>
          </cell>
          <cell r="H398">
            <v>9818.1818181818162</v>
          </cell>
        </row>
        <row r="399">
          <cell r="D399" t="str">
            <v>Cát vàng</v>
          </cell>
          <cell r="E399" t="str">
            <v>m3</v>
          </cell>
          <cell r="F399">
            <v>3.5000000000000003E-2</v>
          </cell>
          <cell r="G399">
            <v>68181.818181818177</v>
          </cell>
          <cell r="H399">
            <v>2386.3636363636365</v>
          </cell>
        </row>
        <row r="400">
          <cell r="D400" t="str">
            <v>Đinh &amp; dây thép</v>
          </cell>
          <cell r="E400" t="str">
            <v>kg</v>
          </cell>
          <cell r="F400">
            <v>0.8</v>
          </cell>
          <cell r="G400">
            <v>20000</v>
          </cell>
          <cell r="H400">
            <v>16000</v>
          </cell>
        </row>
        <row r="401">
          <cell r="D401" t="str">
            <v>Sơn đỏ, trắng</v>
          </cell>
          <cell r="E401" t="str">
            <v>kg</v>
          </cell>
          <cell r="F401">
            <v>0.4</v>
          </cell>
          <cell r="G401">
            <v>79500</v>
          </cell>
          <cell r="H401">
            <v>31800</v>
          </cell>
        </row>
        <row r="402">
          <cell r="D402" t="str">
            <v>Đinh chữ U</v>
          </cell>
          <cell r="E402" t="str">
            <v>kg</v>
          </cell>
          <cell r="F402">
            <v>8</v>
          </cell>
          <cell r="G402">
            <v>8500</v>
          </cell>
          <cell r="H402">
            <v>68000</v>
          </cell>
        </row>
        <row r="403">
          <cell r="D403" t="str">
            <v xml:space="preserve">Sổ đo </v>
          </cell>
          <cell r="E403" t="str">
            <v>quyển</v>
          </cell>
          <cell r="F403">
            <v>2.5</v>
          </cell>
          <cell r="G403">
            <v>1500</v>
          </cell>
          <cell r="H403">
            <v>3750</v>
          </cell>
        </row>
        <row r="404">
          <cell r="D404" t="str">
            <v>Vật liệu khác</v>
          </cell>
          <cell r="E404" t="str">
            <v>%</v>
          </cell>
          <cell r="F404">
            <v>4</v>
          </cell>
          <cell r="G404">
            <v>160118.18181818182</v>
          </cell>
          <cell r="H404">
            <v>6404.727272727273</v>
          </cell>
        </row>
        <row r="405">
          <cell r="D405" t="str">
            <v xml:space="preserve"> - Nhân công</v>
          </cell>
          <cell r="H405">
            <v>19919440.730769232</v>
          </cell>
        </row>
        <row r="406">
          <cell r="D406" t="str">
            <v>Bậc 4,5/7</v>
          </cell>
          <cell r="E406" t="str">
            <v>công</v>
          </cell>
          <cell r="F406">
            <v>73.099999999999994</v>
          </cell>
          <cell r="G406">
            <v>272495.76923076925</v>
          </cell>
          <cell r="H406">
            <v>19919440.730769232</v>
          </cell>
        </row>
        <row r="407">
          <cell r="D407" t="str">
            <v xml:space="preserve"> - Máy thi công </v>
          </cell>
          <cell r="H407">
            <v>247790.91750000001</v>
          </cell>
        </row>
        <row r="408">
          <cell r="D408" t="str">
            <v>ống nhòm</v>
          </cell>
          <cell r="E408" t="str">
            <v>ca</v>
          </cell>
          <cell r="F408">
            <v>2.19</v>
          </cell>
          <cell r="G408">
            <v>871</v>
          </cell>
          <cell r="H408">
            <v>1907.49</v>
          </cell>
        </row>
        <row r="409">
          <cell r="D409" t="str">
            <v>Máy Theo 020</v>
          </cell>
          <cell r="E409" t="str">
            <v>ca</v>
          </cell>
          <cell r="F409">
            <v>3.9</v>
          </cell>
          <cell r="G409">
            <v>13970</v>
          </cell>
          <cell r="H409">
            <v>54483</v>
          </cell>
        </row>
        <row r="410">
          <cell r="D410" t="str">
            <v>Theo 010</v>
          </cell>
          <cell r="E410" t="str">
            <v>ca</v>
          </cell>
          <cell r="F410">
            <v>4.9000000000000004</v>
          </cell>
          <cell r="G410">
            <v>31833</v>
          </cell>
          <cell r="H410">
            <v>155981.70000000001</v>
          </cell>
        </row>
        <row r="411">
          <cell r="D411" t="str">
            <v>Đittomat</v>
          </cell>
          <cell r="E411" t="str">
            <v>ca</v>
          </cell>
          <cell r="F411">
            <v>0.46</v>
          </cell>
          <cell r="G411">
            <v>51346</v>
          </cell>
          <cell r="H411">
            <v>23619.16</v>
          </cell>
        </row>
        <row r="412">
          <cell r="D412" t="str">
            <v>Thiết bị khác</v>
          </cell>
          <cell r="E412" t="str">
            <v>%</v>
          </cell>
          <cell r="F412">
            <v>5</v>
          </cell>
          <cell r="G412">
            <v>235991.35</v>
          </cell>
          <cell r="H412">
            <v>11799.567500000001</v>
          </cell>
        </row>
        <row r="413">
          <cell r="D413" t="str">
            <v>a) Chi phí chung (55%*NC)</v>
          </cell>
          <cell r="H413">
            <v>10955692.401923079</v>
          </cell>
        </row>
        <row r="414">
          <cell r="D414" t="str">
            <v>b) Thu nhập chịu thuế tính trước [6%*(VL+NC+M+CPC)]</v>
          </cell>
          <cell r="H414">
            <v>1877366.8175569933</v>
          </cell>
        </row>
        <row r="415">
          <cell r="D415" t="str">
            <v>Cộng đơn gíá (Z=VL+NC+M+CPC+T)</v>
          </cell>
          <cell r="H415">
            <v>33166813.776840214</v>
          </cell>
        </row>
        <row r="417">
          <cell r="B417" t="str">
            <v>CC.02101</v>
          </cell>
          <cell r="D417" t="str">
            <v>Bơm cấp nước phục vụ khoan xoay bơm rửa = ống mẫu ở trên cạn,Độ sâu đến 30m,Cấp đất đá I -III</v>
          </cell>
          <cell r="E417" t="str">
            <v>1m khoan</v>
          </cell>
          <cell r="H417">
            <v>363937.9098153846</v>
          </cell>
        </row>
        <row r="418">
          <cell r="D418" t="str">
            <v xml:space="preserve"> - Vật liệu </v>
          </cell>
          <cell r="H418">
            <v>4400</v>
          </cell>
        </row>
        <row r="419">
          <cell r="D419" t="str">
            <v>Ống nước D50</v>
          </cell>
          <cell r="E419" t="str">
            <v>m</v>
          </cell>
          <cell r="F419">
            <v>0.04</v>
          </cell>
          <cell r="G419">
            <v>100000</v>
          </cell>
          <cell r="H419">
            <v>4000</v>
          </cell>
        </row>
        <row r="420">
          <cell r="D420" t="str">
            <v>Vật liệu khác</v>
          </cell>
          <cell r="E420" t="str">
            <v>%</v>
          </cell>
          <cell r="F420">
            <v>10</v>
          </cell>
          <cell r="G420">
            <v>4000</v>
          </cell>
          <cell r="H420">
            <v>400</v>
          </cell>
        </row>
        <row r="421">
          <cell r="D421" t="str">
            <v xml:space="preserve"> - Nhân công</v>
          </cell>
          <cell r="H421">
            <v>179552.42307692306</v>
          </cell>
        </row>
        <row r="422">
          <cell r="D422" t="str">
            <v>Bậc 4/7</v>
          </cell>
          <cell r="E422" t="str">
            <v>công</v>
          </cell>
          <cell r="F422">
            <v>0.7</v>
          </cell>
          <cell r="G422">
            <v>256503.46153846153</v>
          </cell>
          <cell r="H422">
            <v>179552.42307692306</v>
          </cell>
        </row>
        <row r="423">
          <cell r="D423" t="str">
            <v xml:space="preserve"> - Máy thi công </v>
          </cell>
          <cell r="H423">
            <v>60631.394999999997</v>
          </cell>
        </row>
        <row r="424">
          <cell r="D424" t="str">
            <v>Máy bơm nước 250/50</v>
          </cell>
          <cell r="E424" t="str">
            <v>ca</v>
          </cell>
          <cell r="F424">
            <v>0.11</v>
          </cell>
          <cell r="G424">
            <v>551194.5</v>
          </cell>
          <cell r="H424">
            <v>60631.394999999997</v>
          </cell>
        </row>
        <row r="425">
          <cell r="D425" t="str">
            <v>a) Chi phí chung (55%*NC)</v>
          </cell>
          <cell r="H425">
            <v>98753.832692307697</v>
          </cell>
        </row>
        <row r="426">
          <cell r="D426" t="str">
            <v>b) Thu nhập chịu thuế tính trước [6%*(VL+NC+M+CPC)]</v>
          </cell>
          <cell r="H426">
            <v>20600.259046153842</v>
          </cell>
        </row>
        <row r="427">
          <cell r="D427" t="str">
            <v>Cộng đơn gíá (Z=VL+NC+M+CPC+T)</v>
          </cell>
          <cell r="H427">
            <v>363937.9098153846</v>
          </cell>
        </row>
        <row r="429">
          <cell r="B429" t="str">
            <v>CC.02102</v>
          </cell>
          <cell r="D429" t="str">
            <v>Bơm cấp nước phục vụ khoan xoay bơm rửa = ống mẫu ở trên cạn,Độ sâu đến 30m,Cấp đất đá IV-VI</v>
          </cell>
          <cell r="E429" t="str">
            <v>1m khoan</v>
          </cell>
          <cell r="H429">
            <v>533565.9853423076</v>
          </cell>
        </row>
        <row r="430">
          <cell r="D430" t="str">
            <v xml:space="preserve"> - Vật liệu </v>
          </cell>
          <cell r="H430">
            <v>4400</v>
          </cell>
        </row>
        <row r="431">
          <cell r="D431" t="str">
            <v>Ống nước D50</v>
          </cell>
          <cell r="E431" t="str">
            <v>m</v>
          </cell>
          <cell r="F431">
            <v>0.04</v>
          </cell>
          <cell r="G431">
            <v>100000</v>
          </cell>
          <cell r="H431">
            <v>4000</v>
          </cell>
        </row>
        <row r="432">
          <cell r="D432" t="str">
            <v>Vật liệu khác</v>
          </cell>
          <cell r="E432" t="str">
            <v>%</v>
          </cell>
          <cell r="F432">
            <v>10</v>
          </cell>
          <cell r="G432">
            <v>4000</v>
          </cell>
          <cell r="H432">
            <v>400</v>
          </cell>
        </row>
        <row r="433">
          <cell r="D433" t="str">
            <v xml:space="preserve"> - Nhân công</v>
          </cell>
          <cell r="H433">
            <v>243678.28846153844</v>
          </cell>
        </row>
        <row r="434">
          <cell r="D434" t="str">
            <v>Bậc 4/7</v>
          </cell>
          <cell r="E434" t="str">
            <v>công</v>
          </cell>
          <cell r="F434">
            <v>0.95</v>
          </cell>
          <cell r="G434">
            <v>256503.46153846153</v>
          </cell>
          <cell r="H434">
            <v>243678.28846153844</v>
          </cell>
        </row>
        <row r="435">
          <cell r="D435" t="str">
            <v xml:space="preserve"> - Máy thi công </v>
          </cell>
          <cell r="H435">
            <v>121262.79</v>
          </cell>
        </row>
        <row r="436">
          <cell r="D436" t="str">
            <v>Máy bơm nước 250/50</v>
          </cell>
          <cell r="E436" t="str">
            <v>ca</v>
          </cell>
          <cell r="F436">
            <v>0.22</v>
          </cell>
          <cell r="G436">
            <v>551194.5</v>
          </cell>
          <cell r="H436">
            <v>121262.79</v>
          </cell>
        </row>
        <row r="437">
          <cell r="D437" t="str">
            <v>a) Chi phí chung (55%*NC)</v>
          </cell>
          <cell r="H437">
            <v>134023.05865384615</v>
          </cell>
        </row>
        <row r="438">
          <cell r="D438" t="str">
            <v>b) Thu nhập chịu thuế tính trước [6%*(VL+NC+M+CPC)]</v>
          </cell>
          <cell r="H438">
            <v>30201.848226923074</v>
          </cell>
        </row>
        <row r="439">
          <cell r="D439" t="str">
            <v>Cộng đơn gíá (Z=VL+NC+M+CPC+T)</v>
          </cell>
          <cell r="H439">
            <v>533565.9853423076</v>
          </cell>
        </row>
        <row r="441">
          <cell r="B441" t="str">
            <v>CC.02103</v>
          </cell>
          <cell r="D441" t="str">
            <v>Bơm cấp nước phục vụ khoan xoay bơm rửa = ống mẫu ở trên cạn,Độ sâu đến 30m,Cấp đất đá VII-VIII</v>
          </cell>
          <cell r="E441" t="str">
            <v>1m khoan</v>
          </cell>
          <cell r="H441">
            <v>733365.10158846155</v>
          </cell>
        </row>
        <row r="442">
          <cell r="D442" t="str">
            <v xml:space="preserve"> - Vật liệu </v>
          </cell>
          <cell r="H442">
            <v>4400</v>
          </cell>
        </row>
        <row r="443">
          <cell r="D443" t="str">
            <v>Ống nước D50</v>
          </cell>
          <cell r="E443" t="str">
            <v>m</v>
          </cell>
          <cell r="F443">
            <v>0.04</v>
          </cell>
          <cell r="G443">
            <v>100000</v>
          </cell>
          <cell r="H443">
            <v>4000</v>
          </cell>
        </row>
        <row r="444">
          <cell r="D444" t="str">
            <v>Vật liệu khác</v>
          </cell>
          <cell r="E444" t="str">
            <v>%</v>
          </cell>
          <cell r="F444">
            <v>10</v>
          </cell>
          <cell r="G444">
            <v>4000</v>
          </cell>
          <cell r="H444">
            <v>400</v>
          </cell>
        </row>
        <row r="445">
          <cell r="D445" t="str">
            <v xml:space="preserve"> - Nhân công</v>
          </cell>
          <cell r="H445">
            <v>315499.2576923077</v>
          </cell>
        </row>
        <row r="446">
          <cell r="D446" t="str">
            <v>Bậc 4/7</v>
          </cell>
          <cell r="E446" t="str">
            <v>công</v>
          </cell>
          <cell r="F446">
            <v>1.23</v>
          </cell>
          <cell r="G446">
            <v>256503.46153846153</v>
          </cell>
          <cell r="H446">
            <v>315499.2576923077</v>
          </cell>
        </row>
        <row r="447">
          <cell r="D447" t="str">
            <v xml:space="preserve"> - Máy thi công </v>
          </cell>
          <cell r="H447">
            <v>198430.02</v>
          </cell>
        </row>
        <row r="448">
          <cell r="D448" t="str">
            <v>Máy bơm nước 250/50</v>
          </cell>
          <cell r="E448" t="str">
            <v>ca</v>
          </cell>
          <cell r="F448">
            <v>0.36</v>
          </cell>
          <cell r="G448">
            <v>551194.5</v>
          </cell>
          <cell r="H448">
            <v>198430.02</v>
          </cell>
        </row>
        <row r="449">
          <cell r="D449" t="str">
            <v>a) Chi phí chung (55%*NC)</v>
          </cell>
          <cell r="H449">
            <v>173524.59173076926</v>
          </cell>
        </row>
        <row r="450">
          <cell r="D450" t="str">
            <v>b) Thu nhập chịu thuế tính trước [6%*(VL+NC+M+CPC)]</v>
          </cell>
          <cell r="H450">
            <v>41511.232165384616</v>
          </cell>
        </row>
        <row r="451">
          <cell r="D451" t="str">
            <v>Cộng đơn gíá (Z=VL+NC+M+CPC+T)</v>
          </cell>
          <cell r="H451">
            <v>733365.10158846155</v>
          </cell>
        </row>
        <row r="453">
          <cell r="B453" t="str">
            <v>CC.01101</v>
          </cell>
          <cell r="D453" t="str">
            <v>Khoan xoay bơm rửa = ống mẫu ở trên cạn,Độ sâu đến 30m,Cấp đất đá I -III</v>
          </cell>
          <cell r="E453" t="str">
            <v>1m khoan</v>
          </cell>
          <cell r="H453">
            <v>1494573.4806004467</v>
          </cell>
        </row>
        <row r="454">
          <cell r="D454" t="str">
            <v xml:space="preserve"> - Vật liệu </v>
          </cell>
          <cell r="H454">
            <v>52396.117999999995</v>
          </cell>
        </row>
        <row r="455">
          <cell r="D455" t="str">
            <v>Mũi khoan hợp kim</v>
          </cell>
          <cell r="E455" t="str">
            <v>cái</v>
          </cell>
          <cell r="F455">
            <v>7.0000000000000007E-2</v>
          </cell>
          <cell r="G455">
            <v>74000</v>
          </cell>
          <cell r="H455">
            <v>5180.0000000000009</v>
          </cell>
        </row>
        <row r="456">
          <cell r="D456" t="str">
            <v xml:space="preserve">Cần khoan </v>
          </cell>
          <cell r="E456" t="str">
            <v>m</v>
          </cell>
          <cell r="F456">
            <v>1.4999999999999999E-2</v>
          </cell>
          <cell r="G456">
            <v>120000</v>
          </cell>
          <cell r="H456">
            <v>1800</v>
          </cell>
        </row>
        <row r="457">
          <cell r="D457" t="str">
            <v>Đầu nối cần</v>
          </cell>
          <cell r="E457" t="str">
            <v>bộ</v>
          </cell>
          <cell r="F457">
            <v>5.0000000000000001E-3</v>
          </cell>
          <cell r="G457">
            <v>186200</v>
          </cell>
          <cell r="H457">
            <v>931</v>
          </cell>
        </row>
        <row r="458">
          <cell r="D458" t="str">
            <v>ống chống</v>
          </cell>
          <cell r="E458" t="str">
            <v>m</v>
          </cell>
          <cell r="F458">
            <v>0.03</v>
          </cell>
          <cell r="G458">
            <v>140000</v>
          </cell>
          <cell r="H458">
            <v>4200</v>
          </cell>
        </row>
        <row r="459">
          <cell r="D459" t="str">
            <v>Đầu nối ống chống</v>
          </cell>
          <cell r="E459" t="str">
            <v>cái</v>
          </cell>
          <cell r="F459">
            <v>0.01</v>
          </cell>
          <cell r="G459">
            <v>105714</v>
          </cell>
          <cell r="H459">
            <v>1057.1400000000001</v>
          </cell>
        </row>
        <row r="460">
          <cell r="D460" t="str">
            <v>ống mẫu đơn</v>
          </cell>
          <cell r="E460" t="str">
            <v>m</v>
          </cell>
          <cell r="F460">
            <v>0.04</v>
          </cell>
          <cell r="G460">
            <v>212381</v>
          </cell>
          <cell r="H460">
            <v>8495.24</v>
          </cell>
        </row>
        <row r="461">
          <cell r="D461" t="str">
            <v>ống mẫu kép</v>
          </cell>
          <cell r="E461" t="str">
            <v>cái</v>
          </cell>
          <cell r="F461">
            <v>2E-3</v>
          </cell>
          <cell r="G461">
            <v>1212000</v>
          </cell>
          <cell r="H461">
            <v>2424</v>
          </cell>
        </row>
        <row r="462">
          <cell r="D462" t="str">
            <v>Hộp gỗ đựng mẫu</v>
          </cell>
          <cell r="E462" t="str">
            <v>cái</v>
          </cell>
          <cell r="F462">
            <v>0.4</v>
          </cell>
          <cell r="G462">
            <v>35000</v>
          </cell>
          <cell r="H462">
            <v>14000</v>
          </cell>
        </row>
        <row r="463">
          <cell r="D463" t="str">
            <v>Gỗ xẻ nhóm 5</v>
          </cell>
          <cell r="E463" t="str">
            <v>m3</v>
          </cell>
          <cell r="F463">
            <v>3.5000000000000001E-3</v>
          </cell>
          <cell r="G463">
            <v>2727272.7272727271</v>
          </cell>
          <cell r="H463">
            <v>9545.4545454545441</v>
          </cell>
        </row>
        <row r="464">
          <cell r="D464" t="str">
            <v>Vật liệu khác</v>
          </cell>
          <cell r="E464" t="str">
            <v>%</v>
          </cell>
          <cell r="F464">
            <v>10</v>
          </cell>
          <cell r="G464">
            <v>47632.834545454542</v>
          </cell>
          <cell r="H464">
            <v>4763.2834545454543</v>
          </cell>
        </row>
        <row r="465">
          <cell r="D465" t="str">
            <v xml:space="preserve"> - Nhân công (K = 1,05*1,05)</v>
          </cell>
          <cell r="H465">
            <v>805965.93908653851</v>
          </cell>
        </row>
        <row r="466">
          <cell r="D466" t="str">
            <v>Bậc 4/7</v>
          </cell>
          <cell r="E466" t="str">
            <v>công</v>
          </cell>
          <cell r="F466">
            <v>2.85</v>
          </cell>
          <cell r="G466">
            <v>256503.46153846153</v>
          </cell>
          <cell r="H466">
            <v>731034.86538461538</v>
          </cell>
        </row>
        <row r="467">
          <cell r="D467" t="str">
            <v xml:space="preserve"> - Máy thi công (K = 1,05*1,05)</v>
          </cell>
          <cell r="H467">
            <v>108331.65811440002</v>
          </cell>
        </row>
        <row r="468">
          <cell r="D468" t="str">
            <v>Bộ máy khoan cby - 150 - 3ub</v>
          </cell>
          <cell r="E468" t="str">
            <v>ca</v>
          </cell>
          <cell r="F468">
            <v>0.16</v>
          </cell>
          <cell r="G468">
            <v>608044.6</v>
          </cell>
          <cell r="H468">
            <v>97287.135999999999</v>
          </cell>
        </row>
        <row r="469">
          <cell r="D469" t="str">
            <v>Thiết bị khác</v>
          </cell>
          <cell r="E469" t="str">
            <v>%</v>
          </cell>
          <cell r="F469">
            <v>1</v>
          </cell>
          <cell r="G469">
            <v>97287.135999999999</v>
          </cell>
          <cell r="H469">
            <v>972.87135999999998</v>
          </cell>
        </row>
        <row r="470">
          <cell r="D470" t="str">
            <v>a) Chi phí chung (55%*NC)</v>
          </cell>
          <cell r="H470">
            <v>443281.26649759623</v>
          </cell>
        </row>
        <row r="471">
          <cell r="D471" t="str">
            <v>b) Thu nhập chịu thuế tính trước [6%*(VL+NC+M+CPC)]</v>
          </cell>
          <cell r="H471">
            <v>84598.498901912084</v>
          </cell>
        </row>
        <row r="472">
          <cell r="D472" t="str">
            <v>Cộng đơn gíá (Z=VL+NC+M+CPC+T)</v>
          </cell>
          <cell r="H472">
            <v>1494573.4806004467</v>
          </cell>
        </row>
        <row r="474">
          <cell r="B474" t="str">
            <v>CD.01101</v>
          </cell>
          <cell r="D474" t="str">
            <v>Khoan xoay bơm rửa = ống mẫu ở dưới nước,Độ sâu đến 30m,Cấp đất đá I -III</v>
          </cell>
          <cell r="E474" t="str">
            <v>1m khoan</v>
          </cell>
          <cell r="H474">
            <v>2298220.3631090363</v>
          </cell>
        </row>
        <row r="475">
          <cell r="D475" t="str">
            <v xml:space="preserve"> - Vật liệu </v>
          </cell>
          <cell r="H475">
            <v>58779.792000000001</v>
          </cell>
        </row>
        <row r="476">
          <cell r="D476" t="str">
            <v>Mũi khoan hợp kim</v>
          </cell>
          <cell r="E476" t="str">
            <v>cái</v>
          </cell>
          <cell r="F476">
            <v>7.0000000000000007E-2</v>
          </cell>
          <cell r="G476">
            <v>74000</v>
          </cell>
          <cell r="H476">
            <v>5180.0000000000009</v>
          </cell>
        </row>
        <row r="477">
          <cell r="D477" t="str">
            <v xml:space="preserve">Cần khoan </v>
          </cell>
          <cell r="E477" t="str">
            <v>m</v>
          </cell>
          <cell r="F477">
            <v>1.7999999999999999E-2</v>
          </cell>
          <cell r="G477">
            <v>120000</v>
          </cell>
          <cell r="H477">
            <v>2160</v>
          </cell>
        </row>
        <row r="478">
          <cell r="D478" t="str">
            <v>Đầu nối cần</v>
          </cell>
          <cell r="E478" t="str">
            <v>bộ</v>
          </cell>
          <cell r="F478">
            <v>6.0000000000000001E-3</v>
          </cell>
          <cell r="G478">
            <v>186200</v>
          </cell>
          <cell r="H478">
            <v>1117.2</v>
          </cell>
        </row>
        <row r="479">
          <cell r="D479" t="str">
            <v>ống chống</v>
          </cell>
          <cell r="E479" t="str">
            <v>m</v>
          </cell>
          <cell r="F479">
            <v>0.06</v>
          </cell>
          <cell r="G479">
            <v>140000</v>
          </cell>
          <cell r="H479">
            <v>8400</v>
          </cell>
        </row>
        <row r="480">
          <cell r="D480" t="str">
            <v>Đầu nối ống chống</v>
          </cell>
          <cell r="E480" t="str">
            <v>cái</v>
          </cell>
          <cell r="F480">
            <v>0.02</v>
          </cell>
          <cell r="G480">
            <v>105714</v>
          </cell>
          <cell r="H480">
            <v>2114.2800000000002</v>
          </cell>
        </row>
        <row r="481">
          <cell r="D481" t="str">
            <v>ống mẫu đơn</v>
          </cell>
          <cell r="E481" t="str">
            <v>m</v>
          </cell>
          <cell r="F481">
            <v>0.04</v>
          </cell>
          <cell r="G481">
            <v>212381</v>
          </cell>
          <cell r="H481">
            <v>8495.24</v>
          </cell>
        </row>
        <row r="482">
          <cell r="D482" t="str">
            <v>ống mẫu kép</v>
          </cell>
          <cell r="E482" t="str">
            <v>cái</v>
          </cell>
          <cell r="F482">
            <v>2E-3</v>
          </cell>
          <cell r="G482">
            <v>1212000</v>
          </cell>
          <cell r="H482">
            <v>2424</v>
          </cell>
        </row>
        <row r="483">
          <cell r="D483" t="str">
            <v>Hộp gỗ đựng mẫu</v>
          </cell>
          <cell r="E483" t="str">
            <v>cái</v>
          </cell>
          <cell r="F483">
            <v>0.4</v>
          </cell>
          <cell r="G483">
            <v>35000</v>
          </cell>
          <cell r="H483">
            <v>14000</v>
          </cell>
        </row>
        <row r="484">
          <cell r="D484" t="str">
            <v>Gỗ xẻ nhóm 5</v>
          </cell>
          <cell r="E484" t="str">
            <v>m3</v>
          </cell>
          <cell r="F484">
            <v>3.5000000000000001E-3</v>
          </cell>
          <cell r="G484">
            <v>2727272.7272727271</v>
          </cell>
          <cell r="H484">
            <v>9545.4545454545441</v>
          </cell>
        </row>
        <row r="485">
          <cell r="D485" t="str">
            <v>Vật liệu khác</v>
          </cell>
          <cell r="E485" t="str">
            <v>%</v>
          </cell>
          <cell r="F485">
            <v>10</v>
          </cell>
          <cell r="G485">
            <v>53436.174545454545</v>
          </cell>
          <cell r="H485">
            <v>5343.6174545454551</v>
          </cell>
        </row>
        <row r="486">
          <cell r="D486" t="str">
            <v xml:space="preserve"> - Nhân công (K=1,05*1,1 )</v>
          </cell>
          <cell r="H486">
            <v>1273924.4417307694</v>
          </cell>
        </row>
        <row r="487">
          <cell r="D487" t="str">
            <v>Bậc 4/7</v>
          </cell>
          <cell r="E487" t="str">
            <v>công</v>
          </cell>
          <cell r="F487">
            <v>4.3</v>
          </cell>
          <cell r="G487">
            <v>256503.46153846153</v>
          </cell>
          <cell r="H487">
            <v>1102964.8846153845</v>
          </cell>
        </row>
        <row r="488">
          <cell r="D488" t="str">
            <v xml:space="preserve"> - Máy thi công (K=1,05*1,1 )</v>
          </cell>
          <cell r="H488">
            <v>134769.74134470001</v>
          </cell>
        </row>
        <row r="489">
          <cell r="D489" t="str">
            <v>Bộ máy khoan cby - 150 - 3ub</v>
          </cell>
          <cell r="E489" t="str">
            <v>ca</v>
          </cell>
          <cell r="F489">
            <v>0.19</v>
          </cell>
          <cell r="G489">
            <v>608044.6</v>
          </cell>
          <cell r="H489">
            <v>115528.474</v>
          </cell>
        </row>
        <row r="490">
          <cell r="D490" t="str">
            <v>Thiết bị khác</v>
          </cell>
          <cell r="E490" t="str">
            <v>%</v>
          </cell>
          <cell r="F490">
            <v>1</v>
          </cell>
          <cell r="G490">
            <v>115528.474</v>
          </cell>
          <cell r="H490">
            <v>1155.2847400000001</v>
          </cell>
        </row>
        <row r="491">
          <cell r="D491" t="str">
            <v>a) Chi phí chung (55%*NC)</v>
          </cell>
          <cell r="H491">
            <v>700658.44295192324</v>
          </cell>
        </row>
        <row r="492">
          <cell r="D492" t="str">
            <v>b) Thu nhập chịu thuế tính trước [6%*(VL+NC+M+CPC)]</v>
          </cell>
          <cell r="H492">
            <v>130087.94508164356</v>
          </cell>
        </row>
        <row r="493">
          <cell r="D493" t="str">
            <v>Cộng đơn gíá (Z=VL+NC+M+CPC+T)</v>
          </cell>
          <cell r="H493">
            <v>2298220.3631090363</v>
          </cell>
        </row>
        <row r="495">
          <cell r="B495" t="str">
            <v>CC.01102</v>
          </cell>
          <cell r="D495" t="str">
            <v>Khoan xoay bơm rửa = ống mẫu ở trên cạn,Độ sâu đến 30m,Cấp đất đá IV -VI</v>
          </cell>
          <cell r="E495" t="str">
            <v>1m khoan</v>
          </cell>
          <cell r="H495">
            <v>2109393.94066869</v>
          </cell>
        </row>
        <row r="496">
          <cell r="D496" t="str">
            <v xml:space="preserve"> - Vật liệu </v>
          </cell>
          <cell r="H496">
            <v>63051.817999999999</v>
          </cell>
        </row>
        <row r="497">
          <cell r="D497" t="str">
            <v>Mũi khoan hợp kim</v>
          </cell>
          <cell r="E497" t="str">
            <v>cái</v>
          </cell>
          <cell r="F497">
            <v>0.16400000000000001</v>
          </cell>
          <cell r="G497">
            <v>74000</v>
          </cell>
          <cell r="H497">
            <v>12136</v>
          </cell>
        </row>
        <row r="498">
          <cell r="D498" t="str">
            <v xml:space="preserve">Cần khoan </v>
          </cell>
          <cell r="E498" t="str">
            <v>m</v>
          </cell>
          <cell r="F498">
            <v>0.03</v>
          </cell>
          <cell r="G498">
            <v>120000</v>
          </cell>
          <cell r="H498">
            <v>3600</v>
          </cell>
        </row>
        <row r="499">
          <cell r="D499" t="str">
            <v>Đầu nối cần</v>
          </cell>
          <cell r="E499" t="str">
            <v>bộ</v>
          </cell>
          <cell r="F499">
            <v>0.01</v>
          </cell>
          <cell r="G499">
            <v>186200</v>
          </cell>
          <cell r="H499">
            <v>1862</v>
          </cell>
        </row>
        <row r="500">
          <cell r="D500" t="str">
            <v>ống chống</v>
          </cell>
          <cell r="E500" t="str">
            <v>m</v>
          </cell>
          <cell r="F500">
            <v>0.03</v>
          </cell>
          <cell r="G500">
            <v>140000</v>
          </cell>
          <cell r="H500">
            <v>4200</v>
          </cell>
        </row>
        <row r="501">
          <cell r="D501" t="str">
            <v>Đầu nối ống chống</v>
          </cell>
          <cell r="E501" t="str">
            <v>cái</v>
          </cell>
          <cell r="F501">
            <v>0.01</v>
          </cell>
          <cell r="G501">
            <v>105714</v>
          </cell>
          <cell r="H501">
            <v>1057.1400000000001</v>
          </cell>
        </row>
        <row r="502">
          <cell r="D502" t="str">
            <v>ống mẫu đơn</v>
          </cell>
          <cell r="E502" t="str">
            <v>m</v>
          </cell>
          <cell r="F502">
            <v>0.04</v>
          </cell>
          <cell r="G502">
            <v>212381</v>
          </cell>
          <cell r="H502">
            <v>8495.24</v>
          </cell>
        </row>
        <row r="503">
          <cell r="D503" t="str">
            <v>ống mẫu kép</v>
          </cell>
          <cell r="E503" t="str">
            <v>cái</v>
          </cell>
          <cell r="F503">
            <v>2E-3</v>
          </cell>
          <cell r="G503">
            <v>1212000</v>
          </cell>
          <cell r="H503">
            <v>2424</v>
          </cell>
        </row>
        <row r="504">
          <cell r="D504" t="str">
            <v>Hộp gỗ đựng mẫu</v>
          </cell>
          <cell r="E504" t="str">
            <v>cái</v>
          </cell>
          <cell r="F504">
            <v>0.4</v>
          </cell>
          <cell r="G504">
            <v>35000</v>
          </cell>
          <cell r="H504">
            <v>14000</v>
          </cell>
        </row>
        <row r="505">
          <cell r="D505" t="str">
            <v>Gỗ xẻ nhóm 5</v>
          </cell>
          <cell r="E505" t="str">
            <v>m3</v>
          </cell>
          <cell r="F505">
            <v>3.5000000000000001E-3</v>
          </cell>
          <cell r="G505">
            <v>2727272.7272727271</v>
          </cell>
          <cell r="H505">
            <v>9545.4545454545441</v>
          </cell>
        </row>
        <row r="506">
          <cell r="D506" t="str">
            <v>Vật liệu khác</v>
          </cell>
          <cell r="E506" t="str">
            <v>%</v>
          </cell>
          <cell r="F506">
            <v>10</v>
          </cell>
          <cell r="G506">
            <v>57319.834545454542</v>
          </cell>
          <cell r="H506">
            <v>5731.9834545454542</v>
          </cell>
        </row>
        <row r="507">
          <cell r="D507" t="str">
            <v xml:space="preserve"> - Nhân công (K = 1,05*1,05)</v>
          </cell>
          <cell r="H507">
            <v>1085933.0547692308</v>
          </cell>
        </row>
        <row r="508">
          <cell r="D508" t="str">
            <v>Bậc 4/7</v>
          </cell>
          <cell r="E508" t="str">
            <v>công</v>
          </cell>
          <cell r="F508">
            <v>3.84</v>
          </cell>
          <cell r="G508">
            <v>256503.46153846153</v>
          </cell>
          <cell r="H508">
            <v>984973.29230769223</v>
          </cell>
        </row>
        <row r="509">
          <cell r="D509" t="str">
            <v xml:space="preserve"> - Máy thi công (K = 1,05*1,05)</v>
          </cell>
          <cell r="H509">
            <v>243746.23075740002</v>
          </cell>
        </row>
        <row r="510">
          <cell r="D510" t="str">
            <v>Bộ máy khoan cby - 150 - 3ub</v>
          </cell>
          <cell r="E510" t="str">
            <v>ca</v>
          </cell>
          <cell r="F510">
            <v>0.36</v>
          </cell>
          <cell r="G510">
            <v>608044.6</v>
          </cell>
          <cell r="H510">
            <v>218896.05599999998</v>
          </cell>
        </row>
        <row r="511">
          <cell r="D511" t="str">
            <v>Thiết bị khác</v>
          </cell>
          <cell r="E511" t="str">
            <v>%</v>
          </cell>
          <cell r="F511">
            <v>1</v>
          </cell>
          <cell r="G511">
            <v>218896.05599999998</v>
          </cell>
          <cell r="H511">
            <v>2188.96056</v>
          </cell>
        </row>
        <row r="512">
          <cell r="D512" t="str">
            <v>a) Chi phí chung (55%*NC)</v>
          </cell>
          <cell r="H512">
            <v>597263.18012307701</v>
          </cell>
        </row>
        <row r="513">
          <cell r="D513" t="str">
            <v>b) Thu nhập chịu thuế tính trước [6%*(VL+NC+M+CPC)]</v>
          </cell>
          <cell r="H513">
            <v>119399.65701898246</v>
          </cell>
        </row>
        <row r="514">
          <cell r="D514" t="str">
            <v>Cộng đơn gíá (Z=VL+NC+M+CPC+T)</v>
          </cell>
          <cell r="H514">
            <v>2109393.94066869</v>
          </cell>
        </row>
        <row r="516">
          <cell r="B516" t="str">
            <v>CD.01102</v>
          </cell>
          <cell r="D516" t="str">
            <v>Khoan xoay bơm rửa = ống mẫu ở dưới nước ,Độ sâu đến 30m, Cấp đất đá IV -VI</v>
          </cell>
          <cell r="E516" t="str">
            <v>1m khoan</v>
          </cell>
          <cell r="H516">
            <v>3225605.9032492889</v>
          </cell>
        </row>
        <row r="517">
          <cell r="D517" t="str">
            <v xml:space="preserve"> - Vật liệu </v>
          </cell>
          <cell r="H517">
            <v>70036.311999999991</v>
          </cell>
        </row>
        <row r="518">
          <cell r="D518" t="str">
            <v>Mũi khoan hợp kim</v>
          </cell>
          <cell r="E518" t="str">
            <v>cái</v>
          </cell>
          <cell r="F518">
            <v>0.16400000000000001</v>
          </cell>
          <cell r="G518">
            <v>74000</v>
          </cell>
          <cell r="H518">
            <v>12136</v>
          </cell>
        </row>
        <row r="519">
          <cell r="D519" t="str">
            <v xml:space="preserve">Cần khoan </v>
          </cell>
          <cell r="E519" t="str">
            <v>m</v>
          </cell>
          <cell r="F519">
            <v>3.5999999999999997E-2</v>
          </cell>
          <cell r="G519">
            <v>120000</v>
          </cell>
          <cell r="H519">
            <v>4320</v>
          </cell>
        </row>
        <row r="520">
          <cell r="D520" t="str">
            <v>Đầu nối cần</v>
          </cell>
          <cell r="E520" t="str">
            <v>bộ</v>
          </cell>
          <cell r="F520">
            <v>1.2E-2</v>
          </cell>
          <cell r="G520">
            <v>186200</v>
          </cell>
          <cell r="H520">
            <v>2234.4</v>
          </cell>
        </row>
        <row r="521">
          <cell r="D521" t="str">
            <v>ống chống</v>
          </cell>
          <cell r="E521" t="str">
            <v>m</v>
          </cell>
          <cell r="F521">
            <v>0.06</v>
          </cell>
          <cell r="G521">
            <v>140000</v>
          </cell>
          <cell r="H521">
            <v>8400</v>
          </cell>
        </row>
        <row r="522">
          <cell r="D522" t="str">
            <v>Đầu nối ống chống</v>
          </cell>
          <cell r="E522" t="str">
            <v>cái</v>
          </cell>
          <cell r="F522">
            <v>0.02</v>
          </cell>
          <cell r="G522">
            <v>105714</v>
          </cell>
          <cell r="H522">
            <v>2114.2800000000002</v>
          </cell>
        </row>
        <row r="523">
          <cell r="D523" t="str">
            <v>ống mẫu đơn</v>
          </cell>
          <cell r="E523" t="str">
            <v>m</v>
          </cell>
          <cell r="F523">
            <v>0.04</v>
          </cell>
          <cell r="G523">
            <v>212381</v>
          </cell>
          <cell r="H523">
            <v>8495.24</v>
          </cell>
        </row>
        <row r="524">
          <cell r="D524" t="str">
            <v>ống mẫu kép</v>
          </cell>
          <cell r="E524" t="str">
            <v>cái</v>
          </cell>
          <cell r="F524">
            <v>2E-3</v>
          </cell>
          <cell r="G524">
            <v>1212000</v>
          </cell>
          <cell r="H524">
            <v>2424</v>
          </cell>
        </row>
        <row r="525">
          <cell r="D525" t="str">
            <v>Hộp gỗ đựng mẫu</v>
          </cell>
          <cell r="E525" t="str">
            <v>cái</v>
          </cell>
          <cell r="F525">
            <v>0.4</v>
          </cell>
          <cell r="G525">
            <v>35000</v>
          </cell>
          <cell r="H525">
            <v>14000</v>
          </cell>
        </row>
        <row r="526">
          <cell r="D526" t="str">
            <v>Gỗ xẻ nhóm 5</v>
          </cell>
          <cell r="E526" t="str">
            <v>m3</v>
          </cell>
          <cell r="F526">
            <v>3.5000000000000001E-3</v>
          </cell>
          <cell r="G526">
            <v>2727272.7272727271</v>
          </cell>
          <cell r="H526">
            <v>9545.4545454545441</v>
          </cell>
        </row>
        <row r="527">
          <cell r="D527" t="str">
            <v>Vật liệu khác</v>
          </cell>
          <cell r="E527" t="str">
            <v>%</v>
          </cell>
          <cell r="F527">
            <v>10</v>
          </cell>
          <cell r="G527">
            <v>63669.374545454542</v>
          </cell>
          <cell r="H527">
            <v>6366.9374545454548</v>
          </cell>
        </row>
        <row r="528">
          <cell r="D528" t="str">
            <v xml:space="preserve"> - Nhân công (K = 1,05 * 1,1 )</v>
          </cell>
          <cell r="H528">
            <v>1721279.303826923</v>
          </cell>
        </row>
        <row r="529">
          <cell r="D529" t="str">
            <v>Bậc 4/7</v>
          </cell>
          <cell r="E529" t="str">
            <v>công</v>
          </cell>
          <cell r="F529">
            <v>5.81</v>
          </cell>
          <cell r="G529">
            <v>256503.46153846153</v>
          </cell>
          <cell r="H529">
            <v>1490285.1115384614</v>
          </cell>
        </row>
        <row r="530">
          <cell r="D530" t="str">
            <v xml:space="preserve"> - Máy thi công (K = 1,05*1,1 )</v>
          </cell>
          <cell r="H530">
            <v>305005.2040959</v>
          </cell>
        </row>
        <row r="531">
          <cell r="D531" t="str">
            <v>Bộ máy khoan cby - 150 - 3ub</v>
          </cell>
          <cell r="E531" t="str">
            <v>ca</v>
          </cell>
          <cell r="F531">
            <v>0.43</v>
          </cell>
          <cell r="G531">
            <v>608044.6</v>
          </cell>
          <cell r="H531">
            <v>261459.17799999999</v>
          </cell>
        </row>
        <row r="532">
          <cell r="D532" t="str">
            <v>Thiết bị khác</v>
          </cell>
          <cell r="E532" t="str">
            <v>%</v>
          </cell>
          <cell r="F532">
            <v>1</v>
          </cell>
          <cell r="G532">
            <v>261459.17799999999</v>
          </cell>
          <cell r="H532">
            <v>2614.5917799999997</v>
          </cell>
        </row>
        <row r="533">
          <cell r="D533" t="str">
            <v>a) Chi phí chung (55%*NC)</v>
          </cell>
          <cell r="H533">
            <v>946703.61710480775</v>
          </cell>
        </row>
        <row r="534">
          <cell r="D534" t="str">
            <v>b) Thu nhập chịu thuế tính trước [6%*(VL+NC+M+CPC)]</v>
          </cell>
          <cell r="H534">
            <v>182581.46622165784</v>
          </cell>
        </row>
        <row r="535">
          <cell r="D535" t="str">
            <v>Cộng đơn gíá (Z=VL+NC+M+CPC+T)</v>
          </cell>
          <cell r="H535">
            <v>3225605.9032492889</v>
          </cell>
        </row>
        <row r="537">
          <cell r="B537" t="str">
            <v>CC.01103</v>
          </cell>
          <cell r="D537" t="str">
            <v>Khoan xoay bơm rửa = ống mẫu ở trên cạn,Độ sâu đến 30m, Cấp đá VII-VIII</v>
          </cell>
          <cell r="E537" t="str">
            <v>1m khoan</v>
          </cell>
          <cell r="H537">
            <v>2967026.0536682792</v>
          </cell>
        </row>
        <row r="538">
          <cell r="D538" t="str">
            <v xml:space="preserve"> - Vật liệu </v>
          </cell>
          <cell r="H538">
            <v>78442.641799999998</v>
          </cell>
        </row>
        <row r="539">
          <cell r="D539" t="str">
            <v>Mũi khoan hợp kim</v>
          </cell>
          <cell r="E539" t="str">
            <v>cái</v>
          </cell>
          <cell r="F539">
            <v>0.35</v>
          </cell>
          <cell r="G539">
            <v>74000</v>
          </cell>
          <cell r="H539">
            <v>25900</v>
          </cell>
        </row>
        <row r="540">
          <cell r="D540" t="str">
            <v xml:space="preserve">Cần khoan </v>
          </cell>
          <cell r="E540" t="str">
            <v>m</v>
          </cell>
          <cell r="F540">
            <v>0.04</v>
          </cell>
          <cell r="G540">
            <v>120000</v>
          </cell>
          <cell r="H540">
            <v>4800</v>
          </cell>
        </row>
        <row r="541">
          <cell r="D541" t="str">
            <v>Đầu nối cần</v>
          </cell>
          <cell r="E541" t="str">
            <v>bộ</v>
          </cell>
          <cell r="F541">
            <v>1.4E-2</v>
          </cell>
          <cell r="G541">
            <v>186200</v>
          </cell>
          <cell r="H541">
            <v>2606.8000000000002</v>
          </cell>
        </row>
        <row r="542">
          <cell r="D542" t="str">
            <v>ống chống</v>
          </cell>
          <cell r="E542" t="str">
            <v>m</v>
          </cell>
          <cell r="F542">
            <v>0.02</v>
          </cell>
          <cell r="G542">
            <v>140000</v>
          </cell>
          <cell r="H542">
            <v>2800</v>
          </cell>
        </row>
        <row r="543">
          <cell r="D543" t="str">
            <v>Đầu nối ống chống</v>
          </cell>
          <cell r="E543" t="str">
            <v>cái</v>
          </cell>
          <cell r="F543">
            <v>7.0000000000000001E-3</v>
          </cell>
          <cell r="G543">
            <v>105714</v>
          </cell>
          <cell r="H543">
            <v>739.99800000000005</v>
          </cell>
        </row>
        <row r="544">
          <cell r="D544" t="str">
            <v>ống mẫu đơn</v>
          </cell>
          <cell r="E544" t="str">
            <v>m</v>
          </cell>
          <cell r="F544">
            <v>0.04</v>
          </cell>
          <cell r="G544">
            <v>212381</v>
          </cell>
          <cell r="H544">
            <v>8495.24</v>
          </cell>
        </row>
        <row r="545">
          <cell r="D545" t="str">
            <v>ống mẫu kép</v>
          </cell>
          <cell r="E545" t="str">
            <v>cái</v>
          </cell>
          <cell r="F545">
            <v>2E-3</v>
          </cell>
          <cell r="G545">
            <v>1212000</v>
          </cell>
          <cell r="H545">
            <v>2424</v>
          </cell>
        </row>
        <row r="546">
          <cell r="D546" t="str">
            <v>Hộp gỗ đựng mẫu</v>
          </cell>
          <cell r="E546" t="str">
            <v>cái</v>
          </cell>
          <cell r="F546">
            <v>0.4</v>
          </cell>
          <cell r="G546">
            <v>35000</v>
          </cell>
          <cell r="H546">
            <v>14000</v>
          </cell>
        </row>
        <row r="547">
          <cell r="D547" t="str">
            <v>Gỗ xẻ nhóm 5</v>
          </cell>
          <cell r="E547" t="str">
            <v>m3</v>
          </cell>
          <cell r="F547">
            <v>3.5000000000000001E-3</v>
          </cell>
          <cell r="G547">
            <v>2727272.7272727271</v>
          </cell>
          <cell r="H547">
            <v>9545.4545454545441</v>
          </cell>
        </row>
        <row r="548">
          <cell r="D548" t="str">
            <v>Vật liệu khác</v>
          </cell>
          <cell r="E548" t="str">
            <v>%</v>
          </cell>
          <cell r="F548">
            <v>10</v>
          </cell>
          <cell r="G548">
            <v>71311.492545454545</v>
          </cell>
          <cell r="H548">
            <v>7131.1492545454539</v>
          </cell>
        </row>
        <row r="549">
          <cell r="D549" t="str">
            <v xml:space="preserve"> - Nhân công (K = 1,05*1,05)</v>
          </cell>
          <cell r="H549">
            <v>1493157.9503076926</v>
          </cell>
        </row>
        <row r="550">
          <cell r="D550" t="str">
            <v>Bậc 4/7</v>
          </cell>
          <cell r="E550" t="str">
            <v>công</v>
          </cell>
          <cell r="F550">
            <v>5.28</v>
          </cell>
          <cell r="G550">
            <v>256503.46153846153</v>
          </cell>
          <cell r="H550">
            <v>1354338.2769230769</v>
          </cell>
        </row>
        <row r="551">
          <cell r="D551" t="str">
            <v xml:space="preserve"> - Máy thi công (K = 1,05*1,05)</v>
          </cell>
          <cell r="H551">
            <v>406243.71792900003</v>
          </cell>
        </row>
        <row r="552">
          <cell r="D552" t="str">
            <v>Bộ máy khoan cby - 150 - 3ub</v>
          </cell>
          <cell r="E552" t="str">
            <v>ca</v>
          </cell>
          <cell r="F552">
            <v>0.6</v>
          </cell>
          <cell r="G552">
            <v>608044.6</v>
          </cell>
          <cell r="H552">
            <v>364826.75999999995</v>
          </cell>
        </row>
        <row r="553">
          <cell r="D553" t="str">
            <v>Thiết bị khác</v>
          </cell>
          <cell r="E553" t="str">
            <v>%</v>
          </cell>
          <cell r="F553">
            <v>1</v>
          </cell>
          <cell r="G553">
            <v>364826.75999999995</v>
          </cell>
          <cell r="H553">
            <v>3648.2675999999997</v>
          </cell>
        </row>
        <row r="554">
          <cell r="D554" t="str">
            <v>a) Chi phí chung (55%*NC)</v>
          </cell>
          <cell r="H554">
            <v>821236.87266923103</v>
          </cell>
        </row>
        <row r="555">
          <cell r="D555" t="str">
            <v>b) Thu nhập chịu thuế tính trước [6%*(VL+NC+M+CPC)]</v>
          </cell>
          <cell r="H555">
            <v>167944.87096235543</v>
          </cell>
        </row>
        <row r="556">
          <cell r="D556" t="str">
            <v>Cộng đơn gíá (Z=VL+NC+M+CPC+T)</v>
          </cell>
          <cell r="H556">
            <v>2967026.0536682792</v>
          </cell>
        </row>
        <row r="558">
          <cell r="B558" t="str">
            <v>CD.01103</v>
          </cell>
          <cell r="D558" t="str">
            <v>Khoan xoay bơm rửa = ống mẫu ở dưới nước, Độ sâu đến 30m, Cấp đá VII-VIII</v>
          </cell>
          <cell r="E558" t="str">
            <v>1m khoan</v>
          </cell>
          <cell r="H558">
            <v>4487849.5073840925</v>
          </cell>
        </row>
        <row r="559">
          <cell r="D559" t="str">
            <v xml:space="preserve"> - Vật liệu </v>
          </cell>
          <cell r="H559">
            <v>84116.789179999992</v>
          </cell>
        </row>
        <row r="560">
          <cell r="D560" t="str">
            <v>Mũi khoan hợp kim</v>
          </cell>
          <cell r="E560" t="str">
            <v>cái</v>
          </cell>
          <cell r="F560">
            <v>0.35</v>
          </cell>
          <cell r="G560">
            <v>74000</v>
          </cell>
          <cell r="H560">
            <v>25900</v>
          </cell>
        </row>
        <row r="561">
          <cell r="D561" t="str">
            <v xml:space="preserve">Cần khoan </v>
          </cell>
          <cell r="E561" t="str">
            <v>m</v>
          </cell>
          <cell r="F561">
            <v>4.8000000000000001E-2</v>
          </cell>
          <cell r="G561">
            <v>120000</v>
          </cell>
          <cell r="H561">
            <v>5760</v>
          </cell>
        </row>
        <row r="562">
          <cell r="D562" t="str">
            <v>Đầu nối cần</v>
          </cell>
          <cell r="E562" t="str">
            <v>bộ</v>
          </cell>
          <cell r="F562">
            <v>1.7000000000000001E-2</v>
          </cell>
          <cell r="G562">
            <v>186200</v>
          </cell>
          <cell r="H562">
            <v>3165.4</v>
          </cell>
        </row>
        <row r="563">
          <cell r="D563" t="str">
            <v>ống chống</v>
          </cell>
          <cell r="E563" t="str">
            <v>m</v>
          </cell>
          <cell r="F563">
            <v>0.05</v>
          </cell>
          <cell r="G563">
            <v>140000</v>
          </cell>
          <cell r="H563">
            <v>7000</v>
          </cell>
        </row>
        <row r="564">
          <cell r="D564" t="str">
            <v>Đầu nối ống chống</v>
          </cell>
          <cell r="E564" t="str">
            <v>cái</v>
          </cell>
          <cell r="F564">
            <v>1.6999999999999999E-3</v>
          </cell>
          <cell r="G564">
            <v>105714</v>
          </cell>
          <cell r="H564">
            <v>179.71379999999999</v>
          </cell>
        </row>
        <row r="565">
          <cell r="D565" t="str">
            <v>ống mẫu đơn</v>
          </cell>
          <cell r="E565" t="str">
            <v>m</v>
          </cell>
          <cell r="F565">
            <v>0.04</v>
          </cell>
          <cell r="G565">
            <v>212381</v>
          </cell>
          <cell r="H565">
            <v>8495.24</v>
          </cell>
        </row>
        <row r="566">
          <cell r="D566" t="str">
            <v>ống mẫu kép</v>
          </cell>
          <cell r="E566" t="str">
            <v>cái</v>
          </cell>
          <cell r="F566">
            <v>2E-3</v>
          </cell>
          <cell r="G566">
            <v>1212000</v>
          </cell>
          <cell r="H566">
            <v>2424</v>
          </cell>
        </row>
        <row r="567">
          <cell r="D567" t="str">
            <v>Hộp gỗ đựng mẫu</v>
          </cell>
          <cell r="E567" t="str">
            <v>cái</v>
          </cell>
          <cell r="F567">
            <v>0.4</v>
          </cell>
          <cell r="G567">
            <v>35000</v>
          </cell>
          <cell r="H567">
            <v>14000</v>
          </cell>
        </row>
        <row r="568">
          <cell r="D568" t="str">
            <v>Gỗ xẻ nhóm 5</v>
          </cell>
          <cell r="E568" t="str">
            <v>m3</v>
          </cell>
          <cell r="F568">
            <v>3.5000000000000001E-3</v>
          </cell>
          <cell r="G568">
            <v>2727272.7272727271</v>
          </cell>
          <cell r="H568">
            <v>9545.4545454545441</v>
          </cell>
        </row>
        <row r="569">
          <cell r="D569" t="str">
            <v>Vật liệu khác</v>
          </cell>
          <cell r="E569" t="str">
            <v>%</v>
          </cell>
          <cell r="F569">
            <v>10</v>
          </cell>
          <cell r="G569">
            <v>76469.808345454541</v>
          </cell>
          <cell r="H569">
            <v>7646.9808345454549</v>
          </cell>
        </row>
        <row r="570">
          <cell r="D570" t="str">
            <v xml:space="preserve"> - Nhân công (K = 1,05 * 1,1 )</v>
          </cell>
          <cell r="H570">
            <v>2352316.2947307695</v>
          </cell>
        </row>
        <row r="571">
          <cell r="D571" t="str">
            <v>Bậc 4/7</v>
          </cell>
          <cell r="E571" t="str">
            <v>công</v>
          </cell>
          <cell r="F571">
            <v>7.94</v>
          </cell>
          <cell r="G571">
            <v>256503.46153846153</v>
          </cell>
          <cell r="H571">
            <v>2036637.4846153846</v>
          </cell>
        </row>
        <row r="572">
          <cell r="D572" t="str">
            <v xml:space="preserve"> - Máy thi công (K = 1,05*1,1 )</v>
          </cell>
          <cell r="H572">
            <v>503613.24397230003</v>
          </cell>
        </row>
        <row r="573">
          <cell r="D573" t="str">
            <v>Bộ máy khoan cby - 150 - 3ub</v>
          </cell>
          <cell r="E573" t="str">
            <v>ca</v>
          </cell>
          <cell r="F573">
            <v>0.71</v>
          </cell>
          <cell r="G573">
            <v>608044.6</v>
          </cell>
          <cell r="H573">
            <v>431711.66599999997</v>
          </cell>
        </row>
        <row r="574">
          <cell r="D574" t="str">
            <v>Thiết bị khác</v>
          </cell>
          <cell r="E574" t="str">
            <v>%</v>
          </cell>
          <cell r="F574">
            <v>1</v>
          </cell>
          <cell r="G574">
            <v>431711.66599999997</v>
          </cell>
          <cell r="H574">
            <v>4317.1166599999997</v>
          </cell>
        </row>
        <row r="575">
          <cell r="D575" t="str">
            <v>a) Chi phí chung (55%*NC)</v>
          </cell>
          <cell r="H575">
            <v>1293773.9621019233</v>
          </cell>
        </row>
        <row r="576">
          <cell r="D576" t="str">
            <v>b) Thu nhập chịu thuế tính trước [6%*(VL+NC+M+CPC)]</v>
          </cell>
          <cell r="H576">
            <v>254029.21739909955</v>
          </cell>
        </row>
        <row r="577">
          <cell r="D577" t="str">
            <v>Cộng đơn gíá (Z=VL+NC+M+CPC+T)</v>
          </cell>
          <cell r="H577">
            <v>4487849.5073840925</v>
          </cell>
        </row>
        <row r="579">
          <cell r="B579" t="str">
            <v>CQ.19000</v>
          </cell>
          <cell r="D579" t="str">
            <v>Thí nghiệm đo mođun đàn hồi bằng cần Belkenman</v>
          </cell>
          <cell r="E579" t="str">
            <v>1 điểm</v>
          </cell>
          <cell r="H579">
            <v>737363.8132080558</v>
          </cell>
        </row>
        <row r="580">
          <cell r="D580" t="str">
            <v>Chi phí vật liệu</v>
          </cell>
          <cell r="H580">
            <v>23446.409090909088</v>
          </cell>
        </row>
        <row r="581">
          <cell r="D581" t="str">
            <v>Giấy kẻ ly</v>
          </cell>
          <cell r="E581" t="str">
            <v>tờ</v>
          </cell>
          <cell r="F581">
            <v>2</v>
          </cell>
          <cell r="G581">
            <v>3000</v>
          </cell>
          <cell r="H581">
            <v>6000</v>
          </cell>
        </row>
        <row r="582">
          <cell r="D582" t="str">
            <v>Đá hộc</v>
          </cell>
          <cell r="E582" t="str">
            <v>m3</v>
          </cell>
          <cell r="F582">
            <v>8.3299999999999999E-2</v>
          </cell>
          <cell r="G582">
            <v>172727.27272727271</v>
          </cell>
          <cell r="H582">
            <v>14388.181818181816</v>
          </cell>
        </row>
        <row r="583">
          <cell r="D583" t="str">
            <v>Vật liệu khác</v>
          </cell>
          <cell r="E583" t="str">
            <v>%</v>
          </cell>
          <cell r="F583">
            <v>15</v>
          </cell>
          <cell r="G583">
            <v>20388.181818181816</v>
          </cell>
          <cell r="H583">
            <v>3058.2272727272725</v>
          </cell>
        </row>
        <row r="584">
          <cell r="D584" t="str">
            <v>Chi phí nhân công</v>
          </cell>
          <cell r="H584">
            <v>341193.4615384615</v>
          </cell>
        </row>
        <row r="585">
          <cell r="D585" t="str">
            <v>Bậc 4/7 (TN)</v>
          </cell>
          <cell r="E585" t="str">
            <v>công</v>
          </cell>
          <cell r="F585">
            <v>1.4</v>
          </cell>
          <cell r="G585">
            <v>243709.61538461538</v>
          </cell>
          <cell r="H585">
            <v>341193.4615384615</v>
          </cell>
        </row>
        <row r="586">
          <cell r="D586" t="str">
            <v>Chi phí máy thi công</v>
          </cell>
          <cell r="H586">
            <v>143329.9644</v>
          </cell>
        </row>
        <row r="587">
          <cell r="D587" t="str">
            <v>Kích thuỷ lực 50T</v>
          </cell>
          <cell r="E587" t="str">
            <v>ca</v>
          </cell>
          <cell r="F587">
            <v>0.3</v>
          </cell>
          <cell r="G587">
            <v>82589</v>
          </cell>
          <cell r="H587">
            <v>24776.7</v>
          </cell>
        </row>
        <row r="588">
          <cell r="D588" t="str">
            <v>Cần Belkenman</v>
          </cell>
          <cell r="E588" t="str">
            <v>ca</v>
          </cell>
          <cell r="F588">
            <v>0.3</v>
          </cell>
          <cell r="G588">
            <v>15321</v>
          </cell>
          <cell r="H588">
            <v>4596.3</v>
          </cell>
        </row>
        <row r="589">
          <cell r="D589" t="str">
            <v>Ôtô vận tải thùng 12T</v>
          </cell>
          <cell r="E589" t="str">
            <v>ca</v>
          </cell>
          <cell r="F589">
            <v>0.08</v>
          </cell>
          <cell r="G589">
            <v>1339146.6000000001</v>
          </cell>
          <cell r="H589">
            <v>107131.728</v>
          </cell>
        </row>
        <row r="590">
          <cell r="D590" t="str">
            <v>Thiết bị khác</v>
          </cell>
          <cell r="E590" t="str">
            <v>%</v>
          </cell>
          <cell r="F590">
            <v>5</v>
          </cell>
          <cell r="G590">
            <v>136504.728</v>
          </cell>
          <cell r="H590">
            <v>6825.2364000000007</v>
          </cell>
        </row>
        <row r="591">
          <cell r="D591" t="str">
            <v>a) Chi phí chung (55%*NC)</v>
          </cell>
          <cell r="H591">
            <v>187656.40384615384</v>
          </cell>
        </row>
        <row r="592">
          <cell r="D592" t="str">
            <v>b) Thu nhập chịu thuế tính trước [6%*(VL+NC+M+CPC)]</v>
          </cell>
          <cell r="H592">
            <v>41737.574332531462</v>
          </cell>
        </row>
        <row r="593">
          <cell r="D593" t="str">
            <v>Cộng đơn gíá (Z=VL+NC+M+CPC+T)</v>
          </cell>
          <cell r="H593">
            <v>737363.8132080558</v>
          </cell>
        </row>
        <row r="595">
          <cell r="B595" t="str">
            <v>CP.03102</v>
          </cell>
          <cell r="D595" t="str">
            <v>Xác định 9 chỉ tiêu thông thường của mẫu đất nguyên dạng (PP 1 trục)</v>
          </cell>
          <cell r="E595" t="str">
            <v>1 mẫu</v>
          </cell>
          <cell r="H595">
            <v>1492146.9004493784</v>
          </cell>
        </row>
        <row r="596">
          <cell r="D596" t="str">
            <v>Chi phí vật liệu</v>
          </cell>
          <cell r="H596">
            <v>31706.400000000001</v>
          </cell>
        </row>
        <row r="597">
          <cell r="D597" t="str">
            <v>Rây địa chất công trình</v>
          </cell>
          <cell r="E597" t="str">
            <v>bộ</v>
          </cell>
          <cell r="F597">
            <v>1.2999999999999999E-3</v>
          </cell>
          <cell r="G597">
            <v>1500000</v>
          </cell>
          <cell r="H597">
            <v>1950</v>
          </cell>
        </row>
        <row r="598">
          <cell r="D598" t="str">
            <v>Bình hút ẩm</v>
          </cell>
          <cell r="E598" t="str">
            <v>cái</v>
          </cell>
          <cell r="F598">
            <v>1E-3</v>
          </cell>
          <cell r="G598">
            <v>380000</v>
          </cell>
          <cell r="H598">
            <v>380</v>
          </cell>
        </row>
        <row r="599">
          <cell r="D599" t="str">
            <v>Bình tiêu bản</v>
          </cell>
          <cell r="E599" t="str">
            <v>cái</v>
          </cell>
          <cell r="F599">
            <v>0.04</v>
          </cell>
          <cell r="G599">
            <v>60000</v>
          </cell>
          <cell r="H599">
            <v>2400</v>
          </cell>
        </row>
        <row r="600">
          <cell r="D600" t="str">
            <v>Bình thuỷ tinh tam giác (50-1000)ml</v>
          </cell>
          <cell r="E600" t="str">
            <v>cái</v>
          </cell>
          <cell r="F600">
            <v>0.04</v>
          </cell>
          <cell r="G600">
            <v>25000</v>
          </cell>
          <cell r="H600">
            <v>1000</v>
          </cell>
        </row>
        <row r="601">
          <cell r="D601" t="str">
            <v xml:space="preserve">Chậu thuỷ tinh </v>
          </cell>
          <cell r="E601" t="str">
            <v>cái</v>
          </cell>
          <cell r="F601">
            <v>0.04</v>
          </cell>
          <cell r="G601">
            <v>15000</v>
          </cell>
          <cell r="H601">
            <v>600</v>
          </cell>
        </row>
        <row r="602">
          <cell r="D602" t="str">
            <v>Bình tỷ trọng</v>
          </cell>
          <cell r="E602" t="str">
            <v>cái</v>
          </cell>
          <cell r="F602">
            <v>0.02</v>
          </cell>
          <cell r="G602">
            <v>28000</v>
          </cell>
          <cell r="H602">
            <v>560</v>
          </cell>
        </row>
        <row r="603">
          <cell r="D603" t="str">
            <v>Khay men to</v>
          </cell>
          <cell r="E603" t="str">
            <v>cái</v>
          </cell>
          <cell r="F603">
            <v>0.02</v>
          </cell>
          <cell r="G603">
            <v>29000</v>
          </cell>
          <cell r="H603">
            <v>580</v>
          </cell>
        </row>
        <row r="604">
          <cell r="D604" t="str">
            <v>Đĩa sắt tráng men</v>
          </cell>
          <cell r="E604" t="str">
            <v>cái</v>
          </cell>
          <cell r="F604">
            <v>0.04</v>
          </cell>
          <cell r="G604">
            <v>6000</v>
          </cell>
          <cell r="H604">
            <v>240</v>
          </cell>
        </row>
        <row r="605">
          <cell r="D605" t="str">
            <v xml:space="preserve">Cốc thuỷ tinh </v>
          </cell>
          <cell r="E605" t="str">
            <v>cái</v>
          </cell>
          <cell r="F605">
            <v>0.04</v>
          </cell>
          <cell r="G605">
            <v>25000</v>
          </cell>
          <cell r="H605">
            <v>1000</v>
          </cell>
        </row>
        <row r="606">
          <cell r="D606" t="str">
            <v>Phễu thủy tinh</v>
          </cell>
          <cell r="E606" t="str">
            <v>cái</v>
          </cell>
          <cell r="F606">
            <v>0.04</v>
          </cell>
          <cell r="G606">
            <v>50000</v>
          </cell>
          <cell r="H606">
            <v>2000</v>
          </cell>
        </row>
        <row r="607">
          <cell r="D607" t="str">
            <v>Hộp nhôm</v>
          </cell>
          <cell r="E607" t="str">
            <v>cái</v>
          </cell>
          <cell r="F607">
            <v>0.16</v>
          </cell>
          <cell r="G607">
            <v>5500</v>
          </cell>
          <cell r="H607">
            <v>880</v>
          </cell>
        </row>
        <row r="608">
          <cell r="D608" t="str">
            <v>Kính mài mờ (1x0.5)m</v>
          </cell>
          <cell r="E608" t="str">
            <v>cái</v>
          </cell>
          <cell r="F608">
            <v>0.01</v>
          </cell>
          <cell r="G608">
            <v>30000</v>
          </cell>
          <cell r="H608">
            <v>300</v>
          </cell>
        </row>
        <row r="609">
          <cell r="D609" t="str">
            <v>Chuỳ Vaxiliep</v>
          </cell>
          <cell r="E609" t="str">
            <v>cái</v>
          </cell>
          <cell r="F609">
            <v>1.2999999999999999E-3</v>
          </cell>
          <cell r="G609">
            <v>350000</v>
          </cell>
          <cell r="H609">
            <v>455</v>
          </cell>
        </row>
        <row r="610">
          <cell r="D610" t="str">
            <v>Dụng cụ xác định độ tan rã</v>
          </cell>
          <cell r="E610" t="str">
            <v>cái</v>
          </cell>
          <cell r="F610">
            <v>3.3E-3</v>
          </cell>
          <cell r="G610">
            <v>350000</v>
          </cell>
          <cell r="H610">
            <v>1155</v>
          </cell>
        </row>
        <row r="611">
          <cell r="D611" t="str">
            <v>Đồng hồ bấm giây</v>
          </cell>
          <cell r="E611" t="str">
            <v>cái</v>
          </cell>
          <cell r="F611">
            <v>2.0000000000000001E-4</v>
          </cell>
          <cell r="G611">
            <v>220000</v>
          </cell>
          <cell r="H611">
            <v>44</v>
          </cell>
        </row>
        <row r="612">
          <cell r="D612" t="str">
            <v>Hóa chất</v>
          </cell>
          <cell r="E612" t="str">
            <v>kg</v>
          </cell>
          <cell r="F612">
            <v>0.05</v>
          </cell>
          <cell r="G612">
            <v>150000</v>
          </cell>
          <cell r="H612">
            <v>7500</v>
          </cell>
        </row>
        <row r="613">
          <cell r="D613" t="str">
            <v>Dao vòng nén</v>
          </cell>
          <cell r="E613" t="str">
            <v>cái</v>
          </cell>
          <cell r="F613">
            <v>0.01</v>
          </cell>
          <cell r="G613">
            <v>85000</v>
          </cell>
          <cell r="H613">
            <v>850</v>
          </cell>
        </row>
        <row r="614">
          <cell r="D614" t="str">
            <v>Dao vòng thấm</v>
          </cell>
          <cell r="E614" t="str">
            <v>cái</v>
          </cell>
          <cell r="F614">
            <v>0.01</v>
          </cell>
          <cell r="G614">
            <v>85000</v>
          </cell>
          <cell r="H614">
            <v>850</v>
          </cell>
        </row>
        <row r="615">
          <cell r="D615" t="str">
            <v>Cối chày sứ</v>
          </cell>
          <cell r="E615" t="str">
            <v>bộ</v>
          </cell>
          <cell r="F615">
            <v>1E-3</v>
          </cell>
          <cell r="G615">
            <v>80000</v>
          </cell>
          <cell r="H615">
            <v>80</v>
          </cell>
        </row>
        <row r="616">
          <cell r="D616" t="str">
            <v>ống đong thủy tinh 1000ml</v>
          </cell>
          <cell r="E616" t="str">
            <v>cái</v>
          </cell>
          <cell r="F616">
            <v>0.1</v>
          </cell>
          <cell r="G616">
            <v>60000</v>
          </cell>
          <cell r="H616">
            <v>6000</v>
          </cell>
        </row>
        <row r="617">
          <cell r="D617" t="str">
            <v>Vật liệu khác</v>
          </cell>
          <cell r="E617" t="str">
            <v>%</v>
          </cell>
          <cell r="F617">
            <v>10</v>
          </cell>
          <cell r="G617">
            <v>28824</v>
          </cell>
          <cell r="H617">
            <v>2882.4</v>
          </cell>
        </row>
        <row r="618">
          <cell r="D618" t="str">
            <v>Chi phí nhân công (K = 0,55)</v>
          </cell>
          <cell r="H618">
            <v>844453.81730769225</v>
          </cell>
        </row>
        <row r="619">
          <cell r="D619" t="str">
            <v>Bậc 4/7 (TN)</v>
          </cell>
          <cell r="E619" t="str">
            <v>công</v>
          </cell>
          <cell r="F619">
            <v>6.3</v>
          </cell>
          <cell r="G619">
            <v>243709.61538461538</v>
          </cell>
          <cell r="H619">
            <v>1535370.5769230768</v>
          </cell>
        </row>
        <row r="620">
          <cell r="D620" t="str">
            <v>Chi phí máy thi công (K = 0,55)</v>
          </cell>
          <cell r="H620">
            <v>67075.938313999999</v>
          </cell>
        </row>
        <row r="621">
          <cell r="D621" t="str">
            <v>Máy chưng cất nước</v>
          </cell>
          <cell r="E621" t="str">
            <v>ca</v>
          </cell>
          <cell r="F621">
            <v>0.7</v>
          </cell>
          <cell r="G621">
            <v>7741.8</v>
          </cell>
          <cell r="H621">
            <v>5419.26</v>
          </cell>
        </row>
        <row r="622">
          <cell r="D622" t="str">
            <v>Máy cắt</v>
          </cell>
          <cell r="E622" t="str">
            <v>ca</v>
          </cell>
          <cell r="F622">
            <v>0.6</v>
          </cell>
          <cell r="G622">
            <v>1854</v>
          </cell>
          <cell r="H622">
            <v>1112.3999999999999</v>
          </cell>
        </row>
        <row r="623">
          <cell r="D623" t="str">
            <v>Máy nén một trục</v>
          </cell>
          <cell r="E623" t="str">
            <v>ca</v>
          </cell>
          <cell r="F623">
            <v>1.74</v>
          </cell>
          <cell r="G623">
            <v>11838.5</v>
          </cell>
          <cell r="H623">
            <v>20598.990000000002</v>
          </cell>
        </row>
        <row r="624">
          <cell r="D624" t="str">
            <v>Cân phân tích và cân kỹ thuật</v>
          </cell>
          <cell r="E624" t="str">
            <v>ca</v>
          </cell>
          <cell r="F624">
            <v>1.74</v>
          </cell>
          <cell r="G624">
            <v>8247</v>
          </cell>
          <cell r="H624">
            <v>14349.78</v>
          </cell>
        </row>
        <row r="625">
          <cell r="D625" t="str">
            <v>Máy xác định hệ số thấm</v>
          </cell>
          <cell r="E625" t="str">
            <v>ca</v>
          </cell>
          <cell r="F625">
            <v>0.57999999999999996</v>
          </cell>
          <cell r="G625">
            <v>42195</v>
          </cell>
          <cell r="H625">
            <v>24473.1</v>
          </cell>
        </row>
        <row r="626">
          <cell r="D626" t="str">
            <v>Tủ sấy</v>
          </cell>
          <cell r="E626" t="str">
            <v>ca</v>
          </cell>
          <cell r="F626">
            <v>1.2</v>
          </cell>
          <cell r="G626">
            <v>17658.900000000001</v>
          </cell>
          <cell r="H626">
            <v>21190.68</v>
          </cell>
        </row>
        <row r="627">
          <cell r="D627" t="str">
            <v>Lò nung</v>
          </cell>
          <cell r="E627" t="str">
            <v>ca</v>
          </cell>
          <cell r="F627">
            <v>1</v>
          </cell>
          <cell r="G627">
            <v>23754.2</v>
          </cell>
          <cell r="H627">
            <v>23754.2</v>
          </cell>
        </row>
        <row r="628">
          <cell r="D628" t="str">
            <v>Bếp cát</v>
          </cell>
          <cell r="E628" t="str">
            <v>ca</v>
          </cell>
          <cell r="F628">
            <v>0.5</v>
          </cell>
          <cell r="G628">
            <v>6218.8</v>
          </cell>
          <cell r="H628">
            <v>3109.4</v>
          </cell>
        </row>
        <row r="629">
          <cell r="D629" t="str">
            <v>Bếp điện</v>
          </cell>
          <cell r="E629" t="str">
            <v>ca</v>
          </cell>
          <cell r="F629">
            <v>1.2</v>
          </cell>
          <cell r="G629">
            <v>6218.8</v>
          </cell>
          <cell r="H629">
            <v>7462.5599999999995</v>
          </cell>
        </row>
        <row r="630">
          <cell r="D630" t="str">
            <v>Máy bơm nước 7KW</v>
          </cell>
          <cell r="E630" t="str">
            <v>ca</v>
          </cell>
          <cell r="F630">
            <v>0.4</v>
          </cell>
          <cell r="G630">
            <v>121470.36999999998</v>
          </cell>
          <cell r="H630">
            <v>485.88147999999995</v>
          </cell>
        </row>
        <row r="631">
          <cell r="D631" t="str">
            <v>a) Chi phí chung (55%*NC)</v>
          </cell>
          <cell r="H631">
            <v>464449.59951923077</v>
          </cell>
        </row>
        <row r="632">
          <cell r="D632" t="str">
            <v>b) Thu nhập chịu thuế tính trước [6%*(VL+NC+M+CPC)]</v>
          </cell>
          <cell r="H632">
            <v>84461.14530845538</v>
          </cell>
        </row>
        <row r="633">
          <cell r="D633" t="str">
            <v>Cộng đơn gíá (Z=VL+NC+M+CPC+T)</v>
          </cell>
          <cell r="H633">
            <v>1492146.9004493784</v>
          </cell>
        </row>
        <row r="635">
          <cell r="B635" t="str">
            <v>CP.03302</v>
          </cell>
          <cell r="D635" t="str">
            <v xml:space="preserve">Thí nghiệm mẫu </v>
          </cell>
          <cell r="E635" t="str">
            <v>1 mẫu</v>
          </cell>
          <cell r="H635">
            <v>993059.3132953844</v>
          </cell>
        </row>
        <row r="636">
          <cell r="D636" t="str">
            <v>Chi phí vật liệu</v>
          </cell>
          <cell r="H636">
            <v>18405.45</v>
          </cell>
        </row>
        <row r="637">
          <cell r="D637" t="str">
            <v>Dụng cụ thí nghiệm đầm nện</v>
          </cell>
          <cell r="E637" t="str">
            <v>bộ</v>
          </cell>
          <cell r="F637">
            <v>2E-3</v>
          </cell>
          <cell r="G637">
            <v>300000</v>
          </cell>
          <cell r="H637">
            <v>600</v>
          </cell>
        </row>
        <row r="638">
          <cell r="D638" t="str">
            <v>Rây địa chất công trình</v>
          </cell>
          <cell r="E638" t="str">
            <v>bộ</v>
          </cell>
          <cell r="F638">
            <v>1.2999999999999999E-3</v>
          </cell>
          <cell r="G638">
            <v>1500000</v>
          </cell>
          <cell r="H638">
            <v>1950</v>
          </cell>
        </row>
        <row r="639">
          <cell r="D639" t="str">
            <v>Bình hút ẩm</v>
          </cell>
          <cell r="E639" t="str">
            <v>cái</v>
          </cell>
          <cell r="F639">
            <v>1E-3</v>
          </cell>
          <cell r="G639">
            <v>380000</v>
          </cell>
          <cell r="H639">
            <v>380</v>
          </cell>
        </row>
        <row r="640">
          <cell r="D640" t="str">
            <v>Bình thuỷ tinh tam giác (50-1000)ml</v>
          </cell>
          <cell r="E640" t="str">
            <v>cái</v>
          </cell>
          <cell r="F640">
            <v>0.04</v>
          </cell>
          <cell r="G640">
            <v>25000</v>
          </cell>
          <cell r="H640">
            <v>1000</v>
          </cell>
        </row>
        <row r="641">
          <cell r="D641" t="str">
            <v xml:space="preserve">Chậu thuỷ tinh </v>
          </cell>
          <cell r="E641" t="str">
            <v>cái</v>
          </cell>
          <cell r="F641">
            <v>0.04</v>
          </cell>
          <cell r="G641">
            <v>15000</v>
          </cell>
          <cell r="H641">
            <v>600</v>
          </cell>
        </row>
        <row r="642">
          <cell r="D642" t="str">
            <v>Bình tỷ trọng</v>
          </cell>
          <cell r="E642" t="str">
            <v>cái</v>
          </cell>
          <cell r="F642">
            <v>0.02</v>
          </cell>
          <cell r="G642">
            <v>28000</v>
          </cell>
          <cell r="H642">
            <v>560</v>
          </cell>
        </row>
        <row r="643">
          <cell r="D643" t="str">
            <v>Khay men to</v>
          </cell>
          <cell r="E643" t="str">
            <v>cái</v>
          </cell>
          <cell r="F643">
            <v>0.06</v>
          </cell>
          <cell r="G643">
            <v>29000</v>
          </cell>
          <cell r="H643">
            <v>1740</v>
          </cell>
        </row>
        <row r="644">
          <cell r="D644" t="str">
            <v xml:space="preserve">Cốc thuỷ tinh </v>
          </cell>
          <cell r="E644" t="str">
            <v>cái</v>
          </cell>
          <cell r="F644">
            <v>0.04</v>
          </cell>
          <cell r="G644">
            <v>25000</v>
          </cell>
          <cell r="H644">
            <v>1000</v>
          </cell>
        </row>
        <row r="645">
          <cell r="D645" t="str">
            <v>Phễu thủy tinh</v>
          </cell>
          <cell r="E645" t="str">
            <v>cái</v>
          </cell>
          <cell r="F645">
            <v>0.04</v>
          </cell>
          <cell r="G645">
            <v>50000</v>
          </cell>
          <cell r="H645">
            <v>2000</v>
          </cell>
        </row>
        <row r="646">
          <cell r="D646" t="str">
            <v>Hộp nhôm</v>
          </cell>
          <cell r="E646" t="str">
            <v>cái</v>
          </cell>
          <cell r="F646">
            <v>0.16</v>
          </cell>
          <cell r="G646">
            <v>5500</v>
          </cell>
          <cell r="H646">
            <v>880</v>
          </cell>
        </row>
        <row r="647">
          <cell r="D647" t="str">
            <v>Cối chày đồng</v>
          </cell>
          <cell r="E647" t="str">
            <v>bộ</v>
          </cell>
          <cell r="F647">
            <v>5.0000000000000001E-4</v>
          </cell>
          <cell r="G647">
            <v>480000</v>
          </cell>
          <cell r="H647">
            <v>240</v>
          </cell>
        </row>
        <row r="648">
          <cell r="D648" t="str">
            <v>Cối chày sứ</v>
          </cell>
          <cell r="E648" t="str">
            <v>bộ</v>
          </cell>
          <cell r="F648">
            <v>1E-3</v>
          </cell>
          <cell r="G648">
            <v>80000</v>
          </cell>
          <cell r="H648">
            <v>80</v>
          </cell>
        </row>
        <row r="649">
          <cell r="D649" t="str">
            <v>Dụng cụ xác định độ tan rã</v>
          </cell>
          <cell r="E649" t="str">
            <v>cái</v>
          </cell>
          <cell r="F649">
            <v>1.2999999999999999E-3</v>
          </cell>
          <cell r="G649">
            <v>350000</v>
          </cell>
          <cell r="H649">
            <v>455</v>
          </cell>
        </row>
        <row r="650">
          <cell r="D650" t="str">
            <v>Đồng hồ bấm giây</v>
          </cell>
          <cell r="E650" t="str">
            <v>cái</v>
          </cell>
          <cell r="F650">
            <v>2.0000000000000001E-4</v>
          </cell>
          <cell r="G650">
            <v>220000</v>
          </cell>
          <cell r="H650">
            <v>44</v>
          </cell>
        </row>
        <row r="651">
          <cell r="D651" t="str">
            <v>ống đong thủy tinh 1000ml</v>
          </cell>
          <cell r="E651" t="str">
            <v>cái</v>
          </cell>
          <cell r="F651">
            <v>0.1</v>
          </cell>
          <cell r="G651">
            <v>60000</v>
          </cell>
          <cell r="H651">
            <v>6000</v>
          </cell>
        </row>
        <row r="652">
          <cell r="D652" t="str">
            <v>Vật liệu khác</v>
          </cell>
          <cell r="E652" t="str">
            <v>%</v>
          </cell>
          <cell r="F652">
            <v>5</v>
          </cell>
          <cell r="G652">
            <v>17529</v>
          </cell>
          <cell r="H652">
            <v>876.44999999999993</v>
          </cell>
        </row>
        <row r="653">
          <cell r="D653" t="str">
            <v>Chi phí nhân công (K = 0,3)</v>
          </cell>
          <cell r="H653">
            <v>555657.92307692301</v>
          </cell>
        </row>
        <row r="654">
          <cell r="D654" t="str">
            <v>Bậc 4/7 (TN)</v>
          </cell>
          <cell r="E654" t="str">
            <v>công</v>
          </cell>
          <cell r="F654">
            <v>2.2799999999999998</v>
          </cell>
          <cell r="G654">
            <v>243709.61538461538</v>
          </cell>
          <cell r="H654">
            <v>555657.92307692301</v>
          </cell>
        </row>
        <row r="655">
          <cell r="D655" t="str">
            <v>Chi phí máy thi công (K = 0,3)</v>
          </cell>
          <cell r="H655">
            <v>57173.178</v>
          </cell>
        </row>
        <row r="656">
          <cell r="D656" t="str">
            <v>Cân phân tích và cân kỹ thuật</v>
          </cell>
          <cell r="E656" t="str">
            <v>ca</v>
          </cell>
          <cell r="F656">
            <v>0.42</v>
          </cell>
          <cell r="G656">
            <v>8247</v>
          </cell>
          <cell r="H656">
            <v>3463.74</v>
          </cell>
        </row>
        <row r="657">
          <cell r="D657" t="str">
            <v>Lò nung</v>
          </cell>
          <cell r="E657" t="str">
            <v>ca</v>
          </cell>
          <cell r="F657">
            <v>0.3</v>
          </cell>
          <cell r="G657">
            <v>23754.2</v>
          </cell>
          <cell r="H657">
            <v>7126.26</v>
          </cell>
        </row>
        <row r="658">
          <cell r="D658" t="str">
            <v>Bếp cát</v>
          </cell>
          <cell r="E658" t="str">
            <v>ca</v>
          </cell>
          <cell r="F658">
            <v>0.15</v>
          </cell>
          <cell r="G658">
            <v>6218.8</v>
          </cell>
          <cell r="H658">
            <v>932.81999999999994</v>
          </cell>
        </row>
        <row r="659">
          <cell r="D659" t="str">
            <v>Bếp điện</v>
          </cell>
          <cell r="E659" t="str">
            <v>ca</v>
          </cell>
          <cell r="F659">
            <v>0.36</v>
          </cell>
          <cell r="G659">
            <v>6218.8</v>
          </cell>
          <cell r="H659">
            <v>2238.768</v>
          </cell>
        </row>
        <row r="660">
          <cell r="D660" t="str">
            <v>Tủ sấy</v>
          </cell>
          <cell r="E660" t="str">
            <v>ca</v>
          </cell>
          <cell r="F660">
            <v>0.36</v>
          </cell>
          <cell r="G660">
            <v>17658.900000000001</v>
          </cell>
          <cell r="H660">
            <v>6357.2040000000006</v>
          </cell>
        </row>
        <row r="661">
          <cell r="D661" t="str">
            <v>Máy chưng cất nước</v>
          </cell>
          <cell r="E661" t="str">
            <v>ca</v>
          </cell>
          <cell r="F661">
            <v>0.15</v>
          </cell>
          <cell r="G661">
            <v>7741.8</v>
          </cell>
          <cell r="H661">
            <v>1161.27</v>
          </cell>
        </row>
        <row r="662">
          <cell r="D662" t="str">
            <v>Máy bơm nước 7KW</v>
          </cell>
          <cell r="E662" t="str">
            <v>ca</v>
          </cell>
          <cell r="F662">
            <v>0.12</v>
          </cell>
          <cell r="G662">
            <v>299109.3</v>
          </cell>
          <cell r="H662">
            <v>35893.115999999995</v>
          </cell>
        </row>
        <row r="663">
          <cell r="D663" t="str">
            <v>a) Chi phí chung (55%*NC)</v>
          </cell>
          <cell r="H663">
            <v>305611.85769230768</v>
          </cell>
        </row>
        <row r="664">
          <cell r="D664" t="str">
            <v>b) Thu nhập chịu thuế tính trước [6%*(VL+NC+M+CPC)]</v>
          </cell>
          <cell r="H664">
            <v>56210.904526153834</v>
          </cell>
        </row>
        <row r="665">
          <cell r="D665" t="str">
            <v>Cộng đơn gíá (Z=VL+NC+M+CPC+T)</v>
          </cell>
          <cell r="H665">
            <v>993059.3132953844</v>
          </cell>
        </row>
        <row r="667">
          <cell r="B667" t="str">
            <v>CA.01101</v>
          </cell>
          <cell r="D667" t="str">
            <v>Hố đào địa chất</v>
          </cell>
          <cell r="E667" t="str">
            <v>m3</v>
          </cell>
          <cell r="H667">
            <v>1058921.8495384613</v>
          </cell>
        </row>
        <row r="668">
          <cell r="D668" t="str">
            <v xml:space="preserve"> - Vật liệu </v>
          </cell>
          <cell r="H668">
            <v>44790</v>
          </cell>
        </row>
        <row r="669">
          <cell r="D669" t="str">
            <v>Paraphin</v>
          </cell>
          <cell r="E669" t="str">
            <v>Kg</v>
          </cell>
          <cell r="F669">
            <v>0.1</v>
          </cell>
          <cell r="G669">
            <v>54000</v>
          </cell>
          <cell r="H669">
            <v>5400</v>
          </cell>
        </row>
        <row r="670">
          <cell r="D670" t="str">
            <v>Xi măng PC30</v>
          </cell>
          <cell r="E670" t="str">
            <v>Kg</v>
          </cell>
          <cell r="F670">
            <v>1</v>
          </cell>
          <cell r="G670">
            <v>1418.181818181818</v>
          </cell>
          <cell r="H670">
            <v>1418.181818181818</v>
          </cell>
        </row>
        <row r="671">
          <cell r="D671" t="str">
            <v>Hộp tôn 200 x 200 x 1</v>
          </cell>
          <cell r="E671" t="str">
            <v>cái</v>
          </cell>
          <cell r="F671">
            <v>0.4</v>
          </cell>
          <cell r="G671">
            <v>16000</v>
          </cell>
          <cell r="H671">
            <v>6400</v>
          </cell>
        </row>
        <row r="672">
          <cell r="D672" t="str">
            <v>Hộp gỗ đựng mẫu 400x400x400</v>
          </cell>
          <cell r="E672" t="str">
            <v>cái</v>
          </cell>
          <cell r="F672">
            <v>0.1</v>
          </cell>
          <cell r="G672">
            <v>35000</v>
          </cell>
          <cell r="H672">
            <v>3500</v>
          </cell>
        </row>
        <row r="673">
          <cell r="D673" t="str">
            <v>Hộp gỗ 24 ô đựng mẫu lưu</v>
          </cell>
          <cell r="E673" t="str">
            <v>cái</v>
          </cell>
          <cell r="F673">
            <v>0.2</v>
          </cell>
          <cell r="G673">
            <v>120000</v>
          </cell>
          <cell r="H673">
            <v>24000</v>
          </cell>
        </row>
        <row r="674">
          <cell r="D674" t="str">
            <v>Vật liệu khác</v>
          </cell>
          <cell r="E674" t="str">
            <v>%</v>
          </cell>
          <cell r="F674">
            <v>10</v>
          </cell>
          <cell r="G674">
            <v>40718.181818181816</v>
          </cell>
          <cell r="H674">
            <v>4071.818181818182</v>
          </cell>
        </row>
        <row r="675">
          <cell r="D675" t="str">
            <v xml:space="preserve"> - Nhân công </v>
          </cell>
          <cell r="H675">
            <v>615608.30769230763</v>
          </cell>
        </row>
        <row r="676">
          <cell r="D676" t="str">
            <v>Bậc 4/7</v>
          </cell>
          <cell r="E676" t="str">
            <v>công</v>
          </cell>
          <cell r="F676">
            <v>2.4</v>
          </cell>
          <cell r="G676">
            <v>256503.46153846153</v>
          </cell>
          <cell r="H676">
            <v>615608.30769230763</v>
          </cell>
        </row>
        <row r="677">
          <cell r="D677" t="str">
            <v xml:space="preserve"> - Máy thi công </v>
          </cell>
          <cell r="H677">
            <v>0</v>
          </cell>
        </row>
        <row r="678">
          <cell r="D678" t="str">
            <v>Thiết bị đo ngẫu lực</v>
          </cell>
          <cell r="E678" t="str">
            <v>ca</v>
          </cell>
          <cell r="F678">
            <v>0</v>
          </cell>
          <cell r="G678">
            <v>244479</v>
          </cell>
          <cell r="H678">
            <v>0</v>
          </cell>
        </row>
        <row r="679">
          <cell r="D679" t="str">
            <v>Máy khác</v>
          </cell>
          <cell r="E679" t="str">
            <v>%</v>
          </cell>
          <cell r="F679">
            <v>0</v>
          </cell>
          <cell r="G679">
            <v>0</v>
          </cell>
          <cell r="H679">
            <v>0</v>
          </cell>
        </row>
        <row r="680">
          <cell r="D680" t="str">
            <v>a) Chi phí chung (55%*NC)</v>
          </cell>
          <cell r="H680">
            <v>338584.56923076924</v>
          </cell>
        </row>
        <row r="681">
          <cell r="D681" t="str">
            <v>b) Thu nhập chịu thuế tính trước [6%*(VL+NC+M+CPC)]</v>
          </cell>
          <cell r="H681">
            <v>59938.972615384606</v>
          </cell>
        </row>
        <row r="682">
          <cell r="D682" t="str">
            <v>Cộng đơn gíá (Z=VL+NC+M+CPC+T)</v>
          </cell>
          <cell r="H682">
            <v>1058921.8495384613</v>
          </cell>
        </row>
        <row r="685">
          <cell r="B685" t="str">
            <v>CQ.03101</v>
          </cell>
          <cell r="D685" t="str">
            <v>Thí nghiệm xuyên tiêu chuẩn (SPT), đất đá cấp I-III</v>
          </cell>
          <cell r="E685" t="str">
            <v>Lần</v>
          </cell>
          <cell r="H685">
            <v>207985.52376538463</v>
          </cell>
        </row>
        <row r="686">
          <cell r="D686" t="str">
            <v xml:space="preserve"> - Vật liệu </v>
          </cell>
          <cell r="H686">
            <v>70062.37</v>
          </cell>
        </row>
        <row r="687">
          <cell r="D687" t="str">
            <v>Mũi xuyên cắt</v>
          </cell>
          <cell r="E687" t="str">
            <v>cái</v>
          </cell>
          <cell r="F687">
            <v>0.1</v>
          </cell>
          <cell r="G687">
            <v>500000</v>
          </cell>
          <cell r="H687">
            <v>50000</v>
          </cell>
        </row>
        <row r="688">
          <cell r="D688" t="str">
            <v xml:space="preserve">ống mẫu </v>
          </cell>
          <cell r="E688" t="str">
            <v>ống</v>
          </cell>
          <cell r="F688">
            <v>0.04</v>
          </cell>
          <cell r="G688">
            <v>178095</v>
          </cell>
          <cell r="H688">
            <v>7123.8</v>
          </cell>
        </row>
        <row r="689">
          <cell r="D689" t="str">
            <v xml:space="preserve">Cần khoan </v>
          </cell>
          <cell r="E689" t="str">
            <v>m</v>
          </cell>
          <cell r="F689">
            <v>0.02</v>
          </cell>
          <cell r="G689">
            <v>120000</v>
          </cell>
          <cell r="H689">
            <v>2400</v>
          </cell>
        </row>
        <row r="690">
          <cell r="D690" t="str">
            <v>Hộp gỗ đựng mẫu</v>
          </cell>
          <cell r="E690" t="str">
            <v>cái</v>
          </cell>
          <cell r="F690">
            <v>0.04</v>
          </cell>
          <cell r="G690">
            <v>35000</v>
          </cell>
          <cell r="H690">
            <v>1400</v>
          </cell>
        </row>
        <row r="691">
          <cell r="D691" t="str">
            <v>Vật liệu khác</v>
          </cell>
          <cell r="E691" t="str">
            <v>%</v>
          </cell>
          <cell r="F691">
            <v>15</v>
          </cell>
          <cell r="G691">
            <v>60923.8</v>
          </cell>
          <cell r="H691">
            <v>9138.57</v>
          </cell>
        </row>
        <row r="692">
          <cell r="D692" t="str">
            <v xml:space="preserve"> - Nhân công </v>
          </cell>
          <cell r="H692">
            <v>80424.173076923078</v>
          </cell>
        </row>
        <row r="693">
          <cell r="D693" t="str">
            <v>Bậc 4/7 (TN)</v>
          </cell>
          <cell r="E693" t="str">
            <v>công</v>
          </cell>
          <cell r="F693">
            <v>1.1000000000000001</v>
          </cell>
          <cell r="G693">
            <v>243709.61538461538</v>
          </cell>
          <cell r="H693">
            <v>268080.57692307694</v>
          </cell>
        </row>
        <row r="694">
          <cell r="D694" t="str">
            <v xml:space="preserve"> - Máy thí nghiệm </v>
          </cell>
          <cell r="H694">
            <v>1492.9199999999998</v>
          </cell>
        </row>
        <row r="695">
          <cell r="D695" t="str">
            <v>Máy khoan tạo lỗ ( phục vụ SPT)</v>
          </cell>
          <cell r="E695" t="str">
            <v>ca</v>
          </cell>
          <cell r="F695">
            <v>0.1</v>
          </cell>
          <cell r="G695">
            <v>38520</v>
          </cell>
          <cell r="H695">
            <v>3852</v>
          </cell>
        </row>
        <row r="696">
          <cell r="D696" t="str">
            <v>Dụng cụ TN SPT</v>
          </cell>
          <cell r="E696" t="str">
            <v>ca</v>
          </cell>
          <cell r="F696">
            <v>0.1</v>
          </cell>
          <cell r="G696">
            <v>11244</v>
          </cell>
          <cell r="H696">
            <v>1124.4000000000001</v>
          </cell>
        </row>
        <row r="697">
          <cell r="D697" t="str">
            <v>a) Chi phí chung (55%*NC)</v>
          </cell>
          <cell r="H697">
            <v>44233.295192307698</v>
          </cell>
        </row>
        <row r="698">
          <cell r="D698" t="str">
            <v>b) Thu nhập chịu thuế tính trước [6%*(VL+NC+M+CPC)]</v>
          </cell>
          <cell r="H698">
            <v>11772.765496153846</v>
          </cell>
        </row>
        <row r="699">
          <cell r="D699" t="str">
            <v>Cộng đơn gíá (Z=VL+NC+M+CPC+T)</v>
          </cell>
          <cell r="H699">
            <v>207985.52376538463</v>
          </cell>
        </row>
        <row r="701">
          <cell r="B701" t="str">
            <v>CQ.03102</v>
          </cell>
          <cell r="D701" t="str">
            <v>Thí nghiệm xuyên tiêu chuẩn (SPT), đất đá cấp IV-VI</v>
          </cell>
          <cell r="E701" t="str">
            <v>Lần</v>
          </cell>
          <cell r="H701">
            <v>250336.69996153848</v>
          </cell>
        </row>
        <row r="702">
          <cell r="D702" t="str">
            <v xml:space="preserve"> - Vật liệu </v>
          </cell>
          <cell r="H702">
            <v>29942.37</v>
          </cell>
        </row>
        <row r="703">
          <cell r="D703" t="str">
            <v>Mũi xuyên hình nón</v>
          </cell>
          <cell r="E703" t="str">
            <v>cái</v>
          </cell>
          <cell r="F703">
            <v>0.04</v>
          </cell>
          <cell r="G703">
            <v>400000</v>
          </cell>
          <cell r="H703">
            <v>16000</v>
          </cell>
        </row>
        <row r="704">
          <cell r="D704" t="str">
            <v xml:space="preserve">ống mẫu </v>
          </cell>
          <cell r="E704" t="str">
            <v>ống</v>
          </cell>
          <cell r="F704">
            <v>0.04</v>
          </cell>
          <cell r="G704">
            <v>178095</v>
          </cell>
          <cell r="H704">
            <v>7123.8</v>
          </cell>
        </row>
        <row r="705">
          <cell r="D705" t="str">
            <v xml:space="preserve">Cần khoan </v>
          </cell>
          <cell r="E705" t="str">
            <v>m</v>
          </cell>
          <cell r="F705">
            <v>0.03</v>
          </cell>
          <cell r="G705">
            <v>120000</v>
          </cell>
          <cell r="H705">
            <v>3600</v>
          </cell>
        </row>
        <row r="706">
          <cell r="D706" t="str">
            <v>Hộp gỗ đựng mẫu</v>
          </cell>
          <cell r="E706" t="str">
            <v>cái</v>
          </cell>
          <cell r="F706">
            <v>0.04</v>
          </cell>
          <cell r="G706">
            <v>35000</v>
          </cell>
          <cell r="H706">
            <v>1400</v>
          </cell>
        </row>
        <row r="707">
          <cell r="D707" t="str">
            <v>Vật liệu khác</v>
          </cell>
          <cell r="E707" t="str">
            <v>%</v>
          </cell>
          <cell r="F707">
            <v>15</v>
          </cell>
          <cell r="G707">
            <v>12123.8</v>
          </cell>
          <cell r="H707">
            <v>1818.57</v>
          </cell>
        </row>
        <row r="708">
          <cell r="D708" t="str">
            <v xml:space="preserve"> - Nhân công </v>
          </cell>
          <cell r="H708">
            <v>131603.19230769231</v>
          </cell>
        </row>
        <row r="709">
          <cell r="D709" t="str">
            <v>Bậc 4/7 (TN)</v>
          </cell>
          <cell r="E709" t="str">
            <v>công</v>
          </cell>
          <cell r="F709">
            <v>1.8</v>
          </cell>
          <cell r="G709">
            <v>243709.61538461538</v>
          </cell>
          <cell r="H709">
            <v>438677.30769230769</v>
          </cell>
        </row>
        <row r="710">
          <cell r="D710" t="str">
            <v xml:space="preserve"> - Máy thí nghiệm </v>
          </cell>
          <cell r="H710">
            <v>2239.38</v>
          </cell>
        </row>
        <row r="711">
          <cell r="D711" t="str">
            <v>Máy khoan tạo lỗ ( phục vụ SPT)</v>
          </cell>
          <cell r="E711" t="str">
            <v>ca</v>
          </cell>
          <cell r="F711">
            <v>0.15</v>
          </cell>
          <cell r="G711">
            <v>38520</v>
          </cell>
          <cell r="H711">
            <v>5778</v>
          </cell>
        </row>
        <row r="712">
          <cell r="D712" t="str">
            <v>Dụng cụ TN SPT</v>
          </cell>
          <cell r="E712" t="str">
            <v>ca</v>
          </cell>
          <cell r="F712">
            <v>0.15</v>
          </cell>
          <cell r="G712">
            <v>11244</v>
          </cell>
          <cell r="H712">
            <v>1686.6</v>
          </cell>
        </row>
        <row r="713">
          <cell r="D713" t="str">
            <v>a) Chi phí chung (55%*NC)</v>
          </cell>
          <cell r="H713">
            <v>72381.755769230775</v>
          </cell>
        </row>
        <row r="714">
          <cell r="D714" t="str">
            <v>b) Thu nhập chịu thuế tính trước [6%*(VL+NC+M+CPC)]</v>
          </cell>
          <cell r="H714">
            <v>14170.001884615385</v>
          </cell>
        </row>
        <row r="715">
          <cell r="D715" t="str">
            <v>Cộng đơn gíá (Z=VL+NC+M+CPC+T)</v>
          </cell>
          <cell r="H715">
            <v>250336.69996153848</v>
          </cell>
        </row>
        <row r="717">
          <cell r="B717" t="str">
            <v>CP.09100</v>
          </cell>
          <cell r="D717" t="str">
            <v>Thí nghiệm CBR</v>
          </cell>
          <cell r="E717" t="str">
            <v>mẫu</v>
          </cell>
          <cell r="H717">
            <v>2705527.9412446152</v>
          </cell>
        </row>
        <row r="718">
          <cell r="D718" t="str">
            <v xml:space="preserve"> - Vật liệu </v>
          </cell>
          <cell r="H718">
            <v>71758.5</v>
          </cell>
        </row>
        <row r="719">
          <cell r="D719" t="str">
            <v>Cối chế bị</v>
          </cell>
          <cell r="E719" t="str">
            <v>cái</v>
          </cell>
          <cell r="F719">
            <v>5.0000000000000001E-3</v>
          </cell>
          <cell r="G719">
            <v>700000</v>
          </cell>
          <cell r="H719">
            <v>3500</v>
          </cell>
        </row>
        <row r="720">
          <cell r="D720" t="str">
            <v>Rây địa chất công trình</v>
          </cell>
          <cell r="E720" t="str">
            <v>bộ</v>
          </cell>
          <cell r="F720">
            <v>3.0000000000000001E-3</v>
          </cell>
          <cell r="G720">
            <v>1500000</v>
          </cell>
          <cell r="H720">
            <v>4500</v>
          </cell>
        </row>
        <row r="721">
          <cell r="D721" t="str">
            <v>Bình hút ẩm</v>
          </cell>
          <cell r="E721" t="str">
            <v>cái</v>
          </cell>
          <cell r="F721">
            <v>0.03</v>
          </cell>
          <cell r="G721">
            <v>380000</v>
          </cell>
          <cell r="H721">
            <v>11400</v>
          </cell>
        </row>
        <row r="722">
          <cell r="D722" t="str">
            <v>Bình thuỷ tinh tam giác (50-1000)ml</v>
          </cell>
          <cell r="E722" t="str">
            <v>cái</v>
          </cell>
          <cell r="F722">
            <v>7.0000000000000007E-2</v>
          </cell>
          <cell r="G722">
            <v>25000</v>
          </cell>
          <cell r="H722">
            <v>1750.0000000000002</v>
          </cell>
        </row>
        <row r="723">
          <cell r="D723" t="str">
            <v xml:space="preserve">Chậu thuỷ tinh </v>
          </cell>
          <cell r="E723" t="str">
            <v>cái</v>
          </cell>
          <cell r="F723">
            <v>0.05</v>
          </cell>
          <cell r="G723">
            <v>15000</v>
          </cell>
          <cell r="H723">
            <v>750</v>
          </cell>
        </row>
        <row r="724">
          <cell r="D724" t="str">
            <v>Bình tỷ trọng</v>
          </cell>
          <cell r="E724" t="str">
            <v>cái</v>
          </cell>
          <cell r="F724">
            <v>0.09</v>
          </cell>
          <cell r="G724">
            <v>28000</v>
          </cell>
          <cell r="H724">
            <v>2520</v>
          </cell>
        </row>
        <row r="725">
          <cell r="D725" t="str">
            <v>Khay men to</v>
          </cell>
          <cell r="E725" t="str">
            <v>cái</v>
          </cell>
          <cell r="F725">
            <v>0.2</v>
          </cell>
          <cell r="G725">
            <v>29000</v>
          </cell>
          <cell r="H725">
            <v>5800</v>
          </cell>
        </row>
        <row r="726">
          <cell r="D726" t="str">
            <v xml:space="preserve">Cốc thuỷ tinh </v>
          </cell>
          <cell r="E726" t="str">
            <v>cái</v>
          </cell>
          <cell r="F726">
            <v>0.05</v>
          </cell>
          <cell r="G726">
            <v>25000</v>
          </cell>
          <cell r="H726">
            <v>1250</v>
          </cell>
        </row>
        <row r="727">
          <cell r="D727" t="str">
            <v>Hộp nhôm</v>
          </cell>
          <cell r="E727" t="str">
            <v>cái</v>
          </cell>
          <cell r="F727">
            <v>0.03</v>
          </cell>
          <cell r="G727">
            <v>5500</v>
          </cell>
          <cell r="H727">
            <v>165</v>
          </cell>
        </row>
        <row r="728">
          <cell r="D728" t="str">
            <v>Cối chày đồng</v>
          </cell>
          <cell r="E728" t="str">
            <v>bộ</v>
          </cell>
          <cell r="F728">
            <v>0.02</v>
          </cell>
          <cell r="G728">
            <v>480000</v>
          </cell>
          <cell r="H728">
            <v>9600</v>
          </cell>
        </row>
        <row r="729">
          <cell r="D729" t="str">
            <v>Cối chày sứ</v>
          </cell>
          <cell r="E729" t="str">
            <v>bộ</v>
          </cell>
          <cell r="F729">
            <v>7.0000000000000007E-2</v>
          </cell>
          <cell r="G729">
            <v>80000</v>
          </cell>
          <cell r="H729">
            <v>5600.0000000000009</v>
          </cell>
        </row>
        <row r="730">
          <cell r="D730" t="str">
            <v>Đồng hồ bấm giây</v>
          </cell>
          <cell r="E730" t="str">
            <v>cái</v>
          </cell>
          <cell r="F730">
            <v>0.01</v>
          </cell>
          <cell r="G730">
            <v>220000</v>
          </cell>
          <cell r="H730">
            <v>2200</v>
          </cell>
        </row>
        <row r="731">
          <cell r="D731" t="str">
            <v>Ống đong thủy tinh 1000ml</v>
          </cell>
          <cell r="E731" t="str">
            <v>cái</v>
          </cell>
          <cell r="F731">
            <v>0.09</v>
          </cell>
          <cell r="G731">
            <v>60000</v>
          </cell>
          <cell r="H731">
            <v>5400</v>
          </cell>
        </row>
        <row r="732">
          <cell r="D732" t="str">
            <v>Nhiệt kế</v>
          </cell>
          <cell r="E732" t="str">
            <v>cái</v>
          </cell>
          <cell r="F732">
            <v>0.03</v>
          </cell>
          <cell r="G732">
            <v>60000</v>
          </cell>
          <cell r="H732">
            <v>1800</v>
          </cell>
        </row>
        <row r="733">
          <cell r="D733" t="str">
            <v>Phễu thủy tinh</v>
          </cell>
          <cell r="E733" t="str">
            <v>cái</v>
          </cell>
          <cell r="F733">
            <v>0.03</v>
          </cell>
          <cell r="G733">
            <v>50000</v>
          </cell>
          <cell r="H733">
            <v>1500</v>
          </cell>
        </row>
        <row r="734">
          <cell r="D734" t="str">
            <v>Hóa chất</v>
          </cell>
          <cell r="E734" t="str">
            <v>kg</v>
          </cell>
          <cell r="F734">
            <v>0.05</v>
          </cell>
          <cell r="G734">
            <v>150000</v>
          </cell>
          <cell r="H734">
            <v>7500</v>
          </cell>
        </row>
        <row r="735">
          <cell r="D735" t="str">
            <v>Vật liệu khác</v>
          </cell>
          <cell r="E735" t="str">
            <v>%</v>
          </cell>
          <cell r="F735">
            <v>10</v>
          </cell>
          <cell r="G735">
            <v>65235</v>
          </cell>
          <cell r="H735">
            <v>6523.5</v>
          </cell>
        </row>
        <row r="736">
          <cell r="D736" t="str">
            <v xml:space="preserve"> - Nhân công </v>
          </cell>
          <cell r="H736">
            <v>1535370.5769230768</v>
          </cell>
        </row>
        <row r="737">
          <cell r="D737" t="str">
            <v>Bậc 4/7 (TN)</v>
          </cell>
          <cell r="E737" t="str">
            <v>công</v>
          </cell>
          <cell r="F737">
            <v>21</v>
          </cell>
          <cell r="G737">
            <v>243709.61538461538</v>
          </cell>
          <cell r="H737">
            <v>5117901.923076923</v>
          </cell>
        </row>
        <row r="738">
          <cell r="D738" t="str">
            <v xml:space="preserve"> - Máy thí nghiệm </v>
          </cell>
          <cell r="H738">
            <v>100801.95600000001</v>
          </cell>
        </row>
        <row r="739">
          <cell r="D739" t="str">
            <v>Máy đầm</v>
          </cell>
          <cell r="E739" t="str">
            <v>ca</v>
          </cell>
          <cell r="F739">
            <v>0.7</v>
          </cell>
          <cell r="G739">
            <v>5917</v>
          </cell>
          <cell r="H739">
            <v>4141.8999999999996</v>
          </cell>
        </row>
        <row r="740">
          <cell r="D740" t="str">
            <v>Máy hút chân không</v>
          </cell>
          <cell r="E740" t="str">
            <v>ca</v>
          </cell>
          <cell r="F740">
            <v>1.2</v>
          </cell>
          <cell r="G740">
            <v>3337.5</v>
          </cell>
          <cell r="H740">
            <v>4005</v>
          </cell>
        </row>
        <row r="741">
          <cell r="D741" t="str">
            <v>Máy CBR</v>
          </cell>
          <cell r="E741" t="str">
            <v>ca</v>
          </cell>
          <cell r="F741">
            <v>0.3</v>
          </cell>
          <cell r="G741">
            <v>58030</v>
          </cell>
          <cell r="H741">
            <v>17409</v>
          </cell>
        </row>
        <row r="742">
          <cell r="D742" t="str">
            <v>Cân phân tích và cân kỹ thuật</v>
          </cell>
          <cell r="E742" t="str">
            <v>ca</v>
          </cell>
          <cell r="F742">
            <v>1.8</v>
          </cell>
          <cell r="G742">
            <v>8247</v>
          </cell>
          <cell r="H742">
            <v>14844.6</v>
          </cell>
        </row>
        <row r="743">
          <cell r="D743" t="str">
            <v>Tủ sấy</v>
          </cell>
          <cell r="E743" t="str">
            <v>ca</v>
          </cell>
          <cell r="F743">
            <v>1.8</v>
          </cell>
          <cell r="G743">
            <v>17658.900000000001</v>
          </cell>
          <cell r="H743">
            <v>31786.020000000004</v>
          </cell>
        </row>
        <row r="744">
          <cell r="D744" t="str">
            <v>Bếp điện</v>
          </cell>
          <cell r="E744" t="str">
            <v>ca</v>
          </cell>
          <cell r="F744">
            <v>1.5</v>
          </cell>
          <cell r="G744">
            <v>6218.8</v>
          </cell>
          <cell r="H744">
            <v>9328.2000000000007</v>
          </cell>
        </row>
        <row r="745">
          <cell r="D745" t="str">
            <v>Bếp cát</v>
          </cell>
          <cell r="E745" t="str">
            <v>ca</v>
          </cell>
          <cell r="F745">
            <v>1.2</v>
          </cell>
          <cell r="G745">
            <v>6218.8</v>
          </cell>
          <cell r="H745">
            <v>7462.5599999999995</v>
          </cell>
        </row>
        <row r="746">
          <cell r="D746" t="str">
            <v>Máy chưng cất nước</v>
          </cell>
          <cell r="E746" t="str">
            <v>ca</v>
          </cell>
          <cell r="F746">
            <v>1</v>
          </cell>
          <cell r="G746">
            <v>7741.8</v>
          </cell>
          <cell r="H746">
            <v>7741.8</v>
          </cell>
        </row>
        <row r="747">
          <cell r="D747" t="str">
            <v>Máy bơm nước 7KW</v>
          </cell>
          <cell r="E747" t="str">
            <v>ca</v>
          </cell>
          <cell r="F747">
            <v>0.8</v>
          </cell>
          <cell r="G747">
            <v>299109.3</v>
          </cell>
          <cell r="H747">
            <v>239287.44</v>
          </cell>
        </row>
        <row r="748">
          <cell r="D748" t="str">
            <v>a) Chi phí chung (55%*NC)</v>
          </cell>
          <cell r="H748">
            <v>844453.81730769225</v>
          </cell>
        </row>
        <row r="749">
          <cell r="D749" t="str">
            <v>b) Thu nhập chịu thuế tính trước [6%*(VL+NC+M+CPC)]</v>
          </cell>
          <cell r="H749">
            <v>153143.09101384616</v>
          </cell>
        </row>
        <row r="750">
          <cell r="D750" t="str">
            <v>Cộng đơn gíá (Z=VL+NC+M+CPC+T)</v>
          </cell>
          <cell r="H750">
            <v>2705527.9412446152</v>
          </cell>
        </row>
        <row r="752">
          <cell r="B752" t="str">
            <v>CP.03401</v>
          </cell>
          <cell r="D752" t="str">
            <v>Xác định chỉ tiêu đầm nén tiêu chuẩn</v>
          </cell>
          <cell r="E752" t="str">
            <v>1 mẫu</v>
          </cell>
          <cell r="H752">
            <v>1288436.5423363075</v>
          </cell>
        </row>
        <row r="753">
          <cell r="D753" t="str">
            <v xml:space="preserve"> - Vật liệu </v>
          </cell>
          <cell r="H753">
            <v>32169.5</v>
          </cell>
        </row>
        <row r="754">
          <cell r="D754" t="str">
            <v>Cối chế bị</v>
          </cell>
          <cell r="E754" t="str">
            <v>cái</v>
          </cell>
          <cell r="F754">
            <v>5.0000000000000001E-3</v>
          </cell>
          <cell r="G754">
            <v>700000</v>
          </cell>
          <cell r="H754">
            <v>3500</v>
          </cell>
        </row>
        <row r="755">
          <cell r="D755" t="str">
            <v>Rây địa chất công trình</v>
          </cell>
          <cell r="E755" t="str">
            <v>bộ</v>
          </cell>
          <cell r="F755">
            <v>3.0000000000000001E-3</v>
          </cell>
          <cell r="G755">
            <v>1500000</v>
          </cell>
          <cell r="H755">
            <v>4500</v>
          </cell>
        </row>
        <row r="756">
          <cell r="D756" t="str">
            <v>Bình hút ẩm</v>
          </cell>
          <cell r="E756" t="str">
            <v>cái</v>
          </cell>
          <cell r="F756">
            <v>3.0000000000000001E-3</v>
          </cell>
          <cell r="G756">
            <v>380000</v>
          </cell>
          <cell r="H756">
            <v>1140</v>
          </cell>
        </row>
        <row r="757">
          <cell r="D757" t="str">
            <v>Bình thuỷ tinh tam giác (50-1000)ml</v>
          </cell>
          <cell r="E757" t="str">
            <v>cái</v>
          </cell>
          <cell r="F757">
            <v>7.0000000000000007E-2</v>
          </cell>
          <cell r="G757">
            <v>25000</v>
          </cell>
          <cell r="H757">
            <v>1750.0000000000002</v>
          </cell>
        </row>
        <row r="758">
          <cell r="D758" t="str">
            <v xml:space="preserve">Chậu thuỷ tinh </v>
          </cell>
          <cell r="E758" t="str">
            <v>cái</v>
          </cell>
          <cell r="F758">
            <v>0.05</v>
          </cell>
          <cell r="G758">
            <v>15000</v>
          </cell>
          <cell r="H758">
            <v>750</v>
          </cell>
        </row>
        <row r="759">
          <cell r="D759" t="str">
            <v>Bình tỷ trọng</v>
          </cell>
          <cell r="E759" t="str">
            <v>cái</v>
          </cell>
          <cell r="F759">
            <v>0.09</v>
          </cell>
          <cell r="G759">
            <v>28000</v>
          </cell>
          <cell r="H759">
            <v>2520</v>
          </cell>
        </row>
        <row r="760">
          <cell r="D760" t="str">
            <v>Khay men to</v>
          </cell>
          <cell r="E760" t="str">
            <v>cái</v>
          </cell>
          <cell r="F760">
            <v>0.2</v>
          </cell>
          <cell r="G760">
            <v>29000</v>
          </cell>
          <cell r="H760">
            <v>5800</v>
          </cell>
        </row>
        <row r="761">
          <cell r="D761" t="str">
            <v xml:space="preserve">Cốc thuỷ tinh </v>
          </cell>
          <cell r="E761" t="str">
            <v>cái</v>
          </cell>
          <cell r="F761">
            <v>0.05</v>
          </cell>
          <cell r="G761">
            <v>25000</v>
          </cell>
          <cell r="H761">
            <v>1250</v>
          </cell>
        </row>
        <row r="762">
          <cell r="D762" t="str">
            <v>Hộp nhôm</v>
          </cell>
          <cell r="E762" t="str">
            <v>cái</v>
          </cell>
          <cell r="F762">
            <v>0.03</v>
          </cell>
          <cell r="G762">
            <v>5500</v>
          </cell>
          <cell r="H762">
            <v>165</v>
          </cell>
        </row>
        <row r="763">
          <cell r="D763" t="str">
            <v>Cối chày đồng</v>
          </cell>
          <cell r="E763" t="str">
            <v>bộ</v>
          </cell>
          <cell r="F763">
            <v>2E-3</v>
          </cell>
          <cell r="G763">
            <v>480000</v>
          </cell>
          <cell r="H763">
            <v>960</v>
          </cell>
        </row>
        <row r="764">
          <cell r="D764" t="str">
            <v>Cối chày sứ</v>
          </cell>
          <cell r="E764" t="str">
            <v>bộ</v>
          </cell>
          <cell r="F764">
            <v>7.0000000000000001E-3</v>
          </cell>
          <cell r="G764">
            <v>80000</v>
          </cell>
          <cell r="H764">
            <v>560</v>
          </cell>
        </row>
        <row r="765">
          <cell r="D765" t="str">
            <v>Khay ủ đất</v>
          </cell>
          <cell r="E765" t="str">
            <v>cái</v>
          </cell>
          <cell r="F765">
            <v>0.01</v>
          </cell>
          <cell r="G765">
            <v>40000</v>
          </cell>
          <cell r="H765">
            <v>400</v>
          </cell>
        </row>
        <row r="766">
          <cell r="D766" t="str">
            <v>Đồng hồ bấm giây</v>
          </cell>
          <cell r="E766" t="str">
            <v>cái</v>
          </cell>
          <cell r="F766">
            <v>1E-3</v>
          </cell>
          <cell r="G766">
            <v>220000</v>
          </cell>
          <cell r="H766">
            <v>220</v>
          </cell>
        </row>
        <row r="767">
          <cell r="D767" t="str">
            <v>ống đong thủy tinh 1000ml</v>
          </cell>
          <cell r="E767" t="str">
            <v>cái</v>
          </cell>
          <cell r="F767">
            <v>0.09</v>
          </cell>
          <cell r="G767">
            <v>60000</v>
          </cell>
          <cell r="H767">
            <v>5400</v>
          </cell>
        </row>
        <row r="768">
          <cell r="D768" t="str">
            <v>Nhiệt kế 100-1500 độ C</v>
          </cell>
          <cell r="E768" t="str">
            <v>cái</v>
          </cell>
          <cell r="F768">
            <v>3.0000000000000001E-3</v>
          </cell>
          <cell r="G768">
            <v>60000</v>
          </cell>
          <cell r="H768">
            <v>180</v>
          </cell>
        </row>
        <row r="769">
          <cell r="D769" t="str">
            <v>Phễu thủy tinh</v>
          </cell>
          <cell r="E769" t="str">
            <v>cái</v>
          </cell>
          <cell r="F769">
            <v>3.0000000000000001E-3</v>
          </cell>
          <cell r="G769">
            <v>50000</v>
          </cell>
          <cell r="H769">
            <v>150</v>
          </cell>
        </row>
        <row r="770">
          <cell r="D770" t="str">
            <v>Vật liệu khác</v>
          </cell>
          <cell r="E770" t="str">
            <v>%</v>
          </cell>
          <cell r="F770">
            <v>10</v>
          </cell>
          <cell r="G770">
            <v>29245</v>
          </cell>
          <cell r="H770">
            <v>2924.5</v>
          </cell>
        </row>
        <row r="771">
          <cell r="D771" t="str">
            <v xml:space="preserve"> - Nhân công </v>
          </cell>
          <cell r="H771">
            <v>710657.23846153833</v>
          </cell>
        </row>
        <row r="772">
          <cell r="D772" t="str">
            <v>Bậc 4/7 (TN)</v>
          </cell>
          <cell r="E772" t="str">
            <v>công</v>
          </cell>
          <cell r="F772">
            <v>9.7199999999999989</v>
          </cell>
          <cell r="G772">
            <v>243709.61538461538</v>
          </cell>
          <cell r="H772">
            <v>2368857.461538461</v>
          </cell>
        </row>
        <row r="773">
          <cell r="D773" t="str">
            <v xml:space="preserve"> - Máy thí nghiệm </v>
          </cell>
          <cell r="H773">
            <v>81817.952399999995</v>
          </cell>
        </row>
        <row r="774">
          <cell r="D774" t="str">
            <v>Máy đầm</v>
          </cell>
          <cell r="E774" t="str">
            <v>ca</v>
          </cell>
          <cell r="F774">
            <v>0.84</v>
          </cell>
          <cell r="G774">
            <v>5917</v>
          </cell>
          <cell r="H774">
            <v>4970.28</v>
          </cell>
        </row>
        <row r="775">
          <cell r="D775" t="str">
            <v>Kích tháo mẫu</v>
          </cell>
          <cell r="E775" t="str">
            <v>ca</v>
          </cell>
          <cell r="F775">
            <v>0.6</v>
          </cell>
          <cell r="G775">
            <v>5148</v>
          </cell>
          <cell r="H775">
            <v>3088.7999999999997</v>
          </cell>
        </row>
        <row r="776">
          <cell r="D776" t="str">
            <v>Máy nén một trục</v>
          </cell>
          <cell r="E776" t="str">
            <v>ca</v>
          </cell>
          <cell r="F776">
            <v>3.5999999999999996</v>
          </cell>
          <cell r="G776">
            <v>11838.5</v>
          </cell>
          <cell r="H776">
            <v>42618.6</v>
          </cell>
        </row>
        <row r="777">
          <cell r="D777" t="str">
            <v>Máy cắt</v>
          </cell>
          <cell r="E777" t="str">
            <v>ca</v>
          </cell>
          <cell r="F777">
            <v>1.2</v>
          </cell>
          <cell r="G777">
            <v>1854</v>
          </cell>
          <cell r="H777">
            <v>2224.7999999999997</v>
          </cell>
        </row>
        <row r="778">
          <cell r="D778" t="str">
            <v>Cân phân tích và cân kỹ thuật</v>
          </cell>
          <cell r="E778" t="str">
            <v>ca</v>
          </cell>
          <cell r="F778">
            <v>2.16</v>
          </cell>
          <cell r="G778">
            <v>8247</v>
          </cell>
          <cell r="H778">
            <v>17813.52</v>
          </cell>
        </row>
        <row r="779">
          <cell r="D779" t="str">
            <v>Tủ sấy</v>
          </cell>
          <cell r="E779" t="str">
            <v>ca</v>
          </cell>
          <cell r="F779">
            <v>1.7999999999999998</v>
          </cell>
          <cell r="G779">
            <v>17658.900000000001</v>
          </cell>
          <cell r="H779">
            <v>31786.02</v>
          </cell>
        </row>
        <row r="780">
          <cell r="D780" t="str">
            <v>Bếp điện</v>
          </cell>
          <cell r="E780" t="str">
            <v>ca</v>
          </cell>
          <cell r="F780">
            <v>1.7999999999999998</v>
          </cell>
          <cell r="G780">
            <v>6218.8</v>
          </cell>
          <cell r="H780">
            <v>11193.839999999998</v>
          </cell>
        </row>
        <row r="781">
          <cell r="D781" t="str">
            <v>Bếp cát</v>
          </cell>
          <cell r="E781" t="str">
            <v>ca</v>
          </cell>
          <cell r="F781">
            <v>1.44</v>
          </cell>
          <cell r="G781">
            <v>6218.8</v>
          </cell>
          <cell r="H781">
            <v>8955.0720000000001</v>
          </cell>
        </row>
        <row r="782">
          <cell r="D782" t="str">
            <v>Máy chưng cất nước</v>
          </cell>
          <cell r="E782" t="str">
            <v>ca</v>
          </cell>
          <cell r="F782">
            <v>0.84</v>
          </cell>
          <cell r="G782">
            <v>7741.8</v>
          </cell>
          <cell r="H782">
            <v>6503.1120000000001</v>
          </cell>
        </row>
        <row r="783">
          <cell r="D783" t="str">
            <v>Máy bơm nước 7KW</v>
          </cell>
          <cell r="E783" t="str">
            <v>ca</v>
          </cell>
          <cell r="F783">
            <v>0.48</v>
          </cell>
          <cell r="G783">
            <v>299109.3</v>
          </cell>
          <cell r="H783">
            <v>143572.46399999998</v>
          </cell>
        </row>
        <row r="784">
          <cell r="D784" t="str">
            <v>a) Chi phí chung (55%*NC)</v>
          </cell>
          <cell r="H784">
            <v>390861.48115384614</v>
          </cell>
        </row>
        <row r="785">
          <cell r="D785" t="str">
            <v>b) Thu nhập chịu thuế tính trước [6%*(VL+NC+M+CPC)]</v>
          </cell>
          <cell r="H785">
            <v>72930.370320923059</v>
          </cell>
        </row>
        <row r="786">
          <cell r="D786" t="str">
            <v>Cộng đơn gíá (Z=VL+NC+M+CPC+T)</v>
          </cell>
          <cell r="H786">
            <v>1288436.5423363075</v>
          </cell>
        </row>
        <row r="788">
          <cell r="B788" t="str">
            <v>CP.05101</v>
          </cell>
          <cell r="D788" t="str">
            <v>Thí nghiệm mẫu cát - sỏi - vật liệu</v>
          </cell>
          <cell r="E788" t="str">
            <v>1 mẫu</v>
          </cell>
          <cell r="H788">
            <v>835244.62221461535</v>
          </cell>
        </row>
        <row r="789">
          <cell r="D789" t="str">
            <v xml:space="preserve"> - Vật liệu </v>
          </cell>
          <cell r="H789">
            <v>9538.83</v>
          </cell>
        </row>
        <row r="790">
          <cell r="D790" t="str">
            <v>Rây dụng cụ đầm nén</v>
          </cell>
          <cell r="E790" t="str">
            <v>bộ</v>
          </cell>
          <cell r="F790">
            <v>1E-3</v>
          </cell>
          <cell r="G790">
            <v>1500000</v>
          </cell>
          <cell r="H790">
            <v>1500</v>
          </cell>
        </row>
        <row r="791">
          <cell r="D791" t="str">
            <v>Rây địa chất công trình</v>
          </cell>
          <cell r="E791" t="str">
            <v>bộ</v>
          </cell>
          <cell r="F791">
            <v>4.0000000000000002E-4</v>
          </cell>
          <cell r="G791">
            <v>1500000</v>
          </cell>
          <cell r="H791">
            <v>600</v>
          </cell>
        </row>
        <row r="792">
          <cell r="D792" t="str">
            <v>Bình hút ẩm</v>
          </cell>
          <cell r="E792" t="str">
            <v>cái</v>
          </cell>
          <cell r="F792">
            <v>7.0000000000000001E-3</v>
          </cell>
          <cell r="G792">
            <v>380000</v>
          </cell>
          <cell r="H792">
            <v>2660</v>
          </cell>
        </row>
        <row r="793">
          <cell r="D793" t="str">
            <v>Bình thuỷ tinh tam giác (50-1000)ml</v>
          </cell>
          <cell r="E793" t="str">
            <v>cái</v>
          </cell>
          <cell r="F793">
            <v>1.2999999999999999E-2</v>
          </cell>
          <cell r="G793">
            <v>25000</v>
          </cell>
          <cell r="H793">
            <v>325</v>
          </cell>
        </row>
        <row r="794">
          <cell r="D794" t="str">
            <v xml:space="preserve">Chậu thuỷ tinh </v>
          </cell>
          <cell r="E794" t="str">
            <v>cái</v>
          </cell>
          <cell r="F794">
            <v>1.2999999999999999E-2</v>
          </cell>
          <cell r="G794">
            <v>15000</v>
          </cell>
          <cell r="H794">
            <v>195</v>
          </cell>
        </row>
        <row r="795">
          <cell r="D795" t="str">
            <v>Bình tỷ trọng</v>
          </cell>
          <cell r="E795" t="str">
            <v>cái</v>
          </cell>
          <cell r="F795">
            <v>0.01</v>
          </cell>
          <cell r="G795">
            <v>28000</v>
          </cell>
          <cell r="H795">
            <v>280</v>
          </cell>
        </row>
        <row r="796">
          <cell r="D796" t="str">
            <v>Khay men to</v>
          </cell>
          <cell r="E796" t="str">
            <v>cái</v>
          </cell>
          <cell r="F796">
            <v>2.7E-2</v>
          </cell>
          <cell r="G796">
            <v>29000</v>
          </cell>
          <cell r="H796">
            <v>783</v>
          </cell>
        </row>
        <row r="797">
          <cell r="D797" t="str">
            <v xml:space="preserve">Cốc thuỷ tinh </v>
          </cell>
          <cell r="E797" t="str">
            <v>cái</v>
          </cell>
          <cell r="F797">
            <v>1.2999999999999999E-2</v>
          </cell>
          <cell r="G797">
            <v>25000</v>
          </cell>
          <cell r="H797">
            <v>325</v>
          </cell>
        </row>
        <row r="798">
          <cell r="D798" t="str">
            <v>Hộp nhôm</v>
          </cell>
          <cell r="E798" t="str">
            <v>cái</v>
          </cell>
          <cell r="F798">
            <v>0.05</v>
          </cell>
          <cell r="G798">
            <v>5500</v>
          </cell>
          <cell r="H798">
            <v>275</v>
          </cell>
        </row>
        <row r="799">
          <cell r="D799" t="str">
            <v>Cối chày đồng</v>
          </cell>
          <cell r="E799" t="str">
            <v>bộ</v>
          </cell>
          <cell r="F799">
            <v>1.7000000000000001E-4</v>
          </cell>
          <cell r="G799">
            <v>480000</v>
          </cell>
          <cell r="H799">
            <v>81.600000000000009</v>
          </cell>
        </row>
        <row r="800">
          <cell r="D800" t="str">
            <v>Dụng cụ định góc nghỉ của cát</v>
          </cell>
          <cell r="E800" t="str">
            <v>bộ</v>
          </cell>
          <cell r="F800">
            <v>4.0000000000000002E-4</v>
          </cell>
          <cell r="G800">
            <v>650000</v>
          </cell>
          <cell r="H800">
            <v>260</v>
          </cell>
        </row>
        <row r="801">
          <cell r="D801" t="str">
            <v>ống đong thủy tinh 1000ml</v>
          </cell>
          <cell r="E801" t="str">
            <v>cái</v>
          </cell>
          <cell r="F801">
            <v>0.03</v>
          </cell>
          <cell r="G801">
            <v>60000</v>
          </cell>
          <cell r="H801">
            <v>1800</v>
          </cell>
        </row>
        <row r="802">
          <cell r="D802" t="str">
            <v>Vật liệu khác</v>
          </cell>
          <cell r="E802" t="str">
            <v>%</v>
          </cell>
          <cell r="F802">
            <v>5</v>
          </cell>
          <cell r="G802">
            <v>9084.6</v>
          </cell>
          <cell r="H802">
            <v>454.23</v>
          </cell>
        </row>
        <row r="803">
          <cell r="D803" t="str">
            <v xml:space="preserve"> - Nhân công </v>
          </cell>
          <cell r="H803">
            <v>489856.32692307688</v>
          </cell>
        </row>
        <row r="804">
          <cell r="D804" t="str">
            <v>Bậc 4/7 (TN)</v>
          </cell>
          <cell r="E804" t="str">
            <v>công</v>
          </cell>
          <cell r="F804">
            <v>6.7</v>
          </cell>
          <cell r="G804">
            <v>243709.61538461538</v>
          </cell>
          <cell r="H804">
            <v>1632854.423076923</v>
          </cell>
        </row>
        <row r="805">
          <cell r="D805" t="str">
            <v xml:space="preserve"> - Máy thí nghiệm </v>
          </cell>
          <cell r="H805">
            <v>19150.488000000001</v>
          </cell>
        </row>
        <row r="806">
          <cell r="D806" t="str">
            <v>Cân phân tích và cân kỹ thuật</v>
          </cell>
          <cell r="E806" t="str">
            <v>ca</v>
          </cell>
          <cell r="F806">
            <v>1.6</v>
          </cell>
          <cell r="G806">
            <v>8247</v>
          </cell>
          <cell r="H806">
            <v>13195.2</v>
          </cell>
        </row>
        <row r="807">
          <cell r="D807" t="str">
            <v>Cân bàn</v>
          </cell>
          <cell r="E807" t="str">
            <v>ca</v>
          </cell>
          <cell r="F807">
            <v>0.4</v>
          </cell>
          <cell r="G807">
            <v>3104</v>
          </cell>
          <cell r="H807">
            <v>1241.6000000000001</v>
          </cell>
        </row>
        <row r="808">
          <cell r="D808" t="str">
            <v>Bếp điện</v>
          </cell>
          <cell r="E808" t="str">
            <v>ca</v>
          </cell>
          <cell r="F808">
            <v>1.8</v>
          </cell>
          <cell r="G808">
            <v>6218.8</v>
          </cell>
          <cell r="H808">
            <v>11193.84</v>
          </cell>
        </row>
        <row r="809">
          <cell r="D809" t="str">
            <v>Bếp cát</v>
          </cell>
          <cell r="E809" t="str">
            <v>ca</v>
          </cell>
          <cell r="F809">
            <v>1.6</v>
          </cell>
          <cell r="G809">
            <v>6218.8</v>
          </cell>
          <cell r="H809">
            <v>9950.0800000000017</v>
          </cell>
        </row>
        <row r="810">
          <cell r="D810" t="str">
            <v>Tủ sấy</v>
          </cell>
          <cell r="E810" t="str">
            <v>ca</v>
          </cell>
          <cell r="F810">
            <v>1.6</v>
          </cell>
          <cell r="G810">
            <v>17658.900000000001</v>
          </cell>
          <cell r="H810">
            <v>28254.240000000005</v>
          </cell>
        </row>
        <row r="811">
          <cell r="D811" t="str">
            <v>a) Chi phí chung (55%*NC)</v>
          </cell>
          <cell r="H811">
            <v>269420.97980769229</v>
          </cell>
        </row>
        <row r="812">
          <cell r="D812" t="str">
            <v>b) Thu nhập chịu thuế tính trước [6%*(VL+NC+M+CPC)]</v>
          </cell>
          <cell r="H812">
            <v>47277.997483846149</v>
          </cell>
        </row>
        <row r="813">
          <cell r="D813" t="str">
            <v>Cộng đơn gíá (Z=VL+NC+M+CPC+T)</v>
          </cell>
          <cell r="H813">
            <v>835244.62221461535</v>
          </cell>
        </row>
        <row r="815">
          <cell r="B815" t="str">
            <v>CP.04101</v>
          </cell>
          <cell r="D815" t="str">
            <v>Xác định các chỉ tiêu cơ lý của mẫu đá</v>
          </cell>
          <cell r="E815" t="str">
            <v>1 mẫu</v>
          </cell>
          <cell r="H815">
            <v>917374.8288346153</v>
          </cell>
        </row>
        <row r="816">
          <cell r="D816" t="str">
            <v xml:space="preserve"> - Vật liệu </v>
          </cell>
          <cell r="H816">
            <v>16014.579</v>
          </cell>
        </row>
        <row r="817">
          <cell r="D817" t="str">
            <v>Cối giã đá</v>
          </cell>
          <cell r="E817" t="str">
            <v>bộ</v>
          </cell>
          <cell r="F817">
            <v>1E-3</v>
          </cell>
          <cell r="G817">
            <v>700000</v>
          </cell>
          <cell r="H817">
            <v>700</v>
          </cell>
        </row>
        <row r="818">
          <cell r="D818" t="str">
            <v>Đe ghè đá</v>
          </cell>
          <cell r="E818" t="str">
            <v>cái</v>
          </cell>
          <cell r="F818">
            <v>5.0000000000000001E-3</v>
          </cell>
          <cell r="G818">
            <v>150000</v>
          </cell>
          <cell r="H818">
            <v>750</v>
          </cell>
        </row>
        <row r="819">
          <cell r="D819" t="str">
            <v>Khay men to</v>
          </cell>
          <cell r="E819" t="str">
            <v>cái</v>
          </cell>
          <cell r="F819">
            <v>0.08</v>
          </cell>
          <cell r="G819">
            <v>29000</v>
          </cell>
          <cell r="H819">
            <v>2320</v>
          </cell>
        </row>
        <row r="820">
          <cell r="D820" t="str">
            <v xml:space="preserve">Chậu thuỷ tinh </v>
          </cell>
          <cell r="E820" t="str">
            <v>cái</v>
          </cell>
          <cell r="F820">
            <v>0.02</v>
          </cell>
          <cell r="G820">
            <v>15000</v>
          </cell>
          <cell r="H820">
            <v>300</v>
          </cell>
        </row>
        <row r="821">
          <cell r="D821" t="str">
            <v>Bình thuỷ tinh</v>
          </cell>
          <cell r="E821" t="str">
            <v>cái</v>
          </cell>
          <cell r="F821">
            <v>0.03</v>
          </cell>
          <cell r="G821">
            <v>115666</v>
          </cell>
          <cell r="H821">
            <v>3469.98</v>
          </cell>
        </row>
        <row r="822">
          <cell r="D822" t="str">
            <v>Bình tỷ trọng</v>
          </cell>
          <cell r="E822" t="str">
            <v>cái</v>
          </cell>
          <cell r="F822">
            <v>0.04</v>
          </cell>
          <cell r="G822">
            <v>28000</v>
          </cell>
          <cell r="H822">
            <v>1120</v>
          </cell>
        </row>
        <row r="823">
          <cell r="D823" t="str">
            <v>Bình hút ẩm</v>
          </cell>
          <cell r="E823" t="str">
            <v>cái</v>
          </cell>
          <cell r="F823">
            <v>0.01</v>
          </cell>
          <cell r="G823">
            <v>380000</v>
          </cell>
          <cell r="H823">
            <v>3800</v>
          </cell>
        </row>
        <row r="824">
          <cell r="D824" t="str">
            <v>Chén sứ</v>
          </cell>
          <cell r="E824" t="str">
            <v>cái</v>
          </cell>
          <cell r="F824">
            <v>0.04</v>
          </cell>
          <cell r="G824">
            <v>3500</v>
          </cell>
          <cell r="H824">
            <v>140</v>
          </cell>
        </row>
        <row r="825">
          <cell r="D825" t="str">
            <v>Rây địa chất</v>
          </cell>
          <cell r="E825" t="str">
            <v>bộ</v>
          </cell>
          <cell r="F825">
            <v>1.2999999999999999E-3</v>
          </cell>
          <cell r="G825">
            <v>2040000</v>
          </cell>
          <cell r="H825">
            <v>2652</v>
          </cell>
        </row>
        <row r="826">
          <cell r="D826" t="str">
            <v>Vật liệu khác</v>
          </cell>
          <cell r="E826" t="str">
            <v>%</v>
          </cell>
          <cell r="F826">
            <v>5</v>
          </cell>
          <cell r="G826">
            <v>15251.98</v>
          </cell>
          <cell r="H826">
            <v>762.59900000000005</v>
          </cell>
        </row>
        <row r="827">
          <cell r="D827" t="str">
            <v xml:space="preserve"> - Nhân công </v>
          </cell>
          <cell r="H827">
            <v>489856.32692307688</v>
          </cell>
        </row>
        <row r="828">
          <cell r="D828" t="str">
            <v>Bậc 4/7 (TN)</v>
          </cell>
          <cell r="E828" t="str">
            <v>công</v>
          </cell>
          <cell r="F828">
            <v>6.7</v>
          </cell>
          <cell r="G828">
            <v>243709.61538461538</v>
          </cell>
          <cell r="H828">
            <v>1632854.423076923</v>
          </cell>
        </row>
        <row r="829">
          <cell r="D829" t="str">
            <v xml:space="preserve"> - Máy thí nghiệm </v>
          </cell>
          <cell r="H829">
            <v>90156.065999999992</v>
          </cell>
        </row>
        <row r="830">
          <cell r="D830" t="str">
            <v>Máy cưa đá và mài đá</v>
          </cell>
          <cell r="E830" t="str">
            <v>ca</v>
          </cell>
          <cell r="F830">
            <v>0.8</v>
          </cell>
          <cell r="G830">
            <v>61143.3</v>
          </cell>
          <cell r="H830">
            <v>48914.640000000007</v>
          </cell>
        </row>
        <row r="831">
          <cell r="D831" t="str">
            <v>Máy khoan mẫu đá</v>
          </cell>
          <cell r="E831" t="str">
            <v>ca</v>
          </cell>
          <cell r="F831">
            <v>0.6</v>
          </cell>
          <cell r="G831">
            <v>34514.699999999997</v>
          </cell>
          <cell r="H831">
            <v>20708.819999999996</v>
          </cell>
        </row>
        <row r="832">
          <cell r="D832" t="str">
            <v>Máy ép mẫu đá</v>
          </cell>
          <cell r="E832" t="str">
            <v>ca</v>
          </cell>
          <cell r="F832">
            <v>0.8</v>
          </cell>
          <cell r="G832">
            <v>118583.1</v>
          </cell>
          <cell r="H832">
            <v>94866.48000000001</v>
          </cell>
        </row>
        <row r="833">
          <cell r="D833" t="str">
            <v>Máy xác định môđun</v>
          </cell>
          <cell r="E833" t="str">
            <v>ca</v>
          </cell>
          <cell r="F833">
            <v>0.8</v>
          </cell>
          <cell r="G833">
            <v>20895</v>
          </cell>
          <cell r="H833">
            <v>16716</v>
          </cell>
        </row>
        <row r="834">
          <cell r="D834" t="str">
            <v>Cân phân tích và cân kỹ thuật</v>
          </cell>
          <cell r="E834" t="str">
            <v>ca</v>
          </cell>
          <cell r="F834">
            <v>1</v>
          </cell>
          <cell r="G834">
            <v>8247</v>
          </cell>
          <cell r="H834">
            <v>8247</v>
          </cell>
        </row>
        <row r="835">
          <cell r="D835" t="str">
            <v>Tủ sấy</v>
          </cell>
          <cell r="E835" t="str">
            <v>ca</v>
          </cell>
          <cell r="F835">
            <v>0.8</v>
          </cell>
          <cell r="G835">
            <v>17658.900000000001</v>
          </cell>
          <cell r="H835">
            <v>14127.120000000003</v>
          </cell>
        </row>
        <row r="836">
          <cell r="D836" t="str">
            <v>Bếp cát</v>
          </cell>
          <cell r="E836" t="str">
            <v>ca</v>
          </cell>
          <cell r="F836">
            <v>0.5</v>
          </cell>
          <cell r="G836">
            <v>6218.8</v>
          </cell>
          <cell r="H836">
            <v>3109.4</v>
          </cell>
        </row>
        <row r="837">
          <cell r="D837" t="str">
            <v>Máy hút chân không</v>
          </cell>
          <cell r="E837" t="str">
            <v>ca</v>
          </cell>
          <cell r="F837">
            <v>0.3</v>
          </cell>
          <cell r="G837">
            <v>3337.5</v>
          </cell>
          <cell r="H837">
            <v>1001.25</v>
          </cell>
        </row>
        <row r="838">
          <cell r="D838" t="str">
            <v>Máy chưng cất nước</v>
          </cell>
          <cell r="E838" t="str">
            <v>ca</v>
          </cell>
          <cell r="F838">
            <v>0.4</v>
          </cell>
          <cell r="G838">
            <v>7741.8</v>
          </cell>
          <cell r="H838">
            <v>3096.7200000000003</v>
          </cell>
        </row>
        <row r="839">
          <cell r="D839" t="str">
            <v>Máy bơm nước 7Kw</v>
          </cell>
          <cell r="E839" t="str">
            <v>ca</v>
          </cell>
          <cell r="F839">
            <v>0.3</v>
          </cell>
          <cell r="G839">
            <v>299109.3</v>
          </cell>
          <cell r="H839">
            <v>89732.79</v>
          </cell>
        </row>
        <row r="840">
          <cell r="D840" t="str">
            <v>a) Chi phí chung (55%*NC)</v>
          </cell>
          <cell r="H840">
            <v>269420.97980769229</v>
          </cell>
        </row>
        <row r="841">
          <cell r="D841" t="str">
            <v>b) Thu nhập chịu thuế tính trước [6%*(VL+NC+M+CPC)]</v>
          </cell>
          <cell r="H841">
            <v>51926.877103846149</v>
          </cell>
        </row>
        <row r="842">
          <cell r="D842" t="str">
            <v>Cộng đơn gíá (Z=VL+NC+M+CPC+T)</v>
          </cell>
          <cell r="H842">
            <v>917374.8288346153</v>
          </cell>
        </row>
        <row r="844">
          <cell r="B844" t="str">
            <v>NC</v>
          </cell>
          <cell r="D844" t="str">
            <v>Lương nhân công điều tra tính cho 1 ngày công</v>
          </cell>
          <cell r="E844" t="str">
            <v>công</v>
          </cell>
          <cell r="H844">
            <v>454279.38923076919</v>
          </cell>
        </row>
        <row r="845">
          <cell r="D845" t="str">
            <v xml:space="preserve"> - Vật liệu </v>
          </cell>
          <cell r="H845">
            <v>0</v>
          </cell>
        </row>
        <row r="846">
          <cell r="D846" t="str">
            <v xml:space="preserve"> - Nhân công </v>
          </cell>
          <cell r="H846">
            <v>276493.84615384613</v>
          </cell>
        </row>
        <row r="847">
          <cell r="D847" t="str">
            <v>Bậc 3/8 (KS)</v>
          </cell>
          <cell r="E847" t="str">
            <v>công</v>
          </cell>
          <cell r="F847">
            <v>1</v>
          </cell>
          <cell r="G847">
            <v>276493.84615384613</v>
          </cell>
          <cell r="H847">
            <v>276493.84615384613</v>
          </cell>
        </row>
        <row r="848">
          <cell r="D848" t="str">
            <v xml:space="preserve"> - Máy thi công </v>
          </cell>
          <cell r="H848">
            <v>0</v>
          </cell>
        </row>
        <row r="849">
          <cell r="D849" t="str">
            <v>a) Chi phí chung (55%*NC)</v>
          </cell>
          <cell r="H849">
            <v>152071.61538461538</v>
          </cell>
        </row>
        <row r="850">
          <cell r="D850" t="str">
            <v>b) Thu nhập chịu thuế tính trước [6%*(VL+NC+M+CPC)]</v>
          </cell>
          <cell r="H850">
            <v>25713.92769230769</v>
          </cell>
        </row>
        <row r="851">
          <cell r="D851" t="str">
            <v>Cộng đơn gíá (Z=VL+NC+M+CPC+T)</v>
          </cell>
          <cell r="H851">
            <v>454279.38923076919</v>
          </cell>
        </row>
        <row r="853">
          <cell r="B853" t="str">
            <v>NC1</v>
          </cell>
          <cell r="D853" t="str">
            <v>Lương nhân công khảo sát tính cho 1 ngày công</v>
          </cell>
          <cell r="E853" t="str">
            <v>công</v>
          </cell>
          <cell r="H853">
            <v>395159.82576923078</v>
          </cell>
        </row>
        <row r="854">
          <cell r="D854" t="str">
            <v xml:space="preserve"> - Vật liệu </v>
          </cell>
          <cell r="H854">
            <v>0</v>
          </cell>
        </row>
        <row r="855">
          <cell r="D855" t="str">
            <v xml:space="preserve"> - Nhân công </v>
          </cell>
          <cell r="H855">
            <v>240511.15384615384</v>
          </cell>
        </row>
        <row r="856">
          <cell r="D856" t="str">
            <v>Bậc 3,5/7</v>
          </cell>
          <cell r="E856" t="str">
            <v>công</v>
          </cell>
          <cell r="F856">
            <v>1</v>
          </cell>
          <cell r="G856">
            <v>240511.15384615384</v>
          </cell>
          <cell r="H856">
            <v>240511.15384615384</v>
          </cell>
        </row>
        <row r="857">
          <cell r="D857" t="str">
            <v xml:space="preserve"> - Máy thi công </v>
          </cell>
          <cell r="H857">
            <v>0</v>
          </cell>
        </row>
        <row r="858">
          <cell r="D858" t="str">
            <v>a) Chi phí chung (55%*NC)</v>
          </cell>
          <cell r="H858">
            <v>132281.13461538462</v>
          </cell>
        </row>
        <row r="859">
          <cell r="D859" t="str">
            <v>b) Thu nhập chịu thuế tính trước [6%*(VL+NC+M+CPC)]</v>
          </cell>
          <cell r="H859">
            <v>22367.53730769231</v>
          </cell>
        </row>
        <row r="860">
          <cell r="D860" t="str">
            <v>Cộng đơn gíá (Z=VL+NC+M+CPC+T)</v>
          </cell>
          <cell r="H860">
            <v>395159.82576923078</v>
          </cell>
        </row>
        <row r="861">
          <cell r="B861" t="str">
            <v>AB.13313</v>
          </cell>
          <cell r="D861" t="str">
            <v xml:space="preserve">Hoàn trả hố đào địa chất </v>
          </cell>
          <cell r="E861" t="str">
            <v>m3</v>
          </cell>
          <cell r="H861">
            <v>258219.12496153847</v>
          </cell>
        </row>
        <row r="862">
          <cell r="D862" t="str">
            <v xml:space="preserve"> - Vật liệu </v>
          </cell>
          <cell r="H862">
            <v>0</v>
          </cell>
        </row>
        <row r="863">
          <cell r="D863" t="str">
            <v xml:space="preserve"> - Nhân công </v>
          </cell>
          <cell r="H863">
            <v>157163.19230769231</v>
          </cell>
        </row>
        <row r="864">
          <cell r="D864" t="str">
            <v>Bậc 3/7</v>
          </cell>
          <cell r="E864" t="str">
            <v>công</v>
          </cell>
          <cell r="F864">
            <v>0.7</v>
          </cell>
          <cell r="G864">
            <v>224518.84615384616</v>
          </cell>
          <cell r="H864">
            <v>157163.19230769231</v>
          </cell>
        </row>
        <row r="865">
          <cell r="D865" t="str">
            <v xml:space="preserve"> - Máy thi công </v>
          </cell>
          <cell r="H865">
            <v>0</v>
          </cell>
        </row>
        <row r="866">
          <cell r="D866" t="str">
            <v>a) Chi phí chung (55%*NC)</v>
          </cell>
          <cell r="H866">
            <v>86439.755769230775</v>
          </cell>
        </row>
        <row r="867">
          <cell r="D867" t="str">
            <v>b) Thu nhập chịu thuế tính trước [6%*(VL+NC+M+CPC)]</v>
          </cell>
          <cell r="H867">
            <v>14616.176884615385</v>
          </cell>
        </row>
        <row r="868">
          <cell r="D868" t="str">
            <v>Cộng đơn gíá (Z=VL+NC+M+CPC+T)</v>
          </cell>
          <cell r="H868">
            <v>258219.12496153847</v>
          </cell>
        </row>
        <row r="869">
          <cell r="B869" t="str">
            <v>NC2</v>
          </cell>
          <cell r="D869" t="str">
            <v>Lương nhân công thí nghiệm tính cho 1 ngày công</v>
          </cell>
          <cell r="E869" t="str">
            <v>công</v>
          </cell>
          <cell r="H869">
            <v>374796.42057692312</v>
          </cell>
        </row>
        <row r="870">
          <cell r="D870" t="str">
            <v xml:space="preserve"> - Vật liệu </v>
          </cell>
          <cell r="H870">
            <v>0</v>
          </cell>
        </row>
        <row r="871">
          <cell r="D871" t="str">
            <v xml:space="preserve"> - Nhân công </v>
          </cell>
          <cell r="H871">
            <v>228117.11538461538</v>
          </cell>
        </row>
        <row r="872">
          <cell r="D872" t="str">
            <v>Bậc 3,5/7 (TN)</v>
          </cell>
          <cell r="E872" t="str">
            <v>công</v>
          </cell>
          <cell r="F872">
            <v>1</v>
          </cell>
          <cell r="G872">
            <v>228117.11538461538</v>
          </cell>
          <cell r="H872">
            <v>228117.11538461538</v>
          </cell>
        </row>
        <row r="873">
          <cell r="D873" t="str">
            <v xml:space="preserve"> - Máy thi công </v>
          </cell>
          <cell r="H873">
            <v>0</v>
          </cell>
        </row>
        <row r="874">
          <cell r="D874" t="str">
            <v>a) Chi phí chung (55%*NC)</v>
          </cell>
          <cell r="H874">
            <v>125464.41346153847</v>
          </cell>
        </row>
        <row r="875">
          <cell r="D875" t="str">
            <v>b) Thu nhập chịu thuế tính trước [6%*(VL+NC+M+CPC)]</v>
          </cell>
          <cell r="H875">
            <v>21214.891730769232</v>
          </cell>
        </row>
        <row r="876">
          <cell r="D876" t="str">
            <v>Cộng đơn gíá (Z=VL+NC+M+CPC+T)</v>
          </cell>
          <cell r="H876">
            <v>374796.42057692312</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TRA"/>
      <sheetName val="BDQH"/>
      <sheetName val="AASHTO92"/>
      <sheetName val="B_TRA"/>
      <sheetName val="ESTI_"/>
      <sheetName val="Aashto~2"/>
      <sheetName val="Tổng kê"/>
      <sheetName val="THDT"/>
      <sheetName val="KLHT"/>
      <sheetName val="CUA HAM"/>
      <sheetName val="HAM TAM"/>
      <sheetName val="Ham chinh"/>
      <sheetName val="KL be tong va vua"/>
      <sheetName val="Sheet3"/>
      <sheetName val="SL cước"/>
      <sheetName val="Sheet1"/>
      <sheetName val="PTCT"/>
      <sheetName val="DO AM DT"/>
      <sheetName val="MAIN GATE HOUSE"/>
    </sheetNames>
    <sheetDataSet>
      <sheetData sheetId="0" refreshError="1"/>
      <sheetData sheetId="1" refreshError="1"/>
      <sheetData sheetId="2" refreshError="1">
        <row r="42">
          <cell r="H42">
            <v>2389</v>
          </cell>
        </row>
      </sheetData>
      <sheetData sheetId="3"/>
      <sheetData sheetId="4"/>
      <sheetData sheetId="5"/>
      <sheetData sheetId="6"/>
      <sheetData sheetId="7" refreshError="1"/>
      <sheetData sheetId="8" refreshError="1"/>
      <sheetData sheetId="9" refreshError="1"/>
      <sheetData sheetId="10"/>
      <sheetData sheetId="11"/>
      <sheetData sheetId="12"/>
      <sheetData sheetId="13"/>
      <sheetData sheetId="14" refreshError="1"/>
      <sheetData sheetId="15" refreshError="1"/>
      <sheetData sheetId="16" refreshError="1"/>
      <sheetData sheetId="17" refreshError="1"/>
      <sheetData sheetId="18"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ng Tra"/>
      <sheetName val="TM"/>
      <sheetName val="Tong muc dau tu"/>
      <sheetName val="THXL"/>
      <sheetName val="TMDT"/>
      <sheetName val="TXL"/>
      <sheetName val="Du toan"/>
      <sheetName val="PTDG-CL"/>
      <sheetName val="PLV"/>
      <sheetName val="Vat lieu"/>
      <sheetName val="Cuoc VC-1"/>
    </sheetNames>
    <sheetDataSet>
      <sheetData sheetId="0" refreshError="1"/>
      <sheetData sheetId="1" refreshError="1"/>
      <sheetData sheetId="2" refreshError="1"/>
      <sheetData sheetId="3" refreshError="1"/>
      <sheetData sheetId="4" refreshError="1"/>
      <sheetData sheetId="5" refreshError="1"/>
      <sheetData sheetId="6"/>
      <sheetData sheetId="7">
        <row r="5">
          <cell r="B5" t="str">
            <v>CT1</v>
          </cell>
          <cell r="D5" t="str">
            <v>L¸ng nhùa 3 líp TCN 4.5kg/m2 dµy 3.5cm</v>
          </cell>
          <cell r="E5" t="str">
            <v>m2</v>
          </cell>
          <cell r="I5">
            <v>98824.042284590905</v>
          </cell>
          <cell r="J5">
            <v>13943.076923076926</v>
          </cell>
          <cell r="K5">
            <v>10130.570058275702</v>
          </cell>
        </row>
        <row r="6">
          <cell r="D6" t="str">
            <v>A.VËt liÖu</v>
          </cell>
          <cell r="H6">
            <v>98824.042284590905</v>
          </cell>
        </row>
        <row r="7">
          <cell r="C7" t="str">
            <v>VL09</v>
          </cell>
          <cell r="D7" t="str">
            <v>Nhùa ®­êng</v>
          </cell>
          <cell r="E7" t="str">
            <v>kg</v>
          </cell>
          <cell r="F7">
            <v>4.8099999999999996</v>
          </cell>
          <cell r="G7">
            <v>16289.099004545455</v>
          </cell>
          <cell r="H7">
            <v>78350.566211863625</v>
          </cell>
        </row>
        <row r="8">
          <cell r="C8" t="str">
            <v>VL02</v>
          </cell>
          <cell r="D8" t="str">
            <v>§¸ 0.5 ÷ 2</v>
          </cell>
          <cell r="E8" t="str">
            <v>m3</v>
          </cell>
          <cell r="F8">
            <v>2.9900000000000003E-2</v>
          </cell>
          <cell r="G8">
            <v>364296.72727272724</v>
          </cell>
          <cell r="H8">
            <v>10892.472145454545</v>
          </cell>
        </row>
        <row r="9">
          <cell r="C9" t="str">
            <v>VL02</v>
          </cell>
          <cell r="D9" t="str">
            <v>§¸ 0.5 ÷ 1.6</v>
          </cell>
          <cell r="E9" t="str">
            <v>m3</v>
          </cell>
          <cell r="F9">
            <v>1.5800000000000002E-2</v>
          </cell>
          <cell r="G9">
            <v>364296.72727272724</v>
          </cell>
          <cell r="H9">
            <v>5755.8882909090908</v>
          </cell>
        </row>
        <row r="10">
          <cell r="C10" t="str">
            <v>VL02</v>
          </cell>
          <cell r="D10" t="str">
            <v>§¸ 0.5 ÷ 1.0</v>
          </cell>
          <cell r="E10" t="str">
            <v>m3</v>
          </cell>
          <cell r="F10">
            <v>1.0500000000000001E-2</v>
          </cell>
          <cell r="G10">
            <v>364296.72727272724</v>
          </cell>
          <cell r="H10">
            <v>3825.115636363636</v>
          </cell>
        </row>
        <row r="11">
          <cell r="D11" t="str">
            <v>B. Nh©n c«ng 3,5/7</v>
          </cell>
          <cell r="E11" t="str">
            <v>c«ng</v>
          </cell>
          <cell r="F11">
            <v>7.2000000000000008E-2</v>
          </cell>
          <cell r="G11">
            <v>193653.84615384616</v>
          </cell>
          <cell r="H11">
            <v>13943.076923076926</v>
          </cell>
        </row>
        <row r="12">
          <cell r="D12" t="str">
            <v>C. M¸y thi c«ng</v>
          </cell>
          <cell r="H12">
            <v>10130.570058275702</v>
          </cell>
        </row>
        <row r="13">
          <cell r="D13" t="str">
            <v>M¸y lu 8.5T</v>
          </cell>
          <cell r="E13" t="str">
            <v>Ca</v>
          </cell>
          <cell r="F13">
            <v>4.3E-3</v>
          </cell>
          <cell r="G13">
            <v>820096.90182608704</v>
          </cell>
          <cell r="H13">
            <v>3526.4166778521744</v>
          </cell>
        </row>
        <row r="14">
          <cell r="D14" t="str">
            <v>M¸y t­íi nhùa</v>
          </cell>
          <cell r="E14" t="str">
            <v>Ca</v>
          </cell>
          <cell r="F14">
            <v>2.0999999999999999E-3</v>
          </cell>
          <cell r="G14">
            <v>2867996.142</v>
          </cell>
          <cell r="H14">
            <v>6022.7918981999992</v>
          </cell>
        </row>
        <row r="15">
          <cell r="D15" t="str">
            <v>ThiÕt bÞ nÊu nhùa</v>
          </cell>
          <cell r="E15" t="str">
            <v>Ca</v>
          </cell>
          <cell r="F15">
            <v>2.0999999999999999E-3</v>
          </cell>
          <cell r="G15">
            <v>276838.80105882353</v>
          </cell>
          <cell r="H15">
            <v>581.36148222352938</v>
          </cell>
        </row>
        <row r="17">
          <cell r="B17" t="str">
            <v>CT2</v>
          </cell>
          <cell r="D17" t="str">
            <v>Mãng ®­êng ®¸ d¨m tiªu chuÈn líp d­íi dµy 20cm</v>
          </cell>
          <cell r="E17" t="str">
            <v>m2</v>
          </cell>
          <cell r="I17">
            <v>75106.497999999978</v>
          </cell>
          <cell r="J17">
            <v>20866.048461538459</v>
          </cell>
          <cell r="K17">
            <v>20746.425333026091</v>
          </cell>
        </row>
        <row r="18">
          <cell r="D18" t="str">
            <v>A.VËt liÖu</v>
          </cell>
          <cell r="H18">
            <v>75106.497999999978</v>
          </cell>
        </row>
        <row r="19">
          <cell r="C19" t="str">
            <v>VL05</v>
          </cell>
          <cell r="D19" t="str">
            <v>§¸ 4x6</v>
          </cell>
          <cell r="E19" t="str">
            <v>m3</v>
          </cell>
          <cell r="F19">
            <v>0.26379999999999998</v>
          </cell>
          <cell r="G19">
            <v>284709.99999999994</v>
          </cell>
          <cell r="H19">
            <v>75106.497999999978</v>
          </cell>
        </row>
        <row r="20">
          <cell r="D20" t="str">
            <v>B. Nh©n c«ng 2.7/7</v>
          </cell>
          <cell r="E20" t="str">
            <v>c«ng</v>
          </cell>
          <cell r="F20">
            <v>0.1226</v>
          </cell>
          <cell r="G20">
            <v>170196.15384615381</v>
          </cell>
          <cell r="H20">
            <v>20866.048461538459</v>
          </cell>
        </row>
        <row r="21">
          <cell r="D21" t="str">
            <v>C. M¸y thi c«ng</v>
          </cell>
          <cell r="H21">
            <v>20746.425333026091</v>
          </cell>
        </row>
        <row r="22">
          <cell r="C22">
            <v>0</v>
          </cell>
          <cell r="D22" t="str">
            <v>M¸y lu 8.5T</v>
          </cell>
          <cell r="E22" t="str">
            <v>ca</v>
          </cell>
          <cell r="F22">
            <v>2.4E-2</v>
          </cell>
          <cell r="G22">
            <v>820096.90182608704</v>
          </cell>
          <cell r="H22">
            <v>19682.325643826091</v>
          </cell>
        </row>
        <row r="23">
          <cell r="D23" t="str">
            <v>¤ t« t­íi n­íc 5m3</v>
          </cell>
          <cell r="E23" t="str">
            <v>ca</v>
          </cell>
          <cell r="F23">
            <v>1.08E-3</v>
          </cell>
          <cell r="G23">
            <v>985277.49</v>
          </cell>
          <cell r="H23">
            <v>1064.0996892000001</v>
          </cell>
        </row>
        <row r="25">
          <cell r="B25" t="str">
            <v>CT2A</v>
          </cell>
          <cell r="D25" t="str">
            <v>Bï vªnh mãng ®­êng ®¸ d¨m tiªu chuÈn dµy TB 3,51cm</v>
          </cell>
          <cell r="E25" t="str">
            <v>m2</v>
          </cell>
          <cell r="I25">
            <v>13191.183719999997</v>
          </cell>
          <cell r="J25">
            <v>4084.6438687499985</v>
          </cell>
          <cell r="K25">
            <v>3788.3829762064565</v>
          </cell>
        </row>
        <row r="26">
          <cell r="D26" t="str">
            <v>A.VËt liÖu</v>
          </cell>
          <cell r="H26">
            <v>13191.183719999997</v>
          </cell>
        </row>
        <row r="27">
          <cell r="C27" t="str">
            <v>VL05</v>
          </cell>
          <cell r="D27" t="str">
            <v>§¸ 4x6</v>
          </cell>
          <cell r="E27" t="str">
            <v>m3</v>
          </cell>
          <cell r="F27">
            <v>4.6331999999999998E-2</v>
          </cell>
          <cell r="G27">
            <v>284709.99999999994</v>
          </cell>
          <cell r="H27">
            <v>13191.183719999997</v>
          </cell>
        </row>
        <row r="28">
          <cell r="D28" t="str">
            <v>B. Nh©n c«ng 2.7/7</v>
          </cell>
          <cell r="E28" t="str">
            <v>c«ng</v>
          </cell>
          <cell r="F28">
            <v>2.3999624999999997E-2</v>
          </cell>
          <cell r="G28">
            <v>170196.15384615381</v>
          </cell>
          <cell r="H28">
            <v>4084.6438687499985</v>
          </cell>
        </row>
        <row r="29">
          <cell r="D29" t="str">
            <v>C. M¸y thi c«ng</v>
          </cell>
          <cell r="H29">
            <v>3788.3829762064565</v>
          </cell>
        </row>
        <row r="30">
          <cell r="C30">
            <v>0</v>
          </cell>
          <cell r="D30" t="str">
            <v>M¸y lu 8.5T</v>
          </cell>
          <cell r="E30" t="str">
            <v>ca</v>
          </cell>
          <cell r="F30">
            <v>4.3874999999999999E-3</v>
          </cell>
          <cell r="G30">
            <v>820096.90182608704</v>
          </cell>
          <cell r="H30">
            <v>3598.1751567619567</v>
          </cell>
        </row>
        <row r="31">
          <cell r="D31" t="str">
            <v>¤ t« t­íi n­íc 5m3</v>
          </cell>
          <cell r="E31" t="str">
            <v>ca</v>
          </cell>
          <cell r="F31">
            <v>1.9304999999999998E-4</v>
          </cell>
          <cell r="G31">
            <v>985277.49</v>
          </cell>
          <cell r="H31">
            <v>190.20781944449996</v>
          </cell>
        </row>
        <row r="33">
          <cell r="B33" t="str">
            <v>CT2B</v>
          </cell>
          <cell r="D33" t="str">
            <v>Bï vªnh mãng ®­êng ®¸ d¨m tiªu chuÈn dµy TB 3.78cm</v>
          </cell>
          <cell r="E33" t="str">
            <v>m2</v>
          </cell>
          <cell r="I33">
            <v>18176.949503999997</v>
          </cell>
          <cell r="J33">
            <v>4398.8472432692297</v>
          </cell>
          <cell r="K33">
            <v>4079.7970512992615</v>
          </cell>
        </row>
        <row r="34">
          <cell r="D34" t="str">
            <v>A.VËt liÖu</v>
          </cell>
          <cell r="H34">
            <v>18176.949503999997</v>
          </cell>
        </row>
        <row r="35">
          <cell r="C35" t="str">
            <v>VL03</v>
          </cell>
          <cell r="D35" t="str">
            <v>§¸ 1x2</v>
          </cell>
          <cell r="E35" t="str">
            <v>m3</v>
          </cell>
          <cell r="F35">
            <v>4.9895999999999996E-2</v>
          </cell>
          <cell r="G35">
            <v>364296.72727272724</v>
          </cell>
          <cell r="H35">
            <v>18176.949503999997</v>
          </cell>
        </row>
        <row r="36">
          <cell r="D36" t="str">
            <v>B. Nh©n c«ng 2.7/7</v>
          </cell>
          <cell r="E36" t="str">
            <v>c«ng</v>
          </cell>
          <cell r="F36">
            <v>2.5845749999999997E-2</v>
          </cell>
          <cell r="G36">
            <v>170196.15384615381</v>
          </cell>
          <cell r="H36">
            <v>4398.8472432692297</v>
          </cell>
        </row>
        <row r="37">
          <cell r="D37" t="str">
            <v>C. M¸y thi c«ng</v>
          </cell>
          <cell r="H37">
            <v>4079.7970512992615</v>
          </cell>
        </row>
        <row r="38">
          <cell r="C38">
            <v>0</v>
          </cell>
          <cell r="D38" t="str">
            <v>M¸y lu 8.5T</v>
          </cell>
          <cell r="E38" t="str">
            <v>ca</v>
          </cell>
          <cell r="F38">
            <v>4.725E-3</v>
          </cell>
          <cell r="G38">
            <v>820096.90182608704</v>
          </cell>
          <cell r="H38">
            <v>3874.9578611282614</v>
          </cell>
        </row>
        <row r="39">
          <cell r="D39" t="str">
            <v>¤ t« t­íi n­íc 5m3</v>
          </cell>
          <cell r="E39" t="str">
            <v>ca</v>
          </cell>
          <cell r="F39">
            <v>2.0789999999999996E-4</v>
          </cell>
          <cell r="G39">
            <v>985277.49</v>
          </cell>
          <cell r="H39">
            <v>204.83919017099996</v>
          </cell>
        </row>
        <row r="41">
          <cell r="B41" t="str">
            <v>CT3</v>
          </cell>
          <cell r="D41" t="str">
            <v xml:space="preserve">Mãng ®­êng ®¸ d¨m tiªu chuÈn líp trªn dµy 12cm </v>
          </cell>
          <cell r="E41" t="str">
            <v>m2</v>
          </cell>
          <cell r="I41">
            <v>50319.738654545443</v>
          </cell>
          <cell r="J41">
            <v>21393.656538461535</v>
          </cell>
          <cell r="K41">
            <v>15074.135840639132</v>
          </cell>
        </row>
        <row r="42">
          <cell r="D42" t="str">
            <v>A.VËt liÖu</v>
          </cell>
          <cell r="H42">
            <v>50319.738654545443</v>
          </cell>
        </row>
        <row r="43">
          <cell r="C43" t="str">
            <v>VL05</v>
          </cell>
          <cell r="D43" t="str">
            <v>§¸ 4x6</v>
          </cell>
          <cell r="E43" t="str">
            <v>m3</v>
          </cell>
          <cell r="F43">
            <v>0.1583</v>
          </cell>
          <cell r="G43">
            <v>284709.99999999994</v>
          </cell>
          <cell r="H43">
            <v>45069.592999999986</v>
          </cell>
        </row>
        <row r="44">
          <cell r="C44" t="str">
            <v>VL04</v>
          </cell>
          <cell r="D44" t="str">
            <v>§¸ 2x4</v>
          </cell>
          <cell r="E44" t="str">
            <v>m3</v>
          </cell>
          <cell r="F44">
            <v>4.3E-3</v>
          </cell>
          <cell r="G44">
            <v>348346.36363636359</v>
          </cell>
          <cell r="H44">
            <v>1497.8893636363634</v>
          </cell>
        </row>
        <row r="45">
          <cell r="C45" t="str">
            <v>VL03</v>
          </cell>
          <cell r="D45" t="str">
            <v>§¸ 1x2</v>
          </cell>
          <cell r="E45" t="str">
            <v>m3</v>
          </cell>
          <cell r="F45">
            <v>4.4000000000000003E-3</v>
          </cell>
          <cell r="G45">
            <v>364296.72727272724</v>
          </cell>
          <cell r="H45">
            <v>1602.9055999999998</v>
          </cell>
        </row>
        <row r="46">
          <cell r="C46" t="str">
            <v>VL02</v>
          </cell>
          <cell r="D46" t="str">
            <v>§¸ 0.5x1</v>
          </cell>
          <cell r="E46" t="str">
            <v>m3</v>
          </cell>
          <cell r="F46">
            <v>5.8999999999999999E-3</v>
          </cell>
          <cell r="G46">
            <v>364296.72727272724</v>
          </cell>
          <cell r="H46">
            <v>2149.3506909090906</v>
          </cell>
        </row>
        <row r="47">
          <cell r="D47" t="str">
            <v>B. Nh©n c«ng 2.7/7</v>
          </cell>
          <cell r="E47" t="str">
            <v>c«ng</v>
          </cell>
          <cell r="F47">
            <v>0.12570000000000001</v>
          </cell>
          <cell r="G47">
            <v>170196.15384615381</v>
          </cell>
          <cell r="H47">
            <v>21393.656538461535</v>
          </cell>
        </row>
        <row r="48">
          <cell r="D48" t="str">
            <v>C. M¸y thi c«ng</v>
          </cell>
          <cell r="H48">
            <v>15074.135840639132</v>
          </cell>
        </row>
        <row r="49">
          <cell r="C49">
            <v>0</v>
          </cell>
          <cell r="D49" t="str">
            <v>M¸y lu 8.5T</v>
          </cell>
          <cell r="E49" t="str">
            <v>ca</v>
          </cell>
          <cell r="F49">
            <v>1.7600000000000001E-2</v>
          </cell>
          <cell r="G49">
            <v>820096.90182608704</v>
          </cell>
          <cell r="H49">
            <v>14433.705472139132</v>
          </cell>
        </row>
        <row r="50">
          <cell r="C50">
            <v>0</v>
          </cell>
          <cell r="D50" t="str">
            <v>¤ t« t­íi n­íc 5m3</v>
          </cell>
          <cell r="E50" t="str">
            <v>ca</v>
          </cell>
          <cell r="F50">
            <v>6.4999999999999997E-4</v>
          </cell>
          <cell r="G50">
            <v>985277.49</v>
          </cell>
          <cell r="H50">
            <v>640.43036849999999</v>
          </cell>
        </row>
        <row r="52">
          <cell r="B52" t="str">
            <v>CT4</v>
          </cell>
          <cell r="D52" t="str">
            <v>§µo ®Êt C4 ( 5% nh©n c«ng, 95% m¸y )</v>
          </cell>
          <cell r="E52" t="str">
            <v>m3</v>
          </cell>
          <cell r="I52">
            <v>0</v>
          </cell>
          <cell r="J52">
            <v>20652.590769230774</v>
          </cell>
          <cell r="K52">
            <v>14328.101902312501</v>
          </cell>
        </row>
        <row r="53">
          <cell r="D53" t="str">
            <v>B. Nh©n c«ng</v>
          </cell>
          <cell r="H53">
            <v>20652.590769230774</v>
          </cell>
        </row>
        <row r="54">
          <cell r="D54" t="str">
            <v>Nh©n c«ng 3,0/7  ( 5% )</v>
          </cell>
          <cell r="E54" t="str">
            <v>c«ng</v>
          </cell>
          <cell r="F54">
            <v>6.7000000000000004E-2</v>
          </cell>
          <cell r="G54">
            <v>157846.15384615387</v>
          </cell>
          <cell r="H54">
            <v>10575.69230769231</v>
          </cell>
        </row>
        <row r="55">
          <cell r="D55" t="str">
            <v>Nh©n c«ng 3,0/7  ( 95% )</v>
          </cell>
          <cell r="E55" t="str">
            <v>c«ng</v>
          </cell>
          <cell r="F55">
            <v>6.3839999999999994E-2</v>
          </cell>
          <cell r="G55">
            <v>157846.15384615387</v>
          </cell>
          <cell r="H55">
            <v>10076.898461538462</v>
          </cell>
        </row>
        <row r="56">
          <cell r="D56" t="str">
            <v xml:space="preserve">C. M¸y thi c«ng </v>
          </cell>
          <cell r="H56">
            <v>14328.101902312501</v>
          </cell>
        </row>
        <row r="57">
          <cell r="D57" t="str">
            <v>M¸y ®µo 1.25m3  ( 95%)</v>
          </cell>
          <cell r="E57" t="str">
            <v>ca</v>
          </cell>
          <cell r="F57">
            <v>3.9804999999999997E-3</v>
          </cell>
          <cell r="G57">
            <v>3275755.7770000002</v>
          </cell>
          <cell r="H57">
            <v>13039.1458703485</v>
          </cell>
        </row>
        <row r="58">
          <cell r="D58" t="str">
            <v>M¸y ñi  110CV  ( 95%)</v>
          </cell>
          <cell r="E58" t="str">
            <v>ca</v>
          </cell>
          <cell r="F58">
            <v>7.2199999999999999E-4</v>
          </cell>
          <cell r="G58">
            <v>1785257.662</v>
          </cell>
          <cell r="H58">
            <v>1288.956031964</v>
          </cell>
        </row>
        <row r="60">
          <cell r="B60" t="str">
            <v>CT5</v>
          </cell>
          <cell r="D60" t="str">
            <v>§µo  khu«n ®­êng cò, ®µo ®Êt C3 ( 5% nh©n c«ng, 95% m¸y )</v>
          </cell>
          <cell r="E60" t="str">
            <v>m3</v>
          </cell>
          <cell r="I60">
            <v>0</v>
          </cell>
          <cell r="J60">
            <v>17916.327692307696</v>
          </cell>
          <cell r="K60">
            <v>10707.0181732725</v>
          </cell>
        </row>
        <row r="61">
          <cell r="D61" t="str">
            <v>B. Nh©n c«ng</v>
          </cell>
          <cell r="H61">
            <v>17916.327692307696</v>
          </cell>
        </row>
        <row r="62">
          <cell r="D62" t="str">
            <v>Nh©n c«ng 3,0/7  ( 5% )</v>
          </cell>
          <cell r="E62" t="str">
            <v>c«ng</v>
          </cell>
          <cell r="F62">
            <v>5.8499999999999996E-2</v>
          </cell>
          <cell r="G62">
            <v>157846.15384615387</v>
          </cell>
          <cell r="H62">
            <v>9234.0000000000018</v>
          </cell>
        </row>
        <row r="63">
          <cell r="D63" t="str">
            <v>Nh©n c«ng 3,0/7  ( 95% )</v>
          </cell>
          <cell r="E63" t="str">
            <v>c«ng</v>
          </cell>
          <cell r="F63">
            <v>5.5004999999999998E-2</v>
          </cell>
          <cell r="G63">
            <v>157846.15384615387</v>
          </cell>
          <cell r="H63">
            <v>8682.3276923076937</v>
          </cell>
        </row>
        <row r="64">
          <cell r="D64" t="str">
            <v xml:space="preserve">C. M¸y thi c«ng </v>
          </cell>
          <cell r="H64">
            <v>10707.0181732725</v>
          </cell>
        </row>
        <row r="65">
          <cell r="D65" t="str">
            <v>M¸y ®µo 1.25m3  ( 95%)</v>
          </cell>
          <cell r="E65" t="str">
            <v>ca</v>
          </cell>
          <cell r="F65">
            <v>2.9164999999999998E-3</v>
          </cell>
          <cell r="G65">
            <v>3275755.7770000002</v>
          </cell>
          <cell r="H65">
            <v>9553.7417236205001</v>
          </cell>
        </row>
        <row r="66">
          <cell r="D66" t="str">
            <v>M¸y ñi  110CV  ( 95%)</v>
          </cell>
          <cell r="E66" t="str">
            <v>ca</v>
          </cell>
          <cell r="F66">
            <v>6.4600000000000009E-4</v>
          </cell>
          <cell r="G66">
            <v>1785257.662</v>
          </cell>
          <cell r="H66">
            <v>1153.2764496520001</v>
          </cell>
        </row>
        <row r="68">
          <cell r="B68" t="str">
            <v>CT6</v>
          </cell>
          <cell r="D68" t="str">
            <v>§µo r·nh, ®µo cÊp ®Êt cÊp 2 ( thñ c«ng kÕt hîp c¬ giíi)</v>
          </cell>
          <cell r="E68" t="str">
            <v>m3</v>
          </cell>
          <cell r="I68">
            <v>0</v>
          </cell>
          <cell r="J68">
            <v>14691.530769230771</v>
          </cell>
          <cell r="K68">
            <v>8880.3356968709995</v>
          </cell>
        </row>
        <row r="69">
          <cell r="D69" t="str">
            <v xml:space="preserve">B. Nh©n c«ng </v>
          </cell>
          <cell r="H69">
            <v>14691.530769230771</v>
          </cell>
        </row>
        <row r="70">
          <cell r="D70" t="str">
            <v>Nh©n c«ng 3,0/7  ( 5% )</v>
          </cell>
          <cell r="E70" t="str">
            <v>c«ng</v>
          </cell>
          <cell r="F70">
            <v>4.7E-2</v>
          </cell>
          <cell r="G70">
            <v>157846.15384615387</v>
          </cell>
          <cell r="H70">
            <v>7418.7692307692323</v>
          </cell>
        </row>
        <row r="71">
          <cell r="D71" t="str">
            <v>Nh©n c«ng 3,0/7  ( 95% )</v>
          </cell>
          <cell r="E71" t="str">
            <v>c«ng</v>
          </cell>
          <cell r="F71">
            <v>4.6074999999999991E-2</v>
          </cell>
          <cell r="G71">
            <v>157846.15384615387</v>
          </cell>
          <cell r="H71">
            <v>7272.7615384615383</v>
          </cell>
        </row>
        <row r="72">
          <cell r="D72" t="str">
            <v xml:space="preserve">C. M¸y thi c«ng </v>
          </cell>
          <cell r="H72">
            <v>8880.3356968709995</v>
          </cell>
        </row>
        <row r="73">
          <cell r="D73" t="str">
            <v>M¸y ®µo 0.8m3  ( 95%)</v>
          </cell>
          <cell r="E73" t="str">
            <v>ca</v>
          </cell>
          <cell r="F73">
            <v>3.3725000000000001E-3</v>
          </cell>
          <cell r="G73">
            <v>2336456.2719999999</v>
          </cell>
          <cell r="H73">
            <v>7879.6987773199999</v>
          </cell>
        </row>
        <row r="74">
          <cell r="D74" t="str">
            <v>M¸y ñi  110CV  ( 95%)</v>
          </cell>
          <cell r="E74" t="str">
            <v>ca</v>
          </cell>
          <cell r="F74">
            <v>5.6049999999999991E-4</v>
          </cell>
          <cell r="G74">
            <v>1785257.662</v>
          </cell>
          <cell r="H74">
            <v>1000.6369195509999</v>
          </cell>
        </row>
        <row r="76">
          <cell r="B76" t="str">
            <v>CT7</v>
          </cell>
          <cell r="D76" t="str">
            <v>§µo h÷u c¬ b»ng m¸y, TÝnh nh­ ®Êt C1 ( 100% m¸y)</v>
          </cell>
          <cell r="E76" t="str">
            <v>m3</v>
          </cell>
          <cell r="I76">
            <v>0</v>
          </cell>
          <cell r="J76">
            <v>6140.215384615386</v>
          </cell>
          <cell r="K76">
            <v>8361.352002560001</v>
          </cell>
        </row>
        <row r="77">
          <cell r="D77" t="str">
            <v>B. Nh©n c«ng</v>
          </cell>
          <cell r="H77">
            <v>6140.215384615386</v>
          </cell>
        </row>
        <row r="78">
          <cell r="D78" t="str">
            <v>Nh©n c«ng 3,0/7</v>
          </cell>
          <cell r="E78" t="str">
            <v>c«ng</v>
          </cell>
          <cell r="F78">
            <v>3.8900000000000004E-2</v>
          </cell>
          <cell r="G78">
            <v>157846.15384615387</v>
          </cell>
          <cell r="H78">
            <v>6140.215384615386</v>
          </cell>
        </row>
        <row r="79">
          <cell r="D79" t="str">
            <v xml:space="preserve">C. M¸y thi c«ng </v>
          </cell>
          <cell r="H79">
            <v>8361.352002560001</v>
          </cell>
        </row>
        <row r="80">
          <cell r="D80" t="str">
            <v xml:space="preserve">M¸y ®µo 1.25m3 </v>
          </cell>
          <cell r="E80" t="str">
            <v>ca</v>
          </cell>
          <cell r="F80">
            <v>2.2799999999999999E-3</v>
          </cell>
          <cell r="G80">
            <v>3275755.7770000002</v>
          </cell>
          <cell r="H80">
            <v>7468.7231715600001</v>
          </cell>
        </row>
        <row r="81">
          <cell r="D81" t="str">
            <v xml:space="preserve">M¸y ñi  110CV </v>
          </cell>
          <cell r="E81" t="str">
            <v>ca</v>
          </cell>
          <cell r="F81">
            <v>5.0000000000000001E-4</v>
          </cell>
          <cell r="G81">
            <v>1785257.662</v>
          </cell>
          <cell r="H81">
            <v>892.62883099999999</v>
          </cell>
        </row>
        <row r="83">
          <cell r="B83" t="str">
            <v>CT8</v>
          </cell>
          <cell r="D83" t="str">
            <v>§¾p ®Êt  K95 nÒn ®­êng b»ng m¸y ®Çm 9T</v>
          </cell>
          <cell r="E83" t="str">
            <v>m3</v>
          </cell>
          <cell r="I83">
            <v>0</v>
          </cell>
          <cell r="J83">
            <v>2746.523076923077</v>
          </cell>
          <cell r="K83">
            <v>9261.9361817904773</v>
          </cell>
        </row>
        <row r="84">
          <cell r="D84" t="str">
            <v>A.VËt liÖu</v>
          </cell>
          <cell r="H84">
            <v>0</v>
          </cell>
        </row>
        <row r="85">
          <cell r="D85" t="str">
            <v>B. Nh©n c«ng 3.0/7</v>
          </cell>
          <cell r="E85" t="str">
            <v>c«ng</v>
          </cell>
          <cell r="F85">
            <v>1.7399999999999999E-2</v>
          </cell>
          <cell r="G85">
            <v>157846.15384615387</v>
          </cell>
          <cell r="H85">
            <v>2746.523076923077</v>
          </cell>
        </row>
        <row r="86">
          <cell r="D86" t="str">
            <v>C. M¸y thi c«ng</v>
          </cell>
          <cell r="H86">
            <v>9261.9361817904773</v>
          </cell>
        </row>
        <row r="87">
          <cell r="D87" t="str">
            <v>M¸y ®Çm 9T</v>
          </cell>
          <cell r="E87" t="str">
            <v>ca</v>
          </cell>
          <cell r="F87">
            <v>4.1999999999999997E-3</v>
          </cell>
          <cell r="G87">
            <v>1280004.5684347826</v>
          </cell>
          <cell r="H87">
            <v>5376.0191874260863</v>
          </cell>
        </row>
        <row r="88">
          <cell r="D88" t="str">
            <v>M¸y ñi 110CV</v>
          </cell>
          <cell r="E88" t="str">
            <v>ca</v>
          </cell>
          <cell r="F88">
            <v>2.0999999999999999E-3</v>
          </cell>
          <cell r="G88">
            <v>1785257.662</v>
          </cell>
          <cell r="H88">
            <v>3749.0410901999999</v>
          </cell>
        </row>
        <row r="89">
          <cell r="D89" t="str">
            <v>M¸y kh¸c</v>
          </cell>
          <cell r="E89" t="str">
            <v>%</v>
          </cell>
          <cell r="F89">
            <v>1.5</v>
          </cell>
          <cell r="H89">
            <v>136.87590416439127</v>
          </cell>
        </row>
        <row r="91">
          <cell r="B91" t="str">
            <v>CT9</v>
          </cell>
          <cell r="D91" t="str">
            <v>X¸o xíi mÆt ®­êng cò</v>
          </cell>
          <cell r="E91" t="str">
            <v>m2</v>
          </cell>
          <cell r="J91">
            <v>258.14423076923077</v>
          </cell>
          <cell r="K91">
            <v>1338.1703918777141</v>
          </cell>
        </row>
        <row r="92">
          <cell r="D92" t="str">
            <v>B. Nh©n c«ng 3,5/7</v>
          </cell>
          <cell r="E92" t="str">
            <v>c«ng</v>
          </cell>
          <cell r="F92">
            <v>1.5E-3</v>
          </cell>
          <cell r="G92">
            <v>172096.15384615384</v>
          </cell>
          <cell r="H92">
            <v>258.14423076923077</v>
          </cell>
        </row>
        <row r="93">
          <cell r="D93" t="str">
            <v>C. M¸y thi c«ng</v>
          </cell>
          <cell r="H93">
            <v>1338.1703918777141</v>
          </cell>
        </row>
        <row r="94">
          <cell r="D94" t="str">
            <v>M¸y san 108CV</v>
          </cell>
          <cell r="E94" t="str">
            <v>ca</v>
          </cell>
          <cell r="F94">
            <v>2.9999999999999997E-4</v>
          </cell>
          <cell r="G94">
            <v>1938489.463809524</v>
          </cell>
          <cell r="H94">
            <v>581.54683914285715</v>
          </cell>
        </row>
        <row r="95">
          <cell r="D95" t="str">
            <v>M¸y ñi 140CV</v>
          </cell>
          <cell r="E95" t="str">
            <v>ca</v>
          </cell>
          <cell r="F95">
            <v>2.9999999999999997E-4</v>
          </cell>
          <cell r="G95">
            <v>2434616.392</v>
          </cell>
          <cell r="H95">
            <v>730.38491759999988</v>
          </cell>
        </row>
        <row r="96">
          <cell r="D96" t="str">
            <v>M¸y kh¸c</v>
          </cell>
          <cell r="E96" t="str">
            <v>%</v>
          </cell>
          <cell r="F96">
            <v>2</v>
          </cell>
          <cell r="H96">
            <v>26.238635134857141</v>
          </cell>
        </row>
        <row r="98">
          <cell r="B98" t="str">
            <v>CT10</v>
          </cell>
          <cell r="D98" t="str">
            <v xml:space="preserve">Lu lÌn nÒn ®­êng K98 </v>
          </cell>
          <cell r="E98" t="str">
            <v>m3</v>
          </cell>
          <cell r="J98">
            <v>2746.523076923077</v>
          </cell>
          <cell r="K98">
            <v>9831.0164311717817</v>
          </cell>
        </row>
        <row r="99">
          <cell r="D99" t="str">
            <v>B. Nh©n c«ng 3/7</v>
          </cell>
          <cell r="E99" t="str">
            <v>c«ng</v>
          </cell>
          <cell r="F99">
            <v>1.7399999999999999E-2</v>
          </cell>
          <cell r="G99">
            <v>157846.15384615387</v>
          </cell>
          <cell r="H99">
            <v>2746.523076923077</v>
          </cell>
        </row>
        <row r="100">
          <cell r="D100" t="str">
            <v>C. M¸y thi c«ng</v>
          </cell>
          <cell r="H100">
            <v>9831.0164311717817</v>
          </cell>
        </row>
        <row r="101">
          <cell r="D101" t="str">
            <v>M¸y ®Çm 16T</v>
          </cell>
          <cell r="E101" t="str">
            <v>ca</v>
          </cell>
          <cell r="F101">
            <v>4.1999999999999997E-3</v>
          </cell>
          <cell r="G101">
            <v>1413497.472347826</v>
          </cell>
          <cell r="H101">
            <v>5936.6893838608685</v>
          </cell>
        </row>
        <row r="102">
          <cell r="D102" t="str">
            <v>M¸y ñi 110CV</v>
          </cell>
          <cell r="E102" t="str">
            <v>ca</v>
          </cell>
          <cell r="F102">
            <v>2.0999999999999999E-3</v>
          </cell>
          <cell r="G102">
            <v>1785257.662</v>
          </cell>
          <cell r="H102">
            <v>3749.0410901999999</v>
          </cell>
        </row>
        <row r="103">
          <cell r="D103" t="str">
            <v>M¸y kh¸c</v>
          </cell>
          <cell r="E103" t="str">
            <v>%</v>
          </cell>
          <cell r="F103">
            <v>1.5</v>
          </cell>
          <cell r="H103">
            <v>145.28595711091302</v>
          </cell>
        </row>
        <row r="105">
          <cell r="B105" t="str">
            <v>CT11</v>
          </cell>
          <cell r="D105" t="str">
            <v>§¾p ®¸ th¶i</v>
          </cell>
          <cell r="E105" t="str">
            <v>m3</v>
          </cell>
          <cell r="I105">
            <v>266114.29090909084</v>
          </cell>
          <cell r="J105">
            <v>3102.5538461538458</v>
          </cell>
          <cell r="K105">
            <v>9261.9361817904773</v>
          </cell>
        </row>
        <row r="106">
          <cell r="D106" t="str">
            <v>A.VËt liÖu</v>
          </cell>
          <cell r="H106">
            <v>266114.29090909084</v>
          </cell>
        </row>
        <row r="107">
          <cell r="C107" t="str">
            <v>VL06</v>
          </cell>
          <cell r="D107" t="str">
            <v>§¸ th¶i</v>
          </cell>
          <cell r="E107" t="str">
            <v>m3</v>
          </cell>
          <cell r="F107">
            <v>1.2</v>
          </cell>
          <cell r="G107">
            <v>221761.90909090906</v>
          </cell>
          <cell r="H107">
            <v>266114.29090909084</v>
          </cell>
        </row>
        <row r="108">
          <cell r="D108" t="str">
            <v>B. Nh©n c«ng 3.0/7</v>
          </cell>
          <cell r="E108" t="str">
            <v>c«ng</v>
          </cell>
          <cell r="F108">
            <v>1.7399999999999999E-2</v>
          </cell>
          <cell r="G108">
            <v>178307.69230769231</v>
          </cell>
          <cell r="H108">
            <v>3102.5538461538458</v>
          </cell>
        </row>
        <row r="109">
          <cell r="D109" t="str">
            <v>C. M¸y thi c«ng</v>
          </cell>
          <cell r="H109">
            <v>9261.9361817904773</v>
          </cell>
        </row>
        <row r="110">
          <cell r="D110" t="str">
            <v>M¸y ®Çm 9T</v>
          </cell>
          <cell r="E110" t="str">
            <v>ca</v>
          </cell>
          <cell r="F110">
            <v>4.1999999999999997E-3</v>
          </cell>
          <cell r="G110">
            <v>1280004.5684347826</v>
          </cell>
          <cell r="H110">
            <v>5376.0191874260863</v>
          </cell>
        </row>
        <row r="111">
          <cell r="D111" t="str">
            <v>M¸y ñi 110CV</v>
          </cell>
          <cell r="E111" t="str">
            <v>ca</v>
          </cell>
          <cell r="F111">
            <v>2.0999999999999999E-3</v>
          </cell>
          <cell r="G111">
            <v>1785257.662</v>
          </cell>
          <cell r="H111">
            <v>3749.0410901999999</v>
          </cell>
        </row>
        <row r="112">
          <cell r="D112" t="str">
            <v>M¸y kh¸c</v>
          </cell>
          <cell r="E112" t="str">
            <v>%</v>
          </cell>
          <cell r="F112">
            <v>1.5</v>
          </cell>
          <cell r="H112">
            <v>136.87590416439127</v>
          </cell>
        </row>
        <row r="114">
          <cell r="B114" t="str">
            <v>CT12</v>
          </cell>
          <cell r="D114" t="str">
            <v>§¾p ®Êt K95 b»ng ®Çm cãc (®Êt tËn dông)</v>
          </cell>
          <cell r="E114" t="str">
            <v>m3</v>
          </cell>
          <cell r="J114">
            <v>18970.038461538461</v>
          </cell>
          <cell r="K114">
            <v>15043.887240490001</v>
          </cell>
        </row>
        <row r="115">
          <cell r="D115" t="str">
            <v>B. Nh©n c«ng 4,0/7</v>
          </cell>
          <cell r="E115" t="str">
            <v>c«ng</v>
          </cell>
          <cell r="F115">
            <v>0.1018</v>
          </cell>
          <cell r="G115">
            <v>186346.15384615384</v>
          </cell>
          <cell r="H115">
            <v>18970.038461538461</v>
          </cell>
        </row>
        <row r="116">
          <cell r="D116" t="str">
            <v>C. M¸y thi c«ng</v>
          </cell>
          <cell r="H116">
            <v>15043.887240490001</v>
          </cell>
        </row>
        <row r="117">
          <cell r="D117" t="str">
            <v>M¸y ®Çm cãc</v>
          </cell>
          <cell r="E117" t="str">
            <v>Ca</v>
          </cell>
          <cell r="F117">
            <v>5.0900000000000001E-2</v>
          </cell>
          <cell r="G117">
            <v>295557.70610000001</v>
          </cell>
          <cell r="H117">
            <v>15043.887240490001</v>
          </cell>
        </row>
        <row r="119">
          <cell r="B119" t="str">
            <v>CT13</v>
          </cell>
          <cell r="D119" t="str">
            <v>§¸ héc x©y v÷a M100</v>
          </cell>
          <cell r="E119" t="str">
            <v>m3</v>
          </cell>
          <cell r="I119">
            <v>736602.00067433179</v>
          </cell>
          <cell r="J119">
            <v>530056.15384615387</v>
          </cell>
          <cell r="K119">
            <v>0</v>
          </cell>
        </row>
        <row r="120">
          <cell r="D120" t="str">
            <v>A.VËt liÖu</v>
          </cell>
          <cell r="H120">
            <v>736602.00067433179</v>
          </cell>
        </row>
        <row r="121">
          <cell r="C121" t="str">
            <v>VL01</v>
          </cell>
          <cell r="D121" t="str">
            <v>§¸ héc</v>
          </cell>
          <cell r="E121" t="str">
            <v>m3</v>
          </cell>
          <cell r="F121">
            <v>1.2</v>
          </cell>
          <cell r="G121">
            <v>249034.63636363635</v>
          </cell>
          <cell r="H121">
            <v>298841.5636363636</v>
          </cell>
        </row>
        <row r="122">
          <cell r="C122" t="str">
            <v>VL04</v>
          </cell>
          <cell r="D122" t="str">
            <v>§¸ d¨m 2x4</v>
          </cell>
          <cell r="E122" t="str">
            <v>m3</v>
          </cell>
          <cell r="F122">
            <v>5.7000000000000002E-2</v>
          </cell>
          <cell r="G122">
            <v>348346.36363636359</v>
          </cell>
          <cell r="H122">
            <v>19855.742727272725</v>
          </cell>
        </row>
        <row r="123">
          <cell r="D123" t="str">
            <v>V÷a M100</v>
          </cell>
          <cell r="E123" t="str">
            <v>m3</v>
          </cell>
          <cell r="F123">
            <v>0.42</v>
          </cell>
          <cell r="G123">
            <v>995011.17693022732</v>
          </cell>
          <cell r="H123">
            <v>417904.69431069546</v>
          </cell>
        </row>
        <row r="124">
          <cell r="D124" t="str">
            <v>B. Nh©n c«ng</v>
          </cell>
          <cell r="H124">
            <v>530056.15384615387</v>
          </cell>
        </row>
        <row r="125">
          <cell r="D125" t="str">
            <v>Nh©n c«ng 3,5/7</v>
          </cell>
          <cell r="E125" t="str">
            <v>c«ng</v>
          </cell>
          <cell r="F125">
            <v>3.08</v>
          </cell>
          <cell r="G125">
            <v>172096.15384615384</v>
          </cell>
          <cell r="H125">
            <v>530056.15384615387</v>
          </cell>
        </row>
        <row r="127">
          <cell r="B127" t="str">
            <v>CT14</v>
          </cell>
          <cell r="D127" t="str">
            <v>BT th©n r·nh ®æ t¹i chç M150, ®¸ 1x2</v>
          </cell>
          <cell r="E127" t="str">
            <v>m3</v>
          </cell>
          <cell r="I127">
            <v>933144.05265562457</v>
          </cell>
          <cell r="J127">
            <v>380332.5</v>
          </cell>
          <cell r="K127">
            <v>23418.271175454549</v>
          </cell>
        </row>
        <row r="128">
          <cell r="D128" t="str">
            <v xml:space="preserve">A.VËt liÖu </v>
          </cell>
          <cell r="H128">
            <v>933144.05265562457</v>
          </cell>
        </row>
        <row r="129">
          <cell r="D129" t="str">
            <v>V÷a BT M150</v>
          </cell>
          <cell r="E129" t="str">
            <v>m3</v>
          </cell>
          <cell r="F129">
            <v>1.0249999999999999</v>
          </cell>
          <cell r="G129">
            <v>892533.76628945454</v>
          </cell>
          <cell r="H129">
            <v>914847.11044669081</v>
          </cell>
        </row>
        <row r="130">
          <cell r="D130" t="str">
            <v>VËt liÖu kh¸c</v>
          </cell>
          <cell r="E130" t="str">
            <v>%</v>
          </cell>
          <cell r="F130">
            <v>2</v>
          </cell>
          <cell r="H130">
            <v>18296.942208933815</v>
          </cell>
        </row>
        <row r="131">
          <cell r="D131" t="str">
            <v>B. Nh©n c«ng</v>
          </cell>
          <cell r="H131">
            <v>380332.5</v>
          </cell>
        </row>
        <row r="132">
          <cell r="D132" t="str">
            <v>Nh©n c«ng 3.5/7</v>
          </cell>
          <cell r="E132" t="str">
            <v>c«ng</v>
          </cell>
          <cell r="F132">
            <v>2.21</v>
          </cell>
          <cell r="G132">
            <v>172096.15384615384</v>
          </cell>
          <cell r="H132">
            <v>380332.5</v>
          </cell>
        </row>
        <row r="133">
          <cell r="B133" t="str">
            <v/>
          </cell>
          <cell r="D133" t="str">
            <v xml:space="preserve">C. M¸y thi c«ng </v>
          </cell>
          <cell r="H133">
            <v>23418.271175454549</v>
          </cell>
        </row>
        <row r="134">
          <cell r="D134" t="str">
            <v>M¸y trén 250l</v>
          </cell>
          <cell r="E134" t="str">
            <v>ca</v>
          </cell>
          <cell r="F134">
            <v>9.5000000000000001E-2</v>
          </cell>
          <cell r="G134">
            <v>246508.11763636366</v>
          </cell>
          <cell r="H134">
            <v>23418.271175454549</v>
          </cell>
        </row>
        <row r="136">
          <cell r="B136" t="str">
            <v>CT15</v>
          </cell>
          <cell r="D136" t="str">
            <v>V¸n khu«n r·nh</v>
          </cell>
          <cell r="E136" t="str">
            <v>m2</v>
          </cell>
          <cell r="I136">
            <v>13294.416004837498</v>
          </cell>
          <cell r="J136">
            <v>21168.923076923074</v>
          </cell>
          <cell r="K136">
            <v>0</v>
          </cell>
        </row>
        <row r="137">
          <cell r="D137" t="str">
            <v>A.VËt liÖu</v>
          </cell>
          <cell r="H137">
            <v>13294.416004837498</v>
          </cell>
        </row>
        <row r="138">
          <cell r="C138" t="str">
            <v>VL17</v>
          </cell>
          <cell r="D138" t="str">
            <v>ThÐp tÊm</v>
          </cell>
          <cell r="E138" t="str">
            <v>kg</v>
          </cell>
          <cell r="F138">
            <v>0.5181</v>
          </cell>
          <cell r="G138">
            <v>14729.838795454543</v>
          </cell>
          <cell r="H138">
            <v>7631.5294799249987</v>
          </cell>
        </row>
        <row r="139">
          <cell r="C139" t="str">
            <v>VL16</v>
          </cell>
          <cell r="D139" t="str">
            <v>ThÐp h×nh</v>
          </cell>
          <cell r="E139" t="str">
            <v>kg</v>
          </cell>
          <cell r="F139">
            <v>0.3024</v>
          </cell>
          <cell r="G139">
            <v>14729.838795454543</v>
          </cell>
          <cell r="H139">
            <v>4454.303251745454</v>
          </cell>
        </row>
        <row r="140">
          <cell r="D140" t="str">
            <v>VËt liÖu kh¸c</v>
          </cell>
          <cell r="E140" t="str">
            <v>%</v>
          </cell>
          <cell r="F140">
            <v>10</v>
          </cell>
          <cell r="H140">
            <v>1208.5832731670453</v>
          </cell>
        </row>
        <row r="141">
          <cell r="D141" t="str">
            <v>B. Nh©n c«ng 4.0/7</v>
          </cell>
          <cell r="E141" t="str">
            <v>c«ng</v>
          </cell>
          <cell r="F141">
            <v>0.11359999999999999</v>
          </cell>
          <cell r="G141">
            <v>186346.15384615384</v>
          </cell>
          <cell r="H141">
            <v>21168.923076923074</v>
          </cell>
        </row>
        <row r="143">
          <cell r="B143" t="str">
            <v>CT16</v>
          </cell>
          <cell r="D143" t="str">
            <v>BT M200, ®¸ 1x2 ®óc s½n cäc tiªu, cäc H</v>
          </cell>
          <cell r="E143" t="str">
            <v>m3</v>
          </cell>
          <cell r="I143">
            <v>993843.02080175153</v>
          </cell>
          <cell r="J143">
            <v>288858.46153846162</v>
          </cell>
          <cell r="K143">
            <v>62746.486034999994</v>
          </cell>
        </row>
        <row r="144">
          <cell r="D144" t="str">
            <v>A.VËt liÖu</v>
          </cell>
          <cell r="H144">
            <v>993843.02080175153</v>
          </cell>
        </row>
        <row r="145">
          <cell r="D145" t="str">
            <v>V÷a BT M200</v>
          </cell>
          <cell r="E145" t="str">
            <v>m3</v>
          </cell>
          <cell r="F145">
            <v>1.0149999999999999</v>
          </cell>
          <cell r="G145">
            <v>974284.26419797726</v>
          </cell>
          <cell r="H145">
            <v>988898.52816094679</v>
          </cell>
        </row>
        <row r="146">
          <cell r="D146" t="str">
            <v>VËt liÖu kh¸c</v>
          </cell>
          <cell r="E146" t="str">
            <v>%</v>
          </cell>
          <cell r="F146">
            <v>0.5</v>
          </cell>
          <cell r="H146">
            <v>4944.492640804734</v>
          </cell>
        </row>
        <row r="147">
          <cell r="D147" t="str">
            <v>B. Nh©n c«ng 3,0/7</v>
          </cell>
          <cell r="E147" t="str">
            <v>c«ng</v>
          </cell>
          <cell r="F147">
            <v>1.83</v>
          </cell>
          <cell r="G147">
            <v>157846.15384615387</v>
          </cell>
          <cell r="H147">
            <v>288858.46153846162</v>
          </cell>
        </row>
        <row r="148">
          <cell r="B148" t="str">
            <v/>
          </cell>
          <cell r="D148" t="str">
            <v xml:space="preserve">C. M¸y thi c«ng </v>
          </cell>
          <cell r="H148">
            <v>62746.486034999994</v>
          </cell>
        </row>
        <row r="149">
          <cell r="D149" t="str">
            <v>M¸y trén 250l</v>
          </cell>
          <cell r="E149" t="str">
            <v>ca</v>
          </cell>
          <cell r="F149">
            <v>9.5000000000000001E-2</v>
          </cell>
          <cell r="G149">
            <v>246508.11763636366</v>
          </cell>
          <cell r="H149">
            <v>23418.271175454549</v>
          </cell>
        </row>
        <row r="150">
          <cell r="D150" t="str">
            <v>M¸y ®Çm dïi 1.5KW</v>
          </cell>
          <cell r="E150" t="str">
            <v>ca</v>
          </cell>
          <cell r="F150">
            <v>0.18</v>
          </cell>
          <cell r="G150">
            <v>186799.9380909091</v>
          </cell>
          <cell r="H150">
            <v>33623.988856363634</v>
          </cell>
        </row>
        <row r="151">
          <cell r="D151" t="str">
            <v>M¸y kh¸c</v>
          </cell>
          <cell r="E151" t="str">
            <v>%</v>
          </cell>
          <cell r="F151">
            <v>10</v>
          </cell>
          <cell r="H151">
            <v>5704.2260031818187</v>
          </cell>
        </row>
        <row r="153">
          <cell r="B153" t="str">
            <v>CT17</v>
          </cell>
          <cell r="D153" t="str">
            <v>Gia công lắp dựng cốt thép cọc tiêu, cọc H, D&lt;10cm</v>
          </cell>
          <cell r="E153" t="str">
            <v>tÊn</v>
          </cell>
          <cell r="I153">
            <v>14736124.35306818</v>
          </cell>
          <cell r="J153">
            <v>2452370.1923076925</v>
          </cell>
          <cell r="K153">
            <v>75413.497963636371</v>
          </cell>
        </row>
        <row r="154">
          <cell r="D154" t="str">
            <v>A.VËt liÖu</v>
          </cell>
          <cell r="H154">
            <v>14736124.35306818</v>
          </cell>
        </row>
        <row r="155">
          <cell r="C155" t="str">
            <v>VL12</v>
          </cell>
          <cell r="D155" t="str">
            <v>ThÐp trßn D≤ 10mm</v>
          </cell>
          <cell r="E155" t="str">
            <v>kg</v>
          </cell>
          <cell r="F155">
            <v>1005</v>
          </cell>
          <cell r="G155">
            <v>14275.293340909089</v>
          </cell>
          <cell r="H155">
            <v>14346669.807613635</v>
          </cell>
        </row>
        <row r="156">
          <cell r="C156" t="str">
            <v>VL13</v>
          </cell>
          <cell r="D156" t="str">
            <v>D©y thÐp</v>
          </cell>
          <cell r="E156" t="str">
            <v>kg</v>
          </cell>
          <cell r="F156">
            <v>21.42</v>
          </cell>
          <cell r="G156">
            <v>18181.81818181818</v>
          </cell>
          <cell r="H156">
            <v>389454.54545454547</v>
          </cell>
        </row>
        <row r="157">
          <cell r="D157" t="str">
            <v>B. Nh©n c«ng 3.5/7</v>
          </cell>
          <cell r="E157" t="str">
            <v>c«ng</v>
          </cell>
          <cell r="F157">
            <v>14.25</v>
          </cell>
          <cell r="G157">
            <v>172096.15384615384</v>
          </cell>
          <cell r="H157">
            <v>2452370.1923076925</v>
          </cell>
        </row>
        <row r="158">
          <cell r="D158" t="str">
            <v>C. M¸y thi c«ng</v>
          </cell>
          <cell r="H158">
            <v>75413.497963636371</v>
          </cell>
        </row>
        <row r="159">
          <cell r="D159" t="str">
            <v>M¸y c¾t uèn cèt thÐp 5kW</v>
          </cell>
          <cell r="E159" t="str">
            <v>ca</v>
          </cell>
          <cell r="F159">
            <v>0.4</v>
          </cell>
          <cell r="G159">
            <v>188533.74490909092</v>
          </cell>
          <cell r="H159">
            <v>75413.497963636371</v>
          </cell>
        </row>
        <row r="161">
          <cell r="B161" t="str">
            <v>CT18</v>
          </cell>
          <cell r="D161" t="str">
            <v>L¾p ®Æt cäc tiªu, cäc H  míi, biÓn b¸o míi (ck≤50kg)</v>
          </cell>
          <cell r="E161" t="str">
            <v>ck</v>
          </cell>
          <cell r="J161">
            <v>27951.923076923074</v>
          </cell>
        </row>
        <row r="162">
          <cell r="D162" t="str">
            <v>B. Nh©n c«ng</v>
          </cell>
          <cell r="H162">
            <v>27951.923076923074</v>
          </cell>
        </row>
        <row r="163">
          <cell r="D163" t="str">
            <v>Nh©n c«ng 4.0/7</v>
          </cell>
          <cell r="E163" t="str">
            <v>c«ng</v>
          </cell>
          <cell r="F163">
            <v>0.15</v>
          </cell>
          <cell r="G163">
            <v>186346.15384615384</v>
          </cell>
          <cell r="H163">
            <v>27951.923076923074</v>
          </cell>
        </row>
        <row r="165">
          <cell r="B165" t="str">
            <v>CT19</v>
          </cell>
          <cell r="D165" t="str">
            <v>S¬n tr¾ng 2 n­íc</v>
          </cell>
          <cell r="E165" t="str">
            <v>m2</v>
          </cell>
          <cell r="I165">
            <v>12891.84</v>
          </cell>
          <cell r="J165">
            <v>19557.576923076922</v>
          </cell>
          <cell r="K165">
            <v>0</v>
          </cell>
        </row>
        <row r="166">
          <cell r="D166" t="str">
            <v>A.VËt liÖu</v>
          </cell>
          <cell r="H166">
            <v>12891.84</v>
          </cell>
        </row>
        <row r="167">
          <cell r="C167" t="str">
            <v>VL15</v>
          </cell>
          <cell r="D167" t="str">
            <v xml:space="preserve">S¬n tr¾ng </v>
          </cell>
          <cell r="E167" t="str">
            <v>kg</v>
          </cell>
          <cell r="F167">
            <v>0.312</v>
          </cell>
          <cell r="G167">
            <v>41320</v>
          </cell>
          <cell r="H167">
            <v>12891.84</v>
          </cell>
        </row>
        <row r="168">
          <cell r="D168" t="str">
            <v>B. Nh©n c«ng 3.7/7</v>
          </cell>
          <cell r="E168" t="str">
            <v>c«ng</v>
          </cell>
          <cell r="F168">
            <v>0.11</v>
          </cell>
          <cell r="G168">
            <v>177796.15384615384</v>
          </cell>
          <cell r="H168">
            <v>19557.576923076922</v>
          </cell>
        </row>
        <row r="170">
          <cell r="B170" t="str">
            <v>CT20</v>
          </cell>
          <cell r="D170" t="str">
            <v>S¬n ®á 1 n­íc</v>
          </cell>
          <cell r="E170" t="str">
            <v>m2</v>
          </cell>
          <cell r="I170">
            <v>8289.84</v>
          </cell>
          <cell r="J170">
            <v>9778.788461538461</v>
          </cell>
        </row>
        <row r="171">
          <cell r="D171" t="str">
            <v>A.VËt liÖu</v>
          </cell>
          <cell r="H171">
            <v>8289.84</v>
          </cell>
        </row>
        <row r="172">
          <cell r="C172" t="str">
            <v>VL14</v>
          </cell>
          <cell r="D172" t="str">
            <v>S¬n ®á</v>
          </cell>
          <cell r="E172" t="str">
            <v>kg</v>
          </cell>
          <cell r="F172">
            <v>0.156</v>
          </cell>
          <cell r="G172">
            <v>53140</v>
          </cell>
          <cell r="H172">
            <v>8289.84</v>
          </cell>
        </row>
        <row r="173">
          <cell r="D173" t="str">
            <v>B. Nh©n c«ng 3.7/7</v>
          </cell>
          <cell r="E173" t="str">
            <v>c«ng</v>
          </cell>
          <cell r="F173">
            <v>5.5E-2</v>
          </cell>
          <cell r="G173">
            <v>177796.15384615384</v>
          </cell>
          <cell r="H173">
            <v>9778.788461538461</v>
          </cell>
        </row>
        <row r="175">
          <cell r="B175" t="str">
            <v>CT40</v>
          </cell>
          <cell r="D175" t="str">
            <v>Cäc Kil«met</v>
          </cell>
          <cell r="E175" t="str">
            <v>c¸i</v>
          </cell>
          <cell r="I175" t="e">
            <v>#REF!</v>
          </cell>
          <cell r="J175" t="e">
            <v>#NAME?</v>
          </cell>
          <cell r="K175">
            <v>0</v>
          </cell>
        </row>
        <row r="176">
          <cell r="D176" t="str">
            <v>A.VËt liÖu</v>
          </cell>
          <cell r="H176" t="e">
            <v>#REF!</v>
          </cell>
        </row>
        <row r="177">
          <cell r="C177" t="str">
            <v>VL08</v>
          </cell>
          <cell r="D177" t="str">
            <v>Xi m¨ng PC30</v>
          </cell>
          <cell r="E177" t="str">
            <v>kg</v>
          </cell>
          <cell r="F177">
            <v>42.59</v>
          </cell>
          <cell r="G177">
            <v>1421.9541136363637</v>
          </cell>
          <cell r="H177">
            <v>60561.025699772734</v>
          </cell>
        </row>
        <row r="178">
          <cell r="C178" t="str">
            <v>VL07</v>
          </cell>
          <cell r="D178" t="str">
            <v>C¸t vµng</v>
          </cell>
          <cell r="E178" t="str">
            <v>m3</v>
          </cell>
          <cell r="F178">
            <v>8.5000000000000006E-2</v>
          </cell>
          <cell r="G178">
            <v>409359.60093181819</v>
          </cell>
          <cell r="H178">
            <v>34795.566079204546</v>
          </cell>
        </row>
        <row r="179">
          <cell r="C179" t="str">
            <v>VL03</v>
          </cell>
          <cell r="D179" t="str">
            <v>§¸ sái ®­êng kÝnh ≤ 30mm</v>
          </cell>
          <cell r="E179" t="str">
            <v>m3</v>
          </cell>
          <cell r="F179">
            <v>0.14000000000000001</v>
          </cell>
          <cell r="G179">
            <v>364296.72727272724</v>
          </cell>
          <cell r="H179">
            <v>51001.541818181817</v>
          </cell>
        </row>
        <row r="180">
          <cell r="C180" t="str">
            <v>VL15</v>
          </cell>
          <cell r="D180" t="str">
            <v>S¬n</v>
          </cell>
          <cell r="E180" t="str">
            <v>kg</v>
          </cell>
          <cell r="F180">
            <v>0.24</v>
          </cell>
          <cell r="G180">
            <v>41320</v>
          </cell>
          <cell r="H180">
            <v>9916.7999999999993</v>
          </cell>
        </row>
        <row r="181">
          <cell r="C181" t="e">
            <v>#REF!</v>
          </cell>
          <cell r="D181" t="str">
            <v>V¸n khu«n 3mm</v>
          </cell>
          <cell r="E181" t="str">
            <v>m3</v>
          </cell>
          <cell r="F181">
            <v>0.01</v>
          </cell>
          <cell r="G181" t="e">
            <v>#REF!</v>
          </cell>
          <cell r="H181" t="e">
            <v>#REF!</v>
          </cell>
        </row>
        <row r="182">
          <cell r="C182" t="e">
            <v>#REF!</v>
          </cell>
          <cell r="D182" t="str">
            <v>§inh 6cm</v>
          </cell>
          <cell r="E182" t="str">
            <v>kg</v>
          </cell>
          <cell r="F182">
            <v>0.35</v>
          </cell>
          <cell r="G182" t="e">
            <v>#REF!</v>
          </cell>
          <cell r="H182" t="e">
            <v>#REF!</v>
          </cell>
        </row>
        <row r="183">
          <cell r="D183" t="str">
            <v>VËt liÖu kh¸c</v>
          </cell>
          <cell r="E183" t="str">
            <v>%</v>
          </cell>
          <cell r="F183">
            <v>1</v>
          </cell>
          <cell r="H183" t="e">
            <v>#REF!</v>
          </cell>
        </row>
        <row r="184">
          <cell r="D184" t="str">
            <v>B. Nh©n c«ng 3,7/7</v>
          </cell>
          <cell r="E184" t="str">
            <v>c«ng</v>
          </cell>
          <cell r="F184">
            <v>1.56</v>
          </cell>
          <cell r="G184" t="e">
            <v>#NAME?</v>
          </cell>
          <cell r="H184" t="e">
            <v>#NAME?</v>
          </cell>
        </row>
        <row r="186">
          <cell r="B186" t="str">
            <v>CT21</v>
          </cell>
          <cell r="D186" t="str">
            <v>BT móng M150</v>
          </cell>
          <cell r="E186" t="str">
            <v>m3</v>
          </cell>
          <cell r="I186">
            <v>923995.58155115775</v>
          </cell>
          <cell r="J186">
            <v>258867.69230769234</v>
          </cell>
          <cell r="K186">
            <v>40043.46566554546</v>
          </cell>
        </row>
        <row r="187">
          <cell r="D187" t="str">
            <v>A.VËt liÖu</v>
          </cell>
          <cell r="H187">
            <v>923995.58155115775</v>
          </cell>
        </row>
        <row r="188">
          <cell r="D188" t="str">
            <v>V÷a BT M150</v>
          </cell>
          <cell r="E188" t="str">
            <v>m3</v>
          </cell>
          <cell r="F188">
            <v>1.0249999999999999</v>
          </cell>
          <cell r="G188">
            <v>892533.76628945454</v>
          </cell>
          <cell r="H188">
            <v>914847.11044669081</v>
          </cell>
        </row>
        <row r="189">
          <cell r="D189" t="str">
            <v>VËt liÖu kh¸c</v>
          </cell>
          <cell r="E189" t="str">
            <v>%</v>
          </cell>
          <cell r="F189">
            <v>1</v>
          </cell>
          <cell r="H189">
            <v>9148.4711044669075</v>
          </cell>
        </row>
        <row r="190">
          <cell r="D190" t="str">
            <v>B. Nh©n c«ng</v>
          </cell>
          <cell r="H190">
            <v>258867.69230769234</v>
          </cell>
        </row>
        <row r="191">
          <cell r="D191" t="str">
            <v>Nh©n c«ng 3.0/7</v>
          </cell>
          <cell r="E191" t="str">
            <v>c«ng</v>
          </cell>
          <cell r="F191">
            <v>1.64</v>
          </cell>
          <cell r="G191">
            <v>157846.15384615387</v>
          </cell>
          <cell r="H191">
            <v>258867.69230769234</v>
          </cell>
        </row>
        <row r="192">
          <cell r="B192" t="str">
            <v/>
          </cell>
          <cell r="D192" t="str">
            <v xml:space="preserve">C. M¸y thi c«ng </v>
          </cell>
          <cell r="H192">
            <v>40043.46566554546</v>
          </cell>
        </row>
        <row r="193">
          <cell r="D193" t="str">
            <v>M¸y trén 250l</v>
          </cell>
          <cell r="E193" t="str">
            <v>ca</v>
          </cell>
          <cell r="F193">
            <v>9.5000000000000001E-2</v>
          </cell>
          <cell r="G193">
            <v>246508.11763636366</v>
          </cell>
          <cell r="H193">
            <v>23418.271175454549</v>
          </cell>
        </row>
        <row r="194">
          <cell r="D194" t="str">
            <v>§Çm dïi 1.5Kw</v>
          </cell>
          <cell r="E194" t="str">
            <v>ca</v>
          </cell>
          <cell r="F194">
            <v>8.8999999999999996E-2</v>
          </cell>
          <cell r="G194">
            <v>186799.9380909091</v>
          </cell>
          <cell r="H194">
            <v>16625.194490090907</v>
          </cell>
        </row>
        <row r="196">
          <cell r="B196" t="str">
            <v>CT21A</v>
          </cell>
          <cell r="D196" t="str">
            <v>BT móng cột Km M200</v>
          </cell>
          <cell r="E196" t="str">
            <v>m3</v>
          </cell>
          <cell r="I196">
            <v>1008627.7845109559</v>
          </cell>
          <cell r="J196">
            <v>258867.69230769234</v>
          </cell>
          <cell r="K196">
            <v>40043.46566554546</v>
          </cell>
        </row>
        <row r="197">
          <cell r="D197" t="str">
            <v>A.VËt liÖu</v>
          </cell>
          <cell r="H197">
            <v>1008627.7845109559</v>
          </cell>
        </row>
        <row r="198">
          <cell r="D198" t="str">
            <v>V÷a BT M200</v>
          </cell>
          <cell r="E198" t="str">
            <v>m3</v>
          </cell>
          <cell r="F198">
            <v>1.0249999999999999</v>
          </cell>
          <cell r="G198">
            <v>974284.26419797726</v>
          </cell>
          <cell r="H198">
            <v>998641.3708029266</v>
          </cell>
        </row>
        <row r="199">
          <cell r="D199" t="str">
            <v>VËt liÖu kh¸c</v>
          </cell>
          <cell r="E199" t="str">
            <v>%</v>
          </cell>
          <cell r="F199">
            <v>1</v>
          </cell>
          <cell r="H199">
            <v>9986.4137080292658</v>
          </cell>
        </row>
        <row r="200">
          <cell r="D200" t="str">
            <v>B. Nh©n c«ng</v>
          </cell>
          <cell r="H200">
            <v>258867.69230769234</v>
          </cell>
        </row>
        <row r="201">
          <cell r="D201" t="str">
            <v>Nh©n c«ng 3.0/7</v>
          </cell>
          <cell r="E201" t="str">
            <v>c«ng</v>
          </cell>
          <cell r="F201">
            <v>1.64</v>
          </cell>
          <cell r="G201">
            <v>157846.15384615387</v>
          </cell>
          <cell r="H201">
            <v>258867.69230769234</v>
          </cell>
        </row>
        <row r="202">
          <cell r="B202" t="str">
            <v/>
          </cell>
          <cell r="D202" t="str">
            <v xml:space="preserve">C. M¸y thi c«ng </v>
          </cell>
          <cell r="H202">
            <v>40043.46566554546</v>
          </cell>
        </row>
        <row r="203">
          <cell r="D203" t="str">
            <v>M¸y trén 250l</v>
          </cell>
          <cell r="E203" t="str">
            <v>ca</v>
          </cell>
          <cell r="F203">
            <v>9.5000000000000001E-2</v>
          </cell>
          <cell r="G203">
            <v>246508.11763636366</v>
          </cell>
          <cell r="H203">
            <v>23418.271175454549</v>
          </cell>
        </row>
        <row r="204">
          <cell r="D204" t="str">
            <v>§Çm dïi 1.5Kw</v>
          </cell>
          <cell r="E204" t="str">
            <v>ca</v>
          </cell>
          <cell r="F204">
            <v>8.8999999999999996E-2</v>
          </cell>
          <cell r="G204">
            <v>186799.9380909091</v>
          </cell>
          <cell r="H204">
            <v>16625.194490090907</v>
          </cell>
        </row>
        <row r="206">
          <cell r="B206" t="str">
            <v>CT22</v>
          </cell>
          <cell r="D206" t="str">
            <v>§µo mãng ®Êt cÊp 3 ( cäc tiªu, cäc H, cäc Km..)</v>
          </cell>
          <cell r="E206" t="str">
            <v>m3</v>
          </cell>
          <cell r="I206">
            <v>0</v>
          </cell>
          <cell r="J206">
            <v>299907.69230769237</v>
          </cell>
          <cell r="K206">
            <v>0</v>
          </cell>
        </row>
        <row r="207">
          <cell r="D207" t="str">
            <v>B. Nh©n c«ng</v>
          </cell>
          <cell r="H207">
            <v>299907.69230769237</v>
          </cell>
        </row>
        <row r="208">
          <cell r="D208" t="str">
            <v>Nh©n c«ng 3.0/7</v>
          </cell>
          <cell r="E208" t="str">
            <v>c«ng</v>
          </cell>
          <cell r="F208">
            <v>1.9</v>
          </cell>
          <cell r="G208">
            <v>157846.15384615387</v>
          </cell>
          <cell r="H208">
            <v>299907.69230769237</v>
          </cell>
        </row>
        <row r="210">
          <cell r="B210" t="str">
            <v>CT23</v>
          </cell>
          <cell r="D210" t="str">
            <v>VËn chuyÓn ®Êt C1 ®æ ®i  cù ly TB 3km</v>
          </cell>
          <cell r="E210" t="str">
            <v>m3</v>
          </cell>
          <cell r="K210">
            <v>22252.906935599996</v>
          </cell>
        </row>
        <row r="211">
          <cell r="B211" t="str">
            <v/>
          </cell>
          <cell r="D211" t="str">
            <v xml:space="preserve">C. M¸y thi c«ng </v>
          </cell>
          <cell r="H211">
            <v>22252.906935599996</v>
          </cell>
        </row>
        <row r="212">
          <cell r="D212" t="str">
            <v>¤ t« tù ®æ 7T vËn chuyÓn km ®Çu tiªn</v>
          </cell>
          <cell r="E212" t="str">
            <v>ca</v>
          </cell>
          <cell r="F212">
            <v>8.5199999999999998E-3</v>
          </cell>
          <cell r="G212">
            <v>1380453.2838461536</v>
          </cell>
          <cell r="H212">
            <v>11761.461978369229</v>
          </cell>
        </row>
        <row r="213">
          <cell r="D213" t="str">
            <v>¤ t« tù ®æ 7T vËn chuyÓn 2 km tiÕp theo</v>
          </cell>
          <cell r="E213" t="str">
            <v>ca</v>
          </cell>
          <cell r="F213">
            <v>7.6E-3</v>
          </cell>
          <cell r="G213">
            <v>1380453.2838461536</v>
          </cell>
          <cell r="H213">
            <v>10491.444957230768</v>
          </cell>
        </row>
        <row r="215">
          <cell r="B215" t="str">
            <v>CT24</v>
          </cell>
          <cell r="D215" t="str">
            <v>VËn chuyÓn ®Êt C2 ®æ ®i TB 3km</v>
          </cell>
          <cell r="E215" t="str">
            <v>m3</v>
          </cell>
          <cell r="K215">
            <v>25124.249765999994</v>
          </cell>
        </row>
        <row r="216">
          <cell r="B216" t="str">
            <v/>
          </cell>
          <cell r="D216" t="str">
            <v xml:space="preserve">C. M¸y thi c«ng </v>
          </cell>
          <cell r="H216">
            <v>25124.249765999994</v>
          </cell>
        </row>
        <row r="217">
          <cell r="D217" t="str">
            <v>¤ t« tù ®æ 7T vËn chuyÓn km ®Çu tiªn</v>
          </cell>
          <cell r="E217" t="str">
            <v>ca</v>
          </cell>
          <cell r="F217">
            <v>0.01</v>
          </cell>
          <cell r="G217">
            <v>1380453.2838461536</v>
          </cell>
          <cell r="H217">
            <v>13804.532838461537</v>
          </cell>
        </row>
        <row r="218">
          <cell r="D218" t="str">
            <v>¤ t« tù ®æ 7T vËn chuyÓn 2 km tiÕp theo</v>
          </cell>
          <cell r="E218" t="str">
            <v>ca</v>
          </cell>
          <cell r="F218">
            <v>8.199999999999999E-3</v>
          </cell>
          <cell r="G218">
            <v>1380453.2838461536</v>
          </cell>
          <cell r="H218">
            <v>11319.716927538459</v>
          </cell>
        </row>
        <row r="220">
          <cell r="B220" t="str">
            <v>CT25</v>
          </cell>
          <cell r="D220" t="str">
            <v>VËn chuyÓn ®Êt C3 ®æ ®i TB 3km</v>
          </cell>
          <cell r="E220" t="str">
            <v>m3</v>
          </cell>
          <cell r="K220">
            <v>28161.246990461535</v>
          </cell>
        </row>
        <row r="221">
          <cell r="B221" t="str">
            <v/>
          </cell>
          <cell r="D221" t="str">
            <v xml:space="preserve">C. M¸y thi c«ng </v>
          </cell>
          <cell r="H221">
            <v>28161.246990461535</v>
          </cell>
        </row>
        <row r="222">
          <cell r="D222" t="str">
            <v>¤ t« tù ®æ 7T vËn chuyÓn km ®Çu tiªn</v>
          </cell>
          <cell r="E222" t="str">
            <v>ca</v>
          </cell>
          <cell r="F222">
            <v>1.2E-2</v>
          </cell>
          <cell r="G222">
            <v>1380453.2838461536</v>
          </cell>
          <cell r="H222">
            <v>16565.439406153844</v>
          </cell>
        </row>
        <row r="223">
          <cell r="D223" t="str">
            <v>¤ t« tù ®æ 7T vËn chuyÓn 2 km tiÕp theo</v>
          </cell>
          <cell r="E223" t="str">
            <v>ca</v>
          </cell>
          <cell r="F223">
            <v>8.3999999999999995E-3</v>
          </cell>
          <cell r="G223">
            <v>1380453.2838461536</v>
          </cell>
          <cell r="H223">
            <v>11595.807584307689</v>
          </cell>
        </row>
        <row r="225">
          <cell r="B225" t="str">
            <v>CT26</v>
          </cell>
          <cell r="D225" t="str">
            <v>VËn chuyÓn ®Êt C4 ®æ ®i TB 3km</v>
          </cell>
          <cell r="E225" t="str">
            <v>m3</v>
          </cell>
          <cell r="K225">
            <v>30369.972244615383</v>
          </cell>
        </row>
        <row r="226">
          <cell r="B226" t="str">
            <v/>
          </cell>
          <cell r="D226" t="str">
            <v xml:space="preserve">C. M¸y thi c«ng </v>
          </cell>
          <cell r="H226">
            <v>30369.972244615383</v>
          </cell>
        </row>
        <row r="227">
          <cell r="D227" t="str">
            <v>¤ t« tù ®æ 7T vËn chuyÓn km ®Çu tiªn</v>
          </cell>
          <cell r="E227" t="str">
            <v>ca</v>
          </cell>
          <cell r="F227">
            <v>1.2800000000000001E-2</v>
          </cell>
          <cell r="G227">
            <v>1380453.2838461536</v>
          </cell>
          <cell r="H227">
            <v>17669.802033230768</v>
          </cell>
        </row>
        <row r="228">
          <cell r="D228" t="str">
            <v>¤ t« tù ®æ 7T vËn chuyÓn 2 km tiÕp theo</v>
          </cell>
          <cell r="E228" t="str">
            <v>ca</v>
          </cell>
          <cell r="F228">
            <v>9.1999999999999998E-3</v>
          </cell>
          <cell r="G228">
            <v>1380453.2838461536</v>
          </cell>
          <cell r="H228">
            <v>12700.170211384613</v>
          </cell>
        </row>
        <row r="230">
          <cell r="B230" t="str">
            <v>CT27</v>
          </cell>
          <cell r="D230" t="str">
            <v>§µo ph¸ ®¸, ®¸ cÊp 3</v>
          </cell>
          <cell r="E230" t="str">
            <v>m3</v>
          </cell>
          <cell r="J230">
            <v>222701.92307692306</v>
          </cell>
          <cell r="K230">
            <v>468495.35177454544</v>
          </cell>
        </row>
        <row r="231">
          <cell r="D231" t="str">
            <v>B. Nh©n c«ng</v>
          </cell>
          <cell r="H231">
            <v>222701.92307692306</v>
          </cell>
        </row>
        <row r="232">
          <cell r="D232" t="str">
            <v>Nh©n c«ng 3.5/7</v>
          </cell>
          <cell r="E232" t="str">
            <v>c«ng</v>
          </cell>
          <cell r="F232">
            <v>1.1499999999999999</v>
          </cell>
          <cell r="G232">
            <v>193653.84615384616</v>
          </cell>
          <cell r="H232">
            <v>222701.92307692306</v>
          </cell>
        </row>
        <row r="233">
          <cell r="D233" t="str">
            <v xml:space="preserve">C. M¸y thi c«ng </v>
          </cell>
          <cell r="H233">
            <v>468495.35177454544</v>
          </cell>
        </row>
        <row r="234">
          <cell r="D234" t="str">
            <v>Bóa c¨n khÝ nÐn</v>
          </cell>
          <cell r="E234" t="str">
            <v>ca</v>
          </cell>
          <cell r="F234">
            <v>0.83</v>
          </cell>
          <cell r="G234">
            <v>209415.24490909092</v>
          </cell>
          <cell r="H234">
            <v>173814.65327454545</v>
          </cell>
        </row>
        <row r="235">
          <cell r="D235" t="str">
            <v>M¸y nÐn khÝ diezen 600m3/h</v>
          </cell>
          <cell r="E235" t="str">
            <v>ca</v>
          </cell>
          <cell r="F235">
            <v>0.25</v>
          </cell>
          <cell r="G235">
            <v>1178722.794</v>
          </cell>
          <cell r="H235">
            <v>294680.6985</v>
          </cell>
        </row>
        <row r="237">
          <cell r="B237" t="str">
            <v>CT28</v>
          </cell>
          <cell r="D237" t="str">
            <v xml:space="preserve">§¸ d¨m ®Öm </v>
          </cell>
          <cell r="E237" t="str">
            <v>m3</v>
          </cell>
          <cell r="I237">
            <v>418015.63636363629</v>
          </cell>
          <cell r="J237">
            <v>309320</v>
          </cell>
        </row>
        <row r="238">
          <cell r="D238" t="str">
            <v>A.VËt liÖu</v>
          </cell>
          <cell r="H238">
            <v>418015.63636363629</v>
          </cell>
        </row>
        <row r="239">
          <cell r="C239" t="str">
            <v>VL04</v>
          </cell>
          <cell r="D239" t="str">
            <v>§¸ d¨m 2x4</v>
          </cell>
          <cell r="E239" t="str">
            <v>m3</v>
          </cell>
          <cell r="F239">
            <v>1.2</v>
          </cell>
          <cell r="G239">
            <v>348346.36363636359</v>
          </cell>
          <cell r="H239">
            <v>418015.63636363629</v>
          </cell>
        </row>
        <row r="240">
          <cell r="D240" t="str">
            <v>B. Nh©n c«ng</v>
          </cell>
          <cell r="H240">
            <v>309320</v>
          </cell>
        </row>
        <row r="241">
          <cell r="D241" t="str">
            <v>Nh©n c«ng 4,0/7</v>
          </cell>
          <cell r="E241" t="str">
            <v>c«ng</v>
          </cell>
          <cell r="F241">
            <v>1.48</v>
          </cell>
          <cell r="G241">
            <v>209000</v>
          </cell>
          <cell r="H241">
            <v>309320</v>
          </cell>
        </row>
        <row r="243">
          <cell r="B243" t="str">
            <v>CT29</v>
          </cell>
          <cell r="D243" t="str">
            <v xml:space="preserve">V¸n khu«n </v>
          </cell>
          <cell r="E243" t="str">
            <v>m2</v>
          </cell>
          <cell r="I243">
            <v>5587.9539616687489</v>
          </cell>
          <cell r="J243">
            <v>59183.538461538461</v>
          </cell>
          <cell r="K243">
            <v>2262.4973242399997</v>
          </cell>
        </row>
        <row r="244">
          <cell r="D244" t="str">
            <v>A.VËt liÖu</v>
          </cell>
          <cell r="H244">
            <v>5587.9539616687489</v>
          </cell>
        </row>
        <row r="245">
          <cell r="C245" t="str">
            <v>VL16</v>
          </cell>
          <cell r="D245" t="str">
            <v>ThÐp h×nh</v>
          </cell>
          <cell r="E245" t="str">
            <v>kg</v>
          </cell>
          <cell r="F245">
            <v>0.17269999999999999</v>
          </cell>
          <cell r="G245">
            <v>14729.838795454543</v>
          </cell>
          <cell r="H245">
            <v>2543.8431599749997</v>
          </cell>
        </row>
        <row r="246">
          <cell r="C246" t="str">
            <v>VL17</v>
          </cell>
          <cell r="D246" t="str">
            <v>ThÐp tÊm</v>
          </cell>
          <cell r="E246" t="str">
            <v>kg</v>
          </cell>
          <cell r="F246">
            <v>0.1628</v>
          </cell>
          <cell r="G246">
            <v>14729.838795454543</v>
          </cell>
          <cell r="H246">
            <v>2398.0177558999994</v>
          </cell>
        </row>
        <row r="247">
          <cell r="C247" t="str">
            <v>VL11</v>
          </cell>
          <cell r="D247" t="str">
            <v>Que hµn</v>
          </cell>
          <cell r="E247" t="str">
            <v>kg</v>
          </cell>
          <cell r="F247">
            <v>1.9E-2</v>
          </cell>
          <cell r="G247">
            <v>20000</v>
          </cell>
          <cell r="H247">
            <v>380</v>
          </cell>
        </row>
        <row r="248">
          <cell r="D248" t="str">
            <v>VËt liÖu kh¸c</v>
          </cell>
          <cell r="E248" t="str">
            <v>%</v>
          </cell>
          <cell r="F248">
            <v>5</v>
          </cell>
          <cell r="H248">
            <v>266.09304579374992</v>
          </cell>
        </row>
        <row r="249">
          <cell r="D249" t="str">
            <v>B. Nh©n c«ng 4.0/7</v>
          </cell>
          <cell r="E249" t="str">
            <v>c«ng</v>
          </cell>
          <cell r="F249">
            <v>0.31759999999999999</v>
          </cell>
          <cell r="G249">
            <v>186346.15384615384</v>
          </cell>
          <cell r="H249">
            <v>59183.538461538461</v>
          </cell>
        </row>
        <row r="250">
          <cell r="D250" t="str">
            <v>C. M¸y thi c«ng</v>
          </cell>
          <cell r="H250">
            <v>2262.4973242399997</v>
          </cell>
        </row>
        <row r="251">
          <cell r="D251" t="str">
            <v>M¸y hµn 23 Kw</v>
          </cell>
          <cell r="E251" t="str">
            <v>ca</v>
          </cell>
          <cell r="F251">
            <v>6.8999999999999999E-3</v>
          </cell>
          <cell r="G251">
            <v>285128.83733333333</v>
          </cell>
          <cell r="H251">
            <v>1967.3889775999999</v>
          </cell>
        </row>
        <row r="252">
          <cell r="D252" t="str">
            <v>M¸y kh¸c</v>
          </cell>
          <cell r="E252" t="str">
            <v>%</v>
          </cell>
          <cell r="F252">
            <v>15</v>
          </cell>
          <cell r="H252">
            <v>295.10834663999998</v>
          </cell>
        </row>
        <row r="254">
          <cell r="B254" t="str">
            <v>CT30</v>
          </cell>
          <cell r="D254" t="str">
            <v xml:space="preserve">Cèt thÐp cèng ®óc s½n D≤ 10mm </v>
          </cell>
          <cell r="E254" t="str">
            <v>tÊn</v>
          </cell>
          <cell r="I254">
            <v>14736124.35306818</v>
          </cell>
          <cell r="J254">
            <v>4431311.538461539</v>
          </cell>
          <cell r="K254">
            <v>75413.497963636371</v>
          </cell>
        </row>
        <row r="255">
          <cell r="D255" t="str">
            <v>A.VËt liÖu</v>
          </cell>
          <cell r="H255">
            <v>14736124.35306818</v>
          </cell>
        </row>
        <row r="256">
          <cell r="C256" t="str">
            <v>VL12</v>
          </cell>
          <cell r="D256" t="str">
            <v>ThÐp trßn D≤ 10mm</v>
          </cell>
          <cell r="E256" t="str">
            <v>kg</v>
          </cell>
          <cell r="F256">
            <v>1005</v>
          </cell>
          <cell r="G256">
            <v>14275.293340909089</v>
          </cell>
          <cell r="H256">
            <v>14346669.807613635</v>
          </cell>
        </row>
        <row r="257">
          <cell r="C257" t="str">
            <v>VL13</v>
          </cell>
          <cell r="D257" t="str">
            <v>D©y thÐp</v>
          </cell>
          <cell r="E257" t="str">
            <v>kg</v>
          </cell>
          <cell r="F257">
            <v>21.42</v>
          </cell>
          <cell r="G257">
            <v>18181.81818181818</v>
          </cell>
          <cell r="H257">
            <v>389454.54545454547</v>
          </cell>
        </row>
        <row r="258">
          <cell r="D258" t="str">
            <v>B. Nh©n c«ng 4,0/7</v>
          </cell>
          <cell r="E258" t="str">
            <v>c«ng</v>
          </cell>
          <cell r="F258">
            <v>23.78</v>
          </cell>
          <cell r="G258">
            <v>186346.15384615384</v>
          </cell>
          <cell r="H258">
            <v>4431311.538461539</v>
          </cell>
        </row>
        <row r="259">
          <cell r="D259" t="str">
            <v>C. M¸y thi c«ng</v>
          </cell>
          <cell r="H259">
            <v>75413.497963636371</v>
          </cell>
        </row>
        <row r="260">
          <cell r="D260" t="str">
            <v>M¸y c¾t uèn cèt thÐp 5kW</v>
          </cell>
          <cell r="E260" t="str">
            <v>ca</v>
          </cell>
          <cell r="F260">
            <v>0.4</v>
          </cell>
          <cell r="G260">
            <v>188533.74490909092</v>
          </cell>
          <cell r="H260">
            <v>75413.497963636371</v>
          </cell>
        </row>
        <row r="262">
          <cell r="B262" t="str">
            <v>CT31</v>
          </cell>
          <cell r="D262" t="str">
            <v xml:space="preserve">BT M200 ®æ th©n cèng </v>
          </cell>
          <cell r="E262" t="str">
            <v>m3</v>
          </cell>
          <cell r="I262">
            <v>993843.02080175153</v>
          </cell>
          <cell r="J262">
            <v>385495.38461538462</v>
          </cell>
          <cell r="K262">
            <v>25760.098293000003</v>
          </cell>
        </row>
        <row r="263">
          <cell r="D263" t="str">
            <v>A.VËt liÖu</v>
          </cell>
          <cell r="H263">
            <v>993843.02080175153</v>
          </cell>
        </row>
        <row r="264">
          <cell r="D264" t="str">
            <v>V÷a M200</v>
          </cell>
          <cell r="E264" t="str">
            <v>m3</v>
          </cell>
          <cell r="F264">
            <v>1.0149999999999999</v>
          </cell>
          <cell r="G264">
            <v>974284.26419797726</v>
          </cell>
          <cell r="H264">
            <v>988898.52816094679</v>
          </cell>
        </row>
        <row r="265">
          <cell r="D265" t="str">
            <v>VËt liÖu kh¸c</v>
          </cell>
          <cell r="E265" t="str">
            <v>%</v>
          </cell>
          <cell r="F265">
            <v>0.5</v>
          </cell>
          <cell r="H265">
            <v>4944.492640804734</v>
          </cell>
        </row>
        <row r="266">
          <cell r="D266" t="str">
            <v>B. Nh©n c«ng 3.5/7</v>
          </cell>
          <cell r="E266" t="str">
            <v>c«ng</v>
          </cell>
          <cell r="F266">
            <v>2.2400000000000002</v>
          </cell>
          <cell r="G266">
            <v>172096.15384615384</v>
          </cell>
          <cell r="H266">
            <v>385495.38461538462</v>
          </cell>
        </row>
        <row r="267">
          <cell r="D267" t="str">
            <v>C. M¸y thi c«ng</v>
          </cell>
          <cell r="H267">
            <v>25760.098293000003</v>
          </cell>
        </row>
        <row r="268">
          <cell r="D268" t="str">
            <v>M¸y trén 250l</v>
          </cell>
          <cell r="E268" t="str">
            <v>ca</v>
          </cell>
          <cell r="F268">
            <v>9.5000000000000001E-2</v>
          </cell>
          <cell r="G268">
            <v>246508.11763636366</v>
          </cell>
          <cell r="H268">
            <v>23418.271175454549</v>
          </cell>
        </row>
        <row r="269">
          <cell r="D269" t="str">
            <v>M¸y kh¸c</v>
          </cell>
          <cell r="E269" t="str">
            <v>%</v>
          </cell>
          <cell r="F269">
            <v>10</v>
          </cell>
          <cell r="H269">
            <v>2341.8271175454552</v>
          </cell>
        </row>
        <row r="271">
          <cell r="B271" t="str">
            <v>CT32</v>
          </cell>
          <cell r="D271" t="str">
            <v>L¾p dùng cÊu kiÖn th©n cèng Ck &lt; 2T</v>
          </cell>
          <cell r="E271" t="str">
            <v>ck</v>
          </cell>
          <cell r="I271">
            <v>195663.46153846153</v>
          </cell>
          <cell r="J271">
            <v>105541.59119090909</v>
          </cell>
        </row>
        <row r="272">
          <cell r="D272" t="str">
            <v>B. Nh©n c«ng</v>
          </cell>
          <cell r="H272">
            <v>195663.46153846153</v>
          </cell>
        </row>
        <row r="273">
          <cell r="D273" t="str">
            <v>Nh©n c«ng 4.0/7</v>
          </cell>
          <cell r="E273" t="str">
            <v>c«ng</v>
          </cell>
          <cell r="F273">
            <v>1.05</v>
          </cell>
          <cell r="G273">
            <v>186346.15384615384</v>
          </cell>
          <cell r="H273">
            <v>195663.46153846153</v>
          </cell>
        </row>
        <row r="274">
          <cell r="D274" t="str">
            <v xml:space="preserve">C. M¸y thi c«ng </v>
          </cell>
          <cell r="H274">
            <v>105541.59119090909</v>
          </cell>
        </row>
        <row r="275">
          <cell r="D275" t="str">
            <v xml:space="preserve">CÇn cÈu 10T </v>
          </cell>
          <cell r="E275" t="str">
            <v>ca</v>
          </cell>
          <cell r="F275">
            <v>0.05</v>
          </cell>
          <cell r="G275">
            <v>2110831.8238181816</v>
          </cell>
          <cell r="H275">
            <v>105541.59119090909</v>
          </cell>
        </row>
        <row r="277">
          <cell r="B277" t="str">
            <v>CT33</v>
          </cell>
          <cell r="D277" t="str">
            <v xml:space="preserve">QuÐt nhùa ®­êng </v>
          </cell>
          <cell r="E277" t="str">
            <v>m2</v>
          </cell>
          <cell r="I277">
            <v>8196.1736427181822</v>
          </cell>
          <cell r="J277">
            <v>3873.0769230769233</v>
          </cell>
        </row>
        <row r="278">
          <cell r="D278" t="str">
            <v>A.VËt liÖu</v>
          </cell>
          <cell r="H278">
            <v>8196.1736427181822</v>
          </cell>
        </row>
        <row r="279">
          <cell r="C279" t="str">
            <v>VL09</v>
          </cell>
          <cell r="D279" t="str">
            <v>Nhùa ®­êng</v>
          </cell>
          <cell r="E279" t="str">
            <v>kg</v>
          </cell>
          <cell r="F279">
            <v>0.158</v>
          </cell>
          <cell r="G279">
            <v>16289.099004545455</v>
          </cell>
          <cell r="H279">
            <v>2573.6776427181817</v>
          </cell>
        </row>
        <row r="280">
          <cell r="C280" t="str">
            <v>VL18</v>
          </cell>
          <cell r="D280" t="str">
            <v>X¨ng</v>
          </cell>
          <cell r="E280" t="str">
            <v>lÝt</v>
          </cell>
          <cell r="F280">
            <v>0.35199999999999998</v>
          </cell>
          <cell r="G280">
            <v>15973</v>
          </cell>
          <cell r="H280">
            <v>5622.4960000000001</v>
          </cell>
        </row>
        <row r="281">
          <cell r="D281" t="str">
            <v>B. Nh©n c«ng</v>
          </cell>
          <cell r="H281">
            <v>3873.0769230769233</v>
          </cell>
        </row>
        <row r="282">
          <cell r="D282" t="str">
            <v>Nh©n c«ng 3.5/7</v>
          </cell>
          <cell r="E282" t="str">
            <v>c«ng</v>
          </cell>
          <cell r="F282">
            <v>0.02</v>
          </cell>
          <cell r="G282">
            <v>193653.84615384616</v>
          </cell>
          <cell r="H282">
            <v>3873.0769230769233</v>
          </cell>
        </row>
        <row r="284">
          <cell r="B284" t="str">
            <v>CT34</v>
          </cell>
          <cell r="D284" t="str">
            <v>GiÊy dÇu tÈm nhùa ®­êng chèng thÊm 2 líp</v>
          </cell>
          <cell r="E284" t="str">
            <v>m2</v>
          </cell>
          <cell r="I284">
            <v>79682.544851590908</v>
          </cell>
          <cell r="J284">
            <v>77461.538461538468</v>
          </cell>
        </row>
        <row r="285">
          <cell r="D285" t="str">
            <v>A.VËt liÖu</v>
          </cell>
          <cell r="H285">
            <v>79682.544851590908</v>
          </cell>
        </row>
        <row r="286">
          <cell r="C286" t="str">
            <v>VL09</v>
          </cell>
          <cell r="D286" t="str">
            <v>Nhùa ®­êng</v>
          </cell>
          <cell r="E286" t="str">
            <v>kg</v>
          </cell>
          <cell r="F286">
            <v>3.15</v>
          </cell>
          <cell r="G286">
            <v>16289.099004545455</v>
          </cell>
          <cell r="H286">
            <v>51310.661864318179</v>
          </cell>
        </row>
        <row r="287">
          <cell r="C287" t="str">
            <v>VL19</v>
          </cell>
          <cell r="D287" t="str">
            <v>GiÊy dÇu</v>
          </cell>
          <cell r="E287" t="str">
            <v>m2</v>
          </cell>
          <cell r="F287">
            <v>2.496</v>
          </cell>
          <cell r="G287">
            <v>10000</v>
          </cell>
          <cell r="H287">
            <v>24960</v>
          </cell>
        </row>
        <row r="288">
          <cell r="C288" t="str">
            <v>VL20</v>
          </cell>
          <cell r="D288" t="str">
            <v>Bét ®¸</v>
          </cell>
          <cell r="E288" t="str">
            <v>kg</v>
          </cell>
          <cell r="F288">
            <v>1.8089999999999999</v>
          </cell>
          <cell r="G288">
            <v>227.68545454545452</v>
          </cell>
          <cell r="H288">
            <v>411.88298727272723</v>
          </cell>
        </row>
        <row r="289">
          <cell r="C289" t="str">
            <v>VL21</v>
          </cell>
          <cell r="D289" t="str">
            <v>Cñi ®un</v>
          </cell>
          <cell r="E289" t="str">
            <v>kg</v>
          </cell>
          <cell r="F289">
            <v>3</v>
          </cell>
          <cell r="G289">
            <v>1000</v>
          </cell>
          <cell r="H289">
            <v>3000</v>
          </cell>
        </row>
        <row r="290">
          <cell r="D290" t="str">
            <v>B. Nh©n c«ng</v>
          </cell>
          <cell r="H290">
            <v>77461.538461538468</v>
          </cell>
        </row>
        <row r="291">
          <cell r="D291" t="str">
            <v>Nh©n c«ng 3.5/7</v>
          </cell>
          <cell r="E291" t="str">
            <v>c«ng</v>
          </cell>
          <cell r="F291">
            <v>0.4</v>
          </cell>
          <cell r="G291">
            <v>193653.84615384616</v>
          </cell>
          <cell r="H291">
            <v>77461.538461538468</v>
          </cell>
        </row>
        <row r="293">
          <cell r="B293" t="str">
            <v>CT35</v>
          </cell>
          <cell r="D293" t="str">
            <v xml:space="preserve">Làm và th¶ rä ®¸ </v>
          </cell>
          <cell r="E293" t="str">
            <v>rọ</v>
          </cell>
          <cell r="I293">
            <v>164362.86000000002</v>
          </cell>
          <cell r="J293">
            <v>77461.538461538468</v>
          </cell>
        </row>
        <row r="294">
          <cell r="D294" t="str">
            <v>A.VËt liÖu</v>
          </cell>
          <cell r="H294">
            <v>164362.86000000002</v>
          </cell>
        </row>
        <row r="295">
          <cell r="D295" t="str">
            <v>Rä ®¸ cò (2x1x1) tËn dông</v>
          </cell>
          <cell r="E295" t="str">
            <v>c¸i</v>
          </cell>
          <cell r="F295">
            <v>1</v>
          </cell>
          <cell r="H295">
            <v>0</v>
          </cell>
        </row>
        <row r="296">
          <cell r="C296" t="str">
            <v>VL01</v>
          </cell>
          <cell r="D296" t="str">
            <v>§¸ héc (tËn dông 70%)</v>
          </cell>
          <cell r="E296" t="str">
            <v>m3</v>
          </cell>
          <cell r="F296">
            <v>0.66</v>
          </cell>
          <cell r="G296">
            <v>249034.63636363635</v>
          </cell>
          <cell r="H296">
            <v>164362.86000000002</v>
          </cell>
        </row>
        <row r="297">
          <cell r="D297" t="str">
            <v>B. Nh©n c«ng</v>
          </cell>
          <cell r="H297">
            <v>77461.538461538468</v>
          </cell>
        </row>
        <row r="298">
          <cell r="D298" t="str">
            <v>Nh©n c«ng 3.5/7</v>
          </cell>
          <cell r="E298" t="str">
            <v>c«ng</v>
          </cell>
          <cell r="F298">
            <v>0.4</v>
          </cell>
          <cell r="G298">
            <v>193653.84615384616</v>
          </cell>
          <cell r="H298">
            <v>77461.538461538468</v>
          </cell>
        </row>
        <row r="300">
          <cell r="B300" t="str">
            <v>CT36</v>
          </cell>
          <cell r="D300" t="str">
            <v>Th¸o dì rä ®¸ cò</v>
          </cell>
          <cell r="E300" t="str">
            <v>rọ</v>
          </cell>
          <cell r="J300">
            <v>46476.923076923078</v>
          </cell>
        </row>
        <row r="301">
          <cell r="D301" t="str">
            <v>B. Nh©n c«ng (VËn dông 60%)</v>
          </cell>
          <cell r="H301">
            <v>46476.923076923078</v>
          </cell>
        </row>
        <row r="302">
          <cell r="D302" t="str">
            <v>Nh©n c«ng 3.5/7</v>
          </cell>
          <cell r="E302" t="str">
            <v>c«ng</v>
          </cell>
          <cell r="F302">
            <v>0.24</v>
          </cell>
          <cell r="G302">
            <v>193653.84615384616</v>
          </cell>
          <cell r="H302">
            <v>46476.923076923078</v>
          </cell>
        </row>
        <row r="304">
          <cell r="B304" t="str">
            <v>CT37</v>
          </cell>
          <cell r="D304" t="str">
            <v>L¾p dùng cÊu kiÖn cäc tiªu, cäc H, cäc Km, biÓn b¸o di dêi (cäc + ®Õ)</v>
          </cell>
          <cell r="E304" t="str">
            <v>ck</v>
          </cell>
          <cell r="I304">
            <v>16771.153846153844</v>
          </cell>
          <cell r="J304">
            <v>21453.762774681818</v>
          </cell>
        </row>
        <row r="305">
          <cell r="D305" t="str">
            <v>B. Nh©n c«ng</v>
          </cell>
          <cell r="H305">
            <v>16771.153846153844</v>
          </cell>
        </row>
        <row r="306">
          <cell r="D306" t="str">
            <v>Nh©n c«ng 4.0/7</v>
          </cell>
          <cell r="E306" t="str">
            <v>c«ng</v>
          </cell>
          <cell r="F306">
            <v>0.09</v>
          </cell>
          <cell r="G306">
            <v>186346.15384615384</v>
          </cell>
          <cell r="H306">
            <v>16771.153846153844</v>
          </cell>
        </row>
        <row r="307">
          <cell r="D307" t="str">
            <v xml:space="preserve">C. M¸y thi c«ng </v>
          </cell>
          <cell r="H307">
            <v>21453.762774681818</v>
          </cell>
        </row>
        <row r="308">
          <cell r="D308" t="str">
            <v xml:space="preserve">CÇn cÈu 1T </v>
          </cell>
          <cell r="E308" t="str">
            <v>ca</v>
          </cell>
          <cell r="F308">
            <v>1.7999999999999999E-2</v>
          </cell>
          <cell r="G308">
            <v>1191875.7097045456</v>
          </cell>
          <cell r="H308">
            <v>21453.762774681818</v>
          </cell>
        </row>
        <row r="310">
          <cell r="B310" t="str">
            <v>CT38</v>
          </cell>
          <cell r="D310" t="str">
            <v>Th¸o dì cÊu kiÖn cäc tiªu, cäc H, cäc Km, biÓn b¸o di dêi (cäc + ®Õ)</v>
          </cell>
          <cell r="E310" t="str">
            <v>ck</v>
          </cell>
          <cell r="I310">
            <v>10062.692307692307</v>
          </cell>
          <cell r="J310">
            <v>12872.257664809091</v>
          </cell>
        </row>
        <row r="311">
          <cell r="D311" t="str">
            <v>B. Nh©n c«ng</v>
          </cell>
          <cell r="H311">
            <v>10062.692307692307</v>
          </cell>
        </row>
        <row r="312">
          <cell r="D312" t="str">
            <v>Nh©n c«ng 4.0/7</v>
          </cell>
          <cell r="E312" t="str">
            <v>c«ng</v>
          </cell>
          <cell r="F312">
            <v>5.3999999999999999E-2</v>
          </cell>
          <cell r="G312">
            <v>186346.15384615384</v>
          </cell>
          <cell r="H312">
            <v>10062.692307692307</v>
          </cell>
        </row>
        <row r="313">
          <cell r="D313" t="str">
            <v xml:space="preserve">C. M¸y thi c«ng </v>
          </cell>
          <cell r="H313">
            <v>12872.257664809091</v>
          </cell>
        </row>
        <row r="314">
          <cell r="D314" t="str">
            <v xml:space="preserve">CÇn cÈu 1T </v>
          </cell>
          <cell r="E314" t="str">
            <v>ca</v>
          </cell>
          <cell r="F314">
            <v>1.0799999999999999E-2</v>
          </cell>
          <cell r="G314">
            <v>1191875.7097045456</v>
          </cell>
          <cell r="H314">
            <v>12872.257664809091</v>
          </cell>
        </row>
        <row r="316">
          <cell r="B316" t="str">
            <v>CT39</v>
          </cell>
          <cell r="D316" t="str">
            <v>Ph¸ dì ®¸ héc x©y v÷a</v>
          </cell>
          <cell r="E316" t="str">
            <v>m3</v>
          </cell>
          <cell r="J316">
            <v>34419.230769230773</v>
          </cell>
          <cell r="K316">
            <v>104695.64113636364</v>
          </cell>
        </row>
        <row r="317">
          <cell r="D317" t="str">
            <v>B. Nh©n c«ng</v>
          </cell>
          <cell r="H317">
            <v>34419.230769230773</v>
          </cell>
        </row>
        <row r="318">
          <cell r="D318" t="str">
            <v>Nh©n c«ng 3.5/7</v>
          </cell>
          <cell r="E318" t="str">
            <v>c«ng</v>
          </cell>
          <cell r="F318">
            <v>0.2</v>
          </cell>
          <cell r="G318">
            <v>172096.15384615384</v>
          </cell>
          <cell r="H318">
            <v>34419.230769230773</v>
          </cell>
        </row>
        <row r="319">
          <cell r="D319" t="str">
            <v>C. M¸y thi c«ng</v>
          </cell>
          <cell r="H319">
            <v>104695.64113636364</v>
          </cell>
        </row>
        <row r="320">
          <cell r="D320" t="str">
            <v>Bóa c¨n khÝ nÐn</v>
          </cell>
          <cell r="E320" t="str">
            <v>ca</v>
          </cell>
          <cell r="F320">
            <v>0.15</v>
          </cell>
          <cell r="G320">
            <v>209415.24490909092</v>
          </cell>
          <cell r="H320">
            <v>31412.286736363636</v>
          </cell>
        </row>
        <row r="321">
          <cell r="D321" t="str">
            <v>M¸y nÐn khÝ 360m3/h</v>
          </cell>
          <cell r="E321" t="str">
            <v>ca</v>
          </cell>
          <cell r="F321">
            <v>0.08</v>
          </cell>
          <cell r="G321">
            <v>916041.93</v>
          </cell>
          <cell r="H321">
            <v>73283.354400000011</v>
          </cell>
        </row>
        <row r="323">
          <cell r="B323" t="str">
            <v>CT39A</v>
          </cell>
          <cell r="D323" t="str">
            <v>Ph¸ dì BT</v>
          </cell>
          <cell r="E323" t="str">
            <v>m3</v>
          </cell>
          <cell r="J323">
            <v>86048.076923076922</v>
          </cell>
          <cell r="K323">
            <v>171439.26212727273</v>
          </cell>
        </row>
        <row r="324">
          <cell r="D324" t="str">
            <v>B. Nh©n c«ng</v>
          </cell>
          <cell r="H324">
            <v>86048.076923076922</v>
          </cell>
        </row>
        <row r="325">
          <cell r="D325" t="str">
            <v>Nh©n c«ng 3.5/7</v>
          </cell>
          <cell r="E325" t="str">
            <v>c«ng</v>
          </cell>
          <cell r="F325">
            <v>0.5</v>
          </cell>
          <cell r="G325">
            <v>172096.15384615384</v>
          </cell>
          <cell r="H325">
            <v>86048.076923076922</v>
          </cell>
        </row>
        <row r="326">
          <cell r="D326" t="str">
            <v>C. M¸y thi c«ng</v>
          </cell>
          <cell r="H326">
            <v>171439.26212727273</v>
          </cell>
        </row>
        <row r="327">
          <cell r="D327" t="str">
            <v>Bóa c¨n khÝ nÐn</v>
          </cell>
          <cell r="E327" t="str">
            <v>ca</v>
          </cell>
          <cell r="F327">
            <v>0.25</v>
          </cell>
          <cell r="G327">
            <v>209415.24490909092</v>
          </cell>
          <cell r="H327">
            <v>52353.81122727273</v>
          </cell>
        </row>
        <row r="328">
          <cell r="D328" t="str">
            <v>M¸y nÐn khÝ 360m3/h</v>
          </cell>
          <cell r="E328" t="str">
            <v>ca</v>
          </cell>
          <cell r="F328">
            <v>0.13</v>
          </cell>
          <cell r="G328">
            <v>916041.93</v>
          </cell>
          <cell r="H328">
            <v>119085.45090000001</v>
          </cell>
        </row>
        <row r="330">
          <cell r="B330" t="str">
            <v>CT40</v>
          </cell>
          <cell r="D330" t="str">
            <v>Th¸o bu l«ng</v>
          </cell>
          <cell r="E330" t="str">
            <v>c¸i</v>
          </cell>
          <cell r="I330">
            <v>753.75</v>
          </cell>
          <cell r="J330">
            <v>5884.6153846153848</v>
          </cell>
        </row>
        <row r="331">
          <cell r="D331" t="str">
            <v>A.VËt liÖu</v>
          </cell>
          <cell r="H331">
            <v>753.75</v>
          </cell>
        </row>
        <row r="332">
          <cell r="C332" t="str">
            <v>VL22</v>
          </cell>
          <cell r="D332" t="str">
            <v>DÇu phanh</v>
          </cell>
          <cell r="E332" t="str">
            <v>kg</v>
          </cell>
          <cell r="F332">
            <v>1.4999999999999999E-2</v>
          </cell>
          <cell r="G332">
            <v>50000</v>
          </cell>
          <cell r="H332">
            <v>750</v>
          </cell>
        </row>
        <row r="333">
          <cell r="D333" t="str">
            <v>VËt liÖu kh¸c</v>
          </cell>
          <cell r="E333" t="str">
            <v>%</v>
          </cell>
          <cell r="F333">
            <v>0.5</v>
          </cell>
          <cell r="H333">
            <v>3.75</v>
          </cell>
        </row>
        <row r="334">
          <cell r="D334" t="str">
            <v>B. Nh©n c«ng</v>
          </cell>
          <cell r="H334">
            <v>5884.6153846153848</v>
          </cell>
        </row>
        <row r="335">
          <cell r="D335" t="str">
            <v>Nh©n c«ng 4.0/7 - nhãm 1</v>
          </cell>
          <cell r="E335" t="str">
            <v>c«ng</v>
          </cell>
          <cell r="F335">
            <v>0.03</v>
          </cell>
          <cell r="G335">
            <v>196153.84615384616</v>
          </cell>
          <cell r="H335">
            <v>5884.6153846153848</v>
          </cell>
        </row>
        <row r="337">
          <cell r="B337" t="str">
            <v>CT41</v>
          </cell>
          <cell r="D337" t="str">
            <v>L¾p bu l«ng</v>
          </cell>
          <cell r="E337" t="str">
            <v>c¸i</v>
          </cell>
          <cell r="I337">
            <v>0</v>
          </cell>
          <cell r="J337">
            <v>11180.76923076923</v>
          </cell>
        </row>
        <row r="338">
          <cell r="D338" t="str">
            <v>A.VËt liÖu</v>
          </cell>
          <cell r="H338">
            <v>0</v>
          </cell>
        </row>
        <row r="339">
          <cell r="D339" t="str">
            <v>B. Nh©n c«ng</v>
          </cell>
          <cell r="H339">
            <v>11180.76923076923</v>
          </cell>
        </row>
        <row r="340">
          <cell r="D340" t="str">
            <v>Nh©n c«ng 4.0/7 - nhãm 1</v>
          </cell>
          <cell r="E340" t="str">
            <v>c«ng</v>
          </cell>
          <cell r="F340">
            <v>5.7000000000000002E-2</v>
          </cell>
          <cell r="G340">
            <v>196153.84615384616</v>
          </cell>
          <cell r="H340">
            <v>11180.76923076923</v>
          </cell>
        </row>
        <row r="342">
          <cell r="B342" t="str">
            <v>CT42</v>
          </cell>
          <cell r="D342" t="str">
            <v>D¸n l¹i mµng ph¶n quang biÓn b¸o</v>
          </cell>
          <cell r="E342" t="str">
            <v>m2</v>
          </cell>
          <cell r="I342">
            <v>496000</v>
          </cell>
          <cell r="J342">
            <v>84123.076923076937</v>
          </cell>
        </row>
        <row r="343">
          <cell r="D343" t="str">
            <v>A.VËt liÖu</v>
          </cell>
          <cell r="H343">
            <v>496000</v>
          </cell>
        </row>
        <row r="344">
          <cell r="C344" t="str">
            <v>VL23</v>
          </cell>
          <cell r="D344" t="str">
            <v>Mµng ph¶n quang</v>
          </cell>
          <cell r="E344" t="str">
            <v>m2</v>
          </cell>
          <cell r="F344">
            <v>1.1000000000000001</v>
          </cell>
          <cell r="G344">
            <v>450909.09090909088</v>
          </cell>
          <cell r="H344">
            <v>496000</v>
          </cell>
        </row>
        <row r="345">
          <cell r="D345" t="str">
            <v>B. Nh©n c«ng</v>
          </cell>
          <cell r="H345">
            <v>84123.076923076937</v>
          </cell>
        </row>
        <row r="346">
          <cell r="D346" t="str">
            <v>Nh©n c«ng 3.7/7 - nhãm 2</v>
          </cell>
          <cell r="E346" t="str">
            <v>c«ng</v>
          </cell>
          <cell r="F346">
            <v>0.4</v>
          </cell>
          <cell r="G346">
            <v>210307.69230769231</v>
          </cell>
          <cell r="H346">
            <v>84123.076923076937</v>
          </cell>
        </row>
        <row r="348">
          <cell r="B348" t="str">
            <v>CT43</v>
          </cell>
          <cell r="D348" t="str">
            <v>Th¸o dì hé lan t«n sãng cò</v>
          </cell>
          <cell r="E348" t="str">
            <v>m</v>
          </cell>
          <cell r="H348">
            <v>8151</v>
          </cell>
          <cell r="J348">
            <v>8151</v>
          </cell>
        </row>
        <row r="349">
          <cell r="D349" t="str">
            <v>B. Nh©n c«ng</v>
          </cell>
          <cell r="H349">
            <v>0</v>
          </cell>
        </row>
        <row r="350">
          <cell r="D350" t="str">
            <v>Nh©n c«ng 4.0/7 (th¸o dì VD = 60% l¾p dùng)</v>
          </cell>
          <cell r="E350" t="str">
            <v>c«ng</v>
          </cell>
          <cell r="F350">
            <v>3.9E-2</v>
          </cell>
          <cell r="G350">
            <v>209000</v>
          </cell>
          <cell r="H350">
            <v>8151</v>
          </cell>
        </row>
        <row r="352">
          <cell r="B352" t="str">
            <v>CT44</v>
          </cell>
          <cell r="D352" t="str">
            <v>L¾p  dùng l¹i hé lan t«n sãng cò</v>
          </cell>
          <cell r="E352" t="str">
            <v>m</v>
          </cell>
          <cell r="H352">
            <v>13585</v>
          </cell>
          <cell r="J352">
            <v>13585</v>
          </cell>
        </row>
        <row r="353">
          <cell r="D353" t="str">
            <v>B. Nh©n c«ng</v>
          </cell>
          <cell r="H353">
            <v>0</v>
          </cell>
        </row>
        <row r="354">
          <cell r="D354" t="str">
            <v>Nh©n c«ng 4.0/7</v>
          </cell>
          <cell r="E354" t="str">
            <v>c«ng</v>
          </cell>
          <cell r="F354">
            <v>6.5000000000000002E-2</v>
          </cell>
          <cell r="G354">
            <v>209000</v>
          </cell>
          <cell r="H354">
            <v>13585</v>
          </cell>
        </row>
        <row r="356">
          <cell r="B356" t="str">
            <v>CT45</v>
          </cell>
          <cell r="D356" t="str">
            <v>BiÓn tam gi¸c c¹nh 70cm, 1 cét D90mm</v>
          </cell>
          <cell r="E356" t="str">
            <v>biÓn</v>
          </cell>
          <cell r="I356">
            <v>945813.09090909082</v>
          </cell>
        </row>
        <row r="357">
          <cell r="D357" t="str">
            <v>A.VËt liÖu</v>
          </cell>
          <cell r="H357">
            <v>945813.09090909082</v>
          </cell>
        </row>
        <row r="358">
          <cell r="C358" t="str">
            <v>VL25</v>
          </cell>
          <cell r="D358" t="str">
            <v>BiÓn tam gi¸c c¹nh 70cm</v>
          </cell>
          <cell r="E358" t="str">
            <v>c¸i</v>
          </cell>
          <cell r="F358">
            <v>1</v>
          </cell>
          <cell r="G358">
            <v>343480</v>
          </cell>
          <cell r="H358">
            <v>343480</v>
          </cell>
        </row>
        <row r="359">
          <cell r="C359" t="str">
            <v>VL24</v>
          </cell>
          <cell r="D359" t="str">
            <v>Cét biÓn b¸o D90mm cao 3.2m</v>
          </cell>
          <cell r="E359" t="str">
            <v>m</v>
          </cell>
          <cell r="F359">
            <v>3.2</v>
          </cell>
          <cell r="G359">
            <v>188229.09090909088</v>
          </cell>
          <cell r="H359">
            <v>602333.09090909082</v>
          </cell>
        </row>
        <row r="361">
          <cell r="B361" t="str">
            <v>CT46</v>
          </cell>
          <cell r="D361" t="str">
            <v>BT M300 v¸ mÆt cÇu</v>
          </cell>
          <cell r="E361" t="str">
            <v>m3</v>
          </cell>
          <cell r="I361">
            <v>1172813.9460088054</v>
          </cell>
          <cell r="J361">
            <v>249396.92307692312</v>
          </cell>
          <cell r="K361">
            <v>23418.271175454549</v>
          </cell>
        </row>
        <row r="362">
          <cell r="D362" t="str">
            <v>A.VËt liÖu</v>
          </cell>
          <cell r="H362">
            <v>1172813.9460088054</v>
          </cell>
        </row>
        <row r="363">
          <cell r="D363" t="str">
            <v>V÷a M300</v>
          </cell>
          <cell r="E363" t="str">
            <v>m3</v>
          </cell>
          <cell r="F363">
            <v>1.03</v>
          </cell>
          <cell r="G363">
            <v>1127380.511399409</v>
          </cell>
          <cell r="H363">
            <v>1161201.9267413914</v>
          </cell>
        </row>
        <row r="364">
          <cell r="D364" t="str">
            <v>VËt liÖu kh¸c</v>
          </cell>
          <cell r="E364" t="str">
            <v>%</v>
          </cell>
          <cell r="F364">
            <v>1</v>
          </cell>
          <cell r="H364">
            <v>11612.019267413914</v>
          </cell>
        </row>
        <row r="365">
          <cell r="D365" t="str">
            <v>B. Nh©n c«ng 3.5/7</v>
          </cell>
          <cell r="E365" t="str">
            <v>c«ng</v>
          </cell>
          <cell r="F365">
            <v>1.58</v>
          </cell>
          <cell r="G365">
            <v>157846.15384615387</v>
          </cell>
          <cell r="H365">
            <v>249396.92307692312</v>
          </cell>
        </row>
        <row r="366">
          <cell r="D366" t="str">
            <v>C. M¸y thi c«ng</v>
          </cell>
          <cell r="H366">
            <v>23418.271175454549</v>
          </cell>
        </row>
        <row r="367">
          <cell r="D367" t="str">
            <v>M¸y trén 250l</v>
          </cell>
          <cell r="E367" t="str">
            <v>ca</v>
          </cell>
          <cell r="F367">
            <v>9.5000000000000001E-2</v>
          </cell>
          <cell r="G367">
            <v>246508.11763636366</v>
          </cell>
          <cell r="H367">
            <v>23418.271175454549</v>
          </cell>
        </row>
        <row r="369">
          <cell r="B369" t="str">
            <v>CT47</v>
          </cell>
          <cell r="D369" t="str">
            <v>§ôc mÆt cÇu BT</v>
          </cell>
          <cell r="E369" t="str">
            <v>m2</v>
          </cell>
          <cell r="J369">
            <v>238246.84615384616</v>
          </cell>
          <cell r="K369">
            <v>257984.31590925003</v>
          </cell>
        </row>
        <row r="371">
          <cell r="D371" t="str">
            <v>B. Nh©n c«ng 3.7/7</v>
          </cell>
          <cell r="E371" t="str">
            <v>c«ng</v>
          </cell>
          <cell r="F371">
            <v>1.34</v>
          </cell>
          <cell r="G371">
            <v>177796.15384615384</v>
          </cell>
          <cell r="H371">
            <v>238246.84615384616</v>
          </cell>
        </row>
        <row r="372">
          <cell r="D372" t="str">
            <v>C. M¸y thi c«ng</v>
          </cell>
          <cell r="H372">
            <v>257984.31590925003</v>
          </cell>
        </row>
        <row r="373">
          <cell r="D373" t="str">
            <v>M¸y khoan BT 0.85Kw</v>
          </cell>
          <cell r="E373" t="str">
            <v>ca</v>
          </cell>
          <cell r="F373">
            <v>0.67</v>
          </cell>
          <cell r="G373">
            <v>177406.6415</v>
          </cell>
          <cell r="H373">
            <v>118862.44980500001</v>
          </cell>
        </row>
        <row r="374">
          <cell r="D374" t="str">
            <v>M¸y c¾t BT 1.5Kw</v>
          </cell>
          <cell r="E374" t="str">
            <v>ca</v>
          </cell>
          <cell r="F374">
            <v>0.67</v>
          </cell>
          <cell r="G374">
            <v>189308.804</v>
          </cell>
          <cell r="H374">
            <v>126836.89868000001</v>
          </cell>
        </row>
        <row r="375">
          <cell r="D375" t="str">
            <v xml:space="preserve">M¸y kh¸c </v>
          </cell>
          <cell r="E375" t="str">
            <v>%</v>
          </cell>
          <cell r="F375">
            <v>5</v>
          </cell>
          <cell r="H375">
            <v>12284.967424250002</v>
          </cell>
        </row>
        <row r="377">
          <cell r="B377" t="str">
            <v>CT48</v>
          </cell>
          <cell r="D377" t="str">
            <v>Nhùa dÝnh b¸m 0,5kg/m2</v>
          </cell>
          <cell r="E377" t="str">
            <v>m2</v>
          </cell>
          <cell r="F377">
            <v>1</v>
          </cell>
          <cell r="I377">
            <v>7451.9218278980843</v>
          </cell>
          <cell r="J377">
            <v>608.07307692307688</v>
          </cell>
          <cell r="K377">
            <v>3523.8614007388232</v>
          </cell>
        </row>
        <row r="378">
          <cell r="D378" t="str">
            <v>A.VËt liÖu</v>
          </cell>
          <cell r="H378">
            <v>7451.9218278980843</v>
          </cell>
        </row>
        <row r="379">
          <cell r="C379" t="str">
            <v>VL09</v>
          </cell>
          <cell r="D379" t="str">
            <v>- Nhùa ®­êng</v>
          </cell>
          <cell r="E379" t="str">
            <v>kg</v>
          </cell>
          <cell r="F379">
            <v>0.32322000000000001</v>
          </cell>
          <cell r="G379">
            <v>16289.099004545455</v>
          </cell>
          <cell r="H379">
            <v>5264.9625802491819</v>
          </cell>
        </row>
        <row r="380">
          <cell r="C380" t="str">
            <v>VL26</v>
          </cell>
          <cell r="D380" t="str">
            <v>- DÇu ho¶</v>
          </cell>
          <cell r="E380" t="str">
            <v>kg</v>
          </cell>
          <cell r="F380">
            <v>0.1605</v>
          </cell>
          <cell r="G380">
            <v>13625.914315569487</v>
          </cell>
          <cell r="H380">
            <v>2186.9592476489029</v>
          </cell>
        </row>
        <row r="381">
          <cell r="D381" t="str">
            <v>B. Nh©n c«ng 3,5/7 - nhãm 2</v>
          </cell>
          <cell r="E381" t="str">
            <v>c«ng</v>
          </cell>
          <cell r="F381">
            <v>3.14E-3</v>
          </cell>
          <cell r="G381">
            <v>193653.84615384616</v>
          </cell>
          <cell r="H381">
            <v>608.07307692307688</v>
          </cell>
        </row>
        <row r="382">
          <cell r="D382" t="str">
            <v>C. M¸y thi c«ng</v>
          </cell>
          <cell r="H382">
            <v>3523.8614007388232</v>
          </cell>
        </row>
        <row r="383">
          <cell r="D383" t="str">
            <v>- ThiÕt bÞ nÊu nhùa</v>
          </cell>
          <cell r="E383" t="str">
            <v>ca</v>
          </cell>
          <cell r="F383">
            <v>4.8999999999999998E-4</v>
          </cell>
          <cell r="G383">
            <v>276838.80105882353</v>
          </cell>
          <cell r="H383">
            <v>135.65101251882353</v>
          </cell>
        </row>
        <row r="384">
          <cell r="D384" t="str">
            <v>- ¤t« t­íi nhùa</v>
          </cell>
          <cell r="E384" t="str">
            <v>ca</v>
          </cell>
          <cell r="F384">
            <v>9.7999999999999997E-4</v>
          </cell>
          <cell r="G384">
            <v>2867996.142</v>
          </cell>
          <cell r="H384">
            <v>2810.6362191600001</v>
          </cell>
        </row>
        <row r="385">
          <cell r="D385" t="str">
            <v>- M¸y nÐn khÝ</v>
          </cell>
          <cell r="E385" t="str">
            <v>ca</v>
          </cell>
          <cell r="F385">
            <v>4.8999999999999998E-4</v>
          </cell>
          <cell r="G385">
            <v>1178722.794</v>
          </cell>
          <cell r="H385">
            <v>577.57416906000003</v>
          </cell>
        </row>
        <row r="387">
          <cell r="B387" t="str">
            <v>CT49</v>
          </cell>
          <cell r="D387" t="str">
            <v>Nhùa dÝnh b¸m 0,3kg/m2</v>
          </cell>
          <cell r="E387" t="str">
            <v>m2</v>
          </cell>
          <cell r="F387">
            <v>1</v>
          </cell>
          <cell r="I387">
            <v>4471.1530967388508</v>
          </cell>
          <cell r="J387">
            <v>608.07307692307688</v>
          </cell>
          <cell r="K387">
            <v>2345.3465080672941</v>
          </cell>
        </row>
        <row r="388">
          <cell r="D388" t="str">
            <v>A.VËt liÖu</v>
          </cell>
          <cell r="H388">
            <v>4471.1530967388508</v>
          </cell>
        </row>
        <row r="389">
          <cell r="C389" t="str">
            <v>VL09</v>
          </cell>
          <cell r="D389" t="str">
            <v>- Nhùa ®­êng</v>
          </cell>
          <cell r="E389" t="str">
            <v>kg</v>
          </cell>
          <cell r="F389">
            <v>0.19393199999999999</v>
          </cell>
          <cell r="G389">
            <v>16289.099004545455</v>
          </cell>
          <cell r="H389">
            <v>3158.9775481495089</v>
          </cell>
        </row>
        <row r="390">
          <cell r="C390" t="str">
            <v>VL26</v>
          </cell>
          <cell r="D390" t="str">
            <v>- DÇu ho¶</v>
          </cell>
          <cell r="E390" t="str">
            <v>kg</v>
          </cell>
          <cell r="F390">
            <v>9.6299999999999997E-2</v>
          </cell>
          <cell r="G390">
            <v>13625.914315569487</v>
          </cell>
          <cell r="H390">
            <v>1312.1755485893416</v>
          </cell>
        </row>
        <row r="391">
          <cell r="D391" t="str">
            <v>B. Nh©n c«ng 3,5/7 - nhãm 2</v>
          </cell>
          <cell r="E391" t="str">
            <v>c«ng</v>
          </cell>
          <cell r="F391">
            <v>3.14E-3</v>
          </cell>
          <cell r="G391">
            <v>193653.84615384616</v>
          </cell>
          <cell r="H391">
            <v>608.07307692307688</v>
          </cell>
        </row>
        <row r="392">
          <cell r="D392" t="str">
            <v>C. M¸y thi c«ng</v>
          </cell>
          <cell r="H392">
            <v>2345.3465080672941</v>
          </cell>
        </row>
        <row r="393">
          <cell r="D393" t="str">
            <v>- ThiÕt bÞ nÊu nhùa</v>
          </cell>
          <cell r="E393" t="str">
            <v>ca</v>
          </cell>
          <cell r="F393">
            <v>2.9399999999999999E-4</v>
          </cell>
          <cell r="G393">
            <v>276838.80105882353</v>
          </cell>
          <cell r="H393">
            <v>81.390607511294121</v>
          </cell>
        </row>
        <row r="394">
          <cell r="D394" t="str">
            <v>- ¤t« t­íi nhùa</v>
          </cell>
          <cell r="E394" t="str">
            <v>ca</v>
          </cell>
          <cell r="F394">
            <v>5.8799999999999998E-4</v>
          </cell>
          <cell r="G394">
            <v>2867996.142</v>
          </cell>
          <cell r="H394">
            <v>1686.3817314959999</v>
          </cell>
        </row>
        <row r="395">
          <cell r="D395" t="str">
            <v>- M¸y nÐn khÝ</v>
          </cell>
          <cell r="E395" t="str">
            <v>ca</v>
          </cell>
          <cell r="F395">
            <v>4.8999999999999998E-4</v>
          </cell>
          <cell r="G395">
            <v>1178722.794</v>
          </cell>
          <cell r="H395">
            <v>577.57416906000003</v>
          </cell>
        </row>
      </sheetData>
      <sheetData sheetId="8" refreshError="1"/>
      <sheetData sheetId="9" refreshError="1"/>
      <sheetData sheetId="1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u phong"/>
      <sheetName val="DEN BU"/>
      <sheetName val="CUOC"/>
      <sheetName val="He so"/>
      <sheetName val="TH"/>
      <sheetName val="CPXD"/>
      <sheetName val="DTCT"/>
      <sheetName val="PTDG"/>
      <sheetName val="VAT LIEU"/>
      <sheetName val="Luong"/>
      <sheetName val="May Da Nang"/>
      <sheetName val="MAY"/>
      <sheetName val="May (2)"/>
      <sheetName val="DTKS"/>
      <sheetName val="KS"/>
      <sheetName val="hoantra"/>
      <sheetName val="LUONG KS"/>
    </sheetNames>
    <sheetDataSet>
      <sheetData sheetId="0" refreshError="1"/>
      <sheetData sheetId="1" refreshError="1"/>
      <sheetData sheetId="2" refreshError="1"/>
      <sheetData sheetId="3" refreshError="1"/>
      <sheetData sheetId="4" refreshError="1">
        <row r="29">
          <cell r="I29">
            <v>911000000</v>
          </cell>
        </row>
      </sheetData>
      <sheetData sheetId="5" refreshError="1"/>
      <sheetData sheetId="6" refreshError="1"/>
      <sheetData sheetId="7">
        <row r="7">
          <cell r="D7" t="str">
            <v>Vữa bêtông M200 đá 2x4 (độ sụt 2-4)</v>
          </cell>
        </row>
        <row r="8">
          <cell r="D8" t="str">
            <v>A. Vật liệu</v>
          </cell>
        </row>
        <row r="9">
          <cell r="D9" t="str">
            <v xml:space="preserve">- Ximăng PC40 </v>
          </cell>
        </row>
        <row r="10">
          <cell r="D10" t="str">
            <v xml:space="preserve">- Cát </v>
          </cell>
        </row>
        <row r="11">
          <cell r="D11" t="str">
            <v xml:space="preserve">- Đá 2 x 4 </v>
          </cell>
        </row>
        <row r="12">
          <cell r="D12" t="str">
            <v>- Nước</v>
          </cell>
        </row>
        <row r="13">
          <cell r="D13" t="str">
            <v>Vữa bêtông M150 đá 2x4 (độ sụt 2-4)</v>
          </cell>
        </row>
        <row r="14">
          <cell r="D14" t="str">
            <v>A. Vật liệu</v>
          </cell>
        </row>
        <row r="15">
          <cell r="D15" t="str">
            <v xml:space="preserve">- Ximăng PC40 </v>
          </cell>
        </row>
        <row r="16">
          <cell r="D16" t="str">
            <v xml:space="preserve">- Cát </v>
          </cell>
        </row>
        <row r="17">
          <cell r="D17" t="str">
            <v xml:space="preserve">- Đá 2 x 4 </v>
          </cell>
        </row>
        <row r="18">
          <cell r="D18" t="str">
            <v>- Nước</v>
          </cell>
        </row>
        <row r="19">
          <cell r="D19" t="str">
            <v>Vữa xi măng M100</v>
          </cell>
        </row>
        <row r="20">
          <cell r="D20" t="str">
            <v>A. Vật liệu</v>
          </cell>
        </row>
        <row r="21">
          <cell r="D21" t="str">
            <v xml:space="preserve">- Ximăng PC40 </v>
          </cell>
        </row>
        <row r="22">
          <cell r="D22" t="str">
            <v xml:space="preserve">- Cát </v>
          </cell>
        </row>
        <row r="23">
          <cell r="D23" t="str">
            <v>- Nước</v>
          </cell>
        </row>
        <row r="24">
          <cell r="D24" t="str">
            <v xml:space="preserve">Tháo dỡ, lắp đặt tường hộ lan mềm </v>
          </cell>
        </row>
        <row r="25">
          <cell r="D25" t="str">
            <v>(Tinh=60% lắp đặt)</v>
          </cell>
        </row>
        <row r="26">
          <cell r="D26" t="str">
            <v>B. Nhân công 4,0/7 (nhóm 1)</v>
          </cell>
        </row>
        <row r="27">
          <cell r="D27" t="str">
            <v>Tẩy rỉ tấm sóng hộ lan mềm</v>
          </cell>
        </row>
        <row r="28">
          <cell r="D28" t="str">
            <v>B. Nhân công 3,7/7 (nhóm 1)</v>
          </cell>
        </row>
        <row r="29">
          <cell r="D29" t="str">
            <v>Dán phản quang 2 mặt mắt phản quang</v>
          </cell>
        </row>
        <row r="30">
          <cell r="D30" t="str">
            <v>A. Vật liệu</v>
          </cell>
        </row>
        <row r="31">
          <cell r="D31" t="str">
            <v>- Màng phản quang</v>
          </cell>
        </row>
        <row r="32">
          <cell r="D32" t="str">
            <v>B. Nhân công 3,7/7 (nhóm 1)</v>
          </cell>
        </row>
        <row r="33">
          <cell r="D33" t="str">
            <v xml:space="preserve">Sơn 01 lớp chống gỉ và 01 lớp phủ caosuclo hóa </v>
          </cell>
        </row>
        <row r="34">
          <cell r="D34" t="str">
            <v>A. Vật liệu</v>
          </cell>
        </row>
        <row r="35">
          <cell r="D35" t="str">
            <v>- Sơn lót Cao su clo hóa - CR (màu nâu đỏ) (0,15kg/m2 x 1,02 x 1lớp)</v>
          </cell>
        </row>
        <row r="36">
          <cell r="D36" t="str">
            <v>- Sơn phủ Cao su clo hóa - CR (màu ghi) (0,18kg/m2 x 1,02 x 1lớp)</v>
          </cell>
        </row>
        <row r="37">
          <cell r="D37" t="str">
            <v>- Dung môi HHR5 (10% sơn)</v>
          </cell>
        </row>
        <row r="38">
          <cell r="D38" t="str">
            <v>B. Nhân công 4,0/7 (nhóm 1)</v>
          </cell>
        </row>
        <row r="39">
          <cell r="D39" t="str">
            <v>C. Máy thi công</v>
          </cell>
        </row>
        <row r="40">
          <cell r="D40" t="str">
            <v>- Máy nén khí 300m3/h</v>
          </cell>
        </row>
        <row r="41">
          <cell r="D41" t="str">
            <v>- Máy phun sơn 400m2/h</v>
          </cell>
        </row>
        <row r="42">
          <cell r="D42" t="str">
            <v>Tấm đầu, tấm cuối L=0,7m dày 3mm</v>
          </cell>
        </row>
        <row r="43">
          <cell r="D43" t="str">
            <v>A. Vật liệu</v>
          </cell>
        </row>
        <row r="44">
          <cell r="D44" t="str">
            <v>- Tấm đầu, tấm cuối L=0,7m dày 3mm</v>
          </cell>
        </row>
        <row r="45">
          <cell r="D45" t="str">
            <v>Cột hộ lan U160, L=1500mm dày 5mm</v>
          </cell>
        </row>
        <row r="46">
          <cell r="D46" t="str">
            <v>A. Vật liệu</v>
          </cell>
        </row>
        <row r="47">
          <cell r="D47" t="str">
            <v>- Cột hộ lan U160, L=1500mm dày 5mm</v>
          </cell>
        </row>
        <row r="48">
          <cell r="D48" t="str">
            <v>Hộp đệm U160, L=0,36m dày 5mm</v>
          </cell>
        </row>
        <row r="49">
          <cell r="D49" t="str">
            <v>A. Vật liệu</v>
          </cell>
        </row>
        <row r="50">
          <cell r="D50" t="str">
            <v>- Hộp đệm U160, L=0,36m dày 5mm</v>
          </cell>
        </row>
        <row r="51">
          <cell r="D51" t="str">
            <v>Đào đất cấp 3 bằng thủ công</v>
          </cell>
        </row>
        <row r="52">
          <cell r="D52" t="str">
            <v>B. Nhân công 3,0/7 (nhóm 1)</v>
          </cell>
        </row>
        <row r="53">
          <cell r="D53" t="str">
            <v>Đắp đất K95 bằng thủ công</v>
          </cell>
        </row>
        <row r="54">
          <cell r="D54" t="str">
            <v>B. Nhân công 3,0/7 (nhóm 1)</v>
          </cell>
        </row>
        <row r="55">
          <cell r="D55" t="str">
            <v>Dăm sạn đệm</v>
          </cell>
        </row>
        <row r="56">
          <cell r="D56" t="str">
            <v>A. Vật liệu</v>
          </cell>
        </row>
        <row r="57">
          <cell r="D57" t="str">
            <v xml:space="preserve">- Đá 4 x 6 </v>
          </cell>
        </row>
        <row r="58">
          <cell r="D58" t="str">
            <v xml:space="preserve">- Cát </v>
          </cell>
        </row>
        <row r="59">
          <cell r="D59" t="str">
            <v>B. Nhân công 4,0/7 (nhóm 1)</v>
          </cell>
        </row>
        <row r="60">
          <cell r="D60" t="str">
            <v>Bê tông móng M200 đá 2x4</v>
          </cell>
        </row>
        <row r="61">
          <cell r="D61" t="str">
            <v>A. Vật liệu</v>
          </cell>
        </row>
        <row r="62">
          <cell r="D62" t="str">
            <v xml:space="preserve">- Vữa BT M200 đá 2x4 </v>
          </cell>
        </row>
        <row r="63">
          <cell r="D63" t="str">
            <v>- Vật liệu khác</v>
          </cell>
        </row>
        <row r="64">
          <cell r="D64" t="str">
            <v>B. Nhân công 3,5/7 (nhóm 1)</v>
          </cell>
        </row>
        <row r="65">
          <cell r="D65" t="str">
            <v>Bu lông M20x380</v>
          </cell>
        </row>
        <row r="66">
          <cell r="D66" t="str">
            <v>A. Vật liệu</v>
          </cell>
        </row>
        <row r="67">
          <cell r="D67" t="str">
            <v>- Bu lông M20x380</v>
          </cell>
        </row>
        <row r="68">
          <cell r="D68" t="str">
            <v>B. Nhân công 4,0/7 (nhóm 1)</v>
          </cell>
        </row>
        <row r="69">
          <cell r="D69" t="str">
            <v>Bu lông M16x36</v>
          </cell>
        </row>
        <row r="70">
          <cell r="D70" t="str">
            <v>A. Vật liệu</v>
          </cell>
        </row>
        <row r="71">
          <cell r="D71" t="str">
            <v>- Bu lông M16x36</v>
          </cell>
        </row>
        <row r="72">
          <cell r="D72" t="str">
            <v>B. Nhân công 4,0/7 (nhóm 1)</v>
          </cell>
        </row>
        <row r="73">
          <cell r="D73" t="str">
            <v>Bu lông M18x45</v>
          </cell>
        </row>
        <row r="74">
          <cell r="D74" t="str">
            <v>A. Vật liệu</v>
          </cell>
        </row>
        <row r="75">
          <cell r="D75" t="str">
            <v>- Bu lông M18x45</v>
          </cell>
        </row>
        <row r="76">
          <cell r="D76" t="str">
            <v>B. Nhân công 4,0/7 (nhóm 1)</v>
          </cell>
        </row>
        <row r="77">
          <cell r="D77" t="str">
            <v>ĐẢM BẢO GIAO THÔNG</v>
          </cell>
        </row>
        <row r="78">
          <cell r="D78" t="str">
            <v>Khấu hao: 2%* 2 tháng + 7% = 11%</v>
          </cell>
        </row>
        <row r="79">
          <cell r="D79" t="str">
            <v>Công hướng dẫn ĐBGT</v>
          </cell>
        </row>
        <row r="80">
          <cell r="D80" t="str">
            <v>B. Nhân công 3,0/7 (nhóm 1)</v>
          </cell>
        </row>
        <row r="81">
          <cell r="D81" t="str">
            <v>Đèn cảnh báo nguy hiểm (khấu hao 11%)</v>
          </cell>
        </row>
        <row r="82">
          <cell r="D82" t="str">
            <v>A. Vật liệu</v>
          </cell>
        </row>
        <row r="83">
          <cell r="D83" t="str">
            <v>- Đèn cảnh báo SPL-130-PMDY</v>
          </cell>
        </row>
        <row r="84">
          <cell r="D84" t="str">
            <v>Chóp su (khấu hao 11%)</v>
          </cell>
        </row>
        <row r="85">
          <cell r="D85" t="str">
            <v>A. Vật liệu</v>
          </cell>
        </row>
        <row r="86">
          <cell r="D86" t="str">
            <v>- Chóp su</v>
          </cell>
        </row>
        <row r="87">
          <cell r="D87" t="str">
            <v>Biển báo tam giác đôi A70 (khấu hao 11%)</v>
          </cell>
        </row>
        <row r="88">
          <cell r="D88" t="str">
            <v>A. Vật liệu</v>
          </cell>
        </row>
        <row r="89">
          <cell r="D89" t="str">
            <v>- Biển báo tam giác A70</v>
          </cell>
        </row>
        <row r="90">
          <cell r="D90" t="str">
            <v>Biển báo tròn (khấu hao 2%*2,5 tháng)</v>
          </cell>
        </row>
        <row r="91">
          <cell r="D91" t="str">
            <v>A. Vật liệu</v>
          </cell>
        </row>
        <row r="92">
          <cell r="D92" t="str">
            <v>- Biển báo tròn</v>
          </cell>
        </row>
        <row r="93">
          <cell r="D93" t="str">
            <v>Biển báo công trường đi chậm KT(40x70)cm (khấu hao 2%*2,5 tháng)</v>
          </cell>
        </row>
        <row r="94">
          <cell r="D94" t="str">
            <v>A. Vật liệu</v>
          </cell>
        </row>
        <row r="95">
          <cell r="D95" t="str">
            <v>- Biển báo hình chữ nhật</v>
          </cell>
        </row>
        <row r="96">
          <cell r="D96" t="str">
            <v>Biển báo phía trước là công trình KT (80x140)cm (1 trụ L=3,7m) (khấu hao 2%*2,5 tháng)</v>
          </cell>
        </row>
        <row r="97">
          <cell r="D97" t="str">
            <v>A. Vật liệu</v>
          </cell>
        </row>
        <row r="98">
          <cell r="D98" t="str">
            <v>- Biển báo hình chữ nhật</v>
          </cell>
        </row>
        <row r="99">
          <cell r="D99" t="str">
            <v>- Cột đỡ F80</v>
          </cell>
        </row>
        <row r="100">
          <cell r="D100" t="str">
            <v>Thép L (50x50x4)mm (Khấu hao 11%)</v>
          </cell>
        </row>
        <row r="101">
          <cell r="D101" t="str">
            <v>A. Vật liệu</v>
          </cell>
        </row>
        <row r="102">
          <cell r="D102" t="str">
            <v>- Thép hình (1)</v>
          </cell>
        </row>
        <row r="103">
          <cell r="D103" t="str">
            <v>- Ô xy</v>
          </cell>
        </row>
        <row r="104">
          <cell r="D104" t="str">
            <v>- Đất đèn</v>
          </cell>
        </row>
        <row r="105">
          <cell r="D105" t="str">
            <v>- Que hàn</v>
          </cell>
        </row>
        <row r="106">
          <cell r="D106" t="str">
            <v>- Vật liệu khác</v>
          </cell>
        </row>
        <row r="107">
          <cell r="D107" t="str">
            <v>B. Nhân công 3,5/7 (nhóm 1)</v>
          </cell>
        </row>
        <row r="108">
          <cell r="D108" t="str">
            <v>C. Máy thi công</v>
          </cell>
        </row>
        <row r="109">
          <cell r="D109" t="str">
            <v>- Máy hàn điện 27,5CV</v>
          </cell>
        </row>
        <row r="110">
          <cell r="D110" t="str">
            <v>Đường hàn h=3mm</v>
          </cell>
        </row>
        <row r="111">
          <cell r="D111" t="str">
            <v>A. Vật liệu</v>
          </cell>
        </row>
        <row r="112">
          <cell r="D112" t="str">
            <v>- Que hàn</v>
          </cell>
        </row>
        <row r="113">
          <cell r="D113" t="str">
            <v>B. Nhân công 4,3/7 (nhóm 1)</v>
          </cell>
        </row>
        <row r="114">
          <cell r="D114" t="str">
            <v>C. Máy thi công</v>
          </cell>
        </row>
        <row r="115">
          <cell r="D115" t="str">
            <v>- Máy hàn điện 27,5CV</v>
          </cell>
        </row>
        <row r="116">
          <cell r="D116" t="str">
            <v xml:space="preserve">Ụ bê tông M150 đá 2x4 KT(25x25x25)cm </v>
          </cell>
        </row>
        <row r="117">
          <cell r="D117" t="str">
            <v>A. Vật liệu</v>
          </cell>
        </row>
        <row r="118">
          <cell r="D118" t="str">
            <v xml:space="preserve">- Vữa BT M150 đá 2x4 </v>
          </cell>
        </row>
        <row r="119">
          <cell r="D119" t="str">
            <v>- Vật liệu khác</v>
          </cell>
        </row>
        <row r="120">
          <cell r="D120" t="str">
            <v>B. Nhân công 3,0/7 (nhóm 1)</v>
          </cell>
        </row>
        <row r="121">
          <cell r="D121" t="str">
            <v>Cọc gỗ D10cm, L=1m làm rào chắn</v>
          </cell>
        </row>
        <row r="122">
          <cell r="D122" t="str">
            <v>A. Vật liệu</v>
          </cell>
        </row>
        <row r="123">
          <cell r="D123" t="str">
            <v>- Cọc gỗ D10cm, L=1m làm rào chắn</v>
          </cell>
        </row>
        <row r="124">
          <cell r="D124" t="str">
            <v>Dây cảnh giới cuộn 100m</v>
          </cell>
        </row>
        <row r="125">
          <cell r="D125" t="str">
            <v>A. Vật liệu</v>
          </cell>
        </row>
        <row r="126">
          <cell r="D126" t="str">
            <v>- Cuộn dây cảnh giới</v>
          </cell>
        </row>
        <row r="127">
          <cell r="D127" t="str">
            <v>Sơn đỏ trắng cọc gỗ, lan can</v>
          </cell>
        </row>
        <row r="128">
          <cell r="D128" t="str">
            <v>A. Vật liệu</v>
          </cell>
        </row>
        <row r="129">
          <cell r="D129" t="str">
            <v>- Sơn đỏ, trắng</v>
          </cell>
        </row>
        <row r="130">
          <cell r="D130" t="str">
            <v>- Vật liệu khác</v>
          </cell>
        </row>
        <row r="131">
          <cell r="D131" t="str">
            <v>B. Nhân công 3,5/7 (nhóm 1)</v>
          </cell>
        </row>
        <row r="132">
          <cell r="D132" t="str">
            <v>Luân chuyển rào chắn</v>
          </cell>
        </row>
        <row r="133">
          <cell r="D133" t="str">
            <v>B. Nhân công 3,0/7 (nhóm 1)</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e so "/>
      <sheetName val="GPMB"/>
      <sheetName val="THDT - QD"/>
      <sheetName val="THDT"/>
      <sheetName val="CPXD"/>
      <sheetName val="DTCT"/>
      <sheetName val="PTDG"/>
      <sheetName val="VAT LIEU"/>
      <sheetName val="May"/>
      <sheetName val="CUOC"/>
      <sheetName val="Nhan cong"/>
      <sheetName val="Khao sat"/>
      <sheetName val="PTKS"/>
      <sheetName val="Hoan tra"/>
      <sheetName val="Luong KS"/>
      <sheetName val="VC cấu kiệ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7">
          <cell r="B7" t="str">
            <v>* Công bố giá số 616/SXD-KTXD ngày 22/01/2018 của Sở Xây dựng TP Đà Nẵng</v>
          </cell>
          <cell r="K7" t="str">
            <v>`</v>
          </cell>
        </row>
        <row r="8">
          <cell r="B8" t="str">
            <v>- Đá 1 x 2 (BTN)</v>
          </cell>
          <cell r="C8" t="str">
            <v>m3</v>
          </cell>
          <cell r="D8">
            <v>1</v>
          </cell>
          <cell r="E8" t="str">
            <v>HTXL</v>
          </cell>
          <cell r="F8" t="str">
            <v>Trạm trộn</v>
          </cell>
          <cell r="G8" t="str">
            <v>Giá tới chân công trình Thành phố Đà Nẵng</v>
          </cell>
          <cell r="P8">
            <v>315454.54545454541</v>
          </cell>
          <cell r="Q8">
            <v>315454.54545454541</v>
          </cell>
        </row>
        <row r="9">
          <cell r="F9" t="str">
            <v>Km23+500 QL14B</v>
          </cell>
        </row>
        <row r="10">
          <cell r="F10" t="str">
            <v>vào 0,8km</v>
          </cell>
        </row>
        <row r="11">
          <cell r="B11" t="str">
            <v>- Đá 0,5 x 1 (BTN)</v>
          </cell>
          <cell r="C11" t="str">
            <v>m3</v>
          </cell>
          <cell r="D11">
            <v>1</v>
          </cell>
          <cell r="E11" t="str">
            <v>"</v>
          </cell>
          <cell r="F11" t="str">
            <v>"</v>
          </cell>
          <cell r="G11" t="str">
            <v>Giá tới chân công trình Thành phố Đà Nẵng</v>
          </cell>
          <cell r="P11">
            <v>238181.81818181818</v>
          </cell>
          <cell r="Q11">
            <v>238181.81818181818</v>
          </cell>
        </row>
        <row r="12">
          <cell r="B12" t="str">
            <v>- Đá 2 x 4 (BTN)</v>
          </cell>
          <cell r="C12" t="str">
            <v>m3</v>
          </cell>
          <cell r="D12">
            <v>1</v>
          </cell>
          <cell r="E12" t="str">
            <v>"</v>
          </cell>
          <cell r="F12" t="str">
            <v>"</v>
          </cell>
          <cell r="G12" t="str">
            <v>Giá tới chân công trình Thành phố Đà Nẵng</v>
          </cell>
          <cell r="P12">
            <v>250909.09090909088</v>
          </cell>
          <cell r="Q12">
            <v>250909.09090909088</v>
          </cell>
        </row>
        <row r="13">
          <cell r="B13" t="str">
            <v>- Đá mạt (BTN)</v>
          </cell>
          <cell r="C13" t="str">
            <v>m3</v>
          </cell>
          <cell r="D13">
            <v>1</v>
          </cell>
          <cell r="E13" t="str">
            <v>"</v>
          </cell>
          <cell r="F13" t="str">
            <v>"</v>
          </cell>
          <cell r="G13" t="str">
            <v>Giá tới chân công trình Thành phố Đà Nẵng</v>
          </cell>
          <cell r="P13">
            <v>138181.81818181818</v>
          </cell>
          <cell r="Q13">
            <v>138181.81818181818</v>
          </cell>
        </row>
        <row r="14">
          <cell r="B14" t="str">
            <v>Tạm tính theo giá đá bột</v>
          </cell>
        </row>
        <row r="15">
          <cell r="B15" t="str">
            <v>- Cát (BTN)</v>
          </cell>
          <cell r="C15" t="str">
            <v>m3</v>
          </cell>
          <cell r="D15">
            <v>1</v>
          </cell>
          <cell r="E15" t="str">
            <v>"</v>
          </cell>
          <cell r="F15" t="str">
            <v>"</v>
          </cell>
          <cell r="G15" t="str">
            <v>Giá tới chân công trình Thành phố Đà Nẵng</v>
          </cell>
          <cell r="P15">
            <v>166363.63636363635</v>
          </cell>
          <cell r="Q15">
            <v>166363.63636363635</v>
          </cell>
        </row>
        <row r="17">
          <cell r="B17" t="str">
            <v>* Thông báo giá số: 036B/CV-PLC.NĐ-SPDV ngày 01/2/2018 của Công ty TNHH nhựa đường Petrolimex</v>
          </cell>
        </row>
        <row r="18">
          <cell r="B18" t="str">
            <v>- Nhựa đường (BTN)Petrolimex</v>
          </cell>
          <cell r="C18" t="str">
            <v>tấn</v>
          </cell>
          <cell r="D18">
            <v>1</v>
          </cell>
          <cell r="E18" t="str">
            <v>Kho Thọ Quang</v>
          </cell>
          <cell r="F18" t="str">
            <v>Trạm trộn</v>
          </cell>
          <cell r="K18">
            <v>24.3</v>
          </cell>
          <cell r="L18">
            <v>4000</v>
          </cell>
          <cell r="M18">
            <v>97200</v>
          </cell>
          <cell r="O18">
            <v>97200</v>
          </cell>
          <cell r="P18">
            <v>10000000</v>
          </cell>
          <cell r="Q18">
            <v>10097200</v>
          </cell>
        </row>
        <row r="19">
          <cell r="E19" t="str">
            <v>Km0 - QL14B</v>
          </cell>
          <cell r="F19" t="str">
            <v>Km23+500 QL14B, vào 0,8km</v>
          </cell>
        </row>
        <row r="21">
          <cell r="B21" t="str">
            <v>- Nhựa đường (BTN)Petrolimex BĐ</v>
          </cell>
          <cell r="C21" t="str">
            <v>tấn</v>
          </cell>
          <cell r="D21">
            <v>1</v>
          </cell>
          <cell r="E21" t="str">
            <v>Cảng Quy Nhơn</v>
          </cell>
          <cell r="F21" t="str">
            <v>Trạm trộn</v>
          </cell>
          <cell r="K21">
            <v>303.52499999999998</v>
          </cell>
          <cell r="L21">
            <v>4000</v>
          </cell>
          <cell r="M21">
            <v>1214100</v>
          </cell>
          <cell r="N21">
            <v>51212.121212121208</v>
          </cell>
          <cell r="O21">
            <v>1265312.1212121211</v>
          </cell>
          <cell r="P21">
            <v>10000000</v>
          </cell>
          <cell r="Q21">
            <v>11265312.121212121</v>
          </cell>
        </row>
        <row r="22">
          <cell r="B22" t="str">
            <v>(Vận chuyển qua trạm thu phí TTP Km943+975 phí 140.000 đồng/ lượt; TTP Km1108+100 phí 60.000 đồng/lượt; TTP Km1148+1300 QL1 phí 140.000đ/lượt; TTP Km1212 phí 140.000đ/lượt)</v>
          </cell>
          <cell r="E22" t="str">
            <v>Km0 - QL19</v>
          </cell>
          <cell r="F22" t="str">
            <v>Km23+500 QL14B, vào 0,8km</v>
          </cell>
        </row>
        <row r="24">
          <cell r="B24" t="str">
            <v>* Thông báo giá số 160/TB-TC-XD ngày 21/6/2017 của Liên Sở Tài chính - Xây dựng tỉnh Bình Định</v>
          </cell>
        </row>
        <row r="25">
          <cell r="B25" t="str">
            <v>- Nhựa đường (BTN)BĐ</v>
          </cell>
          <cell r="C25" t="str">
            <v>tấn</v>
          </cell>
          <cell r="D25">
            <v>1</v>
          </cell>
          <cell r="E25" t="str">
            <v>Cảng Quy Nhơn</v>
          </cell>
          <cell r="F25" t="str">
            <v>Trạm trộn</v>
          </cell>
          <cell r="G25">
            <v>3</v>
          </cell>
          <cell r="H25">
            <v>1.3</v>
          </cell>
          <cell r="I25">
            <v>1.2</v>
          </cell>
          <cell r="K25">
            <v>303.52499999999986</v>
          </cell>
          <cell r="M25">
            <v>162955.69545454538</v>
          </cell>
          <cell r="N25">
            <v>51212.121212121208</v>
          </cell>
          <cell r="O25">
            <v>305423.00612121198</v>
          </cell>
          <cell r="P25">
            <v>10000000</v>
          </cell>
          <cell r="Q25">
            <v>10305423.006121213</v>
          </cell>
        </row>
        <row r="26">
          <cell r="B26" t="str">
            <v>(Vận chuyển qua trạm thu phí TTP Km943+975 phí 140.000 đồng/ lượt; TTP Km1108+100 phí 60.000 đồng/lượt; TTP Km1148+1300 QL1 phí 140.000đ/lượt; TTP Km1212 phí 140.000đ/lượt)</v>
          </cell>
          <cell r="E26" t="str">
            <v>Km 0 - QL19</v>
          </cell>
          <cell r="F26" t="str">
            <v>Km23+500 QL14B vào 0,8km</v>
          </cell>
        </row>
        <row r="27">
          <cell r="E27" t="str">
            <v>Km 0 - QL19</v>
          </cell>
          <cell r="F27" t="str">
            <v>Km17+256 QL19 = Km1213+360 QL1</v>
          </cell>
          <cell r="J27">
            <v>2</v>
          </cell>
          <cell r="K27">
            <v>17.256</v>
          </cell>
          <cell r="L27">
            <v>368.18181818181813</v>
          </cell>
          <cell r="M27">
            <v>6353.3454545454533</v>
          </cell>
        </row>
        <row r="28">
          <cell r="E28" t="str">
            <v>Km1213+360 - QL1</v>
          </cell>
          <cell r="F28" t="str">
            <v>Km1139 QL1</v>
          </cell>
          <cell r="J28">
            <v>3</v>
          </cell>
          <cell r="K28">
            <v>74.3599999999999</v>
          </cell>
          <cell r="L28">
            <v>541.81818181818176</v>
          </cell>
          <cell r="M28">
            <v>40289.59999999994</v>
          </cell>
        </row>
        <row r="29">
          <cell r="E29" t="str">
            <v>Km1139 QL1</v>
          </cell>
          <cell r="F29" t="str">
            <v>Km1125 QL1</v>
          </cell>
          <cell r="J29">
            <v>4</v>
          </cell>
          <cell r="K29">
            <v>14</v>
          </cell>
          <cell r="L29">
            <v>785.45454545454538</v>
          </cell>
          <cell r="M29">
            <v>10996.363636363636</v>
          </cell>
        </row>
        <row r="30">
          <cell r="E30" t="str">
            <v>Km1125 QL1</v>
          </cell>
          <cell r="F30" t="str">
            <v>Km1066 QL1</v>
          </cell>
          <cell r="J30">
            <v>3</v>
          </cell>
          <cell r="K30">
            <v>59</v>
          </cell>
          <cell r="L30">
            <v>541.81818181818176</v>
          </cell>
          <cell r="M30">
            <v>31967.272727272724</v>
          </cell>
        </row>
        <row r="31">
          <cell r="E31" t="str">
            <v>Km1066 QL1</v>
          </cell>
          <cell r="F31" t="str">
            <v>Km1027 QL1</v>
          </cell>
          <cell r="J31">
            <v>2</v>
          </cell>
          <cell r="K31">
            <v>39</v>
          </cell>
          <cell r="L31">
            <v>368.18181818181813</v>
          </cell>
          <cell r="M31">
            <v>14359.090909090906</v>
          </cell>
        </row>
        <row r="32">
          <cell r="E32" t="str">
            <v>Km1027 QL1</v>
          </cell>
          <cell r="F32" t="str">
            <v>Km996+800 - QL1</v>
          </cell>
          <cell r="J32">
            <v>3</v>
          </cell>
          <cell r="K32">
            <v>30.200000000000045</v>
          </cell>
          <cell r="L32">
            <v>541.81818181818176</v>
          </cell>
          <cell r="M32">
            <v>16362.909090909114</v>
          </cell>
        </row>
        <row r="33">
          <cell r="E33" t="str">
            <v>Km996+800 - QL1</v>
          </cell>
          <cell r="F33" t="str">
            <v>Km990+280 - QL1</v>
          </cell>
          <cell r="J33">
            <v>2</v>
          </cell>
          <cell r="K33">
            <v>6.5199999999999818</v>
          </cell>
          <cell r="L33">
            <v>368.18181818181813</v>
          </cell>
          <cell r="M33">
            <v>2400.5454545454477</v>
          </cell>
        </row>
        <row r="34">
          <cell r="B34">
            <v>303.22499999999991</v>
          </cell>
          <cell r="E34" t="str">
            <v>Km990+280 - QL1</v>
          </cell>
          <cell r="F34" t="str">
            <v>Km966 - QL1</v>
          </cell>
          <cell r="J34">
            <v>3</v>
          </cell>
          <cell r="K34">
            <v>24.279999999999973</v>
          </cell>
          <cell r="L34">
            <v>541.81818181818176</v>
          </cell>
          <cell r="M34">
            <v>13155.345454545439</v>
          </cell>
        </row>
        <row r="35">
          <cell r="E35" t="str">
            <v>Km966 - QL1</v>
          </cell>
          <cell r="F35" t="str">
            <v>Km956 - QL1</v>
          </cell>
          <cell r="J35">
            <v>4</v>
          </cell>
          <cell r="K35">
            <v>10</v>
          </cell>
          <cell r="L35">
            <v>785.45454545454538</v>
          </cell>
          <cell r="M35">
            <v>7854.545454545454</v>
          </cell>
        </row>
        <row r="36">
          <cell r="E36" t="str">
            <v>Km956 - QL1</v>
          </cell>
          <cell r="F36" t="str">
            <v>Km947 - QL1</v>
          </cell>
          <cell r="J36">
            <v>5</v>
          </cell>
          <cell r="K36">
            <v>9</v>
          </cell>
          <cell r="L36">
            <v>1139.090909090909</v>
          </cell>
          <cell r="M36">
            <v>10251.81818181818</v>
          </cell>
        </row>
        <row r="37">
          <cell r="E37" t="str">
            <v>Km947 - QL1</v>
          </cell>
          <cell r="F37" t="str">
            <v>Km942 - QL1</v>
          </cell>
          <cell r="J37">
            <v>4</v>
          </cell>
          <cell r="K37">
            <v>5</v>
          </cell>
          <cell r="L37">
            <v>785.45454545454538</v>
          </cell>
          <cell r="M37">
            <v>3927.272727272727</v>
          </cell>
        </row>
        <row r="38">
          <cell r="E38" t="str">
            <v>Km942 - QL1</v>
          </cell>
          <cell r="F38" t="str">
            <v>Km933 - QL1</v>
          </cell>
          <cell r="J38">
            <v>1</v>
          </cell>
          <cell r="K38">
            <v>9</v>
          </cell>
          <cell r="L38">
            <v>310</v>
          </cell>
          <cell r="M38">
            <v>2790</v>
          </cell>
        </row>
        <row r="39">
          <cell r="E39" t="str">
            <v>Km933- QL1 = Km18+391 QL14B</v>
          </cell>
          <cell r="F39" t="str">
            <v>Km 19 - QL14B</v>
          </cell>
          <cell r="J39">
            <v>2</v>
          </cell>
          <cell r="K39">
            <v>0.60900000000000176</v>
          </cell>
          <cell r="L39">
            <v>368.18181818181813</v>
          </cell>
          <cell r="M39">
            <v>224.22272727272789</v>
          </cell>
        </row>
        <row r="40">
          <cell r="E40" t="str">
            <v>Km 19 - QL14B</v>
          </cell>
          <cell r="F40" t="str">
            <v>Km23+500 - QL14B</v>
          </cell>
          <cell r="J40">
            <v>1</v>
          </cell>
          <cell r="K40">
            <v>4.5</v>
          </cell>
          <cell r="L40">
            <v>310</v>
          </cell>
          <cell r="M40">
            <v>1395</v>
          </cell>
        </row>
        <row r="41">
          <cell r="F41" t="str">
            <v>vào 0,8km</v>
          </cell>
          <cell r="J41">
            <v>4</v>
          </cell>
          <cell r="K41">
            <v>0.8</v>
          </cell>
          <cell r="L41">
            <v>785.45454545454538</v>
          </cell>
          <cell r="M41">
            <v>628.36363636363637</v>
          </cell>
        </row>
        <row r="43">
          <cell r="B43" t="str">
            <v>* Thông báo giá số   /TBG-NHS ngày 24/02/2018 của Công ty Cổ phần Xi măng Ngũ Hành Sơn</v>
          </cell>
        </row>
        <row r="44">
          <cell r="B44" t="str">
            <v>- Bột khoáng (BTN)</v>
          </cell>
          <cell r="C44" t="str">
            <v>tấn</v>
          </cell>
          <cell r="D44">
            <v>1</v>
          </cell>
          <cell r="E44" t="str">
            <v>Kho cty CPXM Ngũ Hành Sơn</v>
          </cell>
          <cell r="F44" t="str">
            <v>Trạm trộn Nhơn Hòa</v>
          </cell>
          <cell r="K44">
            <v>23.909000000000002</v>
          </cell>
          <cell r="M44">
            <v>26619.512744420954</v>
          </cell>
          <cell r="N44">
            <v>12301.2</v>
          </cell>
          <cell r="O44">
            <v>38920.712744420955</v>
          </cell>
          <cell r="P44">
            <v>420000</v>
          </cell>
          <cell r="Q44">
            <v>458920.71274442098</v>
          </cell>
        </row>
        <row r="45">
          <cell r="E45" t="str">
            <v>Km915-QL1</v>
          </cell>
          <cell r="F45" t="str">
            <v>Km23+500 QL14B vào 0,8km</v>
          </cell>
        </row>
        <row r="46">
          <cell r="E46" t="str">
            <v>Km915 - QL1</v>
          </cell>
          <cell r="F46" t="str">
            <v xml:space="preserve">Km933 - QL1 = Km18+391 QL14B </v>
          </cell>
          <cell r="J46">
            <v>1</v>
          </cell>
          <cell r="K46">
            <v>18</v>
          </cell>
          <cell r="L46">
            <v>1100.8481580599996</v>
          </cell>
          <cell r="M46">
            <v>19815.266845079994</v>
          </cell>
        </row>
        <row r="47">
          <cell r="E47" t="str">
            <v>Km18+391 QL14B</v>
          </cell>
          <cell r="F47" t="str">
            <v>Km19 QL14B</v>
          </cell>
          <cell r="J47">
            <v>2</v>
          </cell>
          <cell r="K47">
            <v>0.60900000000000176</v>
          </cell>
          <cell r="L47">
            <v>1313.2925394399999</v>
          </cell>
          <cell r="M47">
            <v>799.79515651896224</v>
          </cell>
        </row>
        <row r="48">
          <cell r="E48" t="str">
            <v>Km19 QL14B</v>
          </cell>
          <cell r="F48" t="str">
            <v>Km23+500 QL14B</v>
          </cell>
          <cell r="J48">
            <v>1</v>
          </cell>
          <cell r="K48">
            <v>4.5</v>
          </cell>
          <cell r="L48">
            <v>1100.8481580599996</v>
          </cell>
          <cell r="M48">
            <v>4953.8167112699985</v>
          </cell>
        </row>
        <row r="49">
          <cell r="F49" t="str">
            <v>vào 0,8Km</v>
          </cell>
          <cell r="J49">
            <v>2</v>
          </cell>
          <cell r="K49">
            <v>0.8</v>
          </cell>
          <cell r="L49">
            <v>1313.2925394399999</v>
          </cell>
          <cell r="M49">
            <v>1050.6340315519999</v>
          </cell>
        </row>
        <row r="51">
          <cell r="B51" t="str">
            <v>* Công bố giá số 616/SXD-KTXD ngày 22/01/2018 của Sở Xây dựng TP Đà Nẵng</v>
          </cell>
          <cell r="K51" t="str">
            <v>`</v>
          </cell>
        </row>
        <row r="52">
          <cell r="B52" t="str">
            <v>- Đá 1 x 2</v>
          </cell>
          <cell r="C52" t="str">
            <v>m3</v>
          </cell>
          <cell r="D52">
            <v>1</v>
          </cell>
          <cell r="E52" t="str">
            <v>HTXL</v>
          </cell>
          <cell r="F52" t="str">
            <v>CT</v>
          </cell>
          <cell r="G52" t="str">
            <v>Giá tới chân công trình Thành phố Đà Nẵng</v>
          </cell>
          <cell r="P52">
            <v>315454.54545454541</v>
          </cell>
          <cell r="Q52">
            <v>315454.54545454541</v>
          </cell>
        </row>
        <row r="53">
          <cell r="B53" t="str">
            <v>- Đá 2 x 4</v>
          </cell>
          <cell r="C53" t="str">
            <v>m3</v>
          </cell>
          <cell r="D53">
            <v>1</v>
          </cell>
          <cell r="E53" t="str">
            <v>"</v>
          </cell>
          <cell r="F53" t="str">
            <v>"</v>
          </cell>
          <cell r="G53" t="str">
            <v>Giá tới chân công trình Thành phố Đà Nẵng</v>
          </cell>
          <cell r="P53">
            <v>250909.09090909088</v>
          </cell>
          <cell r="Q53">
            <v>250909.09090909088</v>
          </cell>
        </row>
        <row r="54">
          <cell r="B54" t="str">
            <v>- Đá 4 x 6</v>
          </cell>
          <cell r="C54" t="str">
            <v>m3</v>
          </cell>
          <cell r="D54">
            <v>1</v>
          </cell>
          <cell r="E54" t="str">
            <v>"</v>
          </cell>
          <cell r="F54" t="str">
            <v>"</v>
          </cell>
          <cell r="G54" t="str">
            <v>Giá tới chân công trình Thành phố Đà Nẵng</v>
          </cell>
          <cell r="P54">
            <v>242727.27272727271</v>
          </cell>
          <cell r="Q54">
            <v>242727.27272727271</v>
          </cell>
        </row>
        <row r="55">
          <cell r="B55" t="str">
            <v>- Cấp phối đá dăm loại I</v>
          </cell>
          <cell r="C55" t="str">
            <v>m3</v>
          </cell>
          <cell r="D55">
            <v>1</v>
          </cell>
          <cell r="E55" t="str">
            <v>"</v>
          </cell>
          <cell r="F55" t="str">
            <v>"</v>
          </cell>
          <cell r="G55" t="str">
            <v>Giá tới chân công trình Thành phố Đà Nẵng</v>
          </cell>
          <cell r="P55">
            <v>215454.54545454544</v>
          </cell>
          <cell r="Q55">
            <v>215454.54545454544</v>
          </cell>
        </row>
        <row r="56">
          <cell r="B56" t="str">
            <v>- Cát</v>
          </cell>
          <cell r="C56" t="str">
            <v>m3</v>
          </cell>
          <cell r="D56">
            <v>1</v>
          </cell>
          <cell r="E56" t="str">
            <v>"</v>
          </cell>
          <cell r="F56" t="str">
            <v>"</v>
          </cell>
          <cell r="G56" t="str">
            <v>Giá tới chân công trình Thành phố Đà Nẵng</v>
          </cell>
          <cell r="P56">
            <v>166363.63636363635</v>
          </cell>
          <cell r="Q56">
            <v>166363.63636363635</v>
          </cell>
        </row>
        <row r="57">
          <cell r="B57" t="str">
            <v>- Xi măng PCB40</v>
          </cell>
          <cell r="C57" t="str">
            <v>tấn</v>
          </cell>
          <cell r="D57">
            <v>1</v>
          </cell>
          <cell r="E57" t="str">
            <v>"</v>
          </cell>
          <cell r="F57" t="str">
            <v>"</v>
          </cell>
          <cell r="G57" t="str">
            <v>Giá tới chân công trình Thành phố Đà Nẵng</v>
          </cell>
          <cell r="P57">
            <v>1227272.7272727271</v>
          </cell>
          <cell r="Q57">
            <v>1227272.7272727271</v>
          </cell>
        </row>
        <row r="58">
          <cell r="B58" t="str">
            <v>- Thép tròn F&lt;10</v>
          </cell>
          <cell r="C58" t="str">
            <v>tấn</v>
          </cell>
          <cell r="D58">
            <v>1</v>
          </cell>
          <cell r="E58" t="str">
            <v>"</v>
          </cell>
          <cell r="F58" t="str">
            <v>"</v>
          </cell>
          <cell r="G58" t="str">
            <v>Giá tới chân công trình Thành phố Đà Nẵng</v>
          </cell>
          <cell r="P58">
            <v>14049999.999999998</v>
          </cell>
          <cell r="Q58">
            <v>14049999.999999998</v>
          </cell>
        </row>
        <row r="59">
          <cell r="B59" t="str">
            <v>- Thép tròn F&gt;10</v>
          </cell>
          <cell r="C59" t="str">
            <v>tấn</v>
          </cell>
          <cell r="D59">
            <v>1</v>
          </cell>
          <cell r="E59" t="str">
            <v>"</v>
          </cell>
          <cell r="F59" t="str">
            <v>"</v>
          </cell>
          <cell r="G59" t="str">
            <v>Giá tới chân công trình Thành phố Đà Nẵng</v>
          </cell>
          <cell r="P59">
            <v>13799999.999999998</v>
          </cell>
          <cell r="Q59">
            <v>13799999.999999998</v>
          </cell>
        </row>
        <row r="60">
          <cell r="B60" t="str">
            <v>- Thép tròn F&lt;18</v>
          </cell>
          <cell r="C60" t="str">
            <v>tấn</v>
          </cell>
          <cell r="D60">
            <v>1</v>
          </cell>
          <cell r="E60" t="str">
            <v>"</v>
          </cell>
          <cell r="F60" t="str">
            <v>"</v>
          </cell>
          <cell r="G60" t="str">
            <v>Giá tới chân công trình Thành phố Đà Nẵng</v>
          </cell>
          <cell r="P60">
            <v>13799999.999999998</v>
          </cell>
          <cell r="Q60">
            <v>13799999.999999998</v>
          </cell>
        </row>
        <row r="61">
          <cell r="B61" t="str">
            <v>- Thép tấm</v>
          </cell>
          <cell r="C61" t="str">
            <v>tấn</v>
          </cell>
          <cell r="D61">
            <v>1</v>
          </cell>
          <cell r="E61" t="str">
            <v>"</v>
          </cell>
          <cell r="F61" t="str">
            <v>"</v>
          </cell>
          <cell r="G61" t="str">
            <v>Giá tới chân công trình Thành phố Đà Nẵng</v>
          </cell>
          <cell r="P61">
            <v>13699999.999999998</v>
          </cell>
          <cell r="Q61">
            <v>13699999.999999998</v>
          </cell>
        </row>
        <row r="62">
          <cell r="B62" t="str">
            <v>(Tạm tính = giá thép hình)</v>
          </cell>
        </row>
        <row r="63">
          <cell r="B63" t="str">
            <v>- Thép hình</v>
          </cell>
          <cell r="C63" t="str">
            <v>tấn</v>
          </cell>
          <cell r="D63">
            <v>1</v>
          </cell>
          <cell r="E63" t="str">
            <v>"</v>
          </cell>
          <cell r="F63" t="str">
            <v>"</v>
          </cell>
          <cell r="G63" t="str">
            <v>Giá tới chân công trình Thành phố Đà Nẵng</v>
          </cell>
          <cell r="P63">
            <v>13699999.999999998</v>
          </cell>
          <cell r="Q63">
            <v>13699999.999999998</v>
          </cell>
        </row>
        <row r="64">
          <cell r="B64" t="str">
            <v>- Sơn dẻo nhiệt màu vàng</v>
          </cell>
          <cell r="C64" t="str">
            <v>kg</v>
          </cell>
          <cell r="D64">
            <v>1</v>
          </cell>
          <cell r="E64" t="str">
            <v>"</v>
          </cell>
          <cell r="F64" t="str">
            <v>"</v>
          </cell>
          <cell r="G64" t="str">
            <v>Giá tới chân công trình Thành phố Đà Nẵng</v>
          </cell>
          <cell r="P64">
            <v>24999.999999999996</v>
          </cell>
          <cell r="Q64">
            <v>24999.999999999996</v>
          </cell>
        </row>
        <row r="65">
          <cell r="B65" t="str">
            <v>- Sơn dẻo nhiệt màu trắng</v>
          </cell>
          <cell r="C65" t="str">
            <v>kg</v>
          </cell>
          <cell r="D65">
            <v>1</v>
          </cell>
          <cell r="E65" t="str">
            <v>"</v>
          </cell>
          <cell r="F65" t="str">
            <v>"</v>
          </cell>
          <cell r="G65" t="str">
            <v>Giá tới chân công trình Thành phố Đà Nẵng</v>
          </cell>
          <cell r="P65">
            <v>24999.999999999996</v>
          </cell>
          <cell r="Q65">
            <v>24999.999999999996</v>
          </cell>
        </row>
        <row r="66">
          <cell r="B66" t="str">
            <v>- Sơn lót</v>
          </cell>
          <cell r="C66" t="str">
            <v>kg</v>
          </cell>
          <cell r="D66">
            <v>1</v>
          </cell>
          <cell r="E66" t="str">
            <v>"</v>
          </cell>
          <cell r="F66" t="str">
            <v>"</v>
          </cell>
          <cell r="G66" t="str">
            <v>Giá tới chân công trình Thành phố Đà Nẵng</v>
          </cell>
          <cell r="P66">
            <v>77272.727272727265</v>
          </cell>
          <cell r="Q66">
            <v>77272.727272727265</v>
          </cell>
        </row>
        <row r="68">
          <cell r="B68" t="str">
            <v>* Thông báo giá ngày 26//02/2018 của Công ty TNHH nhũ tương nhựa đường và xây dựng Đà Nẵng</v>
          </cell>
        </row>
        <row r="69">
          <cell r="B69" t="str">
            <v>- Nhũ tương nhựa đường</v>
          </cell>
          <cell r="C69" t="str">
            <v>tấn</v>
          </cell>
          <cell r="D69">
            <v>1</v>
          </cell>
          <cell r="E69" t="str">
            <v>Kho Đà Nẵng</v>
          </cell>
          <cell r="F69" t="str">
            <v>CT</v>
          </cell>
          <cell r="G69" t="str">
            <v>Giá tới chân công trình Thành phố Đà Nẵng</v>
          </cell>
          <cell r="P69">
            <v>7400000</v>
          </cell>
          <cell r="Q69">
            <v>7400000</v>
          </cell>
        </row>
        <row r="71">
          <cell r="B71" t="str">
            <v>* Thông báo giá số 326A/CV-PLC.NĐ-SPDV ngày 01/10/2017 của Công ty TNHH nhựa đường Petrolimex</v>
          </cell>
        </row>
        <row r="72">
          <cell r="B72" t="str">
            <v>- Nhựa đường</v>
          </cell>
          <cell r="C72" t="str">
            <v>tấn</v>
          </cell>
          <cell r="D72">
            <v>1</v>
          </cell>
          <cell r="E72" t="str">
            <v>Kho Thọ Quang</v>
          </cell>
          <cell r="F72" t="str">
            <v>CT</v>
          </cell>
          <cell r="K72">
            <v>35.1</v>
          </cell>
          <cell r="L72">
            <v>4000</v>
          </cell>
          <cell r="M72">
            <v>140400</v>
          </cell>
          <cell r="O72">
            <v>140400</v>
          </cell>
          <cell r="P72">
            <v>10500000</v>
          </cell>
          <cell r="Q72">
            <v>10640400</v>
          </cell>
        </row>
        <row r="74">
          <cell r="B74" t="str">
            <v>- BTNC12,5</v>
          </cell>
          <cell r="C74" t="str">
            <v>tấn</v>
          </cell>
          <cell r="Q74">
            <v>669522.04092770407</v>
          </cell>
        </row>
        <row r="75">
          <cell r="B75" t="str">
            <v>- BTNC19</v>
          </cell>
          <cell r="C75" t="str">
            <v>tấn</v>
          </cell>
          <cell r="Q75">
            <v>620770.51525072008</v>
          </cell>
        </row>
        <row r="76">
          <cell r="B76" t="str">
            <v>- BTN nguội</v>
          </cell>
          <cell r="C76" t="str">
            <v>tấn</v>
          </cell>
          <cell r="Q76">
            <v>714356.57767272717</v>
          </cell>
        </row>
        <row r="77">
          <cell r="B77" t="str">
            <v>** Độ sụt 2 - 4</v>
          </cell>
        </row>
        <row r="78">
          <cell r="B78" t="str">
            <v>- Vữa bêtông M150 đá 2x4 (độ sụt 2-4)</v>
          </cell>
          <cell r="C78" t="str">
            <v>m3</v>
          </cell>
          <cell r="Q78">
            <v>583784.09090909082</v>
          </cell>
        </row>
        <row r="79">
          <cell r="B79" t="str">
            <v>- Vữa bê tông M200 đá 1x2 (độ sụt 2-4)</v>
          </cell>
          <cell r="C79" t="str">
            <v>m3</v>
          </cell>
          <cell r="Q79">
            <v>709245.90909090894</v>
          </cell>
        </row>
        <row r="80">
          <cell r="B80" t="str">
            <v>- Vữa bê tông M250 đá 1x2 (độ sụt 2-4)</v>
          </cell>
          <cell r="C80" t="str">
            <v>m3</v>
          </cell>
          <cell r="Q80">
            <v>759551.36363636353</v>
          </cell>
        </row>
        <row r="81">
          <cell r="B81" t="str">
            <v>** Độ sụt 6 - 8</v>
          </cell>
        </row>
        <row r="82">
          <cell r="B82" t="str">
            <v>- Vữa bê tông M250 đá 1x2 (độ sụt 6-8)</v>
          </cell>
          <cell r="C82" t="str">
            <v>m3</v>
          </cell>
          <cell r="Q82">
            <v>774484.99999999977</v>
          </cell>
        </row>
        <row r="84">
          <cell r="B84" t="str">
            <v>- Dây thép</v>
          </cell>
          <cell r="C84" t="str">
            <v>kg</v>
          </cell>
          <cell r="Q84">
            <v>20000</v>
          </cell>
        </row>
        <row r="85">
          <cell r="B85" t="str">
            <v>- Đinh</v>
          </cell>
          <cell r="C85" t="str">
            <v>kg</v>
          </cell>
          <cell r="Q85">
            <v>20000</v>
          </cell>
        </row>
        <row r="86">
          <cell r="B86" t="str">
            <v>- Thép buộc</v>
          </cell>
          <cell r="C86" t="str">
            <v>kg</v>
          </cell>
          <cell r="Q86">
            <v>20000</v>
          </cell>
        </row>
        <row r="87">
          <cell r="B87" t="str">
            <v>- Que hàn</v>
          </cell>
          <cell r="C87" t="str">
            <v>kg</v>
          </cell>
          <cell r="Q87">
            <v>21818.181818181816</v>
          </cell>
        </row>
        <row r="88">
          <cell r="B88" t="str">
            <v>- Biển báo tam giác A70</v>
          </cell>
          <cell r="C88" t="str">
            <v>biển</v>
          </cell>
          <cell r="Q88">
            <v>472727.27272727271</v>
          </cell>
        </row>
        <row r="89">
          <cell r="B89" t="str">
            <v>- Biển báo tam giác A90</v>
          </cell>
          <cell r="C89" t="str">
            <v>biển</v>
          </cell>
          <cell r="Q89">
            <v>736363.63636363635</v>
          </cell>
        </row>
        <row r="90">
          <cell r="B90" t="str">
            <v>- Biển báo tròn D70</v>
          </cell>
          <cell r="C90" t="str">
            <v>biển</v>
          </cell>
          <cell r="Q90">
            <v>691818.18181818177</v>
          </cell>
        </row>
        <row r="91">
          <cell r="B91" t="str">
            <v>- Biển báo tròn D90</v>
          </cell>
          <cell r="C91" t="str">
            <v>biển</v>
          </cell>
          <cell r="Q91">
            <v>1127272.7272727273</v>
          </cell>
        </row>
        <row r="92">
          <cell r="B92" t="str">
            <v>- Biển báo hình chữ nhật</v>
          </cell>
          <cell r="C92" t="str">
            <v>m2</v>
          </cell>
          <cell r="Q92">
            <v>1746132.7272727271</v>
          </cell>
        </row>
        <row r="93">
          <cell r="B93" t="str">
            <v>- Biển báo hình vuông</v>
          </cell>
          <cell r="C93" t="str">
            <v>m2</v>
          </cell>
          <cell r="Q93">
            <v>1746132.7272727271</v>
          </cell>
        </row>
        <row r="94">
          <cell r="B94" t="str">
            <v>- Cột đỡ D90</v>
          </cell>
          <cell r="C94" t="str">
            <v>m</v>
          </cell>
          <cell r="Q94">
            <v>138181.81818181818</v>
          </cell>
        </row>
        <row r="95">
          <cell r="B95" t="str">
            <v>- Tấm sóng KT(3320x310x3) mm</v>
          </cell>
          <cell r="C95" t="str">
            <v>tấm</v>
          </cell>
          <cell r="Q95">
            <v>1029090.9090909091</v>
          </cell>
        </row>
        <row r="96">
          <cell r="B96" t="str">
            <v>- Cột hộ lan U(160x100x1500x5)mm</v>
          </cell>
          <cell r="C96" t="str">
            <v>cột</v>
          </cell>
          <cell r="Q96">
            <v>773181.81818181812</v>
          </cell>
        </row>
        <row r="97">
          <cell r="B97" t="str">
            <v>- Hộp đệm U KT(100x100x5)mm</v>
          </cell>
          <cell r="C97" t="str">
            <v>hộp</v>
          </cell>
          <cell r="Q97">
            <v>118181.81818181818</v>
          </cell>
        </row>
        <row r="98">
          <cell r="B98" t="str">
            <v>- Bu lông M20x380</v>
          </cell>
          <cell r="C98" t="str">
            <v>bộ</v>
          </cell>
          <cell r="Q98">
            <v>34545.454545454544</v>
          </cell>
        </row>
        <row r="99">
          <cell r="B99" t="str">
            <v>- Bu lông M16x36</v>
          </cell>
          <cell r="C99" t="str">
            <v>bộ</v>
          </cell>
          <cell r="Q99">
            <v>7545.454545454545</v>
          </cell>
        </row>
        <row r="100">
          <cell r="B100" t="str">
            <v>- Dây dẫn điện</v>
          </cell>
          <cell r="C100" t="str">
            <v>m</v>
          </cell>
          <cell r="Q100">
            <v>4550</v>
          </cell>
        </row>
        <row r="101">
          <cell r="B101" t="str">
            <v>- Bóng đèn</v>
          </cell>
          <cell r="C101" t="str">
            <v>cái</v>
          </cell>
          <cell r="Q101">
            <v>15999.999999999998</v>
          </cell>
        </row>
        <row r="102">
          <cell r="B102" t="str">
            <v>* Công ty Cổ phần thiết bị chiếu sáng Dapulico ngày 29/01/2018</v>
          </cell>
        </row>
        <row r="103">
          <cell r="B103" t="str">
            <v>- Trụ thép mạ kẽm cao 4m</v>
          </cell>
          <cell r="C103" t="str">
            <v>trụ</v>
          </cell>
          <cell r="Q103">
            <v>1980000</v>
          </cell>
        </row>
        <row r="104">
          <cell r="B104" t="str">
            <v>- Đèn chớp vàng D300mm năng lượng mặt trời + giá đỡ + pin năng lượng mặt trời + acquy</v>
          </cell>
          <cell r="C104" t="str">
            <v>bộ</v>
          </cell>
          <cell r="Q104">
            <v>18500000</v>
          </cell>
        </row>
        <row r="105">
          <cell r="B105" t="str">
            <v>- Khung bu lông móng trụ H=4m</v>
          </cell>
          <cell r="C105" t="str">
            <v>bộ</v>
          </cell>
          <cell r="Q105">
            <v>590000</v>
          </cell>
        </row>
        <row r="106">
          <cell r="B106" t="str">
            <v>* Thông báo điều chỉnh của Tập đoàn xăng dầu Việt Nam ngày 21/02/2018</v>
          </cell>
        </row>
        <row r="107">
          <cell r="B107" t="str">
            <v xml:space="preserve">- Dầu diezen </v>
          </cell>
          <cell r="C107" t="str">
            <v>lít</v>
          </cell>
          <cell r="O107" t="str">
            <v>(15.950/1,1)</v>
          </cell>
          <cell r="Q107">
            <v>14281.81818181818</v>
          </cell>
        </row>
        <row r="108">
          <cell r="B108" t="str">
            <v>- Dầu diezen</v>
          </cell>
          <cell r="C108" t="str">
            <v>kg</v>
          </cell>
          <cell r="O108" t="str">
            <v>(14281.81818/0,87)</v>
          </cell>
          <cell r="Q108">
            <v>16415.882967607104</v>
          </cell>
        </row>
        <row r="109">
          <cell r="B109" t="str">
            <v>- Dầu mazut</v>
          </cell>
          <cell r="C109" t="str">
            <v>kg</v>
          </cell>
          <cell r="O109" t="str">
            <v>(12.420/1,1)</v>
          </cell>
          <cell r="Q109">
            <v>11290.90909090909</v>
          </cell>
        </row>
        <row r="110">
          <cell r="B110" t="str">
            <v>- Dầu hỏa</v>
          </cell>
          <cell r="C110" t="str">
            <v>lít</v>
          </cell>
          <cell r="O110" t="str">
            <v>(14560/1,1)</v>
          </cell>
          <cell r="Q110">
            <v>13236.363636363636</v>
          </cell>
        </row>
        <row r="111">
          <cell r="B111" t="str">
            <v>- Dầu bảo ôn</v>
          </cell>
          <cell r="C111" t="str">
            <v>kg</v>
          </cell>
          <cell r="D111" t="str">
            <v>* Đơn giá xây dựng TP Đà Nẵng: số 9073/QĐ-UBND ngày 29/12/2016 của UBND TP Đà Nẵng</v>
          </cell>
          <cell r="Q111">
            <v>31818</v>
          </cell>
        </row>
        <row r="112">
          <cell r="B112" t="str">
            <v>- Gas</v>
          </cell>
          <cell r="C112" t="str">
            <v>kg</v>
          </cell>
          <cell r="D112" t="str">
            <v>* Theo giá www.pgas.petrolimex.com.vn ngày 26/02/2018</v>
          </cell>
          <cell r="O112" t="str">
            <v>(352.000/1,1/12)</v>
          </cell>
          <cell r="Q112">
            <v>26666.666666666668</v>
          </cell>
        </row>
        <row r="113">
          <cell r="B113" t="str">
            <v>* Đơn giá xây dựng: số 9073/QĐ-UBND ngày 29/12/2016 của UBND Thành phố Đà Nẵng</v>
          </cell>
        </row>
        <row r="114">
          <cell r="B114" t="str">
            <v>- Củi</v>
          </cell>
          <cell r="C114" t="str">
            <v>kg</v>
          </cell>
          <cell r="Q114">
            <v>1000</v>
          </cell>
        </row>
        <row r="115">
          <cell r="B115" t="str">
            <v>- Đất đèn</v>
          </cell>
          <cell r="C115" t="str">
            <v>kg</v>
          </cell>
          <cell r="Q115">
            <v>8636</v>
          </cell>
        </row>
        <row r="116">
          <cell r="B116" t="str">
            <v>- Đinh đỉa</v>
          </cell>
          <cell r="C116" t="str">
            <v>cái</v>
          </cell>
          <cell r="Q116">
            <v>3000</v>
          </cell>
        </row>
        <row r="117">
          <cell r="B117" t="str">
            <v>- Ô xy</v>
          </cell>
          <cell r="C117" t="str">
            <v>chai</v>
          </cell>
          <cell r="Q117">
            <v>90909</v>
          </cell>
        </row>
        <row r="118">
          <cell r="B118" t="str">
            <v>- Ống nhựa PVC D76cm</v>
          </cell>
          <cell r="C118" t="str">
            <v>m</v>
          </cell>
          <cell r="Q118">
            <v>34500</v>
          </cell>
        </row>
        <row r="119">
          <cell r="B119" t="str">
            <v>- Nước</v>
          </cell>
          <cell r="C119" t="str">
            <v>lít</v>
          </cell>
          <cell r="Q119">
            <v>7</v>
          </cell>
        </row>
        <row r="120">
          <cell r="B120" t="str">
            <v>* Tham khảo đơn giá thị trường</v>
          </cell>
        </row>
        <row r="121">
          <cell r="B121" t="str">
            <v>- Răng cào</v>
          </cell>
          <cell r="C121" t="str">
            <v>cái</v>
          </cell>
          <cell r="D121" t="str">
            <v>* Công ty CP Xây dựng và Thương mại Sao Phương Đông ngày 26/01/2018</v>
          </cell>
          <cell r="O121" t="str">
            <v>(92 cái * 128.000)</v>
          </cell>
          <cell r="Q121">
            <v>11776000</v>
          </cell>
        </row>
        <row r="122">
          <cell r="B122" t="str">
            <v>- Đèn cảnh báo SPL-130-PMDY</v>
          </cell>
          <cell r="C122" t="str">
            <v>cái</v>
          </cell>
          <cell r="D122" t="str">
            <v>* Báo giá của Cty Trực Nhân ngày 01/9/2017</v>
          </cell>
          <cell r="Q122">
            <v>2030600</v>
          </cell>
        </row>
        <row r="123">
          <cell r="B123" t="str">
            <v>- Chóp su</v>
          </cell>
          <cell r="C123" t="str">
            <v>cái</v>
          </cell>
          <cell r="E123" t="str">
            <v>"</v>
          </cell>
          <cell r="Q123">
            <v>176000</v>
          </cell>
        </row>
        <row r="124">
          <cell r="B124" t="str">
            <v>- Lưỡi cắt bê tông loại 356mm</v>
          </cell>
          <cell r="C124" t="str">
            <v>cái</v>
          </cell>
          <cell r="D124" t="str">
            <v>* Giá thị trường</v>
          </cell>
          <cell r="Q124">
            <v>727272.72727272718</v>
          </cell>
        </row>
        <row r="125">
          <cell r="B125" t="str">
            <v>- Dây phản quang</v>
          </cell>
          <cell r="C125" t="str">
            <v>cuộn</v>
          </cell>
          <cell r="E125" t="str">
            <v>"</v>
          </cell>
          <cell r="Q125">
            <v>68181.818181818177</v>
          </cell>
        </row>
        <row r="126">
          <cell r="B126" t="str">
            <v>- Cọc giao thông dạng đứng</v>
          </cell>
          <cell r="C126" t="str">
            <v>cái</v>
          </cell>
          <cell r="D126" t="str">
            <v>www.vatgia.com</v>
          </cell>
          <cell r="Q126">
            <v>95454.545454545441</v>
          </cell>
        </row>
        <row r="127">
          <cell r="B127" t="str">
            <v>- Đệm chống va chạm</v>
          </cell>
          <cell r="C127" t="str">
            <v>cái</v>
          </cell>
          <cell r="Q127">
            <v>2000000</v>
          </cell>
        </row>
        <row r="128">
          <cell r="B128" t="str">
            <v>- Dải phân cách chứa nước</v>
          </cell>
          <cell r="C128" t="str">
            <v>m</v>
          </cell>
          <cell r="Q128">
            <v>533333.33333333337</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Thuyetminh"/>
      <sheetName val=" TDT"/>
      <sheetName val=" TMDT PA2"/>
      <sheetName val="THKP"/>
      <sheetName val="THKP PA2"/>
      <sheetName val="THKP PA3"/>
      <sheetName val="Dự toán chi tiết"/>
      <sheetName val="Đơn giá chi tiết"/>
      <sheetName val="VL"/>
      <sheetName val="PL vua"/>
      <sheetName val="phi VCVL"/>
      <sheetName val="DGNC"/>
      <sheetName val="Gia ca may"/>
      <sheetName val="kHOI LUONG"/>
      <sheetName val="cao do gk"/>
      <sheetName val="Bang tong ho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66">
          <cell r="G66">
            <v>25000</v>
          </cell>
        </row>
      </sheetData>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rtUp"/>
      <sheetName val="THKL"/>
      <sheetName val="TH (chinh)"/>
      <sheetName val="TH tuyen 1"/>
      <sheetName val="TH tuyen 2"/>
      <sheetName val="T.hop chung (chinh)"/>
      <sheetName val="cong (chinh)"/>
      <sheetName val="cau ban 2.4 (chinh)"/>
      <sheetName val="cau ban 5.4 (chinh)"/>
      <sheetName val="RCL(chinh)"/>
      <sheetName val="00000000"/>
      <sheetName val="Thong ke ranh"/>
      <sheetName val="Sheet1"/>
    </sheetNames>
    <sheetDataSet>
      <sheetData sheetId="0"/>
      <sheetData sheetId="1"/>
      <sheetData sheetId="2"/>
      <sheetData sheetId="3"/>
      <sheetData sheetId="4">
        <row r="11">
          <cell r="D11">
            <v>100.55000000000001</v>
          </cell>
        </row>
        <row r="12">
          <cell r="D12">
            <v>932.07999999999993</v>
          </cell>
        </row>
        <row r="14">
          <cell r="D14">
            <v>3092.2200000000003</v>
          </cell>
        </row>
        <row r="16">
          <cell r="D16">
            <v>219.54</v>
          </cell>
        </row>
        <row r="19">
          <cell r="D19">
            <v>1587.75</v>
          </cell>
        </row>
        <row r="20">
          <cell r="D20">
            <v>156.26</v>
          </cell>
        </row>
      </sheetData>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M780"/>
  <sheetViews>
    <sheetView topLeftCell="B521" zoomScale="85" zoomScaleNormal="85" workbookViewId="0">
      <selection activeCell="P519" sqref="P519"/>
    </sheetView>
  </sheetViews>
  <sheetFormatPr defaultColWidth="8.88671875" defaultRowHeight="13.8"/>
  <cols>
    <col min="1" max="1" width="11.109375" style="8" hidden="1" customWidth="1"/>
    <col min="2" max="2" width="5.21875" style="8" customWidth="1"/>
    <col min="3" max="3" width="39" style="8" hidden="1" customWidth="1"/>
    <col min="4" max="4" width="46.109375" style="8" customWidth="1"/>
    <col min="5" max="5" width="11.33203125" style="8" customWidth="1"/>
    <col min="6" max="6" width="11.77734375" style="8" customWidth="1"/>
    <col min="7" max="8" width="10.77734375" style="8" hidden="1" customWidth="1"/>
    <col min="9" max="9" width="13" style="8" customWidth="1"/>
    <col min="10" max="10" width="19" style="8" customWidth="1"/>
    <col min="11" max="11" width="16" style="8" customWidth="1"/>
    <col min="12" max="12" width="19.88671875" style="8" bestFit="1" customWidth="1"/>
    <col min="13" max="16384" width="8.88671875" style="8"/>
  </cols>
  <sheetData>
    <row r="1" spans="1:12" s="7" customFormat="1" ht="17.399999999999999">
      <c r="A1" s="33"/>
      <c r="B1" s="192" t="s">
        <v>620</v>
      </c>
      <c r="C1" s="192"/>
      <c r="D1" s="192"/>
      <c r="E1" s="192"/>
      <c r="F1" s="192"/>
      <c r="G1" s="192"/>
      <c r="H1" s="192"/>
      <c r="I1" s="192"/>
      <c r="J1" s="192"/>
      <c r="K1" s="192"/>
    </row>
    <row r="2" spans="1:12" s="7" customFormat="1" ht="3" customHeight="1">
      <c r="A2" s="193"/>
      <c r="B2" s="193"/>
      <c r="C2" s="193"/>
      <c r="D2" s="193"/>
      <c r="E2" s="193"/>
      <c r="F2" s="193"/>
      <c r="G2" s="193"/>
      <c r="H2" s="193"/>
      <c r="I2" s="193"/>
      <c r="J2" s="53"/>
      <c r="K2" s="53"/>
    </row>
    <row r="3" spans="1:12" s="7" customFormat="1" ht="24" customHeight="1">
      <c r="A3" s="33"/>
      <c r="B3" s="194" t="s">
        <v>775</v>
      </c>
      <c r="C3" s="194"/>
      <c r="D3" s="194"/>
      <c r="E3" s="194"/>
      <c r="F3" s="194"/>
      <c r="G3" s="194"/>
      <c r="H3" s="194"/>
      <c r="I3" s="194"/>
      <c r="J3" s="194"/>
      <c r="K3" s="194"/>
    </row>
    <row r="4" spans="1:12" s="7" customFormat="1" ht="18.600000000000001" hidden="1" customHeight="1">
      <c r="A4" s="33"/>
      <c r="B4" s="195" t="s">
        <v>631</v>
      </c>
      <c r="C4" s="195"/>
      <c r="D4" s="195"/>
      <c r="E4" s="195"/>
      <c r="F4" s="195"/>
      <c r="G4" s="195"/>
      <c r="H4" s="195"/>
      <c r="I4" s="195"/>
      <c r="J4" s="195"/>
      <c r="K4" s="195"/>
    </row>
    <row r="5" spans="1:12" s="7" customFormat="1" ht="12.6" customHeight="1">
      <c r="A5" s="33"/>
      <c r="B5" s="53"/>
      <c r="C5" s="53"/>
      <c r="D5" s="53"/>
      <c r="E5" s="53"/>
      <c r="F5" s="53"/>
      <c r="G5" s="53"/>
      <c r="H5" s="53"/>
      <c r="I5" s="53"/>
      <c r="J5" s="53"/>
      <c r="K5" s="53"/>
    </row>
    <row r="6" spans="1:12" s="7" customFormat="1" ht="43.95" customHeight="1">
      <c r="A6" s="33"/>
      <c r="B6" s="33" t="s">
        <v>622</v>
      </c>
      <c r="C6" s="182" t="s">
        <v>621</v>
      </c>
      <c r="D6" s="182"/>
      <c r="E6" s="182"/>
      <c r="F6" s="182"/>
      <c r="G6" s="182"/>
      <c r="H6" s="182"/>
      <c r="I6" s="182"/>
      <c r="J6" s="182"/>
      <c r="K6" s="182"/>
    </row>
    <row r="7" spans="1:12" s="7" customFormat="1" ht="43.95" customHeight="1">
      <c r="A7" s="33"/>
      <c r="B7" s="33"/>
      <c r="C7" s="182" t="s">
        <v>623</v>
      </c>
      <c r="D7" s="182"/>
      <c r="E7" s="182"/>
      <c r="F7" s="182"/>
      <c r="G7" s="182"/>
      <c r="H7" s="182"/>
      <c r="I7" s="182"/>
      <c r="J7" s="182"/>
      <c r="K7" s="182"/>
    </row>
    <row r="8" spans="1:12" s="7" customFormat="1" ht="25.2" customHeight="1">
      <c r="A8" s="33"/>
      <c r="B8" s="33"/>
      <c r="C8" s="182" t="s">
        <v>624</v>
      </c>
      <c r="D8" s="182"/>
      <c r="E8" s="182"/>
      <c r="F8" s="182"/>
      <c r="G8" s="182"/>
      <c r="H8" s="182"/>
      <c r="I8" s="182"/>
      <c r="J8" s="182"/>
      <c r="K8" s="182"/>
    </row>
    <row r="9" spans="1:12" s="7" customFormat="1" ht="25.2" customHeight="1">
      <c r="A9" s="33"/>
      <c r="B9" s="33"/>
      <c r="C9" s="182" t="s">
        <v>625</v>
      </c>
      <c r="D9" s="182"/>
      <c r="E9" s="182"/>
      <c r="F9" s="182"/>
      <c r="G9" s="182"/>
      <c r="H9" s="182"/>
      <c r="I9" s="182"/>
      <c r="J9" s="182"/>
      <c r="K9" s="182"/>
    </row>
    <row r="10" spans="1:12" s="7" customFormat="1" ht="21" customHeight="1">
      <c r="A10" s="33"/>
      <c r="B10" s="33"/>
      <c r="C10" s="57"/>
      <c r="D10" s="182" t="s">
        <v>783</v>
      </c>
      <c r="E10" s="182"/>
      <c r="F10" s="182"/>
      <c r="G10" s="182"/>
      <c r="H10" s="182"/>
      <c r="I10" s="182"/>
      <c r="J10" s="182"/>
      <c r="K10" s="182"/>
    </row>
    <row r="11" spans="1:12" s="7" customFormat="1" ht="15.75" customHeight="1">
      <c r="A11" s="33"/>
      <c r="B11" s="33"/>
      <c r="C11" s="57"/>
      <c r="D11" s="182" t="s">
        <v>784</v>
      </c>
      <c r="E11" s="182"/>
      <c r="F11" s="182"/>
      <c r="G11" s="182"/>
      <c r="H11" s="182"/>
      <c r="I11" s="182"/>
      <c r="J11" s="182"/>
      <c r="K11" s="182"/>
    </row>
    <row r="12" spans="1:12" s="7" customFormat="1" ht="9.75" customHeight="1">
      <c r="A12" s="53"/>
      <c r="B12" s="53"/>
      <c r="C12" s="54"/>
      <c r="D12" s="54"/>
      <c r="E12" s="54"/>
      <c r="F12" s="54"/>
      <c r="G12" s="54"/>
      <c r="H12" s="54"/>
      <c r="I12" s="54"/>
      <c r="J12" s="54"/>
      <c r="K12" s="54"/>
    </row>
    <row r="13" spans="1:12" ht="7.5" customHeight="1">
      <c r="B13" s="196" t="s">
        <v>0</v>
      </c>
      <c r="C13" s="41"/>
      <c r="D13" s="196" t="s">
        <v>319</v>
      </c>
      <c r="E13" s="196" t="s">
        <v>320</v>
      </c>
      <c r="F13" s="200" t="s">
        <v>776</v>
      </c>
      <c r="G13" s="201"/>
      <c r="H13" s="202"/>
      <c r="I13" s="196" t="s">
        <v>626</v>
      </c>
      <c r="J13" s="196" t="s">
        <v>777</v>
      </c>
      <c r="K13" s="199" t="s">
        <v>785</v>
      </c>
      <c r="L13" s="189" t="s">
        <v>786</v>
      </c>
    </row>
    <row r="14" spans="1:12" s="5" customFormat="1" ht="12.75" customHeight="1">
      <c r="A14" s="51" t="s">
        <v>13</v>
      </c>
      <c r="B14" s="197"/>
      <c r="C14" s="55" t="s">
        <v>26</v>
      </c>
      <c r="D14" s="197"/>
      <c r="E14" s="197"/>
      <c r="F14" s="203"/>
      <c r="G14" s="180"/>
      <c r="H14" s="204"/>
      <c r="I14" s="197"/>
      <c r="J14" s="197"/>
      <c r="K14" s="199"/>
      <c r="L14" s="190"/>
    </row>
    <row r="15" spans="1:12" s="5" customFormat="1" ht="11.25" customHeight="1">
      <c r="A15" s="51"/>
      <c r="B15" s="198"/>
      <c r="C15" s="55"/>
      <c r="D15" s="198"/>
      <c r="E15" s="198"/>
      <c r="F15" s="205"/>
      <c r="G15" s="206"/>
      <c r="H15" s="207"/>
      <c r="I15" s="198"/>
      <c r="J15" s="198"/>
      <c r="K15" s="199"/>
      <c r="L15" s="191"/>
    </row>
    <row r="16" spans="1:12" s="5" customFormat="1" ht="18.600000000000001" customHeight="1">
      <c r="A16" s="9"/>
      <c r="B16" s="9" t="s">
        <v>8</v>
      </c>
      <c r="C16" s="9" t="s">
        <v>9</v>
      </c>
      <c r="D16" s="9" t="s">
        <v>9</v>
      </c>
      <c r="E16" s="9" t="s">
        <v>10</v>
      </c>
      <c r="F16" s="52" t="s">
        <v>619</v>
      </c>
      <c r="G16" s="9" t="s">
        <v>618</v>
      </c>
      <c r="H16" s="9" t="s">
        <v>619</v>
      </c>
      <c r="I16" s="9" t="s">
        <v>632</v>
      </c>
      <c r="J16" s="52" t="s">
        <v>633</v>
      </c>
      <c r="K16" s="95" t="s">
        <v>634</v>
      </c>
      <c r="L16" s="94"/>
    </row>
    <row r="17" spans="1:12" s="5" customFormat="1" ht="15.6">
      <c r="A17" s="1"/>
      <c r="B17" s="1" t="s">
        <v>612</v>
      </c>
      <c r="C17" s="10" t="s">
        <v>11</v>
      </c>
      <c r="D17" s="10" t="s">
        <v>1</v>
      </c>
      <c r="E17" s="10"/>
      <c r="F17" s="11"/>
      <c r="G17" s="11"/>
      <c r="H17" s="11"/>
      <c r="I17" s="4"/>
      <c r="J17" s="4">
        <v>57330842545.13588</v>
      </c>
      <c r="K17" s="4"/>
      <c r="L17" s="96"/>
    </row>
    <row r="18" spans="1:12" s="23" customFormat="1" ht="15.6">
      <c r="A18" s="19"/>
      <c r="B18" s="34" t="s">
        <v>2</v>
      </c>
      <c r="C18" s="35" t="s">
        <v>15</v>
      </c>
      <c r="D18" s="20" t="s">
        <v>505</v>
      </c>
      <c r="E18" s="21"/>
      <c r="F18" s="36"/>
      <c r="G18" s="36"/>
      <c r="H18" s="36"/>
      <c r="I18" s="22"/>
      <c r="J18" s="22"/>
      <c r="K18" s="22"/>
      <c r="L18" s="97"/>
    </row>
    <row r="19" spans="1:12" s="23" customFormat="1" ht="27.6">
      <c r="A19" s="19"/>
      <c r="B19" s="34" t="s">
        <v>14</v>
      </c>
      <c r="C19" s="35" t="s">
        <v>16</v>
      </c>
      <c r="D19" s="20" t="s">
        <v>506</v>
      </c>
      <c r="E19" s="21"/>
      <c r="F19" s="36"/>
      <c r="G19" s="36"/>
      <c r="H19" s="36"/>
      <c r="I19" s="22"/>
      <c r="J19" s="22">
        <v>14099777535.388613</v>
      </c>
      <c r="K19" s="22"/>
      <c r="L19" s="97"/>
    </row>
    <row r="20" spans="1:12" ht="15.6">
      <c r="A20" s="2"/>
      <c r="B20" s="2"/>
      <c r="C20" s="12" t="s">
        <v>50</v>
      </c>
      <c r="D20" s="12" t="s">
        <v>507</v>
      </c>
      <c r="E20" s="13"/>
      <c r="F20" s="30"/>
      <c r="G20" s="30"/>
      <c r="H20" s="30"/>
      <c r="I20" s="14"/>
      <c r="J20" s="14"/>
      <c r="K20" s="14"/>
      <c r="L20" s="93"/>
    </row>
    <row r="21" spans="1:12" ht="15.6">
      <c r="A21" s="2"/>
      <c r="B21" s="2"/>
      <c r="C21" s="12" t="s">
        <v>29</v>
      </c>
      <c r="D21" s="12" t="s">
        <v>349</v>
      </c>
      <c r="E21" s="13"/>
      <c r="F21" s="30"/>
      <c r="G21" s="30"/>
      <c r="H21" s="30"/>
      <c r="I21" s="14"/>
      <c r="J21" s="14"/>
      <c r="K21" s="14"/>
      <c r="L21" s="93"/>
    </row>
    <row r="22" spans="1:12" s="68" customFormat="1" ht="15.6">
      <c r="A22" s="63" t="s">
        <v>722</v>
      </c>
      <c r="B22" s="63">
        <v>1</v>
      </c>
      <c r="C22" s="64" t="s">
        <v>154</v>
      </c>
      <c r="D22" s="64" t="s">
        <v>508</v>
      </c>
      <c r="E22" s="65" t="s">
        <v>145</v>
      </c>
      <c r="F22" s="66">
        <v>2.0840000000000001</v>
      </c>
      <c r="G22" s="66"/>
      <c r="H22" s="66"/>
      <c r="I22" s="67">
        <v>1554612.8376480625</v>
      </c>
      <c r="J22" s="67">
        <v>3239813.1536585623</v>
      </c>
      <c r="K22" s="66">
        <v>2.084</v>
      </c>
      <c r="L22" s="98"/>
    </row>
    <row r="23" spans="1:12" s="68" customFormat="1" ht="27.6">
      <c r="A23" s="63" t="s">
        <v>636</v>
      </c>
      <c r="B23" s="63">
        <v>2</v>
      </c>
      <c r="C23" s="64" t="s">
        <v>30</v>
      </c>
      <c r="D23" s="64" t="s">
        <v>393</v>
      </c>
      <c r="E23" s="65" t="s">
        <v>145</v>
      </c>
      <c r="F23" s="66">
        <v>6.6120000000000001</v>
      </c>
      <c r="G23" s="66"/>
      <c r="H23" s="66"/>
      <c r="I23" s="67">
        <v>1836887.8439921292</v>
      </c>
      <c r="J23" s="67">
        <v>12145502.424475959</v>
      </c>
      <c r="K23" s="66">
        <v>6.612</v>
      </c>
      <c r="L23" s="98"/>
    </row>
    <row r="24" spans="1:12" s="68" customFormat="1" ht="27.6">
      <c r="A24" s="63" t="s">
        <v>637</v>
      </c>
      <c r="B24" s="63">
        <v>3</v>
      </c>
      <c r="C24" s="64" t="s">
        <v>31</v>
      </c>
      <c r="D24" s="64" t="s">
        <v>394</v>
      </c>
      <c r="E24" s="65" t="s">
        <v>145</v>
      </c>
      <c r="F24" s="66">
        <v>25.094000000000001</v>
      </c>
      <c r="G24" s="66"/>
      <c r="H24" s="66"/>
      <c r="I24" s="67">
        <v>2188408.2087078919</v>
      </c>
      <c r="J24" s="67">
        <v>54915915.589315839</v>
      </c>
      <c r="K24" s="66">
        <v>11.898969499999998</v>
      </c>
      <c r="L24" s="98"/>
    </row>
    <row r="25" spans="1:12" s="68" customFormat="1" ht="27.6">
      <c r="A25" s="63" t="s">
        <v>641</v>
      </c>
      <c r="B25" s="63">
        <v>4</v>
      </c>
      <c r="C25" s="64" t="s">
        <v>34</v>
      </c>
      <c r="D25" s="64" t="s">
        <v>397</v>
      </c>
      <c r="E25" s="65" t="s">
        <v>145</v>
      </c>
      <c r="F25" s="66">
        <v>136.21100000000001</v>
      </c>
      <c r="G25" s="66"/>
      <c r="H25" s="66"/>
      <c r="I25" s="67">
        <v>2227071.2377586598</v>
      </c>
      <c r="J25" s="67">
        <v>303351600.36634481</v>
      </c>
      <c r="K25" s="66">
        <v>101.49783150000003</v>
      </c>
      <c r="L25" s="98"/>
    </row>
    <row r="26" spans="1:12" s="68" customFormat="1" ht="27.6">
      <c r="A26" s="63" t="s">
        <v>642</v>
      </c>
      <c r="B26" s="63">
        <v>5</v>
      </c>
      <c r="C26" s="64" t="s">
        <v>35</v>
      </c>
      <c r="D26" s="64" t="s">
        <v>398</v>
      </c>
      <c r="E26" s="65" t="s">
        <v>145</v>
      </c>
      <c r="F26" s="66">
        <v>20.661000000000001</v>
      </c>
      <c r="G26" s="66"/>
      <c r="H26" s="66"/>
      <c r="I26" s="67">
        <v>2625420.8105833116</v>
      </c>
      <c r="J26" s="67">
        <v>54243819.367461808</v>
      </c>
      <c r="K26" s="66">
        <v>18.465399</v>
      </c>
      <c r="L26" s="98"/>
    </row>
    <row r="27" spans="1:12" s="68" customFormat="1" ht="27.6">
      <c r="A27" s="63" t="s">
        <v>643</v>
      </c>
      <c r="B27" s="63">
        <v>6</v>
      </c>
      <c r="C27" s="64" t="s">
        <v>36</v>
      </c>
      <c r="D27" s="64" t="s">
        <v>399</v>
      </c>
      <c r="E27" s="65" t="s">
        <v>145</v>
      </c>
      <c r="F27" s="66">
        <v>29.792999999999999</v>
      </c>
      <c r="G27" s="66"/>
      <c r="H27" s="66"/>
      <c r="I27" s="67">
        <v>1171462.5022504972</v>
      </c>
      <c r="J27" s="67">
        <v>34901382.329549067</v>
      </c>
      <c r="K27" s="66">
        <v>19.808431499999998</v>
      </c>
      <c r="L27" s="98"/>
    </row>
    <row r="28" spans="1:12" s="68" customFormat="1" ht="27.6">
      <c r="A28" s="63" t="s">
        <v>644</v>
      </c>
      <c r="B28" s="63">
        <v>7</v>
      </c>
      <c r="C28" s="64" t="s">
        <v>37</v>
      </c>
      <c r="D28" s="64" t="s">
        <v>400</v>
      </c>
      <c r="E28" s="65" t="s">
        <v>145</v>
      </c>
      <c r="F28" s="66">
        <v>86.186999999999998</v>
      </c>
      <c r="G28" s="66"/>
      <c r="H28" s="66"/>
      <c r="I28" s="67">
        <v>1425673.6652315694</v>
      </c>
      <c r="J28" s="67">
        <v>122874536.18531327</v>
      </c>
      <c r="K28" s="66">
        <v>62.404125000000015</v>
      </c>
      <c r="L28" s="98"/>
    </row>
    <row r="29" spans="1:12" s="74" customFormat="1" ht="15.6">
      <c r="A29" s="69"/>
      <c r="B29" s="69"/>
      <c r="C29" s="70" t="s">
        <v>155</v>
      </c>
      <c r="D29" s="70" t="s">
        <v>509</v>
      </c>
      <c r="E29" s="71"/>
      <c r="F29" s="72"/>
      <c r="G29" s="72"/>
      <c r="H29" s="72"/>
      <c r="I29" s="73"/>
      <c r="J29" s="73"/>
      <c r="K29" s="73"/>
      <c r="L29" s="99"/>
    </row>
    <row r="30" spans="1:12" s="68" customFormat="1" ht="15.6">
      <c r="A30" s="63" t="s">
        <v>649</v>
      </c>
      <c r="B30" s="63">
        <v>8</v>
      </c>
      <c r="C30" s="64" t="s">
        <v>42</v>
      </c>
      <c r="D30" s="64" t="s">
        <v>405</v>
      </c>
      <c r="E30" s="65" t="s">
        <v>145</v>
      </c>
      <c r="F30" s="66">
        <v>8.6959999999999997</v>
      </c>
      <c r="G30" s="66"/>
      <c r="H30" s="66"/>
      <c r="I30" s="67">
        <v>1529705.7655680522</v>
      </c>
      <c r="J30" s="67">
        <v>13302321.337379782</v>
      </c>
      <c r="K30" s="66">
        <v>8.696</v>
      </c>
      <c r="L30" s="98"/>
    </row>
    <row r="31" spans="1:12" s="68" customFormat="1" ht="27.6">
      <c r="A31" s="63" t="s">
        <v>650</v>
      </c>
      <c r="B31" s="63">
        <v>9</v>
      </c>
      <c r="C31" s="64" t="s">
        <v>156</v>
      </c>
      <c r="D31" s="64" t="s">
        <v>510</v>
      </c>
      <c r="E31" s="65" t="s">
        <v>145</v>
      </c>
      <c r="F31" s="66">
        <v>8.6959999999999997</v>
      </c>
      <c r="G31" s="66"/>
      <c r="H31" s="66"/>
      <c r="I31" s="67">
        <v>467157.2717940961</v>
      </c>
      <c r="J31" s="67">
        <v>4062399.6355214594</v>
      </c>
      <c r="K31" s="66">
        <v>8.696</v>
      </c>
      <c r="L31" s="98"/>
    </row>
    <row r="32" spans="1:12" s="68" customFormat="1" ht="27.6">
      <c r="A32" s="63" t="s">
        <v>653</v>
      </c>
      <c r="B32" s="63">
        <v>10</v>
      </c>
      <c r="C32" s="64" t="s">
        <v>44</v>
      </c>
      <c r="D32" s="64" t="s">
        <v>407</v>
      </c>
      <c r="E32" s="65" t="s">
        <v>145</v>
      </c>
      <c r="F32" s="66">
        <v>133.643</v>
      </c>
      <c r="G32" s="66"/>
      <c r="H32" s="66"/>
      <c r="I32" s="67">
        <v>1333705.1741035152</v>
      </c>
      <c r="J32" s="67">
        <v>178240360.58271608</v>
      </c>
      <c r="K32" s="66">
        <v>96.25940600000001</v>
      </c>
      <c r="L32" s="98"/>
    </row>
    <row r="33" spans="1:12" s="68" customFormat="1" ht="15.6">
      <c r="A33" s="63" t="s">
        <v>654</v>
      </c>
      <c r="B33" s="63">
        <v>11</v>
      </c>
      <c r="C33" s="64" t="s">
        <v>46</v>
      </c>
      <c r="D33" s="64" t="s">
        <v>409</v>
      </c>
      <c r="E33" s="65" t="s">
        <v>145</v>
      </c>
      <c r="F33" s="66">
        <v>2.609</v>
      </c>
      <c r="G33" s="66"/>
      <c r="H33" s="66"/>
      <c r="I33" s="67">
        <v>190467.36151284951</v>
      </c>
      <c r="J33" s="67">
        <v>496929.34618702438</v>
      </c>
      <c r="K33" s="66">
        <v>1.7392</v>
      </c>
      <c r="L33" s="98"/>
    </row>
    <row r="34" spans="1:12" s="68" customFormat="1" ht="15.6">
      <c r="A34" s="63" t="s">
        <v>656</v>
      </c>
      <c r="B34" s="63">
        <v>12</v>
      </c>
      <c r="C34" s="64" t="s">
        <v>48</v>
      </c>
      <c r="D34" s="64" t="s">
        <v>411</v>
      </c>
      <c r="E34" s="65" t="s">
        <v>149</v>
      </c>
      <c r="F34" s="66">
        <v>22.02</v>
      </c>
      <c r="G34" s="66"/>
      <c r="H34" s="66"/>
      <c r="I34" s="67">
        <v>1543637.4150644999</v>
      </c>
      <c r="J34" s="67">
        <v>33990895.879720286</v>
      </c>
      <c r="K34" s="66">
        <v>0.0</v>
      </c>
      <c r="L34" s="98"/>
    </row>
    <row r="35" spans="1:12" s="68" customFormat="1" ht="15.6">
      <c r="A35" s="63" t="s">
        <v>657</v>
      </c>
      <c r="B35" s="63">
        <v>13</v>
      </c>
      <c r="C35" s="64" t="s">
        <v>49</v>
      </c>
      <c r="D35" s="64" t="s">
        <v>412</v>
      </c>
      <c r="E35" s="65" t="s">
        <v>149</v>
      </c>
      <c r="F35" s="66">
        <v>22.02</v>
      </c>
      <c r="G35" s="66"/>
      <c r="H35" s="66"/>
      <c r="I35" s="67">
        <v>24502.1811915</v>
      </c>
      <c r="J35" s="67">
        <v>539538.02983682998</v>
      </c>
      <c r="K35" s="66">
        <v>0.0</v>
      </c>
      <c r="L35" s="98"/>
    </row>
    <row r="36" spans="1:12" s="18" customFormat="1" ht="15.6">
      <c r="A36" s="3"/>
      <c r="B36" s="3"/>
      <c r="C36" s="15" t="s">
        <v>50</v>
      </c>
      <c r="D36" s="15" t="s">
        <v>350</v>
      </c>
      <c r="E36" s="16"/>
      <c r="F36" s="32"/>
      <c r="G36" s="32"/>
      <c r="H36" s="32"/>
      <c r="I36" s="17"/>
      <c r="J36" s="17"/>
      <c r="K36" s="17"/>
      <c r="L36" s="100"/>
    </row>
    <row r="37" spans="1:12" s="80" customFormat="1" ht="41.4">
      <c r="A37" s="75" t="s">
        <v>658</v>
      </c>
      <c r="B37" s="75">
        <v>14</v>
      </c>
      <c r="C37" s="76" t="s">
        <v>51</v>
      </c>
      <c r="D37" s="76" t="s">
        <v>413</v>
      </c>
      <c r="E37" s="77" t="s">
        <v>149</v>
      </c>
      <c r="F37" s="78">
        <v>184.006</v>
      </c>
      <c r="G37" s="78"/>
      <c r="H37" s="78"/>
      <c r="I37" s="79">
        <v>1171371.4977983192</v>
      </c>
      <c r="J37" s="79">
        <v>215539383.82387751</v>
      </c>
      <c r="K37" s="78">
        <v>0.0</v>
      </c>
      <c r="L37" s="101"/>
    </row>
    <row r="38" spans="1:12" s="80" customFormat="1" ht="41.4">
      <c r="A38" s="75" t="s">
        <v>659</v>
      </c>
      <c r="B38" s="75">
        <v>15</v>
      </c>
      <c r="C38" s="76" t="s">
        <v>52</v>
      </c>
      <c r="D38" s="76" t="s">
        <v>414</v>
      </c>
      <c r="E38" s="77" t="s">
        <v>415</v>
      </c>
      <c r="F38" s="78">
        <v>30.582000000000001</v>
      </c>
      <c r="G38" s="78"/>
      <c r="H38" s="78"/>
      <c r="I38" s="79">
        <v>114863766.94263284</v>
      </c>
      <c r="J38" s="79">
        <v>3512763720.6395974</v>
      </c>
      <c r="K38" s="78">
        <v>0.0</v>
      </c>
      <c r="L38" s="101"/>
    </row>
    <row r="39" spans="1:12" s="80" customFormat="1" ht="55.2">
      <c r="A39" s="75" t="s">
        <v>660</v>
      </c>
      <c r="B39" s="75">
        <v>16</v>
      </c>
      <c r="C39" s="76" t="s">
        <v>53</v>
      </c>
      <c r="D39" s="76" t="s">
        <v>416</v>
      </c>
      <c r="E39" s="77" t="s">
        <v>415</v>
      </c>
      <c r="F39" s="78">
        <v>30.582000000000001</v>
      </c>
      <c r="G39" s="78"/>
      <c r="H39" s="78"/>
      <c r="I39" s="79">
        <v>4732391.7900324054</v>
      </c>
      <c r="J39" s="79">
        <v>144726005.72277102</v>
      </c>
      <c r="K39" s="78">
        <v>0.0</v>
      </c>
      <c r="L39" s="101"/>
    </row>
    <row r="40" spans="1:12" s="80" customFormat="1" ht="27.6">
      <c r="A40" s="75" t="s">
        <v>661</v>
      </c>
      <c r="B40" s="75">
        <v>17</v>
      </c>
      <c r="C40" s="76" t="s">
        <v>157</v>
      </c>
      <c r="D40" s="76" t="s">
        <v>511</v>
      </c>
      <c r="E40" s="77" t="s">
        <v>415</v>
      </c>
      <c r="F40" s="78">
        <v>30.582000000000001</v>
      </c>
      <c r="G40" s="78"/>
      <c r="H40" s="78"/>
      <c r="I40" s="79">
        <v>13220650.080090528</v>
      </c>
      <c r="J40" s="79">
        <v>404313920.74932855</v>
      </c>
      <c r="K40" s="78">
        <v>0.0</v>
      </c>
      <c r="L40" s="101"/>
    </row>
    <row r="41" spans="1:12" s="80" customFormat="1" ht="27.6">
      <c r="A41" s="75" t="s">
        <v>662</v>
      </c>
      <c r="B41" s="75">
        <v>18</v>
      </c>
      <c r="C41" s="76" t="s">
        <v>143</v>
      </c>
      <c r="D41" s="76" t="s">
        <v>503</v>
      </c>
      <c r="E41" s="77" t="s">
        <v>149</v>
      </c>
      <c r="F41" s="78">
        <v>18.401</v>
      </c>
      <c r="G41" s="78"/>
      <c r="H41" s="78"/>
      <c r="I41" s="79">
        <v>1793277.9778179687</v>
      </c>
      <c r="J41" s="79">
        <v>32998108.069828443</v>
      </c>
      <c r="K41" s="78">
        <v>0.0</v>
      </c>
      <c r="L41" s="101"/>
    </row>
    <row r="42" spans="1:12" s="80" customFormat="1" ht="15.6">
      <c r="A42" s="75" t="s">
        <v>663</v>
      </c>
      <c r="B42" s="75">
        <v>19</v>
      </c>
      <c r="C42" s="76" t="s">
        <v>55</v>
      </c>
      <c r="D42" s="76" t="s">
        <v>418</v>
      </c>
      <c r="E42" s="77" t="s">
        <v>145</v>
      </c>
      <c r="F42" s="78">
        <v>26.632999999999999</v>
      </c>
      <c r="G42" s="78"/>
      <c r="H42" s="78"/>
      <c r="I42" s="79">
        <v>31106460.200125102</v>
      </c>
      <c r="J42" s="79">
        <v>828458354.5099318</v>
      </c>
      <c r="K42" s="78">
        <v>0.0</v>
      </c>
      <c r="L42" s="101"/>
    </row>
    <row r="43" spans="1:12" s="80" customFormat="1" ht="15.6">
      <c r="A43" s="75" t="s">
        <v>664</v>
      </c>
      <c r="B43" s="75">
        <v>20</v>
      </c>
      <c r="C43" s="76" t="s">
        <v>56</v>
      </c>
      <c r="D43" s="76" t="s">
        <v>419</v>
      </c>
      <c r="E43" s="77" t="s">
        <v>145</v>
      </c>
      <c r="F43" s="78">
        <v>55.145000000000003</v>
      </c>
      <c r="G43" s="78"/>
      <c r="H43" s="78"/>
      <c r="I43" s="79">
        <v>30952519.587396916</v>
      </c>
      <c r="J43" s="79">
        <v>1706876692.6470029</v>
      </c>
      <c r="K43" s="78">
        <v>0.0</v>
      </c>
      <c r="L43" s="101"/>
    </row>
    <row r="44" spans="1:12" s="18" customFormat="1" ht="15.6">
      <c r="A44" s="3"/>
      <c r="B44" s="3"/>
      <c r="C44" s="15" t="s">
        <v>57</v>
      </c>
      <c r="D44" s="15" t="s">
        <v>420</v>
      </c>
      <c r="E44" s="16"/>
      <c r="F44" s="32"/>
      <c r="G44" s="32"/>
      <c r="H44" s="32"/>
      <c r="I44" s="17"/>
      <c r="J44" s="17"/>
      <c r="K44" s="17"/>
      <c r="L44" s="100"/>
    </row>
    <row r="45" spans="1:12" s="80" customFormat="1" ht="41.4">
      <c r="A45" s="75" t="s">
        <v>658</v>
      </c>
      <c r="B45" s="75">
        <v>21</v>
      </c>
      <c r="C45" s="76" t="s">
        <v>51</v>
      </c>
      <c r="D45" s="76" t="s">
        <v>413</v>
      </c>
      <c r="E45" s="77" t="s">
        <v>149</v>
      </c>
      <c r="F45" s="78">
        <v>25.27</v>
      </c>
      <c r="G45" s="78"/>
      <c r="H45" s="78"/>
      <c r="I45" s="79">
        <v>1171371.4977983192</v>
      </c>
      <c r="J45" s="79">
        <v>29600557.749363527</v>
      </c>
      <c r="K45" s="78">
        <v>0.0</v>
      </c>
      <c r="L45" s="101"/>
    </row>
    <row r="46" spans="1:12" s="80" customFormat="1" ht="41.4">
      <c r="A46" s="75" t="s">
        <v>659</v>
      </c>
      <c r="B46" s="75">
        <v>22</v>
      </c>
      <c r="C46" s="76" t="s">
        <v>52</v>
      </c>
      <c r="D46" s="76" t="s">
        <v>414</v>
      </c>
      <c r="E46" s="77" t="s">
        <v>415</v>
      </c>
      <c r="F46" s="78">
        <v>4.2</v>
      </c>
      <c r="G46" s="78"/>
      <c r="H46" s="78"/>
      <c r="I46" s="79">
        <v>114863766.94263284</v>
      </c>
      <c r="J46" s="79">
        <v>482427821.15905792</v>
      </c>
      <c r="K46" s="78">
        <v>0.0</v>
      </c>
      <c r="L46" s="101"/>
    </row>
    <row r="47" spans="1:12" s="80" customFormat="1" ht="27.6">
      <c r="A47" s="75" t="s">
        <v>712</v>
      </c>
      <c r="B47" s="75">
        <v>23</v>
      </c>
      <c r="C47" s="76" t="s">
        <v>142</v>
      </c>
      <c r="D47" s="76" t="s">
        <v>502</v>
      </c>
      <c r="E47" s="77" t="s">
        <v>415</v>
      </c>
      <c r="F47" s="78">
        <v>4.2</v>
      </c>
      <c r="G47" s="78"/>
      <c r="H47" s="78"/>
      <c r="I47" s="79">
        <v>5422723.0814296259</v>
      </c>
      <c r="J47" s="79">
        <v>22775436.942004431</v>
      </c>
      <c r="K47" s="78">
        <v>0.0</v>
      </c>
      <c r="L47" s="101"/>
    </row>
    <row r="48" spans="1:12" s="80" customFormat="1" ht="27.6">
      <c r="A48" s="75" t="s">
        <v>723</v>
      </c>
      <c r="B48" s="75">
        <v>24</v>
      </c>
      <c r="C48" s="76" t="s">
        <v>157</v>
      </c>
      <c r="D48" s="76" t="s">
        <v>511</v>
      </c>
      <c r="E48" s="77" t="s">
        <v>415</v>
      </c>
      <c r="F48" s="78">
        <v>4.2</v>
      </c>
      <c r="G48" s="78"/>
      <c r="H48" s="78"/>
      <c r="I48" s="79">
        <v>14412069.397625048</v>
      </c>
      <c r="J48" s="79">
        <v>60530691.470025204</v>
      </c>
      <c r="K48" s="78">
        <v>0.0</v>
      </c>
      <c r="L48" s="101"/>
    </row>
    <row r="49" spans="1:12" s="80" customFormat="1" ht="27.6">
      <c r="A49" s="75" t="s">
        <v>662</v>
      </c>
      <c r="B49" s="75">
        <v>25</v>
      </c>
      <c r="C49" s="76" t="s">
        <v>143</v>
      </c>
      <c r="D49" s="76" t="s">
        <v>503</v>
      </c>
      <c r="E49" s="77" t="s">
        <v>149</v>
      </c>
      <c r="F49" s="78">
        <v>25.27</v>
      </c>
      <c r="G49" s="78"/>
      <c r="H49" s="78"/>
      <c r="I49" s="79">
        <v>1793277.9778179687</v>
      </c>
      <c r="J49" s="79">
        <v>45316134.499460071</v>
      </c>
      <c r="K49" s="78">
        <v>0.0</v>
      </c>
      <c r="L49" s="101"/>
    </row>
    <row r="50" spans="1:12" s="80" customFormat="1" ht="15.6">
      <c r="A50" s="75" t="s">
        <v>663</v>
      </c>
      <c r="B50" s="75">
        <v>26</v>
      </c>
      <c r="C50" s="76" t="s">
        <v>55</v>
      </c>
      <c r="D50" s="76" t="s">
        <v>418</v>
      </c>
      <c r="E50" s="77" t="s">
        <v>145</v>
      </c>
      <c r="F50" s="78">
        <v>3.7909999999999999</v>
      </c>
      <c r="G50" s="78"/>
      <c r="H50" s="78"/>
      <c r="I50" s="79">
        <v>31106460.200125102</v>
      </c>
      <c r="J50" s="79">
        <v>117924590.61867426</v>
      </c>
      <c r="K50" s="78">
        <v>0.0</v>
      </c>
      <c r="L50" s="101"/>
    </row>
    <row r="51" spans="1:12" s="80" customFormat="1" ht="27.6">
      <c r="A51" s="75" t="s">
        <v>724</v>
      </c>
      <c r="B51" s="75">
        <v>27</v>
      </c>
      <c r="C51" s="76" t="s">
        <v>158</v>
      </c>
      <c r="D51" s="76" t="s">
        <v>512</v>
      </c>
      <c r="E51" s="77" t="s">
        <v>144</v>
      </c>
      <c r="F51" s="78">
        <v>207.42400000000001</v>
      </c>
      <c r="G51" s="78"/>
      <c r="H51" s="78"/>
      <c r="I51" s="79">
        <v>1190649.8585893558</v>
      </c>
      <c r="J51" s="79">
        <v>246969356.26803854</v>
      </c>
      <c r="K51" s="78">
        <v>0.0</v>
      </c>
      <c r="L51" s="101"/>
    </row>
    <row r="52" spans="1:12" s="18" customFormat="1" ht="15.6">
      <c r="A52" s="3">
        <v>0</v>
      </c>
      <c r="B52" s="3"/>
      <c r="C52" s="15" t="s">
        <v>159</v>
      </c>
      <c r="D52" s="15" t="s">
        <v>513</v>
      </c>
      <c r="E52" s="16"/>
      <c r="F52" s="32"/>
      <c r="G52" s="32"/>
      <c r="H52" s="32"/>
      <c r="I52" s="17"/>
      <c r="J52" s="17"/>
      <c r="K52" s="17"/>
      <c r="L52" s="100"/>
    </row>
    <row r="53" spans="1:12" ht="15.6">
      <c r="A53" s="2" t="s">
        <v>668</v>
      </c>
      <c r="B53" s="2">
        <v>28</v>
      </c>
      <c r="C53" s="12" t="s">
        <v>62</v>
      </c>
      <c r="D53" s="12" t="s">
        <v>425</v>
      </c>
      <c r="E53" s="13" t="s">
        <v>144</v>
      </c>
      <c r="F53" s="30">
        <v>194.88</v>
      </c>
      <c r="G53" s="30"/>
      <c r="H53" s="30"/>
      <c r="I53" s="14">
        <v>847049.03055282054</v>
      </c>
      <c r="J53" s="14">
        <v>165072915.07413366</v>
      </c>
      <c r="K53" s="30">
        <v>161.12</v>
      </c>
      <c r="L53" s="93"/>
    </row>
    <row r="54" spans="1:12" ht="15.6">
      <c r="A54" s="2" t="s">
        <v>672</v>
      </c>
      <c r="B54" s="2">
        <v>29</v>
      </c>
      <c r="C54" s="12" t="s">
        <v>160</v>
      </c>
      <c r="D54" s="12" t="s">
        <v>514</v>
      </c>
      <c r="E54" s="13" t="s">
        <v>144</v>
      </c>
      <c r="F54" s="30">
        <v>766.12199999999996</v>
      </c>
      <c r="G54" s="30"/>
      <c r="H54" s="30"/>
      <c r="I54" s="14">
        <v>1462895.6198849233</v>
      </c>
      <c r="J54" s="14">
        <v>1120756518.0974772</v>
      </c>
      <c r="K54" s="30">
        <v>624.34</v>
      </c>
      <c r="L54" s="93"/>
    </row>
    <row r="55" spans="1:12" ht="15.6">
      <c r="A55" s="2" t="s">
        <v>673</v>
      </c>
      <c r="B55" s="2">
        <v>30</v>
      </c>
      <c r="C55" s="12" t="s">
        <v>68</v>
      </c>
      <c r="D55" s="12" t="s">
        <v>431</v>
      </c>
      <c r="E55" s="13" t="s">
        <v>144</v>
      </c>
      <c r="F55" s="30">
        <v>77.951999999999998</v>
      </c>
      <c r="G55" s="30"/>
      <c r="H55" s="30"/>
      <c r="I55" s="14">
        <v>1143086.4666497172</v>
      </c>
      <c r="J55" s="14">
        <v>89105876.248278752</v>
      </c>
      <c r="K55" s="30">
        <v>60.419999999999995</v>
      </c>
      <c r="L55" s="93"/>
    </row>
    <row r="56" spans="1:12" ht="15.6">
      <c r="A56" s="2" t="s">
        <v>674</v>
      </c>
      <c r="B56" s="2">
        <v>31</v>
      </c>
      <c r="C56" s="12" t="s">
        <v>69</v>
      </c>
      <c r="D56" s="12" t="s">
        <v>432</v>
      </c>
      <c r="E56" s="13" t="s">
        <v>146</v>
      </c>
      <c r="F56" s="30">
        <v>20.890999999999998</v>
      </c>
      <c r="G56" s="30"/>
      <c r="H56" s="30"/>
      <c r="I56" s="14">
        <v>20497700.2547406</v>
      </c>
      <c r="J56" s="14">
        <v>428217456.02178586</v>
      </c>
      <c r="K56" s="30">
        <v>17.28012</v>
      </c>
      <c r="L56" s="93"/>
    </row>
    <row r="57" spans="1:12" ht="15.6">
      <c r="A57" s="2" t="s">
        <v>675</v>
      </c>
      <c r="B57" s="2">
        <v>32</v>
      </c>
      <c r="C57" s="12" t="s">
        <v>70</v>
      </c>
      <c r="D57" s="12" t="s">
        <v>433</v>
      </c>
      <c r="E57" s="13" t="s">
        <v>146</v>
      </c>
      <c r="F57" s="30">
        <v>31.792000000000002</v>
      </c>
      <c r="G57" s="30"/>
      <c r="H57" s="30"/>
      <c r="I57" s="14">
        <v>20586516.416887436</v>
      </c>
      <c r="J57" s="14">
        <v>654486529.92568541</v>
      </c>
      <c r="K57" s="30">
        <v>26.282700000000002</v>
      </c>
      <c r="L57" s="93"/>
    </row>
    <row r="58" spans="1:12" ht="15.6">
      <c r="A58" s="2" t="s">
        <v>670</v>
      </c>
      <c r="B58" s="2">
        <v>33</v>
      </c>
      <c r="C58" s="12" t="s">
        <v>71</v>
      </c>
      <c r="D58" s="12" t="s">
        <v>434</v>
      </c>
      <c r="E58" s="13" t="s">
        <v>149</v>
      </c>
      <c r="F58" s="30">
        <v>69.67</v>
      </c>
      <c r="G58" s="30"/>
      <c r="H58" s="30"/>
      <c r="I58" s="14">
        <v>5847333.4887753464</v>
      </c>
      <c r="J58" s="14">
        <v>407383724.16297841</v>
      </c>
      <c r="K58" s="30">
        <v>57.6004</v>
      </c>
      <c r="L58" s="93"/>
    </row>
    <row r="59" spans="1:12" s="18" customFormat="1" ht="15.6">
      <c r="A59" s="3">
        <v>0</v>
      </c>
      <c r="B59" s="3"/>
      <c r="C59" s="15" t="s">
        <v>72</v>
      </c>
      <c r="D59" s="15" t="s">
        <v>435</v>
      </c>
      <c r="E59" s="16"/>
      <c r="F59" s="32"/>
      <c r="G59" s="32"/>
      <c r="H59" s="32"/>
      <c r="I59" s="17"/>
      <c r="J59" s="17"/>
      <c r="K59" s="17"/>
      <c r="L59" s="100"/>
    </row>
    <row r="60" spans="1:12" ht="15.6">
      <c r="A60" s="2" t="s">
        <v>676</v>
      </c>
      <c r="B60" s="2">
        <v>34</v>
      </c>
      <c r="C60" s="12" t="s">
        <v>73</v>
      </c>
      <c r="D60" s="12" t="s">
        <v>436</v>
      </c>
      <c r="E60" s="13" t="s">
        <v>144</v>
      </c>
      <c r="F60" s="30">
        <v>319.11599999999999</v>
      </c>
      <c r="G60" s="30"/>
      <c r="H60" s="30"/>
      <c r="I60" s="14">
        <v>1575515.4545086485</v>
      </c>
      <c r="J60" s="14">
        <v>502772189.78098184</v>
      </c>
      <c r="K60" s="30">
        <v>261.82</v>
      </c>
      <c r="L60" s="93"/>
    </row>
    <row r="61" spans="1:12" ht="15.6">
      <c r="A61" s="2" t="s">
        <v>677</v>
      </c>
      <c r="B61" s="2">
        <v>35</v>
      </c>
      <c r="C61" s="12" t="s">
        <v>74</v>
      </c>
      <c r="D61" s="12" t="s">
        <v>437</v>
      </c>
      <c r="E61" s="13" t="s">
        <v>146</v>
      </c>
      <c r="F61" s="30">
        <v>19.204999999999998</v>
      </c>
      <c r="G61" s="30"/>
      <c r="H61" s="30"/>
      <c r="I61" s="14">
        <v>23279148.621693719</v>
      </c>
      <c r="J61" s="14">
        <v>447076049.27962786</v>
      </c>
      <c r="K61" s="30">
        <v>15.87032</v>
      </c>
      <c r="L61" s="93"/>
    </row>
    <row r="62" spans="1:12" ht="15.6">
      <c r="A62" s="2" t="s">
        <v>678</v>
      </c>
      <c r="B62" s="2">
        <v>36</v>
      </c>
      <c r="C62" s="12" t="s">
        <v>75</v>
      </c>
      <c r="D62" s="12" t="s">
        <v>438</v>
      </c>
      <c r="E62" s="13" t="s">
        <v>146</v>
      </c>
      <c r="F62" s="30">
        <v>15.654999999999999</v>
      </c>
      <c r="G62" s="30"/>
      <c r="H62" s="30"/>
      <c r="I62" s="14">
        <v>22298275.433076847</v>
      </c>
      <c r="J62" s="14">
        <v>349079501.90481806</v>
      </c>
      <c r="K62" s="30">
        <v>12.950019999999999</v>
      </c>
      <c r="L62" s="93"/>
    </row>
    <row r="63" spans="1:12" ht="15.6">
      <c r="A63" s="2" t="s">
        <v>679</v>
      </c>
      <c r="B63" s="2">
        <v>37</v>
      </c>
      <c r="C63" s="12" t="s">
        <v>76</v>
      </c>
      <c r="D63" s="12" t="s">
        <v>337</v>
      </c>
      <c r="E63" s="13" t="s">
        <v>149</v>
      </c>
      <c r="F63" s="30">
        <v>64.334999999999994</v>
      </c>
      <c r="G63" s="30"/>
      <c r="H63" s="30"/>
      <c r="I63" s="14">
        <v>8093006.3238283927</v>
      </c>
      <c r="J63" s="14">
        <v>520663561.8434996</v>
      </c>
      <c r="K63" s="30">
        <v>53.1696</v>
      </c>
      <c r="L63" s="93"/>
    </row>
    <row r="64" spans="1:12" ht="15.6">
      <c r="A64" s="2" t="s">
        <v>680</v>
      </c>
      <c r="B64" s="2">
        <v>38</v>
      </c>
      <c r="C64" s="12" t="s">
        <v>77</v>
      </c>
      <c r="D64" s="12" t="s">
        <v>439</v>
      </c>
      <c r="E64" s="13" t="s">
        <v>392</v>
      </c>
      <c r="F64" s="30">
        <v>2436</v>
      </c>
      <c r="G64" s="30"/>
      <c r="H64" s="30"/>
      <c r="I64" s="14">
        <v>33088.984387921992</v>
      </c>
      <c r="J64" s="14">
        <v>80604765.968977973</v>
      </c>
      <c r="K64" s="30">
        <v>2014.0</v>
      </c>
      <c r="L64" s="93"/>
    </row>
    <row r="65" spans="1:12" s="18" customFormat="1" ht="15.6">
      <c r="A65" s="3">
        <v>0</v>
      </c>
      <c r="B65" s="3"/>
      <c r="C65" s="15" t="s">
        <v>78</v>
      </c>
      <c r="D65" s="15" t="s">
        <v>440</v>
      </c>
      <c r="E65" s="16"/>
      <c r="F65" s="32"/>
      <c r="G65" s="32"/>
      <c r="H65" s="32"/>
      <c r="I65" s="17"/>
      <c r="J65" s="17"/>
      <c r="K65" s="17"/>
      <c r="L65" s="100"/>
    </row>
    <row r="66" spans="1:12" s="68" customFormat="1" ht="15.6">
      <c r="A66" s="63" t="s">
        <v>668</v>
      </c>
      <c r="B66" s="63">
        <v>39</v>
      </c>
      <c r="C66" s="64" t="s">
        <v>62</v>
      </c>
      <c r="D66" s="64" t="s">
        <v>425</v>
      </c>
      <c r="E66" s="65" t="s">
        <v>144</v>
      </c>
      <c r="F66" s="66">
        <v>7.9039999999999999</v>
      </c>
      <c r="G66" s="66"/>
      <c r="H66" s="66"/>
      <c r="I66" s="67">
        <v>847049.03055282054</v>
      </c>
      <c r="J66" s="67">
        <v>6695075.5374894934</v>
      </c>
      <c r="K66" s="66">
        <v>6.6000000000000005</v>
      </c>
      <c r="L66" s="98"/>
    </row>
    <row r="67" spans="1:12" s="68" customFormat="1" ht="15.6">
      <c r="A67" s="63" t="s">
        <v>681</v>
      </c>
      <c r="B67" s="63">
        <v>40</v>
      </c>
      <c r="C67" s="64" t="s">
        <v>79</v>
      </c>
      <c r="D67" s="64" t="s">
        <v>441</v>
      </c>
      <c r="E67" s="65" t="s">
        <v>144</v>
      </c>
      <c r="F67" s="66">
        <v>36.024000000000001</v>
      </c>
      <c r="G67" s="66"/>
      <c r="H67" s="66"/>
      <c r="I67" s="67">
        <v>1368251.3387600237</v>
      </c>
      <c r="J67" s="67">
        <v>49289886.227491096</v>
      </c>
      <c r="K67" s="66">
        <v>31.02</v>
      </c>
      <c r="L67" s="98"/>
    </row>
    <row r="68" spans="1:12" s="68" customFormat="1" ht="15.6">
      <c r="A68" s="63" t="s">
        <v>674</v>
      </c>
      <c r="B68" s="63">
        <v>41</v>
      </c>
      <c r="C68" s="64" t="s">
        <v>80</v>
      </c>
      <c r="D68" s="64" t="s">
        <v>442</v>
      </c>
      <c r="E68" s="65" t="s">
        <v>146</v>
      </c>
      <c r="F68" s="66">
        <v>0.79</v>
      </c>
      <c r="G68" s="66"/>
      <c r="H68" s="66"/>
      <c r="I68" s="67">
        <v>20497700.2547406</v>
      </c>
      <c r="J68" s="67">
        <v>16193183.201245075</v>
      </c>
      <c r="K68" s="66">
        <v>0.68574</v>
      </c>
      <c r="L68" s="98"/>
    </row>
    <row r="69" spans="1:12" s="68" customFormat="1" ht="15.6">
      <c r="A69" s="63" t="s">
        <v>675</v>
      </c>
      <c r="B69" s="63">
        <v>42</v>
      </c>
      <c r="C69" s="64" t="s">
        <v>81</v>
      </c>
      <c r="D69" s="64" t="s">
        <v>443</v>
      </c>
      <c r="E69" s="65" t="s">
        <v>146</v>
      </c>
      <c r="F69" s="66">
        <v>1.4570000000000001</v>
      </c>
      <c r="G69" s="66"/>
      <c r="H69" s="66"/>
      <c r="I69" s="67">
        <v>20586516.416887436</v>
      </c>
      <c r="J69" s="67">
        <v>29994554.419404995</v>
      </c>
      <c r="K69" s="66">
        <v>1.26588</v>
      </c>
      <c r="L69" s="98"/>
    </row>
    <row r="70" spans="1:12" s="68" customFormat="1" ht="15.6">
      <c r="A70" s="63" t="s">
        <v>670</v>
      </c>
      <c r="B70" s="63">
        <v>43</v>
      </c>
      <c r="C70" s="64" t="s">
        <v>82</v>
      </c>
      <c r="D70" s="64" t="s">
        <v>444</v>
      </c>
      <c r="E70" s="65" t="s">
        <v>149</v>
      </c>
      <c r="F70" s="66">
        <v>3.222</v>
      </c>
      <c r="G70" s="66"/>
      <c r="H70" s="66"/>
      <c r="I70" s="67">
        <v>5847333.4887753464</v>
      </c>
      <c r="J70" s="67">
        <v>18840108.500834167</v>
      </c>
      <c r="K70" s="66">
        <v>2.7984000000000004</v>
      </c>
      <c r="L70" s="98"/>
    </row>
    <row r="71" spans="1:12" s="18" customFormat="1" ht="15.6">
      <c r="A71" s="3">
        <v>0</v>
      </c>
      <c r="B71" s="3"/>
      <c r="C71" s="15" t="s">
        <v>72</v>
      </c>
      <c r="D71" s="15" t="s">
        <v>435</v>
      </c>
      <c r="E71" s="16"/>
      <c r="F71" s="32"/>
      <c r="G71" s="32"/>
      <c r="H71" s="32"/>
      <c r="I71" s="17"/>
      <c r="J71" s="17"/>
      <c r="K71" s="17"/>
      <c r="L71" s="100"/>
    </row>
    <row r="72" spans="1:12" s="68" customFormat="1" ht="15.6">
      <c r="A72" s="63" t="s">
        <v>676</v>
      </c>
      <c r="B72" s="63">
        <v>44</v>
      </c>
      <c r="C72" s="64" t="s">
        <v>73</v>
      </c>
      <c r="D72" s="64" t="s">
        <v>436</v>
      </c>
      <c r="E72" s="65" t="s">
        <v>144</v>
      </c>
      <c r="F72" s="66">
        <v>9.3480000000000008</v>
      </c>
      <c r="G72" s="66"/>
      <c r="H72" s="66"/>
      <c r="I72" s="67">
        <v>1575515.4545086485</v>
      </c>
      <c r="J72" s="67">
        <v>14727918.468746847</v>
      </c>
      <c r="K72" s="66">
        <v>8.58</v>
      </c>
      <c r="L72" s="98"/>
    </row>
    <row r="73" spans="1:12" s="68" customFormat="1" ht="15.6">
      <c r="A73" s="63" t="s">
        <v>677</v>
      </c>
      <c r="B73" s="63">
        <v>45</v>
      </c>
      <c r="C73" s="64" t="s">
        <v>74</v>
      </c>
      <c r="D73" s="64" t="s">
        <v>437</v>
      </c>
      <c r="E73" s="65" t="s">
        <v>146</v>
      </c>
      <c r="F73" s="66">
        <v>0.54500000000000004</v>
      </c>
      <c r="G73" s="66"/>
      <c r="H73" s="66"/>
      <c r="I73" s="67">
        <v>23279148.621693719</v>
      </c>
      <c r="J73" s="67">
        <v>12687135.998823078</v>
      </c>
      <c r="K73" s="66">
        <v>0.52008</v>
      </c>
      <c r="L73" s="98"/>
    </row>
    <row r="74" spans="1:12" s="68" customFormat="1" ht="15.6">
      <c r="A74" s="63" t="s">
        <v>678</v>
      </c>
      <c r="B74" s="63">
        <v>46</v>
      </c>
      <c r="C74" s="64" t="s">
        <v>75</v>
      </c>
      <c r="D74" s="64" t="s">
        <v>438</v>
      </c>
      <c r="E74" s="65" t="s">
        <v>146</v>
      </c>
      <c r="F74" s="66">
        <v>0.48799999999999999</v>
      </c>
      <c r="G74" s="66"/>
      <c r="H74" s="66"/>
      <c r="I74" s="67">
        <v>22298275.433076847</v>
      </c>
      <c r="J74" s="67">
        <v>10881558.411341501</v>
      </c>
      <c r="K74" s="66">
        <v>0.42438</v>
      </c>
      <c r="L74" s="98"/>
    </row>
    <row r="75" spans="1:12" s="68" customFormat="1" ht="15.6">
      <c r="A75" s="63" t="s">
        <v>679</v>
      </c>
      <c r="B75" s="63">
        <v>47</v>
      </c>
      <c r="C75" s="64" t="s">
        <v>76</v>
      </c>
      <c r="D75" s="64" t="s">
        <v>337</v>
      </c>
      <c r="E75" s="65" t="s">
        <v>149</v>
      </c>
      <c r="F75" s="66">
        <v>2.0070000000000001</v>
      </c>
      <c r="G75" s="66"/>
      <c r="H75" s="66"/>
      <c r="I75" s="67">
        <v>8093006.3238283927</v>
      </c>
      <c r="J75" s="67">
        <v>16242663.691923585</v>
      </c>
      <c r="K75" s="66">
        <v>1.7424000000000002</v>
      </c>
      <c r="L75" s="98"/>
    </row>
    <row r="76" spans="1:12" s="68" customFormat="1" ht="15.6">
      <c r="A76" s="63" t="s">
        <v>680</v>
      </c>
      <c r="B76" s="63">
        <v>48</v>
      </c>
      <c r="C76" s="64" t="s">
        <v>77</v>
      </c>
      <c r="D76" s="64" t="s">
        <v>439</v>
      </c>
      <c r="E76" s="65" t="s">
        <v>392</v>
      </c>
      <c r="F76" s="66">
        <v>76</v>
      </c>
      <c r="G76" s="66"/>
      <c r="H76" s="66"/>
      <c r="I76" s="67">
        <v>33088.984387921992</v>
      </c>
      <c r="J76" s="67">
        <v>2514762.8134820713</v>
      </c>
      <c r="K76" s="66">
        <v>66.0</v>
      </c>
      <c r="L76" s="98"/>
    </row>
    <row r="77" spans="1:12" s="18" customFormat="1" ht="15.6">
      <c r="A77" s="3">
        <v>0</v>
      </c>
      <c r="B77" s="3"/>
      <c r="C77" s="15" t="s">
        <v>86</v>
      </c>
      <c r="D77" s="15" t="s">
        <v>448</v>
      </c>
      <c r="E77" s="16"/>
      <c r="F77" s="32"/>
      <c r="G77" s="32"/>
      <c r="H77" s="32"/>
      <c r="I77" s="17"/>
      <c r="J77" s="17"/>
      <c r="K77" s="17"/>
      <c r="L77" s="100"/>
    </row>
    <row r="78" spans="1:12" s="80" customFormat="1" ht="27.6">
      <c r="A78" s="75" t="s">
        <v>684</v>
      </c>
      <c r="B78" s="75">
        <v>49</v>
      </c>
      <c r="C78" s="76" t="s">
        <v>87</v>
      </c>
      <c r="D78" s="76" t="s">
        <v>449</v>
      </c>
      <c r="E78" s="77" t="s">
        <v>25</v>
      </c>
      <c r="F78" s="78">
        <v>60</v>
      </c>
      <c r="G78" s="78"/>
      <c r="H78" s="78"/>
      <c r="I78" s="79">
        <v>93382.177370309815</v>
      </c>
      <c r="J78" s="79">
        <v>5602930.6422185889</v>
      </c>
      <c r="K78" s="78">
        <v>0.0</v>
      </c>
      <c r="L78" s="101"/>
    </row>
    <row r="79" spans="1:12" s="80" customFormat="1" ht="15.6">
      <c r="A79" s="75" t="s">
        <v>685</v>
      </c>
      <c r="B79" s="75">
        <v>50</v>
      </c>
      <c r="C79" s="76" t="s">
        <v>88</v>
      </c>
      <c r="D79" s="76" t="s">
        <v>450</v>
      </c>
      <c r="E79" s="77" t="s">
        <v>25</v>
      </c>
      <c r="F79" s="78">
        <v>2</v>
      </c>
      <c r="G79" s="78"/>
      <c r="H79" s="78"/>
      <c r="I79" s="79">
        <v>659758.24959312321</v>
      </c>
      <c r="J79" s="79">
        <v>1319516.4991862464</v>
      </c>
      <c r="K79" s="78">
        <v>0.0</v>
      </c>
      <c r="L79" s="101"/>
    </row>
    <row r="80" spans="1:12" s="80" customFormat="1" ht="15.6">
      <c r="A80" s="75" t="s">
        <v>684</v>
      </c>
      <c r="B80" s="75">
        <v>51</v>
      </c>
      <c r="C80" s="76" t="s">
        <v>89</v>
      </c>
      <c r="D80" s="76" t="s">
        <v>451</v>
      </c>
      <c r="E80" s="77" t="s">
        <v>25</v>
      </c>
      <c r="F80" s="78">
        <v>13</v>
      </c>
      <c r="G80" s="78"/>
      <c r="H80" s="78"/>
      <c r="I80" s="79">
        <v>93382.177370309815</v>
      </c>
      <c r="J80" s="79">
        <v>1213968.3058140276</v>
      </c>
      <c r="K80" s="78">
        <v>0.0</v>
      </c>
      <c r="L80" s="101"/>
    </row>
    <row r="81" spans="1:12" s="80" customFormat="1" ht="15.6">
      <c r="A81" s="75" t="s">
        <v>645</v>
      </c>
      <c r="B81" s="75">
        <v>52</v>
      </c>
      <c r="C81" s="76" t="s">
        <v>90</v>
      </c>
      <c r="D81" s="76" t="s">
        <v>452</v>
      </c>
      <c r="E81" s="77" t="s">
        <v>149</v>
      </c>
      <c r="F81" s="78">
        <v>0.01</v>
      </c>
      <c r="G81" s="78"/>
      <c r="H81" s="78"/>
      <c r="I81" s="79">
        <v>695943</v>
      </c>
      <c r="J81" s="79">
        <v>6959.43</v>
      </c>
      <c r="K81" s="78">
        <v>0.0</v>
      </c>
      <c r="L81" s="101"/>
    </row>
    <row r="82" spans="1:12" s="80" customFormat="1" ht="15.6">
      <c r="A82" s="75" t="s">
        <v>645</v>
      </c>
      <c r="B82" s="75">
        <v>53</v>
      </c>
      <c r="C82" s="76" t="s">
        <v>91</v>
      </c>
      <c r="D82" s="76" t="s">
        <v>453</v>
      </c>
      <c r="E82" s="77" t="s">
        <v>25</v>
      </c>
      <c r="F82" s="78">
        <v>146</v>
      </c>
      <c r="G82" s="78"/>
      <c r="H82" s="78"/>
      <c r="I82" s="79">
        <v>14498.8125</v>
      </c>
      <c r="J82" s="79">
        <v>2116826.625</v>
      </c>
      <c r="K82" s="78">
        <v>0.0</v>
      </c>
      <c r="L82" s="101"/>
    </row>
    <row r="83" spans="1:12" s="86" customFormat="1" ht="15.6">
      <c r="A83" s="81">
        <v>0</v>
      </c>
      <c r="B83" s="81"/>
      <c r="C83" s="82" t="s">
        <v>92</v>
      </c>
      <c r="D83" s="82" t="s">
        <v>454</v>
      </c>
      <c r="E83" s="83"/>
      <c r="F83" s="84"/>
      <c r="G83" s="84"/>
      <c r="H83" s="84"/>
      <c r="I83" s="85"/>
      <c r="J83" s="85"/>
      <c r="K83" s="85"/>
      <c r="L83" s="102"/>
    </row>
    <row r="84" spans="1:12" s="80" customFormat="1" ht="15.6">
      <c r="A84" s="75" t="s">
        <v>690</v>
      </c>
      <c r="B84" s="75">
        <v>54</v>
      </c>
      <c r="C84" s="76" t="s">
        <v>93</v>
      </c>
      <c r="D84" s="76" t="s">
        <v>455</v>
      </c>
      <c r="E84" s="77" t="s">
        <v>145</v>
      </c>
      <c r="F84" s="78">
        <v>0.03</v>
      </c>
      <c r="G84" s="78"/>
      <c r="H84" s="78"/>
      <c r="I84" s="79">
        <v>2690167.124583811</v>
      </c>
      <c r="J84" s="79">
        <v>80705.013737514324</v>
      </c>
      <c r="K84" s="78">
        <v>0.0</v>
      </c>
      <c r="L84" s="101"/>
    </row>
    <row r="85" spans="1:12" s="80" customFormat="1" ht="15.6">
      <c r="A85" s="75" t="s">
        <v>667</v>
      </c>
      <c r="B85" s="75">
        <v>55</v>
      </c>
      <c r="C85" s="76" t="s">
        <v>94</v>
      </c>
      <c r="D85" s="76" t="s">
        <v>456</v>
      </c>
      <c r="E85" s="77" t="s">
        <v>144</v>
      </c>
      <c r="F85" s="78">
        <v>3.3119999999999998</v>
      </c>
      <c r="G85" s="78"/>
      <c r="H85" s="78"/>
      <c r="I85" s="79">
        <v>1234733.1943373024</v>
      </c>
      <c r="J85" s="79">
        <v>4089436.339645145</v>
      </c>
      <c r="K85" s="78">
        <v>0.0</v>
      </c>
      <c r="L85" s="101"/>
    </row>
    <row r="86" spans="1:12" s="80" customFormat="1" ht="27.6">
      <c r="A86" s="75" t="s">
        <v>687</v>
      </c>
      <c r="B86" s="75">
        <v>56</v>
      </c>
      <c r="C86" s="76" t="s">
        <v>95</v>
      </c>
      <c r="D86" s="76" t="s">
        <v>457</v>
      </c>
      <c r="E86" s="77" t="s">
        <v>25</v>
      </c>
      <c r="F86" s="78">
        <v>18</v>
      </c>
      <c r="G86" s="78"/>
      <c r="H86" s="78"/>
      <c r="I86" s="79">
        <v>285301.9238030251</v>
      </c>
      <c r="J86" s="79">
        <v>5135434.6284544514</v>
      </c>
      <c r="K86" s="78">
        <v>0.0</v>
      </c>
      <c r="L86" s="101"/>
    </row>
    <row r="87" spans="1:12" s="80" customFormat="1" ht="27.6">
      <c r="A87" s="75" t="s">
        <v>688</v>
      </c>
      <c r="B87" s="75">
        <v>57</v>
      </c>
      <c r="C87" s="76" t="s">
        <v>96</v>
      </c>
      <c r="D87" s="76" t="s">
        <v>458</v>
      </c>
      <c r="E87" s="77" t="s">
        <v>25</v>
      </c>
      <c r="F87" s="78">
        <v>6</v>
      </c>
      <c r="G87" s="78"/>
      <c r="H87" s="78"/>
      <c r="I87" s="79">
        <v>262196.6162030251</v>
      </c>
      <c r="J87" s="79">
        <v>1573179.6972181506</v>
      </c>
      <c r="K87" s="78">
        <v>0.0</v>
      </c>
      <c r="L87" s="101"/>
    </row>
    <row r="88" spans="1:12" s="80" customFormat="1" ht="27.6">
      <c r="A88" s="75" t="s">
        <v>645</v>
      </c>
      <c r="B88" s="75">
        <v>58</v>
      </c>
      <c r="C88" s="76" t="s">
        <v>97</v>
      </c>
      <c r="D88" s="76" t="s">
        <v>459</v>
      </c>
      <c r="E88" s="77" t="s">
        <v>5</v>
      </c>
      <c r="F88" s="78">
        <v>61.2</v>
      </c>
      <c r="G88" s="78"/>
      <c r="H88" s="78"/>
      <c r="I88" s="79">
        <v>234300.81</v>
      </c>
      <c r="J88" s="79">
        <v>14339209.572000001</v>
      </c>
      <c r="K88" s="78">
        <v>0.0</v>
      </c>
      <c r="L88" s="101"/>
    </row>
    <row r="89" spans="1:12" s="80" customFormat="1" ht="15.6">
      <c r="A89" s="75" t="s">
        <v>645</v>
      </c>
      <c r="B89" s="75">
        <v>59</v>
      </c>
      <c r="C89" s="76" t="s">
        <v>98</v>
      </c>
      <c r="D89" s="76" t="s">
        <v>460</v>
      </c>
      <c r="E89" s="77" t="s">
        <v>25</v>
      </c>
      <c r="F89" s="78">
        <v>18</v>
      </c>
      <c r="G89" s="78"/>
      <c r="H89" s="78"/>
      <c r="I89" s="79">
        <v>452362.95</v>
      </c>
      <c r="J89" s="79">
        <v>8142533.1000000006</v>
      </c>
      <c r="K89" s="78">
        <v>0.0</v>
      </c>
      <c r="L89" s="101"/>
    </row>
    <row r="90" spans="1:12" s="80" customFormat="1" ht="15.6">
      <c r="A90" s="75" t="s">
        <v>645</v>
      </c>
      <c r="B90" s="75">
        <v>60</v>
      </c>
      <c r="C90" s="76" t="s">
        <v>99</v>
      </c>
      <c r="D90" s="76" t="s">
        <v>461</v>
      </c>
      <c r="E90" s="77" t="s">
        <v>25</v>
      </c>
      <c r="F90" s="78">
        <v>3</v>
      </c>
      <c r="G90" s="78"/>
      <c r="H90" s="78"/>
      <c r="I90" s="79">
        <v>2058831.375</v>
      </c>
      <c r="J90" s="79">
        <v>6176494.125</v>
      </c>
      <c r="K90" s="78">
        <v>0.0</v>
      </c>
      <c r="L90" s="101"/>
    </row>
    <row r="91" spans="1:12" s="18" customFormat="1" ht="15.6">
      <c r="A91" s="3">
        <v>0</v>
      </c>
      <c r="B91" s="3"/>
      <c r="C91" s="15" t="s">
        <v>100</v>
      </c>
      <c r="D91" s="15" t="s">
        <v>462</v>
      </c>
      <c r="E91" s="16"/>
      <c r="F91" s="32"/>
      <c r="G91" s="32"/>
      <c r="H91" s="32"/>
      <c r="I91" s="17"/>
      <c r="J91" s="17"/>
      <c r="K91" s="17"/>
      <c r="L91" s="100"/>
    </row>
    <row r="92" spans="1:12" s="80" customFormat="1" ht="27.6">
      <c r="A92" s="75" t="s">
        <v>689</v>
      </c>
      <c r="B92" s="75">
        <v>61</v>
      </c>
      <c r="C92" s="76" t="s">
        <v>101</v>
      </c>
      <c r="D92" s="76" t="s">
        <v>352</v>
      </c>
      <c r="E92" s="77" t="s">
        <v>148</v>
      </c>
      <c r="F92" s="78">
        <v>942.44899999999996</v>
      </c>
      <c r="G92" s="78"/>
      <c r="H92" s="78"/>
      <c r="I92" s="79">
        <v>329300.42555937677</v>
      </c>
      <c r="J92" s="79">
        <v>310348856.76800907</v>
      </c>
      <c r="K92" s="78">
        <v>0.0</v>
      </c>
      <c r="L92" s="101"/>
    </row>
    <row r="93" spans="1:12" s="80" customFormat="1" ht="27.6">
      <c r="A93" s="75" t="s">
        <v>689</v>
      </c>
      <c r="B93" s="75">
        <v>62</v>
      </c>
      <c r="C93" s="76" t="s">
        <v>102</v>
      </c>
      <c r="D93" s="76" t="s">
        <v>463</v>
      </c>
      <c r="E93" s="77" t="s">
        <v>148</v>
      </c>
      <c r="F93" s="78">
        <v>79.7</v>
      </c>
      <c r="G93" s="78"/>
      <c r="H93" s="78"/>
      <c r="I93" s="79">
        <v>658600.85111875355</v>
      </c>
      <c r="J93" s="79">
        <v>52490487.834164657</v>
      </c>
      <c r="K93" s="78">
        <v>0.0</v>
      </c>
      <c r="L93" s="101"/>
    </row>
    <row r="94" spans="1:12" s="80" customFormat="1" ht="15.6">
      <c r="A94" s="75">
        <v>0</v>
      </c>
      <c r="B94" s="75"/>
      <c r="C94" s="82" t="s">
        <v>103</v>
      </c>
      <c r="D94" s="76" t="s">
        <v>464</v>
      </c>
      <c r="E94" s="77"/>
      <c r="F94" s="78"/>
      <c r="G94" s="78"/>
      <c r="H94" s="78"/>
      <c r="I94" s="79"/>
      <c r="J94" s="79"/>
      <c r="K94" s="79"/>
      <c r="L94" s="101"/>
    </row>
    <row r="95" spans="1:12" s="80" customFormat="1" ht="15.6">
      <c r="A95" s="75" t="s">
        <v>690</v>
      </c>
      <c r="B95" s="75">
        <v>63</v>
      </c>
      <c r="C95" s="76" t="s">
        <v>153</v>
      </c>
      <c r="D95" s="76" t="s">
        <v>515</v>
      </c>
      <c r="E95" s="77" t="s">
        <v>145</v>
      </c>
      <c r="F95" s="78">
        <v>7.3999999999999996E-2</v>
      </c>
      <c r="G95" s="78"/>
      <c r="H95" s="78"/>
      <c r="I95" s="79">
        <v>2690167.124583811</v>
      </c>
      <c r="J95" s="79">
        <v>199072.36721920202</v>
      </c>
      <c r="K95" s="78">
        <v>0.0</v>
      </c>
      <c r="L95" s="101"/>
    </row>
    <row r="96" spans="1:12" s="80" customFormat="1" ht="15.6">
      <c r="A96" s="75" t="s">
        <v>691</v>
      </c>
      <c r="B96" s="75">
        <v>64</v>
      </c>
      <c r="C96" s="76" t="s">
        <v>161</v>
      </c>
      <c r="D96" s="76" t="s">
        <v>516</v>
      </c>
      <c r="E96" s="77" t="s">
        <v>145</v>
      </c>
      <c r="F96" s="78">
        <v>6.0999999999999999E-2</v>
      </c>
      <c r="G96" s="78"/>
      <c r="H96" s="78"/>
      <c r="I96" s="79">
        <v>3406602.6497878134</v>
      </c>
      <c r="J96" s="79">
        <v>207802.76163705662</v>
      </c>
      <c r="K96" s="78">
        <v>0.0</v>
      </c>
      <c r="L96" s="101"/>
    </row>
    <row r="97" spans="1:12" s="80" customFormat="1" ht="15.6">
      <c r="A97" s="75" t="s">
        <v>673</v>
      </c>
      <c r="B97" s="75">
        <v>65</v>
      </c>
      <c r="C97" s="76" t="s">
        <v>104</v>
      </c>
      <c r="D97" s="76" t="s">
        <v>465</v>
      </c>
      <c r="E97" s="77" t="s">
        <v>144</v>
      </c>
      <c r="F97" s="78">
        <v>0.32</v>
      </c>
      <c r="G97" s="78"/>
      <c r="H97" s="78"/>
      <c r="I97" s="79">
        <v>1143086.4666497172</v>
      </c>
      <c r="J97" s="79">
        <v>365787.66932790953</v>
      </c>
      <c r="K97" s="78">
        <v>0.0</v>
      </c>
      <c r="L97" s="101"/>
    </row>
    <row r="98" spans="1:12" s="80" customFormat="1" ht="15.6">
      <c r="A98" s="75" t="s">
        <v>692</v>
      </c>
      <c r="B98" s="75">
        <v>66</v>
      </c>
      <c r="C98" s="76" t="s">
        <v>105</v>
      </c>
      <c r="D98" s="76" t="s">
        <v>466</v>
      </c>
      <c r="E98" s="77" t="s">
        <v>144</v>
      </c>
      <c r="F98" s="78">
        <v>1.3049999999999999</v>
      </c>
      <c r="G98" s="78"/>
      <c r="H98" s="78"/>
      <c r="I98" s="79">
        <v>1301106.6825224052</v>
      </c>
      <c r="J98" s="79">
        <v>1697944.2206917387</v>
      </c>
      <c r="K98" s="78">
        <v>0.0</v>
      </c>
      <c r="L98" s="101"/>
    </row>
    <row r="99" spans="1:12" s="80" customFormat="1" ht="15.6">
      <c r="A99" s="75" t="s">
        <v>674</v>
      </c>
      <c r="B99" s="75">
        <v>67</v>
      </c>
      <c r="C99" s="76" t="s">
        <v>106</v>
      </c>
      <c r="D99" s="76" t="s">
        <v>467</v>
      </c>
      <c r="E99" s="77" t="s">
        <v>146</v>
      </c>
      <c r="F99" s="78">
        <v>3.0000000000000001E-3</v>
      </c>
      <c r="G99" s="78"/>
      <c r="H99" s="78"/>
      <c r="I99" s="79">
        <v>20497700.2547406</v>
      </c>
      <c r="J99" s="79">
        <v>61493.100764221803</v>
      </c>
      <c r="K99" s="78">
        <v>0.0</v>
      </c>
      <c r="L99" s="101"/>
    </row>
    <row r="100" spans="1:12" s="80" customFormat="1" ht="15.6">
      <c r="A100" s="75" t="s">
        <v>670</v>
      </c>
      <c r="B100" s="75">
        <v>68</v>
      </c>
      <c r="C100" s="76" t="s">
        <v>107</v>
      </c>
      <c r="D100" s="76" t="s">
        <v>468</v>
      </c>
      <c r="E100" s="77" t="s">
        <v>149</v>
      </c>
      <c r="F100" s="78">
        <v>8.4000000000000005E-2</v>
      </c>
      <c r="G100" s="78"/>
      <c r="H100" s="78"/>
      <c r="I100" s="79">
        <v>5847333.4887753464</v>
      </c>
      <c r="J100" s="79">
        <v>491176.01305712911</v>
      </c>
      <c r="K100" s="78">
        <v>0.0</v>
      </c>
      <c r="L100" s="101"/>
    </row>
    <row r="101" spans="1:12" s="80" customFormat="1" ht="15.6">
      <c r="A101" s="75" t="s">
        <v>645</v>
      </c>
      <c r="B101" s="75">
        <v>69</v>
      </c>
      <c r="C101" s="76" t="s">
        <v>108</v>
      </c>
      <c r="D101" s="76" t="s">
        <v>469</v>
      </c>
      <c r="E101" s="77" t="s">
        <v>24</v>
      </c>
      <c r="F101" s="78">
        <v>5</v>
      </c>
      <c r="G101" s="78"/>
      <c r="H101" s="78"/>
      <c r="I101" s="79">
        <v>2029833.75</v>
      </c>
      <c r="J101" s="79">
        <v>10149168.75</v>
      </c>
      <c r="K101" s="78">
        <v>0.0</v>
      </c>
      <c r="L101" s="101"/>
    </row>
    <row r="102" spans="1:12" s="80" customFormat="1" ht="27.6">
      <c r="A102" s="75" t="s">
        <v>645</v>
      </c>
      <c r="B102" s="75">
        <v>70</v>
      </c>
      <c r="C102" s="76" t="s">
        <v>109</v>
      </c>
      <c r="D102" s="76" t="s">
        <v>470</v>
      </c>
      <c r="E102" s="77" t="s">
        <v>24</v>
      </c>
      <c r="F102" s="78">
        <v>5</v>
      </c>
      <c r="G102" s="78"/>
      <c r="H102" s="78"/>
      <c r="I102" s="79">
        <v>1299093.6000000001</v>
      </c>
      <c r="J102" s="79">
        <v>6495468</v>
      </c>
      <c r="K102" s="78">
        <v>0.0</v>
      </c>
      <c r="L102" s="101"/>
    </row>
    <row r="103" spans="1:12" s="80" customFormat="1" ht="55.2">
      <c r="A103" s="75" t="s">
        <v>645</v>
      </c>
      <c r="B103" s="75">
        <v>71</v>
      </c>
      <c r="C103" s="76" t="s">
        <v>110</v>
      </c>
      <c r="D103" s="76" t="s">
        <v>471</v>
      </c>
      <c r="E103" s="77" t="s">
        <v>24</v>
      </c>
      <c r="F103" s="78">
        <v>5</v>
      </c>
      <c r="G103" s="78"/>
      <c r="H103" s="78"/>
      <c r="I103" s="79">
        <v>9859192.5</v>
      </c>
      <c r="J103" s="79">
        <v>49295962.5</v>
      </c>
      <c r="K103" s="78">
        <v>0.0</v>
      </c>
      <c r="L103" s="101"/>
    </row>
    <row r="104" spans="1:12" s="80" customFormat="1" ht="15.6">
      <c r="A104" s="75" t="s">
        <v>645</v>
      </c>
      <c r="B104" s="75">
        <v>72</v>
      </c>
      <c r="C104" s="76" t="s">
        <v>111</v>
      </c>
      <c r="D104" s="76" t="s">
        <v>472</v>
      </c>
      <c r="E104" s="77" t="s">
        <v>24</v>
      </c>
      <c r="F104" s="78">
        <v>5</v>
      </c>
      <c r="G104" s="78"/>
      <c r="H104" s="78"/>
      <c r="I104" s="79">
        <v>1217900.25</v>
      </c>
      <c r="J104" s="79">
        <v>6089501.25</v>
      </c>
      <c r="K104" s="78">
        <v>0.0</v>
      </c>
      <c r="L104" s="101"/>
    </row>
    <row r="105" spans="1:12" s="80" customFormat="1" ht="15.6">
      <c r="A105" s="75" t="s">
        <v>645</v>
      </c>
      <c r="B105" s="75">
        <v>73</v>
      </c>
      <c r="C105" s="76" t="s">
        <v>112</v>
      </c>
      <c r="D105" s="76" t="s">
        <v>473</v>
      </c>
      <c r="E105" s="77" t="s">
        <v>24</v>
      </c>
      <c r="F105" s="78">
        <v>5</v>
      </c>
      <c r="G105" s="78"/>
      <c r="H105" s="78"/>
      <c r="I105" s="79">
        <v>255179.1</v>
      </c>
      <c r="J105" s="79">
        <v>1275895.5</v>
      </c>
      <c r="K105" s="78">
        <v>0.0</v>
      </c>
      <c r="L105" s="101"/>
    </row>
    <row r="106" spans="1:12" s="23" customFormat="1" ht="15.6">
      <c r="A106" s="19"/>
      <c r="B106" s="34"/>
      <c r="C106" s="35" t="s">
        <v>12</v>
      </c>
      <c r="D106" s="20" t="s">
        <v>477</v>
      </c>
      <c r="E106" s="21"/>
      <c r="F106" s="36"/>
      <c r="G106" s="36"/>
      <c r="H106" s="36"/>
      <c r="I106" s="22"/>
      <c r="J106" s="22">
        <v>651538979.74331689</v>
      </c>
      <c r="K106" s="22"/>
      <c r="L106" s="97"/>
    </row>
    <row r="107" spans="1:12" s="68" customFormat="1" ht="15.6">
      <c r="A107" s="63"/>
      <c r="B107" s="63"/>
      <c r="C107" s="64" t="s">
        <v>116</v>
      </c>
      <c r="D107" s="64" t="s">
        <v>478</v>
      </c>
      <c r="E107" s="65"/>
      <c r="F107" s="66"/>
      <c r="G107" s="66"/>
      <c r="H107" s="66"/>
      <c r="I107" s="67"/>
      <c r="J107" s="67"/>
      <c r="K107" s="67"/>
      <c r="L107" s="98"/>
    </row>
    <row r="108" spans="1:12" s="68" customFormat="1" ht="27.6">
      <c r="A108" s="63" t="s">
        <v>696</v>
      </c>
      <c r="B108" s="63">
        <v>1</v>
      </c>
      <c r="C108" s="64" t="s">
        <v>117</v>
      </c>
      <c r="D108" s="64" t="s">
        <v>336</v>
      </c>
      <c r="E108" s="65" t="s">
        <v>144</v>
      </c>
      <c r="F108" s="66">
        <v>17.079999999999998</v>
      </c>
      <c r="G108" s="66"/>
      <c r="H108" s="66"/>
      <c r="I108" s="67">
        <v>152008.56578815394</v>
      </c>
      <c r="J108" s="67">
        <v>2596306.3036616691</v>
      </c>
      <c r="K108" s="66">
        <v>17.080000000000002</v>
      </c>
      <c r="L108" s="98"/>
    </row>
    <row r="109" spans="1:12" s="68" customFormat="1" ht="27.6">
      <c r="A109" s="63" t="s">
        <v>697</v>
      </c>
      <c r="B109" s="63">
        <v>2</v>
      </c>
      <c r="C109" s="64" t="s">
        <v>118</v>
      </c>
      <c r="D109" s="64" t="s">
        <v>479</v>
      </c>
      <c r="E109" s="65" t="s">
        <v>144</v>
      </c>
      <c r="F109" s="66">
        <v>24.803000000000001</v>
      </c>
      <c r="G109" s="66"/>
      <c r="H109" s="66"/>
      <c r="I109" s="67">
        <v>249922.24815330002</v>
      </c>
      <c r="J109" s="67">
        <v>6198821.5209463006</v>
      </c>
      <c r="K109" s="66">
        <v>24.802575</v>
      </c>
      <c r="L109" s="98"/>
    </row>
    <row r="110" spans="1:12" s="68" customFormat="1" ht="27.6">
      <c r="A110" s="63" t="s">
        <v>641</v>
      </c>
      <c r="B110" s="63">
        <v>3</v>
      </c>
      <c r="C110" s="64" t="s">
        <v>119</v>
      </c>
      <c r="D110" s="64" t="s">
        <v>480</v>
      </c>
      <c r="E110" s="65" t="s">
        <v>145</v>
      </c>
      <c r="F110" s="66">
        <v>8.2279999999999998</v>
      </c>
      <c r="G110" s="66"/>
      <c r="H110" s="66"/>
      <c r="I110" s="67">
        <v>2227071.2377586598</v>
      </c>
      <c r="J110" s="67">
        <v>18324342.144278251</v>
      </c>
      <c r="K110" s="66">
        <v>8.228</v>
      </c>
      <c r="L110" s="98"/>
    </row>
    <row r="111" spans="1:12" s="68" customFormat="1" ht="15.6">
      <c r="A111" s="63" t="s">
        <v>668</v>
      </c>
      <c r="B111" s="63">
        <v>4</v>
      </c>
      <c r="C111" s="64" t="s">
        <v>62</v>
      </c>
      <c r="D111" s="64" t="s">
        <v>425</v>
      </c>
      <c r="E111" s="65" t="s">
        <v>144</v>
      </c>
      <c r="F111" s="66">
        <v>28.16</v>
      </c>
      <c r="G111" s="66"/>
      <c r="H111" s="66"/>
      <c r="I111" s="67">
        <v>847049.03055282054</v>
      </c>
      <c r="J111" s="67">
        <v>23852900.700367425</v>
      </c>
      <c r="K111" s="66">
        <v>16.831149999999994</v>
      </c>
      <c r="L111" s="98"/>
    </row>
    <row r="112" spans="1:12" s="68" customFormat="1" ht="27.6">
      <c r="A112" s="63" t="s">
        <v>692</v>
      </c>
      <c r="B112" s="63">
        <v>5</v>
      </c>
      <c r="C112" s="64" t="s">
        <v>121</v>
      </c>
      <c r="D112" s="64" t="s">
        <v>482</v>
      </c>
      <c r="E112" s="65" t="s">
        <v>144</v>
      </c>
      <c r="F112" s="66">
        <v>72.5</v>
      </c>
      <c r="G112" s="66"/>
      <c r="H112" s="66"/>
      <c r="I112" s="67">
        <v>1301106.6825224052</v>
      </c>
      <c r="J112" s="67">
        <v>94330234.482874379</v>
      </c>
      <c r="K112" s="66">
        <v>72.5</v>
      </c>
      <c r="L112" s="98"/>
    </row>
    <row r="113" spans="1:12" s="68" customFormat="1" ht="27.6">
      <c r="A113" s="63" t="s">
        <v>699</v>
      </c>
      <c r="B113" s="63">
        <v>6</v>
      </c>
      <c r="C113" s="64" t="s">
        <v>122</v>
      </c>
      <c r="D113" s="64" t="s">
        <v>483</v>
      </c>
      <c r="E113" s="65" t="s">
        <v>144</v>
      </c>
      <c r="F113" s="66">
        <v>51.41</v>
      </c>
      <c r="G113" s="66"/>
      <c r="H113" s="66"/>
      <c r="I113" s="67">
        <v>1403526.559514499</v>
      </c>
      <c r="J113" s="67">
        <v>72155300.424640387</v>
      </c>
      <c r="K113" s="66">
        <v>19.2387</v>
      </c>
      <c r="L113" s="98"/>
    </row>
    <row r="114" spans="1:12" s="68" customFormat="1" ht="15.6">
      <c r="A114" s="63" t="s">
        <v>670</v>
      </c>
      <c r="B114" s="63">
        <v>7</v>
      </c>
      <c r="C114" s="64" t="s">
        <v>107</v>
      </c>
      <c r="D114" s="64" t="s">
        <v>468</v>
      </c>
      <c r="E114" s="65" t="s">
        <v>149</v>
      </c>
      <c r="F114" s="66">
        <v>1.569</v>
      </c>
      <c r="G114" s="66"/>
      <c r="H114" s="66"/>
      <c r="I114" s="67">
        <v>5847333.4887753464</v>
      </c>
      <c r="J114" s="67">
        <v>9174466.2438885178</v>
      </c>
      <c r="K114" s="66">
        <v>0.616</v>
      </c>
      <c r="L114" s="98"/>
    </row>
    <row r="115" spans="1:12" s="68" customFormat="1" ht="15.6">
      <c r="A115" s="63"/>
      <c r="B115" s="63"/>
      <c r="C115" s="70" t="s">
        <v>123</v>
      </c>
      <c r="D115" s="64" t="s">
        <v>484</v>
      </c>
      <c r="E115" s="65"/>
      <c r="F115" s="66"/>
      <c r="G115" s="66"/>
      <c r="H115" s="66"/>
      <c r="I115" s="67"/>
      <c r="J115" s="67"/>
      <c r="K115" s="67"/>
      <c r="L115" s="98"/>
    </row>
    <row r="116" spans="1:12" s="68" customFormat="1" ht="27.6">
      <c r="A116" s="63" t="s">
        <v>700</v>
      </c>
      <c r="B116" s="63">
        <v>8</v>
      </c>
      <c r="C116" s="64" t="s">
        <v>162</v>
      </c>
      <c r="D116" s="64" t="s">
        <v>517</v>
      </c>
      <c r="E116" s="65" t="s">
        <v>144</v>
      </c>
      <c r="F116" s="66">
        <v>100.23399999999999</v>
      </c>
      <c r="G116" s="66"/>
      <c r="H116" s="66"/>
      <c r="I116" s="67">
        <v>1649902.5053055212</v>
      </c>
      <c r="J116" s="67">
        <v>165376327.7167936</v>
      </c>
      <c r="K116" s="66">
        <v>85.18286666666667</v>
      </c>
      <c r="L116" s="98"/>
    </row>
    <row r="117" spans="1:12" s="68" customFormat="1" ht="15.6">
      <c r="A117" s="63" t="s">
        <v>702</v>
      </c>
      <c r="B117" s="63">
        <v>9</v>
      </c>
      <c r="C117" s="64" t="s">
        <v>125</v>
      </c>
      <c r="D117" s="64" t="s">
        <v>486</v>
      </c>
      <c r="E117" s="65" t="s">
        <v>144</v>
      </c>
      <c r="F117" s="66">
        <v>14.4</v>
      </c>
      <c r="G117" s="66"/>
      <c r="H117" s="66"/>
      <c r="I117" s="67">
        <v>1885087.661267566</v>
      </c>
      <c r="J117" s="67">
        <v>27145262.322252952</v>
      </c>
      <c r="K117" s="66">
        <v>14.399999999999999</v>
      </c>
      <c r="L117" s="98"/>
    </row>
    <row r="118" spans="1:12" s="68" customFormat="1" ht="27.6">
      <c r="A118" s="63" t="s">
        <v>701</v>
      </c>
      <c r="B118" s="63">
        <v>10</v>
      </c>
      <c r="C118" s="64" t="s">
        <v>163</v>
      </c>
      <c r="D118" s="64" t="s">
        <v>518</v>
      </c>
      <c r="E118" s="65" t="s">
        <v>144</v>
      </c>
      <c r="F118" s="66">
        <v>22.3</v>
      </c>
      <c r="G118" s="66"/>
      <c r="H118" s="66"/>
      <c r="I118" s="67">
        <v>1738137.3363824864</v>
      </c>
      <c r="J118" s="67">
        <v>38760462.601329446</v>
      </c>
      <c r="K118" s="66">
        <v>22.300000000000004</v>
      </c>
      <c r="L118" s="98"/>
    </row>
    <row r="119" spans="1:12" s="68" customFormat="1" ht="27.6">
      <c r="A119" s="63" t="s">
        <v>705</v>
      </c>
      <c r="B119" s="63">
        <v>11</v>
      </c>
      <c r="C119" s="64" t="s">
        <v>164</v>
      </c>
      <c r="D119" s="64" t="s">
        <v>519</v>
      </c>
      <c r="E119" s="65" t="s">
        <v>149</v>
      </c>
      <c r="F119" s="66">
        <v>4.2770000000000001</v>
      </c>
      <c r="G119" s="66"/>
      <c r="H119" s="66"/>
      <c r="I119" s="67">
        <v>15377258.3164245</v>
      </c>
      <c r="J119" s="67">
        <v>65768533.81934759</v>
      </c>
      <c r="K119" s="66">
        <v>3.6026666666666665</v>
      </c>
      <c r="L119" s="98"/>
    </row>
    <row r="120" spans="1:12" s="68" customFormat="1" ht="15.6">
      <c r="A120" s="63" t="s">
        <v>725</v>
      </c>
      <c r="B120" s="63">
        <v>12</v>
      </c>
      <c r="C120" s="64" t="s">
        <v>130</v>
      </c>
      <c r="D120" s="64" t="s">
        <v>491</v>
      </c>
      <c r="E120" s="65" t="s">
        <v>149</v>
      </c>
      <c r="F120" s="66">
        <v>0.98399999999999999</v>
      </c>
      <c r="G120" s="66"/>
      <c r="H120" s="66"/>
      <c r="I120" s="67">
        <v>10508717.889591983</v>
      </c>
      <c r="J120" s="67">
        <v>10340578.403358512</v>
      </c>
      <c r="K120" s="66">
        <v>0.9840000000000002</v>
      </c>
      <c r="L120" s="98"/>
    </row>
    <row r="121" spans="1:12" s="68" customFormat="1" ht="15.6">
      <c r="A121" s="63" t="s">
        <v>706</v>
      </c>
      <c r="B121" s="63">
        <v>13</v>
      </c>
      <c r="C121" s="64" t="s">
        <v>131</v>
      </c>
      <c r="D121" s="64" t="s">
        <v>492</v>
      </c>
      <c r="E121" s="65" t="s">
        <v>149</v>
      </c>
      <c r="F121" s="66">
        <v>0.86899999999999999</v>
      </c>
      <c r="G121" s="66"/>
      <c r="H121" s="66"/>
      <c r="I121" s="67">
        <v>9556992.580486374</v>
      </c>
      <c r="J121" s="67">
        <v>8305026.5524426587</v>
      </c>
      <c r="K121" s="66">
        <v>0.869</v>
      </c>
      <c r="L121" s="98"/>
    </row>
    <row r="122" spans="1:12" s="68" customFormat="1" ht="15.6">
      <c r="A122" s="63" t="s">
        <v>677</v>
      </c>
      <c r="B122" s="63">
        <v>14</v>
      </c>
      <c r="C122" s="64" t="s">
        <v>126</v>
      </c>
      <c r="D122" s="64" t="s">
        <v>487</v>
      </c>
      <c r="E122" s="65" t="s">
        <v>146</v>
      </c>
      <c r="F122" s="66">
        <v>1.1990000000000001</v>
      </c>
      <c r="G122" s="66"/>
      <c r="H122" s="66"/>
      <c r="I122" s="67">
        <v>23279148.621693719</v>
      </c>
      <c r="J122" s="67">
        <v>27911699.19741077</v>
      </c>
      <c r="K122" s="66">
        <v>1.1989999999999998</v>
      </c>
      <c r="L122" s="98"/>
    </row>
    <row r="123" spans="1:12" s="68" customFormat="1" ht="15.6">
      <c r="A123" s="63" t="s">
        <v>678</v>
      </c>
      <c r="B123" s="63">
        <v>15</v>
      </c>
      <c r="C123" s="64" t="s">
        <v>127</v>
      </c>
      <c r="D123" s="64" t="s">
        <v>488</v>
      </c>
      <c r="E123" s="65" t="s">
        <v>146</v>
      </c>
      <c r="F123" s="66">
        <v>2.375</v>
      </c>
      <c r="G123" s="66"/>
      <c r="H123" s="66"/>
      <c r="I123" s="67">
        <v>22298275.433076847</v>
      </c>
      <c r="J123" s="67">
        <v>52958404.153557509</v>
      </c>
      <c r="K123" s="66">
        <v>1.4687</v>
      </c>
      <c r="L123" s="98"/>
    </row>
    <row r="124" spans="1:12" s="68" customFormat="1" ht="15.6">
      <c r="A124" s="63" t="s">
        <v>703</v>
      </c>
      <c r="B124" s="63">
        <v>16</v>
      </c>
      <c r="C124" s="64" t="s">
        <v>128</v>
      </c>
      <c r="D124" s="64" t="s">
        <v>489</v>
      </c>
      <c r="E124" s="65" t="s">
        <v>146</v>
      </c>
      <c r="F124" s="66">
        <v>0.52400000000000002</v>
      </c>
      <c r="G124" s="66"/>
      <c r="H124" s="66"/>
      <c r="I124" s="67">
        <v>22227176.507897273</v>
      </c>
      <c r="J124" s="67">
        <v>11647040.490138171</v>
      </c>
      <c r="K124" s="66">
        <v>0.5237</v>
      </c>
      <c r="L124" s="98"/>
    </row>
    <row r="125" spans="1:12" s="68" customFormat="1" ht="15.6">
      <c r="A125" s="63" t="s">
        <v>680</v>
      </c>
      <c r="B125" s="63">
        <v>17</v>
      </c>
      <c r="C125" s="64" t="s">
        <v>165</v>
      </c>
      <c r="D125" s="64" t="s">
        <v>520</v>
      </c>
      <c r="E125" s="65" t="s">
        <v>392</v>
      </c>
      <c r="F125" s="66">
        <v>120</v>
      </c>
      <c r="G125" s="66"/>
      <c r="H125" s="66"/>
      <c r="I125" s="67">
        <v>33088.984387921992</v>
      </c>
      <c r="J125" s="67">
        <v>3970678.126550639</v>
      </c>
      <c r="K125" s="66">
        <v>60.0</v>
      </c>
      <c r="L125" s="98"/>
    </row>
    <row r="126" spans="1:12" s="68" customFormat="1" ht="15.6">
      <c r="A126" s="63"/>
      <c r="B126" s="63"/>
      <c r="C126" s="70" t="s">
        <v>140</v>
      </c>
      <c r="D126" s="64" t="s">
        <v>501</v>
      </c>
      <c r="E126" s="65"/>
      <c r="F126" s="66"/>
      <c r="G126" s="66"/>
      <c r="H126" s="66"/>
      <c r="I126" s="67"/>
      <c r="J126" s="67"/>
      <c r="K126" s="67"/>
      <c r="L126" s="98"/>
    </row>
    <row r="127" spans="1:12" s="68" customFormat="1" ht="27.6">
      <c r="A127" s="63" t="s">
        <v>691</v>
      </c>
      <c r="B127" s="63">
        <v>18</v>
      </c>
      <c r="C127" s="64" t="s">
        <v>141</v>
      </c>
      <c r="D127" s="64" t="s">
        <v>325</v>
      </c>
      <c r="E127" s="65" t="s">
        <v>145</v>
      </c>
      <c r="F127" s="66">
        <v>0.58599999999999997</v>
      </c>
      <c r="G127" s="66"/>
      <c r="H127" s="66"/>
      <c r="I127" s="67">
        <v>3406602.6497878134</v>
      </c>
      <c r="J127" s="67">
        <v>1996269.1527756585</v>
      </c>
      <c r="K127" s="66">
        <v>0.585915</v>
      </c>
      <c r="L127" s="98"/>
    </row>
    <row r="128" spans="1:12" s="68" customFormat="1" ht="27.6">
      <c r="A128" s="63" t="s">
        <v>643</v>
      </c>
      <c r="B128" s="63">
        <v>19</v>
      </c>
      <c r="C128" s="64" t="s">
        <v>36</v>
      </c>
      <c r="D128" s="64" t="s">
        <v>399</v>
      </c>
      <c r="E128" s="65" t="s">
        <v>145</v>
      </c>
      <c r="F128" s="66">
        <v>1.944</v>
      </c>
      <c r="G128" s="66"/>
      <c r="H128" s="66"/>
      <c r="I128" s="67">
        <v>1171462.5022504972</v>
      </c>
      <c r="J128" s="67">
        <v>2277323.1043749666</v>
      </c>
      <c r="K128" s="66">
        <v>1.94360615</v>
      </c>
      <c r="L128" s="98"/>
    </row>
    <row r="129" spans="1:12" s="68" customFormat="1" ht="41.4">
      <c r="A129" s="63" t="s">
        <v>658</v>
      </c>
      <c r="B129" s="63">
        <v>20</v>
      </c>
      <c r="C129" s="64" t="s">
        <v>51</v>
      </c>
      <c r="D129" s="64" t="s">
        <v>413</v>
      </c>
      <c r="E129" s="65" t="s">
        <v>149</v>
      </c>
      <c r="F129" s="66">
        <v>0.21299999999999999</v>
      </c>
      <c r="G129" s="66"/>
      <c r="H129" s="66"/>
      <c r="I129" s="67">
        <v>1171371.4977983192</v>
      </c>
      <c r="J129" s="67">
        <v>249502.12903104199</v>
      </c>
      <c r="K129" s="66">
        <v>0.0</v>
      </c>
      <c r="L129" s="98"/>
    </row>
    <row r="130" spans="1:12" s="68" customFormat="1" ht="41.4">
      <c r="A130" s="63" t="s">
        <v>659</v>
      </c>
      <c r="B130" s="63">
        <v>21</v>
      </c>
      <c r="C130" s="64" t="s">
        <v>52</v>
      </c>
      <c r="D130" s="64" t="s">
        <v>414</v>
      </c>
      <c r="E130" s="65" t="s">
        <v>415</v>
      </c>
      <c r="F130" s="66">
        <v>3.5000000000000003E-2</v>
      </c>
      <c r="G130" s="66"/>
      <c r="H130" s="66"/>
      <c r="I130" s="67">
        <v>115729528.15396783</v>
      </c>
      <c r="J130" s="67">
        <v>4050533.4853888745</v>
      </c>
      <c r="K130" s="66">
        <v>0.0</v>
      </c>
      <c r="L130" s="98"/>
    </row>
    <row r="131" spans="1:12" s="68" customFormat="1" ht="27.6">
      <c r="A131" s="63" t="s">
        <v>712</v>
      </c>
      <c r="B131" s="63">
        <v>22</v>
      </c>
      <c r="C131" s="64" t="s">
        <v>142</v>
      </c>
      <c r="D131" s="64" t="s">
        <v>502</v>
      </c>
      <c r="E131" s="65" t="s">
        <v>415</v>
      </c>
      <c r="F131" s="66">
        <v>3.5000000000000003E-2</v>
      </c>
      <c r="G131" s="66"/>
      <c r="H131" s="66"/>
      <c r="I131" s="67">
        <v>5422723.0814296259</v>
      </c>
      <c r="J131" s="67">
        <v>189795.30785003692</v>
      </c>
      <c r="K131" s="66">
        <v>0.0</v>
      </c>
      <c r="L131" s="98"/>
    </row>
    <row r="132" spans="1:12" s="68" customFormat="1" ht="27.6">
      <c r="A132" s="63" t="s">
        <v>661</v>
      </c>
      <c r="B132" s="63">
        <v>23</v>
      </c>
      <c r="C132" s="64" t="s">
        <v>54</v>
      </c>
      <c r="D132" s="64" t="s">
        <v>417</v>
      </c>
      <c r="E132" s="65" t="s">
        <v>415</v>
      </c>
      <c r="F132" s="66">
        <v>3.5000000000000003E-2</v>
      </c>
      <c r="G132" s="66"/>
      <c r="H132" s="66"/>
      <c r="I132" s="67">
        <v>13629288.355293328</v>
      </c>
      <c r="J132" s="67">
        <v>477025.09243526653</v>
      </c>
      <c r="K132" s="66">
        <v>0.0</v>
      </c>
      <c r="L132" s="98"/>
    </row>
    <row r="133" spans="1:12" s="68" customFormat="1" ht="27.6">
      <c r="A133" s="63" t="s">
        <v>662</v>
      </c>
      <c r="B133" s="63">
        <v>24</v>
      </c>
      <c r="C133" s="64" t="s">
        <v>143</v>
      </c>
      <c r="D133" s="64" t="s">
        <v>503</v>
      </c>
      <c r="E133" s="65" t="s">
        <v>149</v>
      </c>
      <c r="F133" s="66">
        <v>0.21299999999999999</v>
      </c>
      <c r="G133" s="66"/>
      <c r="H133" s="66"/>
      <c r="I133" s="67">
        <v>1793277.9778179687</v>
      </c>
      <c r="J133" s="67">
        <v>381968.20927522733</v>
      </c>
      <c r="K133" s="66">
        <v>0.0</v>
      </c>
      <c r="L133" s="98"/>
    </row>
    <row r="134" spans="1:12" s="68" customFormat="1" ht="15.6">
      <c r="A134" s="63" t="s">
        <v>663</v>
      </c>
      <c r="B134" s="63">
        <v>25</v>
      </c>
      <c r="C134" s="64" t="s">
        <v>55</v>
      </c>
      <c r="D134" s="64" t="s">
        <v>418</v>
      </c>
      <c r="E134" s="65" t="s">
        <v>145</v>
      </c>
      <c r="F134" s="66">
        <v>3.2000000000000001E-2</v>
      </c>
      <c r="G134" s="66"/>
      <c r="H134" s="66"/>
      <c r="I134" s="67">
        <v>31106460.200125102</v>
      </c>
      <c r="J134" s="67">
        <v>995406.72640400333</v>
      </c>
      <c r="K134" s="66">
        <v>0.0</v>
      </c>
      <c r="L134" s="98"/>
    </row>
    <row r="135" spans="1:12" s="68" customFormat="1" ht="15.6">
      <c r="A135" s="63" t="s">
        <v>664</v>
      </c>
      <c r="B135" s="63">
        <v>26</v>
      </c>
      <c r="C135" s="64" t="s">
        <v>56</v>
      </c>
      <c r="D135" s="64" t="s">
        <v>419</v>
      </c>
      <c r="E135" s="65" t="s">
        <v>145</v>
      </c>
      <c r="F135" s="66">
        <v>6.8000000000000005E-2</v>
      </c>
      <c r="G135" s="66"/>
      <c r="H135" s="66"/>
      <c r="I135" s="67">
        <v>30952519.587396916</v>
      </c>
      <c r="J135" s="67">
        <v>2104771.3319429904</v>
      </c>
      <c r="K135" s="66">
        <v>0.0</v>
      </c>
      <c r="L135" s="98"/>
    </row>
    <row r="136" spans="1:12" s="23" customFormat="1" ht="27.6">
      <c r="A136" s="19"/>
      <c r="B136" s="19" t="s">
        <v>18</v>
      </c>
      <c r="C136" s="20" t="s">
        <v>17</v>
      </c>
      <c r="D136" s="20" t="s">
        <v>521</v>
      </c>
      <c r="E136" s="21"/>
      <c r="F136" s="36"/>
      <c r="G136" s="36"/>
      <c r="H136" s="36"/>
      <c r="I136" s="22"/>
      <c r="J136" s="22">
        <v>9213911473.7922516</v>
      </c>
      <c r="K136" s="22"/>
      <c r="L136" s="97"/>
    </row>
    <row r="137" spans="1:12" ht="15.6">
      <c r="A137" s="2">
        <v>0</v>
      </c>
      <c r="B137" s="2"/>
      <c r="C137" s="12" t="s">
        <v>50</v>
      </c>
      <c r="D137" s="12" t="s">
        <v>507</v>
      </c>
      <c r="E137" s="13"/>
      <c r="F137" s="30"/>
      <c r="G137" s="30"/>
      <c r="H137" s="30"/>
      <c r="I137" s="14"/>
      <c r="J137" s="14"/>
      <c r="K137" s="14"/>
      <c r="L137" s="93"/>
    </row>
    <row r="138" spans="1:12" s="23" customFormat="1" ht="15.6">
      <c r="A138" s="19">
        <v>0</v>
      </c>
      <c r="B138" s="19"/>
      <c r="C138" s="20" t="s">
        <v>29</v>
      </c>
      <c r="D138" s="20" t="s">
        <v>349</v>
      </c>
      <c r="E138" s="21"/>
      <c r="F138" s="36"/>
      <c r="G138" s="36"/>
      <c r="H138" s="36"/>
      <c r="I138" s="22"/>
      <c r="J138" s="22"/>
      <c r="K138" s="22"/>
      <c r="L138" s="97"/>
    </row>
    <row r="139" spans="1:12" s="68" customFormat="1" ht="15.6">
      <c r="A139" s="63" t="s">
        <v>635</v>
      </c>
      <c r="B139" s="63">
        <v>1</v>
      </c>
      <c r="C139" s="64" t="s">
        <v>166</v>
      </c>
      <c r="D139" s="64" t="s">
        <v>522</v>
      </c>
      <c r="E139" s="65" t="s">
        <v>145</v>
      </c>
      <c r="F139" s="66">
        <v>22.677</v>
      </c>
      <c r="G139" s="66"/>
      <c r="H139" s="66"/>
      <c r="I139" s="67">
        <v>818232.15052460553</v>
      </c>
      <c r="J139" s="67">
        <v>18555050.477446478</v>
      </c>
      <c r="K139" s="66">
        <v>22.152283999999998</v>
      </c>
      <c r="L139" s="98"/>
    </row>
    <row r="140" spans="1:12" s="68" customFormat="1" ht="27.6">
      <c r="A140" s="63" t="s">
        <v>637</v>
      </c>
      <c r="B140" s="63">
        <v>2</v>
      </c>
      <c r="C140" s="64" t="s">
        <v>31</v>
      </c>
      <c r="D140" s="64" t="s">
        <v>394</v>
      </c>
      <c r="E140" s="65" t="s">
        <v>145</v>
      </c>
      <c r="F140" s="66">
        <v>7.8419999999999996</v>
      </c>
      <c r="G140" s="66"/>
      <c r="H140" s="66"/>
      <c r="I140" s="67">
        <v>2188408.2087078919</v>
      </c>
      <c r="J140" s="67">
        <v>17161497.172687288</v>
      </c>
      <c r="K140" s="66">
        <v>6.624696499999999</v>
      </c>
      <c r="L140" s="98"/>
    </row>
    <row r="141" spans="1:12" s="68" customFormat="1" ht="27.6">
      <c r="A141" s="63" t="s">
        <v>641</v>
      </c>
      <c r="B141" s="63">
        <v>3</v>
      </c>
      <c r="C141" s="64" t="s">
        <v>34</v>
      </c>
      <c r="D141" s="64" t="s">
        <v>397</v>
      </c>
      <c r="E141" s="65" t="s">
        <v>145</v>
      </c>
      <c r="F141" s="66">
        <v>71.271000000000001</v>
      </c>
      <c r="G141" s="66"/>
      <c r="H141" s="66"/>
      <c r="I141" s="67">
        <v>2227071.2377586598</v>
      </c>
      <c r="J141" s="67">
        <v>158725594.18629745</v>
      </c>
      <c r="K141" s="66">
        <v>69.7558955</v>
      </c>
      <c r="L141" s="98"/>
    </row>
    <row r="142" spans="1:12" s="68" customFormat="1" ht="27.6">
      <c r="A142" s="63" t="s">
        <v>642</v>
      </c>
      <c r="B142" s="63">
        <v>4</v>
      </c>
      <c r="C142" s="64" t="s">
        <v>35</v>
      </c>
      <c r="D142" s="64" t="s">
        <v>398</v>
      </c>
      <c r="E142" s="65" t="s">
        <v>145</v>
      </c>
      <c r="F142" s="66">
        <v>8.2349999999999994</v>
      </c>
      <c r="G142" s="66"/>
      <c r="H142" s="66"/>
      <c r="I142" s="67">
        <v>2625420.8105833116</v>
      </c>
      <c r="J142" s="67">
        <v>21620340.375153571</v>
      </c>
      <c r="K142" s="66">
        <v>8.198705999999998</v>
      </c>
      <c r="L142" s="98"/>
    </row>
    <row r="143" spans="1:12" s="68" customFormat="1" ht="27.6">
      <c r="A143" s="63" t="s">
        <v>643</v>
      </c>
      <c r="B143" s="63">
        <v>5</v>
      </c>
      <c r="C143" s="64" t="s">
        <v>36</v>
      </c>
      <c r="D143" s="64" t="s">
        <v>399</v>
      </c>
      <c r="E143" s="65" t="s">
        <v>145</v>
      </c>
      <c r="F143" s="66">
        <v>96.498999999999995</v>
      </c>
      <c r="G143" s="66"/>
      <c r="H143" s="66"/>
      <c r="I143" s="67">
        <v>1171462.5022504972</v>
      </c>
      <c r="J143" s="67">
        <v>113044960.00467072</v>
      </c>
      <c r="K143" s="66">
        <v>94.37450000000001</v>
      </c>
      <c r="L143" s="98"/>
    </row>
    <row r="144" spans="1:12" s="68" customFormat="1" ht="27.6">
      <c r="A144" s="63" t="s">
        <v>644</v>
      </c>
      <c r="B144" s="63">
        <v>6</v>
      </c>
      <c r="C144" s="64" t="s">
        <v>37</v>
      </c>
      <c r="D144" s="64" t="s">
        <v>400</v>
      </c>
      <c r="E144" s="65" t="s">
        <v>145</v>
      </c>
      <c r="F144" s="66">
        <v>72.602000000000004</v>
      </c>
      <c r="G144" s="66"/>
      <c r="H144" s="66"/>
      <c r="I144" s="67">
        <v>1425673.6652315694</v>
      </c>
      <c r="J144" s="67">
        <v>103506759.44314241</v>
      </c>
      <c r="K144" s="66">
        <v>0.0</v>
      </c>
      <c r="L144" s="98"/>
    </row>
    <row r="145" spans="1:12" s="68" customFormat="1" ht="27.6">
      <c r="A145" s="63"/>
      <c r="B145" s="63"/>
      <c r="C145" s="70" t="s">
        <v>167</v>
      </c>
      <c r="D145" s="64" t="s">
        <v>523</v>
      </c>
      <c r="E145" s="65"/>
      <c r="F145" s="66"/>
      <c r="G145" s="66"/>
      <c r="H145" s="66"/>
      <c r="I145" s="67"/>
      <c r="J145" s="67"/>
      <c r="K145" s="67"/>
      <c r="L145" s="98"/>
    </row>
    <row r="146" spans="1:12" s="68" customFormat="1" ht="15.6">
      <c r="A146" s="63" t="s">
        <v>645</v>
      </c>
      <c r="B146" s="63">
        <v>7</v>
      </c>
      <c r="C146" s="64" t="s">
        <v>38</v>
      </c>
      <c r="D146" s="64" t="s">
        <v>401</v>
      </c>
      <c r="E146" s="65" t="s">
        <v>144</v>
      </c>
      <c r="F146" s="66">
        <v>131.30099999999999</v>
      </c>
      <c r="G146" s="66"/>
      <c r="H146" s="66"/>
      <c r="I146" s="67">
        <v>56835.345000000001</v>
      </c>
      <c r="J146" s="67">
        <v>7462537.6338449996</v>
      </c>
      <c r="K146" s="66">
        <v>0.0</v>
      </c>
      <c r="L146" s="98"/>
    </row>
    <row r="147" spans="1:12" s="68" customFormat="1" ht="15.6">
      <c r="A147" s="63" t="s">
        <v>645</v>
      </c>
      <c r="B147" s="63">
        <v>8</v>
      </c>
      <c r="C147" s="64" t="s">
        <v>39</v>
      </c>
      <c r="D147" s="64" t="s">
        <v>402</v>
      </c>
      <c r="E147" s="65" t="s">
        <v>144</v>
      </c>
      <c r="F147" s="66">
        <v>4478.9830000000002</v>
      </c>
      <c r="G147" s="66"/>
      <c r="H147" s="66"/>
      <c r="I147" s="67">
        <v>56835.345000000001</v>
      </c>
      <c r="J147" s="67">
        <v>254564544.05413502</v>
      </c>
      <c r="K147" s="66">
        <v>0.0</v>
      </c>
      <c r="L147" s="98"/>
    </row>
    <row r="148" spans="1:12" s="68" customFormat="1" ht="41.4">
      <c r="A148" s="63">
        <v>0</v>
      </c>
      <c r="B148" s="63"/>
      <c r="C148" s="64" t="s">
        <v>168</v>
      </c>
      <c r="D148" s="64" t="s">
        <v>524</v>
      </c>
      <c r="E148" s="65"/>
      <c r="F148" s="66"/>
      <c r="G148" s="66"/>
      <c r="H148" s="66"/>
      <c r="I148" s="67"/>
      <c r="J148" s="67"/>
      <c r="K148" s="67"/>
      <c r="L148" s="98"/>
    </row>
    <row r="149" spans="1:12" s="68" customFormat="1" ht="27.6">
      <c r="A149" s="63" t="s">
        <v>646</v>
      </c>
      <c r="B149" s="63">
        <v>9</v>
      </c>
      <c r="C149" s="64" t="s">
        <v>40</v>
      </c>
      <c r="D149" s="64" t="s">
        <v>403</v>
      </c>
      <c r="E149" s="65" t="s">
        <v>252</v>
      </c>
      <c r="F149" s="66">
        <v>461.02800000000002</v>
      </c>
      <c r="G149" s="66"/>
      <c r="H149" s="66"/>
      <c r="I149" s="67">
        <v>81779.557128306726</v>
      </c>
      <c r="J149" s="67">
        <v>37702665.663748994</v>
      </c>
      <c r="K149" s="66">
        <v>0.0</v>
      </c>
      <c r="L149" s="98"/>
    </row>
    <row r="150" spans="1:12" s="68" customFormat="1" ht="27.6">
      <c r="A150" s="63" t="s">
        <v>647</v>
      </c>
      <c r="B150" s="63">
        <v>10</v>
      </c>
      <c r="C150" s="64" t="s">
        <v>41</v>
      </c>
      <c r="D150" s="64" t="s">
        <v>404</v>
      </c>
      <c r="E150" s="65" t="s">
        <v>252</v>
      </c>
      <c r="F150" s="66">
        <v>461.02800000000002</v>
      </c>
      <c r="G150" s="66"/>
      <c r="H150" s="66"/>
      <c r="I150" s="67">
        <v>486622.15811885009</v>
      </c>
      <c r="J150" s="67">
        <v>224346440.31321722</v>
      </c>
      <c r="K150" s="66">
        <v>0.0</v>
      </c>
      <c r="L150" s="98"/>
    </row>
    <row r="151" spans="1:12" s="68" customFormat="1" ht="27.6">
      <c r="A151" s="63" t="s">
        <v>648</v>
      </c>
      <c r="B151" s="63">
        <v>11</v>
      </c>
      <c r="C151" s="64" t="s">
        <v>169</v>
      </c>
      <c r="D151" s="64" t="s">
        <v>525</v>
      </c>
      <c r="E151" s="65" t="s">
        <v>252</v>
      </c>
      <c r="F151" s="66">
        <v>461.02800000000002</v>
      </c>
      <c r="G151" s="66"/>
      <c r="H151" s="66"/>
      <c r="I151" s="67">
        <v>244372.18570976757</v>
      </c>
      <c r="J151" s="67">
        <v>112662420.03340273</v>
      </c>
      <c r="K151" s="66">
        <v>0.0</v>
      </c>
      <c r="L151" s="98"/>
    </row>
    <row r="152" spans="1:12" s="68" customFormat="1" ht="15.6">
      <c r="A152" s="63">
        <v>0</v>
      </c>
      <c r="B152" s="63"/>
      <c r="C152" s="64" t="s">
        <v>170</v>
      </c>
      <c r="D152" s="64" t="s">
        <v>526</v>
      </c>
      <c r="E152" s="65"/>
      <c r="F152" s="66"/>
      <c r="G152" s="66"/>
      <c r="H152" s="66"/>
      <c r="I152" s="67"/>
      <c r="J152" s="67"/>
      <c r="K152" s="66">
        <v>0.0</v>
      </c>
      <c r="L152" s="98"/>
    </row>
    <row r="153" spans="1:12" s="68" customFormat="1" ht="15.6">
      <c r="A153" s="63" t="s">
        <v>649</v>
      </c>
      <c r="B153" s="63">
        <v>12</v>
      </c>
      <c r="C153" s="64" t="s">
        <v>42</v>
      </c>
      <c r="D153" s="64" t="s">
        <v>405</v>
      </c>
      <c r="E153" s="65" t="s">
        <v>145</v>
      </c>
      <c r="F153" s="66">
        <v>22.677</v>
      </c>
      <c r="G153" s="66"/>
      <c r="H153" s="66"/>
      <c r="I153" s="67">
        <v>1529705.7655680522</v>
      </c>
      <c r="J153" s="67">
        <v>34689137.645786718</v>
      </c>
      <c r="K153" s="66">
        <v>22.152283999999998</v>
      </c>
      <c r="L153" s="98"/>
    </row>
    <row r="154" spans="1:12" s="68" customFormat="1" ht="27.6">
      <c r="A154" s="63" t="s">
        <v>650</v>
      </c>
      <c r="B154" s="63">
        <v>13</v>
      </c>
      <c r="C154" s="64" t="s">
        <v>156</v>
      </c>
      <c r="D154" s="64" t="s">
        <v>510</v>
      </c>
      <c r="E154" s="65" t="s">
        <v>28</v>
      </c>
      <c r="F154" s="66">
        <v>22.677</v>
      </c>
      <c r="G154" s="66"/>
      <c r="H154" s="66"/>
      <c r="I154" s="67">
        <v>467157.2717940961</v>
      </c>
      <c r="J154" s="67">
        <v>10593725.452474717</v>
      </c>
      <c r="K154" s="66">
        <v>22.152283999999998</v>
      </c>
      <c r="L154" s="98"/>
    </row>
    <row r="155" spans="1:12" s="68" customFormat="1" ht="27.6">
      <c r="A155" s="63" t="s">
        <v>653</v>
      </c>
      <c r="B155" s="63">
        <v>14</v>
      </c>
      <c r="C155" s="64" t="s">
        <v>44</v>
      </c>
      <c r="D155" s="64" t="s">
        <v>407</v>
      </c>
      <c r="E155" s="65" t="s">
        <v>145</v>
      </c>
      <c r="F155" s="66">
        <v>155.16</v>
      </c>
      <c r="G155" s="66"/>
      <c r="H155" s="66"/>
      <c r="I155" s="67">
        <v>1333705.1741035152</v>
      </c>
      <c r="J155" s="67">
        <v>206937694.81390142</v>
      </c>
      <c r="K155" s="66">
        <v>84.579298</v>
      </c>
      <c r="L155" s="98"/>
    </row>
    <row r="156" spans="1:12" s="68" customFormat="1" ht="15.6">
      <c r="A156" s="63" t="s">
        <v>654</v>
      </c>
      <c r="B156" s="63">
        <v>15</v>
      </c>
      <c r="C156" s="64" t="s">
        <v>46</v>
      </c>
      <c r="D156" s="64" t="s">
        <v>409</v>
      </c>
      <c r="E156" s="65" t="s">
        <v>145</v>
      </c>
      <c r="F156" s="66">
        <v>6.8029999999999999</v>
      </c>
      <c r="G156" s="66"/>
      <c r="H156" s="66"/>
      <c r="I156" s="67">
        <v>190467.36151284951</v>
      </c>
      <c r="J156" s="67">
        <v>1295749.4603719153</v>
      </c>
      <c r="K156" s="66">
        <v>6.645685199999999</v>
      </c>
      <c r="L156" s="98"/>
    </row>
    <row r="157" spans="1:12" s="68" customFormat="1" ht="15.6">
      <c r="A157" s="63" t="s">
        <v>656</v>
      </c>
      <c r="B157" s="63">
        <v>16</v>
      </c>
      <c r="C157" s="64" t="s">
        <v>48</v>
      </c>
      <c r="D157" s="64" t="s">
        <v>411</v>
      </c>
      <c r="E157" s="65" t="s">
        <v>149</v>
      </c>
      <c r="F157" s="66">
        <v>41.058</v>
      </c>
      <c r="G157" s="66"/>
      <c r="H157" s="66"/>
      <c r="I157" s="67">
        <v>1543637.4150644999</v>
      </c>
      <c r="J157" s="67">
        <v>63378664.987718239</v>
      </c>
      <c r="K157" s="66">
        <v>0.0</v>
      </c>
      <c r="L157" s="98"/>
    </row>
    <row r="158" spans="1:12" s="68" customFormat="1" ht="15.6">
      <c r="A158" s="63" t="s">
        <v>657</v>
      </c>
      <c r="B158" s="63">
        <v>17</v>
      </c>
      <c r="C158" s="64" t="s">
        <v>49</v>
      </c>
      <c r="D158" s="64" t="s">
        <v>412</v>
      </c>
      <c r="E158" s="65" t="s">
        <v>149</v>
      </c>
      <c r="F158" s="66">
        <v>41.058</v>
      </c>
      <c r="G158" s="66"/>
      <c r="H158" s="66"/>
      <c r="I158" s="67">
        <v>24502.1811915</v>
      </c>
      <c r="J158" s="67">
        <v>1006010.555360607</v>
      </c>
      <c r="K158" s="66">
        <v>0.0</v>
      </c>
      <c r="L158" s="98"/>
    </row>
    <row r="159" spans="1:12" s="23" customFormat="1" ht="15.6">
      <c r="A159" s="19">
        <v>0</v>
      </c>
      <c r="B159" s="19"/>
      <c r="C159" s="20" t="s">
        <v>50</v>
      </c>
      <c r="D159" s="20" t="s">
        <v>350</v>
      </c>
      <c r="E159" s="21"/>
      <c r="F159" s="36"/>
      <c r="G159" s="36"/>
      <c r="H159" s="36"/>
      <c r="I159" s="22"/>
      <c r="J159" s="22"/>
      <c r="K159" s="22"/>
      <c r="L159" s="97"/>
    </row>
    <row r="160" spans="1:12" ht="41.4">
      <c r="A160" s="2" t="s">
        <v>658</v>
      </c>
      <c r="B160" s="2">
        <v>18</v>
      </c>
      <c r="C160" s="12" t="s">
        <v>51</v>
      </c>
      <c r="D160" s="12" t="s">
        <v>413</v>
      </c>
      <c r="E160" s="13" t="s">
        <v>149</v>
      </c>
      <c r="F160" s="30">
        <v>146.27199999999999</v>
      </c>
      <c r="G160" s="30"/>
      <c r="H160" s="30"/>
      <c r="I160" s="14">
        <v>1171371.4977983192</v>
      </c>
      <c r="J160" s="14">
        <v>171338851.72595572</v>
      </c>
      <c r="K160" s="30">
        <v>0.0</v>
      </c>
      <c r="L160" s="93"/>
    </row>
    <row r="161" spans="1:12" ht="41.4">
      <c r="A161" s="2" t="s">
        <v>659</v>
      </c>
      <c r="B161" s="2">
        <v>19</v>
      </c>
      <c r="C161" s="12" t="s">
        <v>171</v>
      </c>
      <c r="D161" s="12" t="s">
        <v>414</v>
      </c>
      <c r="E161" s="13" t="s">
        <v>415</v>
      </c>
      <c r="F161" s="30">
        <v>24.31</v>
      </c>
      <c r="G161" s="30"/>
      <c r="H161" s="30"/>
      <c r="I161" s="14">
        <v>114863766.94263284</v>
      </c>
      <c r="J161" s="14">
        <v>2792338174.3754044</v>
      </c>
      <c r="K161" s="30">
        <v>0.0</v>
      </c>
      <c r="L161" s="93"/>
    </row>
    <row r="162" spans="1:12" ht="27.6">
      <c r="A162" s="2" t="s">
        <v>660</v>
      </c>
      <c r="B162" s="2">
        <v>20</v>
      </c>
      <c r="C162" s="12" t="s">
        <v>142</v>
      </c>
      <c r="D162" s="12" t="s">
        <v>502</v>
      </c>
      <c r="E162" s="13" t="s">
        <v>415</v>
      </c>
      <c r="F162" s="30">
        <v>24.31</v>
      </c>
      <c r="G162" s="30"/>
      <c r="H162" s="30"/>
      <c r="I162" s="14">
        <v>4732391.7900324054</v>
      </c>
      <c r="J162" s="14">
        <v>115044444.41568777</v>
      </c>
      <c r="K162" s="30">
        <v>0.0</v>
      </c>
      <c r="L162" s="93"/>
    </row>
    <row r="163" spans="1:12" ht="27.6">
      <c r="A163" s="2" t="s">
        <v>661</v>
      </c>
      <c r="B163" s="2">
        <v>21</v>
      </c>
      <c r="C163" s="12" t="s">
        <v>157</v>
      </c>
      <c r="D163" s="12" t="s">
        <v>511</v>
      </c>
      <c r="E163" s="13" t="s">
        <v>415</v>
      </c>
      <c r="F163" s="30">
        <v>24.31</v>
      </c>
      <c r="G163" s="30"/>
      <c r="H163" s="30"/>
      <c r="I163" s="14">
        <v>13220650.080090528</v>
      </c>
      <c r="J163" s="14">
        <v>321394003.44700074</v>
      </c>
      <c r="K163" s="30">
        <v>0.0</v>
      </c>
      <c r="L163" s="93"/>
    </row>
    <row r="164" spans="1:12" ht="27.6">
      <c r="A164" s="2" t="s">
        <v>662</v>
      </c>
      <c r="B164" s="2">
        <v>22</v>
      </c>
      <c r="C164" s="12" t="s">
        <v>143</v>
      </c>
      <c r="D164" s="12" t="s">
        <v>503</v>
      </c>
      <c r="E164" s="13" t="s">
        <v>149</v>
      </c>
      <c r="F164" s="30">
        <v>14.627000000000001</v>
      </c>
      <c r="G164" s="30"/>
      <c r="H164" s="30"/>
      <c r="I164" s="14">
        <v>1793277.9778179687</v>
      </c>
      <c r="J164" s="14">
        <v>26230276.981543429</v>
      </c>
      <c r="K164" s="30">
        <v>0.0</v>
      </c>
      <c r="L164" s="93"/>
    </row>
    <row r="165" spans="1:12" ht="15.6">
      <c r="A165" s="2" t="s">
        <v>663</v>
      </c>
      <c r="B165" s="2">
        <v>23</v>
      </c>
      <c r="C165" s="12" t="s">
        <v>55</v>
      </c>
      <c r="D165" s="12" t="s">
        <v>418</v>
      </c>
      <c r="E165" s="13" t="s">
        <v>145</v>
      </c>
      <c r="F165" s="30">
        <v>21.940999999999999</v>
      </c>
      <c r="G165" s="30"/>
      <c r="H165" s="30"/>
      <c r="I165" s="14">
        <v>31106460.200125102</v>
      </c>
      <c r="J165" s="14">
        <v>682506843.25094485</v>
      </c>
      <c r="K165" s="30">
        <v>0.0</v>
      </c>
      <c r="L165" s="93"/>
    </row>
    <row r="166" spans="1:12" ht="15.6">
      <c r="A166" s="2" t="s">
        <v>664</v>
      </c>
      <c r="B166" s="2">
        <v>24</v>
      </c>
      <c r="C166" s="12" t="s">
        <v>56</v>
      </c>
      <c r="D166" s="12" t="s">
        <v>419</v>
      </c>
      <c r="E166" s="13" t="s">
        <v>145</v>
      </c>
      <c r="F166" s="30">
        <v>46.637999999999998</v>
      </c>
      <c r="G166" s="30"/>
      <c r="H166" s="30"/>
      <c r="I166" s="14">
        <v>30952519.587396916</v>
      </c>
      <c r="J166" s="14">
        <v>1443563608.5170174</v>
      </c>
      <c r="K166" s="30">
        <v>0.0</v>
      </c>
      <c r="L166" s="93"/>
    </row>
    <row r="167" spans="1:12" s="23" customFormat="1" ht="15.6">
      <c r="A167" s="19">
        <v>0</v>
      </c>
      <c r="B167" s="19"/>
      <c r="C167" s="20" t="s">
        <v>57</v>
      </c>
      <c r="D167" s="20" t="s">
        <v>420</v>
      </c>
      <c r="E167" s="21"/>
      <c r="F167" s="36"/>
      <c r="G167" s="36"/>
      <c r="H167" s="36"/>
      <c r="I167" s="22"/>
      <c r="J167" s="22"/>
      <c r="K167" s="22"/>
      <c r="L167" s="97"/>
    </row>
    <row r="168" spans="1:12" ht="41.4">
      <c r="A168" s="2" t="s">
        <v>658</v>
      </c>
      <c r="B168" s="2">
        <v>25</v>
      </c>
      <c r="C168" s="12" t="s">
        <v>51</v>
      </c>
      <c r="D168" s="12" t="s">
        <v>413</v>
      </c>
      <c r="E168" s="13" t="s">
        <v>149</v>
      </c>
      <c r="F168" s="30">
        <v>8.07</v>
      </c>
      <c r="G168" s="30"/>
      <c r="H168" s="30"/>
      <c r="I168" s="14">
        <v>1171371.4977983192</v>
      </c>
      <c r="J168" s="14">
        <v>9452967.9872324355</v>
      </c>
      <c r="K168" s="30">
        <v>0.0</v>
      </c>
      <c r="L168" s="93"/>
    </row>
    <row r="169" spans="1:12" ht="41.4">
      <c r="A169" s="2" t="s">
        <v>659</v>
      </c>
      <c r="B169" s="2">
        <v>26</v>
      </c>
      <c r="C169" s="12" t="s">
        <v>52</v>
      </c>
      <c r="D169" s="12" t="s">
        <v>414</v>
      </c>
      <c r="E169" s="13" t="s">
        <v>415</v>
      </c>
      <c r="F169" s="30">
        <v>1.341</v>
      </c>
      <c r="G169" s="30"/>
      <c r="H169" s="30"/>
      <c r="I169" s="14">
        <v>114863766.94263284</v>
      </c>
      <c r="J169" s="14">
        <v>154032311.47007063</v>
      </c>
      <c r="K169" s="30">
        <v>0.0</v>
      </c>
      <c r="L169" s="93"/>
    </row>
    <row r="170" spans="1:12" ht="27.6">
      <c r="A170" s="2" t="s">
        <v>660</v>
      </c>
      <c r="B170" s="2">
        <v>27</v>
      </c>
      <c r="C170" s="12" t="s">
        <v>142</v>
      </c>
      <c r="D170" s="12" t="s">
        <v>502</v>
      </c>
      <c r="E170" s="13" t="s">
        <v>415</v>
      </c>
      <c r="F170" s="30">
        <v>1.341</v>
      </c>
      <c r="G170" s="30"/>
      <c r="H170" s="30"/>
      <c r="I170" s="14">
        <v>4732391.7900324054</v>
      </c>
      <c r="J170" s="14">
        <v>6346137.3904334558</v>
      </c>
      <c r="K170" s="30">
        <v>0.0</v>
      </c>
      <c r="L170" s="93"/>
    </row>
    <row r="171" spans="1:12" ht="27.6">
      <c r="A171" s="2" t="s">
        <v>661</v>
      </c>
      <c r="B171" s="2">
        <v>28</v>
      </c>
      <c r="C171" s="12" t="s">
        <v>172</v>
      </c>
      <c r="D171" s="12" t="s">
        <v>527</v>
      </c>
      <c r="E171" s="13" t="s">
        <v>415</v>
      </c>
      <c r="F171" s="30">
        <v>1.341</v>
      </c>
      <c r="G171" s="30"/>
      <c r="H171" s="30"/>
      <c r="I171" s="14">
        <v>13220650.080090528</v>
      </c>
      <c r="J171" s="14">
        <v>17728891.757401399</v>
      </c>
      <c r="K171" s="30">
        <v>0.0</v>
      </c>
      <c r="L171" s="93"/>
    </row>
    <row r="172" spans="1:12" ht="27.6">
      <c r="A172" s="2" t="s">
        <v>662</v>
      </c>
      <c r="B172" s="2">
        <v>29</v>
      </c>
      <c r="C172" s="12" t="s">
        <v>143</v>
      </c>
      <c r="D172" s="12" t="s">
        <v>503</v>
      </c>
      <c r="E172" s="13" t="s">
        <v>149</v>
      </c>
      <c r="F172" s="30">
        <v>5.9960000000000004</v>
      </c>
      <c r="G172" s="30"/>
      <c r="H172" s="30"/>
      <c r="I172" s="14">
        <v>1793277.9778179687</v>
      </c>
      <c r="J172" s="14">
        <v>10752494.754996542</v>
      </c>
      <c r="K172" s="30">
        <v>0.0</v>
      </c>
      <c r="L172" s="93"/>
    </row>
    <row r="173" spans="1:12" ht="15.6">
      <c r="A173" s="2" t="s">
        <v>663</v>
      </c>
      <c r="B173" s="2">
        <v>30</v>
      </c>
      <c r="C173" s="12" t="s">
        <v>55</v>
      </c>
      <c r="D173" s="12" t="s">
        <v>418</v>
      </c>
      <c r="E173" s="13" t="s">
        <v>145</v>
      </c>
      <c r="F173" s="30">
        <v>1.2110000000000001</v>
      </c>
      <c r="G173" s="30"/>
      <c r="H173" s="30"/>
      <c r="I173" s="14">
        <v>31106460.200125102</v>
      </c>
      <c r="J173" s="14">
        <v>37669923.302351505</v>
      </c>
      <c r="K173" s="30">
        <v>0.0</v>
      </c>
      <c r="L173" s="93"/>
    </row>
    <row r="174" spans="1:12" s="23" customFormat="1" ht="15.6">
      <c r="A174" s="19">
        <v>0</v>
      </c>
      <c r="B174" s="19"/>
      <c r="C174" s="20" t="s">
        <v>159</v>
      </c>
      <c r="D174" s="20" t="s">
        <v>513</v>
      </c>
      <c r="E174" s="21"/>
      <c r="F174" s="36"/>
      <c r="G174" s="36"/>
      <c r="H174" s="36"/>
      <c r="I174" s="22"/>
      <c r="J174" s="22"/>
      <c r="K174" s="22"/>
      <c r="L174" s="97"/>
    </row>
    <row r="175" spans="1:12" ht="15.6">
      <c r="A175" s="2" t="s">
        <v>668</v>
      </c>
      <c r="B175" s="2">
        <v>31</v>
      </c>
      <c r="C175" s="12" t="s">
        <v>62</v>
      </c>
      <c r="D175" s="12" t="s">
        <v>425</v>
      </c>
      <c r="E175" s="13" t="s">
        <v>144</v>
      </c>
      <c r="F175" s="30">
        <v>68.16</v>
      </c>
      <c r="G175" s="30"/>
      <c r="H175" s="30"/>
      <c r="I175" s="14">
        <v>847049.03055282054</v>
      </c>
      <c r="J175" s="14">
        <v>57734861.922480248</v>
      </c>
      <c r="K175" s="30">
        <v>68.16</v>
      </c>
      <c r="L175" s="93"/>
    </row>
    <row r="176" spans="1:12" ht="15.6">
      <c r="A176" s="2" t="s">
        <v>672</v>
      </c>
      <c r="B176" s="2">
        <v>32</v>
      </c>
      <c r="C176" s="12" t="s">
        <v>160</v>
      </c>
      <c r="D176" s="12" t="s">
        <v>514</v>
      </c>
      <c r="E176" s="13" t="s">
        <v>144</v>
      </c>
      <c r="F176" s="30">
        <v>267.95400000000001</v>
      </c>
      <c r="G176" s="30"/>
      <c r="H176" s="30"/>
      <c r="I176" s="14">
        <v>1450909.7415674233</v>
      </c>
      <c r="J176" s="14">
        <v>388777068.89195734</v>
      </c>
      <c r="K176" s="30">
        <v>263.31765</v>
      </c>
      <c r="L176" s="93"/>
    </row>
    <row r="177" spans="1:12" ht="15.6">
      <c r="A177" s="2" t="s">
        <v>673</v>
      </c>
      <c r="B177" s="2">
        <v>33</v>
      </c>
      <c r="C177" s="12" t="s">
        <v>68</v>
      </c>
      <c r="D177" s="12" t="s">
        <v>431</v>
      </c>
      <c r="E177" s="13" t="s">
        <v>144</v>
      </c>
      <c r="F177" s="30">
        <v>27.263999999999999</v>
      </c>
      <c r="G177" s="30"/>
      <c r="H177" s="30"/>
      <c r="I177" s="14">
        <v>1143086.4666497172</v>
      </c>
      <c r="J177" s="14">
        <v>31165109.42673789</v>
      </c>
      <c r="K177" s="30">
        <v>25.203</v>
      </c>
      <c r="L177" s="93"/>
    </row>
    <row r="178" spans="1:12" ht="15.6">
      <c r="A178" s="2" t="s">
        <v>674</v>
      </c>
      <c r="B178" s="2">
        <v>34</v>
      </c>
      <c r="C178" s="12" t="s">
        <v>69</v>
      </c>
      <c r="D178" s="12" t="s">
        <v>432</v>
      </c>
      <c r="E178" s="13" t="s">
        <v>146</v>
      </c>
      <c r="F178" s="30">
        <v>7.3070000000000004</v>
      </c>
      <c r="G178" s="30"/>
      <c r="H178" s="30"/>
      <c r="I178" s="14">
        <v>20497700.2547406</v>
      </c>
      <c r="J178" s="14">
        <v>149776695.76138958</v>
      </c>
      <c r="K178" s="30">
        <v>7.310974</v>
      </c>
      <c r="L178" s="93"/>
    </row>
    <row r="179" spans="1:12" ht="15.6">
      <c r="A179" s="2" t="s">
        <v>675</v>
      </c>
      <c r="B179" s="2">
        <v>35</v>
      </c>
      <c r="C179" s="12" t="s">
        <v>70</v>
      </c>
      <c r="D179" s="12" t="s">
        <v>433</v>
      </c>
      <c r="E179" s="13" t="s">
        <v>146</v>
      </c>
      <c r="F179" s="30">
        <v>11.119</v>
      </c>
      <c r="G179" s="30"/>
      <c r="H179" s="30"/>
      <c r="I179" s="14">
        <v>20586516.416887436</v>
      </c>
      <c r="J179" s="14">
        <v>228901476.0393714</v>
      </c>
      <c r="K179" s="30">
        <v>11.118106695492308</v>
      </c>
      <c r="L179" s="93"/>
    </row>
    <row r="180" spans="1:12" ht="15.6">
      <c r="A180" s="2" t="s">
        <v>670</v>
      </c>
      <c r="B180" s="2">
        <v>36</v>
      </c>
      <c r="C180" s="12" t="s">
        <v>71</v>
      </c>
      <c r="D180" s="12" t="s">
        <v>434</v>
      </c>
      <c r="E180" s="13" t="s">
        <v>149</v>
      </c>
      <c r="F180" s="30">
        <v>24.367000000000001</v>
      </c>
      <c r="G180" s="30"/>
      <c r="H180" s="30"/>
      <c r="I180" s="14">
        <v>5847333.4887753464</v>
      </c>
      <c r="J180" s="14">
        <v>142481975.12098888</v>
      </c>
      <c r="K180" s="30">
        <v>24.36658</v>
      </c>
      <c r="L180" s="93"/>
    </row>
    <row r="181" spans="1:12" s="18" customFormat="1" ht="15.6">
      <c r="A181" s="3">
        <v>0</v>
      </c>
      <c r="B181" s="3"/>
      <c r="C181" s="15" t="s">
        <v>72</v>
      </c>
      <c r="D181" s="15" t="s">
        <v>435</v>
      </c>
      <c r="E181" s="16"/>
      <c r="F181" s="32"/>
      <c r="G181" s="32"/>
      <c r="H181" s="32"/>
      <c r="I181" s="17"/>
      <c r="J181" s="17"/>
      <c r="K181" s="17"/>
      <c r="L181" s="100"/>
    </row>
    <row r="182" spans="1:12" ht="15.6">
      <c r="A182" s="2" t="s">
        <v>676</v>
      </c>
      <c r="B182" s="2">
        <v>37</v>
      </c>
      <c r="C182" s="12" t="s">
        <v>73</v>
      </c>
      <c r="D182" s="12" t="s">
        <v>436</v>
      </c>
      <c r="E182" s="13" t="s">
        <v>144</v>
      </c>
      <c r="F182" s="30">
        <v>111.61199999999999</v>
      </c>
      <c r="G182" s="30"/>
      <c r="H182" s="30"/>
      <c r="I182" s="14">
        <v>1575515.4545086485</v>
      </c>
      <c r="J182" s="14">
        <v>175846430.90861925</v>
      </c>
      <c r="K182" s="30">
        <v>110.58169999999998</v>
      </c>
      <c r="L182" s="93"/>
    </row>
    <row r="183" spans="1:12" ht="15.6">
      <c r="A183" s="2" t="s">
        <v>677</v>
      </c>
      <c r="B183" s="2">
        <v>38</v>
      </c>
      <c r="C183" s="12" t="s">
        <v>74</v>
      </c>
      <c r="D183" s="12" t="s">
        <v>437</v>
      </c>
      <c r="E183" s="13" t="s">
        <v>146</v>
      </c>
      <c r="F183" s="30">
        <v>6.7169999999999996</v>
      </c>
      <c r="G183" s="30"/>
      <c r="H183" s="30"/>
      <c r="I183" s="14">
        <v>23279148.621693719</v>
      </c>
      <c r="J183" s="14">
        <v>156366041.2919167</v>
      </c>
      <c r="K183" s="30">
        <v>6.712763999999999</v>
      </c>
      <c r="L183" s="93"/>
    </row>
    <row r="184" spans="1:12" ht="15.6">
      <c r="A184" s="2" t="s">
        <v>678</v>
      </c>
      <c r="B184" s="2">
        <v>39</v>
      </c>
      <c r="C184" s="12" t="s">
        <v>75</v>
      </c>
      <c r="D184" s="12" t="s">
        <v>438</v>
      </c>
      <c r="E184" s="13" t="s">
        <v>146</v>
      </c>
      <c r="F184" s="30">
        <v>5.4749999999999996</v>
      </c>
      <c r="G184" s="30"/>
      <c r="H184" s="30"/>
      <c r="I184" s="14">
        <v>22298275.433076847</v>
      </c>
      <c r="J184" s="14">
        <v>122083057.99609573</v>
      </c>
      <c r="K184" s="30">
        <v>5.478544231999999</v>
      </c>
      <c r="L184" s="93"/>
    </row>
    <row r="185" spans="1:12" ht="15.6">
      <c r="A185" s="2" t="s">
        <v>679</v>
      </c>
      <c r="B185" s="2">
        <v>40</v>
      </c>
      <c r="C185" s="12" t="s">
        <v>76</v>
      </c>
      <c r="D185" s="12" t="s">
        <v>337</v>
      </c>
      <c r="E185" s="13" t="s">
        <v>149</v>
      </c>
      <c r="F185" s="30">
        <v>22.501000000000001</v>
      </c>
      <c r="G185" s="30"/>
      <c r="H185" s="30"/>
      <c r="I185" s="14">
        <v>8093006.3238283927</v>
      </c>
      <c r="J185" s="14">
        <v>182100735.29246268</v>
      </c>
      <c r="K185" s="30">
        <v>22.490697000000004</v>
      </c>
      <c r="L185" s="93"/>
    </row>
    <row r="186" spans="1:12" ht="15.6">
      <c r="A186" s="2" t="s">
        <v>680</v>
      </c>
      <c r="B186" s="2">
        <v>41</v>
      </c>
      <c r="C186" s="12" t="s">
        <v>77</v>
      </c>
      <c r="D186" s="12" t="s">
        <v>439</v>
      </c>
      <c r="E186" s="13" t="s">
        <v>392</v>
      </c>
      <c r="F186" s="30">
        <v>852</v>
      </c>
      <c r="G186" s="30"/>
      <c r="H186" s="30"/>
      <c r="I186" s="14">
        <v>33088.984387921992</v>
      </c>
      <c r="J186" s="14">
        <v>28191814.698509537</v>
      </c>
      <c r="K186" s="30">
        <v>852.0</v>
      </c>
      <c r="L186" s="93"/>
    </row>
    <row r="187" spans="1:12" s="23" customFormat="1" ht="15.6">
      <c r="A187" s="19">
        <v>0</v>
      </c>
      <c r="B187" s="19"/>
      <c r="C187" s="20" t="s">
        <v>78</v>
      </c>
      <c r="D187" s="20" t="s">
        <v>440</v>
      </c>
      <c r="E187" s="21"/>
      <c r="F187" s="36"/>
      <c r="G187" s="36"/>
      <c r="H187" s="36"/>
      <c r="I187" s="22"/>
      <c r="J187" s="22"/>
      <c r="K187" s="22"/>
      <c r="L187" s="97"/>
    </row>
    <row r="188" spans="1:12" s="68" customFormat="1" ht="15.6">
      <c r="A188" s="63" t="s">
        <v>668</v>
      </c>
      <c r="B188" s="63">
        <v>42</v>
      </c>
      <c r="C188" s="64" t="s">
        <v>62</v>
      </c>
      <c r="D188" s="64" t="s">
        <v>425</v>
      </c>
      <c r="E188" s="65" t="s">
        <v>144</v>
      </c>
      <c r="F188" s="66">
        <v>2.7040000000000002</v>
      </c>
      <c r="G188" s="66"/>
      <c r="H188" s="66"/>
      <c r="I188" s="67">
        <v>847049.03055282054</v>
      </c>
      <c r="J188" s="67">
        <v>2290420.5786148268</v>
      </c>
      <c r="K188" s="66">
        <v>2.5680000000000005</v>
      </c>
      <c r="L188" s="98"/>
    </row>
    <row r="189" spans="1:12" s="68" customFormat="1" ht="15.6">
      <c r="A189" s="63" t="s">
        <v>726</v>
      </c>
      <c r="B189" s="63">
        <v>43</v>
      </c>
      <c r="C189" s="64" t="s">
        <v>79</v>
      </c>
      <c r="D189" s="64" t="s">
        <v>441</v>
      </c>
      <c r="E189" s="65" t="s">
        <v>144</v>
      </c>
      <c r="F189" s="66">
        <v>12.324</v>
      </c>
      <c r="G189" s="66"/>
      <c r="H189" s="66"/>
      <c r="I189" s="67">
        <v>1675885.1112090088</v>
      </c>
      <c r="J189" s="67">
        <v>20653608.110539824</v>
      </c>
      <c r="K189" s="66">
        <v>12.187999999999999</v>
      </c>
      <c r="L189" s="98"/>
    </row>
    <row r="190" spans="1:12" s="68" customFormat="1" ht="15.6">
      <c r="A190" s="63" t="s">
        <v>674</v>
      </c>
      <c r="B190" s="63">
        <v>44</v>
      </c>
      <c r="C190" s="64" t="s">
        <v>80</v>
      </c>
      <c r="D190" s="64" t="s">
        <v>442</v>
      </c>
      <c r="E190" s="65" t="s">
        <v>146</v>
      </c>
      <c r="F190" s="66">
        <v>0.27</v>
      </c>
      <c r="G190" s="66"/>
      <c r="H190" s="66"/>
      <c r="I190" s="67">
        <v>20497700.2547406</v>
      </c>
      <c r="J190" s="67">
        <v>5534379.0687799621</v>
      </c>
      <c r="K190" s="66">
        <v>0.2700456328688374</v>
      </c>
      <c r="L190" s="98"/>
    </row>
    <row r="191" spans="1:12" s="68" customFormat="1" ht="15.6">
      <c r="A191" s="63" t="s">
        <v>675</v>
      </c>
      <c r="B191" s="63">
        <v>45</v>
      </c>
      <c r="C191" s="64" t="s">
        <v>81</v>
      </c>
      <c r="D191" s="64" t="s">
        <v>443</v>
      </c>
      <c r="E191" s="65" t="s">
        <v>146</v>
      </c>
      <c r="F191" s="66">
        <v>0.499</v>
      </c>
      <c r="G191" s="66"/>
      <c r="H191" s="66"/>
      <c r="I191" s="67">
        <v>20586516.416887436</v>
      </c>
      <c r="J191" s="67">
        <v>10272671.692026831</v>
      </c>
      <c r="K191" s="66">
        <v>0.49910933678055225</v>
      </c>
      <c r="L191" s="98"/>
    </row>
    <row r="192" spans="1:12" s="68" customFormat="1" ht="15.6">
      <c r="A192" s="63" t="s">
        <v>670</v>
      </c>
      <c r="B192" s="63">
        <v>46</v>
      </c>
      <c r="C192" s="64" t="s">
        <v>82</v>
      </c>
      <c r="D192" s="64" t="s">
        <v>444</v>
      </c>
      <c r="E192" s="65" t="s">
        <v>149</v>
      </c>
      <c r="F192" s="66">
        <v>1.1020000000000001</v>
      </c>
      <c r="G192" s="66"/>
      <c r="H192" s="66"/>
      <c r="I192" s="67">
        <v>5847333.4887753464</v>
      </c>
      <c r="J192" s="67">
        <v>6443761.5046304325</v>
      </c>
      <c r="K192" s="66">
        <v>1.1016</v>
      </c>
      <c r="L192" s="98"/>
    </row>
    <row r="193" spans="1:12" s="68" customFormat="1" ht="15.6">
      <c r="A193" s="63">
        <v>0</v>
      </c>
      <c r="B193" s="63"/>
      <c r="C193" s="70" t="s">
        <v>72</v>
      </c>
      <c r="D193" s="70" t="s">
        <v>435</v>
      </c>
      <c r="E193" s="65"/>
      <c r="F193" s="66"/>
      <c r="G193" s="66"/>
      <c r="H193" s="66"/>
      <c r="I193" s="67"/>
      <c r="J193" s="67"/>
      <c r="K193" s="67"/>
      <c r="L193" s="98"/>
    </row>
    <row r="194" spans="1:12" s="68" customFormat="1" ht="15.6">
      <c r="A194" s="63" t="s">
        <v>676</v>
      </c>
      <c r="B194" s="63">
        <v>47</v>
      </c>
      <c r="C194" s="64" t="s">
        <v>73</v>
      </c>
      <c r="D194" s="64" t="s">
        <v>436</v>
      </c>
      <c r="E194" s="65" t="s">
        <v>144</v>
      </c>
      <c r="F194" s="66">
        <v>3.198</v>
      </c>
      <c r="G194" s="66"/>
      <c r="H194" s="66"/>
      <c r="I194" s="67">
        <v>1575515.4545086485</v>
      </c>
      <c r="J194" s="67">
        <v>5038498.4235186577</v>
      </c>
      <c r="K194" s="66">
        <v>3.436</v>
      </c>
      <c r="L194" s="98"/>
    </row>
    <row r="195" spans="1:12" s="68" customFormat="1" ht="15.6">
      <c r="A195" s="63" t="s">
        <v>677</v>
      </c>
      <c r="B195" s="63">
        <v>48</v>
      </c>
      <c r="C195" s="64" t="s">
        <v>74</v>
      </c>
      <c r="D195" s="64" t="s">
        <v>437</v>
      </c>
      <c r="E195" s="65" t="s">
        <v>146</v>
      </c>
      <c r="F195" s="66">
        <v>0.187</v>
      </c>
      <c r="G195" s="66"/>
      <c r="H195" s="66"/>
      <c r="I195" s="67">
        <v>23279148.621693719</v>
      </c>
      <c r="J195" s="67">
        <v>4353200.792256725</v>
      </c>
      <c r="K195" s="66">
        <v>0.21092</v>
      </c>
      <c r="L195" s="98"/>
    </row>
    <row r="196" spans="1:12" s="68" customFormat="1" ht="15.6">
      <c r="A196" s="63" t="s">
        <v>678</v>
      </c>
      <c r="B196" s="63">
        <v>49</v>
      </c>
      <c r="C196" s="64" t="s">
        <v>75</v>
      </c>
      <c r="D196" s="64" t="s">
        <v>438</v>
      </c>
      <c r="E196" s="65" t="s">
        <v>146</v>
      </c>
      <c r="F196" s="66">
        <v>0.16700000000000001</v>
      </c>
      <c r="G196" s="66"/>
      <c r="H196" s="66"/>
      <c r="I196" s="67">
        <v>22298275.433076847</v>
      </c>
      <c r="J196" s="67">
        <v>3723811.9973238339</v>
      </c>
      <c r="K196" s="66">
        <v>0.16662000000000002</v>
      </c>
      <c r="L196" s="98"/>
    </row>
    <row r="197" spans="1:12" s="68" customFormat="1" ht="15.6">
      <c r="A197" s="63" t="s">
        <v>679</v>
      </c>
      <c r="B197" s="63">
        <v>50</v>
      </c>
      <c r="C197" s="64" t="s">
        <v>76</v>
      </c>
      <c r="D197" s="64" t="s">
        <v>337</v>
      </c>
      <c r="E197" s="65" t="s">
        <v>149</v>
      </c>
      <c r="F197" s="66">
        <v>0.68700000000000006</v>
      </c>
      <c r="G197" s="66"/>
      <c r="H197" s="66"/>
      <c r="I197" s="67">
        <v>8093006.3238283927</v>
      </c>
      <c r="J197" s="67">
        <v>5559895.3444701061</v>
      </c>
      <c r="K197" s="66">
        <v>0.6866000000000001</v>
      </c>
      <c r="L197" s="98"/>
    </row>
    <row r="198" spans="1:12" s="68" customFormat="1" ht="15.6">
      <c r="A198" s="63" t="s">
        <v>680</v>
      </c>
      <c r="B198" s="63">
        <v>51</v>
      </c>
      <c r="C198" s="64" t="s">
        <v>77</v>
      </c>
      <c r="D198" s="64" t="s">
        <v>439</v>
      </c>
      <c r="E198" s="65" t="s">
        <v>392</v>
      </c>
      <c r="F198" s="66">
        <v>26</v>
      </c>
      <c r="G198" s="66"/>
      <c r="H198" s="66"/>
      <c r="I198" s="67">
        <v>33088.984387921992</v>
      </c>
      <c r="J198" s="67">
        <v>860313.59408597182</v>
      </c>
      <c r="K198" s="66">
        <v>26.0</v>
      </c>
      <c r="L198" s="98"/>
    </row>
    <row r="199" spans="1:12" s="18" customFormat="1" ht="15.6">
      <c r="A199" s="3">
        <v>0</v>
      </c>
      <c r="B199" s="3"/>
      <c r="C199" s="15" t="s">
        <v>83</v>
      </c>
      <c r="D199" s="15" t="s">
        <v>445</v>
      </c>
      <c r="E199" s="16"/>
      <c r="F199" s="32"/>
      <c r="G199" s="32"/>
      <c r="H199" s="32"/>
      <c r="I199" s="17"/>
      <c r="J199" s="17"/>
      <c r="K199" s="17"/>
      <c r="L199" s="100"/>
    </row>
    <row r="200" spans="1:12" s="68" customFormat="1" ht="27.6">
      <c r="A200" s="63" t="s">
        <v>682</v>
      </c>
      <c r="B200" s="63">
        <v>52</v>
      </c>
      <c r="C200" s="64" t="s">
        <v>84</v>
      </c>
      <c r="D200" s="64" t="s">
        <v>446</v>
      </c>
      <c r="E200" s="65" t="s">
        <v>148</v>
      </c>
      <c r="F200" s="66">
        <v>500</v>
      </c>
      <c r="G200" s="66"/>
      <c r="H200" s="66"/>
      <c r="I200" s="67">
        <v>68790.537749260548</v>
      </c>
      <c r="J200" s="67">
        <v>34395268.874630272</v>
      </c>
      <c r="K200" s="66">
        <v>500.0</v>
      </c>
      <c r="L200" s="98"/>
    </row>
    <row r="201" spans="1:12" s="68" customFormat="1" ht="27.6">
      <c r="A201" s="63" t="s">
        <v>683</v>
      </c>
      <c r="B201" s="63">
        <v>53</v>
      </c>
      <c r="C201" s="64" t="s">
        <v>85</v>
      </c>
      <c r="D201" s="64" t="s">
        <v>447</v>
      </c>
      <c r="E201" s="65" t="s">
        <v>145</v>
      </c>
      <c r="F201" s="66">
        <v>0.15</v>
      </c>
      <c r="G201" s="66"/>
      <c r="H201" s="66"/>
      <c r="I201" s="67">
        <v>463999.0923919467</v>
      </c>
      <c r="J201" s="67">
        <v>69599.863858792</v>
      </c>
      <c r="K201" s="66">
        <v>0.15</v>
      </c>
      <c r="L201" s="98"/>
    </row>
    <row r="202" spans="1:12" s="68" customFormat="1" ht="27.6">
      <c r="A202" s="63" t="s">
        <v>643</v>
      </c>
      <c r="B202" s="63">
        <v>54</v>
      </c>
      <c r="C202" s="64" t="s">
        <v>36</v>
      </c>
      <c r="D202" s="64" t="s">
        <v>399</v>
      </c>
      <c r="E202" s="65" t="s">
        <v>145</v>
      </c>
      <c r="F202" s="66">
        <v>2.5</v>
      </c>
      <c r="G202" s="66"/>
      <c r="H202" s="66"/>
      <c r="I202" s="67">
        <v>1171462.5022504972</v>
      </c>
      <c r="J202" s="67">
        <v>2928656.2556262431</v>
      </c>
      <c r="K202" s="66">
        <v>2.5</v>
      </c>
      <c r="L202" s="98"/>
    </row>
    <row r="203" spans="1:12" s="68" customFormat="1" ht="15.6">
      <c r="A203" s="63"/>
      <c r="B203" s="63"/>
      <c r="C203" s="70" t="s">
        <v>86</v>
      </c>
      <c r="D203" s="64" t="s">
        <v>448</v>
      </c>
      <c r="E203" s="65"/>
      <c r="F203" s="66"/>
      <c r="G203" s="66"/>
      <c r="H203" s="66"/>
      <c r="I203" s="67"/>
      <c r="J203" s="67"/>
      <c r="K203" s="67"/>
      <c r="L203" s="98"/>
    </row>
    <row r="204" spans="1:12" s="68" customFormat="1" ht="27.6">
      <c r="A204" s="63" t="s">
        <v>684</v>
      </c>
      <c r="B204" s="63">
        <v>55</v>
      </c>
      <c r="C204" s="64" t="s">
        <v>87</v>
      </c>
      <c r="D204" s="64" t="s">
        <v>449</v>
      </c>
      <c r="E204" s="65" t="s">
        <v>25</v>
      </c>
      <c r="F204" s="66">
        <v>194</v>
      </c>
      <c r="G204" s="66"/>
      <c r="H204" s="66"/>
      <c r="I204" s="67">
        <v>93382.177370309815</v>
      </c>
      <c r="J204" s="67">
        <v>18116142.409840103</v>
      </c>
      <c r="K204" s="66">
        <v>0.0</v>
      </c>
      <c r="L204" s="98"/>
    </row>
    <row r="205" spans="1:12" s="68" customFormat="1" ht="15.6">
      <c r="A205" s="63" t="s">
        <v>685</v>
      </c>
      <c r="B205" s="63">
        <v>56</v>
      </c>
      <c r="C205" s="64" t="s">
        <v>88</v>
      </c>
      <c r="D205" s="64" t="s">
        <v>450</v>
      </c>
      <c r="E205" s="65" t="s">
        <v>25</v>
      </c>
      <c r="F205" s="66">
        <v>1</v>
      </c>
      <c r="G205" s="66"/>
      <c r="H205" s="66"/>
      <c r="I205" s="67">
        <v>659758.24959312321</v>
      </c>
      <c r="J205" s="67">
        <v>659758.24959312321</v>
      </c>
      <c r="K205" s="66">
        <v>0.0</v>
      </c>
      <c r="L205" s="98"/>
    </row>
    <row r="206" spans="1:12" s="68" customFormat="1" ht="15.6">
      <c r="A206" s="63" t="s">
        <v>684</v>
      </c>
      <c r="B206" s="63">
        <v>57</v>
      </c>
      <c r="C206" s="64" t="s">
        <v>173</v>
      </c>
      <c r="D206" s="64" t="s">
        <v>528</v>
      </c>
      <c r="E206" s="65" t="s">
        <v>25</v>
      </c>
      <c r="F206" s="66">
        <v>11</v>
      </c>
      <c r="G206" s="66"/>
      <c r="H206" s="66"/>
      <c r="I206" s="67">
        <v>93382.177370309815</v>
      </c>
      <c r="J206" s="67">
        <v>1027203.951073408</v>
      </c>
      <c r="K206" s="66">
        <v>0.0</v>
      </c>
      <c r="L206" s="98"/>
    </row>
    <row r="207" spans="1:12" s="68" customFormat="1" ht="15.6">
      <c r="A207" s="63" t="s">
        <v>645</v>
      </c>
      <c r="B207" s="63">
        <v>58</v>
      </c>
      <c r="C207" s="64" t="s">
        <v>90</v>
      </c>
      <c r="D207" s="64" t="s">
        <v>452</v>
      </c>
      <c r="E207" s="65" t="s">
        <v>149</v>
      </c>
      <c r="F207" s="66">
        <v>5.0000000000000001E-3</v>
      </c>
      <c r="G207" s="66"/>
      <c r="H207" s="66"/>
      <c r="I207" s="67">
        <v>695943</v>
      </c>
      <c r="J207" s="67">
        <v>3479.7150000000001</v>
      </c>
      <c r="K207" s="66">
        <v>0.0</v>
      </c>
      <c r="L207" s="98"/>
    </row>
    <row r="208" spans="1:12" s="68" customFormat="1" ht="15.6">
      <c r="A208" s="63" t="s">
        <v>645</v>
      </c>
      <c r="B208" s="63">
        <v>59</v>
      </c>
      <c r="C208" s="64" t="s">
        <v>91</v>
      </c>
      <c r="D208" s="64" t="s">
        <v>453</v>
      </c>
      <c r="E208" s="65" t="s">
        <v>25</v>
      </c>
      <c r="F208" s="66">
        <v>410</v>
      </c>
      <c r="G208" s="66"/>
      <c r="H208" s="66"/>
      <c r="I208" s="67">
        <v>14498.8125</v>
      </c>
      <c r="J208" s="67">
        <v>5944513.125</v>
      </c>
      <c r="K208" s="66">
        <v>0.0</v>
      </c>
      <c r="L208" s="98"/>
    </row>
    <row r="209" spans="1:12" s="5" customFormat="1" ht="15.6">
      <c r="A209" s="1"/>
      <c r="B209" s="1"/>
      <c r="C209" s="20" t="s">
        <v>92</v>
      </c>
      <c r="D209" s="20" t="s">
        <v>454</v>
      </c>
      <c r="E209" s="11"/>
      <c r="F209" s="6"/>
      <c r="G209" s="6"/>
      <c r="H209" s="6"/>
      <c r="I209" s="4"/>
      <c r="J209" s="4"/>
      <c r="K209" s="6">
        <v>0.0</v>
      </c>
      <c r="L209" s="94"/>
    </row>
    <row r="210" spans="1:12" ht="15.6">
      <c r="A210" s="2" t="s">
        <v>690</v>
      </c>
      <c r="B210" s="2">
        <v>60</v>
      </c>
      <c r="C210" s="12" t="s">
        <v>93</v>
      </c>
      <c r="D210" s="12" t="s">
        <v>455</v>
      </c>
      <c r="E210" s="13" t="s">
        <v>145</v>
      </c>
      <c r="F210" s="30">
        <v>1.9E-2</v>
      </c>
      <c r="G210" s="30"/>
      <c r="H210" s="30"/>
      <c r="I210" s="14">
        <v>2690167.124583811</v>
      </c>
      <c r="J210" s="14">
        <v>51113.175367092408</v>
      </c>
      <c r="K210" s="30">
        <v>0.0</v>
      </c>
      <c r="L210" s="93"/>
    </row>
    <row r="211" spans="1:12" ht="15.6">
      <c r="A211" s="2" t="s">
        <v>667</v>
      </c>
      <c r="B211" s="2">
        <v>61</v>
      </c>
      <c r="C211" s="12" t="s">
        <v>94</v>
      </c>
      <c r="D211" s="12" t="s">
        <v>456</v>
      </c>
      <c r="E211" s="13" t="s">
        <v>144</v>
      </c>
      <c r="F211" s="30">
        <v>2.0699999999999998</v>
      </c>
      <c r="G211" s="30"/>
      <c r="H211" s="30"/>
      <c r="I211" s="14">
        <v>1234733.1943373024</v>
      </c>
      <c r="J211" s="14">
        <v>2555897.7122782157</v>
      </c>
      <c r="K211" s="30">
        <v>0.0</v>
      </c>
      <c r="L211" s="93"/>
    </row>
    <row r="212" spans="1:12" ht="27.6">
      <c r="A212" s="2" t="s">
        <v>687</v>
      </c>
      <c r="B212" s="2">
        <v>62</v>
      </c>
      <c r="C212" s="12" t="s">
        <v>95</v>
      </c>
      <c r="D212" s="12" t="s">
        <v>457</v>
      </c>
      <c r="E212" s="13" t="s">
        <v>25</v>
      </c>
      <c r="F212" s="30">
        <v>15</v>
      </c>
      <c r="G212" s="30"/>
      <c r="H212" s="30"/>
      <c r="I212" s="14">
        <v>285301.9238030251</v>
      </c>
      <c r="J212" s="14">
        <v>4279528.8570453767</v>
      </c>
      <c r="K212" s="30">
        <v>0.0</v>
      </c>
      <c r="L212" s="93"/>
    </row>
    <row r="213" spans="1:12" ht="27.6">
      <c r="A213" s="2" t="s">
        <v>645</v>
      </c>
      <c r="B213" s="2">
        <v>63</v>
      </c>
      <c r="C213" s="12" t="s">
        <v>97</v>
      </c>
      <c r="D213" s="12" t="s">
        <v>459</v>
      </c>
      <c r="E213" s="13" t="s">
        <v>5</v>
      </c>
      <c r="F213" s="30">
        <v>51</v>
      </c>
      <c r="G213" s="30"/>
      <c r="H213" s="30"/>
      <c r="I213" s="14">
        <v>234300.81</v>
      </c>
      <c r="J213" s="14">
        <v>11949341.310000001</v>
      </c>
      <c r="K213" s="30">
        <v>0.0</v>
      </c>
      <c r="L213" s="93"/>
    </row>
    <row r="214" spans="1:12" ht="15.6">
      <c r="A214" s="2" t="s">
        <v>645</v>
      </c>
      <c r="B214" s="2">
        <v>64</v>
      </c>
      <c r="C214" s="12" t="s">
        <v>98</v>
      </c>
      <c r="D214" s="12" t="s">
        <v>460</v>
      </c>
      <c r="E214" s="13" t="s">
        <v>25</v>
      </c>
      <c r="F214" s="30">
        <v>15</v>
      </c>
      <c r="G214" s="30"/>
      <c r="H214" s="30"/>
      <c r="I214" s="14">
        <v>452362.95</v>
      </c>
      <c r="J214" s="14">
        <v>6785444.25</v>
      </c>
      <c r="K214" s="30">
        <v>0.0</v>
      </c>
      <c r="L214" s="93"/>
    </row>
    <row r="215" spans="1:12" ht="15.6">
      <c r="A215" s="2"/>
      <c r="B215" s="2"/>
      <c r="C215" s="15" t="s">
        <v>100</v>
      </c>
      <c r="D215" s="12" t="s">
        <v>462</v>
      </c>
      <c r="E215" s="13"/>
      <c r="F215" s="30"/>
      <c r="G215" s="30"/>
      <c r="H215" s="30"/>
      <c r="I215" s="14"/>
      <c r="J215" s="14"/>
      <c r="K215" s="14"/>
      <c r="L215" s="93"/>
    </row>
    <row r="216" spans="1:12" ht="27.6">
      <c r="A216" s="2" t="s">
        <v>689</v>
      </c>
      <c r="B216" s="2">
        <v>65</v>
      </c>
      <c r="C216" s="12" t="s">
        <v>101</v>
      </c>
      <c r="D216" s="12" t="s">
        <v>352</v>
      </c>
      <c r="E216" s="13" t="s">
        <v>148</v>
      </c>
      <c r="F216" s="30">
        <v>598.22299999999996</v>
      </c>
      <c r="G216" s="30"/>
      <c r="H216" s="30"/>
      <c r="I216" s="14">
        <v>329300.42555937677</v>
      </c>
      <c r="J216" s="14">
        <v>196995088.47940704</v>
      </c>
      <c r="K216" s="30">
        <v>0.0</v>
      </c>
      <c r="L216" s="93"/>
    </row>
    <row r="217" spans="1:12" ht="27.6">
      <c r="A217" s="2" t="s">
        <v>689</v>
      </c>
      <c r="B217" s="2">
        <v>66</v>
      </c>
      <c r="C217" s="12" t="s">
        <v>102</v>
      </c>
      <c r="D217" s="12" t="s">
        <v>463</v>
      </c>
      <c r="E217" s="13" t="s">
        <v>148</v>
      </c>
      <c r="F217" s="30">
        <v>36.96</v>
      </c>
      <c r="G217" s="30"/>
      <c r="H217" s="30"/>
      <c r="I217" s="14">
        <v>658600.85111875355</v>
      </c>
      <c r="J217" s="14">
        <v>24341887.457349133</v>
      </c>
      <c r="K217" s="30">
        <v>0.0</v>
      </c>
      <c r="L217" s="93"/>
    </row>
    <row r="218" spans="1:12" s="5" customFormat="1" ht="15.6">
      <c r="A218" s="1"/>
      <c r="B218" s="1"/>
      <c r="C218" s="10" t="s">
        <v>12</v>
      </c>
      <c r="D218" s="10" t="s">
        <v>477</v>
      </c>
      <c r="E218" s="11"/>
      <c r="F218" s="30"/>
      <c r="G218" s="6"/>
      <c r="H218" s="6"/>
      <c r="I218" s="4"/>
      <c r="J218" s="4">
        <v>411276087.34234363</v>
      </c>
      <c r="K218" s="4"/>
      <c r="L218" s="94"/>
    </row>
    <row r="219" spans="1:12" s="68" customFormat="1" ht="27.6">
      <c r="A219" s="63" t="s">
        <v>727</v>
      </c>
      <c r="B219" s="63">
        <v>1</v>
      </c>
      <c r="C219" s="64" t="s">
        <v>174</v>
      </c>
      <c r="D219" s="64" t="s">
        <v>335</v>
      </c>
      <c r="E219" s="65" t="s">
        <v>144</v>
      </c>
      <c r="F219" s="66">
        <v>3.4740000000000002</v>
      </c>
      <c r="G219" s="66"/>
      <c r="H219" s="66"/>
      <c r="I219" s="67">
        <v>294184.57829942321</v>
      </c>
      <c r="J219" s="67">
        <v>1021997.2250121963</v>
      </c>
      <c r="K219" s="66">
        <v>3.4739999999999984</v>
      </c>
      <c r="L219" s="98"/>
    </row>
    <row r="220" spans="1:12" s="68" customFormat="1" ht="27.6">
      <c r="A220" s="63" t="s">
        <v>697</v>
      </c>
      <c r="B220" s="63">
        <v>2</v>
      </c>
      <c r="C220" s="64" t="s">
        <v>175</v>
      </c>
      <c r="D220" s="64" t="s">
        <v>529</v>
      </c>
      <c r="E220" s="65" t="s">
        <v>152</v>
      </c>
      <c r="F220" s="66">
        <v>9.9629999999999992</v>
      </c>
      <c r="G220" s="66"/>
      <c r="H220" s="66"/>
      <c r="I220" s="67">
        <v>249922.24815330002</v>
      </c>
      <c r="J220" s="67">
        <v>2489975.3583513279</v>
      </c>
      <c r="K220" s="66">
        <v>4.974410000000001</v>
      </c>
      <c r="L220" s="98"/>
    </row>
    <row r="221" spans="1:12" s="68" customFormat="1" ht="27.6">
      <c r="A221" s="63" t="s">
        <v>641</v>
      </c>
      <c r="B221" s="63">
        <v>3</v>
      </c>
      <c r="C221" s="64" t="s">
        <v>119</v>
      </c>
      <c r="D221" s="64" t="s">
        <v>480</v>
      </c>
      <c r="E221" s="65" t="s">
        <v>145</v>
      </c>
      <c r="F221" s="66">
        <v>2.0249999999999999</v>
      </c>
      <c r="G221" s="66"/>
      <c r="H221" s="66"/>
      <c r="I221" s="67">
        <v>2227071.2377586598</v>
      </c>
      <c r="J221" s="67">
        <v>4509819.256461286</v>
      </c>
      <c r="K221" s="66">
        <v>1.4001559000000001</v>
      </c>
      <c r="L221" s="98"/>
    </row>
    <row r="222" spans="1:12" s="68" customFormat="1" ht="15.6">
      <c r="A222" s="63" t="s">
        <v>668</v>
      </c>
      <c r="B222" s="63">
        <v>4</v>
      </c>
      <c r="C222" s="64" t="s">
        <v>62</v>
      </c>
      <c r="D222" s="64" t="s">
        <v>425</v>
      </c>
      <c r="E222" s="65" t="s">
        <v>144</v>
      </c>
      <c r="F222" s="66">
        <v>19.655999999999999</v>
      </c>
      <c r="G222" s="66"/>
      <c r="H222" s="66"/>
      <c r="I222" s="67">
        <v>847049.03055282054</v>
      </c>
      <c r="J222" s="67">
        <v>16649595.74454624</v>
      </c>
      <c r="K222" s="66">
        <v>13.70943</v>
      </c>
      <c r="L222" s="98"/>
    </row>
    <row r="223" spans="1:12" s="68" customFormat="1" ht="27.6">
      <c r="A223" s="63" t="s">
        <v>698</v>
      </c>
      <c r="B223" s="63">
        <v>5</v>
      </c>
      <c r="C223" s="64" t="s">
        <v>120</v>
      </c>
      <c r="D223" s="64" t="s">
        <v>481</v>
      </c>
      <c r="E223" s="65" t="s">
        <v>144</v>
      </c>
      <c r="F223" s="66">
        <v>4.1280000000000001</v>
      </c>
      <c r="G223" s="66"/>
      <c r="H223" s="66"/>
      <c r="I223" s="67">
        <v>1290150.7933494374</v>
      </c>
      <c r="J223" s="67">
        <v>5325742.4749464775</v>
      </c>
      <c r="K223" s="66">
        <v>4.128</v>
      </c>
      <c r="L223" s="98"/>
    </row>
    <row r="224" spans="1:12" s="68" customFormat="1" ht="27.6">
      <c r="A224" s="63" t="s">
        <v>692</v>
      </c>
      <c r="B224" s="63">
        <v>6</v>
      </c>
      <c r="C224" s="64" t="s">
        <v>121</v>
      </c>
      <c r="D224" s="64" t="s">
        <v>482</v>
      </c>
      <c r="E224" s="65" t="s">
        <v>144</v>
      </c>
      <c r="F224" s="66">
        <v>50.87</v>
      </c>
      <c r="G224" s="66"/>
      <c r="H224" s="66"/>
      <c r="I224" s="67">
        <v>1301106.6825224052</v>
      </c>
      <c r="J224" s="67">
        <v>66187296.939914748</v>
      </c>
      <c r="K224" s="66">
        <v>36.36958</v>
      </c>
      <c r="L224" s="98"/>
    </row>
    <row r="225" spans="1:12" s="68" customFormat="1" ht="27.6">
      <c r="A225" s="63" t="s">
        <v>699</v>
      </c>
      <c r="B225" s="63">
        <v>7</v>
      </c>
      <c r="C225" s="64" t="s">
        <v>122</v>
      </c>
      <c r="D225" s="64" t="s">
        <v>483</v>
      </c>
      <c r="E225" s="65" t="s">
        <v>144</v>
      </c>
      <c r="F225" s="66">
        <v>34.179000000000002</v>
      </c>
      <c r="G225" s="66"/>
      <c r="H225" s="66"/>
      <c r="I225" s="67">
        <v>1403526.559514499</v>
      </c>
      <c r="J225" s="67">
        <v>47971134.277646065</v>
      </c>
      <c r="K225" s="66">
        <v>8.6752</v>
      </c>
      <c r="L225" s="98"/>
    </row>
    <row r="226" spans="1:12" s="68" customFormat="1" ht="15.6">
      <c r="A226" s="63" t="s">
        <v>670</v>
      </c>
      <c r="B226" s="63">
        <v>8</v>
      </c>
      <c r="C226" s="64" t="s">
        <v>176</v>
      </c>
      <c r="D226" s="64" t="s">
        <v>530</v>
      </c>
      <c r="E226" s="65" t="s">
        <v>149</v>
      </c>
      <c r="F226" s="66">
        <v>1.2609999999999999</v>
      </c>
      <c r="G226" s="66"/>
      <c r="H226" s="66"/>
      <c r="I226" s="67">
        <v>5847333.4887753464</v>
      </c>
      <c r="J226" s="67">
        <v>7373487.5293457117</v>
      </c>
      <c r="K226" s="66">
        <v>0.28381999999999996</v>
      </c>
      <c r="L226" s="98"/>
    </row>
    <row r="227" spans="1:12" s="68" customFormat="1" ht="15.6">
      <c r="A227" s="63"/>
      <c r="B227" s="63"/>
      <c r="C227" s="70" t="s">
        <v>123</v>
      </c>
      <c r="D227" s="64" t="s">
        <v>484</v>
      </c>
      <c r="E227" s="65"/>
      <c r="F227" s="66"/>
      <c r="G227" s="66"/>
      <c r="H227" s="66"/>
      <c r="I227" s="67"/>
      <c r="J227" s="67"/>
      <c r="K227" s="67"/>
      <c r="L227" s="98"/>
    </row>
    <row r="228" spans="1:12" s="68" customFormat="1" ht="27.6">
      <c r="A228" s="63" t="s">
        <v>700</v>
      </c>
      <c r="B228" s="63">
        <v>9</v>
      </c>
      <c r="C228" s="64" t="s">
        <v>162</v>
      </c>
      <c r="D228" s="64" t="s">
        <v>517</v>
      </c>
      <c r="E228" s="65" t="s">
        <v>144</v>
      </c>
      <c r="F228" s="66">
        <v>53.125999999999998</v>
      </c>
      <c r="G228" s="66"/>
      <c r="H228" s="66"/>
      <c r="I228" s="67">
        <v>1649902.5053055212</v>
      </c>
      <c r="J228" s="67">
        <v>87652720.496861115</v>
      </c>
      <c r="K228" s="66">
        <v>22.958186106666666</v>
      </c>
      <c r="L228" s="98"/>
    </row>
    <row r="229" spans="1:12" s="68" customFormat="1" ht="15.6">
      <c r="A229" s="63" t="s">
        <v>702</v>
      </c>
      <c r="B229" s="63">
        <v>10</v>
      </c>
      <c r="C229" s="64" t="s">
        <v>125</v>
      </c>
      <c r="D229" s="64" t="s">
        <v>486</v>
      </c>
      <c r="E229" s="65" t="s">
        <v>144</v>
      </c>
      <c r="F229" s="66">
        <v>5.76</v>
      </c>
      <c r="G229" s="66"/>
      <c r="H229" s="66"/>
      <c r="I229" s="67">
        <v>1885087.661267566</v>
      </c>
      <c r="J229" s="67">
        <v>10858104.928901181</v>
      </c>
      <c r="K229" s="66">
        <v>2.88</v>
      </c>
      <c r="L229" s="98"/>
    </row>
    <row r="230" spans="1:12" s="68" customFormat="1" ht="27.6">
      <c r="A230" s="63" t="s">
        <v>701</v>
      </c>
      <c r="B230" s="63">
        <v>11</v>
      </c>
      <c r="C230" s="64" t="s">
        <v>163</v>
      </c>
      <c r="D230" s="64" t="s">
        <v>518</v>
      </c>
      <c r="E230" s="65" t="s">
        <v>144</v>
      </c>
      <c r="F230" s="66">
        <v>8.92</v>
      </c>
      <c r="G230" s="66"/>
      <c r="H230" s="66"/>
      <c r="I230" s="67">
        <v>1738137.3363824864</v>
      </c>
      <c r="J230" s="67">
        <v>15504185.040531779</v>
      </c>
      <c r="K230" s="66">
        <v>4.460000000000001</v>
      </c>
      <c r="L230" s="98"/>
    </row>
    <row r="231" spans="1:12" s="68" customFormat="1" ht="27.6">
      <c r="A231" s="63" t="s">
        <v>705</v>
      </c>
      <c r="B231" s="63">
        <v>12</v>
      </c>
      <c r="C231" s="64" t="s">
        <v>164</v>
      </c>
      <c r="D231" s="64" t="s">
        <v>519</v>
      </c>
      <c r="E231" s="65" t="s">
        <v>149</v>
      </c>
      <c r="F231" s="66">
        <v>1.82</v>
      </c>
      <c r="G231" s="66"/>
      <c r="H231" s="66"/>
      <c r="I231" s="67">
        <v>15377258.3164245</v>
      </c>
      <c r="J231" s="67">
        <v>27986610.135892592</v>
      </c>
      <c r="K231" s="66">
        <v>0.5494466666666666</v>
      </c>
      <c r="L231" s="98"/>
    </row>
    <row r="232" spans="1:12" s="68" customFormat="1" ht="15.6">
      <c r="A232" s="63" t="s">
        <v>670</v>
      </c>
      <c r="B232" s="63">
        <v>13</v>
      </c>
      <c r="C232" s="64" t="s">
        <v>130</v>
      </c>
      <c r="D232" s="64" t="s">
        <v>491</v>
      </c>
      <c r="E232" s="65" t="s">
        <v>149</v>
      </c>
      <c r="F232" s="66">
        <v>0.39400000000000002</v>
      </c>
      <c r="G232" s="66"/>
      <c r="H232" s="66"/>
      <c r="I232" s="67">
        <v>5847333.4887753464</v>
      </c>
      <c r="J232" s="67">
        <v>2303849.3945774864</v>
      </c>
      <c r="K232" s="66">
        <v>0.19680000000000003</v>
      </c>
      <c r="L232" s="98"/>
    </row>
    <row r="233" spans="1:12" s="68" customFormat="1" ht="15.6">
      <c r="A233" s="63" t="s">
        <v>706</v>
      </c>
      <c r="B233" s="63">
        <v>14</v>
      </c>
      <c r="C233" s="64" t="s">
        <v>131</v>
      </c>
      <c r="D233" s="64" t="s">
        <v>492</v>
      </c>
      <c r="E233" s="65" t="s">
        <v>149</v>
      </c>
      <c r="F233" s="66">
        <v>0.34799999999999998</v>
      </c>
      <c r="G233" s="66"/>
      <c r="H233" s="66"/>
      <c r="I233" s="67">
        <v>9556992.580486374</v>
      </c>
      <c r="J233" s="67">
        <v>3325833.4180092579</v>
      </c>
      <c r="K233" s="66">
        <v>0.1738316</v>
      </c>
      <c r="L233" s="98"/>
    </row>
    <row r="234" spans="1:12" s="68" customFormat="1" ht="15.6">
      <c r="A234" s="63" t="s">
        <v>677</v>
      </c>
      <c r="B234" s="63">
        <v>15</v>
      </c>
      <c r="C234" s="64" t="s">
        <v>126</v>
      </c>
      <c r="D234" s="64" t="s">
        <v>487</v>
      </c>
      <c r="E234" s="65" t="s">
        <v>146</v>
      </c>
      <c r="F234" s="66">
        <v>0.48</v>
      </c>
      <c r="G234" s="66"/>
      <c r="H234" s="66"/>
      <c r="I234" s="67">
        <v>23279148.621693719</v>
      </c>
      <c r="J234" s="67">
        <v>11173991.338412985</v>
      </c>
      <c r="K234" s="66">
        <v>0.23982</v>
      </c>
      <c r="L234" s="98"/>
    </row>
    <row r="235" spans="1:12" s="68" customFormat="1" ht="15.6">
      <c r="A235" s="63" t="s">
        <v>678</v>
      </c>
      <c r="B235" s="63">
        <v>16</v>
      </c>
      <c r="C235" s="64" t="s">
        <v>127</v>
      </c>
      <c r="D235" s="64" t="s">
        <v>488</v>
      </c>
      <c r="E235" s="65" t="s">
        <v>146</v>
      </c>
      <c r="F235" s="66">
        <v>0.95</v>
      </c>
      <c r="G235" s="66"/>
      <c r="H235" s="66"/>
      <c r="I235" s="67">
        <v>22298275.433076847</v>
      </c>
      <c r="J235" s="67">
        <v>21183361.661423005</v>
      </c>
      <c r="K235" s="66">
        <v>0.9499999999999998</v>
      </c>
      <c r="L235" s="98"/>
    </row>
    <row r="236" spans="1:12" s="68" customFormat="1" ht="15.6">
      <c r="A236" s="63" t="s">
        <v>703</v>
      </c>
      <c r="B236" s="63">
        <v>17</v>
      </c>
      <c r="C236" s="64" t="s">
        <v>128</v>
      </c>
      <c r="D236" s="64" t="s">
        <v>489</v>
      </c>
      <c r="E236" s="65" t="s">
        <v>146</v>
      </c>
      <c r="F236" s="66">
        <v>0.20899999999999999</v>
      </c>
      <c r="G236" s="66"/>
      <c r="H236" s="66"/>
      <c r="I236" s="67">
        <v>22227176.507897273</v>
      </c>
      <c r="J236" s="67">
        <v>4645479.8901505303</v>
      </c>
      <c r="K236" s="66">
        <v>0.10474000000000001</v>
      </c>
      <c r="L236" s="98"/>
    </row>
    <row r="237" spans="1:12" s="68" customFormat="1" ht="15.6">
      <c r="A237" s="63" t="s">
        <v>680</v>
      </c>
      <c r="B237" s="63">
        <v>18</v>
      </c>
      <c r="C237" s="64" t="s">
        <v>77</v>
      </c>
      <c r="D237" s="64" t="s">
        <v>439</v>
      </c>
      <c r="E237" s="65" t="s">
        <v>392</v>
      </c>
      <c r="F237" s="66">
        <v>48</v>
      </c>
      <c r="G237" s="66"/>
      <c r="H237" s="66"/>
      <c r="I237" s="67">
        <v>33088.984387921992</v>
      </c>
      <c r="J237" s="67">
        <v>1588271.2506202557</v>
      </c>
      <c r="K237" s="66">
        <v>12.0</v>
      </c>
      <c r="L237" s="98"/>
    </row>
    <row r="238" spans="1:12" s="68" customFormat="1" ht="15.6">
      <c r="A238" s="63">
        <v>0</v>
      </c>
      <c r="B238" s="63"/>
      <c r="C238" s="70" t="s">
        <v>132</v>
      </c>
      <c r="D238" s="64" t="s">
        <v>493</v>
      </c>
      <c r="E238" s="65"/>
      <c r="F238" s="66"/>
      <c r="G238" s="66"/>
      <c r="H238" s="66"/>
      <c r="I238" s="67"/>
      <c r="J238" s="67"/>
      <c r="K238" s="67"/>
      <c r="L238" s="98"/>
    </row>
    <row r="239" spans="1:12" s="68" customFormat="1" ht="15.6">
      <c r="A239" s="63" t="s">
        <v>707</v>
      </c>
      <c r="B239" s="63">
        <v>19</v>
      </c>
      <c r="C239" s="64" t="s">
        <v>133</v>
      </c>
      <c r="D239" s="64" t="s">
        <v>494</v>
      </c>
      <c r="E239" s="65" t="s">
        <v>144</v>
      </c>
      <c r="F239" s="66">
        <v>11.52</v>
      </c>
      <c r="G239" s="66"/>
      <c r="H239" s="66"/>
      <c r="I239" s="67">
        <v>1488732.7232635708</v>
      </c>
      <c r="J239" s="67">
        <v>17150200.971996333</v>
      </c>
      <c r="K239" s="66">
        <v>11.52</v>
      </c>
      <c r="L239" s="98"/>
    </row>
    <row r="240" spans="1:12" s="68" customFormat="1" ht="15.6">
      <c r="A240" s="63" t="s">
        <v>708</v>
      </c>
      <c r="B240" s="63">
        <v>20</v>
      </c>
      <c r="C240" s="64" t="s">
        <v>134</v>
      </c>
      <c r="D240" s="64" t="s">
        <v>495</v>
      </c>
      <c r="E240" s="65" t="s">
        <v>146</v>
      </c>
      <c r="F240" s="66">
        <v>1.0740000000000001</v>
      </c>
      <c r="G240" s="66"/>
      <c r="H240" s="66"/>
      <c r="I240" s="67">
        <v>23917285.779540598</v>
      </c>
      <c r="J240" s="67">
        <v>25687164.927226603</v>
      </c>
      <c r="K240" s="66">
        <v>1.0735999999999999</v>
      </c>
      <c r="L240" s="98"/>
    </row>
    <row r="241" spans="1:12" s="68" customFormat="1" ht="15.6">
      <c r="A241" s="63" t="s">
        <v>709</v>
      </c>
      <c r="B241" s="63">
        <v>21</v>
      </c>
      <c r="C241" s="64" t="s">
        <v>135</v>
      </c>
      <c r="D241" s="64" t="s">
        <v>496</v>
      </c>
      <c r="E241" s="65" t="s">
        <v>149</v>
      </c>
      <c r="F241" s="66">
        <v>1.6479999999999999</v>
      </c>
      <c r="G241" s="66"/>
      <c r="H241" s="66"/>
      <c r="I241" s="67">
        <v>10874539.558710551</v>
      </c>
      <c r="J241" s="67">
        <v>17921241.192754988</v>
      </c>
      <c r="K241" s="66">
        <v>1.6478719999999998</v>
      </c>
      <c r="L241" s="98"/>
    </row>
    <row r="242" spans="1:12" s="68" customFormat="1" ht="31.2">
      <c r="A242" s="63" t="s">
        <v>728</v>
      </c>
      <c r="B242" s="63">
        <v>22</v>
      </c>
      <c r="C242" s="64" t="s">
        <v>136</v>
      </c>
      <c r="D242" s="64" t="s">
        <v>497</v>
      </c>
      <c r="E242" s="65" t="s">
        <v>148</v>
      </c>
      <c r="F242" s="66">
        <v>15.2</v>
      </c>
      <c r="G242" s="66"/>
      <c r="H242" s="66"/>
      <c r="I242" s="67">
        <v>46848.880529783819</v>
      </c>
      <c r="J242" s="67">
        <v>712102.98405271396</v>
      </c>
      <c r="K242" s="66">
        <v>15.2</v>
      </c>
      <c r="L242" s="98"/>
    </row>
    <row r="243" spans="1:12" s="68" customFormat="1" ht="15.6">
      <c r="A243" s="63" t="s">
        <v>710</v>
      </c>
      <c r="B243" s="63">
        <v>23</v>
      </c>
      <c r="C243" s="64" t="s">
        <v>137</v>
      </c>
      <c r="D243" s="64" t="s">
        <v>498</v>
      </c>
      <c r="E243" s="65" t="s">
        <v>148</v>
      </c>
      <c r="F243" s="66">
        <v>53.6</v>
      </c>
      <c r="G243" s="66"/>
      <c r="H243" s="66"/>
      <c r="I243" s="67">
        <v>60454.967741100008</v>
      </c>
      <c r="J243" s="67">
        <v>3240386.2709229607</v>
      </c>
      <c r="K243" s="66">
        <v>53.6</v>
      </c>
      <c r="L243" s="98"/>
    </row>
    <row r="244" spans="1:12" s="68" customFormat="1" ht="15.6">
      <c r="A244" s="63" t="s">
        <v>711</v>
      </c>
      <c r="B244" s="63">
        <v>24</v>
      </c>
      <c r="C244" s="64" t="s">
        <v>177</v>
      </c>
      <c r="D244" s="64" t="s">
        <v>531</v>
      </c>
      <c r="E244" s="65" t="s">
        <v>148</v>
      </c>
      <c r="F244" s="66">
        <v>17.920000000000002</v>
      </c>
      <c r="G244" s="66"/>
      <c r="H244" s="66"/>
      <c r="I244" s="67">
        <v>119732.73107907751</v>
      </c>
      <c r="J244" s="67">
        <v>2145610.5409370693</v>
      </c>
      <c r="K244" s="66">
        <v>17.92</v>
      </c>
      <c r="L244" s="98"/>
    </row>
    <row r="245" spans="1:12" s="68" customFormat="1" ht="15.6">
      <c r="A245" s="63" t="s">
        <v>680</v>
      </c>
      <c r="B245" s="63">
        <v>25</v>
      </c>
      <c r="C245" s="64" t="s">
        <v>139</v>
      </c>
      <c r="D245" s="64" t="s">
        <v>500</v>
      </c>
      <c r="E245" s="65" t="s">
        <v>392</v>
      </c>
      <c r="F245" s="66">
        <v>16</v>
      </c>
      <c r="G245" s="66"/>
      <c r="H245" s="66"/>
      <c r="I245" s="67">
        <v>33088.984387921992</v>
      </c>
      <c r="J245" s="67">
        <v>529423.75020675187</v>
      </c>
      <c r="K245" s="66">
        <v>16.0</v>
      </c>
      <c r="L245" s="98"/>
    </row>
    <row r="246" spans="1:12" s="68" customFormat="1" ht="15.6">
      <c r="A246" s="63"/>
      <c r="B246" s="63"/>
      <c r="C246" s="70" t="s">
        <v>140</v>
      </c>
      <c r="D246" s="64" t="s">
        <v>501</v>
      </c>
      <c r="E246" s="65"/>
      <c r="F246" s="66"/>
      <c r="G246" s="66"/>
      <c r="H246" s="66"/>
      <c r="I246" s="67"/>
      <c r="J246" s="67"/>
      <c r="K246" s="67"/>
      <c r="L246" s="98"/>
    </row>
    <row r="247" spans="1:12" s="68" customFormat="1" ht="27.6">
      <c r="A247" s="63" t="s">
        <v>691</v>
      </c>
      <c r="B247" s="63">
        <v>26</v>
      </c>
      <c r="C247" s="64" t="s">
        <v>141</v>
      </c>
      <c r="D247" s="64" t="s">
        <v>325</v>
      </c>
      <c r="E247" s="65" t="s">
        <v>145</v>
      </c>
      <c r="F247" s="66">
        <v>0.36499999999999999</v>
      </c>
      <c r="G247" s="66"/>
      <c r="H247" s="66"/>
      <c r="I247" s="67">
        <v>3406602.6497878134</v>
      </c>
      <c r="J247" s="67">
        <v>1243409.9671725519</v>
      </c>
      <c r="K247" s="66">
        <v>0.104034</v>
      </c>
      <c r="L247" s="98"/>
    </row>
    <row r="248" spans="1:12" s="68" customFormat="1" ht="27.6">
      <c r="A248" s="63" t="s">
        <v>643</v>
      </c>
      <c r="B248" s="63">
        <v>27</v>
      </c>
      <c r="C248" s="64" t="s">
        <v>36</v>
      </c>
      <c r="D248" s="64" t="s">
        <v>399</v>
      </c>
      <c r="E248" s="65" t="s">
        <v>145</v>
      </c>
      <c r="F248" s="66">
        <v>2.1520000000000001</v>
      </c>
      <c r="G248" s="66"/>
      <c r="H248" s="66"/>
      <c r="I248" s="67">
        <v>1171462.5022504972</v>
      </c>
      <c r="J248" s="67">
        <v>2520987.30484307</v>
      </c>
      <c r="K248" s="66">
        <v>1.545648</v>
      </c>
      <c r="L248" s="98"/>
    </row>
    <row r="249" spans="1:12" s="68" customFormat="1" ht="41.4">
      <c r="A249" s="63" t="s">
        <v>658</v>
      </c>
      <c r="B249" s="63">
        <v>28</v>
      </c>
      <c r="C249" s="64" t="s">
        <v>51</v>
      </c>
      <c r="D249" s="64" t="s">
        <v>413</v>
      </c>
      <c r="E249" s="65" t="s">
        <v>149</v>
      </c>
      <c r="F249" s="66">
        <v>0.06</v>
      </c>
      <c r="G249" s="66"/>
      <c r="H249" s="66"/>
      <c r="I249" s="67">
        <v>1171371.4977983192</v>
      </c>
      <c r="J249" s="67">
        <v>70282.289867899148</v>
      </c>
      <c r="K249" s="66">
        <v>0.0</v>
      </c>
      <c r="L249" s="98"/>
    </row>
    <row r="250" spans="1:12" s="68" customFormat="1" ht="41.4">
      <c r="A250" s="63" t="s">
        <v>659</v>
      </c>
      <c r="B250" s="63">
        <v>29</v>
      </c>
      <c r="C250" s="64" t="s">
        <v>52</v>
      </c>
      <c r="D250" s="64" t="s">
        <v>414</v>
      </c>
      <c r="E250" s="65" t="s">
        <v>415</v>
      </c>
      <c r="F250" s="66">
        <v>0.01</v>
      </c>
      <c r="G250" s="66"/>
      <c r="H250" s="66"/>
      <c r="I250" s="67">
        <v>114863766.94263284</v>
      </c>
      <c r="J250" s="67">
        <v>1148637.6694263285</v>
      </c>
      <c r="K250" s="66">
        <v>0.0</v>
      </c>
      <c r="L250" s="98"/>
    </row>
    <row r="251" spans="1:12" s="68" customFormat="1" ht="27.6">
      <c r="A251" s="63" t="s">
        <v>660</v>
      </c>
      <c r="B251" s="63">
        <v>30</v>
      </c>
      <c r="C251" s="64" t="s">
        <v>142</v>
      </c>
      <c r="D251" s="64" t="s">
        <v>502</v>
      </c>
      <c r="E251" s="65" t="s">
        <v>415</v>
      </c>
      <c r="F251" s="66">
        <v>0.01</v>
      </c>
      <c r="G251" s="66"/>
      <c r="H251" s="66"/>
      <c r="I251" s="67">
        <v>4732391.7900324054</v>
      </c>
      <c r="J251" s="67">
        <v>47323.917900324057</v>
      </c>
      <c r="K251" s="66">
        <v>0.0</v>
      </c>
      <c r="L251" s="98"/>
    </row>
    <row r="252" spans="1:12" s="68" customFormat="1" ht="27.6">
      <c r="A252" s="63" t="s">
        <v>661</v>
      </c>
      <c r="B252" s="63">
        <v>31</v>
      </c>
      <c r="C252" s="64" t="s">
        <v>157</v>
      </c>
      <c r="D252" s="64" t="s">
        <v>511</v>
      </c>
      <c r="E252" s="65" t="s">
        <v>415</v>
      </c>
      <c r="F252" s="66">
        <v>0.01</v>
      </c>
      <c r="G252" s="66"/>
      <c r="H252" s="66"/>
      <c r="I252" s="67">
        <v>13220650.080090528</v>
      </c>
      <c r="J252" s="67">
        <v>132206.50080090528</v>
      </c>
      <c r="K252" s="66">
        <v>0.0</v>
      </c>
      <c r="L252" s="98"/>
    </row>
    <row r="253" spans="1:12" s="68" customFormat="1" ht="27.6">
      <c r="A253" s="63" t="s">
        <v>662</v>
      </c>
      <c r="B253" s="63">
        <v>32</v>
      </c>
      <c r="C253" s="64" t="s">
        <v>143</v>
      </c>
      <c r="D253" s="64" t="s">
        <v>503</v>
      </c>
      <c r="E253" s="65" t="s">
        <v>149</v>
      </c>
      <c r="F253" s="66">
        <v>0.06</v>
      </c>
      <c r="G253" s="66"/>
      <c r="H253" s="66"/>
      <c r="I253" s="67">
        <v>1793277.9778179687</v>
      </c>
      <c r="J253" s="67">
        <v>107596.67866907812</v>
      </c>
      <c r="K253" s="66">
        <v>0.0</v>
      </c>
      <c r="L253" s="98"/>
    </row>
    <row r="254" spans="1:12" s="68" customFormat="1" ht="15.6">
      <c r="A254" s="63" t="s">
        <v>663</v>
      </c>
      <c r="B254" s="63">
        <v>33</v>
      </c>
      <c r="C254" s="64" t="s">
        <v>55</v>
      </c>
      <c r="D254" s="64" t="s">
        <v>418</v>
      </c>
      <c r="E254" s="65" t="s">
        <v>145</v>
      </c>
      <c r="F254" s="66">
        <v>8.9999999999999993E-3</v>
      </c>
      <c r="G254" s="66"/>
      <c r="H254" s="66"/>
      <c r="I254" s="67">
        <v>31106460.200125102</v>
      </c>
      <c r="J254" s="67">
        <v>279958.14180112589</v>
      </c>
      <c r="K254" s="66">
        <v>0.0</v>
      </c>
      <c r="L254" s="98"/>
    </row>
    <row r="255" spans="1:12" s="68" customFormat="1" ht="15.6">
      <c r="A255" s="63" t="s">
        <v>664</v>
      </c>
      <c r="B255" s="63">
        <v>34</v>
      </c>
      <c r="C255" s="64" t="s">
        <v>56</v>
      </c>
      <c r="D255" s="64" t="s">
        <v>419</v>
      </c>
      <c r="E255" s="65" t="s">
        <v>145</v>
      </c>
      <c r="F255" s="66">
        <v>1.9E-2</v>
      </c>
      <c r="G255" s="66"/>
      <c r="H255" s="66"/>
      <c r="I255" s="67">
        <v>30952519.587396916</v>
      </c>
      <c r="J255" s="67">
        <v>588097.87216054136</v>
      </c>
      <c r="K255" s="66">
        <v>0.0</v>
      </c>
      <c r="L255" s="98"/>
    </row>
    <row r="256" spans="1:12" s="92" customFormat="1" ht="15.6">
      <c r="A256" s="87"/>
      <c r="B256" s="87"/>
      <c r="C256" s="88" t="s">
        <v>19</v>
      </c>
      <c r="D256" s="88" t="s">
        <v>532</v>
      </c>
      <c r="E256" s="89"/>
      <c r="F256" s="66"/>
      <c r="G256" s="90"/>
      <c r="H256" s="90"/>
      <c r="I256" s="91"/>
      <c r="J256" s="91">
        <v>661534481.43916297</v>
      </c>
      <c r="K256" s="91"/>
      <c r="L256" s="103"/>
    </row>
    <row r="257" spans="1:12" s="68" customFormat="1" ht="15.6">
      <c r="A257" s="63" t="s">
        <v>668</v>
      </c>
      <c r="B257" s="63">
        <v>1</v>
      </c>
      <c r="C257" s="64" t="s">
        <v>62</v>
      </c>
      <c r="D257" s="64" t="s">
        <v>425</v>
      </c>
      <c r="E257" s="65" t="s">
        <v>144</v>
      </c>
      <c r="F257" s="66">
        <v>8.84</v>
      </c>
      <c r="G257" s="66"/>
      <c r="H257" s="66"/>
      <c r="I257" s="67">
        <v>847049.03055282054</v>
      </c>
      <c r="J257" s="67">
        <v>7487913.4300869331</v>
      </c>
      <c r="K257" s="66">
        <v>8.84</v>
      </c>
      <c r="L257" s="98"/>
    </row>
    <row r="258" spans="1:12" s="68" customFormat="1" ht="27.6">
      <c r="A258" s="63" t="s">
        <v>692</v>
      </c>
      <c r="B258" s="63">
        <v>2</v>
      </c>
      <c r="C258" s="64" t="s">
        <v>121</v>
      </c>
      <c r="D258" s="64" t="s">
        <v>482</v>
      </c>
      <c r="E258" s="65" t="s">
        <v>144</v>
      </c>
      <c r="F258" s="66">
        <v>26</v>
      </c>
      <c r="G258" s="66"/>
      <c r="H258" s="66"/>
      <c r="I258" s="67">
        <v>1301106.6825224052</v>
      </c>
      <c r="J258" s="67">
        <v>33828773.745582536</v>
      </c>
      <c r="K258" s="66">
        <v>26.0</v>
      </c>
      <c r="L258" s="98"/>
    </row>
    <row r="259" spans="1:12" s="68" customFormat="1" ht="27.6">
      <c r="A259" s="63" t="s">
        <v>729</v>
      </c>
      <c r="B259" s="63">
        <v>3</v>
      </c>
      <c r="C259" s="64" t="s">
        <v>124</v>
      </c>
      <c r="D259" s="64" t="s">
        <v>485</v>
      </c>
      <c r="E259" s="65" t="s">
        <v>144</v>
      </c>
      <c r="F259" s="66">
        <v>39.478000000000002</v>
      </c>
      <c r="G259" s="66"/>
      <c r="H259" s="66"/>
      <c r="I259" s="67">
        <v>1570044.7859130213</v>
      </c>
      <c r="J259" s="67">
        <v>61982228.058274254</v>
      </c>
      <c r="K259" s="66">
        <v>39.478</v>
      </c>
      <c r="L259" s="98"/>
    </row>
    <row r="260" spans="1:12" s="68" customFormat="1" ht="27.6">
      <c r="A260" s="63" t="s">
        <v>698</v>
      </c>
      <c r="B260" s="63">
        <v>4</v>
      </c>
      <c r="C260" s="64" t="s">
        <v>120</v>
      </c>
      <c r="D260" s="64" t="s">
        <v>481</v>
      </c>
      <c r="E260" s="65" t="s">
        <v>144</v>
      </c>
      <c r="F260" s="66">
        <v>16.559999999999999</v>
      </c>
      <c r="G260" s="66"/>
      <c r="H260" s="66"/>
      <c r="I260" s="67">
        <v>1290150.7933494374</v>
      </c>
      <c r="J260" s="67">
        <v>21364897.137866683</v>
      </c>
      <c r="K260" s="66">
        <v>16.56</v>
      </c>
      <c r="L260" s="98"/>
    </row>
    <row r="261" spans="1:12" s="68" customFormat="1" ht="27.6">
      <c r="A261" s="63" t="s">
        <v>730</v>
      </c>
      <c r="B261" s="63">
        <v>5</v>
      </c>
      <c r="C261" s="64" t="s">
        <v>178</v>
      </c>
      <c r="D261" s="64" t="s">
        <v>533</v>
      </c>
      <c r="E261" s="65" t="s">
        <v>144</v>
      </c>
      <c r="F261" s="66">
        <v>6</v>
      </c>
      <c r="G261" s="66"/>
      <c r="H261" s="66"/>
      <c r="I261" s="67">
        <v>1707418.6578313273</v>
      </c>
      <c r="J261" s="67">
        <v>10244511.946987964</v>
      </c>
      <c r="K261" s="66">
        <v>6.0</v>
      </c>
      <c r="L261" s="98"/>
    </row>
    <row r="262" spans="1:12" s="68" customFormat="1" ht="15.6">
      <c r="A262" s="63" t="s">
        <v>670</v>
      </c>
      <c r="B262" s="63">
        <v>6</v>
      </c>
      <c r="C262" s="64" t="s">
        <v>179</v>
      </c>
      <c r="D262" s="64" t="s">
        <v>534</v>
      </c>
      <c r="E262" s="65" t="s">
        <v>149</v>
      </c>
      <c r="F262" s="66">
        <v>0.56000000000000005</v>
      </c>
      <c r="G262" s="66"/>
      <c r="H262" s="66"/>
      <c r="I262" s="67">
        <v>5847333.4887753464</v>
      </c>
      <c r="J262" s="67">
        <v>3274506.7537141945</v>
      </c>
      <c r="K262" s="66">
        <v>0.56</v>
      </c>
      <c r="L262" s="98"/>
    </row>
    <row r="263" spans="1:12" s="68" customFormat="1" ht="15.6">
      <c r="A263" s="63" t="s">
        <v>705</v>
      </c>
      <c r="B263" s="63">
        <v>7</v>
      </c>
      <c r="C263" s="64" t="s">
        <v>180</v>
      </c>
      <c r="D263" s="64" t="s">
        <v>535</v>
      </c>
      <c r="E263" s="65" t="s">
        <v>149</v>
      </c>
      <c r="F263" s="66">
        <v>1.887</v>
      </c>
      <c r="G263" s="66"/>
      <c r="H263" s="66"/>
      <c r="I263" s="67">
        <v>15377258.3164245</v>
      </c>
      <c r="J263" s="67">
        <v>29016886.443093032</v>
      </c>
      <c r="K263" s="66">
        <v>1.8867839999999998</v>
      </c>
      <c r="L263" s="98"/>
    </row>
    <row r="264" spans="1:12" s="68" customFormat="1" ht="15.6">
      <c r="A264" s="63"/>
      <c r="B264" s="63"/>
      <c r="C264" s="70" t="s">
        <v>181</v>
      </c>
      <c r="D264" s="64" t="s">
        <v>536</v>
      </c>
      <c r="E264" s="65"/>
      <c r="F264" s="66"/>
      <c r="G264" s="66"/>
      <c r="H264" s="66"/>
      <c r="I264" s="67"/>
      <c r="J264" s="67"/>
      <c r="K264" s="67"/>
      <c r="L264" s="98"/>
    </row>
    <row r="265" spans="1:12" s="68" customFormat="1" ht="15.6">
      <c r="A265" s="63" t="s">
        <v>702</v>
      </c>
      <c r="B265" s="63">
        <v>8</v>
      </c>
      <c r="C265" s="64" t="s">
        <v>125</v>
      </c>
      <c r="D265" s="64" t="s">
        <v>486</v>
      </c>
      <c r="E265" s="65" t="s">
        <v>144</v>
      </c>
      <c r="F265" s="66">
        <v>4.0599999999999996</v>
      </c>
      <c r="G265" s="66"/>
      <c r="H265" s="66"/>
      <c r="I265" s="67">
        <v>1885087.661267566</v>
      </c>
      <c r="J265" s="67">
        <v>7653455.9047463173</v>
      </c>
      <c r="K265" s="66">
        <v>4.0600000000000005</v>
      </c>
      <c r="L265" s="98"/>
    </row>
    <row r="266" spans="1:12" s="68" customFormat="1" ht="15.6">
      <c r="A266" s="63" t="s">
        <v>703</v>
      </c>
      <c r="B266" s="63">
        <v>9</v>
      </c>
      <c r="C266" s="64" t="s">
        <v>128</v>
      </c>
      <c r="D266" s="64" t="s">
        <v>489</v>
      </c>
      <c r="E266" s="65" t="s">
        <v>146</v>
      </c>
      <c r="F266" s="66">
        <v>0.31900000000000001</v>
      </c>
      <c r="G266" s="66"/>
      <c r="H266" s="66"/>
      <c r="I266" s="67">
        <v>22227176.507897273</v>
      </c>
      <c r="J266" s="67">
        <v>7090469.3060192298</v>
      </c>
      <c r="K266" s="66">
        <v>0.31900000000000006</v>
      </c>
      <c r="L266" s="98"/>
    </row>
    <row r="267" spans="1:12" s="68" customFormat="1" ht="15.6">
      <c r="A267" s="63" t="s">
        <v>704</v>
      </c>
      <c r="B267" s="63">
        <v>10</v>
      </c>
      <c r="C267" s="64" t="s">
        <v>129</v>
      </c>
      <c r="D267" s="64" t="s">
        <v>490</v>
      </c>
      <c r="E267" s="65" t="s">
        <v>146</v>
      </c>
      <c r="F267" s="66">
        <v>2.4E-2</v>
      </c>
      <c r="G267" s="66"/>
      <c r="H267" s="66"/>
      <c r="I267" s="67">
        <v>21917110.212572783</v>
      </c>
      <c r="J267" s="67">
        <v>526010.64510174678</v>
      </c>
      <c r="K267" s="66">
        <v>0.023999999999999994</v>
      </c>
      <c r="L267" s="98"/>
    </row>
    <row r="268" spans="1:12" s="68" customFormat="1" ht="15.6">
      <c r="A268" s="63" t="s">
        <v>670</v>
      </c>
      <c r="B268" s="63">
        <v>11</v>
      </c>
      <c r="C268" s="64" t="s">
        <v>130</v>
      </c>
      <c r="D268" s="64" t="s">
        <v>491</v>
      </c>
      <c r="E268" s="65" t="s">
        <v>149</v>
      </c>
      <c r="F268" s="66">
        <v>0.24</v>
      </c>
      <c r="G268" s="66"/>
      <c r="H268" s="66"/>
      <c r="I268" s="67">
        <v>5847333.4887753464</v>
      </c>
      <c r="J268" s="67">
        <v>1403360.0373060831</v>
      </c>
      <c r="K268" s="66">
        <v>0.24</v>
      </c>
      <c r="L268" s="98"/>
    </row>
    <row r="269" spans="1:12" s="68" customFormat="1" ht="15.6">
      <c r="A269" s="63"/>
      <c r="B269" s="63"/>
      <c r="C269" s="70" t="s">
        <v>182</v>
      </c>
      <c r="D269" s="64" t="s">
        <v>537</v>
      </c>
      <c r="E269" s="65"/>
      <c r="F269" s="66"/>
      <c r="G269" s="66"/>
      <c r="H269" s="66"/>
      <c r="I269" s="67"/>
      <c r="J269" s="67"/>
      <c r="K269" s="67"/>
      <c r="L269" s="98"/>
    </row>
    <row r="270" spans="1:12" s="68" customFormat="1" ht="27.6">
      <c r="A270" s="63" t="s">
        <v>692</v>
      </c>
      <c r="B270" s="63">
        <v>12</v>
      </c>
      <c r="C270" s="64" t="s">
        <v>121</v>
      </c>
      <c r="D270" s="64" t="s">
        <v>482</v>
      </c>
      <c r="E270" s="65" t="s">
        <v>144</v>
      </c>
      <c r="F270" s="66">
        <v>22.763999999999999</v>
      </c>
      <c r="G270" s="66"/>
      <c r="H270" s="66"/>
      <c r="I270" s="67">
        <v>1301106.6825224052</v>
      </c>
      <c r="J270" s="67">
        <v>29618392.520940032</v>
      </c>
      <c r="K270" s="66">
        <v>22.764000000000003</v>
      </c>
      <c r="L270" s="98"/>
    </row>
    <row r="271" spans="1:12" s="68" customFormat="1" ht="27.6">
      <c r="A271" s="63" t="s">
        <v>729</v>
      </c>
      <c r="B271" s="63">
        <v>13</v>
      </c>
      <c r="C271" s="64" t="s">
        <v>124</v>
      </c>
      <c r="D271" s="64" t="s">
        <v>485</v>
      </c>
      <c r="E271" s="65" t="s">
        <v>144</v>
      </c>
      <c r="F271" s="66">
        <v>23.736000000000001</v>
      </c>
      <c r="G271" s="66"/>
      <c r="H271" s="66"/>
      <c r="I271" s="67">
        <v>1702900.3046130214</v>
      </c>
      <c r="J271" s="67">
        <v>40420041.630294681</v>
      </c>
      <c r="K271" s="66">
        <v>23.735999999999997</v>
      </c>
      <c r="L271" s="98"/>
    </row>
    <row r="272" spans="1:12" s="68" customFormat="1" ht="27.6">
      <c r="A272" s="63" t="s">
        <v>698</v>
      </c>
      <c r="B272" s="63">
        <v>14</v>
      </c>
      <c r="C272" s="64" t="s">
        <v>183</v>
      </c>
      <c r="D272" s="64" t="s">
        <v>538</v>
      </c>
      <c r="E272" s="65" t="s">
        <v>144</v>
      </c>
      <c r="F272" s="66">
        <v>11.696</v>
      </c>
      <c r="G272" s="66"/>
      <c r="H272" s="66"/>
      <c r="I272" s="67">
        <v>1290150.7933494374</v>
      </c>
      <c r="J272" s="67">
        <v>15089603.67901502</v>
      </c>
      <c r="K272" s="66">
        <v>11.696</v>
      </c>
      <c r="L272" s="98"/>
    </row>
    <row r="273" spans="1:12" s="68" customFormat="1" ht="15.6">
      <c r="A273" s="63" t="s">
        <v>668</v>
      </c>
      <c r="B273" s="63">
        <v>15</v>
      </c>
      <c r="C273" s="64" t="s">
        <v>62</v>
      </c>
      <c r="D273" s="64" t="s">
        <v>425</v>
      </c>
      <c r="E273" s="65" t="s">
        <v>144</v>
      </c>
      <c r="F273" s="66">
        <v>6.7679999999999998</v>
      </c>
      <c r="G273" s="66"/>
      <c r="H273" s="66"/>
      <c r="I273" s="67">
        <v>847049.03055282054</v>
      </c>
      <c r="J273" s="67">
        <v>5732827.8387814891</v>
      </c>
      <c r="K273" s="66">
        <v>6.768000000000001</v>
      </c>
      <c r="L273" s="98"/>
    </row>
    <row r="274" spans="1:12" s="68" customFormat="1" ht="15.6">
      <c r="A274" s="63" t="s">
        <v>670</v>
      </c>
      <c r="B274" s="63">
        <v>16</v>
      </c>
      <c r="C274" s="64" t="s">
        <v>176</v>
      </c>
      <c r="D274" s="64" t="s">
        <v>530</v>
      </c>
      <c r="E274" s="65" t="s">
        <v>149</v>
      </c>
      <c r="F274" s="66">
        <v>0.61199999999999999</v>
      </c>
      <c r="G274" s="66"/>
      <c r="H274" s="66"/>
      <c r="I274" s="67">
        <v>5847333.4887753464</v>
      </c>
      <c r="J274" s="67">
        <v>3578568.095130512</v>
      </c>
      <c r="K274" s="66">
        <v>0.612</v>
      </c>
      <c r="L274" s="98"/>
    </row>
    <row r="275" spans="1:12" s="68" customFormat="1" ht="15.6">
      <c r="A275" s="63" t="s">
        <v>705</v>
      </c>
      <c r="B275" s="63">
        <v>17</v>
      </c>
      <c r="C275" s="64" t="s">
        <v>184</v>
      </c>
      <c r="D275" s="64" t="s">
        <v>539</v>
      </c>
      <c r="E275" s="65" t="s">
        <v>149</v>
      </c>
      <c r="F275" s="66">
        <v>0.74099999999999999</v>
      </c>
      <c r="G275" s="66"/>
      <c r="H275" s="66"/>
      <c r="I275" s="67">
        <v>15377258.3164245</v>
      </c>
      <c r="J275" s="67">
        <v>11394548.412470555</v>
      </c>
      <c r="K275" s="66">
        <v>0.741</v>
      </c>
      <c r="L275" s="98"/>
    </row>
    <row r="276" spans="1:12" s="68" customFormat="1" ht="15.6">
      <c r="A276" s="63"/>
      <c r="B276" s="63"/>
      <c r="C276" s="64" t="s">
        <v>185</v>
      </c>
      <c r="D276" s="64" t="s">
        <v>540</v>
      </c>
      <c r="E276" s="65"/>
      <c r="F276" s="66"/>
      <c r="G276" s="66"/>
      <c r="H276" s="66"/>
      <c r="I276" s="67"/>
      <c r="J276" s="67"/>
      <c r="K276" s="67"/>
      <c r="L276" s="98"/>
    </row>
    <row r="277" spans="1:12" s="68" customFormat="1" ht="27.6">
      <c r="A277" s="63" t="s">
        <v>731</v>
      </c>
      <c r="B277" s="63">
        <v>18</v>
      </c>
      <c r="C277" s="64" t="s">
        <v>186</v>
      </c>
      <c r="D277" s="64" t="s">
        <v>541</v>
      </c>
      <c r="E277" s="65" t="s">
        <v>144</v>
      </c>
      <c r="F277" s="66">
        <v>38.74</v>
      </c>
      <c r="G277" s="66"/>
      <c r="H277" s="66"/>
      <c r="I277" s="67">
        <v>1860444.8952235335</v>
      </c>
      <c r="J277" s="67">
        <v>72073635.240959689</v>
      </c>
      <c r="K277" s="66">
        <v>38.74</v>
      </c>
      <c r="L277" s="98"/>
    </row>
    <row r="278" spans="1:12" s="68" customFormat="1" ht="15.6">
      <c r="A278" s="63" t="s">
        <v>732</v>
      </c>
      <c r="B278" s="63">
        <v>19</v>
      </c>
      <c r="C278" s="64" t="s">
        <v>187</v>
      </c>
      <c r="D278" s="64" t="s">
        <v>542</v>
      </c>
      <c r="E278" s="65" t="s">
        <v>146</v>
      </c>
      <c r="F278" s="66">
        <v>0.53800000000000003</v>
      </c>
      <c r="G278" s="66"/>
      <c r="H278" s="66"/>
      <c r="I278" s="67">
        <v>22724474.274690598</v>
      </c>
      <c r="J278" s="67">
        <v>12225767.159783542</v>
      </c>
      <c r="K278" s="66">
        <v>0.53794</v>
      </c>
      <c r="L278" s="98"/>
    </row>
    <row r="279" spans="1:12" s="68" customFormat="1" ht="15.6">
      <c r="A279" s="63" t="s">
        <v>733</v>
      </c>
      <c r="B279" s="63">
        <v>20</v>
      </c>
      <c r="C279" s="64" t="s">
        <v>188</v>
      </c>
      <c r="D279" s="64" t="s">
        <v>543</v>
      </c>
      <c r="E279" s="65" t="s">
        <v>146</v>
      </c>
      <c r="F279" s="66">
        <v>1.4370000000000001</v>
      </c>
      <c r="G279" s="66"/>
      <c r="H279" s="66"/>
      <c r="I279" s="67">
        <v>22900566.619561616</v>
      </c>
      <c r="J279" s="67">
        <v>32908114.232310046</v>
      </c>
      <c r="K279" s="66">
        <v>1.4365</v>
      </c>
      <c r="L279" s="98"/>
    </row>
    <row r="280" spans="1:12" s="68" customFormat="1" ht="15.6">
      <c r="A280" s="63" t="s">
        <v>733</v>
      </c>
      <c r="B280" s="63">
        <v>21</v>
      </c>
      <c r="C280" s="64" t="s">
        <v>189</v>
      </c>
      <c r="D280" s="64" t="s">
        <v>544</v>
      </c>
      <c r="E280" s="65" t="s">
        <v>146</v>
      </c>
      <c r="F280" s="66">
        <v>2.4E-2</v>
      </c>
      <c r="G280" s="66"/>
      <c r="H280" s="66"/>
      <c r="I280" s="67">
        <v>22900566.619561616</v>
      </c>
      <c r="J280" s="67">
        <v>549613.5988694788</v>
      </c>
      <c r="K280" s="66">
        <v>0.024</v>
      </c>
      <c r="L280" s="98"/>
    </row>
    <row r="281" spans="1:12" s="68" customFormat="1" ht="15.6">
      <c r="A281" s="63" t="s">
        <v>664</v>
      </c>
      <c r="B281" s="63">
        <v>22</v>
      </c>
      <c r="C281" s="64" t="s">
        <v>56</v>
      </c>
      <c r="D281" s="64" t="s">
        <v>419</v>
      </c>
      <c r="E281" s="65" t="s">
        <v>145</v>
      </c>
      <c r="F281" s="66">
        <v>0.39</v>
      </c>
      <c r="G281" s="66"/>
      <c r="H281" s="66"/>
      <c r="I281" s="67">
        <v>30952519.587396916</v>
      </c>
      <c r="J281" s="67">
        <v>12071482.639084797</v>
      </c>
      <c r="K281" s="66">
        <v>0.39</v>
      </c>
      <c r="L281" s="98"/>
    </row>
    <row r="282" spans="1:12" s="68" customFormat="1" ht="15.6">
      <c r="A282" s="63" t="s">
        <v>734</v>
      </c>
      <c r="B282" s="63">
        <v>23</v>
      </c>
      <c r="C282" s="64" t="s">
        <v>190</v>
      </c>
      <c r="D282" s="64" t="s">
        <v>545</v>
      </c>
      <c r="E282" s="65" t="s">
        <v>149</v>
      </c>
      <c r="F282" s="66">
        <v>0.93600000000000005</v>
      </c>
      <c r="G282" s="66"/>
      <c r="H282" s="66"/>
      <c r="I282" s="67">
        <v>16671254.249939999</v>
      </c>
      <c r="J282" s="67">
        <v>15604293.97794384</v>
      </c>
      <c r="K282" s="66">
        <v>0.936</v>
      </c>
      <c r="L282" s="98"/>
    </row>
    <row r="283" spans="1:12" s="68" customFormat="1" ht="15.6">
      <c r="A283" s="63"/>
      <c r="B283" s="63"/>
      <c r="C283" s="70" t="s">
        <v>191</v>
      </c>
      <c r="D283" s="64" t="s">
        <v>546</v>
      </c>
      <c r="E283" s="65"/>
      <c r="F283" s="66"/>
      <c r="G283" s="66"/>
      <c r="H283" s="66"/>
      <c r="I283" s="67"/>
      <c r="J283" s="67"/>
      <c r="K283" s="67"/>
      <c r="L283" s="98"/>
    </row>
    <row r="284" spans="1:12" s="68" customFormat="1" ht="27.6">
      <c r="A284" s="63" t="s">
        <v>701</v>
      </c>
      <c r="B284" s="63">
        <v>24</v>
      </c>
      <c r="C284" s="64" t="s">
        <v>163</v>
      </c>
      <c r="D284" s="64" t="s">
        <v>518</v>
      </c>
      <c r="E284" s="65" t="s">
        <v>144</v>
      </c>
      <c r="F284" s="66">
        <v>23.053999999999998</v>
      </c>
      <c r="G284" s="66"/>
      <c r="H284" s="66"/>
      <c r="I284" s="67">
        <v>1738137.3363824864</v>
      </c>
      <c r="J284" s="67">
        <v>40071018.152961835</v>
      </c>
      <c r="K284" s="66">
        <v>22.573</v>
      </c>
      <c r="L284" s="98"/>
    </row>
    <row r="285" spans="1:12" s="68" customFormat="1" ht="15.6">
      <c r="A285" s="63" t="s">
        <v>715</v>
      </c>
      <c r="B285" s="63">
        <v>25</v>
      </c>
      <c r="C285" s="64" t="s">
        <v>192</v>
      </c>
      <c r="D285" s="64" t="s">
        <v>547</v>
      </c>
      <c r="E285" s="65" t="s">
        <v>148</v>
      </c>
      <c r="F285" s="66">
        <v>0.32400000000000001</v>
      </c>
      <c r="G285" s="66"/>
      <c r="H285" s="66"/>
      <c r="I285" s="67">
        <v>187779.01324566358</v>
      </c>
      <c r="J285" s="67">
        <v>60840.400291595004</v>
      </c>
      <c r="K285" s="66">
        <v>0.32370000000000004</v>
      </c>
      <c r="L285" s="98"/>
    </row>
    <row r="286" spans="1:12" s="68" customFormat="1" ht="15.6">
      <c r="A286" s="63" t="s">
        <v>713</v>
      </c>
      <c r="B286" s="63">
        <v>26</v>
      </c>
      <c r="C286" s="64" t="s">
        <v>193</v>
      </c>
      <c r="D286" s="64" t="s">
        <v>548</v>
      </c>
      <c r="E286" s="65" t="s">
        <v>146</v>
      </c>
      <c r="F286" s="66">
        <v>1.127</v>
      </c>
      <c r="G286" s="66"/>
      <c r="H286" s="66"/>
      <c r="I286" s="67">
        <v>20503078.140354238</v>
      </c>
      <c r="J286" s="67">
        <v>23106969.064179227</v>
      </c>
      <c r="K286" s="66">
        <v>1.12678</v>
      </c>
      <c r="L286" s="98"/>
    </row>
    <row r="287" spans="1:12" s="68" customFormat="1" ht="15.6">
      <c r="A287" s="63" t="s">
        <v>714</v>
      </c>
      <c r="B287" s="63">
        <v>27</v>
      </c>
      <c r="C287" s="64" t="s">
        <v>194</v>
      </c>
      <c r="D287" s="64" t="s">
        <v>549</v>
      </c>
      <c r="E287" s="65" t="s">
        <v>146</v>
      </c>
      <c r="F287" s="66">
        <v>2.871</v>
      </c>
      <c r="G287" s="66"/>
      <c r="H287" s="66"/>
      <c r="I287" s="67">
        <v>19624940.147869959</v>
      </c>
      <c r="J287" s="67">
        <v>56343203.164534651</v>
      </c>
      <c r="K287" s="66">
        <v>2.87131</v>
      </c>
      <c r="L287" s="98"/>
    </row>
    <row r="288" spans="1:12" s="68" customFormat="1" ht="15.6">
      <c r="A288" s="63" t="s">
        <v>735</v>
      </c>
      <c r="B288" s="63">
        <v>28</v>
      </c>
      <c r="C288" s="64" t="s">
        <v>195</v>
      </c>
      <c r="D288" s="64" t="s">
        <v>550</v>
      </c>
      <c r="E288" s="65" t="s">
        <v>392</v>
      </c>
      <c r="F288" s="66">
        <v>26</v>
      </c>
      <c r="G288" s="66"/>
      <c r="H288" s="66"/>
      <c r="I288" s="67">
        <v>36377.357638184032</v>
      </c>
      <c r="J288" s="67">
        <v>945811.29859278479</v>
      </c>
      <c r="K288" s="66">
        <v>0.0</v>
      </c>
      <c r="L288" s="98"/>
    </row>
    <row r="289" spans="1:12" s="68" customFormat="1" ht="15.6">
      <c r="A289" s="63"/>
      <c r="B289" s="63"/>
      <c r="C289" s="70" t="s">
        <v>196</v>
      </c>
      <c r="D289" s="64" t="s">
        <v>551</v>
      </c>
      <c r="E289" s="65"/>
      <c r="F289" s="66"/>
      <c r="G289" s="66"/>
      <c r="H289" s="66"/>
      <c r="I289" s="67"/>
      <c r="J289" s="67"/>
      <c r="K289" s="67"/>
      <c r="L289" s="98"/>
    </row>
    <row r="290" spans="1:12" s="68" customFormat="1" ht="41.4">
      <c r="A290" s="63" t="s">
        <v>658</v>
      </c>
      <c r="B290" s="63">
        <v>29</v>
      </c>
      <c r="C290" s="64" t="s">
        <v>51</v>
      </c>
      <c r="D290" s="64" t="s">
        <v>413</v>
      </c>
      <c r="E290" s="65" t="s">
        <v>149</v>
      </c>
      <c r="F290" s="66">
        <v>1.254</v>
      </c>
      <c r="G290" s="66"/>
      <c r="H290" s="66"/>
      <c r="I290" s="67">
        <v>1171371.4977983192</v>
      </c>
      <c r="J290" s="67">
        <v>1468899.8582390924</v>
      </c>
      <c r="K290" s="66">
        <v>0.0</v>
      </c>
      <c r="L290" s="98"/>
    </row>
    <row r="291" spans="1:12" s="68" customFormat="1" ht="41.4">
      <c r="A291" s="63" t="s">
        <v>659</v>
      </c>
      <c r="B291" s="63">
        <v>30</v>
      </c>
      <c r="C291" s="64" t="s">
        <v>52</v>
      </c>
      <c r="D291" s="64" t="s">
        <v>414</v>
      </c>
      <c r="E291" s="65" t="s">
        <v>415</v>
      </c>
      <c r="F291" s="66">
        <v>0.20799999999999999</v>
      </c>
      <c r="G291" s="66"/>
      <c r="H291" s="66"/>
      <c r="I291" s="67">
        <v>114863766.94263284</v>
      </c>
      <c r="J291" s="67">
        <v>23891663.524067629</v>
      </c>
      <c r="K291" s="66">
        <v>0.0</v>
      </c>
      <c r="L291" s="98"/>
    </row>
    <row r="292" spans="1:12" s="68" customFormat="1" ht="27.6">
      <c r="A292" s="63" t="s">
        <v>660</v>
      </c>
      <c r="B292" s="63">
        <v>31</v>
      </c>
      <c r="C292" s="64" t="s">
        <v>142</v>
      </c>
      <c r="D292" s="64" t="s">
        <v>502</v>
      </c>
      <c r="E292" s="65" t="s">
        <v>415</v>
      </c>
      <c r="F292" s="66">
        <v>0.20799999999999999</v>
      </c>
      <c r="G292" s="66"/>
      <c r="H292" s="66"/>
      <c r="I292" s="67">
        <v>4732391.7900324054</v>
      </c>
      <c r="J292" s="67">
        <v>984337.49232674029</v>
      </c>
      <c r="K292" s="66">
        <v>0.0</v>
      </c>
      <c r="L292" s="98"/>
    </row>
    <row r="293" spans="1:12" s="68" customFormat="1" ht="27.6">
      <c r="A293" s="63" t="s">
        <v>661</v>
      </c>
      <c r="B293" s="63">
        <v>32</v>
      </c>
      <c r="C293" s="64" t="s">
        <v>157</v>
      </c>
      <c r="D293" s="64" t="s">
        <v>511</v>
      </c>
      <c r="E293" s="65" t="s">
        <v>415</v>
      </c>
      <c r="F293" s="66">
        <v>0.20799999999999999</v>
      </c>
      <c r="G293" s="66"/>
      <c r="H293" s="66"/>
      <c r="I293" s="67">
        <v>13220650.080090528</v>
      </c>
      <c r="J293" s="67">
        <v>2749895.2166588297</v>
      </c>
      <c r="K293" s="66">
        <v>0.0</v>
      </c>
      <c r="L293" s="98"/>
    </row>
    <row r="294" spans="1:12" s="68" customFormat="1" ht="27.6">
      <c r="A294" s="63" t="s">
        <v>662</v>
      </c>
      <c r="B294" s="63">
        <v>33</v>
      </c>
      <c r="C294" s="64" t="s">
        <v>143</v>
      </c>
      <c r="D294" s="64" t="s">
        <v>503</v>
      </c>
      <c r="E294" s="65" t="s">
        <v>149</v>
      </c>
      <c r="F294" s="66">
        <v>1.254</v>
      </c>
      <c r="G294" s="66"/>
      <c r="H294" s="66"/>
      <c r="I294" s="67">
        <v>1793277.9778179687</v>
      </c>
      <c r="J294" s="67">
        <v>2248770.584183733</v>
      </c>
      <c r="K294" s="66">
        <v>0.0</v>
      </c>
      <c r="L294" s="98"/>
    </row>
    <row r="295" spans="1:12" s="68" customFormat="1" ht="15.6">
      <c r="A295" s="63" t="s">
        <v>663</v>
      </c>
      <c r="B295" s="63">
        <v>34</v>
      </c>
      <c r="C295" s="64" t="s">
        <v>55</v>
      </c>
      <c r="D295" s="64" t="s">
        <v>418</v>
      </c>
      <c r="E295" s="65" t="s">
        <v>145</v>
      </c>
      <c r="F295" s="66">
        <v>0.188</v>
      </c>
      <c r="G295" s="66"/>
      <c r="H295" s="66"/>
      <c r="I295" s="67">
        <v>31106460.200125102</v>
      </c>
      <c r="J295" s="67">
        <v>5848014.5176235195</v>
      </c>
      <c r="K295" s="66">
        <v>0.0</v>
      </c>
      <c r="L295" s="98"/>
    </row>
    <row r="296" spans="1:12" s="68" customFormat="1" ht="15.6">
      <c r="A296" s="63" t="s">
        <v>664</v>
      </c>
      <c r="B296" s="63">
        <v>35</v>
      </c>
      <c r="C296" s="64" t="s">
        <v>56</v>
      </c>
      <c r="D296" s="64" t="s">
        <v>419</v>
      </c>
      <c r="E296" s="65" t="s">
        <v>145</v>
      </c>
      <c r="F296" s="66">
        <v>0.40100000000000002</v>
      </c>
      <c r="G296" s="66"/>
      <c r="H296" s="66"/>
      <c r="I296" s="67">
        <v>30952519.587396916</v>
      </c>
      <c r="J296" s="67">
        <v>12411960.354546163</v>
      </c>
      <c r="K296" s="66">
        <v>0.0</v>
      </c>
      <c r="L296" s="98"/>
    </row>
    <row r="297" spans="1:12" s="68" customFormat="1" ht="15.6">
      <c r="A297" s="63" t="s">
        <v>736</v>
      </c>
      <c r="B297" s="63">
        <v>36</v>
      </c>
      <c r="C297" s="64" t="s">
        <v>197</v>
      </c>
      <c r="D297" s="64" t="s">
        <v>552</v>
      </c>
      <c r="E297" s="65" t="s">
        <v>144</v>
      </c>
      <c r="F297" s="66">
        <v>5.88</v>
      </c>
      <c r="G297" s="66"/>
      <c r="H297" s="66"/>
      <c r="I297" s="67">
        <v>1584616.354976957</v>
      </c>
      <c r="J297" s="67">
        <v>9317544.1672645062</v>
      </c>
      <c r="K297" s="66">
        <v>0.0</v>
      </c>
      <c r="L297" s="98"/>
    </row>
    <row r="298" spans="1:12" s="68" customFormat="1" ht="15.6">
      <c r="A298" s="63" t="s">
        <v>717</v>
      </c>
      <c r="B298" s="63">
        <v>37</v>
      </c>
      <c r="C298" s="64" t="s">
        <v>198</v>
      </c>
      <c r="D298" s="64" t="s">
        <v>553</v>
      </c>
      <c r="E298" s="65" t="s">
        <v>146</v>
      </c>
      <c r="F298" s="66">
        <v>0.377</v>
      </c>
      <c r="G298" s="66"/>
      <c r="H298" s="66"/>
      <c r="I298" s="67">
        <v>20942477.426040601</v>
      </c>
      <c r="J298" s="67">
        <v>7895313.9896173067</v>
      </c>
      <c r="K298" s="66">
        <v>0.0</v>
      </c>
      <c r="L298" s="98"/>
    </row>
    <row r="299" spans="1:12" s="68" customFormat="1" ht="15.6">
      <c r="A299" s="63" t="s">
        <v>716</v>
      </c>
      <c r="B299" s="63">
        <v>38</v>
      </c>
      <c r="C299" s="64" t="s">
        <v>199</v>
      </c>
      <c r="D299" s="64" t="s">
        <v>554</v>
      </c>
      <c r="E299" s="65" t="s">
        <v>146</v>
      </c>
      <c r="F299" s="66">
        <v>0.14799999999999999</v>
      </c>
      <c r="G299" s="66"/>
      <c r="H299" s="66"/>
      <c r="I299" s="67">
        <v>21340327.077337436</v>
      </c>
      <c r="J299" s="67">
        <v>3158368.4074459407</v>
      </c>
      <c r="K299" s="66">
        <v>0.0</v>
      </c>
      <c r="L299" s="98"/>
    </row>
    <row r="300" spans="1:12" s="68" customFormat="1" ht="15.6">
      <c r="A300" s="63" t="s">
        <v>670</v>
      </c>
      <c r="B300" s="63">
        <v>39</v>
      </c>
      <c r="C300" s="64" t="s">
        <v>200</v>
      </c>
      <c r="D300" s="64" t="s">
        <v>555</v>
      </c>
      <c r="E300" s="65" t="s">
        <v>149</v>
      </c>
      <c r="F300" s="66">
        <v>0.16700000000000001</v>
      </c>
      <c r="G300" s="66"/>
      <c r="H300" s="66"/>
      <c r="I300" s="67">
        <v>5847333.4887753464</v>
      </c>
      <c r="J300" s="67">
        <v>976504.69262548292</v>
      </c>
      <c r="K300" s="66">
        <v>0.0</v>
      </c>
      <c r="L300" s="98"/>
    </row>
    <row r="301" spans="1:12" s="68" customFormat="1" ht="15.6">
      <c r="A301" s="63"/>
      <c r="B301" s="63"/>
      <c r="C301" s="70" t="s">
        <v>201</v>
      </c>
      <c r="D301" s="64" t="s">
        <v>556</v>
      </c>
      <c r="E301" s="65"/>
      <c r="F301" s="66"/>
      <c r="G301" s="66"/>
      <c r="H301" s="66"/>
      <c r="I301" s="67"/>
      <c r="J301" s="67"/>
      <c r="K301" s="67"/>
      <c r="L301" s="98"/>
    </row>
    <row r="302" spans="1:12" s="68" customFormat="1" ht="27.6">
      <c r="A302" s="63" t="s">
        <v>692</v>
      </c>
      <c r="B302" s="63">
        <v>40</v>
      </c>
      <c r="C302" s="64" t="s">
        <v>202</v>
      </c>
      <c r="D302" s="64" t="s">
        <v>557</v>
      </c>
      <c r="E302" s="65" t="s">
        <v>144</v>
      </c>
      <c r="F302" s="66">
        <v>8.32</v>
      </c>
      <c r="G302" s="66"/>
      <c r="H302" s="66"/>
      <c r="I302" s="67">
        <v>1301106.6825224052</v>
      </c>
      <c r="J302" s="67">
        <v>10825207.598586412</v>
      </c>
      <c r="K302" s="66">
        <v>0.0</v>
      </c>
      <c r="L302" s="98"/>
    </row>
    <row r="303" spans="1:12" s="68" customFormat="1" ht="27.6">
      <c r="A303" s="63" t="s">
        <v>698</v>
      </c>
      <c r="B303" s="63">
        <v>41</v>
      </c>
      <c r="C303" s="64" t="s">
        <v>203</v>
      </c>
      <c r="D303" s="64" t="s">
        <v>558</v>
      </c>
      <c r="E303" s="65" t="s">
        <v>144</v>
      </c>
      <c r="F303" s="66">
        <v>6.1440000000000001</v>
      </c>
      <c r="G303" s="66"/>
      <c r="H303" s="66"/>
      <c r="I303" s="67">
        <v>1290150.7933494374</v>
      </c>
      <c r="J303" s="67">
        <v>7926686.4743389441</v>
      </c>
      <c r="K303" s="66">
        <v>6.144000000000001</v>
      </c>
      <c r="L303" s="98"/>
    </row>
    <row r="304" spans="1:12" s="68" customFormat="1" ht="15.6">
      <c r="A304" s="63" t="s">
        <v>670</v>
      </c>
      <c r="B304" s="63">
        <v>42</v>
      </c>
      <c r="C304" s="64" t="s">
        <v>176</v>
      </c>
      <c r="D304" s="64" t="s">
        <v>530</v>
      </c>
      <c r="E304" s="65" t="s">
        <v>149</v>
      </c>
      <c r="F304" s="66">
        <v>0.26900000000000002</v>
      </c>
      <c r="G304" s="66"/>
      <c r="H304" s="66"/>
      <c r="I304" s="67">
        <v>5847333.4887753464</v>
      </c>
      <c r="J304" s="67">
        <v>1572932.7084805684</v>
      </c>
      <c r="K304" s="66">
        <v>0.0</v>
      </c>
      <c r="L304" s="98"/>
    </row>
    <row r="305" spans="1:12" s="68" customFormat="1" ht="15.6">
      <c r="A305" s="63" t="s">
        <v>668</v>
      </c>
      <c r="B305" s="63">
        <v>43</v>
      </c>
      <c r="C305" s="64" t="s">
        <v>62</v>
      </c>
      <c r="D305" s="64" t="s">
        <v>425</v>
      </c>
      <c r="E305" s="65" t="s">
        <v>144</v>
      </c>
      <c r="F305" s="66">
        <v>2.88</v>
      </c>
      <c r="G305" s="66"/>
      <c r="H305" s="66"/>
      <c r="I305" s="67">
        <v>847049.03055282054</v>
      </c>
      <c r="J305" s="67">
        <v>2439501.207992123</v>
      </c>
      <c r="K305" s="66">
        <v>2.880000000000001</v>
      </c>
      <c r="L305" s="98"/>
    </row>
    <row r="306" spans="1:12" s="68" customFormat="1" ht="15.6">
      <c r="A306" s="63">
        <v>0</v>
      </c>
      <c r="B306" s="63"/>
      <c r="C306" s="70" t="s">
        <v>204</v>
      </c>
      <c r="D306" s="64" t="s">
        <v>559</v>
      </c>
      <c r="E306" s="65"/>
      <c r="F306" s="66"/>
      <c r="G306" s="66"/>
      <c r="H306" s="66"/>
      <c r="I306" s="67"/>
      <c r="J306" s="67"/>
      <c r="K306" s="67"/>
      <c r="L306" s="98"/>
    </row>
    <row r="307" spans="1:12" s="68" customFormat="1" ht="27.6">
      <c r="A307" s="63" t="s">
        <v>697</v>
      </c>
      <c r="B307" s="63">
        <v>44</v>
      </c>
      <c r="C307" s="64" t="s">
        <v>175</v>
      </c>
      <c r="D307" s="64" t="s">
        <v>529</v>
      </c>
      <c r="E307" s="65" t="s">
        <v>152</v>
      </c>
      <c r="F307" s="66">
        <v>14.718999999999999</v>
      </c>
      <c r="G307" s="66"/>
      <c r="H307" s="66"/>
      <c r="I307" s="67">
        <v>249922.24815330002</v>
      </c>
      <c r="J307" s="67">
        <v>3678605.5705684228</v>
      </c>
      <c r="K307" s="66">
        <v>14.71932</v>
      </c>
      <c r="L307" s="98"/>
    </row>
    <row r="308" spans="1:12" s="68" customFormat="1" ht="27.6">
      <c r="A308" s="63" t="s">
        <v>641</v>
      </c>
      <c r="B308" s="63">
        <v>45</v>
      </c>
      <c r="C308" s="64" t="s">
        <v>119</v>
      </c>
      <c r="D308" s="64" t="s">
        <v>480</v>
      </c>
      <c r="E308" s="65" t="s">
        <v>145</v>
      </c>
      <c r="F308" s="66">
        <v>2.7040000000000002</v>
      </c>
      <c r="G308" s="66"/>
      <c r="H308" s="66"/>
      <c r="I308" s="67">
        <v>2227071.2377586598</v>
      </c>
      <c r="J308" s="67">
        <v>6022000.6268994166</v>
      </c>
      <c r="K308" s="66">
        <v>2.7040067999999997</v>
      </c>
      <c r="L308" s="98"/>
    </row>
    <row r="309" spans="1:12" s="68" customFormat="1" ht="27.6">
      <c r="A309" s="63" t="s">
        <v>691</v>
      </c>
      <c r="B309" s="63">
        <v>46</v>
      </c>
      <c r="C309" s="64" t="s">
        <v>141</v>
      </c>
      <c r="D309" s="64" t="s">
        <v>325</v>
      </c>
      <c r="E309" s="65" t="s">
        <v>145</v>
      </c>
      <c r="F309" s="66">
        <v>0.54500000000000004</v>
      </c>
      <c r="G309" s="66"/>
      <c r="H309" s="66"/>
      <c r="I309" s="67">
        <v>3406602.6497878134</v>
      </c>
      <c r="J309" s="67">
        <v>1856598.4441343585</v>
      </c>
      <c r="K309" s="66">
        <v>0.5448959999999999</v>
      </c>
      <c r="L309" s="98"/>
    </row>
    <row r="310" spans="1:12" s="68" customFormat="1" ht="27.6">
      <c r="A310" s="63" t="s">
        <v>643</v>
      </c>
      <c r="B310" s="63">
        <v>47</v>
      </c>
      <c r="C310" s="64" t="s">
        <v>36</v>
      </c>
      <c r="D310" s="64" t="s">
        <v>399</v>
      </c>
      <c r="E310" s="65" t="s">
        <v>145</v>
      </c>
      <c r="F310" s="66">
        <v>0.50700000000000001</v>
      </c>
      <c r="G310" s="66"/>
      <c r="H310" s="66"/>
      <c r="I310" s="67">
        <v>1171462.5022504972</v>
      </c>
      <c r="J310" s="67">
        <v>593931.4886410021</v>
      </c>
      <c r="K310" s="66">
        <v>0.50688</v>
      </c>
      <c r="L310" s="98"/>
    </row>
    <row r="311" spans="1:12" s="23" customFormat="1" ht="27.6">
      <c r="A311" s="19"/>
      <c r="B311" s="19"/>
      <c r="C311" s="20" t="s">
        <v>20</v>
      </c>
      <c r="D311" s="20" t="s">
        <v>560</v>
      </c>
      <c r="E311" s="21"/>
      <c r="F311" s="36"/>
      <c r="G311" s="36"/>
      <c r="H311" s="36"/>
      <c r="I311" s="22"/>
      <c r="J311" s="22">
        <v>12554244599.58757</v>
      </c>
      <c r="K311" s="22"/>
      <c r="L311" s="97"/>
    </row>
    <row r="312" spans="1:12" ht="15.6">
      <c r="A312" s="2"/>
      <c r="B312" s="2"/>
      <c r="C312" s="12" t="s">
        <v>50</v>
      </c>
      <c r="D312" s="12" t="s">
        <v>507</v>
      </c>
      <c r="E312" s="13"/>
      <c r="F312" s="30"/>
      <c r="G312" s="30"/>
      <c r="H312" s="30"/>
      <c r="I312" s="14"/>
      <c r="J312" s="14"/>
      <c r="K312" s="14"/>
      <c r="L312" s="93"/>
    </row>
    <row r="313" spans="1:12" ht="15.6">
      <c r="A313" s="2"/>
      <c r="B313" s="2"/>
      <c r="C313" s="12" t="s">
        <v>29</v>
      </c>
      <c r="D313" s="12" t="s">
        <v>349</v>
      </c>
      <c r="E313" s="13"/>
      <c r="F313" s="30"/>
      <c r="G313" s="30"/>
      <c r="H313" s="30"/>
      <c r="I313" s="14"/>
      <c r="J313" s="14"/>
      <c r="K313" s="14"/>
      <c r="L313" s="93"/>
    </row>
    <row r="314" spans="1:12" ht="15.6">
      <c r="A314" s="2" t="s">
        <v>722</v>
      </c>
      <c r="B314" s="2">
        <v>1</v>
      </c>
      <c r="C314" s="12" t="s">
        <v>154</v>
      </c>
      <c r="D314" s="12" t="s">
        <v>508</v>
      </c>
      <c r="E314" s="13" t="s">
        <v>145</v>
      </c>
      <c r="F314" s="30">
        <v>5.6340000000000003</v>
      </c>
      <c r="G314" s="30"/>
      <c r="H314" s="30"/>
      <c r="I314" s="14">
        <v>1554612.8376480625</v>
      </c>
      <c r="J314" s="14">
        <v>8758688.7273091841</v>
      </c>
      <c r="K314" s="30">
        <v>5.634</v>
      </c>
      <c r="L314" s="93"/>
    </row>
    <row r="315" spans="1:12" ht="27.6">
      <c r="A315" s="2" t="s">
        <v>636</v>
      </c>
      <c r="B315" s="2">
        <v>2</v>
      </c>
      <c r="C315" s="12" t="s">
        <v>30</v>
      </c>
      <c r="D315" s="12" t="s">
        <v>393</v>
      </c>
      <c r="E315" s="13" t="s">
        <v>145</v>
      </c>
      <c r="F315" s="30">
        <v>13.172000000000001</v>
      </c>
      <c r="G315" s="30"/>
      <c r="H315" s="30"/>
      <c r="I315" s="14">
        <v>1836887.8439921292</v>
      </c>
      <c r="J315" s="14">
        <v>24195486.681064326</v>
      </c>
      <c r="K315" s="30">
        <v>12.898019</v>
      </c>
      <c r="L315" s="93"/>
    </row>
    <row r="316" spans="1:12" ht="27.6">
      <c r="A316" s="2" t="s">
        <v>637</v>
      </c>
      <c r="B316" s="2">
        <v>3</v>
      </c>
      <c r="C316" s="12" t="s">
        <v>31</v>
      </c>
      <c r="D316" s="12" t="s">
        <v>394</v>
      </c>
      <c r="E316" s="13" t="s">
        <v>145</v>
      </c>
      <c r="F316" s="30">
        <v>122.99</v>
      </c>
      <c r="G316" s="30"/>
      <c r="H316" s="30"/>
      <c r="I316" s="14">
        <v>2188408.2087078919</v>
      </c>
      <c r="J316" s="14">
        <v>269152325.5889836</v>
      </c>
      <c r="K316" s="30">
        <v>93.05120850000002</v>
      </c>
      <c r="L316" s="93"/>
    </row>
    <row r="317" spans="1:12" ht="27.6">
      <c r="A317" s="2" t="s">
        <v>639</v>
      </c>
      <c r="B317" s="2">
        <v>4</v>
      </c>
      <c r="C317" s="12" t="s">
        <v>32</v>
      </c>
      <c r="D317" s="12" t="s">
        <v>395</v>
      </c>
      <c r="E317" s="13" t="s">
        <v>152</v>
      </c>
      <c r="F317" s="30">
        <v>104.744</v>
      </c>
      <c r="G317" s="30"/>
      <c r="H317" s="30"/>
      <c r="I317" s="14">
        <v>676322.03507297847</v>
      </c>
      <c r="J317" s="14">
        <v>70840675.241684049</v>
      </c>
      <c r="K317" s="30">
        <v>0.0</v>
      </c>
      <c r="L317" s="93"/>
    </row>
    <row r="318" spans="1:12" ht="55.2">
      <c r="A318" s="2" t="s">
        <v>638</v>
      </c>
      <c r="B318" s="2">
        <v>5</v>
      </c>
      <c r="C318" s="12" t="s">
        <v>205</v>
      </c>
      <c r="D318" s="12" t="s">
        <v>561</v>
      </c>
      <c r="E318" s="13" t="s">
        <v>145</v>
      </c>
      <c r="F318" s="30">
        <v>225.387</v>
      </c>
      <c r="G318" s="30"/>
      <c r="H318" s="30"/>
      <c r="I318" s="14">
        <v>16218892.581953956</v>
      </c>
      <c r="J318" s="14">
        <v>3655527542.3688564</v>
      </c>
      <c r="K318" s="30">
        <v>51.37135412499999</v>
      </c>
      <c r="L318" s="93"/>
    </row>
    <row r="319" spans="1:12" ht="15.6">
      <c r="A319" s="2" t="s">
        <v>640</v>
      </c>
      <c r="B319" s="2">
        <v>6</v>
      </c>
      <c r="C319" s="12" t="s">
        <v>33</v>
      </c>
      <c r="D319" s="12" t="s">
        <v>396</v>
      </c>
      <c r="E319" s="13" t="s">
        <v>145</v>
      </c>
      <c r="F319" s="30">
        <v>225.387</v>
      </c>
      <c r="G319" s="30"/>
      <c r="H319" s="30"/>
      <c r="I319" s="14">
        <v>2013784.7770755608</v>
      </c>
      <c r="J319" s="14">
        <v>453880909.55072939</v>
      </c>
      <c r="K319" s="30">
        <v>51.37135412499999</v>
      </c>
      <c r="L319" s="93"/>
    </row>
    <row r="320" spans="1:12" ht="27.6">
      <c r="A320" s="2" t="s">
        <v>641</v>
      </c>
      <c r="B320" s="2">
        <v>7</v>
      </c>
      <c r="C320" s="12" t="s">
        <v>34</v>
      </c>
      <c r="D320" s="12" t="s">
        <v>397</v>
      </c>
      <c r="E320" s="13" t="s">
        <v>145</v>
      </c>
      <c r="F320" s="30">
        <v>70.180999999999997</v>
      </c>
      <c r="G320" s="30"/>
      <c r="H320" s="30"/>
      <c r="I320" s="14">
        <v>2227071.2377586598</v>
      </c>
      <c r="J320" s="14">
        <v>156298086.53714049</v>
      </c>
      <c r="K320" s="30">
        <v>52.3661975</v>
      </c>
      <c r="L320" s="93"/>
    </row>
    <row r="321" spans="1:12" ht="27.6">
      <c r="A321" s="2" t="s">
        <v>642</v>
      </c>
      <c r="B321" s="2">
        <v>8</v>
      </c>
      <c r="C321" s="12" t="s">
        <v>35</v>
      </c>
      <c r="D321" s="12" t="s">
        <v>398</v>
      </c>
      <c r="E321" s="13" t="s">
        <v>145</v>
      </c>
      <c r="F321" s="30">
        <v>6.2009999999999996</v>
      </c>
      <c r="G321" s="30"/>
      <c r="H321" s="30"/>
      <c r="I321" s="14">
        <v>2625420.8105833116</v>
      </c>
      <c r="J321" s="14">
        <v>16280234.446427114</v>
      </c>
      <c r="K321" s="30">
        <v>6.200999999999999</v>
      </c>
      <c r="L321" s="93"/>
    </row>
    <row r="322" spans="1:12" ht="27.6">
      <c r="A322" s="2" t="s">
        <v>643</v>
      </c>
      <c r="B322" s="2">
        <v>9</v>
      </c>
      <c r="C322" s="12" t="s">
        <v>36</v>
      </c>
      <c r="D322" s="12" t="s">
        <v>399</v>
      </c>
      <c r="E322" s="13" t="s">
        <v>145</v>
      </c>
      <c r="F322" s="30">
        <v>59.506</v>
      </c>
      <c r="G322" s="30"/>
      <c r="H322" s="30"/>
      <c r="I322" s="14">
        <v>1171462.5022504972</v>
      </c>
      <c r="J322" s="14">
        <v>69709047.658918083</v>
      </c>
      <c r="K322" s="30">
        <v>32.135855</v>
      </c>
      <c r="L322" s="93"/>
    </row>
    <row r="323" spans="1:12" ht="27.6">
      <c r="A323" s="2" t="s">
        <v>644</v>
      </c>
      <c r="B323" s="2">
        <v>10</v>
      </c>
      <c r="C323" s="12" t="s">
        <v>37</v>
      </c>
      <c r="D323" s="12" t="s">
        <v>400</v>
      </c>
      <c r="E323" s="13" t="s">
        <v>145</v>
      </c>
      <c r="F323" s="30">
        <v>53.807000000000002</v>
      </c>
      <c r="G323" s="30"/>
      <c r="H323" s="30"/>
      <c r="I323" s="14">
        <v>1425673.6652315694</v>
      </c>
      <c r="J323" s="14">
        <v>76711222.905115053</v>
      </c>
      <c r="K323" s="30">
        <v>41.04716249999999</v>
      </c>
      <c r="L323" s="93"/>
    </row>
    <row r="324" spans="1:12" ht="15.6">
      <c r="A324" s="2"/>
      <c r="B324" s="2"/>
      <c r="C324" s="12" t="s">
        <v>206</v>
      </c>
      <c r="D324" s="12" t="s">
        <v>562</v>
      </c>
      <c r="E324" s="13"/>
      <c r="F324" s="30"/>
      <c r="G324" s="30"/>
      <c r="H324" s="30"/>
      <c r="I324" s="14"/>
      <c r="J324" s="14"/>
      <c r="K324" s="14"/>
      <c r="L324" s="93"/>
    </row>
    <row r="325" spans="1:12" ht="15.6">
      <c r="A325" s="2" t="s">
        <v>720</v>
      </c>
      <c r="B325" s="2">
        <v>11</v>
      </c>
      <c r="C325" s="12" t="s">
        <v>207</v>
      </c>
      <c r="D325" s="12" t="s">
        <v>563</v>
      </c>
      <c r="E325" s="13" t="s">
        <v>145</v>
      </c>
      <c r="F325" s="30">
        <v>4.5979999999999999</v>
      </c>
      <c r="G325" s="30"/>
      <c r="H325" s="30"/>
      <c r="I325" s="14">
        <v>1732464.9981175729</v>
      </c>
      <c r="J325" s="14">
        <v>7965874.0613445994</v>
      </c>
      <c r="K325" s="30">
        <v>0.0</v>
      </c>
      <c r="L325" s="93"/>
    </row>
    <row r="326" spans="1:12" ht="27.6">
      <c r="A326" s="2" t="s">
        <v>721</v>
      </c>
      <c r="B326" s="2">
        <v>12</v>
      </c>
      <c r="C326" s="12" t="s">
        <v>208</v>
      </c>
      <c r="D326" s="12" t="s">
        <v>564</v>
      </c>
      <c r="E326" s="13" t="s">
        <v>28</v>
      </c>
      <c r="F326" s="30">
        <v>4.5979999999999999</v>
      </c>
      <c r="G326" s="30"/>
      <c r="H326" s="30"/>
      <c r="I326" s="14">
        <v>536500.92932603229</v>
      </c>
      <c r="J326" s="14">
        <v>2466831.2730410965</v>
      </c>
      <c r="K326" s="30">
        <v>0.0</v>
      </c>
      <c r="L326" s="93"/>
    </row>
    <row r="327" spans="1:12" ht="15.6">
      <c r="A327" s="2"/>
      <c r="B327" s="2"/>
      <c r="C327" s="15" t="s">
        <v>209</v>
      </c>
      <c r="D327" s="12" t="s">
        <v>565</v>
      </c>
      <c r="E327" s="13"/>
      <c r="F327" s="30"/>
      <c r="G327" s="30"/>
      <c r="H327" s="30"/>
      <c r="I327" s="14"/>
      <c r="J327" s="14"/>
      <c r="K327" s="14"/>
      <c r="L327" s="93"/>
    </row>
    <row r="328" spans="1:12" ht="15.6">
      <c r="A328" s="2" t="s">
        <v>649</v>
      </c>
      <c r="B328" s="2">
        <v>13</v>
      </c>
      <c r="C328" s="12" t="s">
        <v>42</v>
      </c>
      <c r="D328" s="12" t="s">
        <v>405</v>
      </c>
      <c r="E328" s="13" t="s">
        <v>145</v>
      </c>
      <c r="F328" s="30">
        <v>18.806000000000001</v>
      </c>
      <c r="G328" s="30"/>
      <c r="H328" s="30"/>
      <c r="I328" s="14">
        <v>1529705.7655680522</v>
      </c>
      <c r="J328" s="14">
        <v>28767646.627272792</v>
      </c>
      <c r="K328" s="30">
        <v>18.532019</v>
      </c>
      <c r="L328" s="93"/>
    </row>
    <row r="329" spans="1:12" ht="27.6">
      <c r="A329" s="2" t="s">
        <v>650</v>
      </c>
      <c r="B329" s="2">
        <v>14</v>
      </c>
      <c r="C329" s="12" t="s">
        <v>156</v>
      </c>
      <c r="D329" s="12" t="s">
        <v>510</v>
      </c>
      <c r="E329" s="13" t="s">
        <v>28</v>
      </c>
      <c r="F329" s="30">
        <v>18.806000000000001</v>
      </c>
      <c r="G329" s="30"/>
      <c r="H329" s="30"/>
      <c r="I329" s="14">
        <v>467157.2717940961</v>
      </c>
      <c r="J329" s="14">
        <v>8785359.6533597726</v>
      </c>
      <c r="K329" s="30">
        <v>18.532019</v>
      </c>
      <c r="L329" s="93"/>
    </row>
    <row r="330" spans="1:12" ht="15.6">
      <c r="A330" s="2"/>
      <c r="B330" s="2"/>
      <c r="C330" s="15" t="s">
        <v>210</v>
      </c>
      <c r="D330" s="12" t="s">
        <v>566</v>
      </c>
      <c r="E330" s="13"/>
      <c r="F330" s="30"/>
      <c r="G330" s="30"/>
      <c r="H330" s="30"/>
      <c r="I330" s="14"/>
      <c r="J330" s="14"/>
      <c r="K330" s="14"/>
      <c r="L330" s="93"/>
    </row>
    <row r="331" spans="1:12" ht="15.6">
      <c r="A331" s="2" t="s">
        <v>694</v>
      </c>
      <c r="B331" s="2">
        <v>15</v>
      </c>
      <c r="C331" s="12" t="s">
        <v>211</v>
      </c>
      <c r="D331" s="12" t="s">
        <v>567</v>
      </c>
      <c r="E331" s="13" t="s">
        <v>145</v>
      </c>
      <c r="F331" s="30">
        <v>226.434</v>
      </c>
      <c r="G331" s="30"/>
      <c r="H331" s="30"/>
      <c r="I331" s="14">
        <v>2216834.2758747614</v>
      </c>
      <c r="J331" s="14">
        <v>501966652.42342573</v>
      </c>
      <c r="K331" s="30">
        <v>51.133819974788985</v>
      </c>
      <c r="L331" s="93"/>
    </row>
    <row r="332" spans="1:12" ht="27.6">
      <c r="A332" s="2" t="s">
        <v>695</v>
      </c>
      <c r="B332" s="2">
        <v>16</v>
      </c>
      <c r="C332" s="12" t="s">
        <v>212</v>
      </c>
      <c r="D332" s="12" t="s">
        <v>568</v>
      </c>
      <c r="E332" s="13" t="s">
        <v>28</v>
      </c>
      <c r="F332" s="30">
        <v>226.434</v>
      </c>
      <c r="G332" s="30"/>
      <c r="H332" s="30"/>
      <c r="I332" s="14">
        <v>662414.41273928469</v>
      </c>
      <c r="J332" s="14">
        <v>149993145.13420719</v>
      </c>
      <c r="K332" s="30">
        <v>51.133819974788985</v>
      </c>
      <c r="L332" s="93"/>
    </row>
    <row r="333" spans="1:12" ht="15.6">
      <c r="A333" s="2"/>
      <c r="B333" s="2"/>
      <c r="C333" s="15" t="s">
        <v>213</v>
      </c>
      <c r="D333" s="12" t="s">
        <v>569</v>
      </c>
      <c r="E333" s="13"/>
      <c r="F333" s="30"/>
      <c r="G333" s="30"/>
      <c r="H333" s="30"/>
      <c r="I333" s="14"/>
      <c r="J333" s="14"/>
      <c r="K333" s="14"/>
      <c r="L333" s="93"/>
    </row>
    <row r="334" spans="1:12" ht="27.6">
      <c r="A334" s="2" t="s">
        <v>653</v>
      </c>
      <c r="B334" s="2">
        <v>17</v>
      </c>
      <c r="C334" s="12" t="s">
        <v>44</v>
      </c>
      <c r="D334" s="12" t="s">
        <v>407</v>
      </c>
      <c r="E334" s="13" t="s">
        <v>145</v>
      </c>
      <c r="F334" s="30">
        <v>133.01300000000001</v>
      </c>
      <c r="G334" s="30"/>
      <c r="H334" s="30"/>
      <c r="I334" s="14">
        <v>1333705.1741035152</v>
      </c>
      <c r="J334" s="14">
        <v>177400126.32303089</v>
      </c>
      <c r="K334" s="30">
        <v>115.19819750000003</v>
      </c>
      <c r="L334" s="93"/>
    </row>
    <row r="335" spans="1:12" ht="27.6">
      <c r="A335" s="2"/>
      <c r="B335" s="2"/>
      <c r="C335" s="12" t="s">
        <v>45</v>
      </c>
      <c r="D335" s="12" t="s">
        <v>408</v>
      </c>
      <c r="E335" s="13"/>
      <c r="F335" s="30"/>
      <c r="G335" s="30"/>
      <c r="H335" s="30"/>
      <c r="I335" s="14"/>
      <c r="J335" s="14"/>
      <c r="K335" s="14"/>
      <c r="L335" s="93"/>
    </row>
    <row r="336" spans="1:12" ht="15.6">
      <c r="A336" s="2" t="s">
        <v>654</v>
      </c>
      <c r="B336" s="2">
        <v>18</v>
      </c>
      <c r="C336" s="12" t="s">
        <v>46</v>
      </c>
      <c r="D336" s="12" t="s">
        <v>409</v>
      </c>
      <c r="E336" s="13" t="s">
        <v>145</v>
      </c>
      <c r="F336" s="30">
        <v>7.0209999999999999</v>
      </c>
      <c r="G336" s="30"/>
      <c r="H336" s="30"/>
      <c r="I336" s="14">
        <v>190467.36151284951</v>
      </c>
      <c r="J336" s="14">
        <v>1337271.3451817164</v>
      </c>
      <c r="K336" s="30">
        <v>5.5596057</v>
      </c>
      <c r="L336" s="93"/>
    </row>
    <row r="337" spans="1:12" ht="15.6">
      <c r="A337" s="2" t="s">
        <v>655</v>
      </c>
      <c r="B337" s="2">
        <v>19</v>
      </c>
      <c r="C337" s="12" t="s">
        <v>47</v>
      </c>
      <c r="D337" s="12" t="s">
        <v>410</v>
      </c>
      <c r="E337" s="13" t="s">
        <v>145</v>
      </c>
      <c r="F337" s="30">
        <v>67.930000000000007</v>
      </c>
      <c r="G337" s="30"/>
      <c r="H337" s="30"/>
      <c r="I337" s="14">
        <v>267068.36559953901</v>
      </c>
      <c r="J337" s="14">
        <v>18141954.075176686</v>
      </c>
      <c r="K337" s="30">
        <v>15.411406237499996</v>
      </c>
      <c r="L337" s="93"/>
    </row>
    <row r="338" spans="1:12" ht="15.6">
      <c r="A338" s="2" t="s">
        <v>656</v>
      </c>
      <c r="B338" s="2">
        <v>20</v>
      </c>
      <c r="C338" s="12" t="s">
        <v>48</v>
      </c>
      <c r="D338" s="12" t="s">
        <v>411</v>
      </c>
      <c r="E338" s="13" t="s">
        <v>149</v>
      </c>
      <c r="F338" s="30">
        <v>14.065</v>
      </c>
      <c r="G338" s="30"/>
      <c r="H338" s="30"/>
      <c r="I338" s="14">
        <v>1543637.4150644999</v>
      </c>
      <c r="J338" s="14">
        <v>21711260.242882192</v>
      </c>
      <c r="K338" s="30">
        <v>0.0</v>
      </c>
      <c r="L338" s="93"/>
    </row>
    <row r="339" spans="1:12" ht="15.6">
      <c r="A339" s="2" t="s">
        <v>657</v>
      </c>
      <c r="B339" s="2">
        <v>21</v>
      </c>
      <c r="C339" s="12" t="s">
        <v>49</v>
      </c>
      <c r="D339" s="12" t="s">
        <v>412</v>
      </c>
      <c r="E339" s="13" t="s">
        <v>149</v>
      </c>
      <c r="F339" s="30">
        <v>14.065</v>
      </c>
      <c r="G339" s="30"/>
      <c r="H339" s="30"/>
      <c r="I339" s="14">
        <v>24502.1811915</v>
      </c>
      <c r="J339" s="14">
        <v>344623.17845844751</v>
      </c>
      <c r="K339" s="30">
        <v>0.0</v>
      </c>
      <c r="L339" s="93"/>
    </row>
    <row r="340" spans="1:12" ht="15.6">
      <c r="A340" s="2"/>
      <c r="B340" s="2"/>
      <c r="C340" s="15" t="s">
        <v>50</v>
      </c>
      <c r="D340" s="12" t="s">
        <v>350</v>
      </c>
      <c r="E340" s="13"/>
      <c r="F340" s="30"/>
      <c r="G340" s="30"/>
      <c r="H340" s="30"/>
      <c r="I340" s="14"/>
      <c r="J340" s="14"/>
      <c r="K340" s="14"/>
      <c r="L340" s="93"/>
    </row>
    <row r="341" spans="1:12" ht="41.4">
      <c r="A341" s="2" t="s">
        <v>658</v>
      </c>
      <c r="B341" s="2">
        <v>22</v>
      </c>
      <c r="C341" s="12" t="s">
        <v>51</v>
      </c>
      <c r="D341" s="12" t="s">
        <v>413</v>
      </c>
      <c r="E341" s="13" t="s">
        <v>149</v>
      </c>
      <c r="F341" s="30">
        <v>141.09200000000001</v>
      </c>
      <c r="G341" s="30"/>
      <c r="H341" s="30"/>
      <c r="I341" s="14">
        <v>1171371.4977983192</v>
      </c>
      <c r="J341" s="14">
        <v>165271147.36736047</v>
      </c>
      <c r="K341" s="30">
        <v>0.0</v>
      </c>
      <c r="L341" s="93"/>
    </row>
    <row r="342" spans="1:12" ht="41.4">
      <c r="A342" s="2" t="s">
        <v>737</v>
      </c>
      <c r="B342" s="2">
        <v>23</v>
      </c>
      <c r="C342" s="12" t="s">
        <v>52</v>
      </c>
      <c r="D342" s="12" t="s">
        <v>414</v>
      </c>
      <c r="E342" s="13" t="s">
        <v>415</v>
      </c>
      <c r="F342" s="30">
        <v>23.45</v>
      </c>
      <c r="G342" s="30"/>
      <c r="H342" s="30"/>
      <c r="I342" s="14">
        <v>114863766.94263284</v>
      </c>
      <c r="J342" s="14">
        <v>2693555334.80474</v>
      </c>
      <c r="K342" s="30">
        <v>0.0</v>
      </c>
      <c r="L342" s="93"/>
    </row>
    <row r="343" spans="1:12" ht="27.6">
      <c r="A343" s="2" t="s">
        <v>660</v>
      </c>
      <c r="B343" s="2">
        <v>24</v>
      </c>
      <c r="C343" s="12" t="s">
        <v>142</v>
      </c>
      <c r="D343" s="12" t="s">
        <v>502</v>
      </c>
      <c r="E343" s="13" t="s">
        <v>415</v>
      </c>
      <c r="F343" s="30">
        <v>23.45</v>
      </c>
      <c r="G343" s="30"/>
      <c r="H343" s="30"/>
      <c r="I343" s="14">
        <v>4732391.7900324054</v>
      </c>
      <c r="J343" s="14">
        <v>110974587.4762599</v>
      </c>
      <c r="K343" s="30">
        <v>0.0</v>
      </c>
      <c r="L343" s="93"/>
    </row>
    <row r="344" spans="1:12" ht="27.6">
      <c r="A344" s="2" t="s">
        <v>661</v>
      </c>
      <c r="B344" s="2">
        <v>25</v>
      </c>
      <c r="C344" s="12" t="s">
        <v>157</v>
      </c>
      <c r="D344" s="12" t="s">
        <v>511</v>
      </c>
      <c r="E344" s="13" t="s">
        <v>415</v>
      </c>
      <c r="F344" s="30">
        <v>23.45</v>
      </c>
      <c r="G344" s="30"/>
      <c r="H344" s="30"/>
      <c r="I344" s="14">
        <v>13220650.080090528</v>
      </c>
      <c r="J344" s="14">
        <v>310024244.37812287</v>
      </c>
      <c r="K344" s="30">
        <v>0.0</v>
      </c>
      <c r="L344" s="93"/>
    </row>
    <row r="345" spans="1:12" ht="27.6">
      <c r="A345" s="2" t="s">
        <v>662</v>
      </c>
      <c r="B345" s="2">
        <v>26</v>
      </c>
      <c r="C345" s="12" t="s">
        <v>143</v>
      </c>
      <c r="D345" s="12" t="s">
        <v>503</v>
      </c>
      <c r="E345" s="13" t="s">
        <v>149</v>
      </c>
      <c r="F345" s="30">
        <v>14.109</v>
      </c>
      <c r="G345" s="30"/>
      <c r="H345" s="30"/>
      <c r="I345" s="14">
        <v>1793277.9778179687</v>
      </c>
      <c r="J345" s="14">
        <v>25301358.989033721</v>
      </c>
      <c r="K345" s="30">
        <v>0.0</v>
      </c>
      <c r="L345" s="93"/>
    </row>
    <row r="346" spans="1:12" ht="15.6">
      <c r="A346" s="2" t="s">
        <v>663</v>
      </c>
      <c r="B346" s="2">
        <v>27</v>
      </c>
      <c r="C346" s="12" t="s">
        <v>55</v>
      </c>
      <c r="D346" s="12" t="s">
        <v>418</v>
      </c>
      <c r="E346" s="13" t="s">
        <v>145</v>
      </c>
      <c r="F346" s="30">
        <v>21.164000000000001</v>
      </c>
      <c r="G346" s="30"/>
      <c r="H346" s="30"/>
      <c r="I346" s="14">
        <v>31106460.200125102</v>
      </c>
      <c r="J346" s="14">
        <v>658337123.6754477</v>
      </c>
      <c r="K346" s="30">
        <v>0.0</v>
      </c>
      <c r="L346" s="93"/>
    </row>
    <row r="347" spans="1:12" ht="15.6">
      <c r="A347" s="2" t="s">
        <v>664</v>
      </c>
      <c r="B347" s="2">
        <v>28</v>
      </c>
      <c r="C347" s="12" t="s">
        <v>56</v>
      </c>
      <c r="D347" s="12" t="s">
        <v>570</v>
      </c>
      <c r="E347" s="13" t="s">
        <v>145</v>
      </c>
      <c r="F347" s="30">
        <v>44.98</v>
      </c>
      <c r="G347" s="30"/>
      <c r="H347" s="30"/>
      <c r="I347" s="14">
        <v>30952519.587396916</v>
      </c>
      <c r="J347" s="14">
        <v>1392244331.0411131</v>
      </c>
      <c r="K347" s="30">
        <v>0.0</v>
      </c>
      <c r="L347" s="93"/>
    </row>
    <row r="348" spans="1:12" ht="15.6">
      <c r="A348" s="2"/>
      <c r="B348" s="2"/>
      <c r="C348" s="15" t="s">
        <v>57</v>
      </c>
      <c r="D348" s="12" t="s">
        <v>420</v>
      </c>
      <c r="E348" s="13"/>
      <c r="F348" s="30"/>
      <c r="G348" s="30"/>
      <c r="H348" s="30"/>
      <c r="I348" s="14"/>
      <c r="J348" s="14"/>
      <c r="K348" s="14"/>
      <c r="L348" s="93"/>
    </row>
    <row r="349" spans="1:12" ht="41.4">
      <c r="A349" s="2" t="s">
        <v>658</v>
      </c>
      <c r="B349" s="2">
        <v>29</v>
      </c>
      <c r="C349" s="12" t="s">
        <v>51</v>
      </c>
      <c r="D349" s="12" t="s">
        <v>413</v>
      </c>
      <c r="E349" s="13" t="s">
        <v>149</v>
      </c>
      <c r="F349" s="30">
        <v>4.1479999999999997</v>
      </c>
      <c r="G349" s="30"/>
      <c r="H349" s="30"/>
      <c r="I349" s="14">
        <v>1171371.4977983192</v>
      </c>
      <c r="J349" s="14">
        <v>4858848.9728674274</v>
      </c>
      <c r="K349" s="30">
        <v>0.0</v>
      </c>
      <c r="L349" s="93"/>
    </row>
    <row r="350" spans="1:12" ht="41.4">
      <c r="A350" s="2" t="s">
        <v>659</v>
      </c>
      <c r="B350" s="2">
        <v>30</v>
      </c>
      <c r="C350" s="12" t="s">
        <v>52</v>
      </c>
      <c r="D350" s="12" t="s">
        <v>414</v>
      </c>
      <c r="E350" s="13" t="s">
        <v>415</v>
      </c>
      <c r="F350" s="30">
        <v>0.68899999999999995</v>
      </c>
      <c r="G350" s="30"/>
      <c r="H350" s="30"/>
      <c r="I350" s="14">
        <v>114863766.94263284</v>
      </c>
      <c r="J350" s="14">
        <v>79141135.423474014</v>
      </c>
      <c r="K350" s="30">
        <v>0.0</v>
      </c>
      <c r="L350" s="93"/>
    </row>
    <row r="351" spans="1:12" ht="27.6">
      <c r="A351" s="2" t="s">
        <v>660</v>
      </c>
      <c r="B351" s="2">
        <v>31</v>
      </c>
      <c r="C351" s="12" t="s">
        <v>142</v>
      </c>
      <c r="D351" s="12" t="s">
        <v>502</v>
      </c>
      <c r="E351" s="13" t="s">
        <v>415</v>
      </c>
      <c r="F351" s="30">
        <v>0.68899999999999995</v>
      </c>
      <c r="G351" s="30"/>
      <c r="H351" s="30"/>
      <c r="I351" s="14">
        <v>4732391.7900324054</v>
      </c>
      <c r="J351" s="14">
        <v>3260617.9433323271</v>
      </c>
      <c r="K351" s="30">
        <v>0.0</v>
      </c>
      <c r="L351" s="93"/>
    </row>
    <row r="352" spans="1:12" ht="27.6">
      <c r="A352" s="2" t="s">
        <v>661</v>
      </c>
      <c r="B352" s="2">
        <v>32</v>
      </c>
      <c r="C352" s="12" t="s">
        <v>157</v>
      </c>
      <c r="D352" s="12" t="s">
        <v>511</v>
      </c>
      <c r="E352" s="13" t="s">
        <v>415</v>
      </c>
      <c r="F352" s="30">
        <v>0.68899999999999995</v>
      </c>
      <c r="G352" s="30"/>
      <c r="H352" s="30"/>
      <c r="I352" s="14">
        <v>13220650.080090528</v>
      </c>
      <c r="J352" s="14">
        <v>9109027.9051823728</v>
      </c>
      <c r="K352" s="30">
        <v>0.0</v>
      </c>
      <c r="L352" s="93"/>
    </row>
    <row r="353" spans="1:12" ht="27.6">
      <c r="A353" s="2" t="s">
        <v>662</v>
      </c>
      <c r="B353" s="2">
        <v>33</v>
      </c>
      <c r="C353" s="12" t="s">
        <v>143</v>
      </c>
      <c r="D353" s="12" t="s">
        <v>503</v>
      </c>
      <c r="E353" s="13" t="s">
        <v>149</v>
      </c>
      <c r="F353" s="30">
        <v>2.69</v>
      </c>
      <c r="G353" s="30"/>
      <c r="H353" s="30"/>
      <c r="I353" s="14">
        <v>1793277.9778179687</v>
      </c>
      <c r="J353" s="14">
        <v>4823917.7603303362</v>
      </c>
      <c r="K353" s="30">
        <v>0.0</v>
      </c>
      <c r="L353" s="93"/>
    </row>
    <row r="354" spans="1:12" ht="15.6">
      <c r="A354" s="2" t="s">
        <v>663</v>
      </c>
      <c r="B354" s="2">
        <v>34</v>
      </c>
      <c r="C354" s="12" t="s">
        <v>55</v>
      </c>
      <c r="D354" s="12" t="s">
        <v>418</v>
      </c>
      <c r="E354" s="13" t="s">
        <v>145</v>
      </c>
      <c r="F354" s="30">
        <v>0.622</v>
      </c>
      <c r="G354" s="30"/>
      <c r="H354" s="30"/>
      <c r="I354" s="14">
        <v>31106460.200125102</v>
      </c>
      <c r="J354" s="14">
        <v>19348218.244477812</v>
      </c>
      <c r="K354" s="30">
        <v>0.0</v>
      </c>
      <c r="L354" s="93"/>
    </row>
    <row r="355" spans="1:12" ht="27.6">
      <c r="A355" s="2">
        <v>0</v>
      </c>
      <c r="B355" s="2"/>
      <c r="C355" s="15" t="s">
        <v>214</v>
      </c>
      <c r="D355" s="12" t="s">
        <v>571</v>
      </c>
      <c r="E355" s="13"/>
      <c r="F355" s="30"/>
      <c r="G355" s="30"/>
      <c r="H355" s="30"/>
      <c r="I355" s="14"/>
      <c r="J355" s="14"/>
      <c r="K355" s="14"/>
      <c r="L355" s="93"/>
    </row>
    <row r="356" spans="1:12" ht="15.6">
      <c r="A356" s="2" t="s">
        <v>738</v>
      </c>
      <c r="B356" s="2">
        <v>35</v>
      </c>
      <c r="C356" s="12" t="s">
        <v>215</v>
      </c>
      <c r="D356" s="12" t="s">
        <v>572</v>
      </c>
      <c r="E356" s="13" t="s">
        <v>145</v>
      </c>
      <c r="F356" s="30">
        <v>1.72</v>
      </c>
      <c r="G356" s="30"/>
      <c r="H356" s="30"/>
      <c r="I356" s="14">
        <v>746401.42703929183</v>
      </c>
      <c r="J356" s="14">
        <v>1283810.4545075819</v>
      </c>
      <c r="K356" s="30">
        <v>0.0</v>
      </c>
      <c r="L356" s="93"/>
    </row>
    <row r="357" spans="1:12" ht="15.6">
      <c r="A357" s="2" t="s">
        <v>722</v>
      </c>
      <c r="B357" s="2">
        <v>36</v>
      </c>
      <c r="C357" s="12" t="s">
        <v>151</v>
      </c>
      <c r="D357" s="12" t="s">
        <v>504</v>
      </c>
      <c r="E357" s="13" t="s">
        <v>145</v>
      </c>
      <c r="F357" s="30">
        <v>1.72</v>
      </c>
      <c r="G357" s="30"/>
      <c r="H357" s="30"/>
      <c r="I357" s="14">
        <v>1554612.8376480625</v>
      </c>
      <c r="J357" s="14">
        <v>2673934.0807546675</v>
      </c>
      <c r="K357" s="30">
        <v>0.0</v>
      </c>
      <c r="L357" s="93"/>
    </row>
    <row r="358" spans="1:12" ht="27.6">
      <c r="A358" s="2" t="s">
        <v>739</v>
      </c>
      <c r="B358" s="2">
        <v>37</v>
      </c>
      <c r="C358" s="12" t="s">
        <v>216</v>
      </c>
      <c r="D358" s="12" t="s">
        <v>573</v>
      </c>
      <c r="E358" s="13" t="s">
        <v>147</v>
      </c>
      <c r="F358" s="30">
        <v>101.43</v>
      </c>
      <c r="G358" s="30"/>
      <c r="H358" s="30"/>
      <c r="I358" s="14">
        <v>833991.75445196521</v>
      </c>
      <c r="J358" s="14">
        <v>84591783.654062837</v>
      </c>
      <c r="K358" s="30">
        <v>0.0</v>
      </c>
      <c r="L358" s="93"/>
    </row>
    <row r="359" spans="1:12" ht="15.6">
      <c r="A359" s="2" t="s">
        <v>645</v>
      </c>
      <c r="B359" s="2">
        <v>38</v>
      </c>
      <c r="C359" s="12" t="s">
        <v>217</v>
      </c>
      <c r="D359" s="12" t="s">
        <v>574</v>
      </c>
      <c r="E359" s="13" t="s">
        <v>148</v>
      </c>
      <c r="F359" s="30">
        <v>816</v>
      </c>
      <c r="G359" s="30"/>
      <c r="H359" s="30"/>
      <c r="I359" s="14">
        <v>17398.575000000001</v>
      </c>
      <c r="J359" s="14">
        <v>14197237.200000001</v>
      </c>
      <c r="K359" s="30">
        <v>0.0</v>
      </c>
      <c r="L359" s="93"/>
    </row>
    <row r="360" spans="1:12" ht="15.6">
      <c r="A360" s="2" t="s">
        <v>645</v>
      </c>
      <c r="B360" s="2">
        <v>39</v>
      </c>
      <c r="C360" s="12" t="s">
        <v>218</v>
      </c>
      <c r="D360" s="12" t="s">
        <v>575</v>
      </c>
      <c r="E360" s="13" t="s">
        <v>150</v>
      </c>
      <c r="F360" s="30">
        <v>120.768</v>
      </c>
      <c r="G360" s="30"/>
      <c r="H360" s="30"/>
      <c r="I360" s="14">
        <v>24358.005000000001</v>
      </c>
      <c r="J360" s="14">
        <v>2941667.5478400001</v>
      </c>
      <c r="K360" s="30">
        <v>0.0</v>
      </c>
      <c r="L360" s="93"/>
    </row>
    <row r="361" spans="1:12" ht="15.6">
      <c r="A361" s="2">
        <v>0</v>
      </c>
      <c r="B361" s="2"/>
      <c r="C361" s="15" t="s">
        <v>65</v>
      </c>
      <c r="D361" s="12" t="s">
        <v>428</v>
      </c>
      <c r="E361" s="13"/>
      <c r="F361" s="30"/>
      <c r="G361" s="30"/>
      <c r="H361" s="30"/>
      <c r="I361" s="14"/>
      <c r="J361" s="14"/>
      <c r="K361" s="14"/>
      <c r="L361" s="93"/>
    </row>
    <row r="362" spans="1:12" ht="15.6">
      <c r="A362" s="2" t="s">
        <v>671</v>
      </c>
      <c r="B362" s="2">
        <v>40</v>
      </c>
      <c r="C362" s="12" t="s">
        <v>66</v>
      </c>
      <c r="D362" s="12" t="s">
        <v>429</v>
      </c>
      <c r="E362" s="13" t="s">
        <v>144</v>
      </c>
      <c r="F362" s="30">
        <v>355.86</v>
      </c>
      <c r="G362" s="30"/>
      <c r="H362" s="30"/>
      <c r="I362" s="14">
        <v>1455680.3552348055</v>
      </c>
      <c r="J362" s="14">
        <v>518018411.21385789</v>
      </c>
      <c r="K362" s="30">
        <v>0.0</v>
      </c>
      <c r="L362" s="93"/>
    </row>
    <row r="363" spans="1:12" ht="15.6">
      <c r="A363" s="2" t="s">
        <v>670</v>
      </c>
      <c r="B363" s="2">
        <v>41</v>
      </c>
      <c r="C363" s="12" t="s">
        <v>67</v>
      </c>
      <c r="D363" s="12" t="s">
        <v>430</v>
      </c>
      <c r="E363" s="13" t="s">
        <v>149</v>
      </c>
      <c r="F363" s="30">
        <v>14.734999999999999</v>
      </c>
      <c r="G363" s="30"/>
      <c r="H363" s="30"/>
      <c r="I363" s="14">
        <v>5847333.4887753464</v>
      </c>
      <c r="J363" s="14">
        <v>86160458.957104728</v>
      </c>
      <c r="K363" s="30">
        <v>0.0</v>
      </c>
      <c r="L363" s="93"/>
    </row>
    <row r="364" spans="1:12" ht="15.6">
      <c r="A364" s="2" t="s">
        <v>645</v>
      </c>
      <c r="B364" s="2">
        <v>42</v>
      </c>
      <c r="C364" s="12" t="s">
        <v>90</v>
      </c>
      <c r="D364" s="12" t="s">
        <v>452</v>
      </c>
      <c r="E364" s="13" t="s">
        <v>149</v>
      </c>
      <c r="F364" s="30">
        <v>26.754999999999999</v>
      </c>
      <c r="G364" s="30"/>
      <c r="H364" s="30"/>
      <c r="I364" s="14">
        <v>695943</v>
      </c>
      <c r="J364" s="14">
        <v>18619954.965</v>
      </c>
      <c r="K364" s="30">
        <v>0.0</v>
      </c>
      <c r="L364" s="93"/>
    </row>
    <row r="365" spans="1:12" ht="15.6">
      <c r="A365" s="2">
        <v>0</v>
      </c>
      <c r="B365" s="2"/>
      <c r="C365" s="12" t="s">
        <v>159</v>
      </c>
      <c r="D365" s="12" t="s">
        <v>513</v>
      </c>
      <c r="E365" s="13"/>
      <c r="F365" s="30"/>
      <c r="G365" s="30"/>
      <c r="H365" s="30"/>
      <c r="I365" s="14"/>
      <c r="J365" s="14"/>
      <c r="K365" s="14"/>
      <c r="L365" s="93"/>
    </row>
    <row r="366" spans="1:12" ht="15.6">
      <c r="A366" s="2" t="s">
        <v>668</v>
      </c>
      <c r="B366" s="2">
        <v>43</v>
      </c>
      <c r="C366" s="12" t="s">
        <v>62</v>
      </c>
      <c r="D366" s="12" t="s">
        <v>425</v>
      </c>
      <c r="E366" s="13" t="s">
        <v>144</v>
      </c>
      <c r="F366" s="30">
        <v>8</v>
      </c>
      <c r="G366" s="30"/>
      <c r="H366" s="30"/>
      <c r="I366" s="14">
        <v>847049.03055282054</v>
      </c>
      <c r="J366" s="14">
        <v>6776392.2444225643</v>
      </c>
      <c r="K366" s="30">
        <v>8.0</v>
      </c>
      <c r="L366" s="93"/>
    </row>
    <row r="367" spans="1:12" ht="15.6">
      <c r="A367" s="2" t="s">
        <v>672</v>
      </c>
      <c r="B367" s="2">
        <v>44</v>
      </c>
      <c r="C367" s="12" t="s">
        <v>160</v>
      </c>
      <c r="D367" s="12" t="s">
        <v>514</v>
      </c>
      <c r="E367" s="13" t="s">
        <v>144</v>
      </c>
      <c r="F367" s="30">
        <v>31.45</v>
      </c>
      <c r="G367" s="30"/>
      <c r="H367" s="30"/>
      <c r="I367" s="14">
        <v>1522825.0114724233</v>
      </c>
      <c r="J367" s="14">
        <v>47892846.610807709</v>
      </c>
      <c r="K367" s="30">
        <v>31.0</v>
      </c>
      <c r="L367" s="93"/>
    </row>
    <row r="368" spans="1:12" ht="15.6">
      <c r="A368" s="2" t="s">
        <v>673</v>
      </c>
      <c r="B368" s="2">
        <v>45</v>
      </c>
      <c r="C368" s="12" t="s">
        <v>68</v>
      </c>
      <c r="D368" s="12" t="s">
        <v>431</v>
      </c>
      <c r="E368" s="13" t="s">
        <v>144</v>
      </c>
      <c r="F368" s="30">
        <v>3.2</v>
      </c>
      <c r="G368" s="30"/>
      <c r="H368" s="30"/>
      <c r="I368" s="14">
        <v>1143086.4666497172</v>
      </c>
      <c r="J368" s="14">
        <v>3657876.693279095</v>
      </c>
      <c r="K368" s="30">
        <v>3.0</v>
      </c>
      <c r="L368" s="93"/>
    </row>
    <row r="369" spans="1:12" ht="15.6">
      <c r="A369" s="2" t="s">
        <v>674</v>
      </c>
      <c r="B369" s="2">
        <v>46</v>
      </c>
      <c r="C369" s="12" t="s">
        <v>69</v>
      </c>
      <c r="D369" s="12" t="s">
        <v>432</v>
      </c>
      <c r="E369" s="13" t="s">
        <v>146</v>
      </c>
      <c r="F369" s="30">
        <v>0.85799999999999998</v>
      </c>
      <c r="G369" s="30"/>
      <c r="H369" s="30"/>
      <c r="I369" s="14">
        <v>20497700.2547406</v>
      </c>
      <c r="J369" s="14">
        <v>17587026.818567432</v>
      </c>
      <c r="K369" s="30">
        <v>0.858</v>
      </c>
      <c r="L369" s="93"/>
    </row>
    <row r="370" spans="1:12" ht="15.6">
      <c r="A370" s="2" t="s">
        <v>675</v>
      </c>
      <c r="B370" s="2">
        <v>47</v>
      </c>
      <c r="C370" s="12" t="s">
        <v>70</v>
      </c>
      <c r="D370" s="12" t="s">
        <v>433</v>
      </c>
      <c r="E370" s="13" t="s">
        <v>146</v>
      </c>
      <c r="F370" s="30">
        <v>1.3049999999999999</v>
      </c>
      <c r="G370" s="30"/>
      <c r="H370" s="30"/>
      <c r="I370" s="14">
        <v>20586516.416887436</v>
      </c>
      <c r="J370" s="14">
        <v>26865403.924038101</v>
      </c>
      <c r="K370" s="30">
        <v>1.305</v>
      </c>
      <c r="L370" s="93"/>
    </row>
    <row r="371" spans="1:12" ht="15.6">
      <c r="A371" s="2" t="s">
        <v>670</v>
      </c>
      <c r="B371" s="2">
        <v>48</v>
      </c>
      <c r="C371" s="12" t="s">
        <v>71</v>
      </c>
      <c r="D371" s="12" t="s">
        <v>434</v>
      </c>
      <c r="E371" s="13" t="s">
        <v>149</v>
      </c>
      <c r="F371" s="30">
        <v>2.86</v>
      </c>
      <c r="G371" s="30"/>
      <c r="H371" s="30"/>
      <c r="I371" s="14">
        <v>5847333.4887753464</v>
      </c>
      <c r="J371" s="14">
        <v>16723373.77789749</v>
      </c>
      <c r="K371" s="30">
        <v>2.86</v>
      </c>
      <c r="L371" s="93"/>
    </row>
    <row r="372" spans="1:12" ht="15.6">
      <c r="A372" s="2">
        <v>0</v>
      </c>
      <c r="B372" s="2"/>
      <c r="C372" s="15" t="s">
        <v>72</v>
      </c>
      <c r="D372" s="12" t="s">
        <v>435</v>
      </c>
      <c r="E372" s="13"/>
      <c r="F372" s="30"/>
      <c r="G372" s="30"/>
      <c r="H372" s="30"/>
      <c r="I372" s="14"/>
      <c r="J372" s="14"/>
      <c r="K372" s="14"/>
      <c r="L372" s="93"/>
    </row>
    <row r="373" spans="1:12" ht="15.6">
      <c r="A373" s="2" t="s">
        <v>676</v>
      </c>
      <c r="B373" s="2">
        <v>49</v>
      </c>
      <c r="C373" s="12" t="s">
        <v>73</v>
      </c>
      <c r="D373" s="12" t="s">
        <v>436</v>
      </c>
      <c r="E373" s="13" t="s">
        <v>144</v>
      </c>
      <c r="F373" s="30">
        <v>13.1</v>
      </c>
      <c r="G373" s="30"/>
      <c r="H373" s="30"/>
      <c r="I373" s="14">
        <v>1575515.4545086485</v>
      </c>
      <c r="J373" s="14">
        <v>20639252.454063296</v>
      </c>
      <c r="K373" s="30">
        <v>13.0</v>
      </c>
      <c r="L373" s="93"/>
    </row>
    <row r="374" spans="1:12" ht="15.6">
      <c r="A374" s="2" t="s">
        <v>677</v>
      </c>
      <c r="B374" s="2">
        <v>50</v>
      </c>
      <c r="C374" s="12" t="s">
        <v>74</v>
      </c>
      <c r="D374" s="12" t="s">
        <v>437</v>
      </c>
      <c r="E374" s="13" t="s">
        <v>146</v>
      </c>
      <c r="F374" s="30">
        <v>0.78800000000000003</v>
      </c>
      <c r="G374" s="30"/>
      <c r="H374" s="30"/>
      <c r="I374" s="14">
        <v>23279148.621693719</v>
      </c>
      <c r="J374" s="14">
        <v>18343969.113894653</v>
      </c>
      <c r="K374" s="30">
        <v>0.788</v>
      </c>
      <c r="L374" s="93"/>
    </row>
    <row r="375" spans="1:12" ht="15.6">
      <c r="A375" s="2" t="s">
        <v>678</v>
      </c>
      <c r="B375" s="2">
        <v>51</v>
      </c>
      <c r="C375" s="12" t="s">
        <v>75</v>
      </c>
      <c r="D375" s="12" t="s">
        <v>438</v>
      </c>
      <c r="E375" s="13" t="s">
        <v>146</v>
      </c>
      <c r="F375" s="30">
        <v>0.64300000000000002</v>
      </c>
      <c r="G375" s="30"/>
      <c r="H375" s="30"/>
      <c r="I375" s="14">
        <v>22298275.433076847</v>
      </c>
      <c r="J375" s="14">
        <v>14337791.103468413</v>
      </c>
      <c r="K375" s="30">
        <v>0.643</v>
      </c>
      <c r="L375" s="93"/>
    </row>
    <row r="376" spans="1:12" ht="15.6">
      <c r="A376" s="2" t="s">
        <v>679</v>
      </c>
      <c r="B376" s="2">
        <v>52</v>
      </c>
      <c r="C376" s="12" t="s">
        <v>76</v>
      </c>
      <c r="D376" s="12" t="s">
        <v>337</v>
      </c>
      <c r="E376" s="13" t="s">
        <v>149</v>
      </c>
      <c r="F376" s="30">
        <v>2.641</v>
      </c>
      <c r="G376" s="30"/>
      <c r="H376" s="30"/>
      <c r="I376" s="14">
        <v>8093006.3238283927</v>
      </c>
      <c r="J376" s="14">
        <v>21373629.701230787</v>
      </c>
      <c r="K376" s="30">
        <v>0.264</v>
      </c>
      <c r="L376" s="93"/>
    </row>
    <row r="377" spans="1:12" ht="15.6">
      <c r="A377" s="2" t="s">
        <v>680</v>
      </c>
      <c r="B377" s="2">
        <v>53</v>
      </c>
      <c r="C377" s="12" t="s">
        <v>77</v>
      </c>
      <c r="D377" s="12" t="s">
        <v>439</v>
      </c>
      <c r="E377" s="13" t="s">
        <v>392</v>
      </c>
      <c r="F377" s="30">
        <v>100</v>
      </c>
      <c r="G377" s="30"/>
      <c r="H377" s="30"/>
      <c r="I377" s="14">
        <v>33088.984387921992</v>
      </c>
      <c r="J377" s="14">
        <v>3308898.4387921994</v>
      </c>
      <c r="K377" s="30">
        <v>100.0</v>
      </c>
      <c r="L377" s="93"/>
    </row>
    <row r="378" spans="1:12" ht="15.6">
      <c r="A378" s="2">
        <v>0</v>
      </c>
      <c r="B378" s="2"/>
      <c r="C378" s="15" t="s">
        <v>78</v>
      </c>
      <c r="D378" s="12" t="s">
        <v>440</v>
      </c>
      <c r="E378" s="13"/>
      <c r="F378" s="30"/>
      <c r="G378" s="30"/>
      <c r="H378" s="30"/>
      <c r="I378" s="14"/>
      <c r="J378" s="14"/>
      <c r="K378" s="14"/>
      <c r="L378" s="93"/>
    </row>
    <row r="379" spans="1:12" ht="15.6">
      <c r="A379" s="2" t="s">
        <v>668</v>
      </c>
      <c r="B379" s="2">
        <v>54</v>
      </c>
      <c r="C379" s="12" t="s">
        <v>62</v>
      </c>
      <c r="D379" s="12" t="s">
        <v>425</v>
      </c>
      <c r="E379" s="13" t="s">
        <v>144</v>
      </c>
      <c r="F379" s="30">
        <v>0.41599999999999998</v>
      </c>
      <c r="G379" s="30"/>
      <c r="H379" s="30"/>
      <c r="I379" s="14">
        <v>847049.03055282054</v>
      </c>
      <c r="J379" s="14">
        <v>352372.39670997334</v>
      </c>
      <c r="K379" s="30">
        <v>0.416</v>
      </c>
      <c r="L379" s="93"/>
    </row>
    <row r="380" spans="1:12" ht="15.6">
      <c r="A380" s="2" t="s">
        <v>681</v>
      </c>
      <c r="B380" s="2">
        <v>55</v>
      </c>
      <c r="C380" s="12" t="s">
        <v>79</v>
      </c>
      <c r="D380" s="12" t="s">
        <v>441</v>
      </c>
      <c r="E380" s="13" t="s">
        <v>144</v>
      </c>
      <c r="F380" s="30">
        <v>1.8959999999999999</v>
      </c>
      <c r="G380" s="30"/>
      <c r="H380" s="30"/>
      <c r="I380" s="14">
        <v>1368251.3387600237</v>
      </c>
      <c r="J380" s="14">
        <v>2594204.5382890049</v>
      </c>
      <c r="K380" s="30">
        <v>1.896</v>
      </c>
      <c r="L380" s="93"/>
    </row>
    <row r="381" spans="1:12" ht="15.6">
      <c r="A381" s="2" t="s">
        <v>674</v>
      </c>
      <c r="B381" s="2">
        <v>56</v>
      </c>
      <c r="C381" s="12" t="s">
        <v>80</v>
      </c>
      <c r="D381" s="12" t="s">
        <v>442</v>
      </c>
      <c r="E381" s="13" t="s">
        <v>146</v>
      </c>
      <c r="F381" s="30">
        <v>4.2000000000000003E-2</v>
      </c>
      <c r="G381" s="30"/>
      <c r="H381" s="30"/>
      <c r="I381" s="14">
        <v>20497700.2547406</v>
      </c>
      <c r="J381" s="14">
        <v>860903.41069910524</v>
      </c>
      <c r="K381" s="30">
        <v>0.0415546314271956</v>
      </c>
      <c r="L381" s="93"/>
    </row>
    <row r="382" spans="1:12" ht="15.6">
      <c r="A382" s="2" t="s">
        <v>675</v>
      </c>
      <c r="B382" s="2">
        <v>57</v>
      </c>
      <c r="C382" s="12" t="s">
        <v>81</v>
      </c>
      <c r="D382" s="12" t="s">
        <v>443</v>
      </c>
      <c r="E382" s="13" t="s">
        <v>146</v>
      </c>
      <c r="F382" s="30">
        <v>7.6999999999999999E-2</v>
      </c>
      <c r="G382" s="30"/>
      <c r="H382" s="30"/>
      <c r="I382" s="14">
        <v>20586516.416887436</v>
      </c>
      <c r="J382" s="14">
        <v>1585161.7641003325</v>
      </c>
      <c r="K382" s="30">
        <v>0.0767071368493468</v>
      </c>
      <c r="L382" s="93"/>
    </row>
    <row r="383" spans="1:12" ht="15.6">
      <c r="A383" s="2" t="s">
        <v>670</v>
      </c>
      <c r="B383" s="2">
        <v>58</v>
      </c>
      <c r="C383" s="12" t="s">
        <v>82</v>
      </c>
      <c r="D383" s="12" t="s">
        <v>444</v>
      </c>
      <c r="E383" s="13" t="s">
        <v>149</v>
      </c>
      <c r="F383" s="30">
        <v>0.17</v>
      </c>
      <c r="G383" s="30"/>
      <c r="H383" s="30"/>
      <c r="I383" s="14">
        <v>5847333.4887753464</v>
      </c>
      <c r="J383" s="14">
        <v>994046.69309180893</v>
      </c>
      <c r="K383" s="30">
        <v>0.1696</v>
      </c>
      <c r="L383" s="93"/>
    </row>
    <row r="384" spans="1:12" ht="15.6">
      <c r="A384" s="2">
        <v>0</v>
      </c>
      <c r="B384" s="2"/>
      <c r="C384" s="15" t="s">
        <v>72</v>
      </c>
      <c r="D384" s="12" t="s">
        <v>435</v>
      </c>
      <c r="E384" s="13"/>
      <c r="F384" s="30"/>
      <c r="G384" s="30"/>
      <c r="H384" s="30"/>
      <c r="I384" s="14"/>
      <c r="J384" s="14"/>
      <c r="K384" s="14"/>
      <c r="L384" s="93"/>
    </row>
    <row r="385" spans="1:12" ht="15.6">
      <c r="A385" s="2" t="s">
        <v>676</v>
      </c>
      <c r="B385" s="2">
        <v>59</v>
      </c>
      <c r="C385" s="12" t="s">
        <v>73</v>
      </c>
      <c r="D385" s="12" t="s">
        <v>436</v>
      </c>
      <c r="E385" s="13" t="s">
        <v>144</v>
      </c>
      <c r="F385" s="30">
        <v>0.49199999999999999</v>
      </c>
      <c r="G385" s="30"/>
      <c r="H385" s="30"/>
      <c r="I385" s="14">
        <v>1575515.4545086485</v>
      </c>
      <c r="J385" s="14">
        <v>775153.603618255</v>
      </c>
      <c r="K385" s="30">
        <v>0.52</v>
      </c>
      <c r="L385" s="93"/>
    </row>
    <row r="386" spans="1:12" ht="15.6">
      <c r="A386" s="2" t="s">
        <v>677</v>
      </c>
      <c r="B386" s="2">
        <v>60</v>
      </c>
      <c r="C386" s="12" t="s">
        <v>74</v>
      </c>
      <c r="D386" s="12" t="s">
        <v>437</v>
      </c>
      <c r="E386" s="13" t="s">
        <v>146</v>
      </c>
      <c r="F386" s="30">
        <v>2.9000000000000001E-2</v>
      </c>
      <c r="G386" s="30"/>
      <c r="H386" s="30"/>
      <c r="I386" s="14">
        <v>23279148.621693719</v>
      </c>
      <c r="J386" s="14">
        <v>675095.31002911786</v>
      </c>
      <c r="K386" s="30">
        <v>0.03152</v>
      </c>
      <c r="L386" s="93"/>
    </row>
    <row r="387" spans="1:12" ht="15.6">
      <c r="A387" s="2" t="s">
        <v>678</v>
      </c>
      <c r="B387" s="2">
        <v>61</v>
      </c>
      <c r="C387" s="12" t="s">
        <v>75</v>
      </c>
      <c r="D387" s="12" t="s">
        <v>438</v>
      </c>
      <c r="E387" s="13" t="s">
        <v>146</v>
      </c>
      <c r="F387" s="30">
        <v>2.5999999999999999E-2</v>
      </c>
      <c r="G387" s="30"/>
      <c r="H387" s="30"/>
      <c r="I387" s="14">
        <v>22298275.433076847</v>
      </c>
      <c r="J387" s="14">
        <v>579755.16125999799</v>
      </c>
      <c r="K387" s="30">
        <v>0.02572</v>
      </c>
      <c r="L387" s="93"/>
    </row>
    <row r="388" spans="1:12" ht="15.6">
      <c r="A388" s="2" t="s">
        <v>679</v>
      </c>
      <c r="B388" s="2">
        <v>62</v>
      </c>
      <c r="C388" s="12" t="s">
        <v>76</v>
      </c>
      <c r="D388" s="12" t="s">
        <v>337</v>
      </c>
      <c r="E388" s="13" t="s">
        <v>149</v>
      </c>
      <c r="F388" s="30">
        <v>0.106</v>
      </c>
      <c r="G388" s="30"/>
      <c r="H388" s="30"/>
      <c r="I388" s="14">
        <v>8093006.3238283927</v>
      </c>
      <c r="J388" s="14">
        <v>857858.67032580962</v>
      </c>
      <c r="K388" s="30">
        <v>0.1056</v>
      </c>
      <c r="L388" s="93"/>
    </row>
    <row r="389" spans="1:12" ht="15.6">
      <c r="A389" s="2" t="s">
        <v>680</v>
      </c>
      <c r="B389" s="2">
        <v>63</v>
      </c>
      <c r="C389" s="12" t="s">
        <v>77</v>
      </c>
      <c r="D389" s="12" t="s">
        <v>439</v>
      </c>
      <c r="E389" s="13" t="s">
        <v>392</v>
      </c>
      <c r="F389" s="30">
        <v>4</v>
      </c>
      <c r="G389" s="30"/>
      <c r="H389" s="30"/>
      <c r="I389" s="14">
        <v>33088.984387921992</v>
      </c>
      <c r="J389" s="14">
        <v>132355.93755168797</v>
      </c>
      <c r="K389" s="30">
        <v>4.0</v>
      </c>
      <c r="L389" s="93"/>
    </row>
    <row r="390" spans="1:12" ht="15.6">
      <c r="A390" s="2">
        <v>0</v>
      </c>
      <c r="B390" s="2"/>
      <c r="C390" s="15" t="s">
        <v>86</v>
      </c>
      <c r="D390" s="12" t="s">
        <v>448</v>
      </c>
      <c r="E390" s="13"/>
      <c r="F390" s="30"/>
      <c r="G390" s="30"/>
      <c r="H390" s="30"/>
      <c r="I390" s="14"/>
      <c r="J390" s="14"/>
      <c r="K390" s="14"/>
      <c r="L390" s="93"/>
    </row>
    <row r="391" spans="1:12" ht="27.6">
      <c r="A391" s="2" t="s">
        <v>684</v>
      </c>
      <c r="B391" s="2">
        <v>64</v>
      </c>
      <c r="C391" s="12" t="s">
        <v>87</v>
      </c>
      <c r="D391" s="12" t="s">
        <v>449</v>
      </c>
      <c r="E391" s="13" t="s">
        <v>25</v>
      </c>
      <c r="F391" s="30">
        <v>132</v>
      </c>
      <c r="G391" s="30"/>
      <c r="H391" s="30"/>
      <c r="I391" s="14">
        <v>93382.177370309815</v>
      </c>
      <c r="J391" s="14">
        <v>12326447.412880896</v>
      </c>
      <c r="K391" s="30">
        <v>0.0</v>
      </c>
      <c r="L391" s="93"/>
    </row>
    <row r="392" spans="1:12" ht="15.6">
      <c r="A392" s="2" t="s">
        <v>685</v>
      </c>
      <c r="B392" s="2">
        <v>65</v>
      </c>
      <c r="C392" s="12" t="s">
        <v>88</v>
      </c>
      <c r="D392" s="12" t="s">
        <v>450</v>
      </c>
      <c r="E392" s="13" t="s">
        <v>25</v>
      </c>
      <c r="F392" s="30">
        <v>1</v>
      </c>
      <c r="G392" s="30"/>
      <c r="H392" s="30"/>
      <c r="I392" s="14">
        <v>659758.24959312321</v>
      </c>
      <c r="J392" s="14">
        <v>659758.24959312321</v>
      </c>
      <c r="K392" s="30">
        <v>0.0</v>
      </c>
      <c r="L392" s="93"/>
    </row>
    <row r="393" spans="1:12" ht="15.6">
      <c r="A393" s="2" t="s">
        <v>684</v>
      </c>
      <c r="B393" s="2">
        <v>66</v>
      </c>
      <c r="C393" s="12" t="s">
        <v>89</v>
      </c>
      <c r="D393" s="12" t="s">
        <v>451</v>
      </c>
      <c r="E393" s="13" t="s">
        <v>25</v>
      </c>
      <c r="F393" s="30">
        <v>11</v>
      </c>
      <c r="G393" s="30"/>
      <c r="H393" s="30"/>
      <c r="I393" s="14">
        <v>93382.177370309815</v>
      </c>
      <c r="J393" s="14">
        <v>1027203.951073408</v>
      </c>
      <c r="K393" s="30">
        <v>0.0</v>
      </c>
      <c r="L393" s="93"/>
    </row>
    <row r="394" spans="1:12" ht="15.6">
      <c r="A394" s="2" t="s">
        <v>645</v>
      </c>
      <c r="B394" s="2">
        <v>67</v>
      </c>
      <c r="C394" s="12" t="s">
        <v>90</v>
      </c>
      <c r="D394" s="12" t="s">
        <v>452</v>
      </c>
      <c r="E394" s="13" t="s">
        <v>149</v>
      </c>
      <c r="F394" s="30">
        <v>5.0000000000000001E-3</v>
      </c>
      <c r="G394" s="30"/>
      <c r="H394" s="30"/>
      <c r="I394" s="14">
        <v>695943</v>
      </c>
      <c r="J394" s="14">
        <v>3479.7150000000001</v>
      </c>
      <c r="K394" s="30">
        <v>0.0</v>
      </c>
      <c r="L394" s="93"/>
    </row>
    <row r="395" spans="1:12" ht="15.6">
      <c r="A395" s="2" t="s">
        <v>645</v>
      </c>
      <c r="B395" s="2">
        <v>68</v>
      </c>
      <c r="C395" s="12" t="s">
        <v>91</v>
      </c>
      <c r="D395" s="12" t="s">
        <v>453</v>
      </c>
      <c r="E395" s="13" t="s">
        <v>25</v>
      </c>
      <c r="F395" s="30">
        <v>286</v>
      </c>
      <c r="G395" s="30"/>
      <c r="H395" s="30"/>
      <c r="I395" s="14">
        <v>14498.8125</v>
      </c>
      <c r="J395" s="14">
        <v>4146660.375</v>
      </c>
      <c r="K395" s="30">
        <v>0.0</v>
      </c>
      <c r="L395" s="93"/>
    </row>
    <row r="396" spans="1:12" ht="15.6">
      <c r="A396" s="2">
        <v>0</v>
      </c>
      <c r="B396" s="2"/>
      <c r="C396" s="15" t="s">
        <v>92</v>
      </c>
      <c r="D396" s="12" t="s">
        <v>454</v>
      </c>
      <c r="E396" s="13"/>
      <c r="F396" s="30"/>
      <c r="G396" s="30"/>
      <c r="H396" s="30"/>
      <c r="I396" s="14"/>
      <c r="J396" s="14"/>
      <c r="K396" s="14"/>
      <c r="L396" s="93"/>
    </row>
    <row r="397" spans="1:12" ht="15.6">
      <c r="A397" s="2" t="s">
        <v>690</v>
      </c>
      <c r="B397" s="2">
        <v>69</v>
      </c>
      <c r="C397" s="12" t="s">
        <v>93</v>
      </c>
      <c r="D397" s="12" t="s">
        <v>455</v>
      </c>
      <c r="E397" s="13" t="s">
        <v>145</v>
      </c>
      <c r="F397" s="30">
        <v>3.3000000000000002E-2</v>
      </c>
      <c r="G397" s="30"/>
      <c r="H397" s="30"/>
      <c r="I397" s="14">
        <v>2690167.124583811</v>
      </c>
      <c r="J397" s="14">
        <v>88775.515111265762</v>
      </c>
      <c r="K397" s="30">
        <v>0.0</v>
      </c>
      <c r="L397" s="93"/>
    </row>
    <row r="398" spans="1:12" ht="15.6">
      <c r="A398" s="2" t="s">
        <v>667</v>
      </c>
      <c r="B398" s="2">
        <v>70</v>
      </c>
      <c r="C398" s="12" t="s">
        <v>94</v>
      </c>
      <c r="D398" s="12" t="s">
        <v>456</v>
      </c>
      <c r="E398" s="13" t="s">
        <v>144</v>
      </c>
      <c r="F398" s="30">
        <v>7.6740000000000004</v>
      </c>
      <c r="G398" s="30"/>
      <c r="H398" s="30"/>
      <c r="I398" s="14">
        <v>1234733.1943373024</v>
      </c>
      <c r="J398" s="14">
        <v>9475342.5333444588</v>
      </c>
      <c r="K398" s="30">
        <v>0.0</v>
      </c>
      <c r="L398" s="93"/>
    </row>
    <row r="399" spans="1:12" ht="27.6">
      <c r="A399" s="2" t="s">
        <v>687</v>
      </c>
      <c r="B399" s="2">
        <v>71</v>
      </c>
      <c r="C399" s="12" t="s">
        <v>95</v>
      </c>
      <c r="D399" s="12" t="s">
        <v>457</v>
      </c>
      <c r="E399" s="13" t="s">
        <v>25</v>
      </c>
      <c r="F399" s="30">
        <v>3</v>
      </c>
      <c r="G399" s="30"/>
      <c r="H399" s="30"/>
      <c r="I399" s="14">
        <v>206306.55498286994</v>
      </c>
      <c r="J399" s="14">
        <v>618919.66494860989</v>
      </c>
      <c r="K399" s="30">
        <v>0.0</v>
      </c>
      <c r="L399" s="93"/>
    </row>
    <row r="400" spans="1:12" ht="27.6">
      <c r="A400" s="2" t="s">
        <v>688</v>
      </c>
      <c r="B400" s="2">
        <v>72</v>
      </c>
      <c r="C400" s="12" t="s">
        <v>96</v>
      </c>
      <c r="D400" s="12" t="s">
        <v>458</v>
      </c>
      <c r="E400" s="13" t="s">
        <v>25</v>
      </c>
      <c r="F400" s="30">
        <v>6</v>
      </c>
      <c r="G400" s="30"/>
      <c r="H400" s="30"/>
      <c r="I400" s="14">
        <v>183201.24738286994</v>
      </c>
      <c r="J400" s="14">
        <v>1099207.4842972197</v>
      </c>
      <c r="K400" s="30">
        <v>0.0</v>
      </c>
      <c r="L400" s="93"/>
    </row>
    <row r="401" spans="1:12" ht="27.6">
      <c r="A401" s="2" t="s">
        <v>645</v>
      </c>
      <c r="B401" s="2">
        <v>73</v>
      </c>
      <c r="C401" s="12" t="s">
        <v>97</v>
      </c>
      <c r="D401" s="12" t="s">
        <v>459</v>
      </c>
      <c r="E401" s="13" t="s">
        <v>5</v>
      </c>
      <c r="F401" s="30">
        <v>30.6</v>
      </c>
      <c r="G401" s="30"/>
      <c r="H401" s="30"/>
      <c r="I401" s="14">
        <v>234300.81</v>
      </c>
      <c r="J401" s="14">
        <v>7169604.7860000003</v>
      </c>
      <c r="K401" s="30">
        <v>0.0</v>
      </c>
      <c r="L401" s="93"/>
    </row>
    <row r="402" spans="1:12" ht="15.6">
      <c r="A402" s="2" t="s">
        <v>645</v>
      </c>
      <c r="B402" s="2">
        <v>74</v>
      </c>
      <c r="C402" s="12" t="s">
        <v>98</v>
      </c>
      <c r="D402" s="12" t="s">
        <v>460</v>
      </c>
      <c r="E402" s="13" t="s">
        <v>25</v>
      </c>
      <c r="F402" s="30">
        <v>3</v>
      </c>
      <c r="G402" s="30"/>
      <c r="H402" s="30"/>
      <c r="I402" s="14">
        <v>452362.95</v>
      </c>
      <c r="J402" s="14">
        <v>1357088.85</v>
      </c>
      <c r="K402" s="30">
        <v>0.0</v>
      </c>
      <c r="L402" s="93"/>
    </row>
    <row r="403" spans="1:12" ht="15.6">
      <c r="A403" s="2" t="s">
        <v>645</v>
      </c>
      <c r="B403" s="2">
        <v>75</v>
      </c>
      <c r="C403" s="12" t="s">
        <v>99</v>
      </c>
      <c r="D403" s="12" t="s">
        <v>461</v>
      </c>
      <c r="E403" s="13" t="s">
        <v>25</v>
      </c>
      <c r="F403" s="30">
        <v>3</v>
      </c>
      <c r="G403" s="30"/>
      <c r="H403" s="30"/>
      <c r="I403" s="14">
        <v>2058831.375</v>
      </c>
      <c r="J403" s="14">
        <v>6176494.125</v>
      </c>
      <c r="K403" s="30">
        <v>0.0</v>
      </c>
      <c r="L403" s="93"/>
    </row>
    <row r="404" spans="1:12" ht="15.6">
      <c r="A404" s="2">
        <v>0</v>
      </c>
      <c r="B404" s="2"/>
      <c r="C404" s="15" t="s">
        <v>100</v>
      </c>
      <c r="D404" s="12" t="s">
        <v>462</v>
      </c>
      <c r="E404" s="13"/>
      <c r="F404" s="30"/>
      <c r="G404" s="30"/>
      <c r="H404" s="30"/>
      <c r="I404" s="14"/>
      <c r="J404" s="14"/>
      <c r="K404" s="14"/>
      <c r="L404" s="93"/>
    </row>
    <row r="405" spans="1:12" ht="27.6">
      <c r="A405" s="2" t="s">
        <v>689</v>
      </c>
      <c r="B405" s="2">
        <v>76</v>
      </c>
      <c r="C405" s="12" t="s">
        <v>101</v>
      </c>
      <c r="D405" s="12" t="s">
        <v>352</v>
      </c>
      <c r="E405" s="13" t="s">
        <v>148</v>
      </c>
      <c r="F405" s="30">
        <v>657.64300000000003</v>
      </c>
      <c r="G405" s="30"/>
      <c r="H405" s="30"/>
      <c r="I405" s="14">
        <v>329300.42555937677</v>
      </c>
      <c r="J405" s="14">
        <v>216562119.76614523</v>
      </c>
      <c r="K405" s="30">
        <v>0.0</v>
      </c>
      <c r="L405" s="93"/>
    </row>
    <row r="406" spans="1:12" ht="27.6">
      <c r="A406" s="2" t="s">
        <v>689</v>
      </c>
      <c r="B406" s="2">
        <v>77</v>
      </c>
      <c r="C406" s="12" t="s">
        <v>102</v>
      </c>
      <c r="D406" s="12" t="s">
        <v>463</v>
      </c>
      <c r="E406" s="13" t="s">
        <v>148</v>
      </c>
      <c r="F406" s="30">
        <v>37.799999999999997</v>
      </c>
      <c r="G406" s="30"/>
      <c r="H406" s="30"/>
      <c r="I406" s="14">
        <v>658600.85111875355</v>
      </c>
      <c r="J406" s="14">
        <v>24895112.172288883</v>
      </c>
      <c r="K406" s="30">
        <v>0.0</v>
      </c>
      <c r="L406" s="93"/>
    </row>
    <row r="407" spans="1:12" ht="15.6">
      <c r="A407" s="2">
        <v>0</v>
      </c>
      <c r="B407" s="2"/>
      <c r="C407" s="15" t="s">
        <v>103</v>
      </c>
      <c r="D407" s="12" t="s">
        <v>464</v>
      </c>
      <c r="E407" s="13"/>
      <c r="F407" s="30"/>
      <c r="G407" s="30"/>
      <c r="H407" s="30"/>
      <c r="I407" s="14"/>
      <c r="J407" s="14"/>
      <c r="K407" s="14"/>
      <c r="L407" s="93"/>
    </row>
    <row r="408" spans="1:12" ht="15.6">
      <c r="A408" s="2" t="s">
        <v>690</v>
      </c>
      <c r="B408" s="2">
        <v>78</v>
      </c>
      <c r="C408" s="12" t="s">
        <v>153</v>
      </c>
      <c r="D408" s="12" t="s">
        <v>515</v>
      </c>
      <c r="E408" s="13" t="s">
        <v>145</v>
      </c>
      <c r="F408" s="30">
        <v>4.3999999999999997E-2</v>
      </c>
      <c r="G408" s="30"/>
      <c r="H408" s="30"/>
      <c r="I408" s="14">
        <v>2690167.124583811</v>
      </c>
      <c r="J408" s="14">
        <v>118367.35348168768</v>
      </c>
      <c r="K408" s="30">
        <v>0.0</v>
      </c>
      <c r="L408" s="93"/>
    </row>
    <row r="409" spans="1:12" ht="15.6">
      <c r="A409" s="2" t="s">
        <v>691</v>
      </c>
      <c r="B409" s="2">
        <v>79</v>
      </c>
      <c r="C409" s="12" t="s">
        <v>161</v>
      </c>
      <c r="D409" s="12" t="s">
        <v>516</v>
      </c>
      <c r="E409" s="13" t="s">
        <v>145</v>
      </c>
      <c r="F409" s="30">
        <v>3.6999999999999998E-2</v>
      </c>
      <c r="G409" s="30"/>
      <c r="H409" s="30"/>
      <c r="I409" s="14">
        <v>3406602.6497878134</v>
      </c>
      <c r="J409" s="14">
        <v>126044.29804214909</v>
      </c>
      <c r="K409" s="30">
        <v>0.0</v>
      </c>
      <c r="L409" s="93"/>
    </row>
    <row r="410" spans="1:12" ht="15.6">
      <c r="A410" s="2" t="s">
        <v>673</v>
      </c>
      <c r="B410" s="2">
        <v>80</v>
      </c>
      <c r="C410" s="12" t="s">
        <v>104</v>
      </c>
      <c r="D410" s="12" t="s">
        <v>465</v>
      </c>
      <c r="E410" s="13" t="s">
        <v>144</v>
      </c>
      <c r="F410" s="30">
        <v>0.78300000000000003</v>
      </c>
      <c r="G410" s="30"/>
      <c r="H410" s="30"/>
      <c r="I410" s="14">
        <v>1143086.4666497172</v>
      </c>
      <c r="J410" s="14">
        <v>895036.70338672854</v>
      </c>
      <c r="K410" s="30">
        <v>0.0</v>
      </c>
      <c r="L410" s="93"/>
    </row>
    <row r="411" spans="1:12" ht="15.6">
      <c r="A411" s="2" t="s">
        <v>692</v>
      </c>
      <c r="B411" s="2">
        <v>81</v>
      </c>
      <c r="C411" s="12" t="s">
        <v>105</v>
      </c>
      <c r="D411" s="12" t="s">
        <v>466</v>
      </c>
      <c r="E411" s="13" t="s">
        <v>144</v>
      </c>
      <c r="F411" s="30">
        <v>0.78300000000000003</v>
      </c>
      <c r="G411" s="30"/>
      <c r="H411" s="30"/>
      <c r="I411" s="14">
        <v>1301106.6825224052</v>
      </c>
      <c r="J411" s="14">
        <v>1018766.5324150433</v>
      </c>
      <c r="K411" s="30">
        <v>0.0</v>
      </c>
      <c r="L411" s="93"/>
    </row>
    <row r="412" spans="1:12" ht="15.6">
      <c r="A412" s="2" t="s">
        <v>674</v>
      </c>
      <c r="B412" s="2">
        <v>82</v>
      </c>
      <c r="C412" s="12" t="s">
        <v>106</v>
      </c>
      <c r="D412" s="12" t="s">
        <v>467</v>
      </c>
      <c r="E412" s="13" t="s">
        <v>146</v>
      </c>
      <c r="F412" s="30">
        <v>2E-3</v>
      </c>
      <c r="G412" s="30"/>
      <c r="H412" s="30"/>
      <c r="I412" s="14">
        <v>20497700.2547406</v>
      </c>
      <c r="J412" s="14">
        <v>40995.400509481202</v>
      </c>
      <c r="K412" s="30">
        <v>0.0</v>
      </c>
      <c r="L412" s="93"/>
    </row>
    <row r="413" spans="1:12" ht="15.6">
      <c r="A413" s="2" t="s">
        <v>670</v>
      </c>
      <c r="B413" s="2">
        <v>83</v>
      </c>
      <c r="C413" s="12" t="s">
        <v>107</v>
      </c>
      <c r="D413" s="12" t="s">
        <v>468</v>
      </c>
      <c r="E413" s="13" t="s">
        <v>149</v>
      </c>
      <c r="F413" s="30">
        <v>0.05</v>
      </c>
      <c r="G413" s="30"/>
      <c r="H413" s="30"/>
      <c r="I413" s="14">
        <v>5847333.4887753464</v>
      </c>
      <c r="J413" s="14">
        <v>292366.67443876731</v>
      </c>
      <c r="K413" s="30">
        <v>0.0</v>
      </c>
      <c r="L413" s="93"/>
    </row>
    <row r="414" spans="1:12" ht="15.6">
      <c r="A414" s="2" t="s">
        <v>645</v>
      </c>
      <c r="B414" s="2">
        <v>84</v>
      </c>
      <c r="C414" s="12" t="s">
        <v>108</v>
      </c>
      <c r="D414" s="12" t="s">
        <v>469</v>
      </c>
      <c r="E414" s="13" t="s">
        <v>24</v>
      </c>
      <c r="F414" s="30">
        <v>3</v>
      </c>
      <c r="G414" s="30"/>
      <c r="H414" s="30"/>
      <c r="I414" s="14">
        <v>2029833.75</v>
      </c>
      <c r="J414" s="14">
        <v>6089501.25</v>
      </c>
      <c r="K414" s="30">
        <v>0.0</v>
      </c>
      <c r="L414" s="93"/>
    </row>
    <row r="415" spans="1:12" ht="27.6">
      <c r="A415" s="2" t="s">
        <v>645</v>
      </c>
      <c r="B415" s="2">
        <v>85</v>
      </c>
      <c r="C415" s="12" t="s">
        <v>109</v>
      </c>
      <c r="D415" s="12" t="s">
        <v>470</v>
      </c>
      <c r="E415" s="13" t="s">
        <v>24</v>
      </c>
      <c r="F415" s="30">
        <v>3</v>
      </c>
      <c r="G415" s="30"/>
      <c r="H415" s="30"/>
      <c r="I415" s="14">
        <v>1299093.6000000001</v>
      </c>
      <c r="J415" s="14">
        <v>3897280.8000000003</v>
      </c>
      <c r="K415" s="30">
        <v>0.0</v>
      </c>
      <c r="L415" s="93"/>
    </row>
    <row r="416" spans="1:12" ht="55.2">
      <c r="A416" s="2" t="s">
        <v>645</v>
      </c>
      <c r="B416" s="2">
        <v>86</v>
      </c>
      <c r="C416" s="12" t="s">
        <v>110</v>
      </c>
      <c r="D416" s="12" t="s">
        <v>471</v>
      </c>
      <c r="E416" s="13" t="s">
        <v>24</v>
      </c>
      <c r="F416" s="30">
        <v>3</v>
      </c>
      <c r="G416" s="30"/>
      <c r="H416" s="30"/>
      <c r="I416" s="14">
        <v>9859192.5</v>
      </c>
      <c r="J416" s="14">
        <v>29577577.5</v>
      </c>
      <c r="K416" s="30">
        <v>0.0</v>
      </c>
      <c r="L416" s="93"/>
    </row>
    <row r="417" spans="1:12" ht="15.6">
      <c r="A417" s="2" t="s">
        <v>645</v>
      </c>
      <c r="B417" s="2">
        <v>87</v>
      </c>
      <c r="C417" s="12" t="s">
        <v>111</v>
      </c>
      <c r="D417" s="12" t="s">
        <v>472</v>
      </c>
      <c r="E417" s="13" t="s">
        <v>24</v>
      </c>
      <c r="F417" s="30">
        <v>3</v>
      </c>
      <c r="G417" s="30"/>
      <c r="H417" s="30"/>
      <c r="I417" s="14">
        <v>1217900.25</v>
      </c>
      <c r="J417" s="14">
        <v>3653700.75</v>
      </c>
      <c r="K417" s="30">
        <v>0.0</v>
      </c>
      <c r="L417" s="93"/>
    </row>
    <row r="418" spans="1:12" ht="15.6">
      <c r="A418" s="2" t="s">
        <v>645</v>
      </c>
      <c r="B418" s="2">
        <v>88</v>
      </c>
      <c r="C418" s="12" t="s">
        <v>112</v>
      </c>
      <c r="D418" s="12" t="s">
        <v>473</v>
      </c>
      <c r="E418" s="13" t="s">
        <v>24</v>
      </c>
      <c r="F418" s="30">
        <v>3</v>
      </c>
      <c r="G418" s="30"/>
      <c r="H418" s="30"/>
      <c r="I418" s="14">
        <v>255179.1</v>
      </c>
      <c r="J418" s="14">
        <v>765537.3</v>
      </c>
      <c r="K418" s="30">
        <v>0.0</v>
      </c>
      <c r="L418" s="93"/>
    </row>
    <row r="419" spans="1:12" ht="15.6">
      <c r="A419" s="2">
        <v>0</v>
      </c>
      <c r="B419" s="2"/>
      <c r="C419" s="15" t="s">
        <v>113</v>
      </c>
      <c r="D419" s="12" t="s">
        <v>474</v>
      </c>
      <c r="E419" s="13"/>
      <c r="F419" s="30"/>
      <c r="G419" s="30"/>
      <c r="H419" s="30"/>
      <c r="I419" s="14"/>
      <c r="J419" s="14"/>
      <c r="K419" s="14"/>
      <c r="L419" s="93"/>
    </row>
    <row r="420" spans="1:12" ht="27.6">
      <c r="A420" s="2" t="s">
        <v>645</v>
      </c>
      <c r="B420" s="2">
        <v>89</v>
      </c>
      <c r="C420" s="12" t="s">
        <v>114</v>
      </c>
      <c r="D420" s="12" t="s">
        <v>475</v>
      </c>
      <c r="E420" s="13" t="s">
        <v>5</v>
      </c>
      <c r="F420" s="30">
        <v>92</v>
      </c>
      <c r="G420" s="30"/>
      <c r="H420" s="30"/>
      <c r="I420" s="14">
        <v>917484.85499999998</v>
      </c>
      <c r="J420" s="14">
        <v>84408606.659999996</v>
      </c>
      <c r="K420" s="30">
        <v>0.0</v>
      </c>
      <c r="L420" s="93"/>
    </row>
    <row r="421" spans="1:12" ht="27.6">
      <c r="A421" s="2" t="s">
        <v>645</v>
      </c>
      <c r="B421" s="2">
        <v>90</v>
      </c>
      <c r="C421" s="12" t="s">
        <v>115</v>
      </c>
      <c r="D421" s="12" t="s">
        <v>476</v>
      </c>
      <c r="E421" s="13" t="s">
        <v>5</v>
      </c>
      <c r="F421" s="30">
        <v>92</v>
      </c>
      <c r="G421" s="30"/>
      <c r="H421" s="30"/>
      <c r="I421" s="14">
        <v>63794.775000000001</v>
      </c>
      <c r="J421" s="14">
        <v>5869119.2999999998</v>
      </c>
      <c r="K421" s="30">
        <v>0.0</v>
      </c>
      <c r="L421" s="93"/>
    </row>
    <row r="422" spans="1:12" s="23" customFormat="1" ht="15.6">
      <c r="A422" s="19"/>
      <c r="B422" s="19"/>
      <c r="C422" s="20" t="s">
        <v>12</v>
      </c>
      <c r="D422" s="20" t="s">
        <v>477</v>
      </c>
      <c r="E422" s="21"/>
      <c r="F422" s="36"/>
      <c r="G422" s="36"/>
      <c r="H422" s="36"/>
      <c r="I422" s="22"/>
      <c r="J422" s="22">
        <v>327039632.46769434</v>
      </c>
      <c r="K422" s="22"/>
      <c r="L422" s="97"/>
    </row>
    <row r="423" spans="1:12" ht="15.6">
      <c r="A423" s="2">
        <v>0</v>
      </c>
      <c r="B423" s="2"/>
      <c r="C423" s="12" t="s">
        <v>116</v>
      </c>
      <c r="D423" s="12" t="s">
        <v>478</v>
      </c>
      <c r="E423" s="13"/>
      <c r="F423" s="30"/>
      <c r="G423" s="30"/>
      <c r="H423" s="30"/>
      <c r="I423" s="14"/>
      <c r="J423" s="14"/>
      <c r="K423" s="14"/>
      <c r="L423" s="93"/>
    </row>
    <row r="424" spans="1:12" ht="27.6">
      <c r="A424" s="2" t="s">
        <v>697</v>
      </c>
      <c r="B424" s="2">
        <v>1</v>
      </c>
      <c r="C424" s="12" t="s">
        <v>175</v>
      </c>
      <c r="D424" s="12" t="s">
        <v>529</v>
      </c>
      <c r="E424" s="13" t="s">
        <v>152</v>
      </c>
      <c r="F424" s="30">
        <v>12.005000000000001</v>
      </c>
      <c r="G424" s="30"/>
      <c r="H424" s="30"/>
      <c r="I424" s="14">
        <v>249922.24815330002</v>
      </c>
      <c r="J424" s="14">
        <v>3000316.5890803668</v>
      </c>
      <c r="K424" s="30">
        <v>10.22672</v>
      </c>
      <c r="L424" s="93"/>
    </row>
    <row r="425" spans="1:12" ht="27.6">
      <c r="A425" s="2" t="s">
        <v>641</v>
      </c>
      <c r="B425" s="2">
        <v>2</v>
      </c>
      <c r="C425" s="12" t="s">
        <v>119</v>
      </c>
      <c r="D425" s="12" t="s">
        <v>480</v>
      </c>
      <c r="E425" s="13" t="s">
        <v>145</v>
      </c>
      <c r="F425" s="30">
        <v>6.7290000000000001</v>
      </c>
      <c r="G425" s="30"/>
      <c r="H425" s="30"/>
      <c r="I425" s="14">
        <v>2227071.2377586598</v>
      </c>
      <c r="J425" s="14">
        <v>14985962.358878022</v>
      </c>
      <c r="K425" s="30">
        <v>3.7634578</v>
      </c>
      <c r="L425" s="93"/>
    </row>
    <row r="426" spans="1:12" ht="15.6">
      <c r="A426" s="2" t="s">
        <v>668</v>
      </c>
      <c r="B426" s="2">
        <v>3</v>
      </c>
      <c r="C426" s="12" t="s">
        <v>62</v>
      </c>
      <c r="D426" s="12" t="s">
        <v>425</v>
      </c>
      <c r="E426" s="13" t="s">
        <v>144</v>
      </c>
      <c r="F426" s="30">
        <v>13.867000000000001</v>
      </c>
      <c r="G426" s="30"/>
      <c r="H426" s="30"/>
      <c r="I426" s="14">
        <v>847049.03055282054</v>
      </c>
      <c r="J426" s="14">
        <v>11746028.906675963</v>
      </c>
      <c r="K426" s="30">
        <v>11.47775</v>
      </c>
      <c r="L426" s="93"/>
    </row>
    <row r="427" spans="1:12" ht="27.6">
      <c r="A427" s="2" t="s">
        <v>698</v>
      </c>
      <c r="B427" s="2">
        <v>4</v>
      </c>
      <c r="C427" s="12" t="s">
        <v>120</v>
      </c>
      <c r="D427" s="12" t="s">
        <v>481</v>
      </c>
      <c r="E427" s="13" t="s">
        <v>144</v>
      </c>
      <c r="F427" s="30">
        <v>2.774</v>
      </c>
      <c r="G427" s="30"/>
      <c r="H427" s="30"/>
      <c r="I427" s="14">
        <v>1290150.7933494374</v>
      </c>
      <c r="J427" s="14">
        <v>3578878.3007513396</v>
      </c>
      <c r="K427" s="30">
        <v>0.0</v>
      </c>
      <c r="L427" s="93"/>
    </row>
    <row r="428" spans="1:12" ht="27.6">
      <c r="A428" s="2" t="s">
        <v>692</v>
      </c>
      <c r="B428" s="2">
        <v>5</v>
      </c>
      <c r="C428" s="12" t="s">
        <v>121</v>
      </c>
      <c r="D428" s="12" t="s">
        <v>482</v>
      </c>
      <c r="E428" s="13" t="s">
        <v>144</v>
      </c>
      <c r="F428" s="30">
        <v>37.119999999999997</v>
      </c>
      <c r="G428" s="30"/>
      <c r="H428" s="30"/>
      <c r="I428" s="14">
        <v>1301106.6825224052</v>
      </c>
      <c r="J428" s="14">
        <v>48297080.055231676</v>
      </c>
      <c r="K428" s="30">
        <v>29.0</v>
      </c>
      <c r="L428" s="93"/>
    </row>
    <row r="429" spans="1:12" ht="27.6">
      <c r="A429" s="2" t="s">
        <v>699</v>
      </c>
      <c r="B429" s="2">
        <v>6</v>
      </c>
      <c r="C429" s="12" t="s">
        <v>122</v>
      </c>
      <c r="D429" s="12" t="s">
        <v>483</v>
      </c>
      <c r="E429" s="13" t="s">
        <v>144</v>
      </c>
      <c r="F429" s="30">
        <v>14.618</v>
      </c>
      <c r="G429" s="30"/>
      <c r="H429" s="30"/>
      <c r="I429" s="14">
        <v>1403526.559514499</v>
      </c>
      <c r="J429" s="14">
        <v>20516751.246982947</v>
      </c>
      <c r="K429" s="30">
        <v>0.0</v>
      </c>
      <c r="L429" s="93"/>
    </row>
    <row r="430" spans="1:12" ht="15.6">
      <c r="A430" s="2" t="s">
        <v>670</v>
      </c>
      <c r="B430" s="2">
        <v>7</v>
      </c>
      <c r="C430" s="12" t="s">
        <v>176</v>
      </c>
      <c r="D430" s="12" t="s">
        <v>530</v>
      </c>
      <c r="E430" s="13" t="s">
        <v>149</v>
      </c>
      <c r="F430" s="30">
        <v>0.67200000000000004</v>
      </c>
      <c r="G430" s="30"/>
      <c r="H430" s="30"/>
      <c r="I430" s="14">
        <v>5847333.4887753464</v>
      </c>
      <c r="J430" s="14">
        <v>3929408.1044570329</v>
      </c>
      <c r="K430" s="30">
        <v>0.29046</v>
      </c>
      <c r="L430" s="93"/>
    </row>
    <row r="431" spans="1:12" ht="15.6">
      <c r="A431" s="2">
        <v>0</v>
      </c>
      <c r="B431" s="2"/>
      <c r="C431" s="15" t="s">
        <v>123</v>
      </c>
      <c r="D431" s="12" t="s">
        <v>484</v>
      </c>
      <c r="E431" s="13"/>
      <c r="F431" s="30"/>
      <c r="G431" s="30"/>
      <c r="H431" s="30"/>
      <c r="I431" s="14"/>
      <c r="J431" s="14"/>
      <c r="K431" s="14"/>
      <c r="L431" s="93"/>
    </row>
    <row r="432" spans="1:12" ht="27.6">
      <c r="A432" s="2" t="s">
        <v>700</v>
      </c>
      <c r="B432" s="2">
        <v>8</v>
      </c>
      <c r="C432" s="12" t="s">
        <v>162</v>
      </c>
      <c r="D432" s="12" t="s">
        <v>517</v>
      </c>
      <c r="E432" s="13" t="s">
        <v>144</v>
      </c>
      <c r="F432" s="30">
        <v>55.192999999999998</v>
      </c>
      <c r="G432" s="30"/>
      <c r="H432" s="30"/>
      <c r="I432" s="14">
        <v>1685860.1402580212</v>
      </c>
      <c r="J432" s="14">
        <v>93047678.721260965</v>
      </c>
      <c r="K432" s="30">
        <v>33.925666666666665</v>
      </c>
      <c r="L432" s="93"/>
    </row>
    <row r="433" spans="1:12" ht="15.6">
      <c r="A433" s="2" t="s">
        <v>702</v>
      </c>
      <c r="B433" s="2">
        <v>9</v>
      </c>
      <c r="C433" s="12" t="s">
        <v>125</v>
      </c>
      <c r="D433" s="12" t="s">
        <v>486</v>
      </c>
      <c r="E433" s="13" t="s">
        <v>144</v>
      </c>
      <c r="F433" s="30">
        <v>7.68</v>
      </c>
      <c r="G433" s="30"/>
      <c r="H433" s="30"/>
      <c r="I433" s="14">
        <v>1885087.661267566</v>
      </c>
      <c r="J433" s="14">
        <v>14477473.238534907</v>
      </c>
      <c r="K433" s="30">
        <v>5.76</v>
      </c>
      <c r="L433" s="93"/>
    </row>
    <row r="434" spans="1:12" ht="27.6">
      <c r="A434" s="2" t="s">
        <v>701</v>
      </c>
      <c r="B434" s="2">
        <v>10</v>
      </c>
      <c r="C434" s="12" t="s">
        <v>163</v>
      </c>
      <c r="D434" s="12" t="s">
        <v>518</v>
      </c>
      <c r="E434" s="13" t="s">
        <v>144</v>
      </c>
      <c r="F434" s="30">
        <v>11.23</v>
      </c>
      <c r="G434" s="30"/>
      <c r="H434" s="30"/>
      <c r="I434" s="14">
        <v>1738137.3363824864</v>
      </c>
      <c r="J434" s="14">
        <v>19519282.287575323</v>
      </c>
      <c r="K434" s="30">
        <v>8.920000000000002</v>
      </c>
      <c r="L434" s="93"/>
    </row>
    <row r="435" spans="1:12" ht="15.6">
      <c r="A435" s="2" t="s">
        <v>705</v>
      </c>
      <c r="B435" s="2">
        <v>11</v>
      </c>
      <c r="C435" s="12" t="s">
        <v>219</v>
      </c>
      <c r="D435" s="12" t="s">
        <v>576</v>
      </c>
      <c r="E435" s="13" t="s">
        <v>149</v>
      </c>
      <c r="F435" s="30">
        <v>2.2679999999999998</v>
      </c>
      <c r="G435" s="30"/>
      <c r="H435" s="30"/>
      <c r="I435" s="14">
        <v>15377258.3164245</v>
      </c>
      <c r="J435" s="14">
        <v>34875621.861650765</v>
      </c>
      <c r="K435" s="30">
        <v>1.4118466666666665</v>
      </c>
      <c r="L435" s="93"/>
    </row>
    <row r="436" spans="1:12" ht="15.6">
      <c r="A436" s="2" t="s">
        <v>670</v>
      </c>
      <c r="B436" s="2">
        <v>12</v>
      </c>
      <c r="C436" s="12" t="s">
        <v>130</v>
      </c>
      <c r="D436" s="12" t="s">
        <v>491</v>
      </c>
      <c r="E436" s="13" t="s">
        <v>149</v>
      </c>
      <c r="F436" s="30">
        <v>0.50600000000000001</v>
      </c>
      <c r="G436" s="30"/>
      <c r="H436" s="30"/>
      <c r="I436" s="14">
        <v>5847333.4887753464</v>
      </c>
      <c r="J436" s="14">
        <v>2958750.7453203253</v>
      </c>
      <c r="K436" s="30">
        <v>0.39360000000000006</v>
      </c>
      <c r="L436" s="93"/>
    </row>
    <row r="437" spans="1:12" ht="15.6">
      <c r="A437" s="2" t="s">
        <v>706</v>
      </c>
      <c r="B437" s="2">
        <v>13</v>
      </c>
      <c r="C437" s="12" t="s">
        <v>131</v>
      </c>
      <c r="D437" s="12" t="s">
        <v>492</v>
      </c>
      <c r="E437" s="13" t="s">
        <v>149</v>
      </c>
      <c r="F437" s="30">
        <v>0.443</v>
      </c>
      <c r="G437" s="30"/>
      <c r="H437" s="30"/>
      <c r="I437" s="14">
        <v>9556992.580486374</v>
      </c>
      <c r="J437" s="14">
        <v>4233747.7131554633</v>
      </c>
      <c r="K437" s="30">
        <v>0.3476632</v>
      </c>
      <c r="L437" s="93"/>
    </row>
    <row r="438" spans="1:12" ht="15.6">
      <c r="A438" s="2" t="s">
        <v>677</v>
      </c>
      <c r="B438" s="2">
        <v>14</v>
      </c>
      <c r="C438" s="12" t="s">
        <v>126</v>
      </c>
      <c r="D438" s="12" t="s">
        <v>487</v>
      </c>
      <c r="E438" s="13" t="s">
        <v>146</v>
      </c>
      <c r="F438" s="30">
        <v>0.60799999999999998</v>
      </c>
      <c r="G438" s="30"/>
      <c r="H438" s="30"/>
      <c r="I438" s="14">
        <v>23279148.621693719</v>
      </c>
      <c r="J438" s="14">
        <v>14153722.361989781</v>
      </c>
      <c r="K438" s="30">
        <v>0.47964</v>
      </c>
      <c r="L438" s="93"/>
    </row>
    <row r="439" spans="1:12" ht="15.6">
      <c r="A439" s="2" t="s">
        <v>678</v>
      </c>
      <c r="B439" s="2">
        <v>15</v>
      </c>
      <c r="C439" s="12" t="s">
        <v>127</v>
      </c>
      <c r="D439" s="12" t="s">
        <v>488</v>
      </c>
      <c r="E439" s="13" t="s">
        <v>146</v>
      </c>
      <c r="F439" s="30">
        <v>1.234</v>
      </c>
      <c r="G439" s="30"/>
      <c r="H439" s="30"/>
      <c r="I439" s="14">
        <v>22298275.433076847</v>
      </c>
      <c r="J439" s="14">
        <v>27516071.88441683</v>
      </c>
      <c r="K439" s="30">
        <v>0.0</v>
      </c>
      <c r="L439" s="93"/>
    </row>
    <row r="440" spans="1:12" ht="15.6">
      <c r="A440" s="2" t="s">
        <v>703</v>
      </c>
      <c r="B440" s="2">
        <v>16</v>
      </c>
      <c r="C440" s="12" t="s">
        <v>128</v>
      </c>
      <c r="D440" s="12" t="s">
        <v>489</v>
      </c>
      <c r="E440" s="13" t="s">
        <v>146</v>
      </c>
      <c r="F440" s="30">
        <v>0.27900000000000003</v>
      </c>
      <c r="G440" s="30"/>
      <c r="H440" s="30"/>
      <c r="I440" s="14">
        <v>22227176.507897273</v>
      </c>
      <c r="J440" s="14">
        <v>6201382.2457033396</v>
      </c>
      <c r="K440" s="30">
        <v>0.20948000000000003</v>
      </c>
      <c r="L440" s="93"/>
    </row>
    <row r="441" spans="1:12" ht="15.6">
      <c r="A441" s="2" t="s">
        <v>704</v>
      </c>
      <c r="B441" s="2">
        <v>17</v>
      </c>
      <c r="C441" s="12" t="s">
        <v>129</v>
      </c>
      <c r="D441" s="12" t="s">
        <v>490</v>
      </c>
      <c r="E441" s="13" t="s">
        <v>146</v>
      </c>
      <c r="F441" s="30"/>
      <c r="G441" s="30"/>
      <c r="H441" s="30"/>
      <c r="I441" s="14"/>
      <c r="J441" s="14"/>
      <c r="K441" s="30">
        <v>0.0</v>
      </c>
      <c r="L441" s="93"/>
    </row>
    <row r="442" spans="1:12" ht="15.6">
      <c r="A442" s="2" t="s">
        <v>680</v>
      </c>
      <c r="B442" s="2">
        <v>18</v>
      </c>
      <c r="C442" s="12" t="s">
        <v>165</v>
      </c>
      <c r="D442" s="12" t="s">
        <v>520</v>
      </c>
      <c r="E442" s="13" t="s">
        <v>392</v>
      </c>
      <c r="F442" s="30">
        <v>48</v>
      </c>
      <c r="G442" s="30"/>
      <c r="H442" s="30"/>
      <c r="I442" s="14">
        <v>33088.984387921992</v>
      </c>
      <c r="J442" s="14">
        <v>1588271.2506202557</v>
      </c>
      <c r="K442" s="30">
        <v>24.0</v>
      </c>
      <c r="L442" s="93"/>
    </row>
    <row r="443" spans="1:12" ht="15.6">
      <c r="A443" s="2">
        <v>0</v>
      </c>
      <c r="B443" s="2"/>
      <c r="C443" s="15" t="s">
        <v>140</v>
      </c>
      <c r="D443" s="12" t="s">
        <v>501</v>
      </c>
      <c r="E443" s="13"/>
      <c r="F443" s="30">
        <v>0</v>
      </c>
      <c r="G443" s="30"/>
      <c r="H443" s="30"/>
      <c r="I443" s="14"/>
      <c r="J443" s="14"/>
      <c r="K443" s="14"/>
      <c r="L443" s="93"/>
    </row>
    <row r="444" spans="1:12" ht="27.6">
      <c r="A444" s="2" t="s">
        <v>691</v>
      </c>
      <c r="B444" s="2">
        <v>19</v>
      </c>
      <c r="C444" s="12" t="s">
        <v>141</v>
      </c>
      <c r="D444" s="12" t="s">
        <v>325</v>
      </c>
      <c r="E444" s="13" t="s">
        <v>145</v>
      </c>
      <c r="F444" s="30">
        <v>0.33700000000000002</v>
      </c>
      <c r="G444" s="30"/>
      <c r="H444" s="30"/>
      <c r="I444" s="14">
        <v>3406602.6497878134</v>
      </c>
      <c r="J444" s="14">
        <v>1148025.0929784933</v>
      </c>
      <c r="K444" s="30">
        <v>0.315006</v>
      </c>
      <c r="L444" s="93"/>
    </row>
    <row r="445" spans="1:12" ht="27.6">
      <c r="A445" s="2" t="s">
        <v>643</v>
      </c>
      <c r="B445" s="2">
        <v>20</v>
      </c>
      <c r="C445" s="12" t="s">
        <v>36</v>
      </c>
      <c r="D445" s="12" t="s">
        <v>399</v>
      </c>
      <c r="E445" s="13" t="s">
        <v>145</v>
      </c>
      <c r="F445" s="30">
        <v>1.08</v>
      </c>
      <c r="G445" s="30"/>
      <c r="H445" s="30"/>
      <c r="I445" s="14">
        <v>1171462.5022504972</v>
      </c>
      <c r="J445" s="14">
        <v>1265179.502430537</v>
      </c>
      <c r="K445" s="30">
        <v>0.8995705999999999</v>
      </c>
      <c r="L445" s="93"/>
    </row>
    <row r="446" spans="1:12" s="23" customFormat="1" ht="15.6">
      <c r="A446" s="19"/>
      <c r="B446" s="19"/>
      <c r="C446" s="20" t="s">
        <v>21</v>
      </c>
      <c r="D446" s="20" t="s">
        <v>577</v>
      </c>
      <c r="E446" s="21"/>
      <c r="F446" s="36"/>
      <c r="G446" s="36"/>
      <c r="H446" s="36"/>
      <c r="I446" s="22"/>
      <c r="J446" s="22">
        <v>497091600.63119864</v>
      </c>
      <c r="K446" s="22"/>
      <c r="L446" s="97"/>
    </row>
    <row r="447" spans="1:12" ht="15.6">
      <c r="A447" s="2"/>
      <c r="B447" s="2"/>
      <c r="C447" s="12" t="s">
        <v>220</v>
      </c>
      <c r="D447" s="12" t="s">
        <v>578</v>
      </c>
      <c r="E447" s="13"/>
      <c r="F447" s="30"/>
      <c r="G447" s="30"/>
      <c r="H447" s="30"/>
      <c r="I447" s="14"/>
      <c r="J447" s="14"/>
      <c r="K447" s="14"/>
      <c r="L447" s="93"/>
    </row>
    <row r="448" spans="1:12" ht="15.6">
      <c r="A448" s="2" t="s">
        <v>668</v>
      </c>
      <c r="B448" s="2">
        <v>1</v>
      </c>
      <c r="C448" s="12" t="s">
        <v>62</v>
      </c>
      <c r="D448" s="12" t="s">
        <v>425</v>
      </c>
      <c r="E448" s="13" t="s">
        <v>144</v>
      </c>
      <c r="F448" s="30">
        <v>4.9400000000000004</v>
      </c>
      <c r="G448" s="30"/>
      <c r="H448" s="30"/>
      <c r="I448" s="14">
        <v>847049.03055282054</v>
      </c>
      <c r="J448" s="14">
        <v>4184422.2109309337</v>
      </c>
      <c r="K448" s="30">
        <v>0.0</v>
      </c>
      <c r="L448" s="93"/>
    </row>
    <row r="449" spans="1:12" ht="27.6">
      <c r="A449" s="2" t="s">
        <v>692</v>
      </c>
      <c r="B449" s="2">
        <v>2</v>
      </c>
      <c r="C449" s="12" t="s">
        <v>121</v>
      </c>
      <c r="D449" s="12" t="s">
        <v>482</v>
      </c>
      <c r="E449" s="13" t="s">
        <v>144</v>
      </c>
      <c r="F449" s="30">
        <v>26</v>
      </c>
      <c r="G449" s="30"/>
      <c r="H449" s="30"/>
      <c r="I449" s="14">
        <v>1301106.6825224052</v>
      </c>
      <c r="J449" s="14">
        <v>33828773.745582536</v>
      </c>
      <c r="K449" s="30">
        <v>0.0</v>
      </c>
      <c r="L449" s="93"/>
    </row>
    <row r="450" spans="1:12" ht="27.6">
      <c r="A450" s="2" t="s">
        <v>729</v>
      </c>
      <c r="B450" s="2">
        <v>3</v>
      </c>
      <c r="C450" s="12" t="s">
        <v>221</v>
      </c>
      <c r="D450" s="12" t="s">
        <v>579</v>
      </c>
      <c r="E450" s="13" t="s">
        <v>144</v>
      </c>
      <c r="F450" s="30">
        <v>43.618000000000002</v>
      </c>
      <c r="G450" s="30"/>
      <c r="H450" s="30"/>
      <c r="I450" s="14">
        <v>1636472.5452630213</v>
      </c>
      <c r="J450" s="14">
        <v>71379659.479282469</v>
      </c>
      <c r="K450" s="30">
        <v>0.0</v>
      </c>
      <c r="L450" s="93"/>
    </row>
    <row r="451" spans="1:12" ht="27.6">
      <c r="A451" s="2" t="s">
        <v>698</v>
      </c>
      <c r="B451" s="2">
        <v>4</v>
      </c>
      <c r="C451" s="12" t="s">
        <v>120</v>
      </c>
      <c r="D451" s="12" t="s">
        <v>481</v>
      </c>
      <c r="E451" s="13" t="s">
        <v>144</v>
      </c>
      <c r="F451" s="30">
        <v>6.21</v>
      </c>
      <c r="G451" s="30"/>
      <c r="H451" s="30"/>
      <c r="I451" s="14">
        <v>1290150.7933494374</v>
      </c>
      <c r="J451" s="14">
        <v>8011836.4267000062</v>
      </c>
      <c r="K451" s="30">
        <v>0.0</v>
      </c>
      <c r="L451" s="93"/>
    </row>
    <row r="452" spans="1:12" ht="27.6">
      <c r="A452" s="2" t="s">
        <v>730</v>
      </c>
      <c r="B452" s="2">
        <v>5</v>
      </c>
      <c r="C452" s="12" t="s">
        <v>178</v>
      </c>
      <c r="D452" s="12" t="s">
        <v>533</v>
      </c>
      <c r="E452" s="13" t="s">
        <v>144</v>
      </c>
      <c r="F452" s="30">
        <v>2.25</v>
      </c>
      <c r="G452" s="30"/>
      <c r="H452" s="30"/>
      <c r="I452" s="14">
        <v>1707418.6578313273</v>
      </c>
      <c r="J452" s="14">
        <v>3841691.9801204866</v>
      </c>
      <c r="K452" s="30">
        <v>0.0</v>
      </c>
      <c r="L452" s="93"/>
    </row>
    <row r="453" spans="1:12" ht="15.6">
      <c r="A453" s="2" t="s">
        <v>670</v>
      </c>
      <c r="B453" s="2">
        <v>6</v>
      </c>
      <c r="C453" s="12" t="s">
        <v>176</v>
      </c>
      <c r="D453" s="12" t="s">
        <v>530</v>
      </c>
      <c r="E453" s="13" t="s">
        <v>149</v>
      </c>
      <c r="F453" s="30">
        <v>0.56000000000000005</v>
      </c>
      <c r="G453" s="30"/>
      <c r="H453" s="30"/>
      <c r="I453" s="14">
        <v>5847333.4887753464</v>
      </c>
      <c r="J453" s="14">
        <v>3274506.7537141945</v>
      </c>
      <c r="K453" s="30">
        <v>0.0</v>
      </c>
      <c r="L453" s="93"/>
    </row>
    <row r="454" spans="1:12" ht="15.6">
      <c r="A454" s="2" t="s">
        <v>705</v>
      </c>
      <c r="B454" s="2">
        <v>7</v>
      </c>
      <c r="C454" s="12" t="s">
        <v>184</v>
      </c>
      <c r="D454" s="12" t="s">
        <v>539</v>
      </c>
      <c r="E454" s="13" t="s">
        <v>149</v>
      </c>
      <c r="F454" s="30">
        <v>1.488</v>
      </c>
      <c r="G454" s="30"/>
      <c r="H454" s="30"/>
      <c r="I454" s="14">
        <v>15377258.3164245</v>
      </c>
      <c r="J454" s="14">
        <v>22881360.374839656</v>
      </c>
      <c r="K454" s="30">
        <v>0.0</v>
      </c>
      <c r="L454" s="93"/>
    </row>
    <row r="455" spans="1:12" ht="15.6">
      <c r="A455" s="2">
        <v>0</v>
      </c>
      <c r="B455" s="2"/>
      <c r="C455" s="15" t="s">
        <v>181</v>
      </c>
      <c r="D455" s="12" t="s">
        <v>536</v>
      </c>
      <c r="E455" s="13"/>
      <c r="F455" s="30"/>
      <c r="G455" s="30"/>
      <c r="H455" s="30"/>
      <c r="I455" s="14"/>
      <c r="J455" s="14"/>
      <c r="K455" s="14"/>
      <c r="L455" s="93"/>
    </row>
    <row r="456" spans="1:12" ht="15.6">
      <c r="A456" s="2" t="s">
        <v>702</v>
      </c>
      <c r="B456" s="2">
        <v>8</v>
      </c>
      <c r="C456" s="12" t="s">
        <v>125</v>
      </c>
      <c r="D456" s="12" t="s">
        <v>486</v>
      </c>
      <c r="E456" s="13" t="s">
        <v>144</v>
      </c>
      <c r="F456" s="30">
        <v>4.0599999999999996</v>
      </c>
      <c r="G456" s="30"/>
      <c r="H456" s="30"/>
      <c r="I456" s="14">
        <v>1885087.661267566</v>
      </c>
      <c r="J456" s="14">
        <v>7653455.9047463173</v>
      </c>
      <c r="K456" s="30">
        <v>0.0</v>
      </c>
      <c r="L456" s="93"/>
    </row>
    <row r="457" spans="1:12" ht="15.6">
      <c r="A457" s="2" t="s">
        <v>703</v>
      </c>
      <c r="B457" s="2">
        <v>9</v>
      </c>
      <c r="C457" s="12" t="s">
        <v>128</v>
      </c>
      <c r="D457" s="12" t="s">
        <v>489</v>
      </c>
      <c r="E457" s="13" t="s">
        <v>146</v>
      </c>
      <c r="F457" s="30">
        <v>0.31900000000000001</v>
      </c>
      <c r="G457" s="30"/>
      <c r="H457" s="30"/>
      <c r="I457" s="14">
        <v>22227176.507897273</v>
      </c>
      <c r="J457" s="14">
        <v>7090469.3060192298</v>
      </c>
      <c r="K457" s="30">
        <v>0.0</v>
      </c>
      <c r="L457" s="93"/>
    </row>
    <row r="458" spans="1:12" ht="15.6">
      <c r="A458" s="2" t="s">
        <v>704</v>
      </c>
      <c r="B458" s="2">
        <v>10</v>
      </c>
      <c r="C458" s="12" t="s">
        <v>129</v>
      </c>
      <c r="D458" s="12" t="s">
        <v>490</v>
      </c>
      <c r="E458" s="13" t="s">
        <v>146</v>
      </c>
      <c r="F458" s="30">
        <v>2.4E-2</v>
      </c>
      <c r="G458" s="30"/>
      <c r="H458" s="30"/>
      <c r="I458" s="14">
        <v>21917110.212572783</v>
      </c>
      <c r="J458" s="14">
        <v>526010.64510174678</v>
      </c>
      <c r="K458" s="30">
        <v>0.0</v>
      </c>
      <c r="L458" s="93"/>
    </row>
    <row r="459" spans="1:12" ht="15.6">
      <c r="A459" s="2" t="s">
        <v>670</v>
      </c>
      <c r="B459" s="2">
        <v>11</v>
      </c>
      <c r="C459" s="12" t="s">
        <v>130</v>
      </c>
      <c r="D459" s="12" t="s">
        <v>491</v>
      </c>
      <c r="E459" s="13" t="s">
        <v>149</v>
      </c>
      <c r="F459" s="30">
        <v>0.24</v>
      </c>
      <c r="G459" s="30"/>
      <c r="H459" s="30"/>
      <c r="I459" s="14">
        <v>5847333.4887753464</v>
      </c>
      <c r="J459" s="14">
        <v>1403360.0373060831</v>
      </c>
      <c r="K459" s="30">
        <v>0.0</v>
      </c>
      <c r="L459" s="93"/>
    </row>
    <row r="460" spans="1:12" ht="15.6">
      <c r="A460" s="2">
        <v>0</v>
      </c>
      <c r="B460" s="2"/>
      <c r="C460" s="15" t="s">
        <v>182</v>
      </c>
      <c r="D460" s="12" t="s">
        <v>537</v>
      </c>
      <c r="E460" s="13"/>
      <c r="F460" s="30"/>
      <c r="G460" s="30"/>
      <c r="H460" s="30"/>
      <c r="I460" s="14"/>
      <c r="J460" s="14"/>
      <c r="K460" s="14"/>
      <c r="L460" s="93"/>
    </row>
    <row r="461" spans="1:12" ht="27.6">
      <c r="A461" s="2" t="s">
        <v>692</v>
      </c>
      <c r="B461" s="2">
        <v>12</v>
      </c>
      <c r="C461" s="12" t="s">
        <v>121</v>
      </c>
      <c r="D461" s="12" t="s">
        <v>482</v>
      </c>
      <c r="E461" s="13" t="s">
        <v>144</v>
      </c>
      <c r="F461" s="30">
        <v>18.564</v>
      </c>
      <c r="G461" s="30"/>
      <c r="H461" s="30"/>
      <c r="I461" s="14">
        <v>1301106.6825224052</v>
      </c>
      <c r="J461" s="14">
        <v>24153744.45434593</v>
      </c>
      <c r="K461" s="30">
        <v>0.0</v>
      </c>
      <c r="L461" s="93"/>
    </row>
    <row r="462" spans="1:12" ht="27.6">
      <c r="A462" s="2" t="s">
        <v>729</v>
      </c>
      <c r="B462" s="2">
        <v>13</v>
      </c>
      <c r="C462" s="12" t="s">
        <v>221</v>
      </c>
      <c r="D462" s="12" t="s">
        <v>579</v>
      </c>
      <c r="E462" s="13" t="s">
        <v>144</v>
      </c>
      <c r="F462" s="30">
        <v>14.8</v>
      </c>
      <c r="G462" s="30"/>
      <c r="H462" s="30"/>
      <c r="I462" s="14">
        <v>1702900.3046130214</v>
      </c>
      <c r="J462" s="14">
        <v>25202924.508272719</v>
      </c>
      <c r="K462" s="30">
        <v>0.0</v>
      </c>
      <c r="L462" s="93"/>
    </row>
    <row r="463" spans="1:12" ht="27.6">
      <c r="A463" s="2" t="s">
        <v>698</v>
      </c>
      <c r="B463" s="2">
        <v>14</v>
      </c>
      <c r="C463" s="12" t="s">
        <v>183</v>
      </c>
      <c r="D463" s="12" t="s">
        <v>538</v>
      </c>
      <c r="E463" s="13" t="s">
        <v>144</v>
      </c>
      <c r="F463" s="30">
        <v>4.09</v>
      </c>
      <c r="G463" s="30"/>
      <c r="H463" s="30"/>
      <c r="I463" s="14">
        <v>1290150.7933494374</v>
      </c>
      <c r="J463" s="14">
        <v>5276716.7447991986</v>
      </c>
      <c r="K463" s="30">
        <v>0.0</v>
      </c>
      <c r="L463" s="93"/>
    </row>
    <row r="464" spans="1:12" ht="15.6">
      <c r="A464" s="2" t="s">
        <v>668</v>
      </c>
      <c r="B464" s="2">
        <v>15</v>
      </c>
      <c r="C464" s="12" t="s">
        <v>62</v>
      </c>
      <c r="D464" s="12" t="s">
        <v>425</v>
      </c>
      <c r="E464" s="13" t="s">
        <v>144</v>
      </c>
      <c r="F464" s="30">
        <v>3.4209999999999998</v>
      </c>
      <c r="G464" s="30"/>
      <c r="H464" s="30"/>
      <c r="I464" s="14">
        <v>847049.03055282054</v>
      </c>
      <c r="J464" s="14">
        <v>2897754.7335211989</v>
      </c>
      <c r="K464" s="30">
        <v>0.0</v>
      </c>
      <c r="L464" s="93"/>
    </row>
    <row r="465" spans="1:12" ht="15.6">
      <c r="A465" s="2" t="s">
        <v>670</v>
      </c>
      <c r="B465" s="2">
        <v>16</v>
      </c>
      <c r="C465" s="12" t="s">
        <v>176</v>
      </c>
      <c r="D465" s="12" t="s">
        <v>530</v>
      </c>
      <c r="E465" s="13" t="s">
        <v>149</v>
      </c>
      <c r="F465" s="30">
        <v>0.44400000000000001</v>
      </c>
      <c r="G465" s="30"/>
      <c r="H465" s="30"/>
      <c r="I465" s="14">
        <v>5847333.4887753464</v>
      </c>
      <c r="J465" s="14">
        <v>2596216.069016254</v>
      </c>
      <c r="K465" s="30">
        <v>0.0</v>
      </c>
      <c r="L465" s="93"/>
    </row>
    <row r="466" spans="1:12" ht="15.6">
      <c r="A466" s="2" t="s">
        <v>705</v>
      </c>
      <c r="B466" s="2">
        <v>17</v>
      </c>
      <c r="C466" s="12" t="s">
        <v>184</v>
      </c>
      <c r="D466" s="12" t="s">
        <v>539</v>
      </c>
      <c r="E466" s="13" t="s">
        <v>149</v>
      </c>
      <c r="F466" s="30">
        <v>0.56799999999999995</v>
      </c>
      <c r="G466" s="30"/>
      <c r="H466" s="30"/>
      <c r="I466" s="14">
        <v>15377258.3164245</v>
      </c>
      <c r="J466" s="14">
        <v>8734282.723729115</v>
      </c>
      <c r="K466" s="30">
        <v>0.0</v>
      </c>
      <c r="L466" s="93"/>
    </row>
    <row r="467" spans="1:12" ht="15.6">
      <c r="A467" s="2">
        <v>0</v>
      </c>
      <c r="B467" s="2"/>
      <c r="C467" s="15" t="s">
        <v>185</v>
      </c>
      <c r="D467" s="12" t="s">
        <v>540</v>
      </c>
      <c r="E467" s="13"/>
      <c r="F467" s="30"/>
      <c r="G467" s="30"/>
      <c r="H467" s="30"/>
      <c r="I467" s="14"/>
      <c r="J467" s="14"/>
      <c r="K467" s="14"/>
      <c r="L467" s="93"/>
    </row>
    <row r="468" spans="1:12" ht="27.6">
      <c r="A468" s="2" t="s">
        <v>740</v>
      </c>
      <c r="B468" s="2">
        <v>18</v>
      </c>
      <c r="C468" s="12" t="s">
        <v>222</v>
      </c>
      <c r="D468" s="12" t="s">
        <v>580</v>
      </c>
      <c r="E468" s="13" t="s">
        <v>144</v>
      </c>
      <c r="F468" s="30">
        <v>38.74</v>
      </c>
      <c r="G468" s="30"/>
      <c r="H468" s="30"/>
      <c r="I468" s="14">
        <v>1769972.911190867</v>
      </c>
      <c r="J468" s="14">
        <v>68568750.579534188</v>
      </c>
      <c r="K468" s="30">
        <v>0.0</v>
      </c>
      <c r="L468" s="93"/>
    </row>
    <row r="469" spans="1:12" ht="15.6">
      <c r="A469" s="2" t="s">
        <v>732</v>
      </c>
      <c r="B469" s="2">
        <v>19</v>
      </c>
      <c r="C469" s="12" t="s">
        <v>187</v>
      </c>
      <c r="D469" s="12" t="s">
        <v>542</v>
      </c>
      <c r="E469" s="13" t="s">
        <v>146</v>
      </c>
      <c r="F469" s="30">
        <v>0.53800000000000003</v>
      </c>
      <c r="G469" s="30"/>
      <c r="H469" s="30"/>
      <c r="I469" s="14">
        <v>22724474.274690598</v>
      </c>
      <c r="J469" s="14">
        <v>12225767.159783542</v>
      </c>
      <c r="K469" s="30">
        <v>0.0</v>
      </c>
      <c r="L469" s="93"/>
    </row>
    <row r="470" spans="1:12" ht="15.6">
      <c r="A470" s="2" t="s">
        <v>733</v>
      </c>
      <c r="B470" s="2">
        <v>20</v>
      </c>
      <c r="C470" s="12" t="s">
        <v>188</v>
      </c>
      <c r="D470" s="12" t="s">
        <v>543</v>
      </c>
      <c r="E470" s="13" t="s">
        <v>146</v>
      </c>
      <c r="F470" s="30">
        <v>1.4370000000000001</v>
      </c>
      <c r="G470" s="30"/>
      <c r="H470" s="30"/>
      <c r="I470" s="14">
        <v>22900566.619561616</v>
      </c>
      <c r="J470" s="14">
        <v>32908114.232310046</v>
      </c>
      <c r="K470" s="30">
        <v>0.0</v>
      </c>
      <c r="L470" s="93"/>
    </row>
    <row r="471" spans="1:12" ht="15.6">
      <c r="A471" s="2" t="s">
        <v>733</v>
      </c>
      <c r="B471" s="2">
        <v>21</v>
      </c>
      <c r="C471" s="12" t="s">
        <v>189</v>
      </c>
      <c r="D471" s="12" t="s">
        <v>544</v>
      </c>
      <c r="E471" s="13" t="s">
        <v>146</v>
      </c>
      <c r="F471" s="30">
        <v>2.4E-2</v>
      </c>
      <c r="G471" s="30"/>
      <c r="H471" s="30"/>
      <c r="I471" s="14">
        <v>22900566.619561616</v>
      </c>
      <c r="J471" s="14">
        <v>549613.5988694788</v>
      </c>
      <c r="K471" s="30">
        <v>0.0</v>
      </c>
      <c r="L471" s="93"/>
    </row>
    <row r="472" spans="1:12" ht="15.6">
      <c r="A472" s="2" t="s">
        <v>664</v>
      </c>
      <c r="B472" s="2">
        <v>22</v>
      </c>
      <c r="C472" s="12" t="s">
        <v>56</v>
      </c>
      <c r="D472" s="12" t="s">
        <v>419</v>
      </c>
      <c r="E472" s="13" t="s">
        <v>145</v>
      </c>
      <c r="F472" s="30">
        <v>0.39</v>
      </c>
      <c r="G472" s="30"/>
      <c r="H472" s="30"/>
      <c r="I472" s="14">
        <v>30952519.587396916</v>
      </c>
      <c r="J472" s="14">
        <v>12071482.639084797</v>
      </c>
      <c r="K472" s="30">
        <v>0.0</v>
      </c>
      <c r="L472" s="93"/>
    </row>
    <row r="473" spans="1:12" ht="15.6">
      <c r="A473" s="2" t="s">
        <v>734</v>
      </c>
      <c r="B473" s="2">
        <v>23</v>
      </c>
      <c r="C473" s="12" t="s">
        <v>190</v>
      </c>
      <c r="D473" s="12" t="s">
        <v>545</v>
      </c>
      <c r="E473" s="13" t="s">
        <v>149</v>
      </c>
      <c r="F473" s="30">
        <v>0.93600000000000005</v>
      </c>
      <c r="G473" s="30"/>
      <c r="H473" s="30"/>
      <c r="I473" s="14">
        <v>16671254.249939999</v>
      </c>
      <c r="J473" s="14">
        <v>15604293.97794384</v>
      </c>
      <c r="K473" s="30">
        <v>0.0</v>
      </c>
      <c r="L473" s="93"/>
    </row>
    <row r="474" spans="1:12" ht="15.6">
      <c r="A474" s="2">
        <v>0</v>
      </c>
      <c r="B474" s="2"/>
      <c r="C474" s="15" t="s">
        <v>191</v>
      </c>
      <c r="D474" s="12" t="s">
        <v>546</v>
      </c>
      <c r="E474" s="13"/>
      <c r="F474" s="30"/>
      <c r="G474" s="30"/>
      <c r="H474" s="30"/>
      <c r="I474" s="14"/>
      <c r="J474" s="14"/>
      <c r="K474" s="14"/>
      <c r="L474" s="93"/>
    </row>
    <row r="475" spans="1:12" ht="27.6">
      <c r="A475" s="2" t="s">
        <v>701</v>
      </c>
      <c r="B475" s="2">
        <v>24</v>
      </c>
      <c r="C475" s="12" t="s">
        <v>163</v>
      </c>
      <c r="D475" s="12" t="s">
        <v>518</v>
      </c>
      <c r="E475" s="13" t="s">
        <v>144</v>
      </c>
      <c r="F475" s="30">
        <v>9.9239999999999995</v>
      </c>
      <c r="G475" s="30"/>
      <c r="H475" s="30"/>
      <c r="I475" s="14">
        <v>1738137.3363824864</v>
      </c>
      <c r="J475" s="14">
        <v>17249274.926259793</v>
      </c>
      <c r="K475" s="30">
        <v>9.703</v>
      </c>
      <c r="L475" s="93"/>
    </row>
    <row r="476" spans="1:12" ht="15.6">
      <c r="A476" s="2" t="s">
        <v>715</v>
      </c>
      <c r="B476" s="2">
        <v>25</v>
      </c>
      <c r="C476" s="12" t="s">
        <v>192</v>
      </c>
      <c r="D476" s="12" t="s">
        <v>547</v>
      </c>
      <c r="E476" s="13" t="s">
        <v>148</v>
      </c>
      <c r="F476" s="30">
        <v>32.369999999999997</v>
      </c>
      <c r="G476" s="30"/>
      <c r="H476" s="30"/>
      <c r="I476" s="14">
        <v>187779.01324566358</v>
      </c>
      <c r="J476" s="14">
        <v>6078406.65876213</v>
      </c>
      <c r="K476" s="30">
        <v>32.370000000000005</v>
      </c>
      <c r="L476" s="93"/>
    </row>
    <row r="477" spans="1:12" ht="15.6">
      <c r="A477" s="2" t="s">
        <v>677</v>
      </c>
      <c r="B477" s="2">
        <v>26</v>
      </c>
      <c r="C477" s="12" t="s">
        <v>193</v>
      </c>
      <c r="D477" s="12" t="s">
        <v>548</v>
      </c>
      <c r="E477" s="13" t="s">
        <v>146</v>
      </c>
      <c r="F477" s="30">
        <v>0.51500000000000001</v>
      </c>
      <c r="G477" s="30"/>
      <c r="H477" s="30"/>
      <c r="I477" s="14">
        <v>23279148.621693719</v>
      </c>
      <c r="J477" s="14">
        <v>11988761.540172266</v>
      </c>
      <c r="K477" s="30">
        <v>0.515</v>
      </c>
      <c r="L477" s="93"/>
    </row>
    <row r="478" spans="1:12" ht="15.6">
      <c r="A478" s="2" t="s">
        <v>678</v>
      </c>
      <c r="B478" s="2">
        <v>27</v>
      </c>
      <c r="C478" s="12" t="s">
        <v>223</v>
      </c>
      <c r="D478" s="12" t="s">
        <v>581</v>
      </c>
      <c r="E478" s="13" t="s">
        <v>146</v>
      </c>
      <c r="F478" s="30">
        <v>0.76800000000000002</v>
      </c>
      <c r="G478" s="30"/>
      <c r="H478" s="30"/>
      <c r="I478" s="14">
        <v>22298275.433076847</v>
      </c>
      <c r="J478" s="14">
        <v>17125075.532603018</v>
      </c>
      <c r="K478" s="30">
        <v>0.76778</v>
      </c>
      <c r="L478" s="93"/>
    </row>
    <row r="479" spans="1:12" ht="15.6">
      <c r="A479" s="2" t="s">
        <v>741</v>
      </c>
      <c r="B479" s="2">
        <v>28</v>
      </c>
      <c r="C479" s="12" t="s">
        <v>224</v>
      </c>
      <c r="D479" s="12" t="s">
        <v>582</v>
      </c>
      <c r="E479" s="13" t="s">
        <v>25</v>
      </c>
      <c r="F479" s="30">
        <v>26</v>
      </c>
      <c r="G479" s="30"/>
      <c r="H479" s="30"/>
      <c r="I479" s="14">
        <v>653900.16786246665</v>
      </c>
      <c r="J479" s="14">
        <v>17001404.364424132</v>
      </c>
      <c r="K479" s="30">
        <v>0.0</v>
      </c>
      <c r="L479" s="93"/>
    </row>
    <row r="480" spans="1:12" ht="15.6">
      <c r="A480" s="2">
        <v>0</v>
      </c>
      <c r="B480" s="2"/>
      <c r="C480" s="15" t="s">
        <v>196</v>
      </c>
      <c r="D480" s="12" t="s">
        <v>551</v>
      </c>
      <c r="E480" s="13"/>
      <c r="F480" s="30"/>
      <c r="G480" s="30"/>
      <c r="H480" s="30"/>
      <c r="I480" s="14"/>
      <c r="J480" s="14"/>
      <c r="K480" s="14"/>
      <c r="L480" s="93"/>
    </row>
    <row r="481" spans="1:12" ht="27.6">
      <c r="A481" s="2" t="s">
        <v>658</v>
      </c>
      <c r="B481" s="2">
        <v>29</v>
      </c>
      <c r="C481" s="12" t="s">
        <v>225</v>
      </c>
      <c r="D481" s="12" t="s">
        <v>583</v>
      </c>
      <c r="E481" s="13" t="s">
        <v>149</v>
      </c>
      <c r="F481" s="30">
        <v>0.49</v>
      </c>
      <c r="G481" s="30"/>
      <c r="H481" s="30"/>
      <c r="I481" s="14">
        <v>1171371.4977983192</v>
      </c>
      <c r="J481" s="14">
        <v>573972.03392117645</v>
      </c>
      <c r="K481" s="30">
        <v>0.0</v>
      </c>
      <c r="L481" s="93"/>
    </row>
    <row r="482" spans="1:12" ht="41.4">
      <c r="A482" s="2" t="s">
        <v>659</v>
      </c>
      <c r="B482" s="2">
        <v>30</v>
      </c>
      <c r="C482" s="12" t="s">
        <v>52</v>
      </c>
      <c r="D482" s="12" t="s">
        <v>414</v>
      </c>
      <c r="E482" s="13" t="s">
        <v>415</v>
      </c>
      <c r="F482" s="30">
        <v>8.1000000000000003E-2</v>
      </c>
      <c r="G482" s="30"/>
      <c r="H482" s="30"/>
      <c r="I482" s="14">
        <v>114863766.94263284</v>
      </c>
      <c r="J482" s="14">
        <v>9303965.1223532595</v>
      </c>
      <c r="K482" s="30">
        <v>0.0</v>
      </c>
      <c r="L482" s="93"/>
    </row>
    <row r="483" spans="1:12" ht="27.6">
      <c r="A483" s="2" t="s">
        <v>660</v>
      </c>
      <c r="B483" s="2">
        <v>31</v>
      </c>
      <c r="C483" s="12" t="s">
        <v>142</v>
      </c>
      <c r="D483" s="12" t="s">
        <v>502</v>
      </c>
      <c r="E483" s="13" t="s">
        <v>415</v>
      </c>
      <c r="F483" s="30">
        <v>8.1000000000000003E-2</v>
      </c>
      <c r="G483" s="30"/>
      <c r="H483" s="30"/>
      <c r="I483" s="14">
        <v>4732391.7900324054</v>
      </c>
      <c r="J483" s="14">
        <v>383323.73499262484</v>
      </c>
      <c r="K483" s="30">
        <v>0.0</v>
      </c>
      <c r="L483" s="93"/>
    </row>
    <row r="484" spans="1:12" ht="27.6">
      <c r="A484" s="2" t="s">
        <v>661</v>
      </c>
      <c r="B484" s="2">
        <v>32</v>
      </c>
      <c r="C484" s="12" t="s">
        <v>157</v>
      </c>
      <c r="D484" s="12" t="s">
        <v>511</v>
      </c>
      <c r="E484" s="13" t="s">
        <v>415</v>
      </c>
      <c r="F484" s="30">
        <v>8.1000000000000003E-2</v>
      </c>
      <c r="G484" s="30"/>
      <c r="H484" s="30"/>
      <c r="I484" s="14">
        <v>13220650.080090528</v>
      </c>
      <c r="J484" s="14">
        <v>1070872.6564873329</v>
      </c>
      <c r="K484" s="30">
        <v>0.0</v>
      </c>
      <c r="L484" s="93"/>
    </row>
    <row r="485" spans="1:12" ht="27.6">
      <c r="A485" s="2" t="s">
        <v>662</v>
      </c>
      <c r="B485" s="2">
        <v>33</v>
      </c>
      <c r="C485" s="12" t="s">
        <v>143</v>
      </c>
      <c r="D485" s="12" t="s">
        <v>503</v>
      </c>
      <c r="E485" s="13" t="s">
        <v>149</v>
      </c>
      <c r="F485" s="30">
        <v>0.49</v>
      </c>
      <c r="G485" s="30"/>
      <c r="H485" s="30"/>
      <c r="I485" s="14">
        <v>1793277.9778179687</v>
      </c>
      <c r="J485" s="14">
        <v>878706.20913080464</v>
      </c>
      <c r="K485" s="30">
        <v>0.0</v>
      </c>
      <c r="L485" s="93"/>
    </row>
    <row r="486" spans="1:12" ht="15.6">
      <c r="A486" s="2" t="s">
        <v>663</v>
      </c>
      <c r="B486" s="2">
        <v>34</v>
      </c>
      <c r="C486" s="12" t="s">
        <v>55</v>
      </c>
      <c r="D486" s="12" t="s">
        <v>418</v>
      </c>
      <c r="E486" s="13" t="s">
        <v>145</v>
      </c>
      <c r="F486" s="30">
        <v>7.2999999999999995E-2</v>
      </c>
      <c r="G486" s="30"/>
      <c r="H486" s="30"/>
      <c r="I486" s="14">
        <v>31106460.200125102</v>
      </c>
      <c r="J486" s="14">
        <v>2270771.5946091325</v>
      </c>
      <c r="K486" s="30">
        <v>0.0</v>
      </c>
      <c r="L486" s="93"/>
    </row>
    <row r="487" spans="1:12" ht="15.6">
      <c r="A487" s="2" t="s">
        <v>664</v>
      </c>
      <c r="B487" s="2">
        <v>35</v>
      </c>
      <c r="C487" s="12" t="s">
        <v>56</v>
      </c>
      <c r="D487" s="12" t="s">
        <v>419</v>
      </c>
      <c r="E487" s="13" t="s">
        <v>145</v>
      </c>
      <c r="F487" s="30">
        <v>0.157</v>
      </c>
      <c r="G487" s="30"/>
      <c r="H487" s="30"/>
      <c r="I487" s="14">
        <v>30952519.587396916</v>
      </c>
      <c r="J487" s="14">
        <v>4859545.575221316</v>
      </c>
      <c r="K487" s="30">
        <v>0.0</v>
      </c>
      <c r="L487" s="93"/>
    </row>
    <row r="488" spans="1:12" ht="15.6">
      <c r="A488" s="2" t="s">
        <v>736</v>
      </c>
      <c r="B488" s="2">
        <v>36</v>
      </c>
      <c r="C488" s="12" t="s">
        <v>197</v>
      </c>
      <c r="D488" s="12" t="s">
        <v>552</v>
      </c>
      <c r="E488" s="13" t="s">
        <v>144</v>
      </c>
      <c r="F488" s="30">
        <v>1.47</v>
      </c>
      <c r="G488" s="30"/>
      <c r="H488" s="30"/>
      <c r="I488" s="14">
        <v>1584616.354976957</v>
      </c>
      <c r="J488" s="14">
        <v>2329386.0418161266</v>
      </c>
      <c r="K488" s="30">
        <v>0.0</v>
      </c>
      <c r="L488" s="93"/>
    </row>
    <row r="489" spans="1:12" ht="15.6">
      <c r="A489" s="2" t="s">
        <v>717</v>
      </c>
      <c r="B489" s="2">
        <v>37</v>
      </c>
      <c r="C489" s="12" t="s">
        <v>198</v>
      </c>
      <c r="D489" s="12" t="s">
        <v>553</v>
      </c>
      <c r="E489" s="13" t="s">
        <v>146</v>
      </c>
      <c r="F489" s="30">
        <v>0.189</v>
      </c>
      <c r="G489" s="30"/>
      <c r="H489" s="30"/>
      <c r="I489" s="14">
        <v>20942477.426040601</v>
      </c>
      <c r="J489" s="14">
        <v>3958128.2335216738</v>
      </c>
      <c r="K489" s="30">
        <v>0.0</v>
      </c>
      <c r="L489" s="93"/>
    </row>
    <row r="490" spans="1:12" ht="15.6">
      <c r="A490" s="2" t="s">
        <v>742</v>
      </c>
      <c r="B490" s="2">
        <v>38</v>
      </c>
      <c r="C490" s="12" t="s">
        <v>199</v>
      </c>
      <c r="D490" s="12" t="s">
        <v>554</v>
      </c>
      <c r="E490" s="13" t="s">
        <v>146</v>
      </c>
      <c r="F490" s="30">
        <v>7.2999999999999995E-2</v>
      </c>
      <c r="G490" s="30"/>
      <c r="H490" s="30"/>
      <c r="I490" s="14">
        <v>21071151.802709758</v>
      </c>
      <c r="J490" s="14">
        <v>1538194.0815978122</v>
      </c>
      <c r="K490" s="30">
        <v>0.0</v>
      </c>
      <c r="L490" s="93"/>
    </row>
    <row r="491" spans="1:12" ht="15.6">
      <c r="A491" s="2" t="s">
        <v>670</v>
      </c>
      <c r="B491" s="2">
        <v>39</v>
      </c>
      <c r="C491" s="12" t="s">
        <v>200</v>
      </c>
      <c r="D491" s="12" t="s">
        <v>555</v>
      </c>
      <c r="E491" s="13" t="s">
        <v>149</v>
      </c>
      <c r="F491" s="30">
        <v>8.7999999999999995E-2</v>
      </c>
      <c r="G491" s="30"/>
      <c r="H491" s="30"/>
      <c r="I491" s="14">
        <v>5847333.4887753464</v>
      </c>
      <c r="J491" s="14">
        <v>514565.34701223043</v>
      </c>
      <c r="K491" s="30">
        <v>0.0</v>
      </c>
      <c r="L491" s="93"/>
    </row>
    <row r="492" spans="1:12" ht="15.6">
      <c r="A492" s="2">
        <v>0</v>
      </c>
      <c r="B492" s="2"/>
      <c r="C492" s="15" t="s">
        <v>201</v>
      </c>
      <c r="D492" s="12" t="s">
        <v>556</v>
      </c>
      <c r="E492" s="13"/>
      <c r="F492" s="30"/>
      <c r="G492" s="30"/>
      <c r="H492" s="30"/>
      <c r="I492" s="14"/>
      <c r="J492" s="14"/>
      <c r="K492" s="14"/>
      <c r="L492" s="93"/>
    </row>
    <row r="493" spans="1:12" ht="27.6">
      <c r="A493" s="2" t="s">
        <v>692</v>
      </c>
      <c r="B493" s="2">
        <v>40</v>
      </c>
      <c r="C493" s="12" t="s">
        <v>202</v>
      </c>
      <c r="D493" s="12" t="s">
        <v>557</v>
      </c>
      <c r="E493" s="13" t="s">
        <v>144</v>
      </c>
      <c r="F493" s="30">
        <v>4.6399999999999997</v>
      </c>
      <c r="G493" s="30"/>
      <c r="H493" s="30"/>
      <c r="I493" s="14">
        <v>1301106.6825224052</v>
      </c>
      <c r="J493" s="14">
        <v>6037135.0069039594</v>
      </c>
      <c r="K493" s="30">
        <v>0.0</v>
      </c>
      <c r="L493" s="93"/>
    </row>
    <row r="494" spans="1:12" ht="27.6">
      <c r="A494" s="2" t="s">
        <v>698</v>
      </c>
      <c r="B494" s="2">
        <v>41</v>
      </c>
      <c r="C494" s="12" t="s">
        <v>203</v>
      </c>
      <c r="D494" s="12" t="s">
        <v>558</v>
      </c>
      <c r="E494" s="13" t="s">
        <v>144</v>
      </c>
      <c r="F494" s="30">
        <v>3.2639999999999998</v>
      </c>
      <c r="G494" s="30"/>
      <c r="H494" s="30"/>
      <c r="I494" s="14">
        <v>1290150.7933494374</v>
      </c>
      <c r="J494" s="14">
        <v>4211052.1894925637</v>
      </c>
      <c r="K494" s="30">
        <v>0.0</v>
      </c>
      <c r="L494" s="93"/>
    </row>
    <row r="495" spans="1:12" ht="15.6">
      <c r="A495" s="2" t="s">
        <v>670</v>
      </c>
      <c r="B495" s="2">
        <v>42</v>
      </c>
      <c r="C495" s="12" t="s">
        <v>176</v>
      </c>
      <c r="D495" s="12" t="s">
        <v>530</v>
      </c>
      <c r="E495" s="13" t="s">
        <v>149</v>
      </c>
      <c r="F495" s="30">
        <v>0.151</v>
      </c>
      <c r="G495" s="30"/>
      <c r="H495" s="30"/>
      <c r="I495" s="14">
        <v>5847333.4887753464</v>
      </c>
      <c r="J495" s="14">
        <v>882947.35680507729</v>
      </c>
      <c r="K495" s="30">
        <v>0.0</v>
      </c>
      <c r="L495" s="93"/>
    </row>
    <row r="496" spans="1:12" ht="15.6">
      <c r="A496" s="2" t="s">
        <v>668</v>
      </c>
      <c r="B496" s="2">
        <v>43</v>
      </c>
      <c r="C496" s="12" t="s">
        <v>62</v>
      </c>
      <c r="D496" s="12" t="s">
        <v>425</v>
      </c>
      <c r="E496" s="13" t="s">
        <v>144</v>
      </c>
      <c r="F496" s="30">
        <v>1.68</v>
      </c>
      <c r="G496" s="30"/>
      <c r="H496" s="30"/>
      <c r="I496" s="14">
        <v>847049.03055282054</v>
      </c>
      <c r="J496" s="14">
        <v>1423042.3713287385</v>
      </c>
      <c r="K496" s="30">
        <v>0.0</v>
      </c>
      <c r="L496" s="93"/>
    </row>
    <row r="497" spans="1:12" ht="15.6">
      <c r="A497" s="2">
        <v>0</v>
      </c>
      <c r="B497" s="2"/>
      <c r="C497" s="15" t="s">
        <v>204</v>
      </c>
      <c r="D497" s="12" t="s">
        <v>559</v>
      </c>
      <c r="E497" s="13"/>
      <c r="F497" s="30"/>
      <c r="G497" s="30"/>
      <c r="H497" s="30"/>
      <c r="I497" s="14"/>
      <c r="J497" s="14"/>
      <c r="K497" s="14"/>
      <c r="L497" s="93"/>
    </row>
    <row r="498" spans="1:12" ht="27.6">
      <c r="A498" s="2" t="s">
        <v>697</v>
      </c>
      <c r="B498" s="2">
        <v>44</v>
      </c>
      <c r="C498" s="12" t="s">
        <v>175</v>
      </c>
      <c r="D498" s="12" t="s">
        <v>529</v>
      </c>
      <c r="E498" s="13" t="s">
        <v>152</v>
      </c>
      <c r="F498" s="30">
        <v>8.7720000000000002</v>
      </c>
      <c r="G498" s="30"/>
      <c r="H498" s="30"/>
      <c r="I498" s="14">
        <v>249922.24815330002</v>
      </c>
      <c r="J498" s="14">
        <v>2192317.9608007479</v>
      </c>
      <c r="K498" s="30">
        <v>0.0</v>
      </c>
      <c r="L498" s="93"/>
    </row>
    <row r="499" spans="1:12" ht="27.6">
      <c r="A499" s="2" t="s">
        <v>641</v>
      </c>
      <c r="B499" s="2">
        <v>45</v>
      </c>
      <c r="C499" s="12" t="s">
        <v>119</v>
      </c>
      <c r="D499" s="12" t="s">
        <v>480</v>
      </c>
      <c r="E499" s="13" t="s">
        <v>145</v>
      </c>
      <c r="F499" s="30">
        <v>3.3450000000000002</v>
      </c>
      <c r="G499" s="30"/>
      <c r="H499" s="30"/>
      <c r="I499" s="14">
        <v>2227071.2377586598</v>
      </c>
      <c r="J499" s="14">
        <v>7449553.2903027171</v>
      </c>
      <c r="K499" s="30">
        <v>0.0</v>
      </c>
      <c r="L499" s="93"/>
    </row>
    <row r="500" spans="1:12" ht="27.6">
      <c r="A500" s="2" t="s">
        <v>691</v>
      </c>
      <c r="B500" s="2">
        <v>46</v>
      </c>
      <c r="C500" s="12" t="s">
        <v>141</v>
      </c>
      <c r="D500" s="12" t="s">
        <v>325</v>
      </c>
      <c r="E500" s="13" t="s">
        <v>145</v>
      </c>
      <c r="F500" s="30">
        <v>0.48199999999999998</v>
      </c>
      <c r="G500" s="30"/>
      <c r="H500" s="30"/>
      <c r="I500" s="14">
        <v>3406602.6497878134</v>
      </c>
      <c r="J500" s="14">
        <v>1641982.477197726</v>
      </c>
      <c r="K500" s="30">
        <v>0.0</v>
      </c>
      <c r="L500" s="93"/>
    </row>
    <row r="501" spans="1:12" ht="27.6">
      <c r="A501" s="2" t="s">
        <v>643</v>
      </c>
      <c r="B501" s="2">
        <v>47</v>
      </c>
      <c r="C501" s="12" t="s">
        <v>36</v>
      </c>
      <c r="D501" s="12" t="s">
        <v>399</v>
      </c>
      <c r="E501" s="13" t="s">
        <v>145</v>
      </c>
      <c r="F501" s="30">
        <v>1.079</v>
      </c>
      <c r="G501" s="30"/>
      <c r="H501" s="30"/>
      <c r="I501" s="14">
        <v>1171462.5022504972</v>
      </c>
      <c r="J501" s="14">
        <v>1264008.0399282866</v>
      </c>
      <c r="K501" s="30">
        <v>0.0</v>
      </c>
      <c r="L501" s="93"/>
    </row>
    <row r="502" spans="1:12" s="5" customFormat="1" ht="27.6">
      <c r="A502" s="1"/>
      <c r="B502" s="1" t="s">
        <v>3</v>
      </c>
      <c r="C502" s="10" t="s">
        <v>22</v>
      </c>
      <c r="D502" s="10" t="s">
        <v>773</v>
      </c>
      <c r="E502" s="11"/>
      <c r="F502" s="6"/>
      <c r="G502" s="6"/>
      <c r="H502" s="6"/>
      <c r="I502" s="4"/>
      <c r="J502" s="4">
        <v>17486261287.738636</v>
      </c>
      <c r="K502" s="4"/>
      <c r="L502" s="94"/>
    </row>
    <row r="503" spans="1:12" s="5" customFormat="1" ht="15.6">
      <c r="A503" s="1"/>
      <c r="B503" s="1" t="s">
        <v>23</v>
      </c>
      <c r="C503" s="10" t="s">
        <v>50</v>
      </c>
      <c r="D503" s="10" t="s">
        <v>507</v>
      </c>
      <c r="E503" s="11"/>
      <c r="F503" s="6"/>
      <c r="G503" s="6"/>
      <c r="H503" s="6"/>
      <c r="I503" s="4"/>
      <c r="J503" s="4"/>
      <c r="K503" s="4"/>
      <c r="L503" s="94"/>
    </row>
    <row r="504" spans="1:12" s="23" customFormat="1" ht="15.6">
      <c r="A504" s="19">
        <v>0</v>
      </c>
      <c r="B504" s="19"/>
      <c r="C504" s="20" t="s">
        <v>29</v>
      </c>
      <c r="D504" s="20" t="s">
        <v>349</v>
      </c>
      <c r="E504" s="21"/>
      <c r="F504" s="36"/>
      <c r="G504" s="36"/>
      <c r="H504" s="36"/>
      <c r="I504" s="22"/>
      <c r="J504" s="22"/>
      <c r="K504" s="22"/>
      <c r="L504" s="97"/>
    </row>
    <row r="505" spans="1:12" ht="15.6">
      <c r="A505" s="2" t="s">
        <v>635</v>
      </c>
      <c r="B505" s="2">
        <v>1</v>
      </c>
      <c r="C505" s="12" t="s">
        <v>226</v>
      </c>
      <c r="D505" s="12" t="s">
        <v>584</v>
      </c>
      <c r="E505" s="13" t="s">
        <v>145</v>
      </c>
      <c r="F505" s="30">
        <v>22.597869499999998</v>
      </c>
      <c r="G505" s="30"/>
      <c r="H505" s="30"/>
      <c r="I505" s="14">
        <v>818232.15052460553</v>
      </c>
      <c r="J505" s="14">
        <v>18490303.358259391</v>
      </c>
      <c r="K505" s="30">
        <v>20.337867</v>
      </c>
      <c r="L505" s="93"/>
    </row>
    <row r="506" spans="1:12" ht="27.6">
      <c r="A506" s="2" t="s">
        <v>636</v>
      </c>
      <c r="B506" s="2">
        <v>2</v>
      </c>
      <c r="C506" s="12" t="s">
        <v>30</v>
      </c>
      <c r="D506" s="12" t="s">
        <v>393</v>
      </c>
      <c r="E506" s="13" t="s">
        <v>145</v>
      </c>
      <c r="F506" s="30">
        <v>18.158999999999999</v>
      </c>
      <c r="G506" s="30"/>
      <c r="H506" s="30"/>
      <c r="I506" s="14">
        <v>1836887.8439921292</v>
      </c>
      <c r="J506" s="14">
        <v>33356046.359053072</v>
      </c>
      <c r="K506" s="30">
        <v>16.3431</v>
      </c>
      <c r="L506" s="93"/>
    </row>
    <row r="507" spans="1:12" ht="27.6">
      <c r="A507" s="2" t="s">
        <v>637</v>
      </c>
      <c r="B507" s="2">
        <v>3</v>
      </c>
      <c r="C507" s="12" t="s">
        <v>31</v>
      </c>
      <c r="D507" s="12" t="s">
        <v>394</v>
      </c>
      <c r="E507" s="13" t="s">
        <v>145</v>
      </c>
      <c r="F507" s="30">
        <v>31.181353499999993</v>
      </c>
      <c r="G507" s="30"/>
      <c r="H507" s="30"/>
      <c r="I507" s="14">
        <v>2188408.2087078919</v>
      </c>
      <c r="J507" s="14">
        <v>68237529.958022535</v>
      </c>
      <c r="K507" s="30">
        <v>23.446740150000004</v>
      </c>
      <c r="L507" s="93"/>
    </row>
    <row r="508" spans="1:12" ht="41.4">
      <c r="A508" s="2" t="s">
        <v>638</v>
      </c>
      <c r="B508" s="2">
        <v>4</v>
      </c>
      <c r="C508" s="12" t="s">
        <v>227</v>
      </c>
      <c r="D508" s="12" t="s">
        <v>585</v>
      </c>
      <c r="E508" s="13" t="s">
        <v>145</v>
      </c>
      <c r="F508" s="30">
        <v>0</v>
      </c>
      <c r="G508" s="30"/>
      <c r="H508" s="30"/>
      <c r="I508" s="14">
        <v>16043089.431904946</v>
      </c>
      <c r="J508" s="14">
        <v>0</v>
      </c>
      <c r="K508" s="30">
        <v>0.0</v>
      </c>
      <c r="L508" s="93"/>
    </row>
    <row r="509" spans="1:12" ht="15.6">
      <c r="A509" s="2" t="s">
        <v>743</v>
      </c>
      <c r="B509" s="2">
        <v>5</v>
      </c>
      <c r="C509" s="12" t="s">
        <v>33</v>
      </c>
      <c r="D509" s="12" t="s">
        <v>396</v>
      </c>
      <c r="E509" s="13" t="s">
        <v>145</v>
      </c>
      <c r="F509" s="30">
        <v>0</v>
      </c>
      <c r="G509" s="30"/>
      <c r="H509" s="30"/>
      <c r="I509" s="14">
        <v>1388598.7235714379</v>
      </c>
      <c r="J509" s="14">
        <v>0</v>
      </c>
      <c r="K509" s="30">
        <v>0.0</v>
      </c>
      <c r="L509" s="93"/>
    </row>
    <row r="510" spans="1:12" ht="27.6">
      <c r="A510" s="2" t="s">
        <v>641</v>
      </c>
      <c r="B510" s="2">
        <v>6</v>
      </c>
      <c r="C510" s="12" t="s">
        <v>34</v>
      </c>
      <c r="D510" s="12" t="s">
        <v>397</v>
      </c>
      <c r="E510" s="13" t="s">
        <v>145</v>
      </c>
      <c r="F510" s="30">
        <v>97.851840999999993</v>
      </c>
      <c r="G510" s="30"/>
      <c r="H510" s="30"/>
      <c r="I510" s="14">
        <v>2227071.2377586598</v>
      </c>
      <c r="J510" s="14">
        <v>217923020.65283355</v>
      </c>
      <c r="K510" s="30">
        <v>87.29252549999998</v>
      </c>
      <c r="L510" s="93"/>
    </row>
    <row r="511" spans="1:12" ht="27.6">
      <c r="A511" s="2" t="s">
        <v>642</v>
      </c>
      <c r="B511" s="2">
        <v>7</v>
      </c>
      <c r="C511" s="12" t="s">
        <v>35</v>
      </c>
      <c r="D511" s="12" t="s">
        <v>398</v>
      </c>
      <c r="E511" s="13" t="s">
        <v>145</v>
      </c>
      <c r="F511" s="30">
        <v>20.012899999999998</v>
      </c>
      <c r="G511" s="30"/>
      <c r="H511" s="30"/>
      <c r="I511" s="14">
        <v>2625420.8105833116</v>
      </c>
      <c r="J511" s="14">
        <v>52542284.140122749</v>
      </c>
      <c r="K511" s="30">
        <v>20.0129</v>
      </c>
      <c r="L511" s="93"/>
    </row>
    <row r="512" spans="1:12" ht="15.6">
      <c r="A512" s="2" t="s">
        <v>744</v>
      </c>
      <c r="B512" s="2">
        <v>8</v>
      </c>
      <c r="C512" s="12" t="s">
        <v>228</v>
      </c>
      <c r="D512" s="12" t="s">
        <v>586</v>
      </c>
      <c r="E512" s="13" t="s">
        <v>145</v>
      </c>
      <c r="F512" s="30">
        <v>5.3280000000000003</v>
      </c>
      <c r="G512" s="30"/>
      <c r="H512" s="30"/>
      <c r="I512" s="14">
        <v>1408080.8335496776</v>
      </c>
      <c r="J512" s="14">
        <v>7502254.6811526828</v>
      </c>
      <c r="K512" s="30">
        <v>0.0</v>
      </c>
      <c r="L512" s="93"/>
    </row>
    <row r="513" spans="1:12" ht="27.6">
      <c r="A513" s="2" t="s">
        <v>643</v>
      </c>
      <c r="B513" s="2">
        <v>9</v>
      </c>
      <c r="C513" s="12" t="s">
        <v>36</v>
      </c>
      <c r="D513" s="12" t="s">
        <v>399</v>
      </c>
      <c r="E513" s="13" t="s">
        <v>145</v>
      </c>
      <c r="F513" s="30">
        <v>164.67212499999999</v>
      </c>
      <c r="G513" s="30"/>
      <c r="H513" s="30"/>
      <c r="I513" s="14">
        <v>1171462.5022504972</v>
      </c>
      <c r="J513" s="14">
        <v>192907219.60340667</v>
      </c>
      <c r="K513" s="30">
        <v>129.19999679999998</v>
      </c>
      <c r="L513" s="93"/>
    </row>
    <row r="514" spans="1:12" ht="27.6">
      <c r="A514" s="2" t="s">
        <v>644</v>
      </c>
      <c r="B514" s="2">
        <v>10</v>
      </c>
      <c r="C514" s="12" t="s">
        <v>37</v>
      </c>
      <c r="D514" s="12" t="s">
        <v>400</v>
      </c>
      <c r="E514" s="13" t="s">
        <v>145</v>
      </c>
      <c r="F514" s="30">
        <v>101.41870000000002</v>
      </c>
      <c r="G514" s="30"/>
      <c r="H514" s="30"/>
      <c r="I514" s="14">
        <v>1425673.6652315694</v>
      </c>
      <c r="J514" s="14">
        <v>144589969.75202098</v>
      </c>
      <c r="K514" s="30">
        <v>0.0</v>
      </c>
      <c r="L514" s="93"/>
    </row>
    <row r="515" spans="1:12" ht="27.6">
      <c r="A515" s="2">
        <v>0</v>
      </c>
      <c r="B515" s="2"/>
      <c r="C515" s="15" t="s">
        <v>167</v>
      </c>
      <c r="D515" s="12" t="s">
        <v>523</v>
      </c>
      <c r="E515" s="13"/>
      <c r="F515" s="30"/>
      <c r="G515" s="30"/>
      <c r="H515" s="30"/>
      <c r="I515" s="14"/>
      <c r="J515" s="14"/>
      <c r="K515" s="14"/>
      <c r="L515" s="93"/>
    </row>
    <row r="516" spans="1:12" ht="15.6">
      <c r="A516" s="2" t="s">
        <v>645</v>
      </c>
      <c r="B516" s="2">
        <v>11</v>
      </c>
      <c r="C516" s="12" t="s">
        <v>38</v>
      </c>
      <c r="D516" s="12" t="s">
        <v>401</v>
      </c>
      <c r="E516" s="13" t="s">
        <v>144</v>
      </c>
      <c r="F516" s="30">
        <v>7738.0849175000058</v>
      </c>
      <c r="G516" s="30"/>
      <c r="H516" s="30"/>
      <c r="I516" s="14">
        <v>56835.345000000001</v>
      </c>
      <c r="J516" s="14">
        <v>439796725.92540938</v>
      </c>
      <c r="K516" s="30">
        <v>0.0</v>
      </c>
      <c r="L516" s="93"/>
    </row>
    <row r="517" spans="1:12" ht="15.6">
      <c r="A517" s="2" t="s">
        <v>645</v>
      </c>
      <c r="B517" s="2">
        <v>12</v>
      </c>
      <c r="C517" s="12" t="s">
        <v>39</v>
      </c>
      <c r="D517" s="12" t="s">
        <v>402</v>
      </c>
      <c r="E517" s="13" t="s">
        <v>144</v>
      </c>
      <c r="F517" s="30">
        <v>13999.603788000002</v>
      </c>
      <c r="G517" s="30"/>
      <c r="H517" s="30"/>
      <c r="I517" s="14">
        <v>56835.345000000001</v>
      </c>
      <c r="J517" s="14">
        <v>795672311.15428698</v>
      </c>
      <c r="K517" s="30">
        <v>0.0</v>
      </c>
      <c r="L517" s="93"/>
    </row>
    <row r="518" spans="1:12" ht="41.4">
      <c r="A518" s="2"/>
      <c r="B518" s="2"/>
      <c r="C518" s="15" t="s">
        <v>229</v>
      </c>
      <c r="D518" s="12" t="s">
        <v>587</v>
      </c>
      <c r="E518" s="13"/>
      <c r="F518" s="30"/>
      <c r="G518" s="30"/>
      <c r="H518" s="30"/>
      <c r="I518" s="14"/>
      <c r="J518" s="14"/>
      <c r="K518" s="14"/>
      <c r="L518" s="93"/>
    </row>
    <row r="519" spans="1:12" ht="27.6">
      <c r="A519" s="2" t="s">
        <v>646</v>
      </c>
      <c r="B519" s="2">
        <v>13</v>
      </c>
      <c r="C519" s="12" t="s">
        <v>40</v>
      </c>
      <c r="D519" s="12" t="s">
        <v>403</v>
      </c>
      <c r="E519" s="13" t="s">
        <v>252</v>
      </c>
      <c r="F519" s="30">
        <v>2173.7684705500005</v>
      </c>
      <c r="G519" s="30"/>
      <c r="H519" s="30"/>
      <c r="I519" s="14">
        <v>81779.557128306726</v>
      </c>
      <c r="J519" s="14">
        <v>177769822.82105571</v>
      </c>
      <c r="K519" s="30">
        <v>0.0</v>
      </c>
      <c r="L519" s="93"/>
    </row>
    <row r="520" spans="1:12" ht="27.6">
      <c r="A520" s="2" t="s">
        <v>647</v>
      </c>
      <c r="B520" s="2">
        <v>14</v>
      </c>
      <c r="C520" s="12" t="s">
        <v>41</v>
      </c>
      <c r="D520" s="12" t="s">
        <v>404</v>
      </c>
      <c r="E520" s="13" t="s">
        <v>252</v>
      </c>
      <c r="F520" s="30">
        <v>2173.7684705500005</v>
      </c>
      <c r="G520" s="30"/>
      <c r="H520" s="30"/>
      <c r="I520" s="14">
        <v>486622.15811885009</v>
      </c>
      <c r="J520" s="14">
        <v>1057803904.3897532</v>
      </c>
      <c r="K520" s="30">
        <v>0.0</v>
      </c>
      <c r="L520" s="93"/>
    </row>
    <row r="521" spans="1:12" ht="27.6">
      <c r="A521" s="2" t="s">
        <v>648</v>
      </c>
      <c r="B521" s="2">
        <v>15</v>
      </c>
      <c r="C521" s="12" t="s">
        <v>230</v>
      </c>
      <c r="D521" s="12" t="s">
        <v>588</v>
      </c>
      <c r="E521" s="13" t="s">
        <v>252</v>
      </c>
      <c r="F521" s="30">
        <v>2173.7684705500005</v>
      </c>
      <c r="G521" s="30"/>
      <c r="H521" s="30"/>
      <c r="I521" s="14">
        <v>189579.88243380203</v>
      </c>
      <c r="J521" s="14">
        <v>412102771.08517474</v>
      </c>
      <c r="K521" s="30">
        <v>0.0</v>
      </c>
      <c r="L521" s="93"/>
    </row>
    <row r="522" spans="1:12" ht="27.6">
      <c r="A522" s="2"/>
      <c r="B522" s="2"/>
      <c r="C522" s="15" t="s">
        <v>231</v>
      </c>
      <c r="D522" s="12" t="s">
        <v>589</v>
      </c>
      <c r="E522" s="13"/>
      <c r="F522" s="39"/>
      <c r="G522" s="30"/>
      <c r="H522" s="30"/>
      <c r="I522" s="14"/>
      <c r="J522" s="14"/>
      <c r="K522" s="14"/>
      <c r="L522" s="93"/>
    </row>
    <row r="523" spans="1:12" ht="15.6">
      <c r="A523" s="2" t="s">
        <v>694</v>
      </c>
      <c r="B523" s="2">
        <v>16</v>
      </c>
      <c r="C523" s="12" t="s">
        <v>232</v>
      </c>
      <c r="D523" s="12" t="s">
        <v>590</v>
      </c>
      <c r="E523" s="13" t="s">
        <v>145</v>
      </c>
      <c r="F523" s="30">
        <v>5.3280000000000003</v>
      </c>
      <c r="G523" s="30"/>
      <c r="H523" s="30"/>
      <c r="I523" s="14">
        <v>2216834.2758747614</v>
      </c>
      <c r="J523" s="14">
        <v>11811293.02186073</v>
      </c>
      <c r="K523" s="30">
        <v>0.0</v>
      </c>
      <c r="L523" s="93"/>
    </row>
    <row r="524" spans="1:12" ht="27.6">
      <c r="A524" s="2" t="s">
        <v>695</v>
      </c>
      <c r="B524" s="2">
        <v>17</v>
      </c>
      <c r="C524" s="12" t="s">
        <v>233</v>
      </c>
      <c r="D524" s="12" t="s">
        <v>591</v>
      </c>
      <c r="E524" s="13" t="s">
        <v>28</v>
      </c>
      <c r="F524" s="30">
        <v>5.3280000000000003</v>
      </c>
      <c r="G524" s="30"/>
      <c r="H524" s="30"/>
      <c r="I524" s="14">
        <v>179915.02568227486</v>
      </c>
      <c r="J524" s="14">
        <v>958587.25683516054</v>
      </c>
      <c r="K524" s="30">
        <v>0.0</v>
      </c>
      <c r="L524" s="93"/>
    </row>
    <row r="525" spans="1:12" ht="15.6">
      <c r="A525" s="2"/>
      <c r="B525" s="2"/>
      <c r="C525" s="15" t="s">
        <v>234</v>
      </c>
      <c r="D525" s="12" t="s">
        <v>592</v>
      </c>
      <c r="E525" s="13"/>
      <c r="F525" s="30"/>
      <c r="G525" s="30"/>
      <c r="H525" s="30"/>
      <c r="I525" s="14"/>
      <c r="J525" s="14"/>
      <c r="K525" s="14"/>
      <c r="L525" s="93"/>
    </row>
    <row r="526" spans="1:12" ht="15.6">
      <c r="A526" s="2" t="s">
        <v>720</v>
      </c>
      <c r="B526" s="2">
        <v>18</v>
      </c>
      <c r="C526" s="12" t="s">
        <v>207</v>
      </c>
      <c r="D526" s="12" t="s">
        <v>563</v>
      </c>
      <c r="E526" s="13" t="s">
        <v>145</v>
      </c>
      <c r="F526" s="30">
        <v>9.9794199999999975</v>
      </c>
      <c r="G526" s="30"/>
      <c r="H526" s="30"/>
      <c r="I526" s="14">
        <v>1732464.9981175729</v>
      </c>
      <c r="J526" s="14">
        <v>17288995.851514466</v>
      </c>
      <c r="K526" s="30">
        <v>0.0</v>
      </c>
      <c r="L526" s="93"/>
    </row>
    <row r="527" spans="1:12" ht="27.6">
      <c r="A527" s="2" t="s">
        <v>721</v>
      </c>
      <c r="B527" s="2">
        <v>19</v>
      </c>
      <c r="C527" s="12" t="s">
        <v>235</v>
      </c>
      <c r="D527" s="12" t="s">
        <v>593</v>
      </c>
      <c r="E527" s="13" t="s">
        <v>28</v>
      </c>
      <c r="F527" s="30">
        <v>9.9794199999999975</v>
      </c>
      <c r="G527" s="30"/>
      <c r="H527" s="30"/>
      <c r="I527" s="14">
        <v>145716.30179225566</v>
      </c>
      <c r="J527" s="14">
        <v>1454164.1764316717</v>
      </c>
      <c r="K527" s="30">
        <v>0.0</v>
      </c>
      <c r="L527" s="93"/>
    </row>
    <row r="528" spans="1:12" ht="15.6">
      <c r="A528" s="2"/>
      <c r="B528" s="2"/>
      <c r="C528" s="15" t="s">
        <v>236</v>
      </c>
      <c r="D528" s="12" t="s">
        <v>594</v>
      </c>
      <c r="E528" s="13"/>
      <c r="F528" s="30"/>
      <c r="G528" s="30"/>
      <c r="H528" s="30"/>
      <c r="I528" s="14"/>
      <c r="J528" s="14"/>
      <c r="K528" s="14"/>
      <c r="L528" s="93"/>
    </row>
    <row r="529" spans="1:12" ht="15.6">
      <c r="A529" s="2" t="s">
        <v>649</v>
      </c>
      <c r="B529" s="2">
        <v>20</v>
      </c>
      <c r="C529" s="12" t="s">
        <v>42</v>
      </c>
      <c r="D529" s="12" t="s">
        <v>405</v>
      </c>
      <c r="E529" s="13" t="s">
        <v>145</v>
      </c>
      <c r="F529" s="30">
        <v>40.756869499999993</v>
      </c>
      <c r="G529" s="30"/>
      <c r="H529" s="30"/>
      <c r="I529" s="14">
        <v>1529705.7655680522</v>
      </c>
      <c r="J529" s="14">
        <v>62346018.260654688</v>
      </c>
      <c r="K529" s="30">
        <v>36.680966999999995</v>
      </c>
      <c r="L529" s="93"/>
    </row>
    <row r="530" spans="1:12" ht="27.6">
      <c r="A530" s="2" t="s">
        <v>650</v>
      </c>
      <c r="B530" s="2">
        <v>21</v>
      </c>
      <c r="C530" s="12" t="s">
        <v>237</v>
      </c>
      <c r="D530" s="12" t="s">
        <v>595</v>
      </c>
      <c r="E530" s="13" t="s">
        <v>28</v>
      </c>
      <c r="F530" s="30">
        <v>40.756869499999993</v>
      </c>
      <c r="G530" s="30"/>
      <c r="H530" s="30"/>
      <c r="I530" s="14">
        <v>126882.22196876685</v>
      </c>
      <c r="J530" s="14">
        <v>5171322.1626510629</v>
      </c>
      <c r="K530" s="30">
        <v>36.680966999999995</v>
      </c>
      <c r="L530" s="93"/>
    </row>
    <row r="531" spans="1:12" ht="15.6">
      <c r="A531" s="2"/>
      <c r="B531" s="2"/>
      <c r="C531" s="15" t="s">
        <v>238</v>
      </c>
      <c r="D531" s="12" t="s">
        <v>596</v>
      </c>
      <c r="E531" s="13"/>
      <c r="F531" s="30"/>
      <c r="G531" s="30"/>
      <c r="H531" s="30"/>
      <c r="I531" s="14"/>
      <c r="J531" s="14"/>
      <c r="K531" s="14"/>
      <c r="L531" s="93"/>
    </row>
    <row r="532" spans="1:12" ht="27.6">
      <c r="A532" s="2" t="s">
        <v>651</v>
      </c>
      <c r="B532" s="2">
        <v>22</v>
      </c>
      <c r="C532" s="12" t="s">
        <v>43</v>
      </c>
      <c r="D532" s="12" t="s">
        <v>406</v>
      </c>
      <c r="E532" s="13" t="s">
        <v>145</v>
      </c>
      <c r="F532" s="30">
        <v>0</v>
      </c>
      <c r="G532" s="30"/>
      <c r="H532" s="30"/>
      <c r="I532" s="14">
        <v>3237389.0797073497</v>
      </c>
      <c r="J532" s="14">
        <v>0</v>
      </c>
      <c r="K532" s="14"/>
      <c r="L532" s="93"/>
    </row>
    <row r="533" spans="1:12" ht="27.6">
      <c r="A533" s="2" t="s">
        <v>652</v>
      </c>
      <c r="B533" s="2">
        <v>23</v>
      </c>
      <c r="C533" s="12" t="s">
        <v>239</v>
      </c>
      <c r="D533" s="12" t="s">
        <v>597</v>
      </c>
      <c r="E533" s="13" t="s">
        <v>28</v>
      </c>
      <c r="F533" s="30">
        <v>0</v>
      </c>
      <c r="G533" s="30"/>
      <c r="H533" s="30"/>
      <c r="I533" s="14">
        <v>287963.16782755282</v>
      </c>
      <c r="J533" s="14">
        <v>0</v>
      </c>
      <c r="K533" s="14"/>
      <c r="L533" s="93"/>
    </row>
    <row r="534" spans="1:12" ht="15.6">
      <c r="A534" s="2"/>
      <c r="B534" s="2"/>
      <c r="C534" s="15" t="s">
        <v>240</v>
      </c>
      <c r="D534" s="12" t="s">
        <v>598</v>
      </c>
      <c r="E534" s="13"/>
      <c r="F534" s="30"/>
      <c r="G534" s="30"/>
      <c r="H534" s="30"/>
      <c r="I534" s="14"/>
      <c r="J534" s="14"/>
      <c r="K534" s="14"/>
      <c r="L534" s="93"/>
    </row>
    <row r="535" spans="1:12" ht="27.6">
      <c r="A535" s="2" t="s">
        <v>653</v>
      </c>
      <c r="B535" s="2">
        <v>24</v>
      </c>
      <c r="C535" s="12" t="s">
        <v>241</v>
      </c>
      <c r="D535" s="12" t="s">
        <v>599</v>
      </c>
      <c r="E535" s="13" t="s">
        <v>145</v>
      </c>
      <c r="F535" s="30">
        <v>134.14168504999998</v>
      </c>
      <c r="G535" s="30"/>
      <c r="H535" s="30"/>
      <c r="I535" s="14">
        <v>1333705.1741035152</v>
      </c>
      <c r="J535" s="14">
        <v>178905459.41414914</v>
      </c>
      <c r="K535" s="30">
        <v>122.19828565420559</v>
      </c>
      <c r="L535" s="93"/>
    </row>
    <row r="536" spans="1:12" ht="27.6">
      <c r="A536" s="2"/>
      <c r="B536" s="2"/>
      <c r="C536" s="12" t="s">
        <v>45</v>
      </c>
      <c r="D536" s="12" t="s">
        <v>408</v>
      </c>
      <c r="E536" s="13"/>
      <c r="F536" s="42">
        <v>0</v>
      </c>
      <c r="G536" s="30"/>
      <c r="H536" s="30"/>
      <c r="I536" s="14"/>
      <c r="J536" s="14"/>
      <c r="K536" s="14"/>
      <c r="L536" s="93"/>
    </row>
    <row r="537" spans="1:12" ht="15.6">
      <c r="A537" s="2" t="s">
        <v>654</v>
      </c>
      <c r="B537" s="2">
        <v>25</v>
      </c>
      <c r="C537" s="12" t="s">
        <v>46</v>
      </c>
      <c r="D537" s="12" t="s">
        <v>409</v>
      </c>
      <c r="E537" s="13" t="s">
        <v>145</v>
      </c>
      <c r="F537" s="30">
        <v>14.928409449999997</v>
      </c>
      <c r="G537" s="30"/>
      <c r="H537" s="30"/>
      <c r="I537" s="14">
        <v>190467.36151284951</v>
      </c>
      <c r="J537" s="14">
        <v>2843374.7595249885</v>
      </c>
      <c r="K537" s="30">
        <v>11.004290099999999</v>
      </c>
      <c r="L537" s="93"/>
    </row>
    <row r="538" spans="1:12" ht="15.6">
      <c r="A538" s="2" t="s">
        <v>655</v>
      </c>
      <c r="B538" s="2">
        <v>26</v>
      </c>
      <c r="C538" s="12" t="s">
        <v>47</v>
      </c>
      <c r="D538" s="12" t="s">
        <v>410</v>
      </c>
      <c r="E538" s="13" t="s">
        <v>145</v>
      </c>
      <c r="F538" s="30">
        <v>0</v>
      </c>
      <c r="G538" s="30"/>
      <c r="H538" s="30"/>
      <c r="I538" s="14">
        <v>267068.36559953901</v>
      </c>
      <c r="J538" s="14">
        <v>0</v>
      </c>
      <c r="K538" s="30">
        <v>0.0</v>
      </c>
      <c r="L538" s="93"/>
    </row>
    <row r="539" spans="1:12" ht="15.6">
      <c r="A539" s="2" t="s">
        <v>656</v>
      </c>
      <c r="B539" s="2">
        <v>27</v>
      </c>
      <c r="C539" s="12" t="s">
        <v>48</v>
      </c>
      <c r="D539" s="12" t="s">
        <v>411</v>
      </c>
      <c r="E539" s="13" t="s">
        <v>149</v>
      </c>
      <c r="F539" s="30">
        <v>45.115099999999998</v>
      </c>
      <c r="G539" s="30"/>
      <c r="H539" s="30"/>
      <c r="I539" s="14">
        <v>1543637.4150644999</v>
      </c>
      <c r="J539" s="14">
        <v>69641356.344376415</v>
      </c>
      <c r="K539" s="30">
        <v>0.0</v>
      </c>
      <c r="L539" s="93"/>
    </row>
    <row r="540" spans="1:12" ht="15.6">
      <c r="A540" s="2" t="s">
        <v>657</v>
      </c>
      <c r="B540" s="2">
        <v>28</v>
      </c>
      <c r="C540" s="12" t="s">
        <v>49</v>
      </c>
      <c r="D540" s="12" t="s">
        <v>412</v>
      </c>
      <c r="E540" s="13" t="s">
        <v>149</v>
      </c>
      <c r="F540" s="30">
        <v>45.115099999999998</v>
      </c>
      <c r="G540" s="30"/>
      <c r="H540" s="30"/>
      <c r="I540" s="14">
        <v>24502.1811915</v>
      </c>
      <c r="J540" s="14">
        <v>1105418.3546726415</v>
      </c>
      <c r="K540" s="30">
        <v>0.0</v>
      </c>
      <c r="L540" s="93"/>
    </row>
    <row r="541" spans="1:12" ht="15.6">
      <c r="A541" s="2"/>
      <c r="B541" s="2"/>
      <c r="C541" s="15" t="s">
        <v>50</v>
      </c>
      <c r="D541" s="20" t="s">
        <v>350</v>
      </c>
      <c r="E541" s="13"/>
      <c r="F541" s="30"/>
      <c r="G541" s="30"/>
      <c r="H541" s="30"/>
      <c r="I541" s="14"/>
      <c r="J541" s="14"/>
      <c r="K541" s="14"/>
      <c r="L541" s="93"/>
    </row>
    <row r="542" spans="1:12" ht="41.4">
      <c r="A542" s="2" t="s">
        <v>658</v>
      </c>
      <c r="B542" s="2">
        <v>29</v>
      </c>
      <c r="C542" s="12" t="s">
        <v>51</v>
      </c>
      <c r="D542" s="12" t="s">
        <v>413</v>
      </c>
      <c r="E542" s="13" t="s">
        <v>149</v>
      </c>
      <c r="F542" s="30">
        <v>206.97690000000003</v>
      </c>
      <c r="G542" s="30"/>
      <c r="H542" s="30"/>
      <c r="I542" s="14">
        <v>1171371.4977983192</v>
      </c>
      <c r="J542" s="14">
        <v>242446841.36265296</v>
      </c>
      <c r="K542" s="30">
        <v>0.0</v>
      </c>
      <c r="L542" s="93"/>
    </row>
    <row r="543" spans="1:12" ht="41.4">
      <c r="A543" s="2" t="s">
        <v>659</v>
      </c>
      <c r="B543" s="2">
        <v>30</v>
      </c>
      <c r="C543" s="12" t="s">
        <v>52</v>
      </c>
      <c r="D543" s="12" t="s">
        <v>414</v>
      </c>
      <c r="E543" s="13" t="s">
        <v>415</v>
      </c>
      <c r="F543" s="30">
        <v>34.399829427786699</v>
      </c>
      <c r="G543" s="30"/>
      <c r="H543" s="30"/>
      <c r="I543" s="14">
        <v>114863766.94263284</v>
      </c>
      <c r="J543" s="14">
        <v>3951293990.259614</v>
      </c>
      <c r="K543" s="30">
        <v>0.0</v>
      </c>
      <c r="L543" s="93"/>
    </row>
    <row r="544" spans="1:12" ht="27.6">
      <c r="A544" s="2" t="s">
        <v>660</v>
      </c>
      <c r="B544" s="2">
        <v>31</v>
      </c>
      <c r="C544" s="12" t="s">
        <v>142</v>
      </c>
      <c r="D544" s="12" t="s">
        <v>502</v>
      </c>
      <c r="E544" s="13" t="s">
        <v>415</v>
      </c>
      <c r="F544" s="30">
        <v>34.399829427786699</v>
      </c>
      <c r="G544" s="30"/>
      <c r="H544" s="30"/>
      <c r="I544" s="14">
        <v>7461654.7800510935</v>
      </c>
      <c r="J544" s="14">
        <v>256679651.68278688</v>
      </c>
      <c r="K544" s="30">
        <v>0.0</v>
      </c>
      <c r="L544" s="93"/>
    </row>
    <row r="545" spans="1:12" ht="27.6">
      <c r="A545" s="2" t="s">
        <v>723</v>
      </c>
      <c r="B545" s="2">
        <v>32</v>
      </c>
      <c r="C545" s="12" t="s">
        <v>242</v>
      </c>
      <c r="D545" s="12" t="s">
        <v>600</v>
      </c>
      <c r="E545" s="13" t="s">
        <v>415</v>
      </c>
      <c r="F545" s="30">
        <v>34.399829427786699</v>
      </c>
      <c r="G545" s="30"/>
      <c r="H545" s="30"/>
      <c r="I545" s="14">
        <v>15270242.620847264</v>
      </c>
      <c r="J545" s="14">
        <v>525293741.47806442</v>
      </c>
      <c r="K545" s="30">
        <v>0.0</v>
      </c>
      <c r="L545" s="93"/>
    </row>
    <row r="546" spans="1:12" ht="27.6">
      <c r="A546" s="2" t="s">
        <v>662</v>
      </c>
      <c r="B546" s="2">
        <v>33</v>
      </c>
      <c r="C546" s="12" t="s">
        <v>143</v>
      </c>
      <c r="D546" s="12" t="s">
        <v>503</v>
      </c>
      <c r="E546" s="13" t="s">
        <v>149</v>
      </c>
      <c r="F546" s="30">
        <v>20.697289999999999</v>
      </c>
      <c r="G546" s="30"/>
      <c r="H546" s="30"/>
      <c r="I546" s="14">
        <v>1793277.9778179687</v>
      </c>
      <c r="J546" s="14">
        <v>37115994.357512064</v>
      </c>
      <c r="K546" s="30">
        <v>0.0</v>
      </c>
      <c r="L546" s="93"/>
    </row>
    <row r="547" spans="1:12" ht="15.6">
      <c r="A547" s="2" t="s">
        <v>663</v>
      </c>
      <c r="B547" s="2">
        <v>34</v>
      </c>
      <c r="C547" s="12" t="s">
        <v>55</v>
      </c>
      <c r="D547" s="12" t="s">
        <v>418</v>
      </c>
      <c r="E547" s="13" t="s">
        <v>145</v>
      </c>
      <c r="F547" s="30">
        <v>31.046434999999999</v>
      </c>
      <c r="G547" s="30"/>
      <c r="H547" s="30"/>
      <c r="I547" s="14">
        <v>31726461.022453442</v>
      </c>
      <c r="J547" s="14">
        <v>984993509.9136343</v>
      </c>
      <c r="K547" s="30">
        <v>0.0</v>
      </c>
      <c r="L547" s="93"/>
    </row>
    <row r="548" spans="1:12" ht="15.6">
      <c r="A548" s="2" t="s">
        <v>664</v>
      </c>
      <c r="B548" s="2">
        <v>35</v>
      </c>
      <c r="C548" s="12" t="s">
        <v>56</v>
      </c>
      <c r="D548" s="12" t="s">
        <v>570</v>
      </c>
      <c r="E548" s="13" t="s">
        <v>145</v>
      </c>
      <c r="F548" s="30">
        <v>65.536928000000003</v>
      </c>
      <c r="G548" s="30"/>
      <c r="H548" s="30"/>
      <c r="I548" s="14">
        <v>31572520.409725264</v>
      </c>
      <c r="J548" s="14">
        <v>2069165996.8706951</v>
      </c>
      <c r="K548" s="30">
        <v>0.0</v>
      </c>
      <c r="L548" s="93"/>
    </row>
    <row r="549" spans="1:12" ht="15.6">
      <c r="A549" s="2"/>
      <c r="B549" s="2"/>
      <c r="C549" s="15" t="s">
        <v>57</v>
      </c>
      <c r="D549" s="12" t="s">
        <v>420</v>
      </c>
      <c r="E549" s="13"/>
      <c r="F549" s="30"/>
      <c r="G549" s="30"/>
      <c r="H549" s="30"/>
      <c r="I549" s="14"/>
      <c r="J549" s="14"/>
      <c r="K549" s="14"/>
      <c r="L549" s="93"/>
    </row>
    <row r="550" spans="1:12" ht="41.4">
      <c r="A550" s="2" t="s">
        <v>658</v>
      </c>
      <c r="B550" s="2">
        <v>36</v>
      </c>
      <c r="C550" s="12" t="s">
        <v>51</v>
      </c>
      <c r="D550" s="12" t="s">
        <v>413</v>
      </c>
      <c r="E550" s="13" t="s">
        <v>149</v>
      </c>
      <c r="F550" s="30">
        <v>7.915</v>
      </c>
      <c r="G550" s="30"/>
      <c r="H550" s="30"/>
      <c r="I550" s="14">
        <v>1171371.4977983192</v>
      </c>
      <c r="J550" s="14">
        <v>9271405.4050736967</v>
      </c>
      <c r="K550" s="30">
        <v>0.0</v>
      </c>
      <c r="L550" s="93"/>
    </row>
    <row r="551" spans="1:12" ht="41.4">
      <c r="A551" s="2" t="s">
        <v>659</v>
      </c>
      <c r="B551" s="2">
        <v>37</v>
      </c>
      <c r="C551" s="12" t="s">
        <v>52</v>
      </c>
      <c r="D551" s="12" t="s">
        <v>414</v>
      </c>
      <c r="E551" s="13" t="s">
        <v>415</v>
      </c>
      <c r="F551" s="30">
        <v>1.3154126351735913</v>
      </c>
      <c r="G551" s="30"/>
      <c r="H551" s="30"/>
      <c r="I551" s="14">
        <v>114863766.94263284</v>
      </c>
      <c r="J551" s="14">
        <v>151093250.35997391</v>
      </c>
      <c r="K551" s="30">
        <v>0.0</v>
      </c>
      <c r="L551" s="93"/>
    </row>
    <row r="552" spans="1:12" ht="27.6">
      <c r="A552" s="2" t="s">
        <v>660</v>
      </c>
      <c r="B552" s="2">
        <v>38</v>
      </c>
      <c r="C552" s="12" t="s">
        <v>142</v>
      </c>
      <c r="D552" s="12" t="s">
        <v>502</v>
      </c>
      <c r="E552" s="13" t="s">
        <v>415</v>
      </c>
      <c r="F552" s="30">
        <v>1.3154126351735913</v>
      </c>
      <c r="G552" s="30"/>
      <c r="H552" s="30"/>
      <c r="I552" s="14">
        <v>4732391.7900324054</v>
      </c>
      <c r="J552" s="14">
        <v>6225047.9552003955</v>
      </c>
      <c r="K552" s="30">
        <v>0.0</v>
      </c>
      <c r="L552" s="93"/>
    </row>
    <row r="553" spans="1:12" ht="27.6">
      <c r="A553" s="2" t="s">
        <v>661</v>
      </c>
      <c r="B553" s="2">
        <v>39</v>
      </c>
      <c r="C553" s="12" t="s">
        <v>242</v>
      </c>
      <c r="D553" s="12" t="s">
        <v>600</v>
      </c>
      <c r="E553" s="13" t="s">
        <v>415</v>
      </c>
      <c r="F553" s="30">
        <v>1.3154126351735913</v>
      </c>
      <c r="G553" s="30"/>
      <c r="H553" s="30"/>
      <c r="I553" s="14">
        <v>14007879.698495921</v>
      </c>
      <c r="J553" s="14">
        <v>18426141.947393171</v>
      </c>
      <c r="K553" s="30">
        <v>0.0</v>
      </c>
      <c r="L553" s="93"/>
    </row>
    <row r="554" spans="1:12" ht="27.6">
      <c r="A554" s="2" t="s">
        <v>662</v>
      </c>
      <c r="B554" s="2">
        <v>40</v>
      </c>
      <c r="C554" s="12" t="s">
        <v>143</v>
      </c>
      <c r="D554" s="12" t="s">
        <v>503</v>
      </c>
      <c r="E554" s="13" t="s">
        <v>149</v>
      </c>
      <c r="F554" s="30">
        <v>7.915</v>
      </c>
      <c r="G554" s="30"/>
      <c r="H554" s="30"/>
      <c r="I554" s="14">
        <v>1793277.9778179687</v>
      </c>
      <c r="J554" s="14">
        <v>14193795.194429222</v>
      </c>
      <c r="K554" s="30">
        <v>0.0</v>
      </c>
      <c r="L554" s="93"/>
    </row>
    <row r="555" spans="1:12" ht="15.6">
      <c r="A555" s="2" t="s">
        <v>663</v>
      </c>
      <c r="B555" s="2">
        <v>41</v>
      </c>
      <c r="C555" s="12" t="s">
        <v>55</v>
      </c>
      <c r="D555" s="12" t="s">
        <v>418</v>
      </c>
      <c r="E555" s="13" t="s">
        <v>145</v>
      </c>
      <c r="F555" s="30">
        <v>1.1875</v>
      </c>
      <c r="G555" s="30"/>
      <c r="H555" s="30"/>
      <c r="I555" s="14">
        <v>31726461.022453442</v>
      </c>
      <c r="J555" s="14">
        <v>37675172.46416346</v>
      </c>
      <c r="K555" s="30">
        <v>0.0</v>
      </c>
      <c r="L555" s="93"/>
    </row>
    <row r="556" spans="1:12" ht="15.6">
      <c r="A556" s="2"/>
      <c r="B556" s="2"/>
      <c r="C556" s="15" t="s">
        <v>58</v>
      </c>
      <c r="D556" s="15" t="s">
        <v>421</v>
      </c>
      <c r="E556" s="13"/>
      <c r="F556" s="30"/>
      <c r="G556" s="30"/>
      <c r="H556" s="30"/>
      <c r="I556" s="14"/>
      <c r="J556" s="14"/>
      <c r="K556" s="14"/>
      <c r="L556" s="93"/>
    </row>
    <row r="557" spans="1:12" ht="27.6">
      <c r="A557" s="2" t="s">
        <v>665</v>
      </c>
      <c r="B557" s="2">
        <v>42</v>
      </c>
      <c r="C557" s="12" t="s">
        <v>59</v>
      </c>
      <c r="D557" s="12" t="s">
        <v>422</v>
      </c>
      <c r="E557" s="13" t="s">
        <v>145</v>
      </c>
      <c r="F557" s="30">
        <v>8.06142</v>
      </c>
      <c r="G557" s="30"/>
      <c r="H557" s="30"/>
      <c r="I557" s="14">
        <v>1904629.0315377254</v>
      </c>
      <c r="J557" s="14">
        <v>15354014.567418849</v>
      </c>
      <c r="K557" s="30">
        <v>0.0</v>
      </c>
      <c r="L557" s="93"/>
    </row>
    <row r="558" spans="1:12" ht="27.6">
      <c r="A558" s="2" t="s">
        <v>643</v>
      </c>
      <c r="B558" s="2">
        <v>43</v>
      </c>
      <c r="C558" s="12" t="s">
        <v>36</v>
      </c>
      <c r="D558" s="12" t="s">
        <v>399</v>
      </c>
      <c r="E558" s="13" t="s">
        <v>145</v>
      </c>
      <c r="F558" s="30">
        <v>5.3733920000000008</v>
      </c>
      <c r="G558" s="30"/>
      <c r="H558" s="30"/>
      <c r="I558" s="14">
        <v>1171462.5022504972</v>
      </c>
      <c r="J558" s="14">
        <v>6294727.2378928047</v>
      </c>
      <c r="K558" s="30">
        <v>0.0</v>
      </c>
      <c r="L558" s="93"/>
    </row>
    <row r="559" spans="1:12" ht="15.6">
      <c r="A559" s="2" t="s">
        <v>666</v>
      </c>
      <c r="B559" s="2">
        <v>44</v>
      </c>
      <c r="C559" s="12" t="s">
        <v>60</v>
      </c>
      <c r="D559" s="12" t="s">
        <v>423</v>
      </c>
      <c r="E559" s="13" t="s">
        <v>144</v>
      </c>
      <c r="F559" s="30">
        <v>340.74504999999999</v>
      </c>
      <c r="G559" s="30"/>
      <c r="H559" s="30"/>
      <c r="I559" s="14">
        <v>1675016.6128807312</v>
      </c>
      <c r="J559" s="14">
        <v>570753619.5068754</v>
      </c>
      <c r="K559" s="30">
        <v>0.0</v>
      </c>
      <c r="L559" s="93"/>
    </row>
    <row r="560" spans="1:12" ht="15.6">
      <c r="A560" s="2" t="s">
        <v>667</v>
      </c>
      <c r="B560" s="2">
        <v>45</v>
      </c>
      <c r="C560" s="12" t="s">
        <v>61</v>
      </c>
      <c r="D560" s="12" t="s">
        <v>424</v>
      </c>
      <c r="E560" s="13" t="s">
        <v>144</v>
      </c>
      <c r="F560" s="30">
        <v>194.13600000000025</v>
      </c>
      <c r="G560" s="30"/>
      <c r="H560" s="30"/>
      <c r="I560" s="14">
        <v>1240459.253762288</v>
      </c>
      <c r="J560" s="14">
        <v>240817797.68839586</v>
      </c>
      <c r="K560" s="30">
        <v>0.0</v>
      </c>
      <c r="L560" s="93"/>
    </row>
    <row r="561" spans="1:12" ht="15.6">
      <c r="A561" s="2" t="s">
        <v>668</v>
      </c>
      <c r="B561" s="2">
        <v>46</v>
      </c>
      <c r="C561" s="12" t="s">
        <v>62</v>
      </c>
      <c r="D561" s="12" t="s">
        <v>425</v>
      </c>
      <c r="E561" s="13" t="s">
        <v>144</v>
      </c>
      <c r="F561" s="30">
        <v>17.11200000000003</v>
      </c>
      <c r="G561" s="30"/>
      <c r="H561" s="30"/>
      <c r="I561" s="14">
        <v>853395.55497491383</v>
      </c>
      <c r="J561" s="14">
        <v>14603304.736730751</v>
      </c>
      <c r="K561" s="30">
        <v>0.0</v>
      </c>
      <c r="L561" s="93"/>
    </row>
    <row r="562" spans="1:12" ht="15.6">
      <c r="A562" s="2" t="s">
        <v>645</v>
      </c>
      <c r="B562" s="2">
        <v>47</v>
      </c>
      <c r="C562" s="12" t="s">
        <v>63</v>
      </c>
      <c r="D562" s="12" t="s">
        <v>426</v>
      </c>
      <c r="E562" s="13" t="s">
        <v>5</v>
      </c>
      <c r="F562" s="30">
        <v>26</v>
      </c>
      <c r="G562" s="30"/>
      <c r="H562" s="30"/>
      <c r="I562" s="14">
        <v>12970.057710000001</v>
      </c>
      <c r="J562" s="14">
        <v>337221.50046000001</v>
      </c>
      <c r="K562" s="30">
        <v>0.0</v>
      </c>
      <c r="L562" s="93"/>
    </row>
    <row r="563" spans="1:12" ht="15.6">
      <c r="A563" s="2" t="s">
        <v>645</v>
      </c>
      <c r="B563" s="2">
        <v>48</v>
      </c>
      <c r="C563" s="12" t="s">
        <v>90</v>
      </c>
      <c r="D563" s="12" t="s">
        <v>452</v>
      </c>
      <c r="E563" s="13" t="s">
        <v>149</v>
      </c>
      <c r="F563" s="30">
        <v>22.716403333333332</v>
      </c>
      <c r="G563" s="30"/>
      <c r="H563" s="30"/>
      <c r="I563" s="14">
        <v>695943</v>
      </c>
      <c r="J563" s="14">
        <v>15809321.885009998</v>
      </c>
      <c r="K563" s="30">
        <v>0.0</v>
      </c>
      <c r="L563" s="93"/>
    </row>
    <row r="564" spans="1:12" ht="15.6">
      <c r="A564" s="2" t="s">
        <v>670</v>
      </c>
      <c r="B564" s="2">
        <v>49</v>
      </c>
      <c r="C564" s="12" t="s">
        <v>64</v>
      </c>
      <c r="D564" s="12" t="s">
        <v>427</v>
      </c>
      <c r="E564" s="13" t="s">
        <v>149</v>
      </c>
      <c r="F564" s="30">
        <v>7.2280000000000122</v>
      </c>
      <c r="G564" s="30"/>
      <c r="H564" s="30"/>
      <c r="I564" s="14">
        <v>5847333.4887753464</v>
      </c>
      <c r="J564" s="14">
        <v>42264526.456868276</v>
      </c>
      <c r="K564" s="30">
        <v>0.0</v>
      </c>
      <c r="L564" s="93"/>
    </row>
    <row r="565" spans="1:12" ht="27.6">
      <c r="A565" s="2"/>
      <c r="B565" s="2"/>
      <c r="C565" s="15" t="s">
        <v>214</v>
      </c>
      <c r="D565" s="15" t="s">
        <v>571</v>
      </c>
      <c r="E565" s="13"/>
      <c r="F565" s="30"/>
      <c r="G565" s="30"/>
      <c r="H565" s="30"/>
      <c r="I565" s="14"/>
      <c r="J565" s="14"/>
      <c r="K565" s="14"/>
      <c r="L565" s="93"/>
    </row>
    <row r="566" spans="1:12" ht="15.6">
      <c r="A566" s="2" t="s">
        <v>738</v>
      </c>
      <c r="B566" s="2">
        <v>50</v>
      </c>
      <c r="C566" s="12" t="s">
        <v>215</v>
      </c>
      <c r="D566" s="12" t="s">
        <v>572</v>
      </c>
      <c r="E566" s="13" t="s">
        <v>145</v>
      </c>
      <c r="F566" s="30">
        <v>1.9179999999999999</v>
      </c>
      <c r="G566" s="30"/>
      <c r="H566" s="30"/>
      <c r="I566" s="14">
        <v>746401.42703929183</v>
      </c>
      <c r="J566" s="14">
        <v>1431597.9370613617</v>
      </c>
      <c r="K566" s="30">
        <v>0.0</v>
      </c>
      <c r="L566" s="93"/>
    </row>
    <row r="567" spans="1:12" ht="15.6">
      <c r="A567" s="2" t="s">
        <v>722</v>
      </c>
      <c r="B567" s="2">
        <v>51</v>
      </c>
      <c r="C567" s="12" t="s">
        <v>243</v>
      </c>
      <c r="D567" s="12" t="s">
        <v>601</v>
      </c>
      <c r="E567" s="13" t="s">
        <v>145</v>
      </c>
      <c r="F567" s="30">
        <v>1.9179999999999999</v>
      </c>
      <c r="G567" s="30"/>
      <c r="H567" s="30"/>
      <c r="I567" s="14">
        <v>1554612.8376480625</v>
      </c>
      <c r="J567" s="14">
        <v>2981747.4226089837</v>
      </c>
      <c r="K567" s="30">
        <v>0.0</v>
      </c>
      <c r="L567" s="93"/>
    </row>
    <row r="568" spans="1:12" ht="27.6">
      <c r="A568" s="2" t="s">
        <v>739</v>
      </c>
      <c r="B568" s="2">
        <v>52</v>
      </c>
      <c r="C568" s="12" t="s">
        <v>216</v>
      </c>
      <c r="D568" s="12" t="s">
        <v>573</v>
      </c>
      <c r="E568" s="13" t="s">
        <v>147</v>
      </c>
      <c r="F568" s="30">
        <v>11.51</v>
      </c>
      <c r="G568" s="30"/>
      <c r="H568" s="30"/>
      <c r="I568" s="14">
        <v>833991.75445196521</v>
      </c>
      <c r="J568" s="14">
        <v>9599245.0937421191</v>
      </c>
      <c r="K568" s="30">
        <v>0.0</v>
      </c>
      <c r="L568" s="93"/>
    </row>
    <row r="569" spans="1:12" ht="15.6">
      <c r="A569" s="2" t="s">
        <v>645</v>
      </c>
      <c r="B569" s="2">
        <v>53</v>
      </c>
      <c r="C569" s="12" t="s">
        <v>217</v>
      </c>
      <c r="D569" s="12" t="s">
        <v>574</v>
      </c>
      <c r="E569" s="13" t="s">
        <v>148</v>
      </c>
      <c r="F569" s="30">
        <v>767.32</v>
      </c>
      <c r="G569" s="30"/>
      <c r="H569" s="30"/>
      <c r="I569" s="14">
        <v>17398.575000000001</v>
      </c>
      <c r="J569" s="14">
        <v>13350274.569000002</v>
      </c>
      <c r="K569" s="30">
        <v>0.0</v>
      </c>
      <c r="L569" s="93"/>
    </row>
    <row r="570" spans="1:12" ht="15.6">
      <c r="A570" s="2" t="s">
        <v>645</v>
      </c>
      <c r="B570" s="2">
        <v>54</v>
      </c>
      <c r="C570" s="12" t="s">
        <v>218</v>
      </c>
      <c r="D570" s="12" t="s">
        <v>575</v>
      </c>
      <c r="E570" s="13" t="s">
        <v>150</v>
      </c>
      <c r="F570" s="30">
        <v>136.583</v>
      </c>
      <c r="G570" s="30"/>
      <c r="H570" s="30"/>
      <c r="I570" s="14">
        <v>24358.005000000001</v>
      </c>
      <c r="J570" s="14">
        <v>3326889.3969149999</v>
      </c>
      <c r="K570" s="30">
        <v>0.0</v>
      </c>
      <c r="L570" s="93"/>
    </row>
    <row r="571" spans="1:12" s="18" customFormat="1" ht="15.6">
      <c r="A571" s="3"/>
      <c r="B571" s="3"/>
      <c r="C571" s="15" t="s">
        <v>65</v>
      </c>
      <c r="D571" s="15" t="s">
        <v>428</v>
      </c>
      <c r="E571" s="16"/>
      <c r="F571" s="32"/>
      <c r="G571" s="32"/>
      <c r="H571" s="32"/>
      <c r="I571" s="14">
        <v>0</v>
      </c>
      <c r="J571" s="17"/>
      <c r="K571" s="17"/>
      <c r="L571" s="100"/>
    </row>
    <row r="572" spans="1:12" ht="15.6">
      <c r="A572" s="2" t="s">
        <v>671</v>
      </c>
      <c r="B572" s="2">
        <v>55</v>
      </c>
      <c r="C572" s="12" t="s">
        <v>66</v>
      </c>
      <c r="D572" s="12" t="s">
        <v>429</v>
      </c>
      <c r="E572" s="13" t="s">
        <v>144</v>
      </c>
      <c r="F572" s="42"/>
      <c r="G572" s="30"/>
      <c r="H572" s="30"/>
      <c r="I572" s="14">
        <v>1461299.6250146094</v>
      </c>
      <c r="J572" s="14">
        <v>0</v>
      </c>
      <c r="K572" s="42">
        <v>0.0</v>
      </c>
      <c r="L572" s="93"/>
    </row>
    <row r="573" spans="1:12" ht="15.6">
      <c r="A573" s="2" t="s">
        <v>670</v>
      </c>
      <c r="B573" s="2">
        <v>56</v>
      </c>
      <c r="C573" s="12" t="s">
        <v>67</v>
      </c>
      <c r="D573" s="12" t="s">
        <v>430</v>
      </c>
      <c r="E573" s="13" t="s">
        <v>149</v>
      </c>
      <c r="F573" s="42"/>
      <c r="G573" s="30"/>
      <c r="H573" s="30"/>
      <c r="I573" s="14">
        <v>5847333.4887753464</v>
      </c>
      <c r="J573" s="14">
        <v>0</v>
      </c>
      <c r="K573" s="42">
        <v>0.0</v>
      </c>
      <c r="L573" s="93"/>
    </row>
    <row r="574" spans="1:12" ht="15.6">
      <c r="A574" s="2" t="s">
        <v>645</v>
      </c>
      <c r="B574" s="2">
        <v>57</v>
      </c>
      <c r="C574" s="12" t="s">
        <v>90</v>
      </c>
      <c r="D574" s="12" t="s">
        <v>452</v>
      </c>
      <c r="E574" s="13" t="s">
        <v>149</v>
      </c>
      <c r="F574" s="42"/>
      <c r="G574" s="30"/>
      <c r="H574" s="30"/>
      <c r="I574" s="14">
        <v>695943</v>
      </c>
      <c r="J574" s="14">
        <v>0</v>
      </c>
      <c r="K574" s="42">
        <v>0.0</v>
      </c>
      <c r="L574" s="93"/>
    </row>
    <row r="575" spans="1:12" ht="15.6">
      <c r="A575" s="2"/>
      <c r="B575" s="2"/>
      <c r="C575" s="15" t="s">
        <v>159</v>
      </c>
      <c r="D575" s="12" t="s">
        <v>513</v>
      </c>
      <c r="E575" s="13"/>
      <c r="F575" s="30"/>
      <c r="G575" s="30"/>
      <c r="H575" s="30"/>
      <c r="I575" s="14"/>
      <c r="J575" s="14"/>
      <c r="K575" s="30">
        <v>0.0</v>
      </c>
      <c r="L575" s="93"/>
    </row>
    <row r="576" spans="1:12" ht="15.6">
      <c r="A576" s="2" t="s">
        <v>668</v>
      </c>
      <c r="B576" s="2">
        <v>58</v>
      </c>
      <c r="C576" s="12" t="s">
        <v>62</v>
      </c>
      <c r="D576" s="12" t="s">
        <v>425</v>
      </c>
      <c r="E576" s="13" t="s">
        <v>144</v>
      </c>
      <c r="F576" s="30">
        <v>138.24</v>
      </c>
      <c r="G576" s="30"/>
      <c r="H576" s="30"/>
      <c r="I576" s="14">
        <v>853395.55497491383</v>
      </c>
      <c r="J576" s="14">
        <v>117973401.5197321</v>
      </c>
      <c r="K576" s="30">
        <v>66.16</v>
      </c>
      <c r="L576" s="93"/>
    </row>
    <row r="577" spans="1:12" ht="15.6">
      <c r="A577" s="2" t="s">
        <v>672</v>
      </c>
      <c r="B577" s="2">
        <v>59</v>
      </c>
      <c r="C577" s="12" t="s">
        <v>244</v>
      </c>
      <c r="D577" s="12" t="s">
        <v>602</v>
      </c>
      <c r="E577" s="13" t="s">
        <v>144</v>
      </c>
      <c r="F577" s="30">
        <v>543.45600000000002</v>
      </c>
      <c r="G577" s="30"/>
      <c r="H577" s="30"/>
      <c r="I577" s="14">
        <v>1528342.973450782</v>
      </c>
      <c r="J577" s="14">
        <v>830587158.97966826</v>
      </c>
      <c r="K577" s="30">
        <v>256.37</v>
      </c>
      <c r="L577" s="93"/>
    </row>
    <row r="578" spans="1:12" ht="15.6">
      <c r="A578" s="2" t="s">
        <v>673</v>
      </c>
      <c r="B578" s="2">
        <v>60</v>
      </c>
      <c r="C578" s="12" t="s">
        <v>68</v>
      </c>
      <c r="D578" s="12" t="s">
        <v>431</v>
      </c>
      <c r="E578" s="13" t="s">
        <v>144</v>
      </c>
      <c r="F578" s="30">
        <v>55.295999999999999</v>
      </c>
      <c r="G578" s="30"/>
      <c r="H578" s="30"/>
      <c r="I578" s="14">
        <v>1148900.2164260512</v>
      </c>
      <c r="J578" s="14">
        <v>63529586.367494926</v>
      </c>
      <c r="K578" s="30">
        <v>24.81</v>
      </c>
      <c r="L578" s="93"/>
    </row>
    <row r="579" spans="1:12" ht="15.6">
      <c r="A579" s="2" t="s">
        <v>674</v>
      </c>
      <c r="B579" s="2">
        <v>61</v>
      </c>
      <c r="C579" s="12" t="s">
        <v>245</v>
      </c>
      <c r="D579" s="12" t="s">
        <v>603</v>
      </c>
      <c r="E579" s="13" t="s">
        <v>146</v>
      </c>
      <c r="F579" s="30">
        <v>14.819000000000001</v>
      </c>
      <c r="G579" s="30"/>
      <c r="H579" s="30"/>
      <c r="I579" s="14">
        <v>20497700.2547406</v>
      </c>
      <c r="J579" s="14">
        <v>303755420.07500094</v>
      </c>
      <c r="K579" s="30">
        <v>7.09566</v>
      </c>
      <c r="L579" s="93"/>
    </row>
    <row r="580" spans="1:12" ht="15.6">
      <c r="A580" s="2" t="s">
        <v>675</v>
      </c>
      <c r="B580" s="2">
        <v>62</v>
      </c>
      <c r="C580" s="12" t="s">
        <v>246</v>
      </c>
      <c r="D580" s="12" t="s">
        <v>604</v>
      </c>
      <c r="E580" s="13" t="s">
        <v>146</v>
      </c>
      <c r="F580" s="30">
        <v>22.552</v>
      </c>
      <c r="G580" s="30"/>
      <c r="H580" s="30"/>
      <c r="I580" s="14">
        <v>20586516.416887436</v>
      </c>
      <c r="J580" s="14">
        <v>464267118.23364544</v>
      </c>
      <c r="K580" s="30">
        <v>10.79235</v>
      </c>
      <c r="L580" s="93"/>
    </row>
    <row r="581" spans="1:12" ht="15.6">
      <c r="A581" s="2" t="s">
        <v>670</v>
      </c>
      <c r="B581" s="2">
        <v>63</v>
      </c>
      <c r="C581" s="12" t="s">
        <v>67</v>
      </c>
      <c r="D581" s="12" t="s">
        <v>430</v>
      </c>
      <c r="E581" s="13" t="s">
        <v>149</v>
      </c>
      <c r="F581" s="30">
        <v>49.420999999999999</v>
      </c>
      <c r="G581" s="30"/>
      <c r="H581" s="30"/>
      <c r="I581" s="14">
        <v>5847333.4887753464</v>
      </c>
      <c r="J581" s="14">
        <v>288981068.34876639</v>
      </c>
      <c r="K581" s="30">
        <v>23.652199999999997</v>
      </c>
      <c r="L581" s="93"/>
    </row>
    <row r="582" spans="1:12" ht="15.6">
      <c r="A582" s="2"/>
      <c r="B582" s="2"/>
      <c r="C582" s="15" t="s">
        <v>72</v>
      </c>
      <c r="D582" s="12" t="s">
        <v>435</v>
      </c>
      <c r="E582" s="13"/>
      <c r="F582" s="30"/>
      <c r="G582" s="30"/>
      <c r="H582" s="30"/>
      <c r="I582" s="14"/>
      <c r="J582" s="14"/>
      <c r="K582" s="14"/>
      <c r="L582" s="93"/>
    </row>
    <row r="583" spans="1:12" ht="15.6">
      <c r="A583" s="2" t="s">
        <v>676</v>
      </c>
      <c r="B583" s="2">
        <v>64</v>
      </c>
      <c r="C583" s="12" t="s">
        <v>73</v>
      </c>
      <c r="D583" s="12" t="s">
        <v>436</v>
      </c>
      <c r="E583" s="13" t="s">
        <v>144</v>
      </c>
      <c r="F583" s="30">
        <v>232.74799999999999</v>
      </c>
      <c r="G583" s="30"/>
      <c r="H583" s="30"/>
      <c r="I583" s="14">
        <v>1606337.1073091466</v>
      </c>
      <c r="J583" s="14">
        <v>373871749.0519892</v>
      </c>
      <c r="K583" s="30">
        <v>107.51</v>
      </c>
      <c r="L583" s="93"/>
    </row>
    <row r="584" spans="1:12" ht="15.6">
      <c r="A584" s="2" t="s">
        <v>677</v>
      </c>
      <c r="B584" s="2">
        <v>65</v>
      </c>
      <c r="C584" s="12" t="s">
        <v>74</v>
      </c>
      <c r="D584" s="12" t="s">
        <v>437</v>
      </c>
      <c r="E584" s="13" t="s">
        <v>146</v>
      </c>
      <c r="F584" s="30">
        <v>14.279</v>
      </c>
      <c r="G584" s="30"/>
      <c r="H584" s="30"/>
      <c r="I584" s="14">
        <v>23279148.621693719</v>
      </c>
      <c r="J584" s="14">
        <v>332402963.1691646</v>
      </c>
      <c r="K584" s="30">
        <v>6.5167600000000006</v>
      </c>
      <c r="L584" s="93"/>
    </row>
    <row r="585" spans="1:12" ht="15.6">
      <c r="A585" s="2" t="s">
        <v>678</v>
      </c>
      <c r="B585" s="2">
        <v>66</v>
      </c>
      <c r="C585" s="12" t="s">
        <v>75</v>
      </c>
      <c r="D585" s="12" t="s">
        <v>438</v>
      </c>
      <c r="E585" s="13" t="s">
        <v>146</v>
      </c>
      <c r="F585" s="30">
        <v>11.478</v>
      </c>
      <c r="G585" s="30"/>
      <c r="H585" s="30"/>
      <c r="I585" s="14">
        <v>22298275.433076847</v>
      </c>
      <c r="J585" s="14">
        <v>255939605.42085606</v>
      </c>
      <c r="K585" s="30">
        <v>5.317609999999999</v>
      </c>
      <c r="L585" s="93"/>
    </row>
    <row r="586" spans="1:12" ht="15.6">
      <c r="A586" s="2" t="s">
        <v>679</v>
      </c>
      <c r="B586" s="2">
        <v>67</v>
      </c>
      <c r="C586" s="12" t="s">
        <v>76</v>
      </c>
      <c r="D586" s="12" t="s">
        <v>337</v>
      </c>
      <c r="E586" s="13" t="s">
        <v>149</v>
      </c>
      <c r="F586" s="30">
        <v>46.124000000000002</v>
      </c>
      <c r="G586" s="30"/>
      <c r="H586" s="30"/>
      <c r="I586" s="14">
        <v>8093006.3238283927</v>
      </c>
      <c r="J586" s="14">
        <v>373281823.68026078</v>
      </c>
      <c r="K586" s="30">
        <v>21.832800000000002</v>
      </c>
      <c r="L586" s="93"/>
    </row>
    <row r="587" spans="1:12" ht="15.6">
      <c r="A587" s="2" t="s">
        <v>680</v>
      </c>
      <c r="B587" s="2">
        <v>68</v>
      </c>
      <c r="C587" s="12" t="s">
        <v>77</v>
      </c>
      <c r="D587" s="12" t="s">
        <v>439</v>
      </c>
      <c r="E587" s="13" t="s">
        <v>392</v>
      </c>
      <c r="F587" s="30">
        <v>3514</v>
      </c>
      <c r="G587" s="30"/>
      <c r="H587" s="30"/>
      <c r="I587" s="14">
        <v>33088.984387921992</v>
      </c>
      <c r="J587" s="14">
        <v>116274691.13915788</v>
      </c>
      <c r="K587" s="30">
        <v>827.0</v>
      </c>
      <c r="L587" s="93"/>
    </row>
    <row r="588" spans="1:12" ht="15.6">
      <c r="A588" s="2"/>
      <c r="B588" s="2"/>
      <c r="C588" s="15" t="s">
        <v>78</v>
      </c>
      <c r="D588" s="12" t="s">
        <v>440</v>
      </c>
      <c r="E588" s="13"/>
      <c r="F588" s="30"/>
      <c r="G588" s="30"/>
      <c r="H588" s="30"/>
      <c r="I588" s="14"/>
      <c r="J588" s="14"/>
      <c r="K588" s="14"/>
      <c r="L588" s="93"/>
    </row>
    <row r="589" spans="1:12" ht="15.6">
      <c r="A589" s="2" t="s">
        <v>668</v>
      </c>
      <c r="B589" s="2">
        <v>69</v>
      </c>
      <c r="C589" s="12" t="s">
        <v>62</v>
      </c>
      <c r="D589" s="12" t="s">
        <v>425</v>
      </c>
      <c r="E589" s="13" t="s">
        <v>144</v>
      </c>
      <c r="F589" s="30">
        <v>5.4080000000000004</v>
      </c>
      <c r="G589" s="30"/>
      <c r="H589" s="30"/>
      <c r="I589" s="14">
        <v>853395.55497491383</v>
      </c>
      <c r="J589" s="14">
        <v>4615163.1613043342</v>
      </c>
      <c r="K589" s="30">
        <v>3.1199999999999997</v>
      </c>
      <c r="L589" s="93"/>
    </row>
    <row r="590" spans="1:12" ht="15.6">
      <c r="A590" s="2" t="s">
        <v>681</v>
      </c>
      <c r="B590" s="2">
        <v>70</v>
      </c>
      <c r="C590" s="12" t="s">
        <v>247</v>
      </c>
      <c r="D590" s="12" t="s">
        <v>605</v>
      </c>
      <c r="E590" s="13" t="s">
        <v>144</v>
      </c>
      <c r="F590" s="30">
        <v>24.648</v>
      </c>
      <c r="G590" s="30"/>
      <c r="H590" s="30"/>
      <c r="I590" s="14">
        <v>1373769.3007383817</v>
      </c>
      <c r="J590" s="14">
        <v>33860665.72459963</v>
      </c>
      <c r="K590" s="30">
        <v>14.219999999999999</v>
      </c>
      <c r="L590" s="93"/>
    </row>
    <row r="591" spans="1:12" ht="15.6">
      <c r="A591" s="2" t="s">
        <v>674</v>
      </c>
      <c r="B591" s="2">
        <v>71</v>
      </c>
      <c r="C591" s="12" t="s">
        <v>248</v>
      </c>
      <c r="D591" s="12" t="s">
        <v>606</v>
      </c>
      <c r="E591" s="13" t="s">
        <v>146</v>
      </c>
      <c r="F591" s="30">
        <v>0.54</v>
      </c>
      <c r="G591" s="30"/>
      <c r="H591" s="30"/>
      <c r="I591" s="14">
        <v>20497700.2547406</v>
      </c>
      <c r="J591" s="14">
        <v>11068758.137559924</v>
      </c>
      <c r="K591" s="30">
        <v>0.31165973570396704</v>
      </c>
      <c r="L591" s="93"/>
    </row>
    <row r="592" spans="1:12" ht="15.6">
      <c r="A592" s="2" t="s">
        <v>675</v>
      </c>
      <c r="B592" s="2">
        <v>72</v>
      </c>
      <c r="C592" s="12" t="s">
        <v>249</v>
      </c>
      <c r="D592" s="12" t="s">
        <v>607</v>
      </c>
      <c r="E592" s="13" t="s">
        <v>146</v>
      </c>
      <c r="F592" s="30">
        <v>0.997</v>
      </c>
      <c r="G592" s="30"/>
      <c r="H592" s="30"/>
      <c r="I592" s="14">
        <v>20586516.416887436</v>
      </c>
      <c r="J592" s="14">
        <v>20524756.867636774</v>
      </c>
      <c r="K592" s="30">
        <v>0.575303526370101</v>
      </c>
      <c r="L592" s="93"/>
    </row>
    <row r="593" spans="1:12" ht="15.6">
      <c r="A593" s="2" t="s">
        <v>670</v>
      </c>
      <c r="B593" s="2">
        <v>73</v>
      </c>
      <c r="C593" s="12" t="s">
        <v>82</v>
      </c>
      <c r="D593" s="12" t="s">
        <v>444</v>
      </c>
      <c r="E593" s="13" t="s">
        <v>149</v>
      </c>
      <c r="F593" s="30">
        <v>2.2050000000000001</v>
      </c>
      <c r="G593" s="30"/>
      <c r="H593" s="30"/>
      <c r="I593" s="14">
        <v>5847333.4887753464</v>
      </c>
      <c r="J593" s="14">
        <v>12893370.342749638</v>
      </c>
      <c r="K593" s="30">
        <v>1.272</v>
      </c>
      <c r="L593" s="93"/>
    </row>
    <row r="594" spans="1:12" ht="15.6">
      <c r="A594" s="2"/>
      <c r="B594" s="2"/>
      <c r="C594" s="15" t="s">
        <v>72</v>
      </c>
      <c r="D594" s="12" t="s">
        <v>435</v>
      </c>
      <c r="E594" s="13"/>
      <c r="F594" s="30"/>
      <c r="G594" s="30"/>
      <c r="H594" s="30"/>
      <c r="I594" s="14"/>
      <c r="J594" s="14"/>
      <c r="K594" s="14"/>
      <c r="L594" s="93"/>
    </row>
    <row r="595" spans="1:12" ht="15.6">
      <c r="A595" s="2" t="s">
        <v>676</v>
      </c>
      <c r="B595" s="2">
        <v>74</v>
      </c>
      <c r="C595" s="12" t="s">
        <v>73</v>
      </c>
      <c r="D595" s="12" t="s">
        <v>436</v>
      </c>
      <c r="E595" s="13" t="s">
        <v>144</v>
      </c>
      <c r="F595" s="30">
        <v>6.3959999999999999</v>
      </c>
      <c r="G595" s="30"/>
      <c r="H595" s="30"/>
      <c r="I595" s="14">
        <v>1580850.0090255665</v>
      </c>
      <c r="J595" s="14">
        <v>10111116.657727523</v>
      </c>
      <c r="K595" s="30">
        <v>3.9000000000000004</v>
      </c>
      <c r="L595" s="93"/>
    </row>
    <row r="596" spans="1:12" ht="15.6">
      <c r="A596" s="2" t="s">
        <v>677</v>
      </c>
      <c r="B596" s="2">
        <v>75</v>
      </c>
      <c r="C596" s="12" t="s">
        <v>74</v>
      </c>
      <c r="D596" s="12" t="s">
        <v>437</v>
      </c>
      <c r="E596" s="13" t="s">
        <v>146</v>
      </c>
      <c r="F596" s="30">
        <v>0.373</v>
      </c>
      <c r="G596" s="30"/>
      <c r="H596" s="30"/>
      <c r="I596" s="14">
        <v>23279148.621693719</v>
      </c>
      <c r="J596" s="14">
        <v>8683122.4358917568</v>
      </c>
      <c r="K596" s="30">
        <v>0.2364</v>
      </c>
      <c r="L596" s="93"/>
    </row>
    <row r="597" spans="1:12" ht="15.6">
      <c r="A597" s="2" t="s">
        <v>678</v>
      </c>
      <c r="B597" s="2">
        <v>76</v>
      </c>
      <c r="C597" s="12" t="s">
        <v>75</v>
      </c>
      <c r="D597" s="12" t="s">
        <v>438</v>
      </c>
      <c r="E597" s="13" t="s">
        <v>146</v>
      </c>
      <c r="F597" s="30">
        <v>0.33400000000000002</v>
      </c>
      <c r="G597" s="30"/>
      <c r="H597" s="30"/>
      <c r="I597" s="14">
        <v>22298275.433076847</v>
      </c>
      <c r="J597" s="14">
        <v>7447623.9946476677</v>
      </c>
      <c r="K597" s="30">
        <v>0.1929</v>
      </c>
      <c r="L597" s="93"/>
    </row>
    <row r="598" spans="1:12" ht="15.6">
      <c r="A598" s="2" t="s">
        <v>679</v>
      </c>
      <c r="B598" s="2">
        <v>77</v>
      </c>
      <c r="C598" s="12" t="s">
        <v>76</v>
      </c>
      <c r="D598" s="12" t="s">
        <v>337</v>
      </c>
      <c r="E598" s="13" t="s">
        <v>149</v>
      </c>
      <c r="F598" s="30">
        <v>1.373</v>
      </c>
      <c r="G598" s="30"/>
      <c r="H598" s="30"/>
      <c r="I598" s="14">
        <v>8093006.3238283927</v>
      </c>
      <c r="J598" s="14">
        <v>11111697.682616383</v>
      </c>
      <c r="K598" s="30">
        <v>0.792</v>
      </c>
      <c r="L598" s="93"/>
    </row>
    <row r="599" spans="1:12" ht="15.6">
      <c r="A599" s="2" t="s">
        <v>680</v>
      </c>
      <c r="B599" s="2">
        <v>78</v>
      </c>
      <c r="C599" s="12" t="s">
        <v>77</v>
      </c>
      <c r="D599" s="12" t="s">
        <v>439</v>
      </c>
      <c r="E599" s="13" t="s">
        <v>392</v>
      </c>
      <c r="F599" s="30">
        <v>104</v>
      </c>
      <c r="G599" s="30"/>
      <c r="H599" s="30"/>
      <c r="I599" s="14">
        <v>33088.984387921992</v>
      </c>
      <c r="J599" s="14">
        <v>3441254.3763438873</v>
      </c>
      <c r="K599" s="30">
        <v>30.0</v>
      </c>
      <c r="L599" s="93"/>
    </row>
    <row r="600" spans="1:12" ht="15.6">
      <c r="A600" s="2"/>
      <c r="B600" s="2"/>
      <c r="C600" s="15" t="s">
        <v>83</v>
      </c>
      <c r="D600" s="20" t="s">
        <v>445</v>
      </c>
      <c r="E600" s="13"/>
      <c r="F600" s="30"/>
      <c r="G600" s="30"/>
      <c r="H600" s="30"/>
      <c r="I600" s="14"/>
      <c r="J600" s="14"/>
      <c r="K600" s="14"/>
      <c r="L600" s="93"/>
    </row>
    <row r="601" spans="1:12" s="68" customFormat="1" ht="27.6">
      <c r="A601" s="63" t="s">
        <v>682</v>
      </c>
      <c r="B601" s="63">
        <v>79</v>
      </c>
      <c r="C601" s="64" t="s">
        <v>84</v>
      </c>
      <c r="D601" s="64" t="s">
        <v>446</v>
      </c>
      <c r="E601" s="65" t="s">
        <v>148</v>
      </c>
      <c r="F601" s="66">
        <v>500</v>
      </c>
      <c r="G601" s="66"/>
      <c r="H601" s="66"/>
      <c r="I601" s="67">
        <v>68897.381412123897</v>
      </c>
      <c r="J601" s="67">
        <v>34448690.706061952</v>
      </c>
      <c r="K601" s="66">
        <v>500.0</v>
      </c>
      <c r="L601" s="98"/>
    </row>
    <row r="602" spans="1:12" s="68" customFormat="1" ht="27.6">
      <c r="A602" s="63" t="s">
        <v>683</v>
      </c>
      <c r="B602" s="63">
        <v>80</v>
      </c>
      <c r="C602" s="64" t="s">
        <v>85</v>
      </c>
      <c r="D602" s="64" t="s">
        <v>447</v>
      </c>
      <c r="E602" s="65" t="s">
        <v>145</v>
      </c>
      <c r="F602" s="66">
        <v>0.15</v>
      </c>
      <c r="G602" s="66"/>
      <c r="H602" s="66"/>
      <c r="I602" s="67">
        <v>463999.0923919467</v>
      </c>
      <c r="J602" s="67">
        <v>69599.863858792</v>
      </c>
      <c r="K602" s="66">
        <v>0.15</v>
      </c>
      <c r="L602" s="98"/>
    </row>
    <row r="603" spans="1:12" s="68" customFormat="1" ht="27.6">
      <c r="A603" s="63" t="s">
        <v>643</v>
      </c>
      <c r="B603" s="63">
        <v>81</v>
      </c>
      <c r="C603" s="64" t="s">
        <v>36</v>
      </c>
      <c r="D603" s="64" t="s">
        <v>399</v>
      </c>
      <c r="E603" s="65" t="s">
        <v>145</v>
      </c>
      <c r="F603" s="66">
        <v>2</v>
      </c>
      <c r="G603" s="66"/>
      <c r="H603" s="66"/>
      <c r="I603" s="67">
        <v>1171462.5022504972</v>
      </c>
      <c r="J603" s="67">
        <v>2342925.0045009945</v>
      </c>
      <c r="K603" s="66">
        <v>2.0</v>
      </c>
      <c r="L603" s="98"/>
    </row>
    <row r="604" spans="1:12" s="68" customFormat="1" ht="15.6">
      <c r="A604" s="63"/>
      <c r="B604" s="63"/>
      <c r="C604" s="70" t="s">
        <v>86</v>
      </c>
      <c r="D604" s="70" t="s">
        <v>448</v>
      </c>
      <c r="E604" s="65"/>
      <c r="F604" s="66"/>
      <c r="G604" s="66"/>
      <c r="H604" s="66"/>
      <c r="I604" s="67"/>
      <c r="J604" s="67"/>
      <c r="K604" s="66">
        <v>0.0</v>
      </c>
      <c r="L604" s="98"/>
    </row>
    <row r="605" spans="1:12" s="68" customFormat="1" ht="27.6">
      <c r="A605" s="63" t="s">
        <v>684</v>
      </c>
      <c r="B605" s="63">
        <v>82</v>
      </c>
      <c r="C605" s="64" t="s">
        <v>87</v>
      </c>
      <c r="D605" s="64" t="s">
        <v>449</v>
      </c>
      <c r="E605" s="65" t="s">
        <v>25</v>
      </c>
      <c r="F605" s="66">
        <v>312</v>
      </c>
      <c r="G605" s="66"/>
      <c r="H605" s="66"/>
      <c r="I605" s="67">
        <v>93400.895861115016</v>
      </c>
      <c r="J605" s="67">
        <v>29141079.508667886</v>
      </c>
      <c r="K605" s="66">
        <v>0.0</v>
      </c>
      <c r="L605" s="98"/>
    </row>
    <row r="606" spans="1:12" s="68" customFormat="1" ht="15.6">
      <c r="A606" s="63" t="s">
        <v>685</v>
      </c>
      <c r="B606" s="63">
        <v>83</v>
      </c>
      <c r="C606" s="64" t="s">
        <v>88</v>
      </c>
      <c r="D606" s="64" t="s">
        <v>450</v>
      </c>
      <c r="E606" s="65" t="s">
        <v>25</v>
      </c>
      <c r="F606" s="66">
        <v>1</v>
      </c>
      <c r="G606" s="66"/>
      <c r="H606" s="66"/>
      <c r="I606" s="67">
        <v>659985.54555290064</v>
      </c>
      <c r="J606" s="67">
        <v>659985.54555290064</v>
      </c>
      <c r="K606" s="66">
        <v>0.0</v>
      </c>
      <c r="L606" s="98"/>
    </row>
    <row r="607" spans="1:12" s="68" customFormat="1" ht="15.6">
      <c r="A607" s="63" t="s">
        <v>684</v>
      </c>
      <c r="B607" s="63">
        <v>84</v>
      </c>
      <c r="C607" s="64" t="s">
        <v>89</v>
      </c>
      <c r="D607" s="64" t="s">
        <v>451</v>
      </c>
      <c r="E607" s="65" t="s">
        <v>25</v>
      </c>
      <c r="F607" s="66">
        <v>19</v>
      </c>
      <c r="G607" s="66"/>
      <c r="H607" s="66"/>
      <c r="I607" s="67">
        <v>93400.895861115016</v>
      </c>
      <c r="J607" s="67">
        <v>1774617.0213611852</v>
      </c>
      <c r="K607" s="66">
        <v>0.0</v>
      </c>
      <c r="L607" s="98"/>
    </row>
    <row r="608" spans="1:12" s="68" customFormat="1" ht="15.6">
      <c r="A608" s="63" t="s">
        <v>645</v>
      </c>
      <c r="B608" s="63">
        <v>85</v>
      </c>
      <c r="C608" s="64" t="s">
        <v>90</v>
      </c>
      <c r="D608" s="64" t="s">
        <v>452</v>
      </c>
      <c r="E608" s="65" t="s">
        <v>149</v>
      </c>
      <c r="F608" s="66">
        <v>5.2000000000000006E-3</v>
      </c>
      <c r="G608" s="66"/>
      <c r="H608" s="66"/>
      <c r="I608" s="67">
        <v>695943</v>
      </c>
      <c r="J608" s="67">
        <v>3618.9036000000006</v>
      </c>
      <c r="K608" s="66">
        <v>0.0</v>
      </c>
      <c r="L608" s="98"/>
    </row>
    <row r="609" spans="1:13" s="68" customFormat="1" ht="15.6">
      <c r="A609" s="63" t="s">
        <v>645</v>
      </c>
      <c r="B609" s="63">
        <v>86</v>
      </c>
      <c r="C609" s="64" t="s">
        <v>91</v>
      </c>
      <c r="D609" s="64" t="s">
        <v>453</v>
      </c>
      <c r="E609" s="65" t="s">
        <v>25</v>
      </c>
      <c r="F609" s="66">
        <v>662</v>
      </c>
      <c r="G609" s="66"/>
      <c r="H609" s="66"/>
      <c r="I609" s="67">
        <v>14498.8125</v>
      </c>
      <c r="J609" s="67">
        <v>9598213.875</v>
      </c>
      <c r="K609" s="66">
        <v>0.0</v>
      </c>
      <c r="L609" s="98"/>
    </row>
    <row r="610" spans="1:13" s="68" customFormat="1" ht="15.6">
      <c r="A610" s="63"/>
      <c r="B610" s="63"/>
      <c r="C610" s="70" t="s">
        <v>92</v>
      </c>
      <c r="D610" s="64" t="s">
        <v>454</v>
      </c>
      <c r="E610" s="65"/>
      <c r="F610" s="66"/>
      <c r="G610" s="66"/>
      <c r="H610" s="66"/>
      <c r="I610" s="67"/>
      <c r="J610" s="67"/>
      <c r="K610" s="67"/>
      <c r="L610" s="98"/>
    </row>
    <row r="611" spans="1:13" s="68" customFormat="1" ht="15.6">
      <c r="A611" s="63" t="s">
        <v>690</v>
      </c>
      <c r="B611" s="63">
        <v>87</v>
      </c>
      <c r="C611" s="64" t="s">
        <v>93</v>
      </c>
      <c r="D611" s="64" t="s">
        <v>455</v>
      </c>
      <c r="E611" s="65" t="s">
        <v>145</v>
      </c>
      <c r="F611" s="66">
        <v>3.15E-2</v>
      </c>
      <c r="G611" s="66"/>
      <c r="H611" s="66"/>
      <c r="I611" s="67">
        <v>2690167.124583811</v>
      </c>
      <c r="J611" s="67">
        <v>84740.264424390043</v>
      </c>
      <c r="K611" s="66">
        <v>0.0</v>
      </c>
      <c r="L611" s="98"/>
    </row>
    <row r="612" spans="1:13" s="68" customFormat="1" ht="15.6">
      <c r="A612" s="63" t="s">
        <v>667</v>
      </c>
      <c r="B612" s="63">
        <v>88</v>
      </c>
      <c r="C612" s="64" t="s">
        <v>250</v>
      </c>
      <c r="D612" s="64" t="s">
        <v>608</v>
      </c>
      <c r="E612" s="65" t="s">
        <v>144</v>
      </c>
      <c r="F612" s="66">
        <v>3.45</v>
      </c>
      <c r="G612" s="66"/>
      <c r="H612" s="66"/>
      <c r="I612" s="67">
        <v>1240459.253762288</v>
      </c>
      <c r="J612" s="67">
        <v>4279584.4254798936</v>
      </c>
      <c r="K612" s="66">
        <v>0.0</v>
      </c>
      <c r="L612" s="98"/>
    </row>
    <row r="613" spans="1:13" s="68" customFormat="1" ht="27.6">
      <c r="A613" s="63" t="s">
        <v>687</v>
      </c>
      <c r="B613" s="63">
        <v>89</v>
      </c>
      <c r="C613" s="64" t="s">
        <v>95</v>
      </c>
      <c r="D613" s="64" t="s">
        <v>457</v>
      </c>
      <c r="E613" s="65" t="s">
        <v>25</v>
      </c>
      <c r="F613" s="66">
        <v>19</v>
      </c>
      <c r="G613" s="66"/>
      <c r="H613" s="66"/>
      <c r="I613" s="67">
        <v>206306.55498286994</v>
      </c>
      <c r="J613" s="67">
        <v>3919824.5446745288</v>
      </c>
      <c r="K613" s="66">
        <v>0.0</v>
      </c>
      <c r="L613" s="98"/>
    </row>
    <row r="614" spans="1:13" s="68" customFormat="1" ht="27.6">
      <c r="A614" s="63" t="s">
        <v>688</v>
      </c>
      <c r="B614" s="63">
        <v>90</v>
      </c>
      <c r="C614" s="64" t="s">
        <v>96</v>
      </c>
      <c r="D614" s="64" t="s">
        <v>458</v>
      </c>
      <c r="E614" s="65" t="s">
        <v>25</v>
      </c>
      <c r="F614" s="66">
        <v>6</v>
      </c>
      <c r="G614" s="66"/>
      <c r="H614" s="66"/>
      <c r="I614" s="67">
        <v>183201.24738286994</v>
      </c>
      <c r="J614" s="67">
        <v>1099207.4842972197</v>
      </c>
      <c r="K614" s="66">
        <v>0.0</v>
      </c>
      <c r="L614" s="98"/>
    </row>
    <row r="615" spans="1:13" s="68" customFormat="1" ht="27.6">
      <c r="A615" s="63" t="s">
        <v>645</v>
      </c>
      <c r="B615" s="63">
        <v>91</v>
      </c>
      <c r="C615" s="64" t="s">
        <v>97</v>
      </c>
      <c r="D615" s="64" t="s">
        <v>459</v>
      </c>
      <c r="E615" s="65" t="s">
        <v>5</v>
      </c>
      <c r="F615" s="66">
        <v>74.8</v>
      </c>
      <c r="G615" s="66"/>
      <c r="H615" s="66"/>
      <c r="I615" s="67">
        <v>234300.81</v>
      </c>
      <c r="J615" s="67">
        <v>17525700.588</v>
      </c>
      <c r="K615" s="66">
        <v>0.0</v>
      </c>
      <c r="L615" s="98"/>
    </row>
    <row r="616" spans="1:13" s="68" customFormat="1" ht="15.6">
      <c r="A616" s="63" t="s">
        <v>645</v>
      </c>
      <c r="B616" s="63">
        <v>92</v>
      </c>
      <c r="C616" s="64" t="s">
        <v>98</v>
      </c>
      <c r="D616" s="64" t="s">
        <v>460</v>
      </c>
      <c r="E616" s="65" t="s">
        <v>25</v>
      </c>
      <c r="F616" s="66">
        <v>19</v>
      </c>
      <c r="G616" s="66"/>
      <c r="H616" s="66"/>
      <c r="I616" s="67">
        <v>452362.95</v>
      </c>
      <c r="J616" s="67">
        <v>8594896.0500000007</v>
      </c>
      <c r="K616" s="66">
        <v>0.0</v>
      </c>
      <c r="L616" s="98"/>
    </row>
    <row r="617" spans="1:13" s="68" customFormat="1" ht="15.6">
      <c r="A617" s="63" t="s">
        <v>645</v>
      </c>
      <c r="B617" s="63">
        <v>93</v>
      </c>
      <c r="C617" s="64" t="s">
        <v>99</v>
      </c>
      <c r="D617" s="64" t="s">
        <v>461</v>
      </c>
      <c r="E617" s="65" t="s">
        <v>25</v>
      </c>
      <c r="F617" s="66">
        <v>3</v>
      </c>
      <c r="G617" s="66"/>
      <c r="H617" s="66"/>
      <c r="I617" s="67">
        <v>2058831.375</v>
      </c>
      <c r="J617" s="67">
        <v>6176494.125</v>
      </c>
      <c r="K617" s="66">
        <v>0.0</v>
      </c>
      <c r="L617" s="98"/>
    </row>
    <row r="618" spans="1:13" s="18" customFormat="1" ht="15.6">
      <c r="A618" s="3"/>
      <c r="B618" s="3"/>
      <c r="C618" s="15" t="s">
        <v>100</v>
      </c>
      <c r="D618" s="15" t="s">
        <v>462</v>
      </c>
      <c r="E618" s="16"/>
      <c r="F618" s="32"/>
      <c r="G618" s="32"/>
      <c r="H618" s="32"/>
      <c r="I618" s="17"/>
      <c r="J618" s="17"/>
      <c r="K618" s="17"/>
      <c r="L618" s="100"/>
    </row>
    <row r="619" spans="1:13" ht="27.6">
      <c r="A619" s="2" t="s">
        <v>689</v>
      </c>
      <c r="B619" s="2">
        <v>94</v>
      </c>
      <c r="C619" s="12" t="s">
        <v>101</v>
      </c>
      <c r="D619" s="12" t="s">
        <v>352</v>
      </c>
      <c r="E619" s="13" t="s">
        <v>148</v>
      </c>
      <c r="F619" s="30">
        <v>497.59500000000003</v>
      </c>
      <c r="G619" s="30"/>
      <c r="H619" s="30"/>
      <c r="I619" s="14">
        <v>329300.42555937677</v>
      </c>
      <c r="J619" s="14">
        <v>163858245.25621811</v>
      </c>
      <c r="K619" s="30">
        <v>0.0</v>
      </c>
      <c r="L619" s="93"/>
    </row>
    <row r="620" spans="1:13" ht="27.6">
      <c r="A620" s="2" t="s">
        <v>689</v>
      </c>
      <c r="B620" s="2">
        <v>95</v>
      </c>
      <c r="C620" s="12" t="s">
        <v>102</v>
      </c>
      <c r="D620" s="12" t="s">
        <v>463</v>
      </c>
      <c r="E620" s="13" t="s">
        <v>148</v>
      </c>
      <c r="F620" s="30">
        <v>53.55</v>
      </c>
      <c r="G620" s="30"/>
      <c r="H620" s="30"/>
      <c r="I620" s="14">
        <v>658600.85111875355</v>
      </c>
      <c r="J620" s="14">
        <v>35268075.577409253</v>
      </c>
      <c r="K620" s="30">
        <v>0.0</v>
      </c>
      <c r="L620" s="93"/>
    </row>
    <row r="621" spans="1:13" s="18" customFormat="1" ht="15.6">
      <c r="A621" s="3"/>
      <c r="B621" s="3"/>
      <c r="C621" s="15" t="s">
        <v>103</v>
      </c>
      <c r="D621" s="15" t="s">
        <v>464</v>
      </c>
      <c r="E621" s="16"/>
      <c r="F621" s="32"/>
      <c r="G621" s="32"/>
      <c r="H621" s="32"/>
      <c r="I621" s="17"/>
      <c r="J621" s="17"/>
      <c r="K621" s="17"/>
      <c r="L621" s="100"/>
      <c r="M621" s="18" t="s">
        <v>899</v>
      </c>
    </row>
    <row r="622" spans="1:13" ht="15.6">
      <c r="A622" s="2" t="s">
        <v>690</v>
      </c>
      <c r="B622" s="2">
        <v>96</v>
      </c>
      <c r="C622" s="12" t="s">
        <v>153</v>
      </c>
      <c r="D622" s="12" t="s">
        <v>515</v>
      </c>
      <c r="E622" s="13" t="s">
        <v>145</v>
      </c>
      <c r="F622" s="30">
        <v>4.3999999999999997E-2</v>
      </c>
      <c r="G622" s="30"/>
      <c r="H622" s="30"/>
      <c r="I622" s="14">
        <v>2690167.124583811</v>
      </c>
      <c r="J622" s="14">
        <v>118367.35348168768</v>
      </c>
      <c r="K622" s="30">
        <v>0.0</v>
      </c>
      <c r="L622" s="93"/>
      <c r="M622" s="8">
        <f>+F622/3*2</f>
        <v>2.9333333333333333E-2</v>
      </c>
    </row>
    <row r="623" spans="1:13" ht="15.6">
      <c r="A623" s="2" t="s">
        <v>691</v>
      </c>
      <c r="B623" s="2">
        <v>97</v>
      </c>
      <c r="C623" s="12" t="s">
        <v>161</v>
      </c>
      <c r="D623" s="12" t="s">
        <v>516</v>
      </c>
      <c r="E623" s="13" t="s">
        <v>145</v>
      </c>
      <c r="F623" s="30">
        <v>3.6999999999999998E-2</v>
      </c>
      <c r="G623" s="30"/>
      <c r="H623" s="30"/>
      <c r="I623" s="14">
        <v>3406602.6497878134</v>
      </c>
      <c r="J623" s="14">
        <v>126044.29804214909</v>
      </c>
      <c r="K623" s="30">
        <v>0.0</v>
      </c>
      <c r="L623" s="93"/>
      <c r="M623" s="8">
        <f t="shared" ref="M623:M632" si="0">+F623/3*2</f>
        <v>2.4666666666666667E-2</v>
      </c>
    </row>
    <row r="624" spans="1:13" ht="15.6">
      <c r="A624" s="2" t="s">
        <v>673</v>
      </c>
      <c r="B624" s="2">
        <v>98</v>
      </c>
      <c r="C624" s="12" t="s">
        <v>104</v>
      </c>
      <c r="D624" s="12" t="s">
        <v>465</v>
      </c>
      <c r="E624" s="13" t="s">
        <v>144</v>
      </c>
      <c r="F624" s="30">
        <v>0.192</v>
      </c>
      <c r="G624" s="30"/>
      <c r="H624" s="30"/>
      <c r="I624" s="14">
        <v>1148900.2164260512</v>
      </c>
      <c r="J624" s="14">
        <v>220588.84155380185</v>
      </c>
      <c r="K624" s="30">
        <v>0.0</v>
      </c>
      <c r="L624" s="93"/>
      <c r="M624" s="8">
        <f t="shared" si="0"/>
        <v>0.128</v>
      </c>
    </row>
    <row r="625" spans="1:13" ht="15.6">
      <c r="A625" s="2" t="s">
        <v>692</v>
      </c>
      <c r="B625" s="2">
        <v>99</v>
      </c>
      <c r="C625" s="12" t="s">
        <v>105</v>
      </c>
      <c r="D625" s="12" t="s">
        <v>466</v>
      </c>
      <c r="E625" s="13" t="s">
        <v>144</v>
      </c>
      <c r="F625" s="30">
        <v>0.78300000000000003</v>
      </c>
      <c r="G625" s="30"/>
      <c r="H625" s="30"/>
      <c r="I625" s="14">
        <v>1306725.9523022091</v>
      </c>
      <c r="J625" s="14">
        <v>1023166.4206526298</v>
      </c>
      <c r="K625" s="30">
        <v>0.0</v>
      </c>
      <c r="L625" s="93"/>
      <c r="M625" s="8">
        <f t="shared" si="0"/>
        <v>0.52200000000000002</v>
      </c>
    </row>
    <row r="626" spans="1:13" ht="15.6">
      <c r="A626" s="2" t="s">
        <v>674</v>
      </c>
      <c r="B626" s="2">
        <v>100</v>
      </c>
      <c r="C626" s="12" t="s">
        <v>106</v>
      </c>
      <c r="D626" s="12" t="s">
        <v>467</v>
      </c>
      <c r="E626" s="13" t="s">
        <v>146</v>
      </c>
      <c r="F626" s="30">
        <v>2E-3</v>
      </c>
      <c r="G626" s="30"/>
      <c r="H626" s="30"/>
      <c r="I626" s="14">
        <v>20497700.2547406</v>
      </c>
      <c r="J626" s="14">
        <v>40995.400509481202</v>
      </c>
      <c r="K626" s="30">
        <v>0.0</v>
      </c>
      <c r="L626" s="93"/>
      <c r="M626" s="8">
        <f t="shared" si="0"/>
        <v>1.3333333333333333E-3</v>
      </c>
    </row>
    <row r="627" spans="1:13" ht="15.6">
      <c r="A627" s="2" t="s">
        <v>670</v>
      </c>
      <c r="B627" s="2">
        <v>101</v>
      </c>
      <c r="C627" s="12" t="s">
        <v>107</v>
      </c>
      <c r="D627" s="12" t="s">
        <v>468</v>
      </c>
      <c r="E627" s="13" t="s">
        <v>149</v>
      </c>
      <c r="F627" s="30">
        <v>0.05</v>
      </c>
      <c r="G627" s="30"/>
      <c r="H627" s="30"/>
      <c r="I627" s="14">
        <v>5847333.4887753464</v>
      </c>
      <c r="J627" s="14">
        <v>292366.67443876731</v>
      </c>
      <c r="K627" s="30">
        <v>0.0</v>
      </c>
      <c r="L627" s="93"/>
      <c r="M627" s="8">
        <f t="shared" si="0"/>
        <v>3.3333333333333333E-2</v>
      </c>
    </row>
    <row r="628" spans="1:13" ht="15.6">
      <c r="A628" s="2" t="s">
        <v>645</v>
      </c>
      <c r="B628" s="2">
        <v>102</v>
      </c>
      <c r="C628" s="12" t="s">
        <v>108</v>
      </c>
      <c r="D628" s="12" t="s">
        <v>469</v>
      </c>
      <c r="E628" s="13" t="s">
        <v>24</v>
      </c>
      <c r="F628" s="30">
        <v>3</v>
      </c>
      <c r="G628" s="30"/>
      <c r="H628" s="30"/>
      <c r="I628" s="14">
        <v>2029833.75</v>
      </c>
      <c r="J628" s="14">
        <v>6089501.25</v>
      </c>
      <c r="K628" s="30">
        <v>0.0</v>
      </c>
      <c r="L628" s="93"/>
      <c r="M628" s="8">
        <f t="shared" si="0"/>
        <v>2</v>
      </c>
    </row>
    <row r="629" spans="1:13" ht="27.6">
      <c r="A629" s="2" t="s">
        <v>645</v>
      </c>
      <c r="B629" s="2">
        <v>103</v>
      </c>
      <c r="C629" s="12" t="s">
        <v>109</v>
      </c>
      <c r="D629" s="12" t="s">
        <v>470</v>
      </c>
      <c r="E629" s="13" t="s">
        <v>24</v>
      </c>
      <c r="F629" s="30">
        <v>3</v>
      </c>
      <c r="G629" s="30"/>
      <c r="H629" s="30"/>
      <c r="I629" s="14">
        <v>1299093.6000000001</v>
      </c>
      <c r="J629" s="14">
        <v>3897280.8000000003</v>
      </c>
      <c r="K629" s="30">
        <v>0.0</v>
      </c>
      <c r="L629" s="93"/>
      <c r="M629" s="8">
        <f t="shared" si="0"/>
        <v>2</v>
      </c>
    </row>
    <row r="630" spans="1:13" ht="55.2">
      <c r="A630" s="2" t="s">
        <v>645</v>
      </c>
      <c r="B630" s="2">
        <v>104</v>
      </c>
      <c r="C630" s="12" t="s">
        <v>110</v>
      </c>
      <c r="D630" s="12" t="s">
        <v>471</v>
      </c>
      <c r="E630" s="13" t="s">
        <v>24</v>
      </c>
      <c r="F630" s="30">
        <v>3</v>
      </c>
      <c r="G630" s="30"/>
      <c r="H630" s="30"/>
      <c r="I630" s="14">
        <v>9859192.5</v>
      </c>
      <c r="J630" s="14">
        <v>29577577.5</v>
      </c>
      <c r="K630" s="30">
        <v>0.0</v>
      </c>
      <c r="L630" s="93"/>
      <c r="M630" s="8">
        <f t="shared" si="0"/>
        <v>2</v>
      </c>
    </row>
    <row r="631" spans="1:13" ht="15.6">
      <c r="A631" s="2" t="s">
        <v>645</v>
      </c>
      <c r="B631" s="2">
        <v>105</v>
      </c>
      <c r="C631" s="12" t="s">
        <v>111</v>
      </c>
      <c r="D631" s="12" t="s">
        <v>472</v>
      </c>
      <c r="E631" s="13" t="s">
        <v>24</v>
      </c>
      <c r="F631" s="30">
        <v>3</v>
      </c>
      <c r="G631" s="30"/>
      <c r="H631" s="30"/>
      <c r="I631" s="14">
        <v>1531417.93188</v>
      </c>
      <c r="J631" s="14">
        <v>4594253.7956400001</v>
      </c>
      <c r="K631" s="30">
        <v>0.0</v>
      </c>
      <c r="L631" s="93"/>
      <c r="M631" s="8">
        <f t="shared" si="0"/>
        <v>2</v>
      </c>
    </row>
    <row r="632" spans="1:13" ht="15.6">
      <c r="A632" s="2" t="s">
        <v>645</v>
      </c>
      <c r="B632" s="2">
        <v>106</v>
      </c>
      <c r="C632" s="12" t="s">
        <v>112</v>
      </c>
      <c r="D632" s="12" t="s">
        <v>473</v>
      </c>
      <c r="E632" s="13" t="s">
        <v>318</v>
      </c>
      <c r="F632" s="30">
        <v>3</v>
      </c>
      <c r="G632" s="30"/>
      <c r="H632" s="30"/>
      <c r="I632" s="14">
        <v>283016.82</v>
      </c>
      <c r="J632" s="14">
        <v>849050.46</v>
      </c>
      <c r="K632" s="30">
        <v>0.0</v>
      </c>
      <c r="L632" s="93"/>
      <c r="M632" s="8">
        <f t="shared" si="0"/>
        <v>2</v>
      </c>
    </row>
    <row r="633" spans="1:13" s="18" customFormat="1" ht="15.6">
      <c r="A633" s="3"/>
      <c r="B633" s="3"/>
      <c r="C633" s="15" t="s">
        <v>113</v>
      </c>
      <c r="D633" s="15" t="s">
        <v>474</v>
      </c>
      <c r="E633" s="16"/>
      <c r="F633" s="42"/>
      <c r="G633" s="32"/>
      <c r="H633" s="32"/>
      <c r="I633" s="17"/>
      <c r="J633" s="14"/>
      <c r="K633" s="17"/>
      <c r="L633" s="100"/>
    </row>
    <row r="634" spans="1:13" ht="27.6">
      <c r="A634" s="2" t="s">
        <v>645</v>
      </c>
      <c r="B634" s="2">
        <v>107</v>
      </c>
      <c r="C634" s="12" t="s">
        <v>114</v>
      </c>
      <c r="D634" s="12" t="s">
        <v>475</v>
      </c>
      <c r="E634" s="13" t="s">
        <v>5</v>
      </c>
      <c r="F634" s="30">
        <v>270</v>
      </c>
      <c r="G634" s="30"/>
      <c r="H634" s="30"/>
      <c r="I634" s="14">
        <v>917484.85499999998</v>
      </c>
      <c r="J634" s="14">
        <v>247720910.84999999</v>
      </c>
      <c r="K634" s="30">
        <v>0.0</v>
      </c>
      <c r="L634" s="93"/>
    </row>
    <row r="635" spans="1:13" ht="27.6">
      <c r="A635" s="2" t="s">
        <v>645</v>
      </c>
      <c r="B635" s="2">
        <v>108</v>
      </c>
      <c r="C635" s="12" t="s">
        <v>115</v>
      </c>
      <c r="D635" s="12" t="s">
        <v>476</v>
      </c>
      <c r="E635" s="13" t="s">
        <v>5</v>
      </c>
      <c r="F635" s="30">
        <v>270</v>
      </c>
      <c r="G635" s="30"/>
      <c r="H635" s="30"/>
      <c r="I635" s="14">
        <v>63794.775000000001</v>
      </c>
      <c r="J635" s="14">
        <v>17224589.25</v>
      </c>
      <c r="K635" s="30">
        <v>0.0</v>
      </c>
      <c r="L635" s="93"/>
    </row>
    <row r="636" spans="1:13" s="92" customFormat="1" ht="15.6">
      <c r="A636" s="87"/>
      <c r="B636" s="87"/>
      <c r="C636" s="88" t="s">
        <v>12</v>
      </c>
      <c r="D636" s="88" t="s">
        <v>477</v>
      </c>
      <c r="E636" s="89"/>
      <c r="F636" s="90"/>
      <c r="G636" s="90"/>
      <c r="H636" s="90"/>
      <c r="I636" s="91"/>
      <c r="J636" s="91">
        <v>1428166867.0050969</v>
      </c>
      <c r="K636" s="91"/>
      <c r="L636" s="103"/>
    </row>
    <row r="637" spans="1:13" s="68" customFormat="1" ht="15.6">
      <c r="A637" s="63"/>
      <c r="B637" s="63"/>
      <c r="C637" s="64" t="s">
        <v>116</v>
      </c>
      <c r="D637" s="64" t="s">
        <v>478</v>
      </c>
      <c r="E637" s="65"/>
      <c r="F637" s="66"/>
      <c r="G637" s="66"/>
      <c r="H637" s="66"/>
      <c r="I637" s="67"/>
      <c r="J637" s="67"/>
      <c r="K637" s="67"/>
      <c r="L637" s="98"/>
    </row>
    <row r="638" spans="1:13" s="68" customFormat="1" ht="27.6">
      <c r="A638" s="63" t="s">
        <v>727</v>
      </c>
      <c r="B638" s="63">
        <v>1</v>
      </c>
      <c r="C638" s="64" t="s">
        <v>174</v>
      </c>
      <c r="D638" s="64" t="s">
        <v>335</v>
      </c>
      <c r="E638" s="65" t="s">
        <v>144</v>
      </c>
      <c r="F638" s="66">
        <v>59.18</v>
      </c>
      <c r="G638" s="66"/>
      <c r="H638" s="66"/>
      <c r="I638" s="67">
        <v>294184.57829942321</v>
      </c>
      <c r="J638" s="67">
        <v>17409843.343759865</v>
      </c>
      <c r="K638" s="66">
        <v>0.0</v>
      </c>
      <c r="L638" s="98"/>
    </row>
    <row r="639" spans="1:13" s="68" customFormat="1" ht="27.6">
      <c r="A639" s="63" t="s">
        <v>697</v>
      </c>
      <c r="B639" s="63">
        <v>2</v>
      </c>
      <c r="C639" s="64" t="s">
        <v>175</v>
      </c>
      <c r="D639" s="64" t="s">
        <v>529</v>
      </c>
      <c r="E639" s="65" t="s">
        <v>152</v>
      </c>
      <c r="F639" s="66">
        <v>68.195000000000007</v>
      </c>
      <c r="G639" s="66"/>
      <c r="H639" s="66"/>
      <c r="I639" s="67">
        <v>249922.24815330002</v>
      </c>
      <c r="J639" s="67">
        <v>17043447.712814298</v>
      </c>
      <c r="K639" s="66">
        <v>32.094076</v>
      </c>
      <c r="L639" s="98"/>
    </row>
    <row r="640" spans="1:13" s="68" customFormat="1" ht="27.6">
      <c r="A640" s="63" t="s">
        <v>641</v>
      </c>
      <c r="B640" s="63">
        <v>3</v>
      </c>
      <c r="C640" s="64" t="s">
        <v>119</v>
      </c>
      <c r="D640" s="64" t="s">
        <v>480</v>
      </c>
      <c r="E640" s="65" t="s">
        <v>145</v>
      </c>
      <c r="F640" s="66">
        <v>12.850099999999999</v>
      </c>
      <c r="G640" s="66"/>
      <c r="H640" s="66"/>
      <c r="I640" s="67">
        <v>2227071.2377586598</v>
      </c>
      <c r="J640" s="67">
        <v>28618088.112322554</v>
      </c>
      <c r="K640" s="66">
        <v>6.9799704999999985</v>
      </c>
      <c r="L640" s="98"/>
    </row>
    <row r="641" spans="1:12" s="68" customFormat="1" ht="15.6">
      <c r="A641" s="63" t="s">
        <v>668</v>
      </c>
      <c r="B641" s="63">
        <v>4</v>
      </c>
      <c r="C641" s="64" t="s">
        <v>62</v>
      </c>
      <c r="D641" s="64" t="s">
        <v>425</v>
      </c>
      <c r="E641" s="65" t="s">
        <v>144</v>
      </c>
      <c r="F641" s="66">
        <v>63.708999999999996</v>
      </c>
      <c r="G641" s="66"/>
      <c r="H641" s="66"/>
      <c r="I641" s="67">
        <v>853395.55497491383</v>
      </c>
      <c r="J641" s="67">
        <v>54368977.41189678</v>
      </c>
      <c r="K641" s="66">
        <v>27.42256</v>
      </c>
      <c r="L641" s="98"/>
    </row>
    <row r="642" spans="1:12" s="68" customFormat="1" ht="27.6">
      <c r="A642" s="63" t="s">
        <v>698</v>
      </c>
      <c r="B642" s="63">
        <v>5</v>
      </c>
      <c r="C642" s="64" t="s">
        <v>120</v>
      </c>
      <c r="D642" s="64" t="s">
        <v>481</v>
      </c>
      <c r="E642" s="65" t="s">
        <v>144</v>
      </c>
      <c r="F642" s="66">
        <v>40.658000000000001</v>
      </c>
      <c r="G642" s="66"/>
      <c r="H642" s="66"/>
      <c r="I642" s="67">
        <v>1295770.0631292413</v>
      </c>
      <c r="J642" s="67">
        <v>52683419.226708695</v>
      </c>
      <c r="K642" s="66">
        <v>14.473999999999998</v>
      </c>
      <c r="L642" s="98"/>
    </row>
    <row r="643" spans="1:12" s="68" customFormat="1" ht="27.6">
      <c r="A643" s="63" t="s">
        <v>692</v>
      </c>
      <c r="B643" s="63">
        <v>6</v>
      </c>
      <c r="C643" s="64" t="s">
        <v>121</v>
      </c>
      <c r="D643" s="64" t="s">
        <v>482</v>
      </c>
      <c r="E643" s="65" t="s">
        <v>144</v>
      </c>
      <c r="F643" s="66">
        <v>147.03</v>
      </c>
      <c r="G643" s="66"/>
      <c r="H643" s="66"/>
      <c r="I643" s="67">
        <v>1306725.9523022091</v>
      </c>
      <c r="J643" s="67">
        <v>192127916.76699379</v>
      </c>
      <c r="K643" s="66">
        <v>66.267</v>
      </c>
      <c r="L643" s="98"/>
    </row>
    <row r="644" spans="1:12" s="68" customFormat="1" ht="27.6">
      <c r="A644" s="63" t="s">
        <v>699</v>
      </c>
      <c r="B644" s="63">
        <v>7</v>
      </c>
      <c r="C644" s="64" t="s">
        <v>122</v>
      </c>
      <c r="D644" s="64" t="s">
        <v>483</v>
      </c>
      <c r="E644" s="65" t="s">
        <v>144</v>
      </c>
      <c r="F644" s="66">
        <v>110.52800000000001</v>
      </c>
      <c r="G644" s="66"/>
      <c r="H644" s="66"/>
      <c r="I644" s="67">
        <v>1409368.3746321173</v>
      </c>
      <c r="J644" s="67">
        <v>155774667.71133867</v>
      </c>
      <c r="K644" s="66">
        <v>32.19052</v>
      </c>
      <c r="L644" s="98"/>
    </row>
    <row r="645" spans="1:12" s="68" customFormat="1" ht="15.6">
      <c r="A645" s="63" t="s">
        <v>670</v>
      </c>
      <c r="B645" s="63">
        <v>8</v>
      </c>
      <c r="C645" s="64" t="s">
        <v>107</v>
      </c>
      <c r="D645" s="64" t="s">
        <v>468</v>
      </c>
      <c r="E645" s="65" t="s">
        <v>149</v>
      </c>
      <c r="F645" s="66">
        <v>4.5952999999999999</v>
      </c>
      <c r="G645" s="66"/>
      <c r="H645" s="66"/>
      <c r="I645" s="67">
        <v>5847333.4887753464</v>
      </c>
      <c r="J645" s="67">
        <v>26870251.580969349</v>
      </c>
      <c r="K645" s="66">
        <v>0.95208</v>
      </c>
      <c r="L645" s="98"/>
    </row>
    <row r="646" spans="1:12" s="74" customFormat="1" ht="15.6">
      <c r="A646" s="69"/>
      <c r="B646" s="69"/>
      <c r="C646" s="70" t="s">
        <v>123</v>
      </c>
      <c r="D646" s="70" t="s">
        <v>484</v>
      </c>
      <c r="E646" s="71"/>
      <c r="F646" s="72"/>
      <c r="G646" s="72"/>
      <c r="H646" s="72"/>
      <c r="I646" s="73"/>
      <c r="J646" s="73"/>
      <c r="K646" s="73"/>
      <c r="L646" s="99"/>
    </row>
    <row r="647" spans="1:12" s="68" customFormat="1" ht="27.6">
      <c r="A647" s="63" t="s">
        <v>700</v>
      </c>
      <c r="B647" s="63">
        <v>9</v>
      </c>
      <c r="C647" s="64" t="s">
        <v>124</v>
      </c>
      <c r="D647" s="64" t="s">
        <v>609</v>
      </c>
      <c r="E647" s="65" t="s">
        <v>144</v>
      </c>
      <c r="F647" s="66">
        <v>173.279</v>
      </c>
      <c r="G647" s="66"/>
      <c r="H647" s="66"/>
      <c r="I647" s="67">
        <v>1691701.955375639</v>
      </c>
      <c r="J647" s="67">
        <v>293136423.12553537</v>
      </c>
      <c r="K647" s="66">
        <v>64.62986944</v>
      </c>
      <c r="L647" s="98"/>
    </row>
    <row r="648" spans="1:12" s="68" customFormat="1" ht="27.6">
      <c r="A648" s="63" t="s">
        <v>701</v>
      </c>
      <c r="B648" s="63">
        <v>10</v>
      </c>
      <c r="C648" s="64" t="s">
        <v>163</v>
      </c>
      <c r="D648" s="64" t="s">
        <v>518</v>
      </c>
      <c r="E648" s="65" t="s">
        <v>144</v>
      </c>
      <c r="F648" s="66">
        <v>47.1</v>
      </c>
      <c r="G648" s="66"/>
      <c r="H648" s="66"/>
      <c r="I648" s="67">
        <v>1743471.8908994044</v>
      </c>
      <c r="J648" s="67">
        <v>82117526.061361954</v>
      </c>
      <c r="K648" s="66">
        <v>18.56</v>
      </c>
      <c r="L648" s="98"/>
    </row>
    <row r="649" spans="1:12" s="68" customFormat="1" ht="15.6">
      <c r="A649" s="63" t="s">
        <v>702</v>
      </c>
      <c r="B649" s="63">
        <v>11</v>
      </c>
      <c r="C649" s="64" t="s">
        <v>125</v>
      </c>
      <c r="D649" s="64" t="s">
        <v>486</v>
      </c>
      <c r="E649" s="65" t="s">
        <v>144</v>
      </c>
      <c r="F649" s="66">
        <v>29.436</v>
      </c>
      <c r="G649" s="66"/>
      <c r="H649" s="66"/>
      <c r="I649" s="67">
        <v>1890660.2565328388</v>
      </c>
      <c r="J649" s="67">
        <v>55653475.311300643</v>
      </c>
      <c r="K649" s="66">
        <v>12.080000000000002</v>
      </c>
      <c r="L649" s="98"/>
    </row>
    <row r="650" spans="1:12" s="68" customFormat="1" ht="15.6">
      <c r="A650" s="63" t="s">
        <v>677</v>
      </c>
      <c r="B650" s="63">
        <v>12</v>
      </c>
      <c r="C650" s="64" t="s">
        <v>126</v>
      </c>
      <c r="D650" s="64" t="s">
        <v>487</v>
      </c>
      <c r="E650" s="65" t="s">
        <v>146</v>
      </c>
      <c r="F650" s="66">
        <v>2.3980000000000001</v>
      </c>
      <c r="G650" s="66"/>
      <c r="H650" s="66"/>
      <c r="I650" s="67">
        <v>23279148.621693719</v>
      </c>
      <c r="J650" s="67">
        <v>55823398.39482154</v>
      </c>
      <c r="K650" s="66">
        <v>0.9763000000000001</v>
      </c>
      <c r="L650" s="98"/>
    </row>
    <row r="651" spans="1:12" s="68" customFormat="1" ht="15.6">
      <c r="A651" s="63" t="s">
        <v>678</v>
      </c>
      <c r="B651" s="63">
        <v>13</v>
      </c>
      <c r="C651" s="64" t="s">
        <v>127</v>
      </c>
      <c r="D651" s="64" t="s">
        <v>488</v>
      </c>
      <c r="E651" s="65" t="s">
        <v>146</v>
      </c>
      <c r="F651" s="66">
        <v>4.7830000000000004</v>
      </c>
      <c r="G651" s="66"/>
      <c r="H651" s="66"/>
      <c r="I651" s="67">
        <v>22298275.433076847</v>
      </c>
      <c r="J651" s="67">
        <v>106652651.39640658</v>
      </c>
      <c r="K651" s="66">
        <v>1.9</v>
      </c>
      <c r="L651" s="98"/>
    </row>
    <row r="652" spans="1:12" s="68" customFormat="1" ht="15.6">
      <c r="A652" s="63" t="s">
        <v>703</v>
      </c>
      <c r="B652" s="63">
        <v>14</v>
      </c>
      <c r="C652" s="64" t="s">
        <v>128</v>
      </c>
      <c r="D652" s="64" t="s">
        <v>489</v>
      </c>
      <c r="E652" s="65" t="s">
        <v>146</v>
      </c>
      <c r="F652" s="66">
        <v>1.0469999999999999</v>
      </c>
      <c r="G652" s="66"/>
      <c r="H652" s="66"/>
      <c r="I652" s="67">
        <v>22227176.507897273</v>
      </c>
      <c r="J652" s="67">
        <v>23271853.803768445</v>
      </c>
      <c r="K652" s="66">
        <v>0.44142000000000003</v>
      </c>
      <c r="L652" s="98"/>
    </row>
    <row r="653" spans="1:12" s="68" customFormat="1" ht="15.6">
      <c r="A653" s="63" t="s">
        <v>705</v>
      </c>
      <c r="B653" s="63">
        <v>15</v>
      </c>
      <c r="C653" s="64" t="s">
        <v>219</v>
      </c>
      <c r="D653" s="64" t="s">
        <v>576</v>
      </c>
      <c r="E653" s="65" t="s">
        <v>149</v>
      </c>
      <c r="F653" s="66">
        <v>7.577700000000001</v>
      </c>
      <c r="G653" s="66"/>
      <c r="H653" s="66"/>
      <c r="I653" s="67">
        <v>15377258.3164245</v>
      </c>
      <c r="J653" s="67">
        <v>116524250.34436995</v>
      </c>
      <c r="K653" s="66">
        <v>2.9641771200000004</v>
      </c>
      <c r="L653" s="98"/>
    </row>
    <row r="654" spans="1:12" s="68" customFormat="1" ht="15.6">
      <c r="A654" s="63" t="s">
        <v>670</v>
      </c>
      <c r="B654" s="63">
        <v>16</v>
      </c>
      <c r="C654" s="64" t="s">
        <v>130</v>
      </c>
      <c r="D654" s="64" t="s">
        <v>491</v>
      </c>
      <c r="E654" s="65" t="s">
        <v>149</v>
      </c>
      <c r="F654" s="66">
        <v>2.0099999999999998</v>
      </c>
      <c r="G654" s="66"/>
      <c r="H654" s="66"/>
      <c r="I654" s="67">
        <v>5847333.4887753464</v>
      </c>
      <c r="J654" s="67">
        <v>11753140.312438445</v>
      </c>
      <c r="K654" s="66">
        <v>0.8245</v>
      </c>
      <c r="L654" s="98"/>
    </row>
    <row r="655" spans="1:12" s="68" customFormat="1" ht="15.6">
      <c r="A655" s="63" t="s">
        <v>706</v>
      </c>
      <c r="B655" s="63">
        <v>17</v>
      </c>
      <c r="C655" s="64" t="s">
        <v>131</v>
      </c>
      <c r="D655" s="64" t="s">
        <v>492</v>
      </c>
      <c r="E655" s="65" t="s">
        <v>149</v>
      </c>
      <c r="F655" s="66">
        <v>1.8169999999999999</v>
      </c>
      <c r="G655" s="66"/>
      <c r="H655" s="66"/>
      <c r="I655" s="67">
        <v>9556992.580486374</v>
      </c>
      <c r="J655" s="67">
        <v>17365055.518743742</v>
      </c>
      <c r="K655" s="66">
        <v>0.6955592</v>
      </c>
      <c r="L655" s="98"/>
    </row>
    <row r="656" spans="1:12" s="68" customFormat="1" ht="15.6">
      <c r="A656" s="63" t="s">
        <v>680</v>
      </c>
      <c r="B656" s="63">
        <v>18</v>
      </c>
      <c r="C656" s="64" t="s">
        <v>77</v>
      </c>
      <c r="D656" s="64" t="s">
        <v>439</v>
      </c>
      <c r="E656" s="65" t="s">
        <v>392</v>
      </c>
      <c r="F656" s="66">
        <v>252</v>
      </c>
      <c r="G656" s="66"/>
      <c r="H656" s="66"/>
      <c r="I656" s="67">
        <v>33088.984387921992</v>
      </c>
      <c r="J656" s="67">
        <v>8338424.0657563414</v>
      </c>
      <c r="K656" s="66">
        <v>48.0</v>
      </c>
      <c r="L656" s="98"/>
    </row>
    <row r="657" spans="1:12" s="74" customFormat="1" ht="15.6">
      <c r="A657" s="69"/>
      <c r="B657" s="69"/>
      <c r="C657" s="70" t="s">
        <v>132</v>
      </c>
      <c r="D657" s="70" t="s">
        <v>493</v>
      </c>
      <c r="E657" s="71"/>
      <c r="F657" s="72"/>
      <c r="G657" s="72"/>
      <c r="H657" s="72"/>
      <c r="I657" s="73"/>
      <c r="J657" s="73"/>
      <c r="K657" s="73"/>
      <c r="L657" s="99"/>
    </row>
    <row r="658" spans="1:12" s="68" customFormat="1" ht="15.6">
      <c r="A658" s="63" t="s">
        <v>745</v>
      </c>
      <c r="B658" s="63">
        <v>19</v>
      </c>
      <c r="C658" s="64" t="s">
        <v>251</v>
      </c>
      <c r="D658" s="64" t="s">
        <v>610</v>
      </c>
      <c r="E658" s="65" t="s">
        <v>144</v>
      </c>
      <c r="F658" s="66">
        <v>10.080000000000005</v>
      </c>
      <c r="G658" s="66"/>
      <c r="H658" s="66"/>
      <c r="I658" s="67">
        <v>1556319.5029539666</v>
      </c>
      <c r="J658" s="67">
        <v>15687700.589775993</v>
      </c>
      <c r="K658" s="66">
        <v>10.08</v>
      </c>
      <c r="L658" s="98"/>
    </row>
    <row r="659" spans="1:12" s="68" customFormat="1" ht="15.6">
      <c r="A659" s="63" t="s">
        <v>708</v>
      </c>
      <c r="B659" s="63">
        <v>20</v>
      </c>
      <c r="C659" s="64" t="s">
        <v>134</v>
      </c>
      <c r="D659" s="64" t="s">
        <v>495</v>
      </c>
      <c r="E659" s="65" t="s">
        <v>146</v>
      </c>
      <c r="F659" s="66">
        <v>0.93960000000000043</v>
      </c>
      <c r="G659" s="66"/>
      <c r="H659" s="66"/>
      <c r="I659" s="67">
        <v>23917285.779540598</v>
      </c>
      <c r="J659" s="67">
        <v>22472681.718456358</v>
      </c>
      <c r="K659" s="66">
        <v>0.9393999999999999</v>
      </c>
      <c r="L659" s="98"/>
    </row>
    <row r="660" spans="1:12" s="68" customFormat="1" ht="15.6">
      <c r="A660" s="63" t="s">
        <v>709</v>
      </c>
      <c r="B660" s="63">
        <v>21</v>
      </c>
      <c r="C660" s="64" t="s">
        <v>135</v>
      </c>
      <c r="D660" s="64" t="s">
        <v>496</v>
      </c>
      <c r="E660" s="65" t="s">
        <v>149</v>
      </c>
      <c r="F660" s="66">
        <v>1.4423000000000004</v>
      </c>
      <c r="G660" s="66"/>
      <c r="H660" s="66"/>
      <c r="I660" s="67">
        <v>10874539.558710551</v>
      </c>
      <c r="J660" s="67">
        <v>15684348.405528231</v>
      </c>
      <c r="K660" s="66">
        <v>1.4418879999999998</v>
      </c>
      <c r="L660" s="98"/>
    </row>
    <row r="661" spans="1:12" s="68" customFormat="1" ht="15.6">
      <c r="A661" s="63" t="s">
        <v>669</v>
      </c>
      <c r="B661" s="63">
        <v>22</v>
      </c>
      <c r="C661" s="64" t="s">
        <v>136</v>
      </c>
      <c r="D661" s="64" t="s">
        <v>497</v>
      </c>
      <c r="E661" s="65" t="s">
        <v>148</v>
      </c>
      <c r="F661" s="66">
        <v>13.300000000000004</v>
      </c>
      <c r="G661" s="66"/>
      <c r="H661" s="66"/>
      <c r="I661" s="67">
        <v>46925.197431829074</v>
      </c>
      <c r="J661" s="67">
        <v>624105.12584332691</v>
      </c>
      <c r="K661" s="66">
        <v>13.299999999999999</v>
      </c>
      <c r="L661" s="98"/>
    </row>
    <row r="662" spans="1:12" s="68" customFormat="1" ht="15.6">
      <c r="A662" s="63" t="s">
        <v>710</v>
      </c>
      <c r="B662" s="63">
        <v>23</v>
      </c>
      <c r="C662" s="64" t="s">
        <v>137</v>
      </c>
      <c r="D662" s="64" t="s">
        <v>498</v>
      </c>
      <c r="E662" s="65" t="s">
        <v>148</v>
      </c>
      <c r="F662" s="66">
        <v>46.90000000000002</v>
      </c>
      <c r="G662" s="66"/>
      <c r="H662" s="66"/>
      <c r="I662" s="67">
        <v>60454.967741100008</v>
      </c>
      <c r="J662" s="67">
        <v>2835337.9870575918</v>
      </c>
      <c r="K662" s="66">
        <v>46.9</v>
      </c>
      <c r="L662" s="98"/>
    </row>
    <row r="663" spans="1:12" s="68" customFormat="1" ht="15.6">
      <c r="A663" s="63" t="s">
        <v>711</v>
      </c>
      <c r="B663" s="63">
        <v>24</v>
      </c>
      <c r="C663" s="64" t="s">
        <v>138</v>
      </c>
      <c r="D663" s="64" t="s">
        <v>499</v>
      </c>
      <c r="E663" s="65" t="s">
        <v>148</v>
      </c>
      <c r="F663" s="66">
        <v>15.68</v>
      </c>
      <c r="G663" s="66"/>
      <c r="H663" s="66"/>
      <c r="I663" s="67">
        <v>119732.73107907751</v>
      </c>
      <c r="J663" s="67">
        <v>1877409.2233199354</v>
      </c>
      <c r="K663" s="66">
        <v>15.680000000000001</v>
      </c>
      <c r="L663" s="98"/>
    </row>
    <row r="664" spans="1:12" s="68" customFormat="1" ht="15.6">
      <c r="A664" s="63" t="s">
        <v>746</v>
      </c>
      <c r="B664" s="63">
        <v>25</v>
      </c>
      <c r="C664" s="64" t="s">
        <v>139</v>
      </c>
      <c r="D664" s="64" t="s">
        <v>500</v>
      </c>
      <c r="E664" s="65" t="s">
        <v>25</v>
      </c>
      <c r="F664" s="66">
        <v>14</v>
      </c>
      <c r="G664" s="66"/>
      <c r="H664" s="66"/>
      <c r="I664" s="67">
        <v>1502926.349275951</v>
      </c>
      <c r="J664" s="67">
        <v>21040968.889863316</v>
      </c>
      <c r="K664" s="66">
        <v>14.0</v>
      </c>
      <c r="L664" s="98"/>
    </row>
    <row r="665" spans="1:12" s="74" customFormat="1" ht="15.6">
      <c r="A665" s="69"/>
      <c r="B665" s="69"/>
      <c r="C665" s="70" t="s">
        <v>140</v>
      </c>
      <c r="D665" s="70" t="s">
        <v>501</v>
      </c>
      <c r="E665" s="71"/>
      <c r="F665" s="72"/>
      <c r="G665" s="72"/>
      <c r="H665" s="72"/>
      <c r="I665" s="73"/>
      <c r="J665" s="67"/>
      <c r="K665" s="73"/>
      <c r="L665" s="99"/>
    </row>
    <row r="666" spans="1:12" s="68" customFormat="1" ht="27.6">
      <c r="A666" s="63" t="s">
        <v>691</v>
      </c>
      <c r="B666" s="63">
        <v>26</v>
      </c>
      <c r="C666" s="64" t="s">
        <v>141</v>
      </c>
      <c r="D666" s="64" t="s">
        <v>325</v>
      </c>
      <c r="E666" s="65" t="s">
        <v>145</v>
      </c>
      <c r="F666" s="66">
        <v>6.2455999999999996</v>
      </c>
      <c r="G666" s="66"/>
      <c r="H666" s="66"/>
      <c r="I666" s="67">
        <v>3406602.6497878134</v>
      </c>
      <c r="J666" s="67">
        <v>21276277.509514768</v>
      </c>
      <c r="K666" s="66">
        <v>2.0278739999999997</v>
      </c>
      <c r="L666" s="98"/>
    </row>
    <row r="667" spans="1:12" s="68" customFormat="1" ht="27.6">
      <c r="A667" s="63" t="s">
        <v>643</v>
      </c>
      <c r="B667" s="63">
        <v>27</v>
      </c>
      <c r="C667" s="64" t="s">
        <v>36</v>
      </c>
      <c r="D667" s="64" t="s">
        <v>399</v>
      </c>
      <c r="E667" s="65" t="s">
        <v>145</v>
      </c>
      <c r="F667" s="66">
        <v>3.3159999999999998</v>
      </c>
      <c r="G667" s="66"/>
      <c r="H667" s="66"/>
      <c r="I667" s="67">
        <v>1171462.5022504972</v>
      </c>
      <c r="J667" s="67">
        <v>3884569.6574626486</v>
      </c>
      <c r="K667" s="66">
        <v>0.85071</v>
      </c>
      <c r="L667" s="98"/>
    </row>
    <row r="668" spans="1:12" s="68" customFormat="1" ht="41.4">
      <c r="A668" s="63" t="s">
        <v>658</v>
      </c>
      <c r="B668" s="63">
        <v>28</v>
      </c>
      <c r="C668" s="64" t="s">
        <v>51</v>
      </c>
      <c r="D668" s="64" t="s">
        <v>413</v>
      </c>
      <c r="E668" s="65" t="s">
        <v>149</v>
      </c>
      <c r="F668" s="66">
        <v>0.17799999999999999</v>
      </c>
      <c r="G668" s="66"/>
      <c r="H668" s="66"/>
      <c r="I668" s="67">
        <v>1171371.4977983192</v>
      </c>
      <c r="J668" s="67">
        <v>208504.12660810081</v>
      </c>
      <c r="K668" s="66">
        <v>0.0</v>
      </c>
      <c r="L668" s="98"/>
    </row>
    <row r="669" spans="1:12" s="68" customFormat="1" ht="41.4">
      <c r="A669" s="63" t="s">
        <v>659</v>
      </c>
      <c r="B669" s="63">
        <v>29</v>
      </c>
      <c r="C669" s="64" t="s">
        <v>52</v>
      </c>
      <c r="D669" s="64" t="s">
        <v>414</v>
      </c>
      <c r="E669" s="65" t="s">
        <v>415</v>
      </c>
      <c r="F669" s="66">
        <v>0.03</v>
      </c>
      <c r="G669" s="66"/>
      <c r="H669" s="66"/>
      <c r="I669" s="67">
        <v>114863766.94263284</v>
      </c>
      <c r="J669" s="67">
        <v>3445913.008278985</v>
      </c>
      <c r="K669" s="66">
        <v>0.0</v>
      </c>
      <c r="L669" s="98"/>
    </row>
    <row r="670" spans="1:12" s="68" customFormat="1" ht="27.6">
      <c r="A670" s="63" t="s">
        <v>712</v>
      </c>
      <c r="B670" s="63">
        <v>30</v>
      </c>
      <c r="C670" s="64" t="s">
        <v>142</v>
      </c>
      <c r="D670" s="64" t="s">
        <v>502</v>
      </c>
      <c r="E670" s="65" t="s">
        <v>415</v>
      </c>
      <c r="F670" s="66">
        <v>0.03</v>
      </c>
      <c r="G670" s="66"/>
      <c r="H670" s="66"/>
      <c r="I670" s="67">
        <v>5422723.0814296259</v>
      </c>
      <c r="J670" s="67">
        <v>162681.69244288877</v>
      </c>
      <c r="K670" s="66">
        <v>0.0</v>
      </c>
      <c r="L670" s="98"/>
    </row>
    <row r="671" spans="1:12" s="68" customFormat="1" ht="27.6">
      <c r="A671" s="63" t="s">
        <v>723</v>
      </c>
      <c r="B671" s="63">
        <v>31</v>
      </c>
      <c r="C671" s="64" t="s">
        <v>242</v>
      </c>
      <c r="D671" s="64" t="s">
        <v>600</v>
      </c>
      <c r="E671" s="65" t="s">
        <v>415</v>
      </c>
      <c r="F671" s="66">
        <v>0.03</v>
      </c>
      <c r="G671" s="66"/>
      <c r="H671" s="66"/>
      <c r="I671" s="67">
        <v>15270242.620847264</v>
      </c>
      <c r="J671" s="67">
        <v>458107.27862541791</v>
      </c>
      <c r="K671" s="66">
        <v>0.0</v>
      </c>
      <c r="L671" s="98"/>
    </row>
    <row r="672" spans="1:12" s="68" customFormat="1" ht="27.6">
      <c r="A672" s="63" t="s">
        <v>662</v>
      </c>
      <c r="B672" s="63">
        <v>32</v>
      </c>
      <c r="C672" s="64" t="s">
        <v>143</v>
      </c>
      <c r="D672" s="64" t="s">
        <v>503</v>
      </c>
      <c r="E672" s="65" t="s">
        <v>149</v>
      </c>
      <c r="F672" s="66">
        <v>0.17799999999999999</v>
      </c>
      <c r="G672" s="66"/>
      <c r="H672" s="66"/>
      <c r="I672" s="67">
        <v>1793277.9778179687</v>
      </c>
      <c r="J672" s="67">
        <v>319203.4800515984</v>
      </c>
      <c r="K672" s="66">
        <v>0.0</v>
      </c>
      <c r="L672" s="98"/>
    </row>
    <row r="673" spans="1:12" s="68" customFormat="1" ht="15.6">
      <c r="A673" s="63" t="s">
        <v>663</v>
      </c>
      <c r="B673" s="63">
        <v>33</v>
      </c>
      <c r="C673" s="64" t="s">
        <v>55</v>
      </c>
      <c r="D673" s="64" t="s">
        <v>418</v>
      </c>
      <c r="E673" s="65" t="s">
        <v>145</v>
      </c>
      <c r="F673" s="66">
        <v>2.7E-2</v>
      </c>
      <c r="G673" s="66"/>
      <c r="H673" s="66"/>
      <c r="I673" s="67">
        <v>31726461.022453442</v>
      </c>
      <c r="J673" s="67">
        <v>856614.44760624296</v>
      </c>
      <c r="K673" s="66">
        <v>0.0</v>
      </c>
      <c r="L673" s="98"/>
    </row>
    <row r="674" spans="1:12" s="68" customFormat="1" ht="15.6">
      <c r="A674" s="63" t="s">
        <v>664</v>
      </c>
      <c r="B674" s="63">
        <v>34</v>
      </c>
      <c r="C674" s="64" t="s">
        <v>56</v>
      </c>
      <c r="D674" s="64" t="s">
        <v>419</v>
      </c>
      <c r="E674" s="65" t="s">
        <v>145</v>
      </c>
      <c r="F674" s="66">
        <v>5.7000000000000002E-2</v>
      </c>
      <c r="G674" s="66"/>
      <c r="H674" s="66"/>
      <c r="I674" s="67">
        <v>31572520.409725264</v>
      </c>
      <c r="J674" s="67">
        <v>1799633.66335434</v>
      </c>
      <c r="K674" s="66">
        <v>0.0</v>
      </c>
      <c r="L674" s="98"/>
    </row>
    <row r="675" spans="1:12" s="23" customFormat="1" ht="27.6">
      <c r="A675" s="19"/>
      <c r="B675" s="19" t="s">
        <v>4</v>
      </c>
      <c r="C675" s="20" t="s">
        <v>316</v>
      </c>
      <c r="D675" s="20" t="s">
        <v>388</v>
      </c>
      <c r="E675" s="21"/>
      <c r="F675" s="36"/>
      <c r="G675" s="36"/>
      <c r="H675" s="36"/>
      <c r="I675" s="22"/>
      <c r="J675" s="4">
        <v>14956419486.681026</v>
      </c>
      <c r="K675" s="4"/>
      <c r="L675" s="97"/>
    </row>
    <row r="676" spans="1:12" ht="27.6">
      <c r="A676" s="2" t="s">
        <v>13</v>
      </c>
      <c r="B676" s="2">
        <v>1</v>
      </c>
      <c r="C676" s="12" t="s">
        <v>266</v>
      </c>
      <c r="D676" s="12" t="s">
        <v>348</v>
      </c>
      <c r="E676" s="13" t="s">
        <v>145</v>
      </c>
      <c r="F676" s="30">
        <v>75.569999999999993</v>
      </c>
      <c r="G676" s="30"/>
      <c r="H676" s="30"/>
      <c r="I676" s="14">
        <v>2176614.4208094575</v>
      </c>
      <c r="J676" s="14">
        <v>164486751.78057069</v>
      </c>
      <c r="K676" s="30">
        <v>0.0</v>
      </c>
      <c r="L676" s="93"/>
    </row>
    <row r="677" spans="1:12" ht="27.6">
      <c r="A677" s="2" t="s">
        <v>719</v>
      </c>
      <c r="B677" s="2">
        <v>2</v>
      </c>
      <c r="C677" s="12" t="s">
        <v>286</v>
      </c>
      <c r="D677" s="12" t="s">
        <v>366</v>
      </c>
      <c r="E677" s="13" t="s">
        <v>145</v>
      </c>
      <c r="F677" s="30">
        <v>39.616</v>
      </c>
      <c r="G677" s="30"/>
      <c r="H677" s="30"/>
      <c r="I677" s="14">
        <v>32580988.740284663</v>
      </c>
      <c r="J677" s="14">
        <v>1290728449.9351172</v>
      </c>
      <c r="K677" s="30">
        <v>0.0</v>
      </c>
      <c r="L677" s="93"/>
    </row>
    <row r="678" spans="1:12" ht="27.6">
      <c r="A678" s="2" t="s">
        <v>762</v>
      </c>
      <c r="B678" s="2">
        <v>3</v>
      </c>
      <c r="C678" s="12" t="s">
        <v>287</v>
      </c>
      <c r="D678" s="12" t="s">
        <v>367</v>
      </c>
      <c r="E678" s="13" t="s">
        <v>145</v>
      </c>
      <c r="F678" s="30">
        <v>2.0409999999999999</v>
      </c>
      <c r="G678" s="30"/>
      <c r="H678" s="30"/>
      <c r="I678" s="14">
        <v>1247126.1286675143</v>
      </c>
      <c r="J678" s="14">
        <v>2545384.4286103966</v>
      </c>
      <c r="K678" s="30">
        <v>0.0</v>
      </c>
      <c r="L678" s="93"/>
    </row>
    <row r="679" spans="1:12" ht="27.6">
      <c r="A679" s="2" t="s">
        <v>763</v>
      </c>
      <c r="B679" s="2">
        <v>4</v>
      </c>
      <c r="C679" s="12" t="s">
        <v>288</v>
      </c>
      <c r="D679" s="12" t="s">
        <v>368</v>
      </c>
      <c r="E679" s="13" t="s">
        <v>145</v>
      </c>
      <c r="F679" s="30">
        <v>12.680999999999999</v>
      </c>
      <c r="G679" s="30"/>
      <c r="H679" s="30"/>
      <c r="I679" s="14">
        <v>2125323.0585982553</v>
      </c>
      <c r="J679" s="14">
        <v>26951221.706084475</v>
      </c>
      <c r="K679" s="30">
        <v>0.0</v>
      </c>
      <c r="L679" s="93"/>
    </row>
    <row r="680" spans="1:12" s="18" customFormat="1" ht="15.6">
      <c r="A680" s="3"/>
      <c r="B680" s="3"/>
      <c r="C680" s="15" t="s">
        <v>289</v>
      </c>
      <c r="D680" s="15" t="s">
        <v>369</v>
      </c>
      <c r="E680" s="16"/>
      <c r="F680" s="32"/>
      <c r="G680" s="32"/>
      <c r="H680" s="32"/>
      <c r="I680" s="17"/>
      <c r="J680" s="17"/>
      <c r="K680" s="17"/>
      <c r="L680" s="100"/>
    </row>
    <row r="681" spans="1:12" ht="27.6">
      <c r="A681" s="2">
        <v>0</v>
      </c>
      <c r="B681" s="2">
        <v>5</v>
      </c>
      <c r="C681" s="12" t="s">
        <v>285</v>
      </c>
      <c r="D681" s="12" t="s">
        <v>321</v>
      </c>
      <c r="E681" s="13" t="s">
        <v>145</v>
      </c>
      <c r="F681" s="30">
        <v>33.917000000000002</v>
      </c>
      <c r="G681" s="30"/>
      <c r="H681" s="30"/>
      <c r="I681" s="14">
        <v>1713656.5047592414</v>
      </c>
      <c r="J681" s="14">
        <v>58122087.671919189</v>
      </c>
      <c r="K681" s="30">
        <v>0.0</v>
      </c>
      <c r="L681" s="93"/>
    </row>
    <row r="682" spans="1:12" ht="27.6">
      <c r="A682" s="2" t="s">
        <v>720</v>
      </c>
      <c r="B682" s="2">
        <v>6</v>
      </c>
      <c r="C682" s="12" t="s">
        <v>290</v>
      </c>
      <c r="D682" s="12" t="s">
        <v>370</v>
      </c>
      <c r="E682" s="13" t="s">
        <v>145</v>
      </c>
      <c r="F682" s="30">
        <v>33.917000000000002</v>
      </c>
      <c r="G682" s="30"/>
      <c r="H682" s="30"/>
      <c r="I682" s="14">
        <v>1965468.1888135902</v>
      </c>
      <c r="J682" s="14">
        <v>66662784.55999054</v>
      </c>
      <c r="K682" s="30">
        <v>0.0</v>
      </c>
      <c r="L682" s="93"/>
    </row>
    <row r="683" spans="1:12" ht="41.4">
      <c r="A683" s="2" t="s">
        <v>721</v>
      </c>
      <c r="B683" s="2">
        <v>7</v>
      </c>
      <c r="C683" s="12" t="s">
        <v>282</v>
      </c>
      <c r="D683" s="12" t="s">
        <v>363</v>
      </c>
      <c r="E683" s="13" t="s">
        <v>147</v>
      </c>
      <c r="F683" s="30">
        <v>3.4000000000000002E-2</v>
      </c>
      <c r="G683" s="30"/>
      <c r="H683" s="30"/>
      <c r="I683" s="14">
        <v>5803957.7401178423</v>
      </c>
      <c r="J683" s="14">
        <v>197334.56316400666</v>
      </c>
      <c r="K683" s="30">
        <v>0.0</v>
      </c>
      <c r="L683" s="93"/>
    </row>
    <row r="684" spans="1:12" ht="41.4">
      <c r="A684" s="2" t="s">
        <v>761</v>
      </c>
      <c r="B684" s="2">
        <v>8</v>
      </c>
      <c r="C684" s="12" t="s">
        <v>282</v>
      </c>
      <c r="D684" s="12" t="s">
        <v>363</v>
      </c>
      <c r="E684" s="13" t="s">
        <v>147</v>
      </c>
      <c r="F684" s="30">
        <v>167.89099999999999</v>
      </c>
      <c r="G684" s="30"/>
      <c r="H684" s="30"/>
      <c r="I684" s="14">
        <v>7738610.3201571237</v>
      </c>
      <c r="J684" s="14">
        <v>1299243025.2614996</v>
      </c>
      <c r="K684" s="30">
        <v>0.0</v>
      </c>
      <c r="L684" s="93"/>
    </row>
    <row r="685" spans="1:12" ht="27.6">
      <c r="A685" s="2" t="s">
        <v>761</v>
      </c>
      <c r="B685" s="2">
        <v>9</v>
      </c>
      <c r="C685" s="12" t="s">
        <v>291</v>
      </c>
      <c r="D685" s="12" t="s">
        <v>371</v>
      </c>
      <c r="E685" s="13" t="s">
        <v>292</v>
      </c>
      <c r="F685" s="30">
        <v>167.89099999999999</v>
      </c>
      <c r="G685" s="30"/>
      <c r="H685" s="30"/>
      <c r="I685" s="14">
        <v>4348743.6351578757</v>
      </c>
      <c r="J685" s="14">
        <v>730114917.65029085</v>
      </c>
      <c r="K685" s="30">
        <v>0.0</v>
      </c>
      <c r="L685" s="93"/>
    </row>
    <row r="686" spans="1:12" ht="15.6">
      <c r="A686" s="2" t="s">
        <v>764</v>
      </c>
      <c r="B686" s="2">
        <v>10</v>
      </c>
      <c r="C686" s="12" t="s">
        <v>314</v>
      </c>
      <c r="D686" s="12" t="s">
        <v>386</v>
      </c>
      <c r="E686" s="13" t="s">
        <v>150</v>
      </c>
      <c r="F686" s="30">
        <v>47052.584999999999</v>
      </c>
      <c r="G686" s="30"/>
      <c r="H686" s="30"/>
      <c r="I686" s="14">
        <v>18930.65625</v>
      </c>
      <c r="J686" s="14">
        <v>890736312.3089062</v>
      </c>
      <c r="K686" s="30">
        <v>0.0</v>
      </c>
      <c r="L686" s="93"/>
    </row>
    <row r="687" spans="1:12" ht="27.6">
      <c r="A687" s="2" t="s">
        <v>645</v>
      </c>
      <c r="B687" s="2">
        <v>11</v>
      </c>
      <c r="C687" s="12" t="s">
        <v>293</v>
      </c>
      <c r="D687" s="12" t="s">
        <v>389</v>
      </c>
      <c r="E687" s="13" t="s">
        <v>146</v>
      </c>
      <c r="F687" s="30">
        <v>43.030999999999999</v>
      </c>
      <c r="G687" s="30"/>
      <c r="H687" s="30"/>
      <c r="I687" s="14">
        <v>2669295.2662387891</v>
      </c>
      <c r="J687" s="14">
        <v>114862444.60152133</v>
      </c>
      <c r="K687" s="30">
        <v>0.0</v>
      </c>
      <c r="L687" s="93"/>
    </row>
    <row r="688" spans="1:12" ht="41.4">
      <c r="A688" s="2" t="s">
        <v>757</v>
      </c>
      <c r="B688" s="2">
        <v>12</v>
      </c>
      <c r="C688" s="12" t="s">
        <v>275</v>
      </c>
      <c r="D688" s="12" t="s">
        <v>390</v>
      </c>
      <c r="E688" s="13" t="s">
        <v>146</v>
      </c>
      <c r="F688" s="30">
        <v>43.030999999999999</v>
      </c>
      <c r="G688" s="30"/>
      <c r="H688" s="30"/>
      <c r="I688" s="14">
        <v>2274432.9017274408</v>
      </c>
      <c r="J688" s="14">
        <v>97871122.194233507</v>
      </c>
      <c r="K688" s="30">
        <v>0.0</v>
      </c>
      <c r="L688" s="93"/>
    </row>
    <row r="689" spans="1:12" ht="15.6">
      <c r="A689" s="2" t="s">
        <v>718</v>
      </c>
      <c r="B689" s="2">
        <v>13</v>
      </c>
      <c r="C689" s="12" t="s">
        <v>294</v>
      </c>
      <c r="D689" s="12" t="s">
        <v>372</v>
      </c>
      <c r="E689" s="13" t="s">
        <v>146</v>
      </c>
      <c r="F689" s="30">
        <v>3.6579999999999999</v>
      </c>
      <c r="G689" s="30"/>
      <c r="H689" s="30"/>
      <c r="I689" s="14">
        <v>17209687.5</v>
      </c>
      <c r="J689" s="14">
        <v>62953036.875</v>
      </c>
      <c r="K689" s="30">
        <v>0.0</v>
      </c>
      <c r="L689" s="93"/>
    </row>
    <row r="690" spans="1:12" ht="27.6">
      <c r="A690" s="2" t="s">
        <v>645</v>
      </c>
      <c r="B690" s="2">
        <v>14</v>
      </c>
      <c r="C690" s="12" t="s">
        <v>317</v>
      </c>
      <c r="D690" s="12" t="s">
        <v>391</v>
      </c>
      <c r="E690" s="13" t="s">
        <v>356</v>
      </c>
      <c r="F690" s="30">
        <v>45</v>
      </c>
      <c r="G690" s="30"/>
      <c r="H690" s="30"/>
      <c r="I690" s="14">
        <v>1262043.75</v>
      </c>
      <c r="J690" s="14">
        <v>56791968.75</v>
      </c>
      <c r="K690" s="30">
        <v>0.0</v>
      </c>
      <c r="L690" s="93"/>
    </row>
    <row r="691" spans="1:12" s="18" customFormat="1" ht="15.6">
      <c r="A691" s="3"/>
      <c r="B691" s="3"/>
      <c r="C691" s="15" t="s">
        <v>283</v>
      </c>
      <c r="D691" s="15" t="s">
        <v>364</v>
      </c>
      <c r="E691" s="16"/>
      <c r="F691" s="32"/>
      <c r="G691" s="32"/>
      <c r="H691" s="32"/>
      <c r="I691" s="17"/>
      <c r="J691" s="17"/>
      <c r="K691" s="17"/>
      <c r="L691" s="100"/>
    </row>
    <row r="692" spans="1:12" ht="41.4">
      <c r="A692" s="2">
        <v>0</v>
      </c>
      <c r="B692" s="2">
        <v>15</v>
      </c>
      <c r="C692" s="12" t="s">
        <v>299</v>
      </c>
      <c r="D692" s="12" t="s">
        <v>339</v>
      </c>
      <c r="E692" s="13" t="s">
        <v>144</v>
      </c>
      <c r="F692" s="30">
        <v>342.24</v>
      </c>
      <c r="G692" s="30"/>
      <c r="H692" s="30"/>
      <c r="I692" s="14">
        <v>1408550.3010788138</v>
      </c>
      <c r="J692" s="14">
        <v>482062255.04121327</v>
      </c>
      <c r="K692" s="30">
        <v>0.0</v>
      </c>
      <c r="L692" s="93"/>
    </row>
    <row r="693" spans="1:12" ht="31.2">
      <c r="A693" s="2" t="s">
        <v>766</v>
      </c>
      <c r="B693" s="2">
        <v>16</v>
      </c>
      <c r="C693" s="12" t="s">
        <v>261</v>
      </c>
      <c r="D693" s="12" t="s">
        <v>334</v>
      </c>
      <c r="E693" s="13" t="s">
        <v>145</v>
      </c>
      <c r="F693" s="30">
        <v>2.5670000000000002</v>
      </c>
      <c r="G693" s="30"/>
      <c r="H693" s="30"/>
      <c r="I693" s="14">
        <v>32137987.458897002</v>
      </c>
      <c r="J693" s="14">
        <v>82498213.806988612</v>
      </c>
      <c r="K693" s="30">
        <v>0.0</v>
      </c>
      <c r="L693" s="93"/>
    </row>
    <row r="694" spans="1:12" ht="15.6">
      <c r="A694" s="2" t="s">
        <v>663</v>
      </c>
      <c r="B694" s="2">
        <v>17</v>
      </c>
      <c r="C694" s="12" t="s">
        <v>260</v>
      </c>
      <c r="D694" s="12" t="s">
        <v>322</v>
      </c>
      <c r="E694" s="13" t="s">
        <v>149</v>
      </c>
      <c r="F694" s="30">
        <v>17.111999999999998</v>
      </c>
      <c r="G694" s="30"/>
      <c r="H694" s="30"/>
      <c r="I694" s="14">
        <v>800732.34</v>
      </c>
      <c r="J694" s="14">
        <v>13702131.802079998</v>
      </c>
      <c r="K694" s="30">
        <v>0.0</v>
      </c>
      <c r="L694" s="93"/>
    </row>
    <row r="695" spans="1:12" ht="15.6">
      <c r="A695" s="2" t="s">
        <v>686</v>
      </c>
      <c r="B695" s="2">
        <v>18</v>
      </c>
      <c r="C695" s="12" t="s">
        <v>295</v>
      </c>
      <c r="D695" s="12" t="s">
        <v>323</v>
      </c>
      <c r="E695" s="13" t="s">
        <v>149</v>
      </c>
      <c r="F695" s="30">
        <v>5.226</v>
      </c>
      <c r="G695" s="30"/>
      <c r="H695" s="30"/>
      <c r="I695" s="14">
        <v>4301829.1679012924</v>
      </c>
      <c r="J695" s="14">
        <v>22481359.231452156</v>
      </c>
      <c r="K695" s="30">
        <v>0.0</v>
      </c>
      <c r="L695" s="93"/>
    </row>
    <row r="696" spans="1:12" s="18" customFormat="1" ht="15.6">
      <c r="A696" s="3"/>
      <c r="B696" s="3"/>
      <c r="C696" s="15" t="s">
        <v>276</v>
      </c>
      <c r="D696" s="15" t="s">
        <v>357</v>
      </c>
      <c r="E696" s="16"/>
      <c r="F696" s="32"/>
      <c r="G696" s="32"/>
      <c r="H696" s="32"/>
      <c r="I696" s="17"/>
      <c r="J696" s="17"/>
      <c r="K696" s="17"/>
      <c r="L696" s="100"/>
    </row>
    <row r="697" spans="1:12" ht="41.4">
      <c r="A697" s="2">
        <v>0</v>
      </c>
      <c r="B697" s="2">
        <v>19</v>
      </c>
      <c r="C697" s="12" t="s">
        <v>277</v>
      </c>
      <c r="D697" s="12" t="s">
        <v>358</v>
      </c>
      <c r="E697" s="13" t="s">
        <v>149</v>
      </c>
      <c r="F697" s="30">
        <v>1.476</v>
      </c>
      <c r="G697" s="30"/>
      <c r="H697" s="30"/>
      <c r="I697" s="14">
        <v>16846715.362449404</v>
      </c>
      <c r="J697" s="14">
        <v>24865751.87497532</v>
      </c>
      <c r="K697" s="30">
        <v>0.0</v>
      </c>
      <c r="L697" s="93"/>
    </row>
    <row r="698" spans="1:12" ht="41.4">
      <c r="A698" s="2" t="s">
        <v>759</v>
      </c>
      <c r="B698" s="2">
        <v>20</v>
      </c>
      <c r="C698" s="12" t="s">
        <v>278</v>
      </c>
      <c r="D698" s="12" t="s">
        <v>359</v>
      </c>
      <c r="E698" s="13" t="s">
        <v>149</v>
      </c>
      <c r="F698" s="30">
        <v>1.476</v>
      </c>
      <c r="G698" s="30"/>
      <c r="H698" s="30"/>
      <c r="I698" s="14">
        <v>2101803.8267824906</v>
      </c>
      <c r="J698" s="14">
        <v>3102262.448330956</v>
      </c>
      <c r="K698" s="30">
        <v>0.0</v>
      </c>
      <c r="L698" s="93"/>
    </row>
    <row r="699" spans="1:12" ht="41.4">
      <c r="A699" s="2" t="s">
        <v>662</v>
      </c>
      <c r="B699" s="2">
        <v>21</v>
      </c>
      <c r="C699" s="12" t="s">
        <v>279</v>
      </c>
      <c r="D699" s="12" t="s">
        <v>360</v>
      </c>
      <c r="E699" s="13" t="s">
        <v>149</v>
      </c>
      <c r="F699" s="30">
        <v>1.476</v>
      </c>
      <c r="G699" s="30"/>
      <c r="H699" s="30"/>
      <c r="I699" s="14">
        <v>42143123.733725309</v>
      </c>
      <c r="J699" s="14">
        <v>62203250.630978554</v>
      </c>
      <c r="K699" s="30">
        <v>0.0</v>
      </c>
      <c r="L699" s="93"/>
    </row>
    <row r="700" spans="1:12" ht="41.4">
      <c r="A700" s="2" t="s">
        <v>658</v>
      </c>
      <c r="B700" s="2">
        <v>22</v>
      </c>
      <c r="C700" s="12" t="s">
        <v>278</v>
      </c>
      <c r="D700" s="12" t="s">
        <v>359</v>
      </c>
      <c r="E700" s="13" t="s">
        <v>149</v>
      </c>
      <c r="F700" s="30">
        <v>1.476</v>
      </c>
      <c r="G700" s="30"/>
      <c r="H700" s="30"/>
      <c r="I700" s="14">
        <v>2101803.8267824906</v>
      </c>
      <c r="J700" s="14">
        <v>3102262.448330956</v>
      </c>
      <c r="K700" s="30">
        <v>0.0</v>
      </c>
      <c r="L700" s="93"/>
    </row>
    <row r="701" spans="1:12" ht="27.6">
      <c r="A701" s="2" t="s">
        <v>662</v>
      </c>
      <c r="B701" s="2">
        <v>23</v>
      </c>
      <c r="C701" s="12" t="s">
        <v>261</v>
      </c>
      <c r="D701" s="12" t="s">
        <v>334</v>
      </c>
      <c r="E701" s="13" t="s">
        <v>145</v>
      </c>
      <c r="F701" s="30">
        <v>0.221</v>
      </c>
      <c r="G701" s="30"/>
      <c r="H701" s="30"/>
      <c r="I701" s="14">
        <v>32137987.458897002</v>
      </c>
      <c r="J701" s="14">
        <v>7102495.228416238</v>
      </c>
      <c r="K701" s="30">
        <v>0.0</v>
      </c>
      <c r="L701" s="93"/>
    </row>
    <row r="702" spans="1:12" ht="27.6">
      <c r="A702" s="2" t="s">
        <v>663</v>
      </c>
      <c r="B702" s="2">
        <v>24</v>
      </c>
      <c r="C702" s="12" t="s">
        <v>280</v>
      </c>
      <c r="D702" s="12" t="s">
        <v>361</v>
      </c>
      <c r="E702" s="13" t="s">
        <v>145</v>
      </c>
      <c r="F702" s="30">
        <v>0.36899999999999999</v>
      </c>
      <c r="G702" s="30"/>
      <c r="H702" s="30"/>
      <c r="I702" s="14">
        <v>31987816.306385212</v>
      </c>
      <c r="J702" s="14">
        <v>11803504.217056142</v>
      </c>
      <c r="K702" s="30">
        <v>0.0</v>
      </c>
      <c r="L702" s="93"/>
    </row>
    <row r="703" spans="1:12" ht="41.4">
      <c r="A703" s="2" t="s">
        <v>664</v>
      </c>
      <c r="B703" s="2">
        <v>25</v>
      </c>
      <c r="C703" s="12" t="s">
        <v>257</v>
      </c>
      <c r="D703" s="12" t="s">
        <v>328</v>
      </c>
      <c r="E703" s="13" t="s">
        <v>149</v>
      </c>
      <c r="F703" s="30">
        <v>1.7709999999999999</v>
      </c>
      <c r="G703" s="30"/>
      <c r="H703" s="30"/>
      <c r="I703" s="14">
        <v>2140965.4368750001</v>
      </c>
      <c r="J703" s="14">
        <v>3791649.7887056251</v>
      </c>
      <c r="K703" s="30">
        <v>0.0</v>
      </c>
      <c r="L703" s="93"/>
    </row>
    <row r="704" spans="1:12" s="18" customFormat="1" ht="15.6">
      <c r="A704" s="3"/>
      <c r="B704" s="3"/>
      <c r="C704" s="15" t="s">
        <v>281</v>
      </c>
      <c r="D704" s="15" t="s">
        <v>362</v>
      </c>
      <c r="E704" s="16"/>
      <c r="F704" s="30"/>
      <c r="G704" s="32"/>
      <c r="H704" s="32"/>
      <c r="I704" s="17"/>
      <c r="J704" s="17"/>
      <c r="K704" s="17"/>
      <c r="L704" s="100"/>
    </row>
    <row r="705" spans="1:12" ht="27.6">
      <c r="A705" s="2">
        <v>0</v>
      </c>
      <c r="B705" s="2">
        <v>26</v>
      </c>
      <c r="C705" s="12" t="s">
        <v>266</v>
      </c>
      <c r="D705" s="12" t="s">
        <v>348</v>
      </c>
      <c r="E705" s="13" t="s">
        <v>145</v>
      </c>
      <c r="F705" s="30">
        <v>0.14299999999999999</v>
      </c>
      <c r="G705" s="30"/>
      <c r="H705" s="30"/>
      <c r="I705" s="14">
        <v>2176614.4208094575</v>
      </c>
      <c r="J705" s="14">
        <v>311255.86217575241</v>
      </c>
      <c r="K705" s="30">
        <v>0.0</v>
      </c>
      <c r="L705" s="93"/>
    </row>
    <row r="706" spans="1:12" ht="27.6">
      <c r="A706" s="2" t="s">
        <v>719</v>
      </c>
      <c r="B706" s="2">
        <v>27</v>
      </c>
      <c r="C706" s="12" t="s">
        <v>287</v>
      </c>
      <c r="D706" s="12" t="s">
        <v>367</v>
      </c>
      <c r="E706" s="13" t="s">
        <v>145</v>
      </c>
      <c r="F706" s="30">
        <v>4.2999999999999997E-2</v>
      </c>
      <c r="G706" s="30"/>
      <c r="H706" s="30"/>
      <c r="I706" s="14">
        <v>1247126.1286675143</v>
      </c>
      <c r="J706" s="14">
        <v>53626.423532703113</v>
      </c>
      <c r="K706" s="30">
        <v>0.0</v>
      </c>
      <c r="L706" s="93"/>
    </row>
    <row r="707" spans="1:12" ht="41.4">
      <c r="A707" s="2" t="s">
        <v>763</v>
      </c>
      <c r="B707" s="2">
        <v>28</v>
      </c>
      <c r="C707" s="12" t="s">
        <v>253</v>
      </c>
      <c r="D707" s="12" t="s">
        <v>326</v>
      </c>
      <c r="E707" s="13" t="s">
        <v>144</v>
      </c>
      <c r="F707" s="30">
        <v>1</v>
      </c>
      <c r="G707" s="30"/>
      <c r="H707" s="30"/>
      <c r="I707" s="14">
        <v>1138728.6904023753</v>
      </c>
      <c r="J707" s="14">
        <v>1138728.6904023753</v>
      </c>
      <c r="K707" s="30">
        <v>0.0</v>
      </c>
      <c r="L707" s="93"/>
    </row>
    <row r="708" spans="1:12" ht="41.4">
      <c r="A708" s="2" t="s">
        <v>673</v>
      </c>
      <c r="B708" s="2">
        <v>29</v>
      </c>
      <c r="C708" s="12" t="s">
        <v>270</v>
      </c>
      <c r="D708" s="12" t="s">
        <v>346</v>
      </c>
      <c r="E708" s="13" t="s">
        <v>144</v>
      </c>
      <c r="F708" s="30">
        <v>2.99</v>
      </c>
      <c r="G708" s="30"/>
      <c r="H708" s="30"/>
      <c r="I708" s="14">
        <v>1321329.9641274833</v>
      </c>
      <c r="J708" s="14">
        <v>3950776.5927411756</v>
      </c>
      <c r="K708" s="30">
        <v>0.0</v>
      </c>
      <c r="L708" s="93"/>
    </row>
    <row r="709" spans="1:12" ht="41.4">
      <c r="A709" s="2" t="s">
        <v>755</v>
      </c>
      <c r="B709" s="2">
        <v>30</v>
      </c>
      <c r="C709" s="12" t="s">
        <v>273</v>
      </c>
      <c r="D709" s="12" t="s">
        <v>354</v>
      </c>
      <c r="E709" s="13" t="s">
        <v>144</v>
      </c>
      <c r="F709" s="30">
        <v>0.7</v>
      </c>
      <c r="G709" s="30"/>
      <c r="H709" s="30"/>
      <c r="I709" s="14">
        <v>1738130.3740036117</v>
      </c>
      <c r="J709" s="14">
        <v>1216691.2618025281</v>
      </c>
      <c r="K709" s="30">
        <v>0.0</v>
      </c>
      <c r="L709" s="93"/>
    </row>
    <row r="710" spans="1:12" ht="55.2">
      <c r="A710" s="2" t="s">
        <v>700</v>
      </c>
      <c r="B710" s="2">
        <v>31</v>
      </c>
      <c r="C710" s="12" t="s">
        <v>271</v>
      </c>
      <c r="D710" s="12" t="s">
        <v>353</v>
      </c>
      <c r="E710" s="13" t="s">
        <v>144</v>
      </c>
      <c r="F710" s="30">
        <v>0.94</v>
      </c>
      <c r="G710" s="30"/>
      <c r="H710" s="30"/>
      <c r="I710" s="14">
        <v>1434274.5429443612</v>
      </c>
      <c r="J710" s="14">
        <v>1348218.0703676995</v>
      </c>
      <c r="K710" s="30">
        <v>0.0</v>
      </c>
      <c r="L710" s="93"/>
    </row>
    <row r="711" spans="1:12" ht="15.6">
      <c r="A711" s="2" t="s">
        <v>756</v>
      </c>
      <c r="B711" s="2">
        <v>32</v>
      </c>
      <c r="C711" s="12" t="s">
        <v>272</v>
      </c>
      <c r="D711" s="12" t="s">
        <v>329</v>
      </c>
      <c r="E711" s="13" t="s">
        <v>149</v>
      </c>
      <c r="F711" s="30">
        <v>0.151</v>
      </c>
      <c r="G711" s="30"/>
      <c r="H711" s="30"/>
      <c r="I711" s="14">
        <v>18079610.12655</v>
      </c>
      <c r="J711" s="14">
        <v>2730021.1291090501</v>
      </c>
      <c r="K711" s="30">
        <v>0.0</v>
      </c>
      <c r="L711" s="93"/>
    </row>
    <row r="712" spans="1:12" ht="27.6">
      <c r="A712" s="2" t="s">
        <v>758</v>
      </c>
      <c r="B712" s="2">
        <v>33</v>
      </c>
      <c r="C712" s="12" t="s">
        <v>268</v>
      </c>
      <c r="D712" s="12" t="s">
        <v>324</v>
      </c>
      <c r="E712" s="13" t="s">
        <v>148</v>
      </c>
      <c r="F712" s="30">
        <v>15.6</v>
      </c>
      <c r="G712" s="30"/>
      <c r="H712" s="30"/>
      <c r="I712" s="14">
        <v>70564.470793312285</v>
      </c>
      <c r="J712" s="14">
        <v>1100805.7443756717</v>
      </c>
      <c r="K712" s="30">
        <v>0.0</v>
      </c>
      <c r="L712" s="93"/>
    </row>
    <row r="713" spans="1:12" ht="55.2">
      <c r="A713" s="2" t="s">
        <v>754</v>
      </c>
      <c r="B713" s="2">
        <v>34</v>
      </c>
      <c r="C713" s="12" t="s">
        <v>296</v>
      </c>
      <c r="D713" s="12" t="s">
        <v>373</v>
      </c>
      <c r="E713" s="13" t="s">
        <v>297</v>
      </c>
      <c r="F713" s="30">
        <v>1.65</v>
      </c>
      <c r="G713" s="30"/>
      <c r="H713" s="30"/>
      <c r="I713" s="14">
        <v>2720649.5749649997</v>
      </c>
      <c r="J713" s="14">
        <v>4489071.7986922497</v>
      </c>
      <c r="K713" s="30">
        <v>0.0</v>
      </c>
      <c r="L713" s="93"/>
    </row>
    <row r="714" spans="1:12" ht="27.6">
      <c r="A714" s="2" t="s">
        <v>765</v>
      </c>
      <c r="B714" s="2">
        <v>35</v>
      </c>
      <c r="C714" s="12" t="s">
        <v>265</v>
      </c>
      <c r="D714" s="12" t="s">
        <v>330</v>
      </c>
      <c r="E714" s="13" t="s">
        <v>146</v>
      </c>
      <c r="F714" s="30">
        <v>5.8000000000000003E-2</v>
      </c>
      <c r="G714" s="30"/>
      <c r="H714" s="30"/>
      <c r="I714" s="14">
        <v>21511902.629287504</v>
      </c>
      <c r="J714" s="14">
        <v>1247690.3524986752</v>
      </c>
      <c r="K714" s="30">
        <v>0.0</v>
      </c>
      <c r="L714" s="93"/>
    </row>
    <row r="715" spans="1:12" s="18" customFormat="1" ht="15.6">
      <c r="A715" s="3"/>
      <c r="B715" s="3"/>
      <c r="C715" s="15" t="s">
        <v>298</v>
      </c>
      <c r="D715" s="15" t="s">
        <v>374</v>
      </c>
      <c r="E715" s="16"/>
      <c r="F715" s="32"/>
      <c r="G715" s="32"/>
      <c r="H715" s="32"/>
      <c r="I715" s="17"/>
      <c r="J715" s="17"/>
      <c r="K715" s="17"/>
      <c r="L715" s="100"/>
    </row>
    <row r="716" spans="1:12" ht="41.4">
      <c r="A716" s="2">
        <v>0</v>
      </c>
      <c r="B716" s="2">
        <v>36</v>
      </c>
      <c r="C716" s="12" t="s">
        <v>299</v>
      </c>
      <c r="D716" s="12" t="s">
        <v>339</v>
      </c>
      <c r="E716" s="13" t="s">
        <v>144</v>
      </c>
      <c r="F716" s="30">
        <v>718.07</v>
      </c>
      <c r="G716" s="30"/>
      <c r="H716" s="30"/>
      <c r="I716" s="14">
        <v>1729855.8903757539</v>
      </c>
      <c r="J716" s="14">
        <v>1242157619.2021177</v>
      </c>
      <c r="K716" s="30">
        <v>0.0</v>
      </c>
      <c r="L716" s="93"/>
    </row>
    <row r="717" spans="1:12" ht="41.4">
      <c r="A717" s="2" t="s">
        <v>760</v>
      </c>
      <c r="B717" s="2">
        <v>37</v>
      </c>
      <c r="C717" s="12" t="s">
        <v>315</v>
      </c>
      <c r="D717" s="12" t="s">
        <v>387</v>
      </c>
      <c r="E717" s="13" t="s">
        <v>144</v>
      </c>
      <c r="F717" s="30">
        <v>319.05</v>
      </c>
      <c r="G717" s="30"/>
      <c r="H717" s="30"/>
      <c r="I717" s="14">
        <v>1569936.3722194775</v>
      </c>
      <c r="J717" s="14">
        <v>500888199.55662435</v>
      </c>
      <c r="K717" s="30">
        <v>0.0</v>
      </c>
      <c r="L717" s="93"/>
    </row>
    <row r="718" spans="1:12" ht="27.6">
      <c r="A718" s="2" t="s">
        <v>772</v>
      </c>
      <c r="B718" s="2">
        <v>38</v>
      </c>
      <c r="C718" s="12" t="s">
        <v>300</v>
      </c>
      <c r="D718" s="12" t="s">
        <v>340</v>
      </c>
      <c r="E718" s="13" t="s">
        <v>144</v>
      </c>
      <c r="F718" s="30">
        <v>319.05</v>
      </c>
      <c r="G718" s="30"/>
      <c r="H718" s="30"/>
      <c r="I718" s="14">
        <v>1351438.2757902246</v>
      </c>
      <c r="J718" s="14">
        <v>431176381.89087117</v>
      </c>
      <c r="K718" s="30">
        <v>0.0</v>
      </c>
      <c r="L718" s="93"/>
    </row>
    <row r="719" spans="1:12" ht="41.4">
      <c r="A719" s="2" t="s">
        <v>751</v>
      </c>
      <c r="B719" s="2">
        <v>39</v>
      </c>
      <c r="C719" s="12" t="s">
        <v>262</v>
      </c>
      <c r="D719" s="12" t="s">
        <v>333</v>
      </c>
      <c r="E719" s="13" t="s">
        <v>144</v>
      </c>
      <c r="F719" s="30">
        <v>172.29</v>
      </c>
      <c r="G719" s="30"/>
      <c r="H719" s="30"/>
      <c r="I719" s="14">
        <v>1092648.3065073753</v>
      </c>
      <c r="J719" s="14">
        <v>188252376.72815567</v>
      </c>
      <c r="K719" s="30">
        <v>0.0</v>
      </c>
      <c r="L719" s="93"/>
    </row>
    <row r="720" spans="1:12" ht="15.6">
      <c r="A720" s="2" t="s">
        <v>752</v>
      </c>
      <c r="B720" s="2">
        <v>40</v>
      </c>
      <c r="C720" s="12" t="s">
        <v>260</v>
      </c>
      <c r="D720" s="12" t="s">
        <v>322</v>
      </c>
      <c r="E720" s="13" t="s">
        <v>149</v>
      </c>
      <c r="F720" s="30">
        <v>16.556000000000001</v>
      </c>
      <c r="G720" s="30"/>
      <c r="H720" s="30"/>
      <c r="I720" s="14">
        <v>800732.34</v>
      </c>
      <c r="J720" s="14">
        <v>13256924.62104</v>
      </c>
      <c r="K720" s="30">
        <v>0.0</v>
      </c>
      <c r="L720" s="93"/>
    </row>
    <row r="721" spans="1:12" ht="27.6">
      <c r="A721" s="2" t="s">
        <v>686</v>
      </c>
      <c r="B721" s="2">
        <v>41</v>
      </c>
      <c r="C721" s="12" t="s">
        <v>274</v>
      </c>
      <c r="D721" s="12" t="s">
        <v>355</v>
      </c>
      <c r="E721" s="13" t="s">
        <v>144</v>
      </c>
      <c r="F721" s="30">
        <v>395.62</v>
      </c>
      <c r="G721" s="30"/>
      <c r="H721" s="30"/>
      <c r="I721" s="14">
        <v>843680.88695526076</v>
      </c>
      <c r="J721" s="14">
        <v>333777032.49724025</v>
      </c>
      <c r="K721" s="30">
        <v>0.0</v>
      </c>
      <c r="L721" s="93"/>
    </row>
    <row r="722" spans="1:12" ht="27.6">
      <c r="A722" s="2" t="s">
        <v>668</v>
      </c>
      <c r="B722" s="2">
        <v>42</v>
      </c>
      <c r="C722" s="12" t="s">
        <v>256</v>
      </c>
      <c r="D722" s="12" t="s">
        <v>341</v>
      </c>
      <c r="E722" s="13" t="s">
        <v>149</v>
      </c>
      <c r="F722" s="30">
        <v>65.346999999999994</v>
      </c>
      <c r="G722" s="30"/>
      <c r="H722" s="30"/>
      <c r="I722" s="14">
        <v>15050953.519706251</v>
      </c>
      <c r="J722" s="14">
        <v>983534659.65224433</v>
      </c>
      <c r="K722" s="30">
        <v>0.0</v>
      </c>
      <c r="L722" s="93"/>
    </row>
    <row r="723" spans="1:12" ht="27.6">
      <c r="A723" s="2" t="s">
        <v>705</v>
      </c>
      <c r="B723" s="2">
        <v>43</v>
      </c>
      <c r="C723" s="12" t="s">
        <v>256</v>
      </c>
      <c r="D723" s="12" t="s">
        <v>341</v>
      </c>
      <c r="E723" s="13" t="s">
        <v>149</v>
      </c>
      <c r="F723" s="30">
        <v>1.4690000000000001</v>
      </c>
      <c r="G723" s="30"/>
      <c r="H723" s="30"/>
      <c r="I723" s="14">
        <v>15050953.519706251</v>
      </c>
      <c r="J723" s="14">
        <v>22109850.720448483</v>
      </c>
      <c r="K723" s="30">
        <v>0.0</v>
      </c>
      <c r="L723" s="93"/>
    </row>
    <row r="724" spans="1:12" ht="27.6">
      <c r="A724" s="2" t="s">
        <v>705</v>
      </c>
      <c r="B724" s="2">
        <v>44</v>
      </c>
      <c r="C724" s="12" t="s">
        <v>301</v>
      </c>
      <c r="D724" s="12" t="s">
        <v>375</v>
      </c>
      <c r="E724" s="13" t="s">
        <v>148</v>
      </c>
      <c r="F724" s="30">
        <v>568</v>
      </c>
      <c r="G724" s="30"/>
      <c r="H724" s="30"/>
      <c r="I724" s="14">
        <v>448423.48944052501</v>
      </c>
      <c r="J724" s="14">
        <v>254704542.00221822</v>
      </c>
      <c r="K724" s="30">
        <v>0.0</v>
      </c>
      <c r="L724" s="93"/>
    </row>
    <row r="725" spans="1:12" ht="15.6">
      <c r="A725" s="2" t="s">
        <v>767</v>
      </c>
      <c r="B725" s="2">
        <v>45</v>
      </c>
      <c r="C725" s="12" t="s">
        <v>302</v>
      </c>
      <c r="D725" s="12" t="s">
        <v>376</v>
      </c>
      <c r="E725" s="13" t="s">
        <v>150</v>
      </c>
      <c r="F725" s="30">
        <v>3060.9</v>
      </c>
      <c r="G725" s="30"/>
      <c r="H725" s="30"/>
      <c r="I725" s="14">
        <v>28682.8125</v>
      </c>
      <c r="J725" s="14">
        <v>87795220.78125</v>
      </c>
      <c r="K725" s="30">
        <v>0.0</v>
      </c>
      <c r="L725" s="93"/>
    </row>
    <row r="726" spans="1:12" ht="15.6">
      <c r="A726" s="2" t="s">
        <v>645</v>
      </c>
      <c r="B726" s="2">
        <v>46</v>
      </c>
      <c r="C726" s="12" t="s">
        <v>303</v>
      </c>
      <c r="D726" s="12" t="s">
        <v>377</v>
      </c>
      <c r="E726" s="13" t="s">
        <v>5</v>
      </c>
      <c r="F726" s="30">
        <v>513</v>
      </c>
      <c r="G726" s="30"/>
      <c r="H726" s="30"/>
      <c r="I726" s="14">
        <v>28682.8125</v>
      </c>
      <c r="J726" s="14">
        <v>14714282.8125</v>
      </c>
      <c r="K726" s="30">
        <v>0.0</v>
      </c>
      <c r="L726" s="93"/>
    </row>
    <row r="727" spans="1:12" ht="27.6">
      <c r="A727" s="2" t="s">
        <v>645</v>
      </c>
      <c r="B727" s="2">
        <v>47</v>
      </c>
      <c r="C727" s="12" t="s">
        <v>269</v>
      </c>
      <c r="D727" s="12" t="s">
        <v>351</v>
      </c>
      <c r="E727" s="13" t="s">
        <v>148</v>
      </c>
      <c r="F727" s="30">
        <v>7.5</v>
      </c>
      <c r="G727" s="30"/>
      <c r="H727" s="30"/>
      <c r="I727" s="14">
        <v>46120.422024132786</v>
      </c>
      <c r="J727" s="14">
        <v>345903.16518099589</v>
      </c>
      <c r="K727" s="30">
        <v>0.0</v>
      </c>
      <c r="L727" s="93"/>
    </row>
    <row r="728" spans="1:12" ht="27.6">
      <c r="A728" s="2" t="s">
        <v>669</v>
      </c>
      <c r="B728" s="2">
        <v>48</v>
      </c>
      <c r="C728" s="12" t="s">
        <v>304</v>
      </c>
      <c r="D728" s="12" t="s">
        <v>378</v>
      </c>
      <c r="E728" s="13" t="s">
        <v>147</v>
      </c>
      <c r="F728" s="30">
        <v>5.13</v>
      </c>
      <c r="G728" s="30"/>
      <c r="H728" s="30"/>
      <c r="I728" s="14">
        <v>2925440.8681567502</v>
      </c>
      <c r="J728" s="14">
        <v>15007511.653644128</v>
      </c>
      <c r="K728" s="30">
        <v>0.0</v>
      </c>
      <c r="L728" s="93"/>
    </row>
    <row r="729" spans="1:12" ht="27.6">
      <c r="A729" s="2" t="s">
        <v>768</v>
      </c>
      <c r="B729" s="2">
        <v>49</v>
      </c>
      <c r="C729" s="12" t="s">
        <v>264</v>
      </c>
      <c r="D729" s="12" t="s">
        <v>342</v>
      </c>
      <c r="E729" s="13" t="s">
        <v>146</v>
      </c>
      <c r="F729" s="30">
        <v>3.0169999999999999</v>
      </c>
      <c r="G729" s="30"/>
      <c r="H729" s="30"/>
      <c r="I729" s="14">
        <v>20828838.659287501</v>
      </c>
      <c r="J729" s="14">
        <v>62840606.235070392</v>
      </c>
      <c r="K729" s="30">
        <v>0.0</v>
      </c>
      <c r="L729" s="93"/>
    </row>
    <row r="730" spans="1:12" ht="27.6">
      <c r="A730" s="2" t="s">
        <v>748</v>
      </c>
      <c r="B730" s="2">
        <v>50</v>
      </c>
      <c r="C730" s="12" t="s">
        <v>255</v>
      </c>
      <c r="D730" s="12" t="s">
        <v>343</v>
      </c>
      <c r="E730" s="13" t="s">
        <v>146</v>
      </c>
      <c r="F730" s="30">
        <v>191.48599999999999</v>
      </c>
      <c r="G730" s="30"/>
      <c r="H730" s="30"/>
      <c r="I730" s="14">
        <v>21054082.986863997</v>
      </c>
      <c r="J730" s="14">
        <v>4031562134.822639</v>
      </c>
      <c r="K730" s="30">
        <v>0.0</v>
      </c>
      <c r="L730" s="93"/>
    </row>
    <row r="731" spans="1:12" s="18" customFormat="1" ht="15.6">
      <c r="A731" s="3"/>
      <c r="B731" s="3"/>
      <c r="C731" s="15" t="s">
        <v>305</v>
      </c>
      <c r="D731" s="15" t="s">
        <v>379</v>
      </c>
      <c r="E731" s="16"/>
      <c r="F731" s="32"/>
      <c r="G731" s="32"/>
      <c r="H731" s="32"/>
      <c r="I731" s="17"/>
      <c r="J731" s="17"/>
      <c r="K731" s="17"/>
      <c r="L731" s="100"/>
    </row>
    <row r="732" spans="1:12" ht="41.4">
      <c r="A732" s="2">
        <v>0</v>
      </c>
      <c r="B732" s="2">
        <v>51</v>
      </c>
      <c r="C732" s="12" t="s">
        <v>306</v>
      </c>
      <c r="D732" s="12" t="s">
        <v>338</v>
      </c>
      <c r="E732" s="13" t="s">
        <v>145</v>
      </c>
      <c r="F732" s="30">
        <v>0.433</v>
      </c>
      <c r="G732" s="30"/>
      <c r="H732" s="30"/>
      <c r="I732" s="14">
        <v>2006570.0604743126</v>
      </c>
      <c r="J732" s="14">
        <v>868844.83618537732</v>
      </c>
      <c r="K732" s="30">
        <v>0.0</v>
      </c>
      <c r="L732" s="93"/>
    </row>
    <row r="733" spans="1:12" ht="27.6">
      <c r="A733" s="2" t="s">
        <v>693</v>
      </c>
      <c r="B733" s="2">
        <v>52</v>
      </c>
      <c r="C733" s="12" t="s">
        <v>287</v>
      </c>
      <c r="D733" s="12" t="s">
        <v>367</v>
      </c>
      <c r="E733" s="13" t="s">
        <v>145</v>
      </c>
      <c r="F733" s="30">
        <v>0.1</v>
      </c>
      <c r="G733" s="30"/>
      <c r="H733" s="30"/>
      <c r="I733" s="14">
        <v>1247126.1286675143</v>
      </c>
      <c r="J733" s="14">
        <v>124712.61286675144</v>
      </c>
      <c r="K733" s="30">
        <v>0.0</v>
      </c>
      <c r="L733" s="93"/>
    </row>
    <row r="734" spans="1:12" ht="41.4">
      <c r="A734" s="2" t="s">
        <v>763</v>
      </c>
      <c r="B734" s="2">
        <v>53</v>
      </c>
      <c r="C734" s="12" t="s">
        <v>263</v>
      </c>
      <c r="D734" s="12" t="s">
        <v>327</v>
      </c>
      <c r="E734" s="13" t="s">
        <v>144</v>
      </c>
      <c r="F734" s="30">
        <v>77.44</v>
      </c>
      <c r="G734" s="30"/>
      <c r="H734" s="30"/>
      <c r="I734" s="14">
        <v>1806929.6416241599</v>
      </c>
      <c r="J734" s="14">
        <v>139928631.44737494</v>
      </c>
      <c r="K734" s="30">
        <v>0.0</v>
      </c>
      <c r="L734" s="93"/>
    </row>
    <row r="735" spans="1:12" ht="41.4">
      <c r="A735" s="2" t="s">
        <v>747</v>
      </c>
      <c r="B735" s="2">
        <v>54</v>
      </c>
      <c r="C735" s="12" t="s">
        <v>267</v>
      </c>
      <c r="D735" s="12" t="s">
        <v>344</v>
      </c>
      <c r="E735" s="13" t="s">
        <v>144</v>
      </c>
      <c r="F735" s="30">
        <v>14.2</v>
      </c>
      <c r="G735" s="30"/>
      <c r="H735" s="30"/>
      <c r="I735" s="14">
        <v>1613994.5017730156</v>
      </c>
      <c r="J735" s="14">
        <v>22918721.925176822</v>
      </c>
      <c r="K735" s="30">
        <v>0.0</v>
      </c>
      <c r="L735" s="93"/>
    </row>
    <row r="736" spans="1:12" ht="27.6">
      <c r="A736" s="2" t="s">
        <v>753</v>
      </c>
      <c r="B736" s="2">
        <v>55</v>
      </c>
      <c r="C736" s="12" t="s">
        <v>284</v>
      </c>
      <c r="D736" s="12" t="s">
        <v>365</v>
      </c>
      <c r="E736" s="13" t="s">
        <v>144</v>
      </c>
      <c r="F736" s="30">
        <v>17.47</v>
      </c>
      <c r="G736" s="30"/>
      <c r="H736" s="30"/>
      <c r="I736" s="14">
        <v>1349279.9904259408</v>
      </c>
      <c r="J736" s="14">
        <v>23571921.432741184</v>
      </c>
      <c r="K736" s="30">
        <v>0.0</v>
      </c>
      <c r="L736" s="93"/>
    </row>
    <row r="737" spans="1:12" ht="41.4">
      <c r="A737" s="2" t="s">
        <v>749</v>
      </c>
      <c r="B737" s="2">
        <v>56</v>
      </c>
      <c r="C737" s="12" t="s">
        <v>262</v>
      </c>
      <c r="D737" s="12" t="s">
        <v>333</v>
      </c>
      <c r="E737" s="13" t="s">
        <v>144</v>
      </c>
      <c r="F737" s="30">
        <v>11.475</v>
      </c>
      <c r="G737" s="30"/>
      <c r="H737" s="30"/>
      <c r="I737" s="14">
        <v>1092648.3065073753</v>
      </c>
      <c r="J737" s="14">
        <v>12538139.317172131</v>
      </c>
      <c r="K737" s="30">
        <v>0.0</v>
      </c>
      <c r="L737" s="93"/>
    </row>
    <row r="738" spans="1:12" ht="15.6">
      <c r="A738" s="2" t="s">
        <v>752</v>
      </c>
      <c r="B738" s="2">
        <v>57</v>
      </c>
      <c r="C738" s="12" t="s">
        <v>260</v>
      </c>
      <c r="D738" s="12" t="s">
        <v>322</v>
      </c>
      <c r="E738" s="13" t="s">
        <v>149</v>
      </c>
      <c r="F738" s="30">
        <v>1.1479999999999999</v>
      </c>
      <c r="G738" s="30"/>
      <c r="H738" s="30"/>
      <c r="I738" s="14">
        <v>800732.34</v>
      </c>
      <c r="J738" s="14">
        <v>919240.7263199999</v>
      </c>
      <c r="K738" s="30">
        <v>0.0</v>
      </c>
      <c r="L738" s="93"/>
    </row>
    <row r="739" spans="1:12" ht="27.6">
      <c r="A739" s="2" t="s">
        <v>686</v>
      </c>
      <c r="B739" s="2">
        <v>58</v>
      </c>
      <c r="C739" s="12" t="s">
        <v>274</v>
      </c>
      <c r="D739" s="12" t="s">
        <v>355</v>
      </c>
      <c r="E739" s="13" t="s">
        <v>144</v>
      </c>
      <c r="F739" s="30">
        <v>30.07</v>
      </c>
      <c r="G739" s="30"/>
      <c r="H739" s="30"/>
      <c r="I739" s="14">
        <v>843680.88695526076</v>
      </c>
      <c r="J739" s="14">
        <v>25369484.270744693</v>
      </c>
      <c r="K739" s="30">
        <v>0.0</v>
      </c>
      <c r="L739" s="93"/>
    </row>
    <row r="740" spans="1:12" ht="27.6">
      <c r="A740" s="2" t="s">
        <v>668</v>
      </c>
      <c r="B740" s="2">
        <v>59</v>
      </c>
      <c r="C740" s="12" t="s">
        <v>256</v>
      </c>
      <c r="D740" s="12" t="s">
        <v>341</v>
      </c>
      <c r="E740" s="13" t="s">
        <v>149</v>
      </c>
      <c r="F740" s="30">
        <v>5.8209999999999997</v>
      </c>
      <c r="G740" s="30"/>
      <c r="H740" s="30"/>
      <c r="I740" s="14">
        <v>15050953.519706251</v>
      </c>
      <c r="J740" s="14">
        <v>87611600.438210085</v>
      </c>
      <c r="K740" s="30">
        <v>0.0</v>
      </c>
      <c r="L740" s="93"/>
    </row>
    <row r="741" spans="1:12" ht="27.6">
      <c r="A741" s="2" t="s">
        <v>705</v>
      </c>
      <c r="B741" s="2">
        <v>60</v>
      </c>
      <c r="C741" s="12" t="s">
        <v>256</v>
      </c>
      <c r="D741" s="12" t="s">
        <v>341</v>
      </c>
      <c r="E741" s="13" t="s">
        <v>149</v>
      </c>
      <c r="F741" s="30">
        <v>0.76900000000000002</v>
      </c>
      <c r="G741" s="30"/>
      <c r="H741" s="30"/>
      <c r="I741" s="14">
        <v>15050953.519706251</v>
      </c>
      <c r="J741" s="14">
        <v>11574183.256654108</v>
      </c>
      <c r="K741" s="30">
        <v>0.0</v>
      </c>
      <c r="L741" s="93"/>
    </row>
    <row r="742" spans="1:12" ht="15.6">
      <c r="A742" s="2" t="s">
        <v>705</v>
      </c>
      <c r="B742" s="2">
        <v>61</v>
      </c>
      <c r="C742" s="12" t="s">
        <v>307</v>
      </c>
      <c r="D742" s="12" t="s">
        <v>380</v>
      </c>
      <c r="E742" s="13" t="s">
        <v>25</v>
      </c>
      <c r="F742" s="30">
        <v>15</v>
      </c>
      <c r="G742" s="30"/>
      <c r="H742" s="30"/>
      <c r="I742" s="14">
        <v>3728765.625</v>
      </c>
      <c r="J742" s="14">
        <v>55931484.375</v>
      </c>
      <c r="K742" s="30">
        <v>0.0</v>
      </c>
      <c r="L742" s="93"/>
    </row>
    <row r="743" spans="1:12" ht="27.6">
      <c r="A743" s="2" t="s">
        <v>645</v>
      </c>
      <c r="B743" s="2">
        <v>62</v>
      </c>
      <c r="C743" s="12" t="s">
        <v>255</v>
      </c>
      <c r="D743" s="12" t="s">
        <v>343</v>
      </c>
      <c r="E743" s="13" t="s">
        <v>146</v>
      </c>
      <c r="F743" s="30">
        <v>34.299999999999997</v>
      </c>
      <c r="G743" s="30"/>
      <c r="H743" s="30"/>
      <c r="I743" s="14">
        <v>21054082.986863997</v>
      </c>
      <c r="J743" s="14">
        <v>722155046.449435</v>
      </c>
      <c r="K743" s="30">
        <v>0.0</v>
      </c>
      <c r="L743" s="93"/>
    </row>
    <row r="744" spans="1:12" s="18" customFormat="1" ht="15.6">
      <c r="A744" s="3"/>
      <c r="B744" s="3"/>
      <c r="C744" s="15" t="s">
        <v>308</v>
      </c>
      <c r="D744" s="15" t="s">
        <v>381</v>
      </c>
      <c r="E744" s="16"/>
      <c r="F744" s="30"/>
      <c r="G744" s="32"/>
      <c r="H744" s="32"/>
      <c r="I744" s="17"/>
      <c r="J744" s="17"/>
      <c r="K744" s="17"/>
      <c r="L744" s="100"/>
    </row>
    <row r="745" spans="1:12" ht="27.6">
      <c r="A745" s="2">
        <v>0</v>
      </c>
      <c r="B745" s="2">
        <v>63</v>
      </c>
      <c r="C745" s="12" t="s">
        <v>309</v>
      </c>
      <c r="D745" s="12" t="s">
        <v>382</v>
      </c>
      <c r="E745" s="13" t="s">
        <v>147</v>
      </c>
      <c r="F745" s="30">
        <v>9.3170000000000002</v>
      </c>
      <c r="G745" s="30"/>
      <c r="H745" s="30"/>
      <c r="I745" s="14">
        <v>1008054.554085</v>
      </c>
      <c r="J745" s="14">
        <v>9392044.2804099452</v>
      </c>
      <c r="K745" s="30">
        <v>0.0</v>
      </c>
      <c r="L745" s="93"/>
    </row>
    <row r="746" spans="1:12" ht="41.4">
      <c r="A746" s="2" t="s">
        <v>769</v>
      </c>
      <c r="B746" s="2">
        <v>64</v>
      </c>
      <c r="C746" s="12" t="s">
        <v>310</v>
      </c>
      <c r="D746" s="12" t="s">
        <v>383</v>
      </c>
      <c r="E746" s="13" t="s">
        <v>144</v>
      </c>
      <c r="F746" s="30">
        <v>16.847999999999999</v>
      </c>
      <c r="G746" s="30"/>
      <c r="H746" s="30"/>
      <c r="I746" s="14">
        <v>1182764.661800473</v>
      </c>
      <c r="J746" s="14">
        <v>19927219.022014368</v>
      </c>
      <c r="K746" s="30">
        <v>0.0</v>
      </c>
      <c r="L746" s="93"/>
    </row>
    <row r="747" spans="1:12" ht="27.6">
      <c r="A747" s="2" t="s">
        <v>724</v>
      </c>
      <c r="B747" s="2">
        <v>65</v>
      </c>
      <c r="C747" s="12" t="s">
        <v>311</v>
      </c>
      <c r="D747" s="12" t="s">
        <v>384</v>
      </c>
      <c r="E747" s="13" t="s">
        <v>144</v>
      </c>
      <c r="F747" s="30">
        <v>2.8809999999999998</v>
      </c>
      <c r="G747" s="30"/>
      <c r="H747" s="30"/>
      <c r="I747" s="14">
        <v>867991.79633526097</v>
      </c>
      <c r="J747" s="14">
        <v>2500684.3652418866</v>
      </c>
      <c r="K747" s="30">
        <v>0.0</v>
      </c>
      <c r="L747" s="93"/>
    </row>
    <row r="748" spans="1:12" ht="41.4">
      <c r="A748" s="2" t="s">
        <v>770</v>
      </c>
      <c r="B748" s="2">
        <v>66</v>
      </c>
      <c r="C748" s="12" t="s">
        <v>262</v>
      </c>
      <c r="D748" s="12" t="s">
        <v>333</v>
      </c>
      <c r="E748" s="13" t="s">
        <v>144</v>
      </c>
      <c r="F748" s="30">
        <v>1.4410000000000001</v>
      </c>
      <c r="G748" s="30"/>
      <c r="H748" s="30"/>
      <c r="I748" s="14">
        <v>1092648.3065073753</v>
      </c>
      <c r="J748" s="14">
        <v>1574506.2096771279</v>
      </c>
      <c r="K748" s="30">
        <v>0.0</v>
      </c>
      <c r="L748" s="93"/>
    </row>
    <row r="749" spans="1:12" ht="41.4">
      <c r="A749" s="2" t="s">
        <v>752</v>
      </c>
      <c r="B749" s="2">
        <v>67</v>
      </c>
      <c r="C749" s="12" t="s">
        <v>312</v>
      </c>
      <c r="D749" s="12" t="s">
        <v>385</v>
      </c>
      <c r="E749" s="13" t="s">
        <v>144</v>
      </c>
      <c r="F749" s="30">
        <v>6.5149999999999997</v>
      </c>
      <c r="G749" s="30"/>
      <c r="H749" s="30"/>
      <c r="I749" s="14">
        <v>1266501.6437394326</v>
      </c>
      <c r="J749" s="14">
        <v>8251258.2089624023</v>
      </c>
      <c r="K749" s="30">
        <v>0.0</v>
      </c>
      <c r="L749" s="93"/>
    </row>
    <row r="750" spans="1:12" ht="27.6">
      <c r="A750" s="2" t="s">
        <v>771</v>
      </c>
      <c r="B750" s="2">
        <v>68</v>
      </c>
      <c r="C750" s="12" t="s">
        <v>258</v>
      </c>
      <c r="D750" s="12" t="s">
        <v>345</v>
      </c>
      <c r="E750" s="13" t="s">
        <v>149</v>
      </c>
      <c r="F750" s="30">
        <v>7.9000000000000001E-2</v>
      </c>
      <c r="G750" s="30"/>
      <c r="H750" s="30"/>
      <c r="I750" s="14">
        <v>11020005.401249999</v>
      </c>
      <c r="J750" s="14">
        <v>870580.42669875</v>
      </c>
      <c r="K750" s="30">
        <v>0.0</v>
      </c>
      <c r="L750" s="93"/>
    </row>
    <row r="751" spans="1:12" ht="41.4">
      <c r="A751" s="2" t="s">
        <v>750</v>
      </c>
      <c r="B751" s="2">
        <v>69</v>
      </c>
      <c r="C751" s="12" t="s">
        <v>263</v>
      </c>
      <c r="D751" s="12" t="s">
        <v>327</v>
      </c>
      <c r="E751" s="13" t="s">
        <v>144</v>
      </c>
      <c r="F751" s="30">
        <v>2.2170000000000001</v>
      </c>
      <c r="G751" s="30"/>
      <c r="H751" s="30"/>
      <c r="I751" s="14">
        <v>1806929.6416241599</v>
      </c>
      <c r="J751" s="14">
        <v>4005963.0154807628</v>
      </c>
      <c r="K751" s="30">
        <v>0.0</v>
      </c>
      <c r="L751" s="93"/>
    </row>
    <row r="752" spans="1:12" ht="27.6">
      <c r="A752" s="2" t="s">
        <v>747</v>
      </c>
      <c r="B752" s="2">
        <v>70</v>
      </c>
      <c r="C752" s="12" t="s">
        <v>256</v>
      </c>
      <c r="D752" s="12" t="s">
        <v>341</v>
      </c>
      <c r="E752" s="13" t="s">
        <v>149</v>
      </c>
      <c r="F752" s="30">
        <v>0.214</v>
      </c>
      <c r="G752" s="30"/>
      <c r="H752" s="30"/>
      <c r="I752" s="14">
        <v>15050953.519706251</v>
      </c>
      <c r="J752" s="14">
        <v>3220904.0532171377</v>
      </c>
      <c r="K752" s="30">
        <v>0.0</v>
      </c>
      <c r="L752" s="93"/>
    </row>
    <row r="753" spans="1:12" ht="27.6">
      <c r="A753" s="2" t="s">
        <v>705</v>
      </c>
      <c r="B753" s="2">
        <v>71</v>
      </c>
      <c r="C753" s="12" t="s">
        <v>259</v>
      </c>
      <c r="D753" s="12" t="s">
        <v>331</v>
      </c>
      <c r="E753" s="13" t="s">
        <v>146</v>
      </c>
      <c r="F753" s="30">
        <v>5.2999999999999999E-2</v>
      </c>
      <c r="G753" s="30"/>
      <c r="H753" s="30"/>
      <c r="I753" s="14">
        <v>20212961.309287503</v>
      </c>
      <c r="J753" s="14">
        <v>1071286.9493922377</v>
      </c>
      <c r="K753" s="30">
        <v>0.0</v>
      </c>
      <c r="L753" s="93"/>
    </row>
    <row r="754" spans="1:12" ht="27.6">
      <c r="A754" s="2" t="s">
        <v>674</v>
      </c>
      <c r="B754" s="2">
        <v>72</v>
      </c>
      <c r="C754" s="12" t="s">
        <v>254</v>
      </c>
      <c r="D754" s="12" t="s">
        <v>332</v>
      </c>
      <c r="E754" s="13" t="s">
        <v>146</v>
      </c>
      <c r="F754" s="30">
        <v>1.0409999999999999</v>
      </c>
      <c r="G754" s="30"/>
      <c r="H754" s="30"/>
      <c r="I754" s="14">
        <v>20323428.494363997</v>
      </c>
      <c r="J754" s="14">
        <v>21156689.062632918</v>
      </c>
      <c r="K754" s="30">
        <v>0.0</v>
      </c>
      <c r="L754" s="93"/>
    </row>
    <row r="755" spans="1:12" ht="27.6">
      <c r="A755" s="2" t="s">
        <v>675</v>
      </c>
      <c r="B755" s="2">
        <v>73</v>
      </c>
      <c r="C755" s="12" t="s">
        <v>313</v>
      </c>
      <c r="D755" s="12" t="s">
        <v>347</v>
      </c>
      <c r="E755" s="13" t="s">
        <v>146</v>
      </c>
      <c r="F755" s="30">
        <v>0.114</v>
      </c>
      <c r="G755" s="30"/>
      <c r="H755" s="30"/>
      <c r="I755" s="14">
        <v>19686218.658234</v>
      </c>
      <c r="J755" s="14">
        <v>2244228.9270386761</v>
      </c>
      <c r="K755" s="30">
        <v>0.0</v>
      </c>
      <c r="L755" s="93"/>
    </row>
    <row r="756" spans="1:12" s="5" customFormat="1" ht="18" customHeight="1">
      <c r="A756" s="24"/>
      <c r="B756" s="24"/>
      <c r="C756" s="25" t="s">
        <v>27</v>
      </c>
      <c r="D756" s="25"/>
      <c r="E756" s="25"/>
      <c r="F756" s="24"/>
      <c r="G756" s="24"/>
      <c r="H756" s="24"/>
      <c r="I756" s="24"/>
      <c r="J756" s="29">
        <v>72287262031.81691</v>
      </c>
      <c r="K756" s="4"/>
      <c r="L756" s="96"/>
    </row>
    <row r="757" spans="1:12" s="5" customFormat="1" ht="47.4" customHeight="1">
      <c r="A757" s="24"/>
      <c r="B757" s="24"/>
      <c r="C757" s="185" t="s">
        <v>6</v>
      </c>
      <c r="D757" s="186"/>
      <c r="E757" s="25"/>
      <c r="F757" s="56">
        <v>26347.972705500011</v>
      </c>
      <c r="G757" s="24"/>
      <c r="H757" s="24"/>
      <c r="I757" s="24"/>
      <c r="J757" s="29">
        <v>126996003.35533187</v>
      </c>
      <c r="K757" s="4"/>
      <c r="L757" s="96"/>
    </row>
    <row r="758" spans="1:12" s="5" customFormat="1" ht="31.2" customHeight="1">
      <c r="A758" s="24"/>
      <c r="B758" s="24"/>
      <c r="C758" s="187" t="s">
        <v>7</v>
      </c>
      <c r="D758" s="187"/>
      <c r="E758" s="25"/>
      <c r="F758" s="24"/>
      <c r="G758" s="24"/>
      <c r="H758" s="24"/>
      <c r="I758" s="24"/>
      <c r="J758" s="29"/>
      <c r="K758" s="4"/>
      <c r="L758" s="96"/>
    </row>
    <row r="759" spans="1:12" s="5" customFormat="1" ht="13.95" hidden="1" customHeight="1">
      <c r="A759" s="24"/>
      <c r="B759" s="24"/>
      <c r="C759" s="188" t="s">
        <v>615</v>
      </c>
      <c r="D759" s="188"/>
      <c r="E759" s="25"/>
      <c r="F759" s="24"/>
      <c r="G759" s="24"/>
      <c r="H759" s="24"/>
      <c r="I759" s="24"/>
      <c r="J759" s="28">
        <v>166259443.38089404</v>
      </c>
      <c r="K759" s="14"/>
      <c r="L759" s="96"/>
    </row>
    <row r="760" spans="1:12" ht="13.95" hidden="1" customHeight="1">
      <c r="A760" s="26"/>
      <c r="B760" s="26"/>
      <c r="C760" s="188" t="s">
        <v>616</v>
      </c>
      <c r="D760" s="188"/>
      <c r="E760" s="27"/>
      <c r="F760" s="26"/>
      <c r="G760" s="26"/>
      <c r="H760" s="26"/>
      <c r="I760" s="26"/>
      <c r="J760" s="40">
        <v>37391048.716702566</v>
      </c>
      <c r="K760" s="104"/>
      <c r="L760" s="96"/>
    </row>
    <row r="761" spans="1:12" s="5" customFormat="1" ht="13.95" hidden="1" customHeight="1">
      <c r="A761" s="24"/>
      <c r="B761" s="24"/>
      <c r="C761" s="188" t="s">
        <v>617</v>
      </c>
      <c r="D761" s="188"/>
      <c r="E761" s="25"/>
      <c r="F761" s="24"/>
      <c r="G761" s="24"/>
      <c r="H761" s="24"/>
      <c r="I761" s="24"/>
      <c r="J761" s="28">
        <v>0</v>
      </c>
      <c r="K761" s="14"/>
      <c r="L761" s="96"/>
    </row>
    <row r="762" spans="1:12" s="5" customFormat="1" ht="23.4" customHeight="1">
      <c r="A762" s="38"/>
      <c r="B762" s="24"/>
      <c r="C762" s="184" t="s">
        <v>613</v>
      </c>
      <c r="D762" s="184"/>
      <c r="E762" s="25"/>
      <c r="F762" s="24"/>
      <c r="G762" s="24"/>
      <c r="H762" s="24"/>
      <c r="I762" s="24"/>
      <c r="J762" s="29">
        <v>1716942058.0139337</v>
      </c>
      <c r="K762" s="4"/>
      <c r="L762" s="96"/>
    </row>
    <row r="763" spans="1:12" s="5" customFormat="1" ht="19.95" customHeight="1">
      <c r="A763" s="38"/>
      <c r="B763" s="24"/>
      <c r="C763" s="184" t="s">
        <v>614</v>
      </c>
      <c r="D763" s="184"/>
      <c r="E763" s="25"/>
      <c r="F763" s="24"/>
      <c r="G763" s="24"/>
      <c r="H763" s="24"/>
      <c r="I763" s="24"/>
      <c r="J763" s="29">
        <v>74131200093.186172</v>
      </c>
      <c r="K763" s="4"/>
      <c r="L763" s="96"/>
    </row>
    <row r="764" spans="1:12" ht="21.6" customHeight="1">
      <c r="A764" s="2"/>
      <c r="B764" s="47"/>
      <c r="C764" s="188" t="s">
        <v>611</v>
      </c>
      <c r="D764" s="188"/>
      <c r="E764" s="27"/>
      <c r="F764" s="48"/>
      <c r="G764" s="48"/>
      <c r="H764" s="48"/>
      <c r="I764" s="28"/>
      <c r="J764" s="28">
        <v>223434050.60326469</v>
      </c>
      <c r="K764" s="14"/>
      <c r="L764" s="105"/>
    </row>
    <row r="765" spans="1:12" s="5" customFormat="1" ht="33" customHeight="1">
      <c r="A765" s="1"/>
      <c r="B765" s="49"/>
      <c r="C765" s="184" t="s">
        <v>628</v>
      </c>
      <c r="D765" s="184"/>
      <c r="E765" s="25"/>
      <c r="F765" s="50"/>
      <c r="G765" s="50"/>
      <c r="H765" s="50"/>
      <c r="I765" s="29"/>
      <c r="J765" s="29">
        <v>74354634143.789444</v>
      </c>
      <c r="K765" s="4"/>
      <c r="L765" s="94"/>
    </row>
    <row r="766" spans="1:12" ht="23.4" customHeight="1">
      <c r="A766" s="2"/>
      <c r="B766" s="47"/>
      <c r="C766" s="188" t="s">
        <v>627</v>
      </c>
      <c r="D766" s="188"/>
      <c r="E766" s="27"/>
      <c r="F766" s="48"/>
      <c r="G766" s="48"/>
      <c r="H766" s="48"/>
      <c r="I766" s="28"/>
      <c r="J766" s="28">
        <v>7435463414.3789444</v>
      </c>
      <c r="K766" s="14"/>
      <c r="L766" s="93"/>
    </row>
    <row r="767" spans="1:12" s="5" customFormat="1" ht="28.2" customHeight="1">
      <c r="A767" s="1"/>
      <c r="B767" s="49"/>
      <c r="C767" s="184" t="s">
        <v>629</v>
      </c>
      <c r="D767" s="184"/>
      <c r="E767" s="25"/>
      <c r="F767" s="50"/>
      <c r="G767" s="50"/>
      <c r="H767" s="50"/>
      <c r="I767" s="29"/>
      <c r="J767" s="29">
        <v>81790098000</v>
      </c>
      <c r="K767" s="106"/>
      <c r="L767" s="107"/>
    </row>
    <row r="768" spans="1:12" s="5" customFormat="1" ht="15.6" hidden="1">
      <c r="A768" s="43"/>
      <c r="B768" s="43"/>
      <c r="C768" s="44"/>
      <c r="D768" s="44"/>
      <c r="E768" s="45"/>
      <c r="F768" s="46"/>
      <c r="G768" s="46"/>
      <c r="H768" s="46"/>
      <c r="I768" s="37"/>
      <c r="J768" s="37">
        <v>82019425000</v>
      </c>
      <c r="K768" s="37"/>
    </row>
    <row r="769" spans="1:11" s="5" customFormat="1" ht="15.6" hidden="1">
      <c r="A769" s="43"/>
      <c r="B769" s="43"/>
      <c r="C769" s="44"/>
      <c r="D769" s="44"/>
      <c r="E769" s="45"/>
      <c r="F769" s="46"/>
      <c r="G769" s="46"/>
      <c r="H769" s="46"/>
      <c r="I769" s="37"/>
      <c r="J769" s="37">
        <v>-229327000</v>
      </c>
      <c r="K769" s="37"/>
    </row>
    <row r="770" spans="1:11" ht="9" customHeight="1"/>
    <row r="771" spans="1:11" ht="19.5" customHeight="1">
      <c r="D771" s="183" t="s">
        <v>782</v>
      </c>
      <c r="E771" s="183"/>
      <c r="F771" s="183"/>
      <c r="G771" s="183"/>
      <c r="H771" s="183"/>
      <c r="I771" s="183"/>
      <c r="J771" s="183"/>
      <c r="K771" s="183"/>
    </row>
    <row r="772" spans="1:11" ht="18">
      <c r="D772" s="62"/>
      <c r="E772" s="62"/>
      <c r="F772" s="62"/>
      <c r="G772" s="62"/>
      <c r="H772" s="62"/>
      <c r="I772" s="62"/>
      <c r="J772" s="62"/>
      <c r="K772" s="62"/>
    </row>
    <row r="773" spans="1:11" ht="21" customHeight="1">
      <c r="B773" s="180" t="s">
        <v>778</v>
      </c>
      <c r="C773" s="180"/>
      <c r="D773" s="180"/>
      <c r="E773" s="180"/>
      <c r="F773" s="60"/>
      <c r="G773" s="60"/>
      <c r="H773" s="60"/>
      <c r="I773" s="180" t="s">
        <v>779</v>
      </c>
      <c r="J773" s="180"/>
      <c r="K773" s="61"/>
    </row>
    <row r="774" spans="1:11" ht="42.75" customHeight="1">
      <c r="B774" s="181" t="s">
        <v>630</v>
      </c>
      <c r="C774" s="180"/>
      <c r="D774" s="180"/>
      <c r="E774" s="180"/>
      <c r="F774" s="59"/>
      <c r="G774" s="59"/>
      <c r="H774" s="59"/>
      <c r="I774" s="181" t="s">
        <v>774</v>
      </c>
      <c r="J774" s="181"/>
      <c r="K774" s="59"/>
    </row>
    <row r="777" spans="1:11">
      <c r="J777" s="31"/>
    </row>
    <row r="778" spans="1:11">
      <c r="J778" s="31"/>
    </row>
    <row r="780" spans="1:11" ht="16.8">
      <c r="D780" s="58" t="s">
        <v>780</v>
      </c>
      <c r="I780" s="179" t="s">
        <v>781</v>
      </c>
      <c r="J780" s="179"/>
    </row>
  </sheetData>
  <mergeCells count="35">
    <mergeCell ref="L13:L15"/>
    <mergeCell ref="C7:K7"/>
    <mergeCell ref="B1:K1"/>
    <mergeCell ref="A2:I2"/>
    <mergeCell ref="B3:K3"/>
    <mergeCell ref="B4:K4"/>
    <mergeCell ref="C6:K6"/>
    <mergeCell ref="C8:K8"/>
    <mergeCell ref="C9:K9"/>
    <mergeCell ref="B13:B15"/>
    <mergeCell ref="D13:D15"/>
    <mergeCell ref="E13:E15"/>
    <mergeCell ref="I13:I15"/>
    <mergeCell ref="K13:K15"/>
    <mergeCell ref="F13:H15"/>
    <mergeCell ref="J13:J15"/>
    <mergeCell ref="D10:K10"/>
    <mergeCell ref="D11:K11"/>
    <mergeCell ref="D771:K771"/>
    <mergeCell ref="C762:D762"/>
    <mergeCell ref="C757:D757"/>
    <mergeCell ref="C758:D758"/>
    <mergeCell ref="C759:D759"/>
    <mergeCell ref="C760:D760"/>
    <mergeCell ref="C761:D761"/>
    <mergeCell ref="C763:D763"/>
    <mergeCell ref="C764:D764"/>
    <mergeCell ref="C765:D765"/>
    <mergeCell ref="C766:D766"/>
    <mergeCell ref="C767:D767"/>
    <mergeCell ref="I780:J780"/>
    <mergeCell ref="I773:J773"/>
    <mergeCell ref="I774:J774"/>
    <mergeCell ref="B773:E773"/>
    <mergeCell ref="B774:E774"/>
  </mergeCells>
  <pageMargins left="0.82677165354330717" right="0.19685039370078741" top="0.55118110236220474" bottom="0.31496062992125984" header="0" footer="0.19685039370078741"/>
  <pageSetup paperSize="9" scale="72" orientation="portrait" r:id="rId1"/>
  <headerFooter>
    <oddFooter>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Q837"/>
  <sheetViews>
    <sheetView tabSelected="1" zoomScale="90" zoomScaleNormal="90" workbookViewId="0">
      <pane ySplit="4" topLeftCell="A576" activePane="bottomLeft" state="frozen"/>
      <selection pane="bottomLeft" activeCell="F586" sqref="F586"/>
    </sheetView>
  </sheetViews>
  <sheetFormatPr defaultColWidth="8.77734375" defaultRowHeight="15.6"/>
  <cols>
    <col min="1" max="1" width="7.88671875" style="109" customWidth="1"/>
    <col min="2" max="2" width="58.88671875" style="109" customWidth="1"/>
    <col min="3" max="3" width="15.6640625" style="109" customWidth="1"/>
    <col min="4" max="4" width="10.77734375" style="109" customWidth="1"/>
    <col min="5" max="5" width="10.33203125" style="109" customWidth="1"/>
    <col min="6" max="6" width="12.77734375" style="164" customWidth="1"/>
    <col min="7" max="7" width="11.21875" style="164" customWidth="1"/>
    <col min="8" max="8" width="14.77734375" style="109" customWidth="1"/>
    <col min="9" max="9" width="15.109375" style="109" customWidth="1"/>
    <col min="10" max="10" width="18.5546875" style="121" customWidth="1"/>
    <col min="11" max="11" width="17.33203125" style="121" customWidth="1"/>
    <col min="12" max="12" width="16.6640625" style="121" customWidth="1"/>
    <col min="13" max="13" width="22.21875" style="109" customWidth="1"/>
    <col min="14" max="14" width="18.21875" style="109" customWidth="1"/>
    <col min="15" max="15" width="19" style="109" customWidth="1"/>
    <col min="16" max="16384" width="8.77734375" style="109"/>
  </cols>
  <sheetData>
    <row r="1" spans="1:13">
      <c r="A1" s="210" t="s">
        <v>0</v>
      </c>
      <c r="B1" s="210" t="s">
        <v>319</v>
      </c>
      <c r="C1" s="210" t="s">
        <v>320</v>
      </c>
      <c r="D1" s="215" t="s">
        <v>890</v>
      </c>
      <c r="E1" s="216"/>
      <c r="F1" s="216"/>
      <c r="G1" s="217"/>
      <c r="H1" s="219" t="s">
        <v>894</v>
      </c>
      <c r="I1" s="219"/>
      <c r="J1" s="220" t="s">
        <v>777</v>
      </c>
      <c r="K1" s="220"/>
      <c r="L1" s="220"/>
    </row>
    <row r="2" spans="1:13">
      <c r="A2" s="211"/>
      <c r="B2" s="211"/>
      <c r="C2" s="211"/>
      <c r="D2" s="218" t="s">
        <v>898</v>
      </c>
      <c r="E2" s="213" t="s">
        <v>897</v>
      </c>
      <c r="F2" s="214" t="s">
        <v>786</v>
      </c>
      <c r="G2" s="214" t="s">
        <v>785</v>
      </c>
      <c r="H2" s="213" t="s">
        <v>892</v>
      </c>
      <c r="I2" s="213" t="s">
        <v>893</v>
      </c>
      <c r="J2" s="220" t="s">
        <v>895</v>
      </c>
      <c r="K2" s="220"/>
      <c r="L2" s="220"/>
    </row>
    <row r="3" spans="1:13">
      <c r="A3" s="211"/>
      <c r="B3" s="211"/>
      <c r="C3" s="211"/>
      <c r="D3" s="218"/>
      <c r="E3" s="213"/>
      <c r="F3" s="214"/>
      <c r="G3" s="214"/>
      <c r="H3" s="213"/>
      <c r="I3" s="213"/>
      <c r="J3" s="208" t="s">
        <v>891</v>
      </c>
      <c r="K3" s="208" t="s">
        <v>786</v>
      </c>
      <c r="L3" s="208" t="s">
        <v>896</v>
      </c>
    </row>
    <row r="4" spans="1:13">
      <c r="A4" s="212"/>
      <c r="B4" s="212"/>
      <c r="C4" s="212"/>
      <c r="D4" s="218"/>
      <c r="E4" s="213"/>
      <c r="F4" s="214"/>
      <c r="G4" s="214"/>
      <c r="H4" s="213"/>
      <c r="I4" s="213"/>
      <c r="J4" s="208"/>
      <c r="K4" s="208"/>
      <c r="L4" s="208"/>
    </row>
    <row r="5" spans="1:13">
      <c r="A5" s="110" t="s">
        <v>8</v>
      </c>
      <c r="B5" s="110" t="s">
        <v>9</v>
      </c>
      <c r="C5" s="110" t="s">
        <v>10</v>
      </c>
      <c r="D5" s="110"/>
      <c r="E5" s="120">
        <v>4</v>
      </c>
      <c r="F5" s="120">
        <v>5</v>
      </c>
      <c r="G5" s="120">
        <v>6</v>
      </c>
      <c r="H5" s="120">
        <v>7</v>
      </c>
      <c r="I5" s="120">
        <v>8</v>
      </c>
      <c r="J5" s="124">
        <v>10</v>
      </c>
      <c r="K5" s="124">
        <v>11</v>
      </c>
      <c r="L5" s="124">
        <v>12</v>
      </c>
    </row>
    <row r="6" spans="1:13" s="138" customFormat="1">
      <c r="A6" s="111" t="s">
        <v>2</v>
      </c>
      <c r="B6" s="112" t="s">
        <v>505</v>
      </c>
      <c r="C6" s="111"/>
      <c r="D6" s="148"/>
      <c r="E6" s="140"/>
      <c r="F6" s="155"/>
      <c r="G6" s="155"/>
      <c r="H6" s="139"/>
      <c r="I6" s="139"/>
      <c r="J6" s="139">
        <f>+J7+J173+J370</f>
        <v>38970896946.998238</v>
      </c>
      <c r="K6" s="139">
        <f>+K7+K173+K370</f>
        <v>14877946192.651642</v>
      </c>
      <c r="L6" s="139">
        <f>+L7+L173+L370</f>
        <v>24092950754.346596</v>
      </c>
      <c r="M6" s="137">
        <f>+L6+K6</f>
        <v>38970896946.998238</v>
      </c>
    </row>
    <row r="7" spans="1:13">
      <c r="A7" s="111" t="s">
        <v>14</v>
      </c>
      <c r="B7" s="112" t="s">
        <v>506</v>
      </c>
      <c r="C7" s="111"/>
      <c r="D7" s="111"/>
      <c r="E7" s="108"/>
      <c r="F7" s="156"/>
      <c r="G7" s="156"/>
      <c r="H7" s="122"/>
      <c r="I7" s="122"/>
      <c r="J7" s="135">
        <f>+SUM(J10:J172)</f>
        <v>16976501644.484886</v>
      </c>
      <c r="K7" s="135">
        <f>+SUM(K10:K172)</f>
        <v>11686400842.841671</v>
      </c>
      <c r="L7" s="135">
        <f>+SUM(L10:L172)</f>
        <v>5290100801.643219</v>
      </c>
      <c r="M7" s="121">
        <f>+L7+K7</f>
        <v>16976501644.48489</v>
      </c>
    </row>
    <row r="8" spans="1:13">
      <c r="A8" s="113"/>
      <c r="B8" s="112" t="s">
        <v>787</v>
      </c>
      <c r="C8" s="111"/>
      <c r="D8" s="111"/>
      <c r="E8" s="108"/>
      <c r="F8" s="156"/>
      <c r="G8" s="156"/>
      <c r="H8" s="122">
        <v>-5.7116646313644954E-3</v>
      </c>
      <c r="I8" s="122"/>
      <c r="J8" s="122"/>
      <c r="K8" s="122"/>
      <c r="L8" s="122"/>
    </row>
    <row r="9" spans="1:13">
      <c r="A9" s="114"/>
      <c r="B9" s="115" t="s">
        <v>507</v>
      </c>
      <c r="C9" s="116"/>
      <c r="D9" s="116"/>
      <c r="E9" s="108"/>
      <c r="F9" s="156"/>
      <c r="G9" s="156"/>
      <c r="H9" s="122"/>
      <c r="I9" s="122"/>
      <c r="J9" s="122"/>
      <c r="K9" s="122"/>
      <c r="L9" s="122"/>
    </row>
    <row r="10" spans="1:13">
      <c r="A10" s="114"/>
      <c r="B10" s="115" t="s">
        <v>349</v>
      </c>
      <c r="C10" s="116"/>
      <c r="D10" s="116"/>
      <c r="E10" s="108"/>
      <c r="F10" s="156"/>
      <c r="G10" s="156"/>
      <c r="H10" s="122"/>
      <c r="I10" s="122"/>
      <c r="J10" s="122"/>
      <c r="K10" s="122"/>
      <c r="L10" s="122"/>
    </row>
    <row r="11" spans="1:13">
      <c r="A11" s="114">
        <v>1</v>
      </c>
      <c r="B11" s="117" t="s">
        <v>508</v>
      </c>
      <c r="C11" s="116" t="s">
        <v>145</v>
      </c>
      <c r="D11" s="116">
        <v>2.0840000000000001</v>
      </c>
      <c r="E11" s="108">
        <v>2.0840000000000001</v>
      </c>
      <c r="F11" s="156"/>
      <c r="G11" s="156">
        <f>E11-F11</f>
        <v>2.0840000000000001</v>
      </c>
      <c r="H11" s="122">
        <v>1545733.4104878029</v>
      </c>
      <c r="I11" s="122"/>
      <c r="J11" s="122">
        <f>+E11*MAX(H11:I11)</f>
        <v>3221308.4274565815</v>
      </c>
      <c r="K11" s="122">
        <f>+F11*MAX(H11:I11)</f>
        <v>0</v>
      </c>
      <c r="L11" s="122">
        <f>+G11*MAX(H11:I11)</f>
        <v>3221308.4274565815</v>
      </c>
    </row>
    <row r="12" spans="1:13">
      <c r="A12" s="114">
        <v>2</v>
      </c>
      <c r="B12" s="117" t="s">
        <v>393</v>
      </c>
      <c r="C12" s="116" t="s">
        <v>145</v>
      </c>
      <c r="D12" s="116">
        <v>6.6120000000000001</v>
      </c>
      <c r="E12" s="108">
        <v>6.8684025000000002</v>
      </c>
      <c r="F12" s="156"/>
      <c r="G12" s="156">
        <f t="shared" ref="G12:G29" si="0">E12-F12</f>
        <v>6.8684025000000002</v>
      </c>
      <c r="H12" s="122">
        <v>1826396.1566618159</v>
      </c>
      <c r="I12" s="122"/>
      <c r="J12" s="122">
        <f t="shared" ref="J12:J75" si="1">+E12*MAX(H12:I12)</f>
        <v>12544423.928406408</v>
      </c>
      <c r="K12" s="122">
        <f t="shared" ref="K12:K75" si="2">+F12*MAX(H12:I12)</f>
        <v>0</v>
      </c>
      <c r="L12" s="122">
        <f t="shared" ref="L12:L75" si="3">+G12*MAX(H12:I12)</f>
        <v>12544423.928406408</v>
      </c>
    </row>
    <row r="13" spans="1:13" s="129" customFormat="1">
      <c r="A13" s="125">
        <v>3</v>
      </c>
      <c r="B13" s="130" t="s">
        <v>394</v>
      </c>
      <c r="C13" s="126" t="s">
        <v>145</v>
      </c>
      <c r="D13" s="126">
        <v>25.094000000000001</v>
      </c>
      <c r="E13" s="127">
        <v>17.995199000000003</v>
      </c>
      <c r="F13" s="157">
        <f>'[33]TH tuyen 2'!$D$12/100</f>
        <v>9.3207999999999984</v>
      </c>
      <c r="G13" s="156">
        <f t="shared" si="0"/>
        <v>8.6743990000000046</v>
      </c>
      <c r="H13" s="128">
        <v>2175908.7549432274</v>
      </c>
      <c r="I13" s="128"/>
      <c r="J13" s="128">
        <f t="shared" si="1"/>
        <v>39155911.051045619</v>
      </c>
      <c r="K13" s="128">
        <f t="shared" si="2"/>
        <v>20281210.323074829</v>
      </c>
      <c r="L13" s="128">
        <f t="shared" si="3"/>
        <v>18874700.727970786</v>
      </c>
    </row>
    <row r="14" spans="1:13" s="129" customFormat="1">
      <c r="A14" s="125">
        <v>4</v>
      </c>
      <c r="B14" s="130" t="s">
        <v>397</v>
      </c>
      <c r="C14" s="126" t="s">
        <v>145</v>
      </c>
      <c r="D14" s="126">
        <v>136.21100000000001</v>
      </c>
      <c r="E14" s="127">
        <v>124.26093500000002</v>
      </c>
      <c r="F14" s="157">
        <f>'[33]TH tuyen 2'!$D$14/100</f>
        <v>30.922200000000004</v>
      </c>
      <c r="G14" s="156">
        <f t="shared" si="0"/>
        <v>93.338735000000014</v>
      </c>
      <c r="H14" s="128">
        <v>2214350.953738424</v>
      </c>
      <c r="I14" s="128"/>
      <c r="J14" s="128">
        <f t="shared" si="1"/>
        <v>275157319.92967832</v>
      </c>
      <c r="K14" s="128">
        <f t="shared" si="2"/>
        <v>68472603.061690301</v>
      </c>
      <c r="L14" s="128">
        <f t="shared" si="3"/>
        <v>206684716.86798805</v>
      </c>
    </row>
    <row r="15" spans="1:13" s="129" customFormat="1">
      <c r="A15" s="125">
        <v>5</v>
      </c>
      <c r="B15" s="130" t="s">
        <v>398</v>
      </c>
      <c r="C15" s="126" t="s">
        <v>145</v>
      </c>
      <c r="D15" s="126">
        <v>20.661000000000001</v>
      </c>
      <c r="E15" s="127">
        <v>24.9904005</v>
      </c>
      <c r="F15" s="157">
        <f>'[33]TH tuyen 2'!$D$16/100</f>
        <v>2.1953999999999998</v>
      </c>
      <c r="G15" s="156">
        <f t="shared" si="0"/>
        <v>22.7950005</v>
      </c>
      <c r="H15" s="128">
        <v>2610425.2873970545</v>
      </c>
      <c r="I15" s="128"/>
      <c r="J15" s="128">
        <f t="shared" si="1"/>
        <v>65235573.407379992</v>
      </c>
      <c r="K15" s="128">
        <f t="shared" si="2"/>
        <v>5730927.675951493</v>
      </c>
      <c r="L15" s="128">
        <f t="shared" si="3"/>
        <v>59504645.731428504</v>
      </c>
    </row>
    <row r="16" spans="1:13" s="129" customFormat="1">
      <c r="A16" s="125">
        <v>6</v>
      </c>
      <c r="B16" s="130" t="s">
        <v>399</v>
      </c>
      <c r="C16" s="126" t="s">
        <v>145</v>
      </c>
      <c r="D16" s="126">
        <v>29.792999999999999</v>
      </c>
      <c r="E16" s="127">
        <v>29.469891499999999</v>
      </c>
      <c r="F16" s="157">
        <f>'[33]TH tuyen 2'!$D$11/100</f>
        <v>1.0055000000000001</v>
      </c>
      <c r="G16" s="156">
        <f t="shared" si="0"/>
        <v>28.464391499999998</v>
      </c>
      <c r="H16" s="128">
        <v>1164771.501309423</v>
      </c>
      <c r="I16" s="128"/>
      <c r="J16" s="128">
        <f t="shared" si="1"/>
        <v>34325689.765880801</v>
      </c>
      <c r="K16" s="128">
        <f t="shared" si="2"/>
        <v>1171177.744566625</v>
      </c>
      <c r="L16" s="128">
        <f t="shared" si="3"/>
        <v>33154512.021314178</v>
      </c>
    </row>
    <row r="17" spans="1:12" s="129" customFormat="1">
      <c r="A17" s="125" t="s">
        <v>788</v>
      </c>
      <c r="B17" s="130" t="s">
        <v>789</v>
      </c>
      <c r="C17" s="126" t="s">
        <v>145</v>
      </c>
      <c r="D17" s="126"/>
      <c r="E17" s="127">
        <v>0.73023500000000008</v>
      </c>
      <c r="F17" s="157"/>
      <c r="G17" s="156">
        <f t="shared" si="0"/>
        <v>0.73023500000000008</v>
      </c>
      <c r="H17" s="128">
        <v>3387145.2779199071</v>
      </c>
      <c r="I17" s="128"/>
      <c r="J17" s="128">
        <f t="shared" si="1"/>
        <v>2473412.0320218438</v>
      </c>
      <c r="K17" s="128">
        <f t="shared" si="2"/>
        <v>0</v>
      </c>
      <c r="L17" s="128">
        <f t="shared" si="3"/>
        <v>2473412.0320218438</v>
      </c>
    </row>
    <row r="18" spans="1:12" s="129" customFormat="1">
      <c r="A18" s="125">
        <v>7</v>
      </c>
      <c r="B18" s="130" t="s">
        <v>400</v>
      </c>
      <c r="C18" s="126" t="s">
        <v>145</v>
      </c>
      <c r="D18" s="126">
        <v>86.186999999999998</v>
      </c>
      <c r="E18" s="127">
        <v>76.841899999999995</v>
      </c>
      <c r="F18" s="157">
        <f>'[33]TH tuyen 2'!$D$19/100</f>
        <v>15.8775</v>
      </c>
      <c r="G18" s="156">
        <f t="shared" si="0"/>
        <v>60.964399999999998</v>
      </c>
      <c r="H18" s="128">
        <v>1417530.6953819983</v>
      </c>
      <c r="I18" s="128"/>
      <c r="J18" s="128">
        <f t="shared" si="1"/>
        <v>108925751.94147398</v>
      </c>
      <c r="K18" s="128">
        <f t="shared" si="2"/>
        <v>22506843.615927678</v>
      </c>
      <c r="L18" s="128">
        <f t="shared" si="3"/>
        <v>86418908.325546294</v>
      </c>
    </row>
    <row r="19" spans="1:12" s="129" customFormat="1" ht="31.2" hidden="1">
      <c r="A19" s="125"/>
      <c r="B19" s="130" t="s">
        <v>790</v>
      </c>
      <c r="C19" s="126"/>
      <c r="D19" s="126"/>
      <c r="E19" s="127">
        <v>2725.913410500003</v>
      </c>
      <c r="F19" s="157"/>
      <c r="G19" s="156">
        <f t="shared" si="0"/>
        <v>2725.913410500003</v>
      </c>
      <c r="H19" s="128"/>
      <c r="I19" s="128"/>
      <c r="J19" s="128">
        <f t="shared" si="1"/>
        <v>0</v>
      </c>
      <c r="K19" s="128">
        <f t="shared" si="2"/>
        <v>0</v>
      </c>
      <c r="L19" s="128">
        <f t="shared" si="3"/>
        <v>0</v>
      </c>
    </row>
    <row r="20" spans="1:12" s="129" customFormat="1" hidden="1">
      <c r="A20" s="125"/>
      <c r="B20" s="130" t="s">
        <v>791</v>
      </c>
      <c r="C20" s="126"/>
      <c r="D20" s="126"/>
      <c r="E20" s="127">
        <v>16724.653450000002</v>
      </c>
      <c r="F20" s="157"/>
      <c r="G20" s="156">
        <f t="shared" si="0"/>
        <v>16724.653450000002</v>
      </c>
      <c r="H20" s="128"/>
      <c r="I20" s="128"/>
      <c r="J20" s="128">
        <f t="shared" si="1"/>
        <v>0</v>
      </c>
      <c r="K20" s="128">
        <f t="shared" si="2"/>
        <v>0</v>
      </c>
      <c r="L20" s="128">
        <f t="shared" si="3"/>
        <v>0</v>
      </c>
    </row>
    <row r="21" spans="1:12" s="129" customFormat="1" hidden="1">
      <c r="A21" s="125"/>
      <c r="B21" s="130" t="s">
        <v>792</v>
      </c>
      <c r="C21" s="126"/>
      <c r="D21" s="126"/>
      <c r="E21" s="127">
        <v>3412.6142944999997</v>
      </c>
      <c r="F21" s="157"/>
      <c r="G21" s="156">
        <f t="shared" si="0"/>
        <v>3412.6142944999997</v>
      </c>
      <c r="H21" s="128"/>
      <c r="I21" s="128"/>
      <c r="J21" s="128">
        <f t="shared" si="1"/>
        <v>0</v>
      </c>
      <c r="K21" s="128">
        <f t="shared" si="2"/>
        <v>0</v>
      </c>
      <c r="L21" s="128">
        <f t="shared" si="3"/>
        <v>0</v>
      </c>
    </row>
    <row r="22" spans="1:12" s="129" customFormat="1" hidden="1">
      <c r="A22" s="125"/>
      <c r="B22" s="130" t="s">
        <v>793</v>
      </c>
      <c r="C22" s="126"/>
      <c r="D22" s="126"/>
      <c r="E22" s="127">
        <v>8913.6603999999988</v>
      </c>
      <c r="F22" s="157"/>
      <c r="G22" s="156">
        <f t="shared" si="0"/>
        <v>8913.6603999999988</v>
      </c>
      <c r="H22" s="128"/>
      <c r="I22" s="128"/>
      <c r="J22" s="128">
        <f t="shared" si="1"/>
        <v>0</v>
      </c>
      <c r="K22" s="128">
        <f t="shared" si="2"/>
        <v>0</v>
      </c>
      <c r="L22" s="128">
        <f t="shared" si="3"/>
        <v>0</v>
      </c>
    </row>
    <row r="23" spans="1:12" s="129" customFormat="1">
      <c r="A23" s="125"/>
      <c r="B23" s="130" t="s">
        <v>509</v>
      </c>
      <c r="C23" s="126"/>
      <c r="D23" s="126"/>
      <c r="E23" s="127"/>
      <c r="F23" s="157"/>
      <c r="G23" s="156"/>
      <c r="H23" s="128"/>
      <c r="I23" s="128"/>
      <c r="J23" s="128">
        <f t="shared" si="1"/>
        <v>0</v>
      </c>
      <c r="K23" s="128">
        <f t="shared" si="2"/>
        <v>0</v>
      </c>
      <c r="L23" s="128">
        <f t="shared" si="3"/>
        <v>0</v>
      </c>
    </row>
    <row r="24" spans="1:12" s="129" customFormat="1">
      <c r="A24" s="125">
        <v>8</v>
      </c>
      <c r="B24" s="130" t="s">
        <v>405</v>
      </c>
      <c r="C24" s="126" t="s">
        <v>145</v>
      </c>
      <c r="D24" s="126">
        <v>8.6959999999999997</v>
      </c>
      <c r="E24" s="127">
        <v>8.9524024999999998</v>
      </c>
      <c r="F24" s="157"/>
      <c r="G24" s="156">
        <f t="shared" si="0"/>
        <v>8.9524024999999998</v>
      </c>
      <c r="H24" s="128">
        <v>1520968.5992504628</v>
      </c>
      <c r="I24" s="128"/>
      <c r="J24" s="128">
        <f t="shared" si="1"/>
        <v>13616323.090351341</v>
      </c>
      <c r="K24" s="128">
        <f t="shared" si="2"/>
        <v>0</v>
      </c>
      <c r="L24" s="128">
        <f t="shared" si="3"/>
        <v>13616323.090351341</v>
      </c>
    </row>
    <row r="25" spans="1:12" s="129" customFormat="1">
      <c r="A25" s="125">
        <v>9</v>
      </c>
      <c r="B25" s="130" t="s">
        <v>510</v>
      </c>
      <c r="C25" s="126" t="s">
        <v>145</v>
      </c>
      <c r="D25" s="126">
        <v>8.6959999999999997</v>
      </c>
      <c r="E25" s="127">
        <v>8.9524024999999998</v>
      </c>
      <c r="F25" s="157"/>
      <c r="G25" s="156">
        <f t="shared" si="0"/>
        <v>8.9524024999999998</v>
      </c>
      <c r="H25" s="128">
        <v>464489.026127505</v>
      </c>
      <c r="I25" s="128"/>
      <c r="J25" s="128">
        <f t="shared" si="1"/>
        <v>4158292.7187264408</v>
      </c>
      <c r="K25" s="128">
        <f t="shared" si="2"/>
        <v>0</v>
      </c>
      <c r="L25" s="128">
        <f t="shared" si="3"/>
        <v>4158292.7187264408</v>
      </c>
    </row>
    <row r="26" spans="1:12" s="129" customFormat="1">
      <c r="A26" s="125">
        <v>10</v>
      </c>
      <c r="B26" s="130" t="s">
        <v>407</v>
      </c>
      <c r="C26" s="126" t="s">
        <v>145</v>
      </c>
      <c r="D26" s="126">
        <v>133.643</v>
      </c>
      <c r="E26" s="127">
        <v>123.26274694499998</v>
      </c>
      <c r="F26" s="157">
        <f>E26-G26</f>
        <v>27.003746944999975</v>
      </c>
      <c r="G26" s="156">
        <v>96.259</v>
      </c>
      <c r="H26" s="128">
        <v>1326087.4974319201</v>
      </c>
      <c r="I26" s="128"/>
      <c r="J26" s="128">
        <f t="shared" si="1"/>
        <v>163457187.62287909</v>
      </c>
      <c r="K26" s="128">
        <f t="shared" si="2"/>
        <v>35809331.207579874</v>
      </c>
      <c r="L26" s="128">
        <f t="shared" si="3"/>
        <v>127647856.41529921</v>
      </c>
    </row>
    <row r="27" spans="1:12" s="129" customFormat="1">
      <c r="A27" s="125">
        <v>11</v>
      </c>
      <c r="B27" s="130" t="s">
        <v>409</v>
      </c>
      <c r="C27" s="126" t="s">
        <v>145</v>
      </c>
      <c r="D27" s="126">
        <v>2.609</v>
      </c>
      <c r="E27" s="127">
        <v>2.609</v>
      </c>
      <c r="F27" s="157"/>
      <c r="G27" s="156">
        <f t="shared" si="0"/>
        <v>2.609</v>
      </c>
      <c r="H27" s="128">
        <v>189379.47582066723</v>
      </c>
      <c r="I27" s="128"/>
      <c r="J27" s="128">
        <f t="shared" si="1"/>
        <v>494091.05241612077</v>
      </c>
      <c r="K27" s="128">
        <f t="shared" si="2"/>
        <v>0</v>
      </c>
      <c r="L27" s="128">
        <f t="shared" si="3"/>
        <v>494091.05241612077</v>
      </c>
    </row>
    <row r="28" spans="1:12">
      <c r="A28" s="114">
        <v>12</v>
      </c>
      <c r="B28" s="117" t="s">
        <v>411</v>
      </c>
      <c r="C28" s="116" t="s">
        <v>149</v>
      </c>
      <c r="D28" s="116">
        <v>22.02</v>
      </c>
      <c r="E28" s="108">
        <v>22.02</v>
      </c>
      <c r="F28" s="156">
        <f>'[33]TH tuyen 2'!$D$20/100</f>
        <v>1.5626</v>
      </c>
      <c r="G28" s="156">
        <f t="shared" si="0"/>
        <v>20.4574</v>
      </c>
      <c r="H28" s="122">
        <v>1534820.675837225</v>
      </c>
      <c r="I28" s="122"/>
      <c r="J28" s="122">
        <f t="shared" si="1"/>
        <v>33796751.281935692</v>
      </c>
      <c r="K28" s="122">
        <f t="shared" si="2"/>
        <v>2398310.7880632477</v>
      </c>
      <c r="L28" s="122">
        <f t="shared" si="3"/>
        <v>31398440.493872449</v>
      </c>
    </row>
    <row r="29" spans="1:12">
      <c r="A29" s="114">
        <v>13</v>
      </c>
      <c r="B29" s="117" t="s">
        <v>412</v>
      </c>
      <c r="C29" s="116" t="s">
        <v>149</v>
      </c>
      <c r="D29" s="116">
        <v>22.02</v>
      </c>
      <c r="E29" s="108">
        <v>22.02</v>
      </c>
      <c r="F29" s="156">
        <f>'[33]TH tuyen 2'!$D$20/100</f>
        <v>1.5626</v>
      </c>
      <c r="G29" s="156">
        <f t="shared" si="0"/>
        <v>20.4574</v>
      </c>
      <c r="H29" s="122">
        <v>24362.23294979722</v>
      </c>
      <c r="I29" s="122"/>
      <c r="J29" s="122">
        <f t="shared" si="1"/>
        <v>536456.36955453479</v>
      </c>
      <c r="K29" s="122">
        <f t="shared" si="2"/>
        <v>38068.425207353139</v>
      </c>
      <c r="L29" s="122">
        <f t="shared" si="3"/>
        <v>498387.94434718165</v>
      </c>
    </row>
    <row r="30" spans="1:12">
      <c r="A30" s="114"/>
      <c r="B30" s="115" t="s">
        <v>350</v>
      </c>
      <c r="C30" s="116"/>
      <c r="D30" s="116"/>
      <c r="E30" s="108"/>
      <c r="F30" s="156"/>
      <c r="G30" s="156"/>
      <c r="H30" s="122"/>
      <c r="I30" s="122"/>
      <c r="J30" s="122">
        <f t="shared" si="1"/>
        <v>0</v>
      </c>
      <c r="K30" s="122">
        <f t="shared" si="2"/>
        <v>0</v>
      </c>
      <c r="L30" s="122">
        <f t="shared" si="3"/>
        <v>0</v>
      </c>
    </row>
    <row r="31" spans="1:12" ht="31.2">
      <c r="A31" s="116">
        <v>14</v>
      </c>
      <c r="B31" s="117" t="s">
        <v>413</v>
      </c>
      <c r="C31" s="116" t="s">
        <v>149</v>
      </c>
      <c r="D31" s="116">
        <v>184.006</v>
      </c>
      <c r="E31" s="108">
        <v>0</v>
      </c>
      <c r="F31" s="156">
        <f>+E31</f>
        <v>0</v>
      </c>
      <c r="G31" s="156"/>
      <c r="H31" s="122">
        <v>1164681.0166441561</v>
      </c>
      <c r="I31" s="122"/>
      <c r="J31" s="122">
        <f t="shared" si="1"/>
        <v>0</v>
      </c>
      <c r="K31" s="122">
        <f t="shared" si="2"/>
        <v>0</v>
      </c>
      <c r="L31" s="122">
        <f t="shared" si="3"/>
        <v>0</v>
      </c>
    </row>
    <row r="32" spans="1:12" ht="31.2">
      <c r="A32" s="114">
        <v>15</v>
      </c>
      <c r="B32" s="117" t="s">
        <v>414</v>
      </c>
      <c r="C32" s="116" t="s">
        <v>415</v>
      </c>
      <c r="D32" s="116">
        <v>30.582000000000001</v>
      </c>
      <c r="E32" s="108">
        <v>0</v>
      </c>
      <c r="F32" s="156">
        <f t="shared" ref="F32:F41" si="4">+E32</f>
        <v>0</v>
      </c>
      <c r="G32" s="156"/>
      <c r="H32" s="122">
        <v>114207703.6275613</v>
      </c>
      <c r="I32" s="122"/>
      <c r="J32" s="122">
        <f t="shared" si="1"/>
        <v>0</v>
      </c>
      <c r="K32" s="122">
        <f t="shared" si="2"/>
        <v>0</v>
      </c>
      <c r="L32" s="122">
        <f t="shared" si="3"/>
        <v>0</v>
      </c>
    </row>
    <row r="33" spans="1:12" ht="31.2">
      <c r="A33" s="114" t="s">
        <v>794</v>
      </c>
      <c r="B33" s="117" t="s">
        <v>795</v>
      </c>
      <c r="C33" s="116" t="s">
        <v>149</v>
      </c>
      <c r="D33" s="116"/>
      <c r="E33" s="108">
        <v>194.07830000000001</v>
      </c>
      <c r="F33" s="156">
        <f t="shared" si="4"/>
        <v>194.07830000000001</v>
      </c>
      <c r="G33" s="156"/>
      <c r="H33" s="122">
        <v>0</v>
      </c>
      <c r="I33" s="122">
        <v>1450470.8478000001</v>
      </c>
      <c r="J33" s="122">
        <f t="shared" si="1"/>
        <v>281504916.34058279</v>
      </c>
      <c r="K33" s="122">
        <f t="shared" si="2"/>
        <v>281504916.34058279</v>
      </c>
      <c r="L33" s="122">
        <f t="shared" si="3"/>
        <v>0</v>
      </c>
    </row>
    <row r="34" spans="1:12">
      <c r="A34" s="114" t="s">
        <v>796</v>
      </c>
      <c r="B34" s="117" t="s">
        <v>797</v>
      </c>
      <c r="C34" s="116" t="s">
        <v>415</v>
      </c>
      <c r="D34" s="116"/>
      <c r="E34" s="108">
        <v>33.484329099</v>
      </c>
      <c r="F34" s="156">
        <f t="shared" si="4"/>
        <v>33.484329099</v>
      </c>
      <c r="G34" s="156"/>
      <c r="H34" s="122">
        <v>0</v>
      </c>
      <c r="I34" s="122">
        <v>150219973.99520001</v>
      </c>
      <c r="J34" s="122">
        <f t="shared" si="1"/>
        <v>5030015046.4984989</v>
      </c>
      <c r="K34" s="122">
        <f t="shared" si="2"/>
        <v>5030015046.4984989</v>
      </c>
      <c r="L34" s="122">
        <f t="shared" si="3"/>
        <v>0</v>
      </c>
    </row>
    <row r="35" spans="1:12" ht="31.2">
      <c r="A35" s="114">
        <v>16</v>
      </c>
      <c r="B35" s="117" t="s">
        <v>416</v>
      </c>
      <c r="C35" s="116" t="s">
        <v>415</v>
      </c>
      <c r="D35" s="116">
        <v>30.582000000000001</v>
      </c>
      <c r="E35" s="108">
        <v>33.484329099</v>
      </c>
      <c r="F35" s="156">
        <f t="shared" si="4"/>
        <v>33.484329099</v>
      </c>
      <c r="G35" s="156"/>
      <c r="H35" s="122">
        <v>4705361.9552235175</v>
      </c>
      <c r="I35" s="122"/>
      <c r="J35" s="122">
        <f t="shared" si="1"/>
        <v>157555888.23861837</v>
      </c>
      <c r="K35" s="122">
        <f t="shared" si="2"/>
        <v>157555888.23861837</v>
      </c>
      <c r="L35" s="122">
        <f t="shared" si="3"/>
        <v>0</v>
      </c>
    </row>
    <row r="36" spans="1:12">
      <c r="A36" s="114">
        <v>17</v>
      </c>
      <c r="B36" s="117" t="s">
        <v>511</v>
      </c>
      <c r="C36" s="116" t="s">
        <v>415</v>
      </c>
      <c r="D36" s="116">
        <v>30.582000000000001</v>
      </c>
      <c r="E36" s="108">
        <v>0</v>
      </c>
      <c r="F36" s="156">
        <f t="shared" si="4"/>
        <v>0</v>
      </c>
      <c r="G36" s="156"/>
      <c r="H36" s="122">
        <v>13145138.160624428</v>
      </c>
      <c r="I36" s="122"/>
      <c r="J36" s="122">
        <f t="shared" si="1"/>
        <v>0</v>
      </c>
      <c r="K36" s="122">
        <f t="shared" si="2"/>
        <v>0</v>
      </c>
      <c r="L36" s="122">
        <f t="shared" si="3"/>
        <v>0</v>
      </c>
    </row>
    <row r="37" spans="1:12">
      <c r="A37" s="114" t="s">
        <v>798</v>
      </c>
      <c r="B37" s="117" t="s">
        <v>799</v>
      </c>
      <c r="C37" s="116" t="s">
        <v>415</v>
      </c>
      <c r="D37" s="116"/>
      <c r="E37" s="108">
        <v>33.484329099</v>
      </c>
      <c r="F37" s="156">
        <f t="shared" si="4"/>
        <v>33.484329099</v>
      </c>
      <c r="G37" s="156"/>
      <c r="H37" s="122">
        <v>0</v>
      </c>
      <c r="I37" s="122">
        <v>14726563.098200001</v>
      </c>
      <c r="J37" s="122">
        <f t="shared" si="1"/>
        <v>493109085.27731788</v>
      </c>
      <c r="K37" s="122">
        <f t="shared" si="2"/>
        <v>493109085.27731788</v>
      </c>
      <c r="L37" s="122">
        <f t="shared" si="3"/>
        <v>0</v>
      </c>
    </row>
    <row r="38" spans="1:12">
      <c r="A38" s="114">
        <v>18</v>
      </c>
      <c r="B38" s="117" t="s">
        <v>503</v>
      </c>
      <c r="C38" s="116" t="s">
        <v>149</v>
      </c>
      <c r="D38" s="116">
        <v>18.401</v>
      </c>
      <c r="E38" s="108">
        <v>170.97710000000001</v>
      </c>
      <c r="F38" s="156">
        <f t="shared" si="4"/>
        <v>170.97710000000001</v>
      </c>
      <c r="G38" s="156"/>
      <c r="H38" s="122">
        <v>1783035.3754178607</v>
      </c>
      <c r="I38" s="122"/>
      <c r="J38" s="122">
        <f t="shared" si="1"/>
        <v>304858217.68635714</v>
      </c>
      <c r="K38" s="122">
        <f t="shared" si="2"/>
        <v>304858217.68635714</v>
      </c>
      <c r="L38" s="122">
        <f t="shared" si="3"/>
        <v>0</v>
      </c>
    </row>
    <row r="39" spans="1:12" ht="31.2">
      <c r="A39" s="114" t="s">
        <v>800</v>
      </c>
      <c r="B39" s="117" t="s">
        <v>801</v>
      </c>
      <c r="C39" s="116" t="s">
        <v>149</v>
      </c>
      <c r="D39" s="116"/>
      <c r="E39" s="108">
        <v>23.101199999999999</v>
      </c>
      <c r="F39" s="156">
        <f t="shared" si="4"/>
        <v>23.101199999999999</v>
      </c>
      <c r="G39" s="156"/>
      <c r="H39" s="122">
        <v>1066161.2774651225</v>
      </c>
      <c r="I39" s="122"/>
      <c r="J39" s="122">
        <f t="shared" si="1"/>
        <v>24629604.902977288</v>
      </c>
      <c r="K39" s="122">
        <f t="shared" si="2"/>
        <v>24629604.902977288</v>
      </c>
      <c r="L39" s="122">
        <f t="shared" si="3"/>
        <v>0</v>
      </c>
    </row>
    <row r="40" spans="1:12">
      <c r="A40" s="114">
        <v>19</v>
      </c>
      <c r="B40" s="117" t="s">
        <v>418</v>
      </c>
      <c r="C40" s="116" t="s">
        <v>145</v>
      </c>
      <c r="D40" s="116">
        <v>26.632999999999999</v>
      </c>
      <c r="E40" s="108">
        <v>24.678664999999999</v>
      </c>
      <c r="F40" s="156">
        <f t="shared" si="4"/>
        <v>24.678664999999999</v>
      </c>
      <c r="G40" s="156"/>
      <c r="H40" s="122">
        <v>30928790.531593096</v>
      </c>
      <c r="I40" s="122"/>
      <c r="J40" s="122">
        <f t="shared" si="1"/>
        <v>763281260.38435793</v>
      </c>
      <c r="K40" s="122">
        <f t="shared" si="2"/>
        <v>763281260.38435793</v>
      </c>
      <c r="L40" s="122">
        <f t="shared" si="3"/>
        <v>0</v>
      </c>
    </row>
    <row r="41" spans="1:12">
      <c r="A41" s="114">
        <v>20</v>
      </c>
      <c r="B41" s="117" t="s">
        <v>419</v>
      </c>
      <c r="C41" s="116" t="s">
        <v>145</v>
      </c>
      <c r="D41" s="116">
        <v>55.145000000000003</v>
      </c>
      <c r="E41" s="108">
        <v>50.975752</v>
      </c>
      <c r="F41" s="156">
        <f t="shared" si="4"/>
        <v>50.975752</v>
      </c>
      <c r="G41" s="156"/>
      <c r="H41" s="122">
        <v>30775729.176017962</v>
      </c>
      <c r="I41" s="122"/>
      <c r="J41" s="122">
        <f t="shared" si="1"/>
        <v>1568815938.095856</v>
      </c>
      <c r="K41" s="122">
        <f t="shared" si="2"/>
        <v>1568815938.095856</v>
      </c>
      <c r="L41" s="122">
        <f t="shared" si="3"/>
        <v>0</v>
      </c>
    </row>
    <row r="42" spans="1:12">
      <c r="A42" s="114"/>
      <c r="B42" s="115" t="s">
        <v>420</v>
      </c>
      <c r="C42" s="116"/>
      <c r="D42" s="116"/>
      <c r="E42" s="108"/>
      <c r="F42" s="156"/>
      <c r="G42" s="156"/>
      <c r="H42" s="122"/>
      <c r="I42" s="122"/>
      <c r="J42" s="122">
        <f t="shared" si="1"/>
        <v>0</v>
      </c>
      <c r="K42" s="122">
        <f t="shared" si="2"/>
        <v>0</v>
      </c>
      <c r="L42" s="122">
        <f t="shared" si="3"/>
        <v>0</v>
      </c>
    </row>
    <row r="43" spans="1:12" ht="31.2">
      <c r="A43" s="114">
        <v>21</v>
      </c>
      <c r="B43" s="117" t="s">
        <v>413</v>
      </c>
      <c r="C43" s="116" t="s">
        <v>149</v>
      </c>
      <c r="D43" s="116">
        <v>25.27</v>
      </c>
      <c r="E43" s="108">
        <v>0</v>
      </c>
      <c r="F43" s="156">
        <f>+E43</f>
        <v>0</v>
      </c>
      <c r="G43" s="156"/>
      <c r="H43" s="122">
        <v>1164681.0166441561</v>
      </c>
      <c r="I43" s="122"/>
      <c r="J43" s="122">
        <f t="shared" si="1"/>
        <v>0</v>
      </c>
      <c r="K43" s="122">
        <f t="shared" si="2"/>
        <v>0</v>
      </c>
      <c r="L43" s="122">
        <f t="shared" si="3"/>
        <v>0</v>
      </c>
    </row>
    <row r="44" spans="1:12" ht="31.2">
      <c r="A44" s="114">
        <v>22</v>
      </c>
      <c r="B44" s="117" t="s">
        <v>414</v>
      </c>
      <c r="C44" s="116" t="s">
        <v>415</v>
      </c>
      <c r="D44" s="116">
        <v>4.2</v>
      </c>
      <c r="E44" s="108">
        <v>0</v>
      </c>
      <c r="F44" s="156">
        <f t="shared" ref="F44:F52" si="5">+E44</f>
        <v>0</v>
      </c>
      <c r="G44" s="156"/>
      <c r="H44" s="122">
        <v>114207703.6275613</v>
      </c>
      <c r="I44" s="122"/>
      <c r="J44" s="122">
        <f t="shared" si="1"/>
        <v>0</v>
      </c>
      <c r="K44" s="122">
        <f t="shared" si="2"/>
        <v>0</v>
      </c>
      <c r="L44" s="122">
        <f t="shared" si="3"/>
        <v>0</v>
      </c>
    </row>
    <row r="45" spans="1:12" ht="31.2">
      <c r="A45" s="114" t="s">
        <v>802</v>
      </c>
      <c r="B45" s="117" t="s">
        <v>795</v>
      </c>
      <c r="C45" s="116" t="s">
        <v>149</v>
      </c>
      <c r="D45" s="116"/>
      <c r="E45" s="108">
        <v>25.27</v>
      </c>
      <c r="F45" s="156">
        <f t="shared" si="5"/>
        <v>25.27</v>
      </c>
      <c r="G45" s="156"/>
      <c r="H45" s="122">
        <v>0</v>
      </c>
      <c r="I45" s="122">
        <v>1450470.8478000001</v>
      </c>
      <c r="J45" s="122">
        <f t="shared" si="1"/>
        <v>36653398.323906004</v>
      </c>
      <c r="K45" s="122">
        <f t="shared" si="2"/>
        <v>36653398.323906004</v>
      </c>
      <c r="L45" s="122">
        <f t="shared" si="3"/>
        <v>0</v>
      </c>
    </row>
    <row r="46" spans="1:12">
      <c r="A46" s="114" t="s">
        <v>803</v>
      </c>
      <c r="B46" s="117" t="s">
        <v>804</v>
      </c>
      <c r="C46" s="116" t="s">
        <v>415</v>
      </c>
      <c r="D46" s="116"/>
      <c r="E46" s="108">
        <v>4.3598331000000003</v>
      </c>
      <c r="F46" s="156">
        <f t="shared" si="5"/>
        <v>4.3598331000000003</v>
      </c>
      <c r="G46" s="156"/>
      <c r="H46" s="122">
        <v>0</v>
      </c>
      <c r="I46" s="122">
        <v>150219973.99520001</v>
      </c>
      <c r="J46" s="122">
        <f t="shared" si="1"/>
        <v>654934014.90541232</v>
      </c>
      <c r="K46" s="122">
        <f t="shared" si="2"/>
        <v>654934014.90541232</v>
      </c>
      <c r="L46" s="122">
        <f t="shared" si="3"/>
        <v>0</v>
      </c>
    </row>
    <row r="47" spans="1:12">
      <c r="A47" s="114">
        <v>23</v>
      </c>
      <c r="B47" s="117" t="s">
        <v>502</v>
      </c>
      <c r="C47" s="116" t="s">
        <v>415</v>
      </c>
      <c r="D47" s="116">
        <v>4.2</v>
      </c>
      <c r="E47" s="108">
        <v>4.3598331000000003</v>
      </c>
      <c r="F47" s="156">
        <f t="shared" si="5"/>
        <v>4.3598331000000003</v>
      </c>
      <c r="G47" s="156"/>
      <c r="H47" s="122">
        <v>5391750.3057997404</v>
      </c>
      <c r="I47" s="122"/>
      <c r="J47" s="122">
        <f t="shared" si="1"/>
        <v>23507131.450160831</v>
      </c>
      <c r="K47" s="122">
        <f t="shared" si="2"/>
        <v>23507131.450160831</v>
      </c>
      <c r="L47" s="122">
        <f t="shared" si="3"/>
        <v>0</v>
      </c>
    </row>
    <row r="48" spans="1:12">
      <c r="A48" s="114">
        <v>24</v>
      </c>
      <c r="B48" s="117" t="s">
        <v>511</v>
      </c>
      <c r="C48" s="116" t="s">
        <v>415</v>
      </c>
      <c r="D48" s="116">
        <v>4.2</v>
      </c>
      <c r="E48" s="108">
        <v>0</v>
      </c>
      <c r="F48" s="156">
        <f t="shared" si="5"/>
        <v>0</v>
      </c>
      <c r="G48" s="156"/>
      <c r="H48" s="122">
        <v>14329752.490581861</v>
      </c>
      <c r="I48" s="122"/>
      <c r="J48" s="122">
        <f t="shared" si="1"/>
        <v>0</v>
      </c>
      <c r="K48" s="122">
        <f t="shared" si="2"/>
        <v>0</v>
      </c>
      <c r="L48" s="122">
        <f t="shared" si="3"/>
        <v>0</v>
      </c>
    </row>
    <row r="49" spans="1:12">
      <c r="A49" s="114" t="s">
        <v>805</v>
      </c>
      <c r="B49" s="117" t="s">
        <v>799</v>
      </c>
      <c r="C49" s="116" t="s">
        <v>415</v>
      </c>
      <c r="D49" s="116"/>
      <c r="E49" s="108">
        <v>4.3598331000000003</v>
      </c>
      <c r="F49" s="156">
        <f t="shared" si="5"/>
        <v>4.3598331000000003</v>
      </c>
      <c r="G49" s="156"/>
      <c r="H49" s="122"/>
      <c r="I49" s="122">
        <v>14726563.098200001</v>
      </c>
      <c r="J49" s="122">
        <f t="shared" si="1"/>
        <v>64205357.244770922</v>
      </c>
      <c r="K49" s="122">
        <f t="shared" si="2"/>
        <v>64205357.244770922</v>
      </c>
      <c r="L49" s="122">
        <f t="shared" si="3"/>
        <v>0</v>
      </c>
    </row>
    <row r="50" spans="1:12">
      <c r="A50" s="114">
        <v>25</v>
      </c>
      <c r="B50" s="117" t="s">
        <v>503</v>
      </c>
      <c r="C50" s="116" t="s">
        <v>149</v>
      </c>
      <c r="D50" s="116">
        <v>25.27</v>
      </c>
      <c r="E50" s="108">
        <v>25.27</v>
      </c>
      <c r="F50" s="156">
        <f t="shared" si="5"/>
        <v>25.27</v>
      </c>
      <c r="G50" s="156"/>
      <c r="H50" s="122">
        <v>1783035.3754178607</v>
      </c>
      <c r="I50" s="122"/>
      <c r="J50" s="122">
        <f t="shared" si="1"/>
        <v>45057303.936809339</v>
      </c>
      <c r="K50" s="122">
        <f t="shared" si="2"/>
        <v>45057303.936809339</v>
      </c>
      <c r="L50" s="122">
        <f t="shared" si="3"/>
        <v>0</v>
      </c>
    </row>
    <row r="51" spans="1:12">
      <c r="A51" s="114">
        <v>26</v>
      </c>
      <c r="B51" s="117" t="s">
        <v>418</v>
      </c>
      <c r="C51" s="116" t="s">
        <v>145</v>
      </c>
      <c r="D51" s="116">
        <v>3.7909999999999999</v>
      </c>
      <c r="E51" s="108">
        <v>3.7909999999999999</v>
      </c>
      <c r="F51" s="156">
        <f t="shared" si="5"/>
        <v>3.7909999999999999</v>
      </c>
      <c r="G51" s="156"/>
      <c r="H51" s="122">
        <v>30928790.531593096</v>
      </c>
      <c r="I51" s="122"/>
      <c r="J51" s="122">
        <f t="shared" si="1"/>
        <v>117251044.90526943</v>
      </c>
      <c r="K51" s="122">
        <f t="shared" si="2"/>
        <v>117251044.90526943</v>
      </c>
      <c r="L51" s="122">
        <f t="shared" si="3"/>
        <v>0</v>
      </c>
    </row>
    <row r="52" spans="1:12">
      <c r="A52" s="114">
        <v>27</v>
      </c>
      <c r="B52" s="117" t="s">
        <v>512</v>
      </c>
      <c r="C52" s="116" t="s">
        <v>144</v>
      </c>
      <c r="D52" s="116">
        <v>207.42400000000001</v>
      </c>
      <c r="E52" s="108">
        <v>207.42400000000001</v>
      </c>
      <c r="F52" s="156">
        <f t="shared" si="5"/>
        <v>207.42400000000001</v>
      </c>
      <c r="G52" s="156"/>
      <c r="H52" s="122">
        <v>1183849.2659037118</v>
      </c>
      <c r="I52" s="122"/>
      <c r="J52" s="122">
        <f t="shared" si="1"/>
        <v>245558750.13081151</v>
      </c>
      <c r="K52" s="122">
        <f t="shared" si="2"/>
        <v>245558750.13081151</v>
      </c>
      <c r="L52" s="122">
        <f t="shared" si="3"/>
        <v>0</v>
      </c>
    </row>
    <row r="53" spans="1:12" s="129" customFormat="1">
      <c r="A53" s="125"/>
      <c r="B53" s="131" t="s">
        <v>513</v>
      </c>
      <c r="C53" s="126"/>
      <c r="D53" s="126"/>
      <c r="E53" s="127"/>
      <c r="F53" s="157"/>
      <c r="G53" s="157"/>
      <c r="H53" s="128"/>
      <c r="I53" s="128"/>
      <c r="J53" s="128"/>
      <c r="K53" s="128"/>
      <c r="L53" s="128"/>
    </row>
    <row r="54" spans="1:12" s="129" customFormat="1">
      <c r="A54" s="125">
        <v>28</v>
      </c>
      <c r="B54" s="130" t="s">
        <v>425</v>
      </c>
      <c r="C54" s="126" t="s">
        <v>144</v>
      </c>
      <c r="D54" s="126">
        <v>194.88</v>
      </c>
      <c r="E54" s="127">
        <v>198.9768</v>
      </c>
      <c r="F54" s="157">
        <f>+E54-G54</f>
        <v>37.856799999999993</v>
      </c>
      <c r="G54" s="157">
        <v>161.12</v>
      </c>
      <c r="H54" s="128">
        <v>842210.9705639804</v>
      </c>
      <c r="I54" s="128"/>
      <c r="J54" s="128">
        <f t="shared" si="1"/>
        <v>167580443.84771502</v>
      </c>
      <c r="K54" s="128">
        <f t="shared" si="2"/>
        <v>31883412.270446487</v>
      </c>
      <c r="L54" s="128">
        <f t="shared" si="3"/>
        <v>135697031.57726854</v>
      </c>
    </row>
    <row r="55" spans="1:12" s="129" customFormat="1">
      <c r="A55" s="125">
        <v>29</v>
      </c>
      <c r="B55" s="130" t="s">
        <v>514</v>
      </c>
      <c r="C55" s="126" t="s">
        <v>144</v>
      </c>
      <c r="D55" s="126">
        <v>766.12199999999996</v>
      </c>
      <c r="E55" s="127">
        <v>780.57459999999992</v>
      </c>
      <c r="F55" s="157">
        <f t="shared" ref="F55:F59" si="6">+E55-G55</f>
        <v>156.23459999999989</v>
      </c>
      <c r="G55" s="157">
        <v>624.34</v>
      </c>
      <c r="H55" s="128">
        <v>1454540.0507134483</v>
      </c>
      <c r="I55" s="128"/>
      <c r="J55" s="128">
        <f t="shared" si="1"/>
        <v>1135377018.2696295</v>
      </c>
      <c r="K55" s="128">
        <f t="shared" si="2"/>
        <v>227249483.00719514</v>
      </c>
      <c r="L55" s="128">
        <f t="shared" si="3"/>
        <v>908127535.26243436</v>
      </c>
    </row>
    <row r="56" spans="1:12" s="129" customFormat="1">
      <c r="A56" s="125">
        <v>30</v>
      </c>
      <c r="B56" s="130" t="s">
        <v>431</v>
      </c>
      <c r="C56" s="126" t="s">
        <v>144</v>
      </c>
      <c r="D56" s="126">
        <v>77.951999999999998</v>
      </c>
      <c r="E56" s="127">
        <v>77.951999999999998</v>
      </c>
      <c r="F56" s="157">
        <f t="shared" si="6"/>
        <v>17.532000000000004</v>
      </c>
      <c r="G56" s="157">
        <v>60.419999999999995</v>
      </c>
      <c r="H56" s="128">
        <v>1136557.5401075627</v>
      </c>
      <c r="I56" s="128"/>
      <c r="J56" s="128">
        <f t="shared" si="1"/>
        <v>88596933.366464719</v>
      </c>
      <c r="K56" s="128">
        <f t="shared" si="2"/>
        <v>19926126.793165792</v>
      </c>
      <c r="L56" s="128">
        <f t="shared" si="3"/>
        <v>68670806.573298931</v>
      </c>
    </row>
    <row r="57" spans="1:12" s="129" customFormat="1">
      <c r="A57" s="125">
        <v>31</v>
      </c>
      <c r="B57" s="130" t="s">
        <v>432</v>
      </c>
      <c r="C57" s="126" t="s">
        <v>146</v>
      </c>
      <c r="D57" s="126">
        <v>20.890999999999998</v>
      </c>
      <c r="E57" s="127">
        <v>21.237600152206074</v>
      </c>
      <c r="F57" s="157">
        <f t="shared" si="6"/>
        <v>3.9574801522060739</v>
      </c>
      <c r="G57" s="157">
        <v>17.28012</v>
      </c>
      <c r="H57" s="128">
        <v>20380624.265171286</v>
      </c>
      <c r="I57" s="128"/>
      <c r="J57" s="128">
        <f t="shared" si="1"/>
        <v>432835548.9960565</v>
      </c>
      <c r="K57" s="128">
        <f t="shared" si="2"/>
        <v>80655916.018984869</v>
      </c>
      <c r="L57" s="128">
        <f t="shared" si="3"/>
        <v>352179632.97707164</v>
      </c>
    </row>
    <row r="58" spans="1:12" s="129" customFormat="1">
      <c r="A58" s="125">
        <v>32</v>
      </c>
      <c r="B58" s="130" t="s">
        <v>433</v>
      </c>
      <c r="C58" s="126" t="s">
        <v>146</v>
      </c>
      <c r="D58" s="126">
        <v>31.792000000000002</v>
      </c>
      <c r="E58" s="127">
        <v>32.386075467360179</v>
      </c>
      <c r="F58" s="157">
        <f t="shared" si="6"/>
        <v>6.103375467360177</v>
      </c>
      <c r="G58" s="157">
        <v>26.282700000000002</v>
      </c>
      <c r="H58" s="128">
        <v>20468933.139186095</v>
      </c>
      <c r="I58" s="128"/>
      <c r="J58" s="128">
        <f t="shared" si="1"/>
        <v>662908413.38203061</v>
      </c>
      <c r="K58" s="128">
        <f t="shared" si="2"/>
        <v>124929584.36474416</v>
      </c>
      <c r="L58" s="128">
        <f t="shared" si="3"/>
        <v>537978829.01728642</v>
      </c>
    </row>
    <row r="59" spans="1:12" s="129" customFormat="1">
      <c r="A59" s="125">
        <v>33</v>
      </c>
      <c r="B59" s="130" t="s">
        <v>434</v>
      </c>
      <c r="C59" s="126" t="s">
        <v>149</v>
      </c>
      <c r="D59" s="126">
        <v>69.67</v>
      </c>
      <c r="E59" s="127">
        <v>70.905339999999995</v>
      </c>
      <c r="F59" s="157">
        <f t="shared" si="6"/>
        <v>13.304939999999995</v>
      </c>
      <c r="G59" s="157">
        <v>57.6004</v>
      </c>
      <c r="H59" s="128">
        <v>5813935.4808997139</v>
      </c>
      <c r="I59" s="128"/>
      <c r="J59" s="128">
        <f t="shared" si="1"/>
        <v>412239072.01125771</v>
      </c>
      <c r="K59" s="128">
        <f t="shared" si="2"/>
        <v>77354062.737241805</v>
      </c>
      <c r="L59" s="128">
        <f t="shared" si="3"/>
        <v>334885009.2740159</v>
      </c>
    </row>
    <row r="60" spans="1:12" s="129" customFormat="1">
      <c r="A60" s="125"/>
      <c r="B60" s="131" t="s">
        <v>435</v>
      </c>
      <c r="C60" s="126"/>
      <c r="D60" s="126"/>
      <c r="E60" s="127"/>
      <c r="F60" s="157"/>
      <c r="G60" s="157"/>
      <c r="H60" s="128"/>
      <c r="I60" s="128"/>
      <c r="J60" s="128"/>
      <c r="K60" s="128"/>
      <c r="L60" s="128"/>
    </row>
    <row r="61" spans="1:12" s="129" customFormat="1">
      <c r="A61" s="125">
        <v>34</v>
      </c>
      <c r="B61" s="130" t="s">
        <v>436</v>
      </c>
      <c r="C61" s="126" t="s">
        <v>144</v>
      </c>
      <c r="D61" s="126">
        <v>319.11599999999999</v>
      </c>
      <c r="E61" s="127">
        <v>324.88439999999997</v>
      </c>
      <c r="F61" s="157">
        <f>+E61-G61</f>
        <v>63.064399999999978</v>
      </c>
      <c r="G61" s="157">
        <v>261.82</v>
      </c>
      <c r="H61" s="128">
        <v>1566516.638610963</v>
      </c>
      <c r="I61" s="128"/>
      <c r="J61" s="128">
        <f t="shared" si="1"/>
        <v>508936818.2251395</v>
      </c>
      <c r="K61" s="128">
        <f t="shared" si="2"/>
        <v>98791431.90401718</v>
      </c>
      <c r="L61" s="128">
        <f t="shared" si="3"/>
        <v>410145386.32112235</v>
      </c>
    </row>
    <row r="62" spans="1:12" s="129" customFormat="1">
      <c r="A62" s="125">
        <v>35</v>
      </c>
      <c r="B62" s="130" t="s">
        <v>437</v>
      </c>
      <c r="C62" s="126" t="s">
        <v>146</v>
      </c>
      <c r="D62" s="126">
        <v>19.204999999999998</v>
      </c>
      <c r="E62" s="127">
        <v>19.745067665070071</v>
      </c>
      <c r="F62" s="157">
        <f t="shared" ref="F62:F65" si="7">+E62-G62</f>
        <v>3.8747476650700712</v>
      </c>
      <c r="G62" s="157">
        <v>15.87032</v>
      </c>
      <c r="H62" s="128">
        <v>23146185.931862913</v>
      </c>
      <c r="I62" s="128"/>
      <c r="J62" s="128">
        <f t="shared" si="1"/>
        <v>457023007.4129262</v>
      </c>
      <c r="K62" s="128">
        <f t="shared" si="2"/>
        <v>89685629.894763559</v>
      </c>
      <c r="L62" s="128">
        <f t="shared" si="3"/>
        <v>367337377.51816261</v>
      </c>
    </row>
    <row r="63" spans="1:12" s="129" customFormat="1">
      <c r="A63" s="125">
        <v>36</v>
      </c>
      <c r="B63" s="130" t="s">
        <v>438</v>
      </c>
      <c r="C63" s="126" t="s">
        <v>146</v>
      </c>
      <c r="D63" s="126">
        <v>15.654999999999999</v>
      </c>
      <c r="E63" s="127">
        <v>15.989633898045181</v>
      </c>
      <c r="F63" s="157">
        <f t="shared" si="7"/>
        <v>3.0396138980451823</v>
      </c>
      <c r="G63" s="157">
        <v>12.950019999999999</v>
      </c>
      <c r="H63" s="128">
        <v>22170915.161945313</v>
      </c>
      <c r="I63" s="128"/>
      <c r="J63" s="128">
        <f t="shared" si="1"/>
        <v>354504816.62412465</v>
      </c>
      <c r="K63" s="128">
        <f t="shared" si="2"/>
        <v>67391021.858629629</v>
      </c>
      <c r="L63" s="128">
        <f t="shared" si="3"/>
        <v>287113794.765495</v>
      </c>
    </row>
    <row r="64" spans="1:12" s="129" customFormat="1">
      <c r="A64" s="125">
        <v>37</v>
      </c>
      <c r="B64" s="130" t="s">
        <v>337</v>
      </c>
      <c r="C64" s="126" t="s">
        <v>149</v>
      </c>
      <c r="D64" s="126">
        <v>64.334999999999994</v>
      </c>
      <c r="E64" s="127">
        <v>64.588367999999988</v>
      </c>
      <c r="F64" s="157">
        <f t="shared" si="7"/>
        <v>11.418767999999986</v>
      </c>
      <c r="G64" s="157">
        <v>53.169600000000003</v>
      </c>
      <c r="H64" s="128">
        <v>8046781.7858471721</v>
      </c>
      <c r="I64" s="128"/>
      <c r="J64" s="128">
        <f t="shared" si="1"/>
        <v>519728503.19999427</v>
      </c>
      <c r="K64" s="128">
        <f t="shared" si="2"/>
        <v>91884334.359214425</v>
      </c>
      <c r="L64" s="128">
        <f t="shared" si="3"/>
        <v>427844168.84077984</v>
      </c>
    </row>
    <row r="65" spans="1:12" s="129" customFormat="1">
      <c r="A65" s="125">
        <v>38</v>
      </c>
      <c r="B65" s="130" t="s">
        <v>439</v>
      </c>
      <c r="C65" s="126" t="s">
        <v>392</v>
      </c>
      <c r="D65" s="126">
        <v>2436</v>
      </c>
      <c r="E65" s="127">
        <v>2482</v>
      </c>
      <c r="F65" s="157">
        <f t="shared" si="7"/>
        <v>468</v>
      </c>
      <c r="G65" s="157">
        <v>2014</v>
      </c>
      <c r="H65" s="128">
        <v>32899.991206105726</v>
      </c>
      <c r="I65" s="128"/>
      <c r="J65" s="128">
        <f t="shared" si="1"/>
        <v>81657778.173554406</v>
      </c>
      <c r="K65" s="128">
        <f t="shared" si="2"/>
        <v>15397195.88445748</v>
      </c>
      <c r="L65" s="128">
        <f t="shared" si="3"/>
        <v>66260582.289096929</v>
      </c>
    </row>
    <row r="66" spans="1:12">
      <c r="A66" s="114"/>
      <c r="B66" s="115" t="s">
        <v>440</v>
      </c>
      <c r="C66" s="116"/>
      <c r="D66" s="116"/>
      <c r="E66" s="108"/>
      <c r="F66" s="156"/>
      <c r="G66" s="156"/>
      <c r="H66" s="122"/>
      <c r="I66" s="122"/>
      <c r="J66" s="122">
        <f t="shared" si="1"/>
        <v>0</v>
      </c>
      <c r="K66" s="122">
        <f t="shared" si="2"/>
        <v>0</v>
      </c>
      <c r="L66" s="122">
        <f t="shared" si="3"/>
        <v>0</v>
      </c>
    </row>
    <row r="67" spans="1:12">
      <c r="A67" s="114">
        <v>39</v>
      </c>
      <c r="B67" s="117" t="s">
        <v>425</v>
      </c>
      <c r="C67" s="116" t="s">
        <v>144</v>
      </c>
      <c r="D67" s="116">
        <v>7.9039999999999999</v>
      </c>
      <c r="E67" s="108">
        <v>7.9039999999999999</v>
      </c>
      <c r="F67" s="156">
        <f>E67/76*10</f>
        <v>1.04</v>
      </c>
      <c r="G67" s="156">
        <f>E67-F67</f>
        <v>6.8639999999999999</v>
      </c>
      <c r="H67" s="122">
        <v>842210.9705639804</v>
      </c>
      <c r="I67" s="122"/>
      <c r="J67" s="122">
        <f t="shared" si="1"/>
        <v>6656835.5113377012</v>
      </c>
      <c r="K67" s="122">
        <f t="shared" si="2"/>
        <v>875899.4093865396</v>
      </c>
      <c r="L67" s="122">
        <f t="shared" si="3"/>
        <v>5780936.1019511614</v>
      </c>
    </row>
    <row r="68" spans="1:12">
      <c r="A68" s="114">
        <v>40</v>
      </c>
      <c r="B68" s="117" t="s">
        <v>441</v>
      </c>
      <c r="C68" s="116" t="s">
        <v>144</v>
      </c>
      <c r="D68" s="116">
        <v>36.024000000000001</v>
      </c>
      <c r="E68" s="108">
        <v>36.024000000000001</v>
      </c>
      <c r="F68" s="156">
        <f t="shared" ref="F68:F77" si="8">E68/76*10</f>
        <v>4.74</v>
      </c>
      <c r="G68" s="156">
        <f t="shared" ref="G68:G77" si="9">E68-F68</f>
        <v>31.283999999999999</v>
      </c>
      <c r="H68" s="122">
        <v>1360436.3459816109</v>
      </c>
      <c r="I68" s="122"/>
      <c r="J68" s="122">
        <f t="shared" si="1"/>
        <v>49008358.927641556</v>
      </c>
      <c r="K68" s="122">
        <f t="shared" si="2"/>
        <v>6448468.2799528362</v>
      </c>
      <c r="L68" s="122">
        <f t="shared" si="3"/>
        <v>42559890.647688717</v>
      </c>
    </row>
    <row r="69" spans="1:12">
      <c r="A69" s="114">
        <v>41</v>
      </c>
      <c r="B69" s="117" t="s">
        <v>442</v>
      </c>
      <c r="C69" s="116" t="s">
        <v>146</v>
      </c>
      <c r="D69" s="116">
        <v>0.79</v>
      </c>
      <c r="E69" s="108">
        <v>0.79</v>
      </c>
      <c r="F69" s="156">
        <f t="shared" si="8"/>
        <v>0.10394736842105264</v>
      </c>
      <c r="G69" s="156">
        <f t="shared" si="9"/>
        <v>0.68605263157894736</v>
      </c>
      <c r="H69" s="122">
        <v>20380624.265171286</v>
      </c>
      <c r="I69" s="122"/>
      <c r="J69" s="122">
        <f t="shared" si="1"/>
        <v>16100693.169485316</v>
      </c>
      <c r="K69" s="122">
        <f t="shared" si="2"/>
        <v>2118512.2591428049</v>
      </c>
      <c r="L69" s="122">
        <f t="shared" si="3"/>
        <v>13982180.910342511</v>
      </c>
    </row>
    <row r="70" spans="1:12">
      <c r="A70" s="114">
        <v>42</v>
      </c>
      <c r="B70" s="117" t="s">
        <v>443</v>
      </c>
      <c r="C70" s="116" t="s">
        <v>146</v>
      </c>
      <c r="D70" s="116">
        <v>1.4570000000000001</v>
      </c>
      <c r="E70" s="108">
        <v>1.4570000000000001</v>
      </c>
      <c r="F70" s="156">
        <f t="shared" si="8"/>
        <v>0.1917105263157895</v>
      </c>
      <c r="G70" s="156">
        <f t="shared" si="9"/>
        <v>1.2652894736842106</v>
      </c>
      <c r="H70" s="122">
        <v>20468933.139186095</v>
      </c>
      <c r="I70" s="122"/>
      <c r="J70" s="122">
        <f t="shared" si="1"/>
        <v>29823235.583794143</v>
      </c>
      <c r="K70" s="122">
        <f t="shared" si="2"/>
        <v>3924109.9452360715</v>
      </c>
      <c r="L70" s="122">
        <f t="shared" si="3"/>
        <v>25899125.638558071</v>
      </c>
    </row>
    <row r="71" spans="1:12">
      <c r="A71" s="114">
        <v>43</v>
      </c>
      <c r="B71" s="117" t="s">
        <v>444</v>
      </c>
      <c r="C71" s="116" t="s">
        <v>149</v>
      </c>
      <c r="D71" s="116">
        <v>3.222</v>
      </c>
      <c r="E71" s="108">
        <v>3.222</v>
      </c>
      <c r="F71" s="156">
        <f t="shared" si="8"/>
        <v>0.42394736842105263</v>
      </c>
      <c r="G71" s="156">
        <f t="shared" si="9"/>
        <v>2.7980526315789476</v>
      </c>
      <c r="H71" s="122">
        <v>5813935.4808997139</v>
      </c>
      <c r="I71" s="122"/>
      <c r="J71" s="122">
        <f t="shared" si="1"/>
        <v>18732500.119458877</v>
      </c>
      <c r="K71" s="122">
        <f t="shared" si="2"/>
        <v>2464802.6472972208</v>
      </c>
      <c r="L71" s="122">
        <f t="shared" si="3"/>
        <v>16267697.472161658</v>
      </c>
    </row>
    <row r="72" spans="1:12">
      <c r="A72" s="114"/>
      <c r="B72" s="115" t="s">
        <v>435</v>
      </c>
      <c r="C72" s="116"/>
      <c r="D72" s="116"/>
      <c r="E72" s="108"/>
      <c r="F72" s="156"/>
      <c r="G72" s="156"/>
      <c r="H72" s="122"/>
      <c r="I72" s="122"/>
      <c r="J72" s="122"/>
      <c r="K72" s="122"/>
      <c r="L72" s="122"/>
    </row>
    <row r="73" spans="1:12">
      <c r="A73" s="114">
        <v>44</v>
      </c>
      <c r="B73" s="117" t="s">
        <v>436</v>
      </c>
      <c r="C73" s="116" t="s">
        <v>144</v>
      </c>
      <c r="D73" s="116">
        <v>9.3480000000000008</v>
      </c>
      <c r="E73" s="108">
        <v>9.3480000000000008</v>
      </c>
      <c r="F73" s="156">
        <f t="shared" si="8"/>
        <v>1.2300000000000002</v>
      </c>
      <c r="G73" s="156">
        <f t="shared" si="9"/>
        <v>8.1180000000000003</v>
      </c>
      <c r="H73" s="122">
        <v>1566516.638610963</v>
      </c>
      <c r="I73" s="122"/>
      <c r="J73" s="122">
        <f t="shared" si="1"/>
        <v>14643797.537735283</v>
      </c>
      <c r="K73" s="122">
        <f t="shared" si="2"/>
        <v>1926815.4654914849</v>
      </c>
      <c r="L73" s="122">
        <f t="shared" si="3"/>
        <v>12716982.072243799</v>
      </c>
    </row>
    <row r="74" spans="1:12">
      <c r="A74" s="114">
        <v>45</v>
      </c>
      <c r="B74" s="117" t="s">
        <v>437</v>
      </c>
      <c r="C74" s="116" t="s">
        <v>146</v>
      </c>
      <c r="D74" s="116">
        <v>0.54500000000000004</v>
      </c>
      <c r="E74" s="108">
        <v>0.54500000000000004</v>
      </c>
      <c r="F74" s="156">
        <f t="shared" si="8"/>
        <v>7.1710526315789475E-2</v>
      </c>
      <c r="G74" s="156">
        <f t="shared" si="9"/>
        <v>0.47328947368421059</v>
      </c>
      <c r="H74" s="122">
        <v>23146185.931862913</v>
      </c>
      <c r="I74" s="122"/>
      <c r="J74" s="122">
        <f t="shared" si="1"/>
        <v>12614671.332865288</v>
      </c>
      <c r="K74" s="122">
        <f t="shared" si="2"/>
        <v>1659825.1753770115</v>
      </c>
      <c r="L74" s="122">
        <f t="shared" si="3"/>
        <v>10954846.157488277</v>
      </c>
    </row>
    <row r="75" spans="1:12">
      <c r="A75" s="114">
        <v>46</v>
      </c>
      <c r="B75" s="117" t="s">
        <v>438</v>
      </c>
      <c r="C75" s="116" t="s">
        <v>146</v>
      </c>
      <c r="D75" s="116">
        <v>0.48799999999999999</v>
      </c>
      <c r="E75" s="108">
        <v>0.48799999999999999</v>
      </c>
      <c r="F75" s="156">
        <f t="shared" si="8"/>
        <v>6.4210526315789468E-2</v>
      </c>
      <c r="G75" s="156">
        <f t="shared" si="9"/>
        <v>0.42378947368421049</v>
      </c>
      <c r="H75" s="122">
        <v>22170915.161945313</v>
      </c>
      <c r="I75" s="122"/>
      <c r="J75" s="122">
        <f t="shared" si="1"/>
        <v>10819406.599029312</v>
      </c>
      <c r="K75" s="122">
        <f t="shared" si="2"/>
        <v>1423606.1314512251</v>
      </c>
      <c r="L75" s="122">
        <f t="shared" si="3"/>
        <v>9395800.467578087</v>
      </c>
    </row>
    <row r="76" spans="1:12">
      <c r="A76" s="114">
        <v>47</v>
      </c>
      <c r="B76" s="117" t="s">
        <v>337</v>
      </c>
      <c r="C76" s="116" t="s">
        <v>149</v>
      </c>
      <c r="D76" s="116">
        <v>2.0070000000000001</v>
      </c>
      <c r="E76" s="108">
        <v>2.0070000000000001</v>
      </c>
      <c r="F76" s="156">
        <f t="shared" si="8"/>
        <v>0.26407894736842108</v>
      </c>
      <c r="G76" s="156">
        <f t="shared" si="9"/>
        <v>1.742921052631579</v>
      </c>
      <c r="H76" s="122">
        <v>8046781.7858471721</v>
      </c>
      <c r="I76" s="122"/>
      <c r="J76" s="122">
        <f t="shared" ref="J76:J139" si="10">+E76*MAX(H76:I76)</f>
        <v>16149891.044195276</v>
      </c>
      <c r="K76" s="122">
        <f t="shared" ref="K76:K139" si="11">+F76*MAX(H76:I76)</f>
        <v>2124985.6637099045</v>
      </c>
      <c r="L76" s="122">
        <f t="shared" ref="L76:L139" si="12">+G76*MAX(H76:I76)</f>
        <v>14024905.380485371</v>
      </c>
    </row>
    <row r="77" spans="1:12">
      <c r="A77" s="114">
        <v>48</v>
      </c>
      <c r="B77" s="117" t="s">
        <v>439</v>
      </c>
      <c r="C77" s="116" t="s">
        <v>392</v>
      </c>
      <c r="D77" s="116">
        <v>76</v>
      </c>
      <c r="E77" s="108">
        <v>76</v>
      </c>
      <c r="F77" s="156">
        <f t="shared" si="8"/>
        <v>10</v>
      </c>
      <c r="G77" s="156">
        <f t="shared" si="9"/>
        <v>66</v>
      </c>
      <c r="H77" s="122">
        <v>32899.991206105726</v>
      </c>
      <c r="I77" s="122"/>
      <c r="J77" s="122">
        <f t="shared" si="10"/>
        <v>2500399.3316640351</v>
      </c>
      <c r="K77" s="122">
        <f t="shared" si="11"/>
        <v>328999.91206105729</v>
      </c>
      <c r="L77" s="122">
        <f t="shared" si="12"/>
        <v>2171399.419602978</v>
      </c>
    </row>
    <row r="78" spans="1:12">
      <c r="A78" s="114"/>
      <c r="B78" s="115" t="s">
        <v>448</v>
      </c>
      <c r="C78" s="116"/>
      <c r="D78" s="116"/>
      <c r="E78" s="108"/>
      <c r="F78" s="156"/>
      <c r="G78" s="156"/>
      <c r="H78" s="122"/>
      <c r="I78" s="122"/>
      <c r="J78" s="122"/>
      <c r="K78" s="122"/>
      <c r="L78" s="122"/>
    </row>
    <row r="79" spans="1:12">
      <c r="A79" s="114">
        <v>49</v>
      </c>
      <c r="B79" s="117" t="s">
        <v>449</v>
      </c>
      <c r="C79" s="116" t="s">
        <v>25</v>
      </c>
      <c r="D79" s="116">
        <v>60</v>
      </c>
      <c r="E79" s="108">
        <v>60</v>
      </c>
      <c r="F79" s="156">
        <f>+E79</f>
        <v>60</v>
      </c>
      <c r="G79" s="156"/>
      <c r="H79" s="122">
        <v>92848.809690623995</v>
      </c>
      <c r="I79" s="122"/>
      <c r="J79" s="122">
        <f t="shared" si="10"/>
        <v>5570928.5814374397</v>
      </c>
      <c r="K79" s="122">
        <f t="shared" si="11"/>
        <v>5570928.5814374397</v>
      </c>
      <c r="L79" s="122">
        <f t="shared" si="12"/>
        <v>0</v>
      </c>
    </row>
    <row r="80" spans="1:12">
      <c r="A80" s="114">
        <v>50</v>
      </c>
      <c r="B80" s="117" t="s">
        <v>450</v>
      </c>
      <c r="C80" s="116" t="s">
        <v>25</v>
      </c>
      <c r="D80" s="116">
        <v>2</v>
      </c>
      <c r="E80" s="108">
        <v>2</v>
      </c>
      <c r="F80" s="156">
        <f t="shared" ref="F80:F83" si="13">+E80</f>
        <v>2</v>
      </c>
      <c r="G80" s="156"/>
      <c r="H80" s="122">
        <v>655989.93173367123</v>
      </c>
      <c r="I80" s="122"/>
      <c r="J80" s="122">
        <f t="shared" si="10"/>
        <v>1311979.8634673425</v>
      </c>
      <c r="K80" s="122">
        <f t="shared" si="11"/>
        <v>1311979.8634673425</v>
      </c>
      <c r="L80" s="122">
        <f t="shared" si="12"/>
        <v>0</v>
      </c>
    </row>
    <row r="81" spans="1:12">
      <c r="A81" s="114">
        <v>51</v>
      </c>
      <c r="B81" s="117" t="s">
        <v>451</v>
      </c>
      <c r="C81" s="116" t="s">
        <v>25</v>
      </c>
      <c r="D81" s="116">
        <v>13</v>
      </c>
      <c r="E81" s="108">
        <v>13</v>
      </c>
      <c r="F81" s="156">
        <f t="shared" si="13"/>
        <v>13</v>
      </c>
      <c r="G81" s="156"/>
      <c r="H81" s="122">
        <v>92848.809690623995</v>
      </c>
      <c r="I81" s="122"/>
      <c r="J81" s="122">
        <f t="shared" si="10"/>
        <v>1207034.5259781119</v>
      </c>
      <c r="K81" s="122">
        <f t="shared" si="11"/>
        <v>1207034.5259781119</v>
      </c>
      <c r="L81" s="122">
        <f t="shared" si="12"/>
        <v>0</v>
      </c>
    </row>
    <row r="82" spans="1:12">
      <c r="A82" s="114">
        <v>52</v>
      </c>
      <c r="B82" s="117" t="s">
        <v>452</v>
      </c>
      <c r="C82" s="116" t="s">
        <v>149</v>
      </c>
      <c r="D82" s="116">
        <v>0.01</v>
      </c>
      <c r="E82" s="108">
        <v>0.01</v>
      </c>
      <c r="F82" s="156">
        <f t="shared" si="13"/>
        <v>0.01</v>
      </c>
      <c r="G82" s="156"/>
      <c r="H82" s="122">
        <v>691968.00698145432</v>
      </c>
      <c r="I82" s="122"/>
      <c r="J82" s="122">
        <f t="shared" si="10"/>
        <v>6919.6800698145435</v>
      </c>
      <c r="K82" s="122">
        <f t="shared" si="11"/>
        <v>6919.6800698145435</v>
      </c>
      <c r="L82" s="122">
        <f t="shared" si="12"/>
        <v>0</v>
      </c>
    </row>
    <row r="83" spans="1:12">
      <c r="A83" s="114">
        <v>53</v>
      </c>
      <c r="B83" s="117" t="s">
        <v>453</v>
      </c>
      <c r="C83" s="116" t="s">
        <v>25</v>
      </c>
      <c r="D83" s="116">
        <v>146</v>
      </c>
      <c r="E83" s="108">
        <v>146</v>
      </c>
      <c r="F83" s="156">
        <f t="shared" si="13"/>
        <v>146</v>
      </c>
      <c r="G83" s="156"/>
      <c r="H83" s="122">
        <v>14416.000145446964</v>
      </c>
      <c r="I83" s="122"/>
      <c r="J83" s="122">
        <f t="shared" si="10"/>
        <v>2104736.0212352569</v>
      </c>
      <c r="K83" s="122">
        <f t="shared" si="11"/>
        <v>2104736.0212352569</v>
      </c>
      <c r="L83" s="122">
        <f t="shared" si="12"/>
        <v>0</v>
      </c>
    </row>
    <row r="84" spans="1:12">
      <c r="A84" s="114"/>
      <c r="B84" s="115" t="s">
        <v>454</v>
      </c>
      <c r="C84" s="116"/>
      <c r="D84" s="116"/>
      <c r="E84" s="108"/>
      <c r="F84" s="156"/>
      <c r="G84" s="156"/>
      <c r="H84" s="122"/>
      <c r="I84" s="122"/>
      <c r="J84" s="122"/>
      <c r="K84" s="122"/>
      <c r="L84" s="122"/>
    </row>
    <row r="85" spans="1:12">
      <c r="A85" s="114">
        <v>54</v>
      </c>
      <c r="B85" s="117" t="s">
        <v>455</v>
      </c>
      <c r="C85" s="116" t="s">
        <v>145</v>
      </c>
      <c r="D85" s="116">
        <v>0.03</v>
      </c>
      <c r="E85" s="108">
        <v>0</v>
      </c>
      <c r="F85" s="156">
        <f>+E85</f>
        <v>0</v>
      </c>
      <c r="G85" s="156"/>
      <c r="H85" s="122">
        <v>2674801.7921658657</v>
      </c>
      <c r="I85" s="122"/>
      <c r="J85" s="122">
        <f t="shared" si="10"/>
        <v>0</v>
      </c>
      <c r="K85" s="122">
        <f t="shared" si="11"/>
        <v>0</v>
      </c>
      <c r="L85" s="122">
        <f t="shared" si="12"/>
        <v>0</v>
      </c>
    </row>
    <row r="86" spans="1:12">
      <c r="A86" s="114">
        <v>55</v>
      </c>
      <c r="B86" s="117" t="s">
        <v>456</v>
      </c>
      <c r="C86" s="116" t="s">
        <v>144</v>
      </c>
      <c r="D86" s="116">
        <v>3.3119999999999998</v>
      </c>
      <c r="E86" s="108">
        <v>3.1739999999999999</v>
      </c>
      <c r="F86" s="156">
        <f t="shared" ref="F86:F91" si="14">+E86</f>
        <v>3.1739999999999999</v>
      </c>
      <c r="G86" s="156"/>
      <c r="H86" s="122">
        <v>1227680.8124220343</v>
      </c>
      <c r="I86" s="122"/>
      <c r="J86" s="122">
        <f t="shared" si="10"/>
        <v>3896658.8986275368</v>
      </c>
      <c r="K86" s="122">
        <f t="shared" si="11"/>
        <v>3896658.8986275368</v>
      </c>
      <c r="L86" s="122">
        <f t="shared" si="12"/>
        <v>0</v>
      </c>
    </row>
    <row r="87" spans="1:12">
      <c r="A87" s="114">
        <v>56</v>
      </c>
      <c r="B87" s="117" t="s">
        <v>457</v>
      </c>
      <c r="C87" s="116" t="s">
        <v>25</v>
      </c>
      <c r="D87" s="116">
        <v>18</v>
      </c>
      <c r="E87" s="108">
        <v>21</v>
      </c>
      <c r="F87" s="156">
        <f t="shared" si="14"/>
        <v>21</v>
      </c>
      <c r="G87" s="156"/>
      <c r="H87" s="122">
        <v>283672.37489557912</v>
      </c>
      <c r="I87" s="122"/>
      <c r="J87" s="122">
        <f t="shared" si="10"/>
        <v>5957119.8728071619</v>
      </c>
      <c r="K87" s="122">
        <f t="shared" si="11"/>
        <v>5957119.8728071619</v>
      </c>
      <c r="L87" s="122">
        <f t="shared" si="12"/>
        <v>0</v>
      </c>
    </row>
    <row r="88" spans="1:12">
      <c r="A88" s="114">
        <v>57</v>
      </c>
      <c r="B88" s="117" t="s">
        <v>458</v>
      </c>
      <c r="C88" s="116" t="s">
        <v>25</v>
      </c>
      <c r="D88" s="116">
        <v>6</v>
      </c>
      <c r="E88" s="108">
        <v>4</v>
      </c>
      <c r="F88" s="156">
        <f t="shared" si="14"/>
        <v>4</v>
      </c>
      <c r="G88" s="156"/>
      <c r="H88" s="122">
        <v>260699.03706379482</v>
      </c>
      <c r="I88" s="122"/>
      <c r="J88" s="122">
        <f t="shared" si="10"/>
        <v>1042796.1482551793</v>
      </c>
      <c r="K88" s="122">
        <f t="shared" si="11"/>
        <v>1042796.1482551793</v>
      </c>
      <c r="L88" s="122">
        <f t="shared" si="12"/>
        <v>0</v>
      </c>
    </row>
    <row r="89" spans="1:12">
      <c r="A89" s="114">
        <v>58</v>
      </c>
      <c r="B89" s="117" t="s">
        <v>459</v>
      </c>
      <c r="C89" s="116" t="s">
        <v>5</v>
      </c>
      <c r="D89" s="116">
        <v>61.2</v>
      </c>
      <c r="E89" s="108">
        <v>57.800000000000004</v>
      </c>
      <c r="F89" s="156">
        <f t="shared" si="14"/>
        <v>57.800000000000004</v>
      </c>
      <c r="G89" s="156"/>
      <c r="H89" s="122">
        <v>232962.56235042296</v>
      </c>
      <c r="I89" s="122"/>
      <c r="J89" s="122">
        <f t="shared" si="10"/>
        <v>13465236.103854448</v>
      </c>
      <c r="K89" s="122">
        <f t="shared" si="11"/>
        <v>13465236.103854448</v>
      </c>
      <c r="L89" s="122">
        <f t="shared" si="12"/>
        <v>0</v>
      </c>
    </row>
    <row r="90" spans="1:12">
      <c r="A90" s="114">
        <v>59</v>
      </c>
      <c r="B90" s="117" t="s">
        <v>460</v>
      </c>
      <c r="C90" s="116" t="s">
        <v>25</v>
      </c>
      <c r="D90" s="116">
        <v>18</v>
      </c>
      <c r="E90" s="108">
        <v>21</v>
      </c>
      <c r="F90" s="156">
        <f t="shared" si="14"/>
        <v>21</v>
      </c>
      <c r="G90" s="156"/>
      <c r="H90" s="122">
        <v>449779.20453794528</v>
      </c>
      <c r="I90" s="122"/>
      <c r="J90" s="122">
        <f t="shared" si="10"/>
        <v>9445363.2952968515</v>
      </c>
      <c r="K90" s="122">
        <f t="shared" si="11"/>
        <v>9445363.2952968515</v>
      </c>
      <c r="L90" s="122">
        <f t="shared" si="12"/>
        <v>0</v>
      </c>
    </row>
    <row r="91" spans="1:12">
      <c r="A91" s="114">
        <v>60</v>
      </c>
      <c r="B91" s="117" t="s">
        <v>461</v>
      </c>
      <c r="C91" s="116" t="s">
        <v>25</v>
      </c>
      <c r="D91" s="116">
        <v>3</v>
      </c>
      <c r="E91" s="108">
        <v>1</v>
      </c>
      <c r="F91" s="156">
        <f t="shared" si="14"/>
        <v>1</v>
      </c>
      <c r="G91" s="156"/>
      <c r="H91" s="122">
        <v>2047072.020653469</v>
      </c>
      <c r="I91" s="122"/>
      <c r="J91" s="122">
        <f t="shared" si="10"/>
        <v>2047072.020653469</v>
      </c>
      <c r="K91" s="122">
        <f t="shared" si="11"/>
        <v>2047072.020653469</v>
      </c>
      <c r="L91" s="122">
        <f t="shared" si="12"/>
        <v>0</v>
      </c>
    </row>
    <row r="92" spans="1:12">
      <c r="A92" s="114"/>
      <c r="B92" s="115" t="s">
        <v>462</v>
      </c>
      <c r="C92" s="116"/>
      <c r="D92" s="116"/>
      <c r="E92" s="108"/>
      <c r="F92" s="156"/>
      <c r="G92" s="156"/>
      <c r="H92" s="122"/>
      <c r="I92" s="122"/>
      <c r="J92" s="122">
        <f t="shared" si="10"/>
        <v>0</v>
      </c>
      <c r="K92" s="122">
        <f t="shared" si="11"/>
        <v>0</v>
      </c>
      <c r="L92" s="122">
        <f t="shared" si="12"/>
        <v>0</v>
      </c>
    </row>
    <row r="93" spans="1:12">
      <c r="A93" s="114">
        <v>61</v>
      </c>
      <c r="B93" s="117" t="s">
        <v>352</v>
      </c>
      <c r="C93" s="116" t="s">
        <v>148</v>
      </c>
      <c r="D93" s="116">
        <v>942.44899999999996</v>
      </c>
      <c r="E93" s="108">
        <v>934.07899999999995</v>
      </c>
      <c r="F93" s="156">
        <f>+E93</f>
        <v>934.07899999999995</v>
      </c>
      <c r="G93" s="156"/>
      <c r="H93" s="122">
        <v>327419.57196561596</v>
      </c>
      <c r="I93" s="122"/>
      <c r="J93" s="122">
        <f t="shared" si="10"/>
        <v>305835746.36207056</v>
      </c>
      <c r="K93" s="122">
        <f t="shared" si="11"/>
        <v>305835746.36207056</v>
      </c>
      <c r="L93" s="122">
        <f t="shared" si="12"/>
        <v>0</v>
      </c>
    </row>
    <row r="94" spans="1:12">
      <c r="A94" s="114">
        <v>62</v>
      </c>
      <c r="B94" s="117" t="s">
        <v>463</v>
      </c>
      <c r="C94" s="116" t="s">
        <v>148</v>
      </c>
      <c r="D94" s="116">
        <v>79.7</v>
      </c>
      <c r="E94" s="108">
        <v>91.8</v>
      </c>
      <c r="F94" s="156">
        <f t="shared" ref="F94:F95" si="15">+E94</f>
        <v>91.8</v>
      </c>
      <c r="G94" s="156"/>
      <c r="H94" s="122">
        <v>654839.14393123193</v>
      </c>
      <c r="I94" s="122"/>
      <c r="J94" s="122">
        <f t="shared" si="10"/>
        <v>60114233.412887089</v>
      </c>
      <c r="K94" s="122">
        <f t="shared" si="11"/>
        <v>60114233.412887089</v>
      </c>
      <c r="L94" s="122">
        <f t="shared" si="12"/>
        <v>0</v>
      </c>
    </row>
    <row r="95" spans="1:12">
      <c r="A95" s="114" t="s">
        <v>806</v>
      </c>
      <c r="B95" s="117" t="s">
        <v>807</v>
      </c>
      <c r="C95" s="116" t="s">
        <v>25</v>
      </c>
      <c r="D95" s="116"/>
      <c r="E95" s="108">
        <v>78</v>
      </c>
      <c r="F95" s="156">
        <f t="shared" si="15"/>
        <v>78</v>
      </c>
      <c r="G95" s="156"/>
      <c r="H95" s="122">
        <v>0</v>
      </c>
      <c r="I95" s="122">
        <v>187378.51680000001</v>
      </c>
      <c r="J95" s="122">
        <f t="shared" si="10"/>
        <v>14615524.310400002</v>
      </c>
      <c r="K95" s="122">
        <f t="shared" si="11"/>
        <v>14615524.310400002</v>
      </c>
      <c r="L95" s="122">
        <f t="shared" si="12"/>
        <v>0</v>
      </c>
    </row>
    <row r="96" spans="1:12">
      <c r="A96" s="114"/>
      <c r="B96" s="115" t="s">
        <v>464</v>
      </c>
      <c r="C96" s="116"/>
      <c r="D96" s="116"/>
      <c r="E96" s="108"/>
      <c r="F96" s="156"/>
      <c r="G96" s="156"/>
      <c r="H96" s="122"/>
      <c r="I96" s="122"/>
      <c r="J96" s="122">
        <f t="shared" si="10"/>
        <v>0</v>
      </c>
      <c r="K96" s="122">
        <f t="shared" si="11"/>
        <v>0</v>
      </c>
      <c r="L96" s="122">
        <f t="shared" si="12"/>
        <v>0</v>
      </c>
    </row>
    <row r="97" spans="1:12">
      <c r="A97" s="114">
        <v>63</v>
      </c>
      <c r="B97" s="117" t="s">
        <v>515</v>
      </c>
      <c r="C97" s="116" t="s">
        <v>145</v>
      </c>
      <c r="D97" s="116">
        <v>7.3999999999999996E-2</v>
      </c>
      <c r="E97" s="108">
        <v>0.13319999999999999</v>
      </c>
      <c r="F97" s="156">
        <f>+E97</f>
        <v>0.13319999999999999</v>
      </c>
      <c r="G97" s="156"/>
      <c r="H97" s="122">
        <v>2674801.7921658657</v>
      </c>
      <c r="I97" s="122"/>
      <c r="J97" s="122">
        <f t="shared" si="10"/>
        <v>356283.59871649329</v>
      </c>
      <c r="K97" s="122">
        <f t="shared" si="11"/>
        <v>356283.59871649329</v>
      </c>
      <c r="L97" s="122">
        <f t="shared" si="12"/>
        <v>0</v>
      </c>
    </row>
    <row r="98" spans="1:12">
      <c r="A98" s="114">
        <v>64</v>
      </c>
      <c r="B98" s="117" t="s">
        <v>516</v>
      </c>
      <c r="C98" s="116" t="s">
        <v>145</v>
      </c>
      <c r="D98" s="116">
        <v>6.0999999999999999E-2</v>
      </c>
      <c r="E98" s="108">
        <v>0.10980000000000001</v>
      </c>
      <c r="F98" s="156">
        <f t="shared" ref="F98:F107" si="16">+E98</f>
        <v>0.10980000000000001</v>
      </c>
      <c r="G98" s="156"/>
      <c r="H98" s="122">
        <v>3387145.2779199071</v>
      </c>
      <c r="I98" s="122"/>
      <c r="J98" s="122">
        <f t="shared" si="10"/>
        <v>371908.55151560582</v>
      </c>
      <c r="K98" s="122">
        <f t="shared" si="11"/>
        <v>371908.55151560582</v>
      </c>
      <c r="L98" s="122">
        <f t="shared" si="12"/>
        <v>0</v>
      </c>
    </row>
    <row r="99" spans="1:12">
      <c r="A99" s="114">
        <v>65</v>
      </c>
      <c r="B99" s="117" t="s">
        <v>465</v>
      </c>
      <c r="C99" s="116" t="s">
        <v>144</v>
      </c>
      <c r="D99" s="116">
        <v>0.32</v>
      </c>
      <c r="E99" s="108">
        <v>0.57600000000000007</v>
      </c>
      <c r="F99" s="156">
        <f t="shared" si="16"/>
        <v>0.57600000000000007</v>
      </c>
      <c r="G99" s="156"/>
      <c r="H99" s="122">
        <v>1136557.5401075627</v>
      </c>
      <c r="I99" s="122"/>
      <c r="J99" s="122">
        <f t="shared" si="10"/>
        <v>654657.14310195623</v>
      </c>
      <c r="K99" s="122">
        <f t="shared" si="11"/>
        <v>654657.14310195623</v>
      </c>
      <c r="L99" s="122">
        <f t="shared" si="12"/>
        <v>0</v>
      </c>
    </row>
    <row r="100" spans="1:12">
      <c r="A100" s="114">
        <v>66</v>
      </c>
      <c r="B100" s="117" t="s">
        <v>466</v>
      </c>
      <c r="C100" s="116" t="s">
        <v>144</v>
      </c>
      <c r="D100" s="116">
        <v>1.3049999999999999</v>
      </c>
      <c r="E100" s="108">
        <v>2.3490000000000002</v>
      </c>
      <c r="F100" s="156">
        <f t="shared" si="16"/>
        <v>2.3490000000000002</v>
      </c>
      <c r="G100" s="156"/>
      <c r="H100" s="122">
        <v>1293675.19750221</v>
      </c>
      <c r="I100" s="122"/>
      <c r="J100" s="122">
        <f t="shared" si="10"/>
        <v>3038843.0389326918</v>
      </c>
      <c r="K100" s="122">
        <f t="shared" si="11"/>
        <v>3038843.0389326918</v>
      </c>
      <c r="L100" s="122">
        <f t="shared" si="12"/>
        <v>0</v>
      </c>
    </row>
    <row r="101" spans="1:12">
      <c r="A101" s="114">
        <v>67</v>
      </c>
      <c r="B101" s="117" t="s">
        <v>467</v>
      </c>
      <c r="C101" s="116" t="s">
        <v>146</v>
      </c>
      <c r="D101" s="116">
        <v>3.0000000000000001E-3</v>
      </c>
      <c r="E101" s="108">
        <v>5.6000000000000008E-3</v>
      </c>
      <c r="F101" s="156">
        <f t="shared" si="16"/>
        <v>5.6000000000000008E-3</v>
      </c>
      <c r="G101" s="156"/>
      <c r="H101" s="122">
        <v>20380624.265171286</v>
      </c>
      <c r="I101" s="122"/>
      <c r="J101" s="122">
        <f t="shared" si="10"/>
        <v>114131.49588495922</v>
      </c>
      <c r="K101" s="122">
        <f t="shared" si="11"/>
        <v>114131.49588495922</v>
      </c>
      <c r="L101" s="122">
        <f t="shared" si="12"/>
        <v>0</v>
      </c>
    </row>
    <row r="102" spans="1:12">
      <c r="A102" s="114">
        <v>68</v>
      </c>
      <c r="B102" s="117" t="s">
        <v>468</v>
      </c>
      <c r="C102" s="116" t="s">
        <v>149</v>
      </c>
      <c r="D102" s="116">
        <v>8.4000000000000005E-2</v>
      </c>
      <c r="E102" s="108">
        <v>0.1512</v>
      </c>
      <c r="F102" s="156">
        <f t="shared" si="16"/>
        <v>0.1512</v>
      </c>
      <c r="G102" s="156"/>
      <c r="H102" s="122">
        <v>5813935.4808997139</v>
      </c>
      <c r="I102" s="122"/>
      <c r="J102" s="122">
        <f t="shared" si="10"/>
        <v>879067.04471203673</v>
      </c>
      <c r="K102" s="122">
        <f t="shared" si="11"/>
        <v>879067.04471203673</v>
      </c>
      <c r="L102" s="122">
        <f t="shared" si="12"/>
        <v>0</v>
      </c>
    </row>
    <row r="103" spans="1:12">
      <c r="A103" s="114">
        <v>69</v>
      </c>
      <c r="B103" s="117" t="s">
        <v>469</v>
      </c>
      <c r="C103" s="116" t="s">
        <v>24</v>
      </c>
      <c r="D103" s="116">
        <v>5</v>
      </c>
      <c r="E103" s="108">
        <v>9</v>
      </c>
      <c r="F103" s="156">
        <f t="shared" si="16"/>
        <v>9</v>
      </c>
      <c r="G103" s="156"/>
      <c r="H103" s="122">
        <v>2018240.0203625748</v>
      </c>
      <c r="I103" s="122"/>
      <c r="J103" s="122">
        <f t="shared" si="10"/>
        <v>18164160.183263175</v>
      </c>
      <c r="K103" s="122">
        <f t="shared" si="11"/>
        <v>18164160.183263175</v>
      </c>
      <c r="L103" s="122">
        <f t="shared" si="12"/>
        <v>0</v>
      </c>
    </row>
    <row r="104" spans="1:12">
      <c r="A104" s="114">
        <v>70</v>
      </c>
      <c r="B104" s="117" t="s">
        <v>470</v>
      </c>
      <c r="C104" s="116" t="s">
        <v>24</v>
      </c>
      <c r="D104" s="116">
        <v>5</v>
      </c>
      <c r="E104" s="108">
        <v>3</v>
      </c>
      <c r="F104" s="156">
        <f t="shared" si="16"/>
        <v>3</v>
      </c>
      <c r="G104" s="156"/>
      <c r="H104" s="122">
        <v>1291673.6130320481</v>
      </c>
      <c r="I104" s="122"/>
      <c r="J104" s="122">
        <f t="shared" si="10"/>
        <v>3875020.8390961443</v>
      </c>
      <c r="K104" s="122">
        <f t="shared" si="11"/>
        <v>3875020.8390961443</v>
      </c>
      <c r="L104" s="122">
        <f t="shared" si="12"/>
        <v>0</v>
      </c>
    </row>
    <row r="105" spans="1:12" ht="46.8">
      <c r="A105" s="114">
        <v>71</v>
      </c>
      <c r="B105" s="117" t="s">
        <v>471</v>
      </c>
      <c r="C105" s="116" t="s">
        <v>24</v>
      </c>
      <c r="D105" s="116">
        <v>5</v>
      </c>
      <c r="E105" s="108">
        <v>9</v>
      </c>
      <c r="F105" s="156">
        <f t="shared" si="16"/>
        <v>9</v>
      </c>
      <c r="G105" s="156"/>
      <c r="H105" s="122">
        <v>9802880.0989039354</v>
      </c>
      <c r="I105" s="122"/>
      <c r="J105" s="122">
        <f t="shared" si="10"/>
        <v>88225920.890135422</v>
      </c>
      <c r="K105" s="122">
        <f t="shared" si="11"/>
        <v>88225920.890135422</v>
      </c>
      <c r="L105" s="122">
        <f t="shared" si="12"/>
        <v>0</v>
      </c>
    </row>
    <row r="106" spans="1:12">
      <c r="A106" s="114">
        <v>72</v>
      </c>
      <c r="B106" s="117" t="s">
        <v>472</v>
      </c>
      <c r="C106" s="116" t="s">
        <v>24</v>
      </c>
      <c r="D106" s="116">
        <v>5</v>
      </c>
      <c r="E106" s="108">
        <v>9</v>
      </c>
      <c r="F106" s="156">
        <f t="shared" si="16"/>
        <v>9</v>
      </c>
      <c r="G106" s="156"/>
      <c r="H106" s="122">
        <v>1210944.0122175447</v>
      </c>
      <c r="I106" s="122"/>
      <c r="J106" s="122">
        <f t="shared" si="10"/>
        <v>10898496.109957902</v>
      </c>
      <c r="K106" s="122">
        <f t="shared" si="11"/>
        <v>10898496.109957902</v>
      </c>
      <c r="L106" s="122">
        <f t="shared" si="12"/>
        <v>0</v>
      </c>
    </row>
    <row r="107" spans="1:12">
      <c r="A107" s="114">
        <v>73</v>
      </c>
      <c r="B107" s="117" t="s">
        <v>473</v>
      </c>
      <c r="C107" s="116" t="s">
        <v>24</v>
      </c>
      <c r="D107" s="116">
        <v>5</v>
      </c>
      <c r="E107" s="108">
        <v>9</v>
      </c>
      <c r="F107" s="156">
        <f t="shared" si="16"/>
        <v>9</v>
      </c>
      <c r="G107" s="156"/>
      <c r="H107" s="122">
        <v>253721.60255986656</v>
      </c>
      <c r="I107" s="122"/>
      <c r="J107" s="122">
        <f t="shared" si="10"/>
        <v>2283494.4230387989</v>
      </c>
      <c r="K107" s="122">
        <f t="shared" si="11"/>
        <v>2283494.4230387989</v>
      </c>
      <c r="L107" s="122">
        <f t="shared" si="12"/>
        <v>0</v>
      </c>
    </row>
    <row r="108" spans="1:12">
      <c r="A108" s="114"/>
      <c r="B108" s="115" t="s">
        <v>808</v>
      </c>
      <c r="C108" s="116"/>
      <c r="D108" s="116"/>
      <c r="E108" s="108"/>
      <c r="F108" s="156"/>
      <c r="G108" s="156"/>
      <c r="H108" s="122">
        <v>0</v>
      </c>
      <c r="I108" s="122"/>
      <c r="J108" s="122">
        <f t="shared" si="10"/>
        <v>0</v>
      </c>
      <c r="K108" s="122">
        <f t="shared" si="11"/>
        <v>0</v>
      </c>
      <c r="L108" s="122">
        <f t="shared" si="12"/>
        <v>0</v>
      </c>
    </row>
    <row r="109" spans="1:12">
      <c r="A109" s="114">
        <v>74</v>
      </c>
      <c r="B109" s="117" t="s">
        <v>419</v>
      </c>
      <c r="C109" s="116" t="s">
        <v>145</v>
      </c>
      <c r="D109" s="116"/>
      <c r="E109" s="108">
        <v>6.2307692307692307E-3</v>
      </c>
      <c r="F109" s="156">
        <f>+E109</f>
        <v>6.2307692307692307E-3</v>
      </c>
      <c r="G109" s="156"/>
      <c r="H109" s="122">
        <v>30775729.176017962</v>
      </c>
      <c r="I109" s="122"/>
      <c r="J109" s="122">
        <f t="shared" si="10"/>
        <v>191756.4664044196</v>
      </c>
      <c r="K109" s="122">
        <f t="shared" si="11"/>
        <v>191756.4664044196</v>
      </c>
      <c r="L109" s="122">
        <f t="shared" si="12"/>
        <v>0</v>
      </c>
    </row>
    <row r="110" spans="1:12">
      <c r="A110" s="114">
        <v>75</v>
      </c>
      <c r="B110" s="117" t="s">
        <v>809</v>
      </c>
      <c r="C110" s="116" t="s">
        <v>810</v>
      </c>
      <c r="D110" s="116"/>
      <c r="E110" s="108">
        <v>3</v>
      </c>
      <c r="F110" s="156">
        <f t="shared" ref="F110:F112" si="17">+E110</f>
        <v>3</v>
      </c>
      <c r="G110" s="156"/>
      <c r="H110" s="122">
        <v>0</v>
      </c>
      <c r="I110" s="122">
        <v>39569000.616800003</v>
      </c>
      <c r="J110" s="122">
        <f t="shared" si="10"/>
        <v>118707001.8504</v>
      </c>
      <c r="K110" s="122">
        <f t="shared" si="11"/>
        <v>118707001.8504</v>
      </c>
      <c r="L110" s="122">
        <f t="shared" si="12"/>
        <v>0</v>
      </c>
    </row>
    <row r="111" spans="1:12">
      <c r="A111" s="114">
        <v>76</v>
      </c>
      <c r="B111" s="117" t="s">
        <v>811</v>
      </c>
      <c r="C111" s="116" t="s">
        <v>25</v>
      </c>
      <c r="D111" s="116"/>
      <c r="E111" s="108">
        <v>6</v>
      </c>
      <c r="F111" s="156">
        <f t="shared" si="17"/>
        <v>6</v>
      </c>
      <c r="G111" s="156"/>
      <c r="H111" s="122">
        <v>0</v>
      </c>
      <c r="I111" s="122">
        <v>1313964.1546</v>
      </c>
      <c r="J111" s="122">
        <f t="shared" si="10"/>
        <v>7883784.9276000001</v>
      </c>
      <c r="K111" s="122">
        <f t="shared" si="11"/>
        <v>7883784.9276000001</v>
      </c>
      <c r="L111" s="122">
        <f t="shared" si="12"/>
        <v>0</v>
      </c>
    </row>
    <row r="112" spans="1:12">
      <c r="A112" s="114">
        <v>77</v>
      </c>
      <c r="B112" s="117" t="s">
        <v>812</v>
      </c>
      <c r="C112" s="116" t="s">
        <v>25</v>
      </c>
      <c r="D112" s="116"/>
      <c r="E112" s="108">
        <v>3</v>
      </c>
      <c r="F112" s="156">
        <f t="shared" si="17"/>
        <v>3</v>
      </c>
      <c r="G112" s="156"/>
      <c r="H112" s="122">
        <v>0</v>
      </c>
      <c r="I112" s="122">
        <v>10166787.2358</v>
      </c>
      <c r="J112" s="122">
        <f t="shared" si="10"/>
        <v>30500361.707400002</v>
      </c>
      <c r="K112" s="122">
        <f t="shared" si="11"/>
        <v>30500361.707400002</v>
      </c>
      <c r="L112" s="122">
        <f t="shared" si="12"/>
        <v>0</v>
      </c>
    </row>
    <row r="113" spans="1:12">
      <c r="A113" s="114"/>
      <c r="B113" s="118" t="s">
        <v>813</v>
      </c>
      <c r="C113" s="116"/>
      <c r="D113" s="116"/>
      <c r="E113" s="108"/>
      <c r="F113" s="156"/>
      <c r="G113" s="156"/>
      <c r="H113" s="122"/>
      <c r="I113" s="122"/>
      <c r="J113" s="122">
        <f t="shared" si="10"/>
        <v>0</v>
      </c>
      <c r="K113" s="122">
        <f t="shared" si="11"/>
        <v>0</v>
      </c>
      <c r="L113" s="122">
        <f t="shared" si="12"/>
        <v>0</v>
      </c>
    </row>
    <row r="114" spans="1:12">
      <c r="A114" s="114">
        <v>77</v>
      </c>
      <c r="B114" s="117" t="s">
        <v>814</v>
      </c>
      <c r="C114" s="116" t="s">
        <v>144</v>
      </c>
      <c r="D114" s="116"/>
      <c r="E114" s="108">
        <v>0.94500000000000028</v>
      </c>
      <c r="F114" s="156">
        <f>+E114</f>
        <v>0.94500000000000028</v>
      </c>
      <c r="G114" s="156"/>
      <c r="H114" s="122">
        <v>0</v>
      </c>
      <c r="I114" s="122">
        <v>1406883.567</v>
      </c>
      <c r="J114" s="122">
        <f t="shared" si="10"/>
        <v>1329504.9708150004</v>
      </c>
      <c r="K114" s="122">
        <f t="shared" si="11"/>
        <v>1329504.9708150004</v>
      </c>
      <c r="L114" s="122">
        <f t="shared" si="12"/>
        <v>0</v>
      </c>
    </row>
    <row r="115" spans="1:12">
      <c r="A115" s="114">
        <v>78</v>
      </c>
      <c r="B115" s="117" t="s">
        <v>815</v>
      </c>
      <c r="C115" s="116" t="s">
        <v>146</v>
      </c>
      <c r="D115" s="116"/>
      <c r="E115" s="108">
        <v>1.5555399999999999E-2</v>
      </c>
      <c r="F115" s="156">
        <f t="shared" ref="F115:F125" si="18">+E115</f>
        <v>1.5555399999999999E-2</v>
      </c>
      <c r="G115" s="156"/>
      <c r="H115" s="122">
        <v>0</v>
      </c>
      <c r="I115" s="122">
        <v>21475172.106400002</v>
      </c>
      <c r="J115" s="122">
        <f t="shared" si="10"/>
        <v>334054.89218389458</v>
      </c>
      <c r="K115" s="122">
        <f t="shared" si="11"/>
        <v>334054.89218389458</v>
      </c>
      <c r="L115" s="122">
        <f t="shared" si="12"/>
        <v>0</v>
      </c>
    </row>
    <row r="116" spans="1:12">
      <c r="A116" s="114">
        <v>79</v>
      </c>
      <c r="B116" s="117" t="s">
        <v>816</v>
      </c>
      <c r="C116" s="116" t="s">
        <v>146</v>
      </c>
      <c r="D116" s="116"/>
      <c r="E116" s="108">
        <v>6.2962199999999996E-2</v>
      </c>
      <c r="F116" s="156">
        <f t="shared" si="18"/>
        <v>6.2962199999999996E-2</v>
      </c>
      <c r="G116" s="156"/>
      <c r="H116" s="122">
        <v>0</v>
      </c>
      <c r="I116" s="122">
        <v>20062538.689600002</v>
      </c>
      <c r="J116" s="122">
        <f t="shared" si="10"/>
        <v>1263181.5734823332</v>
      </c>
      <c r="K116" s="122">
        <f t="shared" si="11"/>
        <v>1263181.5734823332</v>
      </c>
      <c r="L116" s="122">
        <f t="shared" si="12"/>
        <v>0</v>
      </c>
    </row>
    <row r="117" spans="1:12">
      <c r="A117" s="114">
        <v>80</v>
      </c>
      <c r="B117" s="117" t="s">
        <v>817</v>
      </c>
      <c r="C117" s="116" t="s">
        <v>149</v>
      </c>
      <c r="D117" s="116"/>
      <c r="E117" s="108">
        <v>8.4000000000000005E-2</v>
      </c>
      <c r="F117" s="156">
        <f t="shared" si="18"/>
        <v>8.4000000000000005E-2</v>
      </c>
      <c r="G117" s="156"/>
      <c r="H117" s="122">
        <v>0</v>
      </c>
      <c r="I117" s="122">
        <v>9502694.0810000002</v>
      </c>
      <c r="J117" s="122">
        <f t="shared" si="10"/>
        <v>798226.30280400009</v>
      </c>
      <c r="K117" s="122">
        <f t="shared" si="11"/>
        <v>798226.30280400009</v>
      </c>
      <c r="L117" s="122">
        <f t="shared" si="12"/>
        <v>0</v>
      </c>
    </row>
    <row r="118" spans="1:12">
      <c r="A118" s="114">
        <v>81</v>
      </c>
      <c r="B118" s="117" t="s">
        <v>818</v>
      </c>
      <c r="C118" s="116" t="s">
        <v>392</v>
      </c>
      <c r="D118" s="116"/>
      <c r="E118" s="108">
        <v>14</v>
      </c>
      <c r="F118" s="156">
        <f t="shared" si="18"/>
        <v>14</v>
      </c>
      <c r="G118" s="156"/>
      <c r="H118" s="122">
        <v>0</v>
      </c>
      <c r="I118" s="122">
        <v>39907.017</v>
      </c>
      <c r="J118" s="122">
        <f t="shared" si="10"/>
        <v>558698.23800000001</v>
      </c>
      <c r="K118" s="122">
        <f t="shared" si="11"/>
        <v>558698.23800000001</v>
      </c>
      <c r="L118" s="122">
        <f t="shared" si="12"/>
        <v>0</v>
      </c>
    </row>
    <row r="119" spans="1:12">
      <c r="A119" s="114">
        <v>82</v>
      </c>
      <c r="B119" s="117" t="s">
        <v>819</v>
      </c>
      <c r="C119" s="116" t="s">
        <v>820</v>
      </c>
      <c r="D119" s="116"/>
      <c r="E119" s="108">
        <v>25.326000000000001</v>
      </c>
      <c r="F119" s="156">
        <f t="shared" si="18"/>
        <v>25.326000000000001</v>
      </c>
      <c r="G119" s="156"/>
      <c r="H119" s="122">
        <v>0</v>
      </c>
      <c r="I119" s="122">
        <v>50640.8698</v>
      </c>
      <c r="J119" s="122">
        <f t="shared" si="10"/>
        <v>1282530.6685548001</v>
      </c>
      <c r="K119" s="122">
        <f t="shared" si="11"/>
        <v>1282530.6685548001</v>
      </c>
      <c r="L119" s="122">
        <f t="shared" si="12"/>
        <v>0</v>
      </c>
    </row>
    <row r="120" spans="1:12">
      <c r="A120" s="114">
        <v>83</v>
      </c>
      <c r="B120" s="117" t="s">
        <v>821</v>
      </c>
      <c r="C120" s="116" t="s">
        <v>148</v>
      </c>
      <c r="D120" s="116"/>
      <c r="E120" s="108">
        <v>8.3439999999999994</v>
      </c>
      <c r="F120" s="156">
        <f t="shared" si="18"/>
        <v>8.3439999999999994</v>
      </c>
      <c r="G120" s="156"/>
      <c r="H120" s="122">
        <v>0</v>
      </c>
      <c r="I120" s="122">
        <v>299793.0294</v>
      </c>
      <c r="J120" s="122">
        <f t="shared" si="10"/>
        <v>2501473.0373135996</v>
      </c>
      <c r="K120" s="122">
        <f t="shared" si="11"/>
        <v>2501473.0373135996</v>
      </c>
      <c r="L120" s="122">
        <f t="shared" si="12"/>
        <v>0</v>
      </c>
    </row>
    <row r="121" spans="1:12">
      <c r="A121" s="114">
        <v>84</v>
      </c>
      <c r="B121" s="117" t="s">
        <v>822</v>
      </c>
      <c r="C121" s="116" t="s">
        <v>148</v>
      </c>
      <c r="D121" s="116"/>
      <c r="E121" s="108">
        <v>0.2016</v>
      </c>
      <c r="F121" s="156">
        <f t="shared" si="18"/>
        <v>0.2016</v>
      </c>
      <c r="G121" s="156"/>
      <c r="H121" s="122">
        <v>0</v>
      </c>
      <c r="I121" s="122">
        <v>299793.0294</v>
      </c>
      <c r="J121" s="122">
        <f t="shared" si="10"/>
        <v>60438.27472704</v>
      </c>
      <c r="K121" s="122">
        <f t="shared" si="11"/>
        <v>60438.27472704</v>
      </c>
      <c r="L121" s="122">
        <f t="shared" si="12"/>
        <v>0</v>
      </c>
    </row>
    <row r="122" spans="1:12">
      <c r="A122" s="114">
        <v>85</v>
      </c>
      <c r="B122" s="117" t="s">
        <v>823</v>
      </c>
      <c r="C122" s="116" t="s">
        <v>5</v>
      </c>
      <c r="D122" s="116"/>
      <c r="E122" s="108">
        <v>9.5760000000000005</v>
      </c>
      <c r="F122" s="156">
        <f t="shared" si="18"/>
        <v>9.5760000000000005</v>
      </c>
      <c r="G122" s="156"/>
      <c r="H122" s="122">
        <v>0</v>
      </c>
      <c r="I122" s="122">
        <v>60561.885200000004</v>
      </c>
      <c r="J122" s="122">
        <f t="shared" si="10"/>
        <v>579940.6126752001</v>
      </c>
      <c r="K122" s="122">
        <f t="shared" si="11"/>
        <v>579940.6126752001</v>
      </c>
      <c r="L122" s="122">
        <f t="shared" si="12"/>
        <v>0</v>
      </c>
    </row>
    <row r="123" spans="1:12">
      <c r="A123" s="114">
        <v>86</v>
      </c>
      <c r="B123" s="117" t="s">
        <v>824</v>
      </c>
      <c r="C123" s="116" t="s">
        <v>825</v>
      </c>
      <c r="D123" s="116"/>
      <c r="E123" s="108">
        <v>112</v>
      </c>
      <c r="F123" s="156">
        <f t="shared" si="18"/>
        <v>112</v>
      </c>
      <c r="G123" s="156"/>
      <c r="H123" s="122">
        <v>0</v>
      </c>
      <c r="I123" s="122">
        <v>5995.8006000000005</v>
      </c>
      <c r="J123" s="122">
        <f t="shared" si="10"/>
        <v>671529.66720000003</v>
      </c>
      <c r="K123" s="122">
        <f t="shared" si="11"/>
        <v>671529.66720000003</v>
      </c>
      <c r="L123" s="122">
        <f t="shared" si="12"/>
        <v>0</v>
      </c>
    </row>
    <row r="124" spans="1:12">
      <c r="A124" s="114">
        <v>87</v>
      </c>
      <c r="B124" s="117" t="s">
        <v>826</v>
      </c>
      <c r="C124" s="116" t="s">
        <v>825</v>
      </c>
      <c r="D124" s="116"/>
      <c r="E124" s="108">
        <v>56</v>
      </c>
      <c r="F124" s="156">
        <f t="shared" si="18"/>
        <v>56</v>
      </c>
      <c r="G124" s="156"/>
      <c r="H124" s="122">
        <v>0</v>
      </c>
      <c r="I124" s="122">
        <v>15220.9552</v>
      </c>
      <c r="J124" s="122">
        <f t="shared" si="10"/>
        <v>852373.49120000005</v>
      </c>
      <c r="K124" s="122">
        <f t="shared" si="11"/>
        <v>852373.49120000005</v>
      </c>
      <c r="L124" s="122">
        <f t="shared" si="12"/>
        <v>0</v>
      </c>
    </row>
    <row r="125" spans="1:12">
      <c r="A125" s="114">
        <v>88</v>
      </c>
      <c r="B125" s="117" t="s">
        <v>827</v>
      </c>
      <c r="C125" s="116" t="s">
        <v>148</v>
      </c>
      <c r="D125" s="116"/>
      <c r="E125" s="108">
        <v>1.9600000000000002</v>
      </c>
      <c r="F125" s="156">
        <f t="shared" si="18"/>
        <v>1.9600000000000002</v>
      </c>
      <c r="G125" s="156"/>
      <c r="H125" s="122">
        <v>0</v>
      </c>
      <c r="I125" s="122">
        <v>8071.3854000000001</v>
      </c>
      <c r="J125" s="122">
        <f t="shared" si="10"/>
        <v>15819.915384000002</v>
      </c>
      <c r="K125" s="122">
        <f t="shared" si="11"/>
        <v>15819.915384000002</v>
      </c>
      <c r="L125" s="122">
        <f t="shared" si="12"/>
        <v>0</v>
      </c>
    </row>
    <row r="126" spans="1:12">
      <c r="A126" s="114"/>
      <c r="B126" s="118" t="s">
        <v>828</v>
      </c>
      <c r="C126" s="116"/>
      <c r="D126" s="116"/>
      <c r="E126" s="108"/>
      <c r="F126" s="156"/>
      <c r="G126" s="156"/>
      <c r="H126" s="122"/>
      <c r="I126" s="122"/>
      <c r="J126" s="122">
        <f t="shared" si="10"/>
        <v>0</v>
      </c>
      <c r="K126" s="122">
        <f t="shared" si="11"/>
        <v>0</v>
      </c>
      <c r="L126" s="122">
        <f t="shared" si="12"/>
        <v>0</v>
      </c>
    </row>
    <row r="127" spans="1:12">
      <c r="A127" s="114">
        <v>89</v>
      </c>
      <c r="B127" s="117" t="s">
        <v>829</v>
      </c>
      <c r="C127" s="116" t="s">
        <v>144</v>
      </c>
      <c r="D127" s="116"/>
      <c r="E127" s="108">
        <v>0.98</v>
      </c>
      <c r="F127" s="156">
        <f>+E127</f>
        <v>0.98</v>
      </c>
      <c r="G127" s="156"/>
      <c r="H127" s="122">
        <v>0</v>
      </c>
      <c r="I127" s="122">
        <v>1333638.219</v>
      </c>
      <c r="J127" s="122">
        <f t="shared" si="10"/>
        <v>1306965.45462</v>
      </c>
      <c r="K127" s="122">
        <f t="shared" si="11"/>
        <v>1306965.45462</v>
      </c>
      <c r="L127" s="122">
        <f t="shared" si="12"/>
        <v>0</v>
      </c>
    </row>
    <row r="128" spans="1:12">
      <c r="A128" s="114">
        <v>90</v>
      </c>
      <c r="B128" s="117" t="s">
        <v>830</v>
      </c>
      <c r="C128" s="116" t="s">
        <v>148</v>
      </c>
      <c r="D128" s="116"/>
      <c r="E128" s="108">
        <v>69.22</v>
      </c>
      <c r="F128" s="156">
        <f t="shared" ref="F128:F139" si="19">+E128</f>
        <v>69.22</v>
      </c>
      <c r="G128" s="156"/>
      <c r="H128" s="122">
        <v>0</v>
      </c>
      <c r="I128" s="122">
        <v>28366.3256</v>
      </c>
      <c r="J128" s="122">
        <f t="shared" si="10"/>
        <v>1963517.058032</v>
      </c>
      <c r="K128" s="122">
        <f t="shared" si="11"/>
        <v>1963517.058032</v>
      </c>
      <c r="L128" s="122">
        <f t="shared" si="12"/>
        <v>0</v>
      </c>
    </row>
    <row r="129" spans="1:12">
      <c r="A129" s="114">
        <v>91</v>
      </c>
      <c r="B129" s="117" t="s">
        <v>831</v>
      </c>
      <c r="C129" s="116" t="s">
        <v>5</v>
      </c>
      <c r="D129" s="116"/>
      <c r="E129" s="108">
        <v>122.4</v>
      </c>
      <c r="F129" s="156">
        <f t="shared" si="19"/>
        <v>122.4</v>
      </c>
      <c r="G129" s="156"/>
      <c r="H129" s="122">
        <v>0</v>
      </c>
      <c r="I129" s="122">
        <v>26404.718000000001</v>
      </c>
      <c r="J129" s="122">
        <f t="shared" si="10"/>
        <v>3231937.4832000001</v>
      </c>
      <c r="K129" s="122">
        <f t="shared" si="11"/>
        <v>3231937.4832000001</v>
      </c>
      <c r="L129" s="122">
        <f t="shared" si="12"/>
        <v>0</v>
      </c>
    </row>
    <row r="130" spans="1:12">
      <c r="A130" s="114">
        <v>92</v>
      </c>
      <c r="B130" s="117" t="s">
        <v>832</v>
      </c>
      <c r="C130" s="116" t="s">
        <v>5</v>
      </c>
      <c r="D130" s="116"/>
      <c r="E130" s="108">
        <v>600</v>
      </c>
      <c r="F130" s="156">
        <f t="shared" si="19"/>
        <v>600</v>
      </c>
      <c r="G130" s="156"/>
      <c r="H130" s="122">
        <v>0</v>
      </c>
      <c r="I130" s="122">
        <v>1152.7694000000001</v>
      </c>
      <c r="J130" s="122">
        <f t="shared" si="10"/>
        <v>691661.64000000013</v>
      </c>
      <c r="K130" s="122">
        <f t="shared" si="11"/>
        <v>691661.64000000013</v>
      </c>
      <c r="L130" s="122">
        <f t="shared" si="12"/>
        <v>0</v>
      </c>
    </row>
    <row r="131" spans="1:12">
      <c r="A131" s="114">
        <v>93</v>
      </c>
      <c r="B131" s="117" t="s">
        <v>833</v>
      </c>
      <c r="C131" s="116" t="s">
        <v>318</v>
      </c>
      <c r="D131" s="116"/>
      <c r="E131" s="108">
        <v>90</v>
      </c>
      <c r="F131" s="156">
        <f t="shared" si="19"/>
        <v>90</v>
      </c>
      <c r="G131" s="156"/>
      <c r="H131" s="122">
        <v>0</v>
      </c>
      <c r="I131" s="122">
        <v>265716.84600000002</v>
      </c>
      <c r="J131" s="122">
        <f t="shared" si="10"/>
        <v>23914516.140000001</v>
      </c>
      <c r="K131" s="122">
        <f t="shared" si="11"/>
        <v>23914516.140000001</v>
      </c>
      <c r="L131" s="122">
        <f t="shared" si="12"/>
        <v>0</v>
      </c>
    </row>
    <row r="132" spans="1:12">
      <c r="A132" s="114">
        <v>94</v>
      </c>
      <c r="B132" s="117" t="s">
        <v>834</v>
      </c>
      <c r="C132" s="116" t="s">
        <v>25</v>
      </c>
      <c r="D132" s="116"/>
      <c r="E132" s="108">
        <v>6</v>
      </c>
      <c r="F132" s="156">
        <f t="shared" si="19"/>
        <v>6</v>
      </c>
      <c r="G132" s="156"/>
      <c r="H132" s="122">
        <v>0</v>
      </c>
      <c r="I132" s="122">
        <v>127988.39720000001</v>
      </c>
      <c r="J132" s="122">
        <f t="shared" si="10"/>
        <v>767930.38320000004</v>
      </c>
      <c r="K132" s="122">
        <f t="shared" si="11"/>
        <v>767930.38320000004</v>
      </c>
      <c r="L132" s="122">
        <f t="shared" si="12"/>
        <v>0</v>
      </c>
    </row>
    <row r="133" spans="1:12">
      <c r="A133" s="114">
        <v>95</v>
      </c>
      <c r="B133" s="117" t="s">
        <v>835</v>
      </c>
      <c r="C133" s="116" t="s">
        <v>25</v>
      </c>
      <c r="D133" s="116"/>
      <c r="E133" s="108">
        <v>2</v>
      </c>
      <c r="F133" s="156">
        <f t="shared" si="19"/>
        <v>2</v>
      </c>
      <c r="G133" s="156"/>
      <c r="H133" s="122">
        <v>0</v>
      </c>
      <c r="I133" s="122">
        <v>536167.745</v>
      </c>
      <c r="J133" s="122">
        <f t="shared" si="10"/>
        <v>1072335.49</v>
      </c>
      <c r="K133" s="122">
        <f t="shared" si="11"/>
        <v>1072335.49</v>
      </c>
      <c r="L133" s="122">
        <f t="shared" si="12"/>
        <v>0</v>
      </c>
    </row>
    <row r="134" spans="1:12" ht="31.2">
      <c r="A134" s="114">
        <v>96</v>
      </c>
      <c r="B134" s="117" t="s">
        <v>836</v>
      </c>
      <c r="C134" s="116" t="s">
        <v>25</v>
      </c>
      <c r="D134" s="116"/>
      <c r="E134" s="108">
        <v>2</v>
      </c>
      <c r="F134" s="156">
        <f t="shared" si="19"/>
        <v>2</v>
      </c>
      <c r="G134" s="156"/>
      <c r="H134" s="122">
        <v>0</v>
      </c>
      <c r="I134" s="122">
        <v>536167.745</v>
      </c>
      <c r="J134" s="122">
        <f t="shared" si="10"/>
        <v>1072335.49</v>
      </c>
      <c r="K134" s="122">
        <f t="shared" si="11"/>
        <v>1072335.49</v>
      </c>
      <c r="L134" s="122">
        <f t="shared" si="12"/>
        <v>0</v>
      </c>
    </row>
    <row r="135" spans="1:12" ht="31.2">
      <c r="A135" s="114">
        <v>97</v>
      </c>
      <c r="B135" s="117" t="s">
        <v>837</v>
      </c>
      <c r="C135" s="116" t="s">
        <v>25</v>
      </c>
      <c r="D135" s="116"/>
      <c r="E135" s="108">
        <v>4</v>
      </c>
      <c r="F135" s="156">
        <f t="shared" si="19"/>
        <v>4</v>
      </c>
      <c r="G135" s="156"/>
      <c r="H135" s="122">
        <v>0</v>
      </c>
      <c r="I135" s="122">
        <v>536167.745</v>
      </c>
      <c r="J135" s="122">
        <f t="shared" si="10"/>
        <v>2144670.98</v>
      </c>
      <c r="K135" s="122">
        <f t="shared" si="11"/>
        <v>2144670.98</v>
      </c>
      <c r="L135" s="122">
        <f t="shared" si="12"/>
        <v>0</v>
      </c>
    </row>
    <row r="136" spans="1:12">
      <c r="A136" s="114">
        <v>98</v>
      </c>
      <c r="B136" s="117" t="s">
        <v>838</v>
      </c>
      <c r="C136" s="116" t="s">
        <v>5</v>
      </c>
      <c r="D136" s="116"/>
      <c r="E136" s="108">
        <v>4.8</v>
      </c>
      <c r="F136" s="156">
        <f t="shared" si="19"/>
        <v>4.8</v>
      </c>
      <c r="G136" s="156"/>
      <c r="H136" s="122">
        <v>0</v>
      </c>
      <c r="I136" s="122">
        <v>57768.444000000003</v>
      </c>
      <c r="J136" s="122">
        <f t="shared" si="10"/>
        <v>277288.53120000003</v>
      </c>
      <c r="K136" s="122">
        <f t="shared" si="11"/>
        <v>277288.53120000003</v>
      </c>
      <c r="L136" s="122">
        <f t="shared" si="12"/>
        <v>0</v>
      </c>
    </row>
    <row r="137" spans="1:12">
      <c r="A137" s="114">
        <v>99</v>
      </c>
      <c r="B137" s="117" t="s">
        <v>839</v>
      </c>
      <c r="C137" s="116" t="s">
        <v>25</v>
      </c>
      <c r="D137" s="116"/>
      <c r="E137" s="108">
        <v>2</v>
      </c>
      <c r="F137" s="156">
        <f t="shared" si="19"/>
        <v>2</v>
      </c>
      <c r="G137" s="156"/>
      <c r="H137" s="122">
        <v>0</v>
      </c>
      <c r="I137" s="122">
        <v>536167.745</v>
      </c>
      <c r="J137" s="122">
        <f t="shared" si="10"/>
        <v>1072335.49</v>
      </c>
      <c r="K137" s="122">
        <f t="shared" si="11"/>
        <v>1072335.49</v>
      </c>
      <c r="L137" s="122">
        <f t="shared" si="12"/>
        <v>0</v>
      </c>
    </row>
    <row r="138" spans="1:12">
      <c r="A138" s="114">
        <v>100</v>
      </c>
      <c r="B138" s="117" t="s">
        <v>840</v>
      </c>
      <c r="C138" s="116" t="s">
        <v>25</v>
      </c>
      <c r="D138" s="116"/>
      <c r="E138" s="108">
        <v>2</v>
      </c>
      <c r="F138" s="156">
        <f t="shared" si="19"/>
        <v>2</v>
      </c>
      <c r="G138" s="156"/>
      <c r="H138" s="122">
        <v>0</v>
      </c>
      <c r="I138" s="122">
        <v>13836.2322</v>
      </c>
      <c r="J138" s="122">
        <f t="shared" si="10"/>
        <v>27672.464400000001</v>
      </c>
      <c r="K138" s="122">
        <f t="shared" si="11"/>
        <v>27672.464400000001</v>
      </c>
      <c r="L138" s="122">
        <f t="shared" si="12"/>
        <v>0</v>
      </c>
    </row>
    <row r="139" spans="1:12">
      <c r="A139" s="114">
        <v>101</v>
      </c>
      <c r="B139" s="117" t="s">
        <v>841</v>
      </c>
      <c r="C139" s="116" t="s">
        <v>25</v>
      </c>
      <c r="D139" s="116"/>
      <c r="E139" s="108">
        <v>2</v>
      </c>
      <c r="F139" s="156">
        <f t="shared" si="19"/>
        <v>2</v>
      </c>
      <c r="G139" s="156"/>
      <c r="H139" s="122">
        <v>0</v>
      </c>
      <c r="I139" s="122">
        <v>11530.6934</v>
      </c>
      <c r="J139" s="122">
        <f t="shared" si="10"/>
        <v>23061.3868</v>
      </c>
      <c r="K139" s="122">
        <f t="shared" si="11"/>
        <v>23061.3868</v>
      </c>
      <c r="L139" s="122">
        <f t="shared" si="12"/>
        <v>0</v>
      </c>
    </row>
    <row r="140" spans="1:12">
      <c r="A140" s="111"/>
      <c r="B140" s="118" t="s">
        <v>477</v>
      </c>
      <c r="C140" s="111"/>
      <c r="D140" s="111"/>
      <c r="E140" s="108"/>
      <c r="F140" s="156"/>
      <c r="G140" s="156"/>
      <c r="H140" s="122"/>
      <c r="I140" s="122"/>
      <c r="J140" s="122">
        <f t="shared" ref="J140:J203" si="20">+E140*MAX(H140:I140)</f>
        <v>0</v>
      </c>
      <c r="K140" s="122">
        <f t="shared" ref="K140:K203" si="21">+F140*MAX(H140:I140)</f>
        <v>0</v>
      </c>
      <c r="L140" s="122">
        <f t="shared" ref="L140:L203" si="22">+G140*MAX(H140:I140)</f>
        <v>0</v>
      </c>
    </row>
    <row r="141" spans="1:12">
      <c r="A141" s="114"/>
      <c r="B141" s="117" t="s">
        <v>478</v>
      </c>
      <c r="C141" s="116"/>
      <c r="D141" s="116"/>
      <c r="E141" s="108"/>
      <c r="F141" s="156"/>
      <c r="G141" s="156"/>
      <c r="H141" s="122">
        <v>0</v>
      </c>
      <c r="I141" s="122"/>
      <c r="J141" s="122">
        <f t="shared" si="20"/>
        <v>0</v>
      </c>
      <c r="K141" s="122">
        <f t="shared" si="21"/>
        <v>0</v>
      </c>
      <c r="L141" s="122">
        <f t="shared" si="22"/>
        <v>0</v>
      </c>
    </row>
    <row r="142" spans="1:12">
      <c r="A142" s="114">
        <v>1</v>
      </c>
      <c r="B142" s="117" t="s">
        <v>336</v>
      </c>
      <c r="C142" s="116" t="s">
        <v>144</v>
      </c>
      <c r="D142" s="116">
        <v>17.079999999999998</v>
      </c>
      <c r="E142" s="108">
        <v>17.079999999999998</v>
      </c>
      <c r="F142" s="156"/>
      <c r="G142" s="156">
        <f>+E142</f>
        <v>17.079999999999998</v>
      </c>
      <c r="H142" s="122">
        <v>151140.34383927731</v>
      </c>
      <c r="I142" s="122"/>
      <c r="J142" s="122">
        <f t="shared" si="20"/>
        <v>2581477.0727748564</v>
      </c>
      <c r="K142" s="122">
        <f t="shared" si="21"/>
        <v>0</v>
      </c>
      <c r="L142" s="122">
        <f t="shared" si="22"/>
        <v>2581477.0727748564</v>
      </c>
    </row>
    <row r="143" spans="1:12">
      <c r="A143" s="114">
        <v>2</v>
      </c>
      <c r="B143" s="117" t="s">
        <v>479</v>
      </c>
      <c r="C143" s="116" t="s">
        <v>144</v>
      </c>
      <c r="D143" s="116">
        <v>24.803000000000001</v>
      </c>
      <c r="E143" s="108">
        <v>24.803000000000001</v>
      </c>
      <c r="F143" s="156"/>
      <c r="G143" s="156">
        <f t="shared" ref="G143:G148" si="23">+E143</f>
        <v>24.803000000000001</v>
      </c>
      <c r="H143" s="122">
        <v>248494.77608793168</v>
      </c>
      <c r="I143" s="122"/>
      <c r="J143" s="122">
        <f t="shared" si="20"/>
        <v>6163415.9313089699</v>
      </c>
      <c r="K143" s="122">
        <f t="shared" si="21"/>
        <v>0</v>
      </c>
      <c r="L143" s="122">
        <f t="shared" si="22"/>
        <v>6163415.9313089699</v>
      </c>
    </row>
    <row r="144" spans="1:12">
      <c r="A144" s="114">
        <v>3</v>
      </c>
      <c r="B144" s="117" t="s">
        <v>480</v>
      </c>
      <c r="C144" s="116" t="s">
        <v>145</v>
      </c>
      <c r="D144" s="116">
        <v>8.2279999999999998</v>
      </c>
      <c r="E144" s="108">
        <v>8.2279999999999998</v>
      </c>
      <c r="F144" s="156"/>
      <c r="G144" s="156">
        <f t="shared" si="23"/>
        <v>8.2279999999999998</v>
      </c>
      <c r="H144" s="122">
        <v>2214350.953738424</v>
      </c>
      <c r="I144" s="122"/>
      <c r="J144" s="122">
        <f t="shared" si="20"/>
        <v>18219679.647359751</v>
      </c>
      <c r="K144" s="122">
        <f t="shared" si="21"/>
        <v>0</v>
      </c>
      <c r="L144" s="122">
        <f t="shared" si="22"/>
        <v>18219679.647359751</v>
      </c>
    </row>
    <row r="145" spans="1:12">
      <c r="A145" s="114">
        <v>4</v>
      </c>
      <c r="B145" s="117" t="s">
        <v>425</v>
      </c>
      <c r="C145" s="116" t="s">
        <v>144</v>
      </c>
      <c r="D145" s="116">
        <v>28.16</v>
      </c>
      <c r="E145" s="108">
        <v>28.16</v>
      </c>
      <c r="F145" s="156"/>
      <c r="G145" s="156">
        <f t="shared" si="23"/>
        <v>28.16</v>
      </c>
      <c r="H145" s="122">
        <v>842210.9705639804</v>
      </c>
      <c r="I145" s="122"/>
      <c r="J145" s="122">
        <f t="shared" si="20"/>
        <v>23716660.93108169</v>
      </c>
      <c r="K145" s="122">
        <f t="shared" si="21"/>
        <v>0</v>
      </c>
      <c r="L145" s="122">
        <f t="shared" si="22"/>
        <v>23716660.93108169</v>
      </c>
    </row>
    <row r="146" spans="1:12">
      <c r="A146" s="114">
        <v>5</v>
      </c>
      <c r="B146" s="117" t="s">
        <v>482</v>
      </c>
      <c r="C146" s="116" t="s">
        <v>144</v>
      </c>
      <c r="D146" s="116">
        <v>72.5</v>
      </c>
      <c r="E146" s="108">
        <v>72.5</v>
      </c>
      <c r="F146" s="156"/>
      <c r="G146" s="156">
        <f t="shared" si="23"/>
        <v>72.5</v>
      </c>
      <c r="H146" s="122">
        <v>1293675.19750221</v>
      </c>
      <c r="I146" s="122"/>
      <c r="J146" s="122">
        <f t="shared" si="20"/>
        <v>93791451.818910226</v>
      </c>
      <c r="K146" s="122">
        <f t="shared" si="21"/>
        <v>0</v>
      </c>
      <c r="L146" s="122">
        <f t="shared" si="22"/>
        <v>93791451.818910226</v>
      </c>
    </row>
    <row r="147" spans="1:12" ht="31.2">
      <c r="A147" s="114">
        <v>6</v>
      </c>
      <c r="B147" s="117" t="s">
        <v>483</v>
      </c>
      <c r="C147" s="116" t="s">
        <v>144</v>
      </c>
      <c r="D147" s="116">
        <v>51.41</v>
      </c>
      <c r="E147" s="108">
        <v>51.41</v>
      </c>
      <c r="F147" s="156"/>
      <c r="G147" s="156">
        <f t="shared" si="23"/>
        <v>51.41</v>
      </c>
      <c r="H147" s="122">
        <v>1395510.0865053392</v>
      </c>
      <c r="I147" s="122"/>
      <c r="J147" s="122">
        <f t="shared" si="20"/>
        <v>71743173.547239482</v>
      </c>
      <c r="K147" s="122">
        <f t="shared" si="21"/>
        <v>0</v>
      </c>
      <c r="L147" s="122">
        <f t="shared" si="22"/>
        <v>71743173.547239482</v>
      </c>
    </row>
    <row r="148" spans="1:12">
      <c r="A148" s="114">
        <v>7</v>
      </c>
      <c r="B148" s="117" t="s">
        <v>468</v>
      </c>
      <c r="C148" s="116" t="s">
        <v>149</v>
      </c>
      <c r="D148" s="116">
        <v>1.569</v>
      </c>
      <c r="E148" s="108">
        <v>1.569</v>
      </c>
      <c r="F148" s="156"/>
      <c r="G148" s="156">
        <f t="shared" si="23"/>
        <v>1.569</v>
      </c>
      <c r="H148" s="122">
        <v>5813935.4808997139</v>
      </c>
      <c r="I148" s="122"/>
      <c r="J148" s="122">
        <f t="shared" si="20"/>
        <v>9122064.7695316505</v>
      </c>
      <c r="K148" s="122">
        <f t="shared" si="21"/>
        <v>0</v>
      </c>
      <c r="L148" s="122">
        <f t="shared" si="22"/>
        <v>9122064.7695316505</v>
      </c>
    </row>
    <row r="149" spans="1:12">
      <c r="A149" s="114"/>
      <c r="B149" s="117" t="s">
        <v>484</v>
      </c>
      <c r="C149" s="116"/>
      <c r="D149" s="116"/>
      <c r="E149" s="108"/>
      <c r="F149" s="156"/>
      <c r="G149" s="156"/>
      <c r="H149" s="122">
        <v>0</v>
      </c>
      <c r="I149" s="122"/>
      <c r="J149" s="122">
        <f t="shared" si="20"/>
        <v>0</v>
      </c>
      <c r="K149" s="122">
        <f t="shared" si="21"/>
        <v>0</v>
      </c>
      <c r="L149" s="122">
        <f t="shared" si="22"/>
        <v>0</v>
      </c>
    </row>
    <row r="150" spans="1:12" ht="31.2">
      <c r="A150" s="114">
        <v>8</v>
      </c>
      <c r="B150" s="117" t="s">
        <v>517</v>
      </c>
      <c r="C150" s="116" t="s">
        <v>144</v>
      </c>
      <c r="D150" s="116">
        <v>100.23399999999999</v>
      </c>
      <c r="E150" s="108">
        <v>100.23399999999999</v>
      </c>
      <c r="F150" s="156"/>
      <c r="G150" s="156">
        <f>+E150</f>
        <v>100.23399999999999</v>
      </c>
      <c r="H150" s="122">
        <v>1640478.8155207678</v>
      </c>
      <c r="I150" s="122"/>
      <c r="J150" s="122">
        <f t="shared" si="20"/>
        <v>164431753.59490862</v>
      </c>
      <c r="K150" s="122">
        <f t="shared" si="21"/>
        <v>0</v>
      </c>
      <c r="L150" s="122">
        <f t="shared" si="22"/>
        <v>164431753.59490862</v>
      </c>
    </row>
    <row r="151" spans="1:12">
      <c r="A151" s="114">
        <v>9</v>
      </c>
      <c r="B151" s="117" t="s">
        <v>486</v>
      </c>
      <c r="C151" s="116" t="s">
        <v>144</v>
      </c>
      <c r="D151" s="116">
        <v>14.4</v>
      </c>
      <c r="E151" s="108">
        <v>14.4</v>
      </c>
      <c r="F151" s="156"/>
      <c r="G151" s="156">
        <f t="shared" ref="G151:G159" si="24">+E151</f>
        <v>14.4</v>
      </c>
      <c r="H151" s="122">
        <v>1874320.6727456823</v>
      </c>
      <c r="I151" s="122"/>
      <c r="J151" s="122">
        <f t="shared" si="20"/>
        <v>26990217.687537827</v>
      </c>
      <c r="K151" s="122">
        <f t="shared" si="21"/>
        <v>0</v>
      </c>
      <c r="L151" s="122">
        <f t="shared" si="22"/>
        <v>26990217.687537827</v>
      </c>
    </row>
    <row r="152" spans="1:12">
      <c r="A152" s="114">
        <v>10</v>
      </c>
      <c r="B152" s="117" t="s">
        <v>518</v>
      </c>
      <c r="C152" s="116" t="s">
        <v>144</v>
      </c>
      <c r="D152" s="116">
        <v>22.3</v>
      </c>
      <c r="E152" s="108">
        <v>22.3</v>
      </c>
      <c r="F152" s="156"/>
      <c r="G152" s="156">
        <f t="shared" si="24"/>
        <v>22.3</v>
      </c>
      <c r="H152" s="122">
        <v>1728209.6788338162</v>
      </c>
      <c r="I152" s="122"/>
      <c r="J152" s="122">
        <f t="shared" si="20"/>
        <v>38539075.837994106</v>
      </c>
      <c r="K152" s="122">
        <f t="shared" si="21"/>
        <v>0</v>
      </c>
      <c r="L152" s="122">
        <f t="shared" si="22"/>
        <v>38539075.837994106</v>
      </c>
    </row>
    <row r="153" spans="1:12">
      <c r="A153" s="114">
        <v>11</v>
      </c>
      <c r="B153" s="117" t="s">
        <v>519</v>
      </c>
      <c r="C153" s="116" t="s">
        <v>149</v>
      </c>
      <c r="D153" s="116">
        <v>4.2770000000000001</v>
      </c>
      <c r="E153" s="108">
        <v>4.2770000000000001</v>
      </c>
      <c r="F153" s="156"/>
      <c r="G153" s="156">
        <f t="shared" si="24"/>
        <v>4.2770000000000001</v>
      </c>
      <c r="H153" s="122">
        <v>15289428.573971221</v>
      </c>
      <c r="I153" s="122"/>
      <c r="J153" s="122">
        <f t="shared" si="20"/>
        <v>65392886.010874912</v>
      </c>
      <c r="K153" s="122">
        <f t="shared" si="21"/>
        <v>0</v>
      </c>
      <c r="L153" s="122">
        <f t="shared" si="22"/>
        <v>65392886.010874912</v>
      </c>
    </row>
    <row r="154" spans="1:12">
      <c r="A154" s="114">
        <v>12</v>
      </c>
      <c r="B154" s="117" t="s">
        <v>491</v>
      </c>
      <c r="C154" s="116" t="s">
        <v>149</v>
      </c>
      <c r="D154" s="116">
        <v>0.98399999999999999</v>
      </c>
      <c r="E154" s="108">
        <v>0.98399999999999999</v>
      </c>
      <c r="F154" s="156"/>
      <c r="G154" s="156">
        <f t="shared" si="24"/>
        <v>0.98399999999999999</v>
      </c>
      <c r="H154" s="122">
        <v>10448695.617301011</v>
      </c>
      <c r="I154" s="122"/>
      <c r="J154" s="122">
        <f t="shared" si="20"/>
        <v>10281516.487424195</v>
      </c>
      <c r="K154" s="122">
        <f t="shared" si="21"/>
        <v>0</v>
      </c>
      <c r="L154" s="122">
        <f t="shared" si="22"/>
        <v>10281516.487424195</v>
      </c>
    </row>
    <row r="155" spans="1:12">
      <c r="A155" s="114">
        <v>13</v>
      </c>
      <c r="B155" s="117" t="s">
        <v>492</v>
      </c>
      <c r="C155" s="116" t="s">
        <v>149</v>
      </c>
      <c r="D155" s="116">
        <v>0.86899999999999999</v>
      </c>
      <c r="E155" s="108">
        <v>0.86899999999999999</v>
      </c>
      <c r="F155" s="156"/>
      <c r="G155" s="156">
        <f t="shared" si="24"/>
        <v>0.86899999999999999</v>
      </c>
      <c r="H155" s="122">
        <v>9502406.2439821959</v>
      </c>
      <c r="I155" s="122"/>
      <c r="J155" s="122">
        <f t="shared" si="20"/>
        <v>8257591.0260205278</v>
      </c>
      <c r="K155" s="122">
        <f t="shared" si="21"/>
        <v>0</v>
      </c>
      <c r="L155" s="122">
        <f t="shared" si="22"/>
        <v>8257591.0260205278</v>
      </c>
    </row>
    <row r="156" spans="1:12">
      <c r="A156" s="114">
        <v>14</v>
      </c>
      <c r="B156" s="117" t="s">
        <v>487</v>
      </c>
      <c r="C156" s="116" t="s">
        <v>146</v>
      </c>
      <c r="D156" s="116">
        <v>1.1990000000000001</v>
      </c>
      <c r="E156" s="108">
        <v>1.1990000000000001</v>
      </c>
      <c r="F156" s="156"/>
      <c r="G156" s="156">
        <f t="shared" si="24"/>
        <v>1.1990000000000001</v>
      </c>
      <c r="H156" s="122">
        <v>23146185.931862913</v>
      </c>
      <c r="I156" s="122"/>
      <c r="J156" s="122">
        <f t="shared" si="20"/>
        <v>27752276.932303634</v>
      </c>
      <c r="K156" s="122">
        <f t="shared" si="21"/>
        <v>0</v>
      </c>
      <c r="L156" s="122">
        <f t="shared" si="22"/>
        <v>27752276.932303634</v>
      </c>
    </row>
    <row r="157" spans="1:12">
      <c r="A157" s="114">
        <v>15</v>
      </c>
      <c r="B157" s="117" t="s">
        <v>488</v>
      </c>
      <c r="C157" s="116" t="s">
        <v>146</v>
      </c>
      <c r="D157" s="116">
        <v>2.375</v>
      </c>
      <c r="E157" s="108">
        <v>2.375</v>
      </c>
      <c r="F157" s="156"/>
      <c r="G157" s="156">
        <f t="shared" si="24"/>
        <v>2.375</v>
      </c>
      <c r="H157" s="122">
        <v>22170915.161945313</v>
      </c>
      <c r="I157" s="122"/>
      <c r="J157" s="122">
        <f t="shared" si="20"/>
        <v>52655923.509620115</v>
      </c>
      <c r="K157" s="122">
        <f t="shared" si="21"/>
        <v>0</v>
      </c>
      <c r="L157" s="122">
        <f t="shared" si="22"/>
        <v>52655923.509620115</v>
      </c>
    </row>
    <row r="158" spans="1:12">
      <c r="A158" s="114">
        <v>16</v>
      </c>
      <c r="B158" s="117" t="s">
        <v>489</v>
      </c>
      <c r="C158" s="116" t="s">
        <v>146</v>
      </c>
      <c r="D158" s="116">
        <v>0.52400000000000002</v>
      </c>
      <c r="E158" s="108">
        <v>0.52400000000000002</v>
      </c>
      <c r="F158" s="156"/>
      <c r="G158" s="156">
        <f t="shared" si="24"/>
        <v>0.52400000000000002</v>
      </c>
      <c r="H158" s="122">
        <v>22100222.329982016</v>
      </c>
      <c r="I158" s="122"/>
      <c r="J158" s="122">
        <f t="shared" si="20"/>
        <v>11580516.500910576</v>
      </c>
      <c r="K158" s="122">
        <f t="shared" si="21"/>
        <v>0</v>
      </c>
      <c r="L158" s="122">
        <f t="shared" si="22"/>
        <v>11580516.500910576</v>
      </c>
    </row>
    <row r="159" spans="1:12">
      <c r="A159" s="114">
        <v>17</v>
      </c>
      <c r="B159" s="117" t="s">
        <v>520</v>
      </c>
      <c r="C159" s="116" t="s">
        <v>392</v>
      </c>
      <c r="D159" s="116">
        <v>120</v>
      </c>
      <c r="E159" s="108">
        <v>120</v>
      </c>
      <c r="F159" s="156"/>
      <c r="G159" s="156">
        <f t="shared" si="24"/>
        <v>120</v>
      </c>
      <c r="H159" s="122">
        <v>32899.991206105726</v>
      </c>
      <c r="I159" s="122"/>
      <c r="J159" s="122">
        <f t="shared" si="20"/>
        <v>3947998.944732687</v>
      </c>
      <c r="K159" s="122">
        <f t="shared" si="21"/>
        <v>0</v>
      </c>
      <c r="L159" s="122">
        <f t="shared" si="22"/>
        <v>3947998.944732687</v>
      </c>
    </row>
    <row r="160" spans="1:12">
      <c r="A160" s="114"/>
      <c r="B160" s="115" t="s">
        <v>501</v>
      </c>
      <c r="C160" s="116"/>
      <c r="D160" s="116"/>
      <c r="E160" s="108"/>
      <c r="F160" s="156"/>
      <c r="G160" s="156"/>
      <c r="H160" s="122">
        <v>0</v>
      </c>
      <c r="I160" s="122"/>
      <c r="J160" s="122">
        <f t="shared" si="20"/>
        <v>0</v>
      </c>
      <c r="K160" s="122">
        <f t="shared" si="21"/>
        <v>0</v>
      </c>
      <c r="L160" s="122">
        <f t="shared" si="22"/>
        <v>0</v>
      </c>
    </row>
    <row r="161" spans="1:13">
      <c r="A161" s="114">
        <v>18</v>
      </c>
      <c r="B161" s="117" t="s">
        <v>325</v>
      </c>
      <c r="C161" s="116" t="s">
        <v>145</v>
      </c>
      <c r="D161" s="116">
        <v>0.58599999999999997</v>
      </c>
      <c r="E161" s="108">
        <v>0.58599999999999997</v>
      </c>
      <c r="F161" s="156"/>
      <c r="G161" s="156">
        <f>+E161</f>
        <v>0.58599999999999997</v>
      </c>
      <c r="H161" s="122">
        <v>3387145.2779199071</v>
      </c>
      <c r="I161" s="122"/>
      <c r="J161" s="122">
        <f t="shared" si="20"/>
        <v>1984867.1328610654</v>
      </c>
      <c r="K161" s="122">
        <f t="shared" si="21"/>
        <v>0</v>
      </c>
      <c r="L161" s="122">
        <f t="shared" si="22"/>
        <v>1984867.1328610654</v>
      </c>
    </row>
    <row r="162" spans="1:13">
      <c r="A162" s="114">
        <v>19</v>
      </c>
      <c r="B162" s="117" t="s">
        <v>399</v>
      </c>
      <c r="C162" s="116" t="s">
        <v>145</v>
      </c>
      <c r="D162" s="116">
        <v>1.944</v>
      </c>
      <c r="E162" s="108">
        <v>1.944</v>
      </c>
      <c r="F162" s="156"/>
      <c r="G162" s="156">
        <f>+E162</f>
        <v>1.944</v>
      </c>
      <c r="H162" s="122">
        <v>1164771.501309423</v>
      </c>
      <c r="I162" s="122"/>
      <c r="J162" s="122">
        <f t="shared" si="20"/>
        <v>2264315.7985455184</v>
      </c>
      <c r="K162" s="122">
        <f t="shared" si="21"/>
        <v>0</v>
      </c>
      <c r="L162" s="122">
        <f t="shared" si="22"/>
        <v>2264315.7985455184</v>
      </c>
    </row>
    <row r="163" spans="1:13" ht="31.2">
      <c r="A163" s="114">
        <v>20</v>
      </c>
      <c r="B163" s="117" t="s">
        <v>413</v>
      </c>
      <c r="C163" s="116" t="s">
        <v>149</v>
      </c>
      <c r="D163" s="116">
        <v>0.21299999999999999</v>
      </c>
      <c r="E163" s="108">
        <v>0</v>
      </c>
      <c r="F163" s="156">
        <f>+E163</f>
        <v>0</v>
      </c>
      <c r="G163" s="156"/>
      <c r="H163" s="122">
        <v>1164681.0166441561</v>
      </c>
      <c r="I163" s="122"/>
      <c r="J163" s="122">
        <f t="shared" si="20"/>
        <v>0</v>
      </c>
      <c r="K163" s="122">
        <f t="shared" si="21"/>
        <v>0</v>
      </c>
      <c r="L163" s="122">
        <f t="shared" si="22"/>
        <v>0</v>
      </c>
    </row>
    <row r="164" spans="1:13" ht="31.2">
      <c r="A164" s="114">
        <v>21</v>
      </c>
      <c r="B164" s="117" t="s">
        <v>414</v>
      </c>
      <c r="C164" s="116" t="s">
        <v>415</v>
      </c>
      <c r="D164" s="116">
        <v>3.5000000000000003E-2</v>
      </c>
      <c r="E164" s="108">
        <v>0</v>
      </c>
      <c r="F164" s="156">
        <f t="shared" ref="F164:F172" si="25">+E164</f>
        <v>0</v>
      </c>
      <c r="G164" s="156"/>
      <c r="H164" s="122">
        <v>115068519.90120631</v>
      </c>
      <c r="I164" s="122"/>
      <c r="J164" s="122">
        <f t="shared" si="20"/>
        <v>0</v>
      </c>
      <c r="K164" s="122">
        <f t="shared" si="21"/>
        <v>0</v>
      </c>
      <c r="L164" s="122">
        <f t="shared" si="22"/>
        <v>0</v>
      </c>
    </row>
    <row r="165" spans="1:13" ht="31.2">
      <c r="A165" s="114" t="s">
        <v>842</v>
      </c>
      <c r="B165" s="117" t="s">
        <v>795</v>
      </c>
      <c r="C165" s="116" t="s">
        <v>149</v>
      </c>
      <c r="D165" s="116"/>
      <c r="E165" s="108">
        <v>0.21299999999999999</v>
      </c>
      <c r="F165" s="156">
        <f t="shared" si="25"/>
        <v>0.21299999999999999</v>
      </c>
      <c r="G165" s="156"/>
      <c r="H165" s="122">
        <v>0</v>
      </c>
      <c r="I165" s="122">
        <v>1450470.8478000001</v>
      </c>
      <c r="J165" s="122">
        <f t="shared" si="20"/>
        <v>308950.29058140004</v>
      </c>
      <c r="K165" s="122">
        <f t="shared" si="21"/>
        <v>308950.29058140004</v>
      </c>
      <c r="L165" s="122">
        <f t="shared" si="22"/>
        <v>0</v>
      </c>
    </row>
    <row r="166" spans="1:13">
      <c r="A166" s="114" t="s">
        <v>843</v>
      </c>
      <c r="B166" s="117" t="s">
        <v>804</v>
      </c>
      <c r="C166" s="116" t="s">
        <v>415</v>
      </c>
      <c r="D166" s="116"/>
      <c r="E166" s="108">
        <v>3.6748889999999999E-2</v>
      </c>
      <c r="F166" s="156">
        <f t="shared" si="25"/>
        <v>3.6748889999999999E-2</v>
      </c>
      <c r="G166" s="156"/>
      <c r="H166" s="122">
        <v>0</v>
      </c>
      <c r="I166" s="122">
        <v>150219973.99520001</v>
      </c>
      <c r="J166" s="122">
        <f t="shared" si="20"/>
        <v>5520417.3001524657</v>
      </c>
      <c r="K166" s="122">
        <f t="shared" si="21"/>
        <v>5520417.3001524657</v>
      </c>
      <c r="L166" s="122">
        <f t="shared" si="22"/>
        <v>0</v>
      </c>
    </row>
    <row r="167" spans="1:13">
      <c r="A167" s="114">
        <v>22</v>
      </c>
      <c r="B167" s="117" t="s">
        <v>502</v>
      </c>
      <c r="C167" s="116" t="s">
        <v>415</v>
      </c>
      <c r="D167" s="116">
        <v>3.5000000000000003E-2</v>
      </c>
      <c r="E167" s="108">
        <v>3.6748889999999999E-2</v>
      </c>
      <c r="F167" s="156">
        <f t="shared" si="25"/>
        <v>3.6748889999999999E-2</v>
      </c>
      <c r="G167" s="156"/>
      <c r="H167" s="122">
        <v>5391750.3057997404</v>
      </c>
      <c r="I167" s="122"/>
      <c r="J167" s="122">
        <f t="shared" si="20"/>
        <v>198140.83889530101</v>
      </c>
      <c r="K167" s="122">
        <f t="shared" si="21"/>
        <v>198140.83889530101</v>
      </c>
      <c r="L167" s="122">
        <f t="shared" si="22"/>
        <v>0</v>
      </c>
    </row>
    <row r="168" spans="1:13">
      <c r="A168" s="114">
        <v>23</v>
      </c>
      <c r="B168" s="117" t="s">
        <v>417</v>
      </c>
      <c r="C168" s="116" t="s">
        <v>415</v>
      </c>
      <c r="D168" s="116">
        <v>3.5000000000000003E-2</v>
      </c>
      <c r="E168" s="108">
        <v>0</v>
      </c>
      <c r="F168" s="156">
        <f t="shared" si="25"/>
        <v>0</v>
      </c>
      <c r="G168" s="156"/>
      <c r="H168" s="122">
        <v>13551442.431043729</v>
      </c>
      <c r="I168" s="122"/>
      <c r="J168" s="122">
        <f t="shared" si="20"/>
        <v>0</v>
      </c>
      <c r="K168" s="122">
        <f t="shared" si="21"/>
        <v>0</v>
      </c>
      <c r="L168" s="122">
        <f t="shared" si="22"/>
        <v>0</v>
      </c>
    </row>
    <row r="169" spans="1:13">
      <c r="A169" s="114" t="s">
        <v>803</v>
      </c>
      <c r="B169" s="117" t="s">
        <v>799</v>
      </c>
      <c r="C169" s="116" t="s">
        <v>415</v>
      </c>
      <c r="D169" s="116"/>
      <c r="E169" s="108">
        <v>3.6748889999999999E-2</v>
      </c>
      <c r="F169" s="156">
        <f t="shared" si="25"/>
        <v>3.6748889999999999E-2</v>
      </c>
      <c r="G169" s="156"/>
      <c r="H169" s="122"/>
      <c r="I169" s="122">
        <v>14726563.098200001</v>
      </c>
      <c r="J169" s="122">
        <f t="shared" si="20"/>
        <v>541184.84737381106</v>
      </c>
      <c r="K169" s="122">
        <f t="shared" si="21"/>
        <v>541184.84737381106</v>
      </c>
      <c r="L169" s="122">
        <f t="shared" si="22"/>
        <v>0</v>
      </c>
    </row>
    <row r="170" spans="1:13">
      <c r="A170" s="114">
        <v>24</v>
      </c>
      <c r="B170" s="117" t="s">
        <v>503</v>
      </c>
      <c r="C170" s="116" t="s">
        <v>149</v>
      </c>
      <c r="D170" s="116">
        <v>0.21299999999999999</v>
      </c>
      <c r="E170" s="108">
        <v>0.21299999999999999</v>
      </c>
      <c r="F170" s="156">
        <f t="shared" si="25"/>
        <v>0.21299999999999999</v>
      </c>
      <c r="G170" s="156"/>
      <c r="H170" s="122">
        <v>1783035.3754178607</v>
      </c>
      <c r="I170" s="122"/>
      <c r="J170" s="122">
        <f t="shared" si="20"/>
        <v>379786.5349640043</v>
      </c>
      <c r="K170" s="122">
        <f t="shared" si="21"/>
        <v>379786.5349640043</v>
      </c>
      <c r="L170" s="122">
        <f t="shared" si="22"/>
        <v>0</v>
      </c>
    </row>
    <row r="171" spans="1:13">
      <c r="A171" s="114">
        <v>25</v>
      </c>
      <c r="B171" s="117" t="s">
        <v>418</v>
      </c>
      <c r="C171" s="116" t="s">
        <v>145</v>
      </c>
      <c r="D171" s="116">
        <v>3.2000000000000001E-2</v>
      </c>
      <c r="E171" s="108">
        <v>3.2000000000000001E-2</v>
      </c>
      <c r="F171" s="156">
        <f t="shared" si="25"/>
        <v>3.2000000000000001E-2</v>
      </c>
      <c r="G171" s="156"/>
      <c r="H171" s="122">
        <v>30928790.531593096</v>
      </c>
      <c r="I171" s="122"/>
      <c r="J171" s="122">
        <f t="shared" si="20"/>
        <v>989721.29701097903</v>
      </c>
      <c r="K171" s="122">
        <f t="shared" si="21"/>
        <v>989721.29701097903</v>
      </c>
      <c r="L171" s="122">
        <f t="shared" si="22"/>
        <v>0</v>
      </c>
    </row>
    <row r="172" spans="1:13">
      <c r="A172" s="114">
        <v>26</v>
      </c>
      <c r="B172" s="117" t="s">
        <v>419</v>
      </c>
      <c r="C172" s="116" t="s">
        <v>145</v>
      </c>
      <c r="D172" s="116">
        <v>6.8000000000000005E-2</v>
      </c>
      <c r="E172" s="108">
        <v>6.8000000000000005E-2</v>
      </c>
      <c r="F172" s="156">
        <f t="shared" si="25"/>
        <v>6.8000000000000005E-2</v>
      </c>
      <c r="G172" s="156"/>
      <c r="H172" s="122">
        <v>30775729.176017962</v>
      </c>
      <c r="I172" s="122"/>
      <c r="J172" s="122">
        <f t="shared" si="20"/>
        <v>2092749.5839692217</v>
      </c>
      <c r="K172" s="122">
        <f t="shared" si="21"/>
        <v>2092749.5839692217</v>
      </c>
      <c r="L172" s="122">
        <f t="shared" si="22"/>
        <v>0</v>
      </c>
    </row>
    <row r="173" spans="1:13" s="138" customFormat="1">
      <c r="A173" s="113" t="s">
        <v>18</v>
      </c>
      <c r="B173" s="112" t="s">
        <v>521</v>
      </c>
      <c r="C173" s="111"/>
      <c r="D173" s="111"/>
      <c r="E173" s="136"/>
      <c r="F173" s="158"/>
      <c r="G173" s="158"/>
      <c r="H173" s="135"/>
      <c r="I173" s="135"/>
      <c r="J173" s="137">
        <f>+SUM(J175:J369)</f>
        <v>10217597572.953682</v>
      </c>
      <c r="K173" s="135">
        <f>+SUM(K175:K369)</f>
        <v>3191545349.8099718</v>
      </c>
      <c r="L173" s="135">
        <f>+SUM(L175:L369)</f>
        <v>7026052223.1437025</v>
      </c>
      <c r="M173" s="137">
        <f>+L173+K173</f>
        <v>10217597572.953674</v>
      </c>
    </row>
    <row r="174" spans="1:13">
      <c r="A174" s="114"/>
      <c r="B174" s="115" t="s">
        <v>507</v>
      </c>
      <c r="C174" s="116"/>
      <c r="D174" s="116"/>
      <c r="E174" s="108"/>
      <c r="F174" s="156"/>
      <c r="G174" s="156"/>
      <c r="H174" s="122"/>
      <c r="I174" s="122"/>
      <c r="J174" s="122"/>
      <c r="K174" s="122"/>
      <c r="L174" s="122"/>
    </row>
    <row r="175" spans="1:13">
      <c r="A175" s="114"/>
      <c r="B175" s="115" t="s">
        <v>349</v>
      </c>
      <c r="C175" s="116"/>
      <c r="D175" s="116"/>
      <c r="E175" s="108"/>
      <c r="F175" s="156"/>
      <c r="G175" s="156"/>
      <c r="H175" s="122"/>
      <c r="I175" s="122"/>
      <c r="J175" s="122"/>
      <c r="K175" s="122"/>
      <c r="L175" s="122"/>
    </row>
    <row r="176" spans="1:13">
      <c r="A176" s="114">
        <v>1</v>
      </c>
      <c r="B176" s="117" t="s">
        <v>522</v>
      </c>
      <c r="C176" s="116" t="s">
        <v>145</v>
      </c>
      <c r="D176" s="116">
        <v>22.677</v>
      </c>
      <c r="E176" s="108">
        <v>22.677</v>
      </c>
      <c r="F176" s="156"/>
      <c r="G176" s="156">
        <f>+E176</f>
        <v>22.677</v>
      </c>
      <c r="H176" s="122">
        <v>813558.68289020867</v>
      </c>
      <c r="I176" s="122"/>
      <c r="J176" s="122">
        <f t="shared" si="20"/>
        <v>18449070.251901262</v>
      </c>
      <c r="K176" s="122">
        <f t="shared" si="21"/>
        <v>0</v>
      </c>
      <c r="L176" s="122">
        <f t="shared" si="22"/>
        <v>18449070.251901262</v>
      </c>
    </row>
    <row r="177" spans="1:12">
      <c r="A177" s="114">
        <v>2</v>
      </c>
      <c r="B177" s="117" t="s">
        <v>394</v>
      </c>
      <c r="C177" s="116" t="s">
        <v>145</v>
      </c>
      <c r="D177" s="116">
        <v>7.8419999999999996</v>
      </c>
      <c r="E177" s="108">
        <v>7.8419999999999996</v>
      </c>
      <c r="F177" s="156"/>
      <c r="G177" s="156">
        <f t="shared" ref="G177:G181" si="26">+E177</f>
        <v>7.8419999999999996</v>
      </c>
      <c r="H177" s="122">
        <v>2175908.7549432274</v>
      </c>
      <c r="I177" s="122"/>
      <c r="J177" s="122">
        <f t="shared" si="20"/>
        <v>17063476.45626479</v>
      </c>
      <c r="K177" s="122">
        <f t="shared" si="21"/>
        <v>0</v>
      </c>
      <c r="L177" s="122">
        <f t="shared" si="22"/>
        <v>17063476.45626479</v>
      </c>
    </row>
    <row r="178" spans="1:12">
      <c r="A178" s="114">
        <v>3</v>
      </c>
      <c r="B178" s="117" t="s">
        <v>397</v>
      </c>
      <c r="C178" s="116" t="s">
        <v>145</v>
      </c>
      <c r="D178" s="116">
        <v>71.271000000000001</v>
      </c>
      <c r="E178" s="108">
        <v>71.271000000000001</v>
      </c>
      <c r="F178" s="156"/>
      <c r="G178" s="156">
        <f t="shared" si="26"/>
        <v>71.271000000000001</v>
      </c>
      <c r="H178" s="122">
        <v>2214350.953738424</v>
      </c>
      <c r="I178" s="122"/>
      <c r="J178" s="122">
        <f t="shared" si="20"/>
        <v>157819006.82389122</v>
      </c>
      <c r="K178" s="122">
        <f t="shared" si="21"/>
        <v>0</v>
      </c>
      <c r="L178" s="122">
        <f t="shared" si="22"/>
        <v>157819006.82389122</v>
      </c>
    </row>
    <row r="179" spans="1:12">
      <c r="A179" s="114">
        <v>4</v>
      </c>
      <c r="B179" s="117" t="s">
        <v>398</v>
      </c>
      <c r="C179" s="116" t="s">
        <v>145</v>
      </c>
      <c r="D179" s="116">
        <v>8.2349999999999994</v>
      </c>
      <c r="E179" s="108">
        <v>8.2349999999999994</v>
      </c>
      <c r="F179" s="156"/>
      <c r="G179" s="156">
        <f t="shared" si="26"/>
        <v>8.2349999999999994</v>
      </c>
      <c r="H179" s="122">
        <v>2610425.2873970545</v>
      </c>
      <c r="I179" s="122"/>
      <c r="J179" s="122">
        <f t="shared" si="20"/>
        <v>21496852.241714742</v>
      </c>
      <c r="K179" s="122">
        <f t="shared" si="21"/>
        <v>0</v>
      </c>
      <c r="L179" s="122">
        <f t="shared" si="22"/>
        <v>21496852.241714742</v>
      </c>
    </row>
    <row r="180" spans="1:12">
      <c r="A180" s="114">
        <v>5</v>
      </c>
      <c r="B180" s="117" t="s">
        <v>399</v>
      </c>
      <c r="C180" s="116" t="s">
        <v>145</v>
      </c>
      <c r="D180" s="116">
        <v>96.498999999999995</v>
      </c>
      <c r="E180" s="108">
        <v>109.17236799999999</v>
      </c>
      <c r="F180" s="156"/>
      <c r="G180" s="156">
        <f t="shared" si="26"/>
        <v>109.17236799999999</v>
      </c>
      <c r="H180" s="122">
        <v>1164771.501309423</v>
      </c>
      <c r="I180" s="122"/>
      <c r="J180" s="122">
        <f t="shared" si="20"/>
        <v>127160862.9768648</v>
      </c>
      <c r="K180" s="122">
        <f t="shared" si="21"/>
        <v>0</v>
      </c>
      <c r="L180" s="122">
        <f t="shared" si="22"/>
        <v>127160862.9768648</v>
      </c>
    </row>
    <row r="181" spans="1:12">
      <c r="A181" s="114">
        <v>6</v>
      </c>
      <c r="B181" s="117" t="s">
        <v>400</v>
      </c>
      <c r="C181" s="116" t="s">
        <v>145</v>
      </c>
      <c r="D181" s="116">
        <v>72.602000000000004</v>
      </c>
      <c r="E181" s="108">
        <v>72.602000000000004</v>
      </c>
      <c r="F181" s="156"/>
      <c r="G181" s="156">
        <f t="shared" si="26"/>
        <v>72.602000000000004</v>
      </c>
      <c r="H181" s="122">
        <v>1417530.6953819983</v>
      </c>
      <c r="I181" s="122"/>
      <c r="J181" s="122">
        <f t="shared" si="20"/>
        <v>102915563.54612385</v>
      </c>
      <c r="K181" s="122">
        <f t="shared" si="21"/>
        <v>0</v>
      </c>
      <c r="L181" s="122">
        <f t="shared" si="22"/>
        <v>102915563.54612385</v>
      </c>
    </row>
    <row r="182" spans="1:12" hidden="1">
      <c r="A182" s="114"/>
      <c r="B182" s="117" t="s">
        <v>844</v>
      </c>
      <c r="C182" s="116"/>
      <c r="D182" s="116"/>
      <c r="E182" s="108"/>
      <c r="F182" s="156"/>
      <c r="G182" s="156"/>
      <c r="H182" s="122"/>
      <c r="I182" s="122"/>
      <c r="J182" s="122">
        <f t="shared" si="20"/>
        <v>0</v>
      </c>
      <c r="K182" s="122">
        <f t="shared" si="21"/>
        <v>0</v>
      </c>
      <c r="L182" s="122">
        <f t="shared" si="22"/>
        <v>0</v>
      </c>
    </row>
    <row r="183" spans="1:12" hidden="1">
      <c r="A183" s="114"/>
      <c r="B183" s="117" t="s">
        <v>845</v>
      </c>
      <c r="C183" s="116" t="s">
        <v>144</v>
      </c>
      <c r="D183" s="116"/>
      <c r="E183" s="108">
        <v>11796.595364499999</v>
      </c>
      <c r="F183" s="156"/>
      <c r="G183" s="156"/>
      <c r="H183" s="122"/>
      <c r="I183" s="122"/>
      <c r="J183" s="122">
        <f t="shared" si="20"/>
        <v>0</v>
      </c>
      <c r="K183" s="122">
        <f t="shared" si="21"/>
        <v>0</v>
      </c>
      <c r="L183" s="122">
        <f t="shared" si="22"/>
        <v>0</v>
      </c>
    </row>
    <row r="184" spans="1:12" hidden="1">
      <c r="A184" s="114"/>
      <c r="B184" s="117" t="s">
        <v>846</v>
      </c>
      <c r="C184" s="116"/>
      <c r="D184" s="116"/>
      <c r="E184" s="108">
        <v>2725.913410500003</v>
      </c>
      <c r="F184" s="156"/>
      <c r="G184" s="156"/>
      <c r="H184" s="122"/>
      <c r="I184" s="122"/>
      <c r="J184" s="122">
        <f t="shared" si="20"/>
        <v>0</v>
      </c>
      <c r="K184" s="122">
        <f t="shared" si="21"/>
        <v>0</v>
      </c>
      <c r="L184" s="122">
        <f t="shared" si="22"/>
        <v>0</v>
      </c>
    </row>
    <row r="185" spans="1:12" hidden="1">
      <c r="A185" s="114"/>
      <c r="B185" s="117" t="s">
        <v>847</v>
      </c>
      <c r="C185" s="116"/>
      <c r="D185" s="116"/>
      <c r="E185" s="108">
        <v>9070.681953999996</v>
      </c>
      <c r="F185" s="156"/>
      <c r="G185" s="156"/>
      <c r="H185" s="122"/>
      <c r="I185" s="122"/>
      <c r="J185" s="122">
        <f t="shared" si="20"/>
        <v>0</v>
      </c>
      <c r="K185" s="122">
        <f t="shared" si="21"/>
        <v>0</v>
      </c>
      <c r="L185" s="122">
        <f t="shared" si="22"/>
        <v>0</v>
      </c>
    </row>
    <row r="186" spans="1:12" hidden="1">
      <c r="A186" s="114"/>
      <c r="B186" s="117" t="s">
        <v>848</v>
      </c>
      <c r="C186" s="116"/>
      <c r="D186" s="116"/>
      <c r="E186" s="108">
        <v>8734.7999999999993</v>
      </c>
      <c r="F186" s="156"/>
      <c r="G186" s="156"/>
      <c r="H186" s="122"/>
      <c r="I186" s="122"/>
      <c r="J186" s="122">
        <f t="shared" si="20"/>
        <v>0</v>
      </c>
      <c r="K186" s="122">
        <f t="shared" si="21"/>
        <v>0</v>
      </c>
      <c r="L186" s="122">
        <f t="shared" si="22"/>
        <v>0</v>
      </c>
    </row>
    <row r="187" spans="1:12" hidden="1">
      <c r="A187" s="114"/>
      <c r="B187" s="117" t="s">
        <v>849</v>
      </c>
      <c r="C187" s="116"/>
      <c r="D187" s="116"/>
      <c r="E187" s="108">
        <v>12336.477583999997</v>
      </c>
      <c r="F187" s="156"/>
      <c r="G187" s="156"/>
      <c r="H187" s="122"/>
      <c r="I187" s="122"/>
      <c r="J187" s="122">
        <f t="shared" si="20"/>
        <v>0</v>
      </c>
      <c r="K187" s="122">
        <f t="shared" si="21"/>
        <v>0</v>
      </c>
      <c r="L187" s="122">
        <f t="shared" si="22"/>
        <v>0</v>
      </c>
    </row>
    <row r="188" spans="1:12" hidden="1">
      <c r="A188" s="114"/>
      <c r="B188" s="117" t="s">
        <v>850</v>
      </c>
      <c r="C188" s="116"/>
      <c r="D188" s="116"/>
      <c r="E188" s="108">
        <v>8421.8320000000003</v>
      </c>
      <c r="F188" s="156"/>
      <c r="G188" s="156"/>
      <c r="H188" s="122"/>
      <c r="I188" s="122"/>
      <c r="J188" s="122">
        <f t="shared" si="20"/>
        <v>0</v>
      </c>
      <c r="K188" s="122">
        <f t="shared" si="21"/>
        <v>0</v>
      </c>
      <c r="L188" s="122">
        <f t="shared" si="22"/>
        <v>0</v>
      </c>
    </row>
    <row r="189" spans="1:12" hidden="1">
      <c r="A189" s="114"/>
      <c r="B189" s="117" t="s">
        <v>851</v>
      </c>
      <c r="C189" s="116"/>
      <c r="D189" s="116"/>
      <c r="E189" s="108">
        <v>1334.7781882534957</v>
      </c>
      <c r="F189" s="156"/>
      <c r="G189" s="156"/>
      <c r="H189" s="122"/>
      <c r="I189" s="122"/>
      <c r="J189" s="122">
        <f t="shared" si="20"/>
        <v>0</v>
      </c>
      <c r="K189" s="122">
        <f t="shared" si="21"/>
        <v>0</v>
      </c>
      <c r="L189" s="122">
        <f t="shared" si="22"/>
        <v>0</v>
      </c>
    </row>
    <row r="190" spans="1:12">
      <c r="A190" s="114"/>
      <c r="B190" s="117" t="s">
        <v>523</v>
      </c>
      <c r="C190" s="116"/>
      <c r="D190" s="116"/>
      <c r="E190" s="108"/>
      <c r="F190" s="156"/>
      <c r="G190" s="156"/>
      <c r="H190" s="122"/>
      <c r="I190" s="122"/>
      <c r="J190" s="122"/>
      <c r="K190" s="122"/>
      <c r="L190" s="122"/>
    </row>
    <row r="191" spans="1:12">
      <c r="A191" s="114">
        <v>7</v>
      </c>
      <c r="B191" s="117" t="s">
        <v>401</v>
      </c>
      <c r="C191" s="116" t="s">
        <v>144</v>
      </c>
      <c r="D191" s="116">
        <v>131.30099999999999</v>
      </c>
      <c r="E191" s="108">
        <v>0</v>
      </c>
      <c r="F191" s="156"/>
      <c r="G191" s="156">
        <f>+E191</f>
        <v>0</v>
      </c>
      <c r="H191" s="122">
        <v>56510.720570152102</v>
      </c>
      <c r="I191" s="122"/>
      <c r="J191" s="122">
        <f t="shared" si="20"/>
        <v>0</v>
      </c>
      <c r="K191" s="122">
        <f t="shared" si="21"/>
        <v>0</v>
      </c>
      <c r="L191" s="122">
        <f t="shared" si="22"/>
        <v>0</v>
      </c>
    </row>
    <row r="192" spans="1:12">
      <c r="A192" s="114">
        <v>8</v>
      </c>
      <c r="B192" s="117" t="s">
        <v>402</v>
      </c>
      <c r="C192" s="116" t="s">
        <v>144</v>
      </c>
      <c r="D192" s="116">
        <v>4478.9830000000002</v>
      </c>
      <c r="E192" s="108">
        <v>1334.7781882534955</v>
      </c>
      <c r="F192" s="156"/>
      <c r="G192" s="156">
        <f>+E192</f>
        <v>1334.7781882534955</v>
      </c>
      <c r="H192" s="122">
        <v>56510.720570152102</v>
      </c>
      <c r="I192" s="122"/>
      <c r="J192" s="122">
        <f t="shared" si="20"/>
        <v>75429277.219527155</v>
      </c>
      <c r="K192" s="122">
        <f t="shared" si="21"/>
        <v>0</v>
      </c>
      <c r="L192" s="122">
        <f t="shared" si="22"/>
        <v>75429277.219527155</v>
      </c>
    </row>
    <row r="193" spans="1:12" ht="31.2">
      <c r="A193" s="114"/>
      <c r="B193" s="115" t="s">
        <v>524</v>
      </c>
      <c r="C193" s="116"/>
      <c r="D193" s="116"/>
      <c r="E193" s="108"/>
      <c r="F193" s="156"/>
      <c r="G193" s="156"/>
      <c r="H193" s="122"/>
      <c r="I193" s="122"/>
      <c r="J193" s="122"/>
      <c r="K193" s="122"/>
      <c r="L193" s="122"/>
    </row>
    <row r="194" spans="1:12">
      <c r="A194" s="114">
        <v>9</v>
      </c>
      <c r="B194" s="117" t="s">
        <v>403</v>
      </c>
      <c r="C194" s="116" t="s">
        <v>252</v>
      </c>
      <c r="D194" s="116">
        <v>461.02800000000002</v>
      </c>
      <c r="E194" s="108">
        <v>133.47741882534956</v>
      </c>
      <c r="F194" s="156"/>
      <c r="G194" s="156">
        <f>+E194</f>
        <v>133.47741882534956</v>
      </c>
      <c r="H194" s="122">
        <v>81312.459724288317</v>
      </c>
      <c r="I194" s="122"/>
      <c r="J194" s="122">
        <f t="shared" si="20"/>
        <v>10853377.242338199</v>
      </c>
      <c r="K194" s="122">
        <f t="shared" si="21"/>
        <v>0</v>
      </c>
      <c r="L194" s="122">
        <f t="shared" si="22"/>
        <v>10853377.242338199</v>
      </c>
    </row>
    <row r="195" spans="1:12">
      <c r="A195" s="114">
        <v>10</v>
      </c>
      <c r="B195" s="117" t="s">
        <v>404</v>
      </c>
      <c r="C195" s="116" t="s">
        <v>252</v>
      </c>
      <c r="D195" s="116">
        <v>461.02800000000002</v>
      </c>
      <c r="E195" s="108">
        <v>133.47741882534956</v>
      </c>
      <c r="F195" s="156"/>
      <c r="G195" s="156">
        <f t="shared" ref="G195:G203" si="27">+E195</f>
        <v>133.47741882534956</v>
      </c>
      <c r="H195" s="122">
        <v>483842.73554948432</v>
      </c>
      <c r="I195" s="122"/>
      <c r="J195" s="122">
        <f t="shared" si="20"/>
        <v>64582079.458541363</v>
      </c>
      <c r="K195" s="122">
        <f t="shared" si="21"/>
        <v>0</v>
      </c>
      <c r="L195" s="122">
        <f t="shared" si="22"/>
        <v>64582079.458541363</v>
      </c>
    </row>
    <row r="196" spans="1:12">
      <c r="A196" s="114">
        <v>11</v>
      </c>
      <c r="B196" s="117" t="s">
        <v>525</v>
      </c>
      <c r="C196" s="116" t="s">
        <v>252</v>
      </c>
      <c r="D196" s="116">
        <v>461.02800000000002</v>
      </c>
      <c r="E196" s="108">
        <v>133.47741882534956</v>
      </c>
      <c r="F196" s="156"/>
      <c r="G196" s="156">
        <f t="shared" si="27"/>
        <v>133.47741882534956</v>
      </c>
      <c r="H196" s="122">
        <v>242976.41373975982</v>
      </c>
      <c r="I196" s="122"/>
      <c r="J196" s="122">
        <f t="shared" si="20"/>
        <v>32431864.541423343</v>
      </c>
      <c r="K196" s="122">
        <f t="shared" si="21"/>
        <v>0</v>
      </c>
      <c r="L196" s="122">
        <f t="shared" si="22"/>
        <v>32431864.541423343</v>
      </c>
    </row>
    <row r="197" spans="1:12">
      <c r="A197" s="114"/>
      <c r="B197" s="115" t="s">
        <v>526</v>
      </c>
      <c r="C197" s="116"/>
      <c r="D197" s="116"/>
      <c r="E197" s="108"/>
      <c r="F197" s="156"/>
      <c r="G197" s="156"/>
      <c r="H197" s="122"/>
      <c r="I197" s="122"/>
      <c r="J197" s="122"/>
      <c r="K197" s="122"/>
      <c r="L197" s="122"/>
    </row>
    <row r="198" spans="1:12">
      <c r="A198" s="114">
        <v>12</v>
      </c>
      <c r="B198" s="117" t="s">
        <v>405</v>
      </c>
      <c r="C198" s="116" t="s">
        <v>145</v>
      </c>
      <c r="D198" s="116">
        <v>22.677</v>
      </c>
      <c r="E198" s="108">
        <v>22.677</v>
      </c>
      <c r="F198" s="156"/>
      <c r="G198" s="156">
        <f t="shared" si="27"/>
        <v>22.677</v>
      </c>
      <c r="H198" s="122">
        <v>1520968.5992504628</v>
      </c>
      <c r="I198" s="122"/>
      <c r="J198" s="122">
        <f t="shared" si="20"/>
        <v>34491004.925202742</v>
      </c>
      <c r="K198" s="122">
        <f t="shared" si="21"/>
        <v>0</v>
      </c>
      <c r="L198" s="122">
        <f t="shared" si="22"/>
        <v>34491004.925202742</v>
      </c>
    </row>
    <row r="199" spans="1:12">
      <c r="A199" s="114">
        <v>13</v>
      </c>
      <c r="B199" s="117" t="s">
        <v>510</v>
      </c>
      <c r="C199" s="116" t="s">
        <v>28</v>
      </c>
      <c r="D199" s="116">
        <v>22.677</v>
      </c>
      <c r="E199" s="108">
        <v>22.677</v>
      </c>
      <c r="F199" s="156"/>
      <c r="G199" s="156">
        <f t="shared" si="27"/>
        <v>22.677</v>
      </c>
      <c r="H199" s="122">
        <v>464489.026127505</v>
      </c>
      <c r="I199" s="122"/>
      <c r="J199" s="122">
        <f t="shared" si="20"/>
        <v>10533217.645493431</v>
      </c>
      <c r="K199" s="122">
        <f t="shared" si="21"/>
        <v>0</v>
      </c>
      <c r="L199" s="122">
        <f t="shared" si="22"/>
        <v>10533217.645493431</v>
      </c>
    </row>
    <row r="200" spans="1:12" hidden="1">
      <c r="A200" s="114"/>
      <c r="B200" s="117"/>
      <c r="C200" s="116"/>
      <c r="D200" s="116"/>
      <c r="E200" s="108">
        <v>19423.5313957465</v>
      </c>
      <c r="F200" s="156"/>
      <c r="G200" s="156">
        <f t="shared" si="27"/>
        <v>19423.5313957465</v>
      </c>
      <c r="H200" s="122"/>
      <c r="I200" s="122"/>
      <c r="J200" s="122"/>
      <c r="K200" s="122"/>
      <c r="L200" s="122"/>
    </row>
    <row r="201" spans="1:12">
      <c r="A201" s="114">
        <v>14</v>
      </c>
      <c r="B201" s="117" t="s">
        <v>407</v>
      </c>
      <c r="C201" s="116" t="s">
        <v>145</v>
      </c>
      <c r="D201" s="116">
        <v>155.16</v>
      </c>
      <c r="E201" s="108">
        <v>76.269360312465011</v>
      </c>
      <c r="F201" s="156"/>
      <c r="G201" s="156">
        <f t="shared" si="27"/>
        <v>76.269360312465011</v>
      </c>
      <c r="H201" s="122">
        <v>1326087.4974319201</v>
      </c>
      <c r="I201" s="122"/>
      <c r="J201" s="122">
        <f t="shared" si="20"/>
        <v>101139845.14749014</v>
      </c>
      <c r="K201" s="122">
        <f t="shared" si="21"/>
        <v>0</v>
      </c>
      <c r="L201" s="122">
        <f t="shared" si="22"/>
        <v>101139845.14749014</v>
      </c>
    </row>
    <row r="202" spans="1:12" ht="31.2">
      <c r="A202" s="114" t="s">
        <v>852</v>
      </c>
      <c r="B202" s="117" t="s">
        <v>853</v>
      </c>
      <c r="C202" s="116" t="s">
        <v>854</v>
      </c>
      <c r="D202" s="116">
        <v>0</v>
      </c>
      <c r="E202" s="108">
        <v>117.96595364499998</v>
      </c>
      <c r="F202" s="159"/>
      <c r="G202" s="159">
        <f t="shared" si="27"/>
        <v>117.96595364499998</v>
      </c>
      <c r="H202" s="142">
        <v>0</v>
      </c>
      <c r="I202" s="142">
        <v>2124941.8093873938</v>
      </c>
      <c r="J202" s="142">
        <f t="shared" si="20"/>
        <v>250670786.9845157</v>
      </c>
      <c r="K202" s="142">
        <f t="shared" si="21"/>
        <v>0</v>
      </c>
      <c r="L202" s="142">
        <f t="shared" si="22"/>
        <v>250670786.9845157</v>
      </c>
    </row>
    <row r="203" spans="1:12">
      <c r="A203" s="114">
        <v>15</v>
      </c>
      <c r="B203" s="117" t="s">
        <v>409</v>
      </c>
      <c r="C203" s="116" t="s">
        <v>145</v>
      </c>
      <c r="D203" s="116">
        <v>6.8029999999999999</v>
      </c>
      <c r="E203" s="108">
        <v>6.8029999999999999</v>
      </c>
      <c r="F203" s="159"/>
      <c r="G203" s="159">
        <f t="shared" si="27"/>
        <v>6.8029999999999999</v>
      </c>
      <c r="H203" s="142">
        <v>189379.47582066723</v>
      </c>
      <c r="I203" s="142"/>
      <c r="J203" s="142">
        <f t="shared" si="20"/>
        <v>1288348.5740079992</v>
      </c>
      <c r="K203" s="142">
        <f t="shared" si="21"/>
        <v>0</v>
      </c>
      <c r="L203" s="142">
        <f t="shared" si="22"/>
        <v>1288348.5740079992</v>
      </c>
    </row>
    <row r="204" spans="1:12" s="129" customFormat="1">
      <c r="A204" s="125">
        <v>16</v>
      </c>
      <c r="B204" s="130" t="s">
        <v>411</v>
      </c>
      <c r="C204" s="126" t="s">
        <v>149</v>
      </c>
      <c r="D204" s="126">
        <v>41.058</v>
      </c>
      <c r="E204" s="127">
        <v>41.058</v>
      </c>
      <c r="F204" s="157">
        <f>1263.07675/100</f>
        <v>12.630767499999999</v>
      </c>
      <c r="G204" s="157">
        <f>+E204-F204</f>
        <v>28.427232500000002</v>
      </c>
      <c r="H204" s="128">
        <v>1534820.675837225</v>
      </c>
      <c r="I204" s="128"/>
      <c r="J204" s="128">
        <f t="shared" ref="J204:J267" si="28">+E204*MAX(H204:I204)</f>
        <v>63016667.308524787</v>
      </c>
      <c r="K204" s="128">
        <f t="shared" ref="K204:K267" si="29">+F204*MAX(H204:I204)</f>
        <v>19385963.110692855</v>
      </c>
      <c r="L204" s="128">
        <f t="shared" ref="L204:L267" si="30">+G204*MAX(H204:I204)</f>
        <v>43630704.197831929</v>
      </c>
    </row>
    <row r="205" spans="1:12" s="129" customFormat="1">
      <c r="A205" s="125">
        <v>17</v>
      </c>
      <c r="B205" s="130" t="s">
        <v>412</v>
      </c>
      <c r="C205" s="126" t="s">
        <v>149</v>
      </c>
      <c r="D205" s="126">
        <v>41.058</v>
      </c>
      <c r="E205" s="127">
        <v>41.058</v>
      </c>
      <c r="F205" s="157">
        <f>+F204</f>
        <v>12.630767499999999</v>
      </c>
      <c r="G205" s="157">
        <f>+G204</f>
        <v>28.427232500000002</v>
      </c>
      <c r="H205" s="128">
        <v>24362.23294979722</v>
      </c>
      <c r="I205" s="128"/>
      <c r="J205" s="128">
        <f t="shared" si="28"/>
        <v>1000264.5604527743</v>
      </c>
      <c r="K205" s="128">
        <f t="shared" si="29"/>
        <v>307713.70016972785</v>
      </c>
      <c r="L205" s="128">
        <f t="shared" si="30"/>
        <v>692550.8602830465</v>
      </c>
    </row>
    <row r="206" spans="1:12">
      <c r="A206" s="114"/>
      <c r="B206" s="115" t="s">
        <v>350</v>
      </c>
      <c r="C206" s="116"/>
      <c r="D206" s="116"/>
      <c r="E206" s="108"/>
      <c r="F206" s="156"/>
      <c r="G206" s="156"/>
      <c r="H206" s="122"/>
      <c r="I206" s="122"/>
      <c r="J206" s="122">
        <f t="shared" si="28"/>
        <v>0</v>
      </c>
      <c r="K206" s="122">
        <f t="shared" si="29"/>
        <v>0</v>
      </c>
      <c r="L206" s="122">
        <f t="shared" si="30"/>
        <v>0</v>
      </c>
    </row>
    <row r="207" spans="1:12" s="129" customFormat="1" ht="31.2">
      <c r="A207" s="125">
        <v>18</v>
      </c>
      <c r="B207" s="130" t="s">
        <v>413</v>
      </c>
      <c r="C207" s="126" t="s">
        <v>149</v>
      </c>
      <c r="D207" s="126">
        <v>146.27199999999999</v>
      </c>
      <c r="E207" s="127">
        <v>0</v>
      </c>
      <c r="F207" s="157"/>
      <c r="G207" s="157"/>
      <c r="H207" s="128">
        <v>1164681.0166441561</v>
      </c>
      <c r="I207" s="128"/>
      <c r="J207" s="128">
        <f t="shared" si="28"/>
        <v>0</v>
      </c>
      <c r="K207" s="128">
        <f t="shared" si="29"/>
        <v>0</v>
      </c>
      <c r="L207" s="128">
        <f t="shared" si="30"/>
        <v>0</v>
      </c>
    </row>
    <row r="208" spans="1:12" s="129" customFormat="1" ht="31.2">
      <c r="A208" s="125">
        <v>19</v>
      </c>
      <c r="B208" s="130" t="s">
        <v>414</v>
      </c>
      <c r="C208" s="126" t="s">
        <v>415</v>
      </c>
      <c r="D208" s="126">
        <v>24.31</v>
      </c>
      <c r="E208" s="127">
        <v>0</v>
      </c>
      <c r="F208" s="157"/>
      <c r="G208" s="157"/>
      <c r="H208" s="128">
        <v>114207703.6275613</v>
      </c>
      <c r="I208" s="128"/>
      <c r="J208" s="128">
        <f t="shared" si="28"/>
        <v>0</v>
      </c>
      <c r="K208" s="128">
        <f t="shared" si="29"/>
        <v>0</v>
      </c>
      <c r="L208" s="128">
        <f t="shared" si="30"/>
        <v>0</v>
      </c>
    </row>
    <row r="209" spans="1:12" s="129" customFormat="1" ht="31.2">
      <c r="A209" s="125" t="s">
        <v>855</v>
      </c>
      <c r="B209" s="130" t="s">
        <v>795</v>
      </c>
      <c r="C209" s="126" t="s">
        <v>149</v>
      </c>
      <c r="D209" s="126"/>
      <c r="E209" s="127">
        <v>122.00279999999999</v>
      </c>
      <c r="F209" s="160">
        <v>60.471899999999998</v>
      </c>
      <c r="G209" s="160">
        <f>+E209-F209</f>
        <v>61.530899999999995</v>
      </c>
      <c r="H209" s="128">
        <v>0</v>
      </c>
      <c r="I209" s="128">
        <v>1450470.8478000001</v>
      </c>
      <c r="J209" s="128">
        <f t="shared" si="28"/>
        <v>176961504.74997383</v>
      </c>
      <c r="K209" s="128">
        <f t="shared" si="29"/>
        <v>87712728.06107682</v>
      </c>
      <c r="L209" s="128">
        <f t="shared" si="30"/>
        <v>89248776.688897014</v>
      </c>
    </row>
    <row r="210" spans="1:12" s="129" customFormat="1">
      <c r="A210" s="125" t="s">
        <v>856</v>
      </c>
      <c r="B210" s="130" t="s">
        <v>804</v>
      </c>
      <c r="C210" s="126" t="s">
        <v>415</v>
      </c>
      <c r="D210" s="126"/>
      <c r="E210" s="127">
        <v>21.049143083999997</v>
      </c>
      <c r="F210" s="157">
        <f>17.253*F209/100</f>
        <v>10.433216906999998</v>
      </c>
      <c r="G210" s="157">
        <f>17.253*G209/100</f>
        <v>10.615926176999999</v>
      </c>
      <c r="H210" s="128">
        <v>0</v>
      </c>
      <c r="I210" s="128">
        <v>150219973.99520001</v>
      </c>
      <c r="J210" s="128">
        <f t="shared" si="28"/>
        <v>3162001726.6997237</v>
      </c>
      <c r="K210" s="128">
        <f t="shared" si="29"/>
        <v>1567277572.4558208</v>
      </c>
      <c r="L210" s="128">
        <f t="shared" si="30"/>
        <v>1594724154.2439029</v>
      </c>
    </row>
    <row r="211" spans="1:12" s="129" customFormat="1">
      <c r="A211" s="125">
        <v>20</v>
      </c>
      <c r="B211" s="130" t="s">
        <v>502</v>
      </c>
      <c r="C211" s="126" t="s">
        <v>415</v>
      </c>
      <c r="D211" s="126">
        <v>24.31</v>
      </c>
      <c r="E211" s="127">
        <v>21.049143083999997</v>
      </c>
      <c r="F211" s="157">
        <f>+F210</f>
        <v>10.433216906999998</v>
      </c>
      <c r="G211" s="157">
        <f>+G210</f>
        <v>10.615926176999999</v>
      </c>
      <c r="H211" s="128">
        <v>4705361.9552235175</v>
      </c>
      <c r="I211" s="128"/>
      <c r="J211" s="128">
        <f t="shared" si="28"/>
        <v>99043837.05750981</v>
      </c>
      <c r="K211" s="128">
        <f t="shared" si="29"/>
        <v>49092061.90479257</v>
      </c>
      <c r="L211" s="128">
        <f t="shared" si="30"/>
        <v>49951775.152717233</v>
      </c>
    </row>
    <row r="212" spans="1:12" s="129" customFormat="1">
      <c r="A212" s="125">
        <v>21</v>
      </c>
      <c r="B212" s="130" t="s">
        <v>511</v>
      </c>
      <c r="C212" s="126" t="s">
        <v>415</v>
      </c>
      <c r="D212" s="126">
        <v>24.31</v>
      </c>
      <c r="E212" s="127">
        <v>0</v>
      </c>
      <c r="F212" s="157">
        <v>0</v>
      </c>
      <c r="G212" s="157">
        <v>0</v>
      </c>
      <c r="H212" s="128">
        <v>13145138.160624428</v>
      </c>
      <c r="I212" s="128"/>
      <c r="J212" s="128">
        <f t="shared" si="28"/>
        <v>0</v>
      </c>
      <c r="K212" s="128">
        <f t="shared" si="29"/>
        <v>0</v>
      </c>
      <c r="L212" s="128">
        <f t="shared" si="30"/>
        <v>0</v>
      </c>
    </row>
    <row r="213" spans="1:12" s="129" customFormat="1">
      <c r="A213" s="125" t="s">
        <v>842</v>
      </c>
      <c r="B213" s="130" t="s">
        <v>799</v>
      </c>
      <c r="C213" s="126" t="s">
        <v>415</v>
      </c>
      <c r="D213" s="126"/>
      <c r="E213" s="127">
        <v>21.049143083999997</v>
      </c>
      <c r="F213" s="157">
        <f>+F211</f>
        <v>10.433216906999998</v>
      </c>
      <c r="G213" s="157">
        <f>+G211</f>
        <v>10.615926176999999</v>
      </c>
      <c r="H213" s="128"/>
      <c r="I213" s="128">
        <v>14726563.098200001</v>
      </c>
      <c r="J213" s="128">
        <f t="shared" si="28"/>
        <v>309981533.7895661</v>
      </c>
      <c r="K213" s="128">
        <f t="shared" si="29"/>
        <v>153645427.09814253</v>
      </c>
      <c r="L213" s="128">
        <f t="shared" si="30"/>
        <v>156336106.69142359</v>
      </c>
    </row>
    <row r="214" spans="1:12" s="129" customFormat="1">
      <c r="A214" s="125">
        <v>22</v>
      </c>
      <c r="B214" s="130" t="s">
        <v>503</v>
      </c>
      <c r="C214" s="126" t="s">
        <v>149</v>
      </c>
      <c r="D214" s="126">
        <v>14.627000000000001</v>
      </c>
      <c r="E214" s="127">
        <v>122.00279999999999</v>
      </c>
      <c r="F214" s="157">
        <f>+F209</f>
        <v>60.471899999999998</v>
      </c>
      <c r="G214" s="157">
        <f>+G209</f>
        <v>61.530899999999995</v>
      </c>
      <c r="H214" s="128">
        <v>1783035.3754178607</v>
      </c>
      <c r="I214" s="128"/>
      <c r="J214" s="128">
        <f t="shared" si="28"/>
        <v>217535308.30003017</v>
      </c>
      <c r="K214" s="128">
        <f t="shared" si="29"/>
        <v>107823536.91873133</v>
      </c>
      <c r="L214" s="128">
        <f t="shared" si="30"/>
        <v>109711771.38129884</v>
      </c>
    </row>
    <row r="215" spans="1:12" s="129" customFormat="1">
      <c r="A215" s="125">
        <v>23</v>
      </c>
      <c r="B215" s="130" t="s">
        <v>418</v>
      </c>
      <c r="C215" s="126" t="s">
        <v>145</v>
      </c>
      <c r="D215" s="126">
        <v>21.940999999999999</v>
      </c>
      <c r="E215" s="127">
        <v>18.300619999999999</v>
      </c>
      <c r="F215" s="157">
        <f>6047.19*0.15/100</f>
        <v>9.070784999999999</v>
      </c>
      <c r="G215" s="157">
        <f>+E215-F215</f>
        <v>9.2298349999999996</v>
      </c>
      <c r="H215" s="128">
        <v>30928790.531593096</v>
      </c>
      <c r="I215" s="128"/>
      <c r="J215" s="128">
        <f t="shared" si="28"/>
        <v>566016042.57828319</v>
      </c>
      <c r="K215" s="128">
        <f t="shared" si="29"/>
        <v>280548409.22211665</v>
      </c>
      <c r="L215" s="128">
        <f t="shared" si="30"/>
        <v>285467633.35616654</v>
      </c>
    </row>
    <row r="216" spans="1:12" s="129" customFormat="1">
      <c r="A216" s="125">
        <v>24</v>
      </c>
      <c r="B216" s="130" t="s">
        <v>419</v>
      </c>
      <c r="C216" s="126" t="s">
        <v>145</v>
      </c>
      <c r="D216" s="126">
        <v>46.637999999999998</v>
      </c>
      <c r="E216" s="127">
        <v>38.871855999999994</v>
      </c>
      <c r="F216" s="157">
        <f>6047.19*0.32/100</f>
        <v>19.351008</v>
      </c>
      <c r="G216" s="157">
        <f>+E216-F216</f>
        <v>19.520847999999994</v>
      </c>
      <c r="H216" s="128">
        <v>30775729.176017962</v>
      </c>
      <c r="I216" s="128"/>
      <c r="J216" s="128">
        <f t="shared" si="28"/>
        <v>1196309712.8251686</v>
      </c>
      <c r="K216" s="128">
        <f t="shared" si="29"/>
        <v>595541381.49095702</v>
      </c>
      <c r="L216" s="128">
        <f t="shared" si="30"/>
        <v>600768331.33421171</v>
      </c>
    </row>
    <row r="217" spans="1:12">
      <c r="A217" s="114"/>
      <c r="B217" s="115" t="s">
        <v>420</v>
      </c>
      <c r="C217" s="116"/>
      <c r="D217" s="116"/>
      <c r="E217" s="108"/>
      <c r="F217" s="156"/>
      <c r="G217" s="156"/>
      <c r="H217" s="122"/>
      <c r="I217" s="122"/>
      <c r="J217" s="122">
        <f t="shared" si="28"/>
        <v>0</v>
      </c>
      <c r="K217" s="122">
        <f t="shared" si="29"/>
        <v>0</v>
      </c>
      <c r="L217" s="122">
        <f t="shared" si="30"/>
        <v>0</v>
      </c>
    </row>
    <row r="218" spans="1:12" s="129" customFormat="1" ht="31.2">
      <c r="A218" s="125">
        <v>25</v>
      </c>
      <c r="B218" s="130" t="s">
        <v>413</v>
      </c>
      <c r="C218" s="126" t="s">
        <v>149</v>
      </c>
      <c r="D218" s="126">
        <v>8.07</v>
      </c>
      <c r="E218" s="127">
        <v>0</v>
      </c>
      <c r="F218" s="157"/>
      <c r="G218" s="157"/>
      <c r="H218" s="128">
        <v>1164681.0166441561</v>
      </c>
      <c r="I218" s="128"/>
      <c r="J218" s="128">
        <f t="shared" si="28"/>
        <v>0</v>
      </c>
      <c r="K218" s="128">
        <f t="shared" si="29"/>
        <v>0</v>
      </c>
      <c r="L218" s="128">
        <f t="shared" si="30"/>
        <v>0</v>
      </c>
    </row>
    <row r="219" spans="1:12" s="129" customFormat="1" ht="31.2">
      <c r="A219" s="125">
        <v>26</v>
      </c>
      <c r="B219" s="130" t="s">
        <v>414</v>
      </c>
      <c r="C219" s="126" t="s">
        <v>415</v>
      </c>
      <c r="D219" s="126">
        <v>1.341</v>
      </c>
      <c r="E219" s="127">
        <v>0</v>
      </c>
      <c r="F219" s="157"/>
      <c r="G219" s="157"/>
      <c r="H219" s="128">
        <v>114207703.6275613</v>
      </c>
      <c r="I219" s="128"/>
      <c r="J219" s="128">
        <f t="shared" si="28"/>
        <v>0</v>
      </c>
      <c r="K219" s="128">
        <f t="shared" si="29"/>
        <v>0</v>
      </c>
      <c r="L219" s="128">
        <f t="shared" si="30"/>
        <v>0</v>
      </c>
    </row>
    <row r="220" spans="1:12" s="129" customFormat="1" ht="31.2">
      <c r="A220" s="125" t="s">
        <v>857</v>
      </c>
      <c r="B220" s="130" t="s">
        <v>795</v>
      </c>
      <c r="C220" s="126" t="s">
        <v>149</v>
      </c>
      <c r="D220" s="126"/>
      <c r="E220" s="127">
        <v>8.07</v>
      </c>
      <c r="F220" s="160">
        <f>+E220-G220</f>
        <v>5.4250000000000007</v>
      </c>
      <c r="G220" s="160">
        <f>(132.25+132.25)/100</f>
        <v>2.645</v>
      </c>
      <c r="H220" s="128">
        <v>0</v>
      </c>
      <c r="I220" s="128">
        <v>1450470.8478000001</v>
      </c>
      <c r="J220" s="128">
        <f t="shared" si="28"/>
        <v>11705299.741746001</v>
      </c>
      <c r="K220" s="128">
        <f t="shared" si="29"/>
        <v>7868804.3493150016</v>
      </c>
      <c r="L220" s="128">
        <f t="shared" si="30"/>
        <v>3836495.3924310002</v>
      </c>
    </row>
    <row r="221" spans="1:12" s="129" customFormat="1">
      <c r="A221" s="125" t="s">
        <v>858</v>
      </c>
      <c r="B221" s="130" t="s">
        <v>804</v>
      </c>
      <c r="C221" s="126" t="s">
        <v>415</v>
      </c>
      <c r="D221" s="126"/>
      <c r="E221" s="127">
        <v>1.3923170999999999</v>
      </c>
      <c r="F221" s="160">
        <f>17.253*F220/100</f>
        <v>0.93597525000000015</v>
      </c>
      <c r="G221" s="160">
        <f>+E221-F221</f>
        <v>0.45634184999999972</v>
      </c>
      <c r="H221" s="128">
        <v>0</v>
      </c>
      <c r="I221" s="128">
        <v>150219973.99520001</v>
      </c>
      <c r="J221" s="128">
        <f t="shared" si="28"/>
        <v>209153838.55507228</v>
      </c>
      <c r="K221" s="128">
        <f t="shared" si="29"/>
        <v>140602177.71515086</v>
      </c>
      <c r="L221" s="128">
        <f t="shared" si="30"/>
        <v>68551660.839921415</v>
      </c>
    </row>
    <row r="222" spans="1:12" s="129" customFormat="1">
      <c r="A222" s="125">
        <v>27</v>
      </c>
      <c r="B222" s="130" t="s">
        <v>502</v>
      </c>
      <c r="C222" s="126" t="s">
        <v>415</v>
      </c>
      <c r="D222" s="126">
        <v>1.341</v>
      </c>
      <c r="E222" s="127">
        <v>1.3923170999999999</v>
      </c>
      <c r="F222" s="160">
        <f>+F221</f>
        <v>0.93597525000000015</v>
      </c>
      <c r="G222" s="160">
        <f>+G221</f>
        <v>0.45634184999999972</v>
      </c>
      <c r="H222" s="128">
        <v>4705361.9552235175</v>
      </c>
      <c r="I222" s="128"/>
      <c r="J222" s="128">
        <f t="shared" si="28"/>
        <v>6551355.9119471367</v>
      </c>
      <c r="K222" s="128">
        <f t="shared" si="29"/>
        <v>4404102.332380821</v>
      </c>
      <c r="L222" s="128">
        <f t="shared" si="30"/>
        <v>2147253.5795663157</v>
      </c>
    </row>
    <row r="223" spans="1:12" s="129" customFormat="1">
      <c r="A223" s="125">
        <v>28</v>
      </c>
      <c r="B223" s="130" t="s">
        <v>527</v>
      </c>
      <c r="C223" s="126" t="s">
        <v>415</v>
      </c>
      <c r="D223" s="126">
        <v>1.341</v>
      </c>
      <c r="E223" s="127">
        <v>0</v>
      </c>
      <c r="F223" s="160">
        <v>0</v>
      </c>
      <c r="G223" s="160">
        <v>0</v>
      </c>
      <c r="H223" s="128">
        <v>13145138.160624428</v>
      </c>
      <c r="I223" s="128"/>
      <c r="J223" s="128">
        <f t="shared" si="28"/>
        <v>0</v>
      </c>
      <c r="K223" s="128">
        <f t="shared" si="29"/>
        <v>0</v>
      </c>
      <c r="L223" s="128">
        <f t="shared" si="30"/>
        <v>0</v>
      </c>
    </row>
    <row r="224" spans="1:12" s="129" customFormat="1">
      <c r="A224" s="125" t="s">
        <v>842</v>
      </c>
      <c r="B224" s="130" t="s">
        <v>799</v>
      </c>
      <c r="C224" s="126" t="s">
        <v>415</v>
      </c>
      <c r="D224" s="126"/>
      <c r="E224" s="127">
        <v>1.3923170999999999</v>
      </c>
      <c r="F224" s="160">
        <f>+F221</f>
        <v>0.93597525000000015</v>
      </c>
      <c r="G224" s="160">
        <f>+G221</f>
        <v>0.45634184999999972</v>
      </c>
      <c r="H224" s="128"/>
      <c r="I224" s="128">
        <v>14726563.098200001</v>
      </c>
      <c r="J224" s="128">
        <f t="shared" si="28"/>
        <v>20504045.625852838</v>
      </c>
      <c r="K224" s="128">
        <f t="shared" si="29"/>
        <v>13783698.577478522</v>
      </c>
      <c r="L224" s="128">
        <f t="shared" si="30"/>
        <v>6720347.0483743157</v>
      </c>
    </row>
    <row r="225" spans="1:12" s="129" customFormat="1">
      <c r="A225" s="125">
        <v>29</v>
      </c>
      <c r="B225" s="130" t="s">
        <v>503</v>
      </c>
      <c r="C225" s="126" t="s">
        <v>149</v>
      </c>
      <c r="D225" s="126">
        <v>5.9960000000000004</v>
      </c>
      <c r="E225" s="143">
        <v>5.9960000000000004</v>
      </c>
      <c r="F225" s="161">
        <f>+E225-G225</f>
        <v>3.3510000000000004</v>
      </c>
      <c r="G225" s="160">
        <f>+G220</f>
        <v>2.645</v>
      </c>
      <c r="H225" s="128">
        <v>1783035.3754178607</v>
      </c>
      <c r="I225" s="128"/>
      <c r="J225" s="128">
        <f t="shared" si="28"/>
        <v>10691080.111005494</v>
      </c>
      <c r="K225" s="128">
        <f t="shared" si="29"/>
        <v>5974951.5430252515</v>
      </c>
      <c r="L225" s="128">
        <f t="shared" si="30"/>
        <v>4716128.567980242</v>
      </c>
    </row>
    <row r="226" spans="1:12" s="129" customFormat="1">
      <c r="A226" s="125">
        <v>30</v>
      </c>
      <c r="B226" s="130" t="s">
        <v>418</v>
      </c>
      <c r="C226" s="126" t="s">
        <v>145</v>
      </c>
      <c r="D226" s="126">
        <v>1.2110000000000001</v>
      </c>
      <c r="E226" s="127">
        <v>1.2110000000000001</v>
      </c>
      <c r="F226" s="160">
        <f>+F220*0.15</f>
        <v>0.81375000000000008</v>
      </c>
      <c r="G226" s="160">
        <f>+E226-F226</f>
        <v>0.39724999999999999</v>
      </c>
      <c r="H226" s="128">
        <v>30928790.531593096</v>
      </c>
      <c r="I226" s="128"/>
      <c r="J226" s="128">
        <f t="shared" si="28"/>
        <v>37454765.333759241</v>
      </c>
      <c r="K226" s="128">
        <f t="shared" si="29"/>
        <v>25168303.295083884</v>
      </c>
      <c r="L226" s="128">
        <f t="shared" si="30"/>
        <v>12286462.038675357</v>
      </c>
    </row>
    <row r="227" spans="1:12">
      <c r="A227" s="114"/>
      <c r="B227" s="115" t="s">
        <v>513</v>
      </c>
      <c r="C227" s="116"/>
      <c r="D227" s="116"/>
      <c r="E227" s="108"/>
      <c r="F227" s="156"/>
      <c r="G227" s="156"/>
      <c r="H227" s="122">
        <v>0</v>
      </c>
      <c r="I227" s="122"/>
      <c r="J227" s="122">
        <f t="shared" si="28"/>
        <v>0</v>
      </c>
      <c r="K227" s="122">
        <f t="shared" si="29"/>
        <v>0</v>
      </c>
      <c r="L227" s="122">
        <f t="shared" si="30"/>
        <v>0</v>
      </c>
    </row>
    <row r="228" spans="1:12" s="129" customFormat="1">
      <c r="A228" s="125">
        <v>31</v>
      </c>
      <c r="B228" s="130" t="s">
        <v>425</v>
      </c>
      <c r="C228" s="126" t="s">
        <v>144</v>
      </c>
      <c r="D228" s="126">
        <v>68.16</v>
      </c>
      <c r="E228" s="127">
        <v>68.16</v>
      </c>
      <c r="F228" s="157">
        <f>19*0.1*0.8</f>
        <v>1.5200000000000002</v>
      </c>
      <c r="G228" s="157">
        <f>+E228-F228</f>
        <v>66.64</v>
      </c>
      <c r="H228" s="128">
        <v>842210.9705639804</v>
      </c>
      <c r="I228" s="128"/>
      <c r="J228" s="128">
        <f t="shared" si="28"/>
        <v>57405099.753640898</v>
      </c>
      <c r="K228" s="128">
        <f t="shared" si="29"/>
        <v>1280160.6752572504</v>
      </c>
      <c r="L228" s="128">
        <f t="shared" si="30"/>
        <v>56124939.078383654</v>
      </c>
    </row>
    <row r="229" spans="1:12" s="129" customFormat="1">
      <c r="A229" s="125">
        <v>32</v>
      </c>
      <c r="B229" s="130" t="s">
        <v>514</v>
      </c>
      <c r="C229" s="126" t="s">
        <v>144</v>
      </c>
      <c r="D229" s="126">
        <v>267.95400000000001</v>
      </c>
      <c r="E229" s="127">
        <v>267.95400000000001</v>
      </c>
      <c r="F229" s="157">
        <f>19*0.135</f>
        <v>2.5650000000000004</v>
      </c>
      <c r="G229" s="157">
        <f t="shared" ref="G229:G233" si="31">+E229-F229</f>
        <v>265.38900000000001</v>
      </c>
      <c r="H229" s="128">
        <v>1442622.6317132101</v>
      </c>
      <c r="I229" s="128"/>
      <c r="J229" s="128">
        <f t="shared" si="28"/>
        <v>386556504.65808153</v>
      </c>
      <c r="K229" s="128">
        <f t="shared" si="29"/>
        <v>3700327.0503443847</v>
      </c>
      <c r="L229" s="128">
        <f t="shared" si="30"/>
        <v>382856177.60773712</v>
      </c>
    </row>
    <row r="230" spans="1:12" s="129" customFormat="1">
      <c r="A230" s="125">
        <v>33</v>
      </c>
      <c r="B230" s="130" t="s">
        <v>431</v>
      </c>
      <c r="C230" s="126" t="s">
        <v>144</v>
      </c>
      <c r="D230" s="126">
        <v>27.263999999999999</v>
      </c>
      <c r="E230" s="127">
        <v>27.263999999999999</v>
      </c>
      <c r="F230" s="157"/>
      <c r="G230" s="157">
        <f t="shared" si="31"/>
        <v>27.263999999999999</v>
      </c>
      <c r="H230" s="128">
        <v>1136557.5401075627</v>
      </c>
      <c r="I230" s="128"/>
      <c r="J230" s="128">
        <f t="shared" si="28"/>
        <v>30987104.77349259</v>
      </c>
      <c r="K230" s="128">
        <f t="shared" si="29"/>
        <v>0</v>
      </c>
      <c r="L230" s="128">
        <f t="shared" si="30"/>
        <v>30987104.77349259</v>
      </c>
    </row>
    <row r="231" spans="1:12" s="129" customFormat="1">
      <c r="A231" s="125">
        <v>34</v>
      </c>
      <c r="B231" s="130" t="s">
        <v>432</v>
      </c>
      <c r="C231" s="126" t="s">
        <v>146</v>
      </c>
      <c r="D231" s="126">
        <v>7.3070000000000004</v>
      </c>
      <c r="E231" s="127">
        <v>7.3070000000000004</v>
      </c>
      <c r="F231" s="157">
        <f>19*8.58/1000</f>
        <v>0.16302</v>
      </c>
      <c r="G231" s="157">
        <f>+E231-F231</f>
        <v>7.14398</v>
      </c>
      <c r="H231" s="128">
        <v>20380624.265171286</v>
      </c>
      <c r="I231" s="128"/>
      <c r="J231" s="128">
        <f t="shared" si="28"/>
        <v>148921221.50560659</v>
      </c>
      <c r="K231" s="128">
        <f t="shared" si="29"/>
        <v>3322449.3677082229</v>
      </c>
      <c r="L231" s="128">
        <f t="shared" si="30"/>
        <v>145598772.13789836</v>
      </c>
    </row>
    <row r="232" spans="1:12" s="129" customFormat="1">
      <c r="A232" s="125">
        <v>35</v>
      </c>
      <c r="B232" s="130" t="s">
        <v>433</v>
      </c>
      <c r="C232" s="126" t="s">
        <v>146</v>
      </c>
      <c r="D232" s="126">
        <v>11.119</v>
      </c>
      <c r="E232" s="127">
        <v>11.119</v>
      </c>
      <c r="F232" s="157">
        <f>19*13.05/1000</f>
        <v>0.24795</v>
      </c>
      <c r="G232" s="157">
        <f>+E232-F232</f>
        <v>10.87105</v>
      </c>
      <c r="H232" s="128">
        <v>20468933.139186095</v>
      </c>
      <c r="I232" s="128"/>
      <c r="J232" s="128">
        <f t="shared" si="28"/>
        <v>227594067.5746102</v>
      </c>
      <c r="K232" s="128">
        <f t="shared" si="29"/>
        <v>5075271.971861192</v>
      </c>
      <c r="L232" s="128">
        <f t="shared" si="30"/>
        <v>222518795.60274902</v>
      </c>
    </row>
    <row r="233" spans="1:12" s="129" customFormat="1">
      <c r="A233" s="125">
        <v>36</v>
      </c>
      <c r="B233" s="130" t="s">
        <v>434</v>
      </c>
      <c r="C233" s="126" t="s">
        <v>149</v>
      </c>
      <c r="D233" s="126">
        <v>24.367000000000001</v>
      </c>
      <c r="E233" s="127">
        <v>24.367000000000001</v>
      </c>
      <c r="F233" s="157">
        <f>19*2.86/100</f>
        <v>0.54339999999999999</v>
      </c>
      <c r="G233" s="157">
        <f t="shared" si="31"/>
        <v>23.823600000000003</v>
      </c>
      <c r="H233" s="128">
        <v>5813935.4808997139</v>
      </c>
      <c r="I233" s="128"/>
      <c r="J233" s="128">
        <f t="shared" si="28"/>
        <v>141668165.86308333</v>
      </c>
      <c r="K233" s="128">
        <f t="shared" si="29"/>
        <v>3159292.5403209045</v>
      </c>
      <c r="L233" s="128">
        <f t="shared" si="30"/>
        <v>138508873.32276243</v>
      </c>
    </row>
    <row r="234" spans="1:12">
      <c r="A234" s="114"/>
      <c r="B234" s="115" t="s">
        <v>435</v>
      </c>
      <c r="C234" s="116"/>
      <c r="D234" s="116"/>
      <c r="E234" s="108"/>
      <c r="F234" s="156"/>
      <c r="G234" s="156"/>
      <c r="H234" s="122"/>
      <c r="I234" s="122"/>
      <c r="J234" s="122">
        <f t="shared" si="28"/>
        <v>0</v>
      </c>
      <c r="K234" s="122">
        <f t="shared" si="29"/>
        <v>0</v>
      </c>
      <c r="L234" s="122">
        <f t="shared" si="30"/>
        <v>0</v>
      </c>
    </row>
    <row r="235" spans="1:12" s="129" customFormat="1">
      <c r="A235" s="125">
        <v>37</v>
      </c>
      <c r="B235" s="130" t="s">
        <v>436</v>
      </c>
      <c r="C235" s="126" t="s">
        <v>144</v>
      </c>
      <c r="D235" s="126">
        <v>111.61199999999999</v>
      </c>
      <c r="E235" s="127">
        <v>111.61199999999999</v>
      </c>
      <c r="F235" s="157"/>
      <c r="G235" s="157">
        <f>+E235</f>
        <v>111.61199999999999</v>
      </c>
      <c r="H235" s="128">
        <v>1566516.638610963</v>
      </c>
      <c r="I235" s="128"/>
      <c r="J235" s="128">
        <f t="shared" si="28"/>
        <v>174842055.06864679</v>
      </c>
      <c r="K235" s="128">
        <f t="shared" si="29"/>
        <v>0</v>
      </c>
      <c r="L235" s="128">
        <f t="shared" si="30"/>
        <v>174842055.06864679</v>
      </c>
    </row>
    <row r="236" spans="1:12" s="129" customFormat="1">
      <c r="A236" s="125">
        <v>38</v>
      </c>
      <c r="B236" s="130" t="s">
        <v>437</v>
      </c>
      <c r="C236" s="126" t="s">
        <v>146</v>
      </c>
      <c r="D236" s="126">
        <v>6.7169999999999996</v>
      </c>
      <c r="E236" s="127">
        <v>6.7169999999999996</v>
      </c>
      <c r="F236" s="157"/>
      <c r="G236" s="157">
        <f t="shared" ref="G236:G238" si="32">+E236</f>
        <v>6.7169999999999996</v>
      </c>
      <c r="H236" s="128">
        <v>23146185.931862913</v>
      </c>
      <c r="I236" s="128"/>
      <c r="J236" s="128">
        <f t="shared" si="28"/>
        <v>155472930.90432319</v>
      </c>
      <c r="K236" s="128">
        <f t="shared" si="29"/>
        <v>0</v>
      </c>
      <c r="L236" s="128">
        <f t="shared" si="30"/>
        <v>155472930.90432319</v>
      </c>
    </row>
    <row r="237" spans="1:12" s="129" customFormat="1">
      <c r="A237" s="125">
        <v>39</v>
      </c>
      <c r="B237" s="130" t="s">
        <v>438</v>
      </c>
      <c r="C237" s="126" t="s">
        <v>146</v>
      </c>
      <c r="D237" s="126">
        <v>5.4749999999999996</v>
      </c>
      <c r="E237" s="127">
        <v>5.4749999999999996</v>
      </c>
      <c r="F237" s="157"/>
      <c r="G237" s="157">
        <f t="shared" si="32"/>
        <v>5.4749999999999996</v>
      </c>
      <c r="H237" s="128">
        <v>22170915.161945313</v>
      </c>
      <c r="I237" s="128"/>
      <c r="J237" s="128">
        <f t="shared" si="28"/>
        <v>121385760.51165058</v>
      </c>
      <c r="K237" s="128">
        <f t="shared" si="29"/>
        <v>0</v>
      </c>
      <c r="L237" s="128">
        <f t="shared" si="30"/>
        <v>121385760.51165058</v>
      </c>
    </row>
    <row r="238" spans="1:12" s="129" customFormat="1">
      <c r="A238" s="125">
        <v>40</v>
      </c>
      <c r="B238" s="130" t="s">
        <v>337</v>
      </c>
      <c r="C238" s="126" t="s">
        <v>149</v>
      </c>
      <c r="D238" s="126">
        <v>22.501000000000001</v>
      </c>
      <c r="E238" s="127">
        <v>22.501000000000001</v>
      </c>
      <c r="F238" s="157"/>
      <c r="G238" s="157">
        <f t="shared" si="32"/>
        <v>22.501000000000001</v>
      </c>
      <c r="H238" s="128">
        <v>8046781.7858471721</v>
      </c>
      <c r="I238" s="128"/>
      <c r="J238" s="128">
        <f t="shared" si="28"/>
        <v>181060636.96334723</v>
      </c>
      <c r="K238" s="128">
        <f t="shared" si="29"/>
        <v>0</v>
      </c>
      <c r="L238" s="128">
        <f t="shared" si="30"/>
        <v>181060636.96334723</v>
      </c>
    </row>
    <row r="239" spans="1:12" s="129" customFormat="1">
      <c r="A239" s="125">
        <v>41</v>
      </c>
      <c r="B239" s="130" t="s">
        <v>439</v>
      </c>
      <c r="C239" s="126" t="s">
        <v>392</v>
      </c>
      <c r="D239" s="126">
        <v>852</v>
      </c>
      <c r="E239" s="127">
        <v>852</v>
      </c>
      <c r="F239" s="157">
        <v>19</v>
      </c>
      <c r="G239" s="157">
        <f>+E239-F239</f>
        <v>833</v>
      </c>
      <c r="H239" s="128">
        <v>32899.991206105726</v>
      </c>
      <c r="I239" s="128"/>
      <c r="J239" s="128">
        <f t="shared" si="28"/>
        <v>28030792.507602077</v>
      </c>
      <c r="K239" s="128">
        <f t="shared" si="29"/>
        <v>625099.83291600877</v>
      </c>
      <c r="L239" s="128">
        <f t="shared" si="30"/>
        <v>27405692.674686071</v>
      </c>
    </row>
    <row r="240" spans="1:12">
      <c r="A240" s="114"/>
      <c r="B240" s="115" t="s">
        <v>440</v>
      </c>
      <c r="C240" s="116"/>
      <c r="D240" s="116"/>
      <c r="E240" s="108"/>
      <c r="F240" s="156"/>
      <c r="G240" s="156"/>
      <c r="H240" s="122"/>
      <c r="I240" s="122"/>
      <c r="J240" s="122">
        <f t="shared" si="28"/>
        <v>0</v>
      </c>
      <c r="K240" s="122">
        <f t="shared" si="29"/>
        <v>0</v>
      </c>
      <c r="L240" s="122">
        <f t="shared" si="30"/>
        <v>0</v>
      </c>
    </row>
    <row r="241" spans="1:12">
      <c r="A241" s="114">
        <v>42</v>
      </c>
      <c r="B241" s="117" t="s">
        <v>425</v>
      </c>
      <c r="C241" s="116" t="s">
        <v>144</v>
      </c>
      <c r="D241" s="116">
        <v>2.7040000000000002</v>
      </c>
      <c r="E241" s="108">
        <v>2.7040000000000002</v>
      </c>
      <c r="F241" s="156"/>
      <c r="G241" s="156">
        <f>+E241</f>
        <v>2.7040000000000002</v>
      </c>
      <c r="H241" s="122">
        <v>842210.9705639804</v>
      </c>
      <c r="I241" s="122"/>
      <c r="J241" s="122">
        <f t="shared" si="28"/>
        <v>2277338.464405003</v>
      </c>
      <c r="K241" s="122">
        <f t="shared" si="29"/>
        <v>0</v>
      </c>
      <c r="L241" s="122">
        <f t="shared" si="30"/>
        <v>2277338.464405003</v>
      </c>
    </row>
    <row r="242" spans="1:12">
      <c r="A242" s="114">
        <v>43</v>
      </c>
      <c r="B242" s="117" t="s">
        <v>441</v>
      </c>
      <c r="C242" s="116" t="s">
        <v>144</v>
      </c>
      <c r="D242" s="116">
        <v>12.324</v>
      </c>
      <c r="E242" s="108">
        <v>12.324</v>
      </c>
      <c r="F242" s="156"/>
      <c r="G242" s="156">
        <f t="shared" ref="G242:G245" si="33">+E242</f>
        <v>12.324</v>
      </c>
      <c r="H242" s="122">
        <v>1666313.0174930859</v>
      </c>
      <c r="I242" s="122"/>
      <c r="J242" s="122">
        <f t="shared" si="28"/>
        <v>20535641.627584793</v>
      </c>
      <c r="K242" s="122">
        <f t="shared" si="29"/>
        <v>0</v>
      </c>
      <c r="L242" s="122">
        <f t="shared" si="30"/>
        <v>20535641.627584793</v>
      </c>
    </row>
    <row r="243" spans="1:12">
      <c r="A243" s="114">
        <v>44</v>
      </c>
      <c r="B243" s="117" t="s">
        <v>442</v>
      </c>
      <c r="C243" s="116" t="s">
        <v>146</v>
      </c>
      <c r="D243" s="116">
        <v>0.27</v>
      </c>
      <c r="E243" s="108">
        <v>0.27</v>
      </c>
      <c r="F243" s="156"/>
      <c r="G243" s="156">
        <f t="shared" si="33"/>
        <v>0.27</v>
      </c>
      <c r="H243" s="122">
        <v>20380624.265171286</v>
      </c>
      <c r="I243" s="122"/>
      <c r="J243" s="122">
        <f t="shared" si="28"/>
        <v>5502768.5515962476</v>
      </c>
      <c r="K243" s="122">
        <f t="shared" si="29"/>
        <v>0</v>
      </c>
      <c r="L243" s="122">
        <f t="shared" si="30"/>
        <v>5502768.5515962476</v>
      </c>
    </row>
    <row r="244" spans="1:12">
      <c r="A244" s="114">
        <v>45</v>
      </c>
      <c r="B244" s="117" t="s">
        <v>443</v>
      </c>
      <c r="C244" s="116" t="s">
        <v>146</v>
      </c>
      <c r="D244" s="116">
        <v>0.499</v>
      </c>
      <c r="E244" s="108">
        <v>0.499</v>
      </c>
      <c r="F244" s="156"/>
      <c r="G244" s="156">
        <f t="shared" si="33"/>
        <v>0.499</v>
      </c>
      <c r="H244" s="122">
        <v>20468933.139186095</v>
      </c>
      <c r="I244" s="122"/>
      <c r="J244" s="122">
        <f t="shared" si="28"/>
        <v>10213997.636453861</v>
      </c>
      <c r="K244" s="122">
        <f t="shared" si="29"/>
        <v>0</v>
      </c>
      <c r="L244" s="122">
        <f t="shared" si="30"/>
        <v>10213997.636453861</v>
      </c>
    </row>
    <row r="245" spans="1:12">
      <c r="A245" s="114">
        <v>46</v>
      </c>
      <c r="B245" s="117" t="s">
        <v>444</v>
      </c>
      <c r="C245" s="116" t="s">
        <v>149</v>
      </c>
      <c r="D245" s="116">
        <v>1.1020000000000001</v>
      </c>
      <c r="E245" s="108">
        <v>1.1020000000000001</v>
      </c>
      <c r="F245" s="156"/>
      <c r="G245" s="156">
        <f t="shared" si="33"/>
        <v>1.1020000000000001</v>
      </c>
      <c r="H245" s="122">
        <v>5813935.4808997139</v>
      </c>
      <c r="I245" s="122"/>
      <c r="J245" s="122">
        <f t="shared" si="28"/>
        <v>6406956.899951485</v>
      </c>
      <c r="K245" s="122">
        <f t="shared" si="29"/>
        <v>0</v>
      </c>
      <c r="L245" s="122">
        <f t="shared" si="30"/>
        <v>6406956.899951485</v>
      </c>
    </row>
    <row r="246" spans="1:12">
      <c r="A246" s="114"/>
      <c r="B246" s="115" t="s">
        <v>435</v>
      </c>
      <c r="C246" s="116"/>
      <c r="D246" s="116"/>
      <c r="E246" s="108"/>
      <c r="F246" s="156"/>
      <c r="G246" s="156"/>
      <c r="H246" s="122"/>
      <c r="I246" s="122"/>
      <c r="J246" s="122">
        <f t="shared" si="28"/>
        <v>0</v>
      </c>
      <c r="K246" s="122">
        <f t="shared" si="29"/>
        <v>0</v>
      </c>
      <c r="L246" s="122">
        <f t="shared" si="30"/>
        <v>0</v>
      </c>
    </row>
    <row r="247" spans="1:12">
      <c r="A247" s="114">
        <v>47</v>
      </c>
      <c r="B247" s="117" t="s">
        <v>436</v>
      </c>
      <c r="C247" s="116" t="s">
        <v>144</v>
      </c>
      <c r="D247" s="116">
        <v>3.198</v>
      </c>
      <c r="E247" s="108">
        <v>3.198</v>
      </c>
      <c r="F247" s="156"/>
      <c r="G247" s="156">
        <f>+E247</f>
        <v>3.198</v>
      </c>
      <c r="H247" s="122">
        <v>1566516.638610963</v>
      </c>
      <c r="I247" s="122"/>
      <c r="J247" s="122">
        <f t="shared" si="28"/>
        <v>5009720.2102778601</v>
      </c>
      <c r="K247" s="122">
        <f t="shared" si="29"/>
        <v>0</v>
      </c>
      <c r="L247" s="122">
        <f t="shared" si="30"/>
        <v>5009720.2102778601</v>
      </c>
    </row>
    <row r="248" spans="1:12">
      <c r="A248" s="114">
        <v>48</v>
      </c>
      <c r="B248" s="117" t="s">
        <v>437</v>
      </c>
      <c r="C248" s="116" t="s">
        <v>146</v>
      </c>
      <c r="D248" s="116">
        <v>0.187</v>
      </c>
      <c r="E248" s="108">
        <v>0.187</v>
      </c>
      <c r="F248" s="156"/>
      <c r="G248" s="156">
        <f t="shared" ref="G248:G251" si="34">+E248</f>
        <v>0.187</v>
      </c>
      <c r="H248" s="122">
        <v>23146185.931862913</v>
      </c>
      <c r="I248" s="122"/>
      <c r="J248" s="122">
        <f t="shared" si="28"/>
        <v>4328336.769258365</v>
      </c>
      <c r="K248" s="122">
        <f t="shared" si="29"/>
        <v>0</v>
      </c>
      <c r="L248" s="122">
        <f t="shared" si="30"/>
        <v>4328336.769258365</v>
      </c>
    </row>
    <row r="249" spans="1:12">
      <c r="A249" s="114">
        <v>49</v>
      </c>
      <c r="B249" s="117" t="s">
        <v>438</v>
      </c>
      <c r="C249" s="116" t="s">
        <v>146</v>
      </c>
      <c r="D249" s="116">
        <v>0.16700000000000001</v>
      </c>
      <c r="E249" s="108">
        <v>0.16700000000000001</v>
      </c>
      <c r="F249" s="156"/>
      <c r="G249" s="156">
        <f t="shared" si="34"/>
        <v>0.16700000000000001</v>
      </c>
      <c r="H249" s="122">
        <v>22170915.161945313</v>
      </c>
      <c r="I249" s="122"/>
      <c r="J249" s="122">
        <f t="shared" si="28"/>
        <v>3702542.8320448673</v>
      </c>
      <c r="K249" s="122">
        <f t="shared" si="29"/>
        <v>0</v>
      </c>
      <c r="L249" s="122">
        <f t="shared" si="30"/>
        <v>3702542.8320448673</v>
      </c>
    </row>
    <row r="250" spans="1:12">
      <c r="A250" s="114">
        <v>50</v>
      </c>
      <c r="B250" s="117" t="s">
        <v>337</v>
      </c>
      <c r="C250" s="116" t="s">
        <v>149</v>
      </c>
      <c r="D250" s="116">
        <v>0.68700000000000006</v>
      </c>
      <c r="E250" s="108">
        <v>0.68700000000000006</v>
      </c>
      <c r="F250" s="156"/>
      <c r="G250" s="156">
        <f t="shared" si="34"/>
        <v>0.68700000000000006</v>
      </c>
      <c r="H250" s="122">
        <v>8046781.7858471721</v>
      </c>
      <c r="I250" s="122"/>
      <c r="J250" s="122">
        <f t="shared" si="28"/>
        <v>5528139.086877008</v>
      </c>
      <c r="K250" s="122">
        <f t="shared" si="29"/>
        <v>0</v>
      </c>
      <c r="L250" s="122">
        <f t="shared" si="30"/>
        <v>5528139.086877008</v>
      </c>
    </row>
    <row r="251" spans="1:12">
      <c r="A251" s="114">
        <v>51</v>
      </c>
      <c r="B251" s="117" t="s">
        <v>439</v>
      </c>
      <c r="C251" s="116" t="s">
        <v>392</v>
      </c>
      <c r="D251" s="116">
        <v>26</v>
      </c>
      <c r="E251" s="108">
        <v>26</v>
      </c>
      <c r="F251" s="156"/>
      <c r="G251" s="156">
        <f t="shared" si="34"/>
        <v>26</v>
      </c>
      <c r="H251" s="122">
        <v>32899.991206105726</v>
      </c>
      <c r="I251" s="122"/>
      <c r="J251" s="122">
        <f t="shared" si="28"/>
        <v>855399.7713587489</v>
      </c>
      <c r="K251" s="122">
        <f t="shared" si="29"/>
        <v>0</v>
      </c>
      <c r="L251" s="122">
        <f t="shared" si="30"/>
        <v>855399.7713587489</v>
      </c>
    </row>
    <row r="252" spans="1:12">
      <c r="A252" s="114"/>
      <c r="B252" s="115" t="s">
        <v>445</v>
      </c>
      <c r="C252" s="116"/>
      <c r="D252" s="116"/>
      <c r="E252" s="108"/>
      <c r="F252" s="156"/>
      <c r="G252" s="156"/>
      <c r="H252" s="122"/>
      <c r="I252" s="122"/>
      <c r="J252" s="122">
        <f t="shared" si="28"/>
        <v>0</v>
      </c>
      <c r="K252" s="122">
        <f t="shared" si="29"/>
        <v>0</v>
      </c>
      <c r="L252" s="122">
        <f t="shared" si="30"/>
        <v>0</v>
      </c>
    </row>
    <row r="253" spans="1:12">
      <c r="A253" s="114">
        <v>52</v>
      </c>
      <c r="B253" s="117" t="s">
        <v>446</v>
      </c>
      <c r="C253" s="116" t="s">
        <v>148</v>
      </c>
      <c r="D253" s="116">
        <v>500</v>
      </c>
      <c r="E253" s="108">
        <v>500</v>
      </c>
      <c r="F253" s="156"/>
      <c r="G253" s="156">
        <f>+E253</f>
        <v>500</v>
      </c>
      <c r="H253" s="122">
        <v>68397.629267825556</v>
      </c>
      <c r="I253" s="122"/>
      <c r="J253" s="122">
        <f t="shared" si="28"/>
        <v>34198814.633912779</v>
      </c>
      <c r="K253" s="122">
        <f t="shared" si="29"/>
        <v>0</v>
      </c>
      <c r="L253" s="122">
        <f t="shared" si="30"/>
        <v>34198814.633912779</v>
      </c>
    </row>
    <row r="254" spans="1:12">
      <c r="A254" s="114">
        <v>53</v>
      </c>
      <c r="B254" s="117" t="s">
        <v>447</v>
      </c>
      <c r="C254" s="116" t="s">
        <v>145</v>
      </c>
      <c r="D254" s="116">
        <v>0.15</v>
      </c>
      <c r="E254" s="108">
        <v>0.15</v>
      </c>
      <c r="F254" s="156"/>
      <c r="G254" s="156">
        <f t="shared" ref="G254:G255" si="35">+E254</f>
        <v>0.15</v>
      </c>
      <c r="H254" s="122">
        <v>461348.88518694637</v>
      </c>
      <c r="I254" s="122"/>
      <c r="J254" s="122">
        <f t="shared" si="28"/>
        <v>69202.332778041949</v>
      </c>
      <c r="K254" s="122">
        <f t="shared" si="29"/>
        <v>0</v>
      </c>
      <c r="L254" s="122">
        <f t="shared" si="30"/>
        <v>69202.332778041949</v>
      </c>
    </row>
    <row r="255" spans="1:12">
      <c r="A255" s="114">
        <v>54</v>
      </c>
      <c r="B255" s="117" t="s">
        <v>399</v>
      </c>
      <c r="C255" s="116" t="s">
        <v>145</v>
      </c>
      <c r="D255" s="116">
        <v>2.5</v>
      </c>
      <c r="E255" s="108">
        <v>2.5</v>
      </c>
      <c r="F255" s="156"/>
      <c r="G255" s="156">
        <f t="shared" si="35"/>
        <v>2.5</v>
      </c>
      <c r="H255" s="122">
        <v>1164771.501309423</v>
      </c>
      <c r="I255" s="122"/>
      <c r="J255" s="122">
        <f t="shared" si="28"/>
        <v>2911928.7532735574</v>
      </c>
      <c r="K255" s="122">
        <f t="shared" si="29"/>
        <v>0</v>
      </c>
      <c r="L255" s="122">
        <f t="shared" si="30"/>
        <v>2911928.7532735574</v>
      </c>
    </row>
    <row r="256" spans="1:12">
      <c r="A256" s="114"/>
      <c r="B256" s="115" t="s">
        <v>448</v>
      </c>
      <c r="C256" s="116"/>
      <c r="D256" s="116"/>
      <c r="E256" s="108"/>
      <c r="F256" s="156"/>
      <c r="G256" s="156"/>
      <c r="H256" s="122"/>
      <c r="I256" s="122"/>
      <c r="J256" s="122">
        <f t="shared" si="28"/>
        <v>0</v>
      </c>
      <c r="K256" s="122">
        <f t="shared" si="29"/>
        <v>0</v>
      </c>
      <c r="L256" s="122">
        <f t="shared" si="30"/>
        <v>0</v>
      </c>
    </row>
    <row r="257" spans="1:13">
      <c r="A257" s="114">
        <v>55</v>
      </c>
      <c r="B257" s="117" t="s">
        <v>449</v>
      </c>
      <c r="C257" s="116" t="s">
        <v>25</v>
      </c>
      <c r="D257" s="116">
        <v>194</v>
      </c>
      <c r="E257" s="108">
        <v>194</v>
      </c>
      <c r="F257" s="156"/>
      <c r="G257" s="156">
        <f>+E257</f>
        <v>194</v>
      </c>
      <c r="H257" s="122">
        <v>92848.809690623995</v>
      </c>
      <c r="I257" s="122"/>
      <c r="J257" s="122">
        <f t="shared" si="28"/>
        <v>18012669.079981055</v>
      </c>
      <c r="K257" s="122">
        <f t="shared" si="29"/>
        <v>0</v>
      </c>
      <c r="L257" s="122">
        <f t="shared" si="30"/>
        <v>18012669.079981055</v>
      </c>
    </row>
    <row r="258" spans="1:13">
      <c r="A258" s="114">
        <v>56</v>
      </c>
      <c r="B258" s="117" t="s">
        <v>450</v>
      </c>
      <c r="C258" s="116" t="s">
        <v>25</v>
      </c>
      <c r="D258" s="116">
        <v>1</v>
      </c>
      <c r="E258" s="108">
        <v>1</v>
      </c>
      <c r="F258" s="156"/>
      <c r="G258" s="156">
        <f t="shared" ref="G258:G261" si="36">+E258</f>
        <v>1</v>
      </c>
      <c r="H258" s="122">
        <v>655989.93173367123</v>
      </c>
      <c r="I258" s="122"/>
      <c r="J258" s="122">
        <f t="shared" si="28"/>
        <v>655989.93173367123</v>
      </c>
      <c r="K258" s="122">
        <f t="shared" si="29"/>
        <v>0</v>
      </c>
      <c r="L258" s="122">
        <f t="shared" si="30"/>
        <v>655989.93173367123</v>
      </c>
    </row>
    <row r="259" spans="1:13">
      <c r="A259" s="114">
        <v>57</v>
      </c>
      <c r="B259" s="117" t="s">
        <v>528</v>
      </c>
      <c r="C259" s="116" t="s">
        <v>25</v>
      </c>
      <c r="D259" s="116">
        <v>11</v>
      </c>
      <c r="E259" s="108">
        <v>11</v>
      </c>
      <c r="F259" s="156"/>
      <c r="G259" s="156">
        <f t="shared" si="36"/>
        <v>11</v>
      </c>
      <c r="H259" s="122">
        <v>92848.809690623995</v>
      </c>
      <c r="I259" s="122"/>
      <c r="J259" s="122">
        <f t="shared" si="28"/>
        <v>1021336.906596864</v>
      </c>
      <c r="K259" s="122">
        <f t="shared" si="29"/>
        <v>0</v>
      </c>
      <c r="L259" s="122">
        <f t="shared" si="30"/>
        <v>1021336.906596864</v>
      </c>
    </row>
    <row r="260" spans="1:13">
      <c r="A260" s="114">
        <v>58</v>
      </c>
      <c r="B260" s="117" t="s">
        <v>452</v>
      </c>
      <c r="C260" s="116" t="s">
        <v>149</v>
      </c>
      <c r="D260" s="116">
        <v>5.0000000000000001E-3</v>
      </c>
      <c r="E260" s="108">
        <v>5.0000000000000001E-3</v>
      </c>
      <c r="F260" s="156"/>
      <c r="G260" s="156">
        <f t="shared" si="36"/>
        <v>5.0000000000000001E-3</v>
      </c>
      <c r="H260" s="122">
        <v>691968.00698145432</v>
      </c>
      <c r="I260" s="122"/>
      <c r="J260" s="122">
        <f t="shared" si="28"/>
        <v>3459.8400349072717</v>
      </c>
      <c r="K260" s="122">
        <f t="shared" si="29"/>
        <v>0</v>
      </c>
      <c r="L260" s="122">
        <f t="shared" si="30"/>
        <v>3459.8400349072717</v>
      </c>
    </row>
    <row r="261" spans="1:13">
      <c r="A261" s="114">
        <v>59</v>
      </c>
      <c r="B261" s="117" t="s">
        <v>453</v>
      </c>
      <c r="C261" s="116" t="s">
        <v>25</v>
      </c>
      <c r="D261" s="116">
        <v>410</v>
      </c>
      <c r="E261" s="108">
        <v>410</v>
      </c>
      <c r="F261" s="156"/>
      <c r="G261" s="156">
        <f t="shared" si="36"/>
        <v>410</v>
      </c>
      <c r="H261" s="122">
        <v>14416.000145446964</v>
      </c>
      <c r="I261" s="122"/>
      <c r="J261" s="122">
        <f t="shared" si="28"/>
        <v>5910560.059633255</v>
      </c>
      <c r="K261" s="122">
        <f t="shared" si="29"/>
        <v>0</v>
      </c>
      <c r="L261" s="122">
        <f t="shared" si="30"/>
        <v>5910560.059633255</v>
      </c>
    </row>
    <row r="262" spans="1:13">
      <c r="A262" s="114"/>
      <c r="B262" s="115" t="s">
        <v>454</v>
      </c>
      <c r="C262" s="116"/>
      <c r="D262" s="116"/>
      <c r="E262" s="108"/>
      <c r="F262" s="156"/>
      <c r="G262" s="156"/>
      <c r="H262" s="122"/>
      <c r="I262" s="122"/>
      <c r="J262" s="122">
        <f t="shared" si="28"/>
        <v>0</v>
      </c>
      <c r="K262" s="122">
        <f t="shared" si="29"/>
        <v>0</v>
      </c>
      <c r="L262" s="122">
        <f t="shared" si="30"/>
        <v>0</v>
      </c>
    </row>
    <row r="263" spans="1:13" s="129" customFormat="1">
      <c r="A263" s="125">
        <v>60</v>
      </c>
      <c r="B263" s="130" t="s">
        <v>455</v>
      </c>
      <c r="C263" s="126" t="s">
        <v>145</v>
      </c>
      <c r="D263" s="126">
        <v>1.9E-2</v>
      </c>
      <c r="E263" s="127">
        <v>1.9E-2</v>
      </c>
      <c r="F263" s="162">
        <f>+E263/15*5</f>
        <v>6.3333333333333332E-3</v>
      </c>
      <c r="G263" s="162">
        <f>+E263-F263</f>
        <v>1.2666666666666666E-2</v>
      </c>
      <c r="H263" s="128">
        <v>2674801.7921658657</v>
      </c>
      <c r="I263" s="128"/>
      <c r="J263" s="128">
        <f t="shared" si="28"/>
        <v>50821.234051151449</v>
      </c>
      <c r="K263" s="128">
        <f t="shared" si="29"/>
        <v>16940.411350383816</v>
      </c>
      <c r="L263" s="128">
        <f t="shared" si="30"/>
        <v>33880.822700767632</v>
      </c>
    </row>
    <row r="264" spans="1:13" s="129" customFormat="1">
      <c r="A264" s="125">
        <v>61</v>
      </c>
      <c r="B264" s="130" t="s">
        <v>456</v>
      </c>
      <c r="C264" s="126" t="s">
        <v>144</v>
      </c>
      <c r="D264" s="126">
        <v>2.0699999999999998</v>
      </c>
      <c r="E264" s="127">
        <v>2.0699999999999998</v>
      </c>
      <c r="F264" s="162">
        <f>+E264/15*5</f>
        <v>0.69</v>
      </c>
      <c r="G264" s="162">
        <f>+E264-F264</f>
        <v>1.38</v>
      </c>
      <c r="H264" s="128">
        <v>1227680.8124220343</v>
      </c>
      <c r="I264" s="128"/>
      <c r="J264" s="128">
        <f t="shared" si="28"/>
        <v>2541299.281713611</v>
      </c>
      <c r="K264" s="128">
        <f t="shared" si="29"/>
        <v>847099.76057120366</v>
      </c>
      <c r="L264" s="128">
        <f t="shared" si="30"/>
        <v>1694199.5211424073</v>
      </c>
    </row>
    <row r="265" spans="1:13" s="129" customFormat="1">
      <c r="A265" s="125">
        <v>62</v>
      </c>
      <c r="B265" s="130" t="s">
        <v>457</v>
      </c>
      <c r="C265" s="126" t="s">
        <v>25</v>
      </c>
      <c r="D265" s="126">
        <v>15</v>
      </c>
      <c r="E265" s="127">
        <v>15</v>
      </c>
      <c r="F265" s="162">
        <v>5</v>
      </c>
      <c r="G265" s="162">
        <v>10</v>
      </c>
      <c r="H265" s="128">
        <v>283672.37489557912</v>
      </c>
      <c r="I265" s="128"/>
      <c r="J265" s="128">
        <f t="shared" si="28"/>
        <v>4255085.6234336868</v>
      </c>
      <c r="K265" s="128">
        <f t="shared" si="29"/>
        <v>1418361.8744778957</v>
      </c>
      <c r="L265" s="128">
        <f t="shared" si="30"/>
        <v>2836723.7489557914</v>
      </c>
    </row>
    <row r="266" spans="1:13" s="129" customFormat="1">
      <c r="A266" s="125">
        <v>63</v>
      </c>
      <c r="B266" s="130" t="s">
        <v>459</v>
      </c>
      <c r="C266" s="126" t="s">
        <v>5</v>
      </c>
      <c r="D266" s="126">
        <v>51</v>
      </c>
      <c r="E266" s="127">
        <v>51</v>
      </c>
      <c r="F266" s="162">
        <f>+E266/15*5</f>
        <v>17</v>
      </c>
      <c r="G266" s="162">
        <f>+E266-F266</f>
        <v>34</v>
      </c>
      <c r="H266" s="128">
        <v>232962.56235042296</v>
      </c>
      <c r="I266" s="128"/>
      <c r="J266" s="128">
        <f t="shared" si="28"/>
        <v>11881090.67987157</v>
      </c>
      <c r="K266" s="128">
        <f t="shared" si="29"/>
        <v>3960363.5599571904</v>
      </c>
      <c r="L266" s="128">
        <f t="shared" si="30"/>
        <v>7920727.1199143808</v>
      </c>
    </row>
    <row r="267" spans="1:13" s="129" customFormat="1">
      <c r="A267" s="125">
        <v>64</v>
      </c>
      <c r="B267" s="130" t="s">
        <v>460</v>
      </c>
      <c r="C267" s="126" t="s">
        <v>25</v>
      </c>
      <c r="D267" s="126">
        <v>15</v>
      </c>
      <c r="E267" s="127">
        <v>15</v>
      </c>
      <c r="F267" s="162">
        <v>5</v>
      </c>
      <c r="G267" s="162">
        <v>10</v>
      </c>
      <c r="H267" s="128">
        <v>449779.20453794528</v>
      </c>
      <c r="I267" s="128"/>
      <c r="J267" s="128">
        <f t="shared" si="28"/>
        <v>6746688.0680691795</v>
      </c>
      <c r="K267" s="128">
        <f t="shared" si="29"/>
        <v>2248896.0226897262</v>
      </c>
      <c r="L267" s="128">
        <f t="shared" si="30"/>
        <v>4497792.0453794524</v>
      </c>
    </row>
    <row r="268" spans="1:13">
      <c r="A268" s="114"/>
      <c r="B268" s="115" t="s">
        <v>462</v>
      </c>
      <c r="C268" s="116"/>
      <c r="D268" s="116"/>
      <c r="E268" s="108"/>
      <c r="F268" s="156"/>
      <c r="G268" s="156"/>
      <c r="H268" s="122"/>
      <c r="I268" s="122"/>
      <c r="J268" s="122">
        <f t="shared" ref="J268:J331" si="37">+E268*MAX(H268:I268)</f>
        <v>0</v>
      </c>
      <c r="K268" s="122">
        <f t="shared" ref="K268:K331" si="38">+F268*MAX(H268:I268)</f>
        <v>0</v>
      </c>
      <c r="L268" s="122">
        <f t="shared" ref="L268:L331" si="39">+G268*MAX(H268:I268)</f>
        <v>0</v>
      </c>
    </row>
    <row r="269" spans="1:13" s="129" customFormat="1">
      <c r="A269" s="125">
        <v>65</v>
      </c>
      <c r="B269" s="130" t="s">
        <v>352</v>
      </c>
      <c r="C269" s="126" t="s">
        <v>148</v>
      </c>
      <c r="D269" s="126">
        <v>598.22299999999996</v>
      </c>
      <c r="E269" s="127">
        <v>598.22299999999996</v>
      </c>
      <c r="F269" s="157">
        <f>+E269/M270*M271</f>
        <v>282.54678085443032</v>
      </c>
      <c r="G269" s="157">
        <f>+E269-F269</f>
        <v>315.67621914556963</v>
      </c>
      <c r="H269" s="128">
        <v>327419.57196561596</v>
      </c>
      <c r="I269" s="128"/>
      <c r="J269" s="128">
        <f t="shared" si="37"/>
        <v>195869918.59998667</v>
      </c>
      <c r="K269" s="128">
        <f t="shared" si="38"/>
        <v>92511346.047620267</v>
      </c>
      <c r="L269" s="128">
        <f t="shared" si="39"/>
        <v>103358572.55236639</v>
      </c>
    </row>
    <row r="270" spans="1:13" s="129" customFormat="1">
      <c r="A270" s="125">
        <v>66</v>
      </c>
      <c r="B270" s="130" t="s">
        <v>463</v>
      </c>
      <c r="C270" s="126" t="s">
        <v>148</v>
      </c>
      <c r="D270" s="126">
        <v>36.96</v>
      </c>
      <c r="E270" s="127">
        <v>36.96</v>
      </c>
      <c r="F270" s="157">
        <f>+E270/M270*M271</f>
        <v>17.456582278481012</v>
      </c>
      <c r="G270" s="157">
        <f>+E270-F270</f>
        <v>19.503417721518989</v>
      </c>
      <c r="H270" s="128">
        <v>654839.14393123193</v>
      </c>
      <c r="I270" s="128"/>
      <c r="J270" s="128">
        <f t="shared" si="37"/>
        <v>24202854.759698331</v>
      </c>
      <c r="K270" s="128">
        <f t="shared" si="38"/>
        <v>11431253.395205621</v>
      </c>
      <c r="L270" s="128">
        <f t="shared" si="39"/>
        <v>12771601.364492713</v>
      </c>
      <c r="M270" s="144">
        <f>2667-1403</f>
        <v>1264</v>
      </c>
    </row>
    <row r="271" spans="1:13">
      <c r="A271" s="113"/>
      <c r="B271" s="112" t="s">
        <v>477</v>
      </c>
      <c r="C271" s="111"/>
      <c r="D271" s="111"/>
      <c r="E271" s="108"/>
      <c r="F271" s="156"/>
      <c r="G271" s="156"/>
      <c r="H271" s="122"/>
      <c r="I271" s="122"/>
      <c r="J271" s="122">
        <f t="shared" si="37"/>
        <v>0</v>
      </c>
      <c r="K271" s="122">
        <f t="shared" si="38"/>
        <v>0</v>
      </c>
      <c r="L271" s="122">
        <f t="shared" si="39"/>
        <v>0</v>
      </c>
      <c r="M271" s="144">
        <f>2000-1403</f>
        <v>597</v>
      </c>
    </row>
    <row r="272" spans="1:13" ht="31.2">
      <c r="A272" s="114">
        <v>1</v>
      </c>
      <c r="B272" s="117" t="s">
        <v>335</v>
      </c>
      <c r="C272" s="116" t="s">
        <v>144</v>
      </c>
      <c r="D272" s="116">
        <v>3.4740000000000002</v>
      </c>
      <c r="E272" s="108">
        <v>3.4740000000000002</v>
      </c>
      <c r="F272" s="156"/>
      <c r="G272" s="156">
        <f>+E272</f>
        <v>3.4740000000000002</v>
      </c>
      <c r="H272" s="122">
        <v>292504.29464845749</v>
      </c>
      <c r="I272" s="122"/>
      <c r="J272" s="122">
        <f t="shared" si="37"/>
        <v>1016159.9196087414</v>
      </c>
      <c r="K272" s="122">
        <f t="shared" si="38"/>
        <v>0</v>
      </c>
      <c r="L272" s="122">
        <f t="shared" si="39"/>
        <v>1016159.9196087414</v>
      </c>
      <c r="M272" s="144">
        <f>+M270-M271</f>
        <v>667</v>
      </c>
    </row>
    <row r="273" spans="1:12">
      <c r="A273" s="114">
        <v>2</v>
      </c>
      <c r="B273" s="117" t="s">
        <v>529</v>
      </c>
      <c r="C273" s="116" t="s">
        <v>152</v>
      </c>
      <c r="D273" s="116">
        <v>9.9629999999999992</v>
      </c>
      <c r="E273" s="108">
        <v>9.9629999999999992</v>
      </c>
      <c r="F273" s="156"/>
      <c r="G273" s="156">
        <f t="shared" ref="G273:G279" si="40">+E273</f>
        <v>9.9629999999999992</v>
      </c>
      <c r="H273" s="122">
        <v>248494.77608793168</v>
      </c>
      <c r="I273" s="122"/>
      <c r="J273" s="122">
        <f t="shared" si="37"/>
        <v>2475753.4541640631</v>
      </c>
      <c r="K273" s="122">
        <f t="shared" si="38"/>
        <v>0</v>
      </c>
      <c r="L273" s="122">
        <f t="shared" si="39"/>
        <v>2475753.4541640631</v>
      </c>
    </row>
    <row r="274" spans="1:12">
      <c r="A274" s="114">
        <v>3</v>
      </c>
      <c r="B274" s="117" t="s">
        <v>480</v>
      </c>
      <c r="C274" s="116" t="s">
        <v>145</v>
      </c>
      <c r="D274" s="116">
        <v>2.0249999999999999</v>
      </c>
      <c r="E274" s="108">
        <v>2.0249999999999999</v>
      </c>
      <c r="F274" s="156"/>
      <c r="G274" s="156">
        <f t="shared" si="40"/>
        <v>2.0249999999999999</v>
      </c>
      <c r="H274" s="122">
        <v>2214350.953738424</v>
      </c>
      <c r="I274" s="122"/>
      <c r="J274" s="122">
        <f t="shared" si="37"/>
        <v>4484060.6813203087</v>
      </c>
      <c r="K274" s="122">
        <f t="shared" si="38"/>
        <v>0</v>
      </c>
      <c r="L274" s="122">
        <f t="shared" si="39"/>
        <v>4484060.6813203087</v>
      </c>
    </row>
    <row r="275" spans="1:12">
      <c r="A275" s="114">
        <v>4</v>
      </c>
      <c r="B275" s="117" t="s">
        <v>425</v>
      </c>
      <c r="C275" s="116" t="s">
        <v>144</v>
      </c>
      <c r="D275" s="116">
        <v>19.655999999999999</v>
      </c>
      <c r="E275" s="108">
        <v>19.655999999999999</v>
      </c>
      <c r="F275" s="156"/>
      <c r="G275" s="156">
        <f t="shared" si="40"/>
        <v>19.655999999999999</v>
      </c>
      <c r="H275" s="122">
        <v>842210.9705639804</v>
      </c>
      <c r="I275" s="122"/>
      <c r="J275" s="122">
        <f t="shared" si="37"/>
        <v>16554498.837405598</v>
      </c>
      <c r="K275" s="122">
        <f t="shared" si="38"/>
        <v>0</v>
      </c>
      <c r="L275" s="122">
        <f t="shared" si="39"/>
        <v>16554498.837405598</v>
      </c>
    </row>
    <row r="276" spans="1:12">
      <c r="A276" s="114">
        <v>5</v>
      </c>
      <c r="B276" s="117" t="s">
        <v>481</v>
      </c>
      <c r="C276" s="116" t="s">
        <v>144</v>
      </c>
      <c r="D276" s="116">
        <v>4.1280000000000001</v>
      </c>
      <c r="E276" s="108">
        <v>4.1280000000000001</v>
      </c>
      <c r="F276" s="156"/>
      <c r="G276" s="156">
        <f t="shared" si="40"/>
        <v>4.1280000000000001</v>
      </c>
      <c r="H276" s="122">
        <v>1282781.8846939367</v>
      </c>
      <c r="I276" s="122"/>
      <c r="J276" s="122">
        <f t="shared" si="37"/>
        <v>5295323.6200165711</v>
      </c>
      <c r="K276" s="122">
        <f t="shared" si="38"/>
        <v>0</v>
      </c>
      <c r="L276" s="122">
        <f t="shared" si="39"/>
        <v>5295323.6200165711</v>
      </c>
    </row>
    <row r="277" spans="1:12">
      <c r="A277" s="114">
        <v>6</v>
      </c>
      <c r="B277" s="117" t="s">
        <v>482</v>
      </c>
      <c r="C277" s="116" t="s">
        <v>144</v>
      </c>
      <c r="D277" s="116">
        <v>50.87</v>
      </c>
      <c r="E277" s="108">
        <v>50.87</v>
      </c>
      <c r="F277" s="156"/>
      <c r="G277" s="156">
        <f t="shared" si="40"/>
        <v>50.87</v>
      </c>
      <c r="H277" s="122">
        <v>1293675.19750221</v>
      </c>
      <c r="I277" s="122"/>
      <c r="J277" s="122">
        <f t="shared" si="37"/>
        <v>65809257.296937421</v>
      </c>
      <c r="K277" s="122">
        <f t="shared" si="38"/>
        <v>0</v>
      </c>
      <c r="L277" s="122">
        <f t="shared" si="39"/>
        <v>65809257.296937421</v>
      </c>
    </row>
    <row r="278" spans="1:12" ht="31.2">
      <c r="A278" s="114">
        <v>7</v>
      </c>
      <c r="B278" s="117" t="s">
        <v>483</v>
      </c>
      <c r="C278" s="116" t="s">
        <v>144</v>
      </c>
      <c r="D278" s="116">
        <v>34.179000000000002</v>
      </c>
      <c r="E278" s="108">
        <v>34.179000000000002</v>
      </c>
      <c r="F278" s="156"/>
      <c r="G278" s="156">
        <f t="shared" si="40"/>
        <v>34.179000000000002</v>
      </c>
      <c r="H278" s="122">
        <v>1395510.0865053392</v>
      </c>
      <c r="I278" s="122"/>
      <c r="J278" s="122">
        <f t="shared" si="37"/>
        <v>47697139.246665992</v>
      </c>
      <c r="K278" s="122">
        <f t="shared" si="38"/>
        <v>0</v>
      </c>
      <c r="L278" s="122">
        <f t="shared" si="39"/>
        <v>47697139.246665992</v>
      </c>
    </row>
    <row r="279" spans="1:12">
      <c r="A279" s="114">
        <v>8</v>
      </c>
      <c r="B279" s="117" t="s">
        <v>530</v>
      </c>
      <c r="C279" s="116" t="s">
        <v>149</v>
      </c>
      <c r="D279" s="116">
        <v>1.2609999999999999</v>
      </c>
      <c r="E279" s="108">
        <v>1.2609999999999999</v>
      </c>
      <c r="F279" s="156"/>
      <c r="G279" s="156">
        <f t="shared" si="40"/>
        <v>1.2609999999999999</v>
      </c>
      <c r="H279" s="122">
        <v>5813935.4808997139</v>
      </c>
      <c r="I279" s="122"/>
      <c r="J279" s="122">
        <f t="shared" si="37"/>
        <v>7331372.641414539</v>
      </c>
      <c r="K279" s="122">
        <f t="shared" si="38"/>
        <v>0</v>
      </c>
      <c r="L279" s="122">
        <f t="shared" si="39"/>
        <v>7331372.641414539</v>
      </c>
    </row>
    <row r="280" spans="1:12">
      <c r="A280" s="114"/>
      <c r="B280" s="117" t="s">
        <v>484</v>
      </c>
      <c r="C280" s="116"/>
      <c r="D280" s="116"/>
      <c r="E280" s="108"/>
      <c r="F280" s="156"/>
      <c r="G280" s="156"/>
      <c r="H280" s="122"/>
      <c r="I280" s="122"/>
      <c r="J280" s="122">
        <f t="shared" si="37"/>
        <v>0</v>
      </c>
      <c r="K280" s="122">
        <f t="shared" si="38"/>
        <v>0</v>
      </c>
      <c r="L280" s="122">
        <f t="shared" si="39"/>
        <v>0</v>
      </c>
    </row>
    <row r="281" spans="1:12" ht="31.2">
      <c r="A281" s="114">
        <v>9</v>
      </c>
      <c r="B281" s="117" t="s">
        <v>517</v>
      </c>
      <c r="C281" s="116" t="s">
        <v>144</v>
      </c>
      <c r="D281" s="116">
        <v>53.125999999999998</v>
      </c>
      <c r="E281" s="108">
        <v>53.125999999999998</v>
      </c>
      <c r="F281" s="156"/>
      <c r="G281" s="156">
        <f>+E281</f>
        <v>53.125999999999998</v>
      </c>
      <c r="H281" s="122">
        <v>1640478.8155207678</v>
      </c>
      <c r="I281" s="122"/>
      <c r="J281" s="122">
        <f t="shared" si="37"/>
        <v>87152077.553356305</v>
      </c>
      <c r="K281" s="122">
        <f t="shared" si="38"/>
        <v>0</v>
      </c>
      <c r="L281" s="122">
        <f t="shared" si="39"/>
        <v>87152077.553356305</v>
      </c>
    </row>
    <row r="282" spans="1:12">
      <c r="A282" s="114">
        <v>10</v>
      </c>
      <c r="B282" s="117" t="s">
        <v>486</v>
      </c>
      <c r="C282" s="116" t="s">
        <v>144</v>
      </c>
      <c r="D282" s="116">
        <v>5.76</v>
      </c>
      <c r="E282" s="108">
        <v>5.76</v>
      </c>
      <c r="F282" s="156"/>
      <c r="G282" s="156">
        <f t="shared" ref="G282:G290" si="41">+E282</f>
        <v>5.76</v>
      </c>
      <c r="H282" s="122">
        <v>1874320.6727456823</v>
      </c>
      <c r="I282" s="122"/>
      <c r="J282" s="122">
        <f t="shared" si="37"/>
        <v>10796087.07501513</v>
      </c>
      <c r="K282" s="122">
        <f t="shared" si="38"/>
        <v>0</v>
      </c>
      <c r="L282" s="122">
        <f t="shared" si="39"/>
        <v>10796087.07501513</v>
      </c>
    </row>
    <row r="283" spans="1:12">
      <c r="A283" s="114">
        <v>11</v>
      </c>
      <c r="B283" s="117" t="s">
        <v>518</v>
      </c>
      <c r="C283" s="116" t="s">
        <v>144</v>
      </c>
      <c r="D283" s="116">
        <v>8.92</v>
      </c>
      <c r="E283" s="108">
        <v>8.92</v>
      </c>
      <c r="F283" s="156"/>
      <c r="G283" s="156">
        <f t="shared" si="41"/>
        <v>8.92</v>
      </c>
      <c r="H283" s="122">
        <v>1728209.6788338162</v>
      </c>
      <c r="I283" s="122"/>
      <c r="J283" s="122">
        <f t="shared" si="37"/>
        <v>15415630.335197641</v>
      </c>
      <c r="K283" s="122">
        <f t="shared" si="38"/>
        <v>0</v>
      </c>
      <c r="L283" s="122">
        <f t="shared" si="39"/>
        <v>15415630.335197641</v>
      </c>
    </row>
    <row r="284" spans="1:12">
      <c r="A284" s="114">
        <v>12</v>
      </c>
      <c r="B284" s="117" t="s">
        <v>519</v>
      </c>
      <c r="C284" s="116" t="s">
        <v>149</v>
      </c>
      <c r="D284" s="116">
        <v>1.82</v>
      </c>
      <c r="E284" s="108">
        <v>1.82</v>
      </c>
      <c r="F284" s="156"/>
      <c r="G284" s="156">
        <f t="shared" si="41"/>
        <v>1.82</v>
      </c>
      <c r="H284" s="122">
        <v>15289428.573971221</v>
      </c>
      <c r="I284" s="122"/>
      <c r="J284" s="122">
        <f t="shared" si="37"/>
        <v>27826760.004627623</v>
      </c>
      <c r="K284" s="122">
        <f t="shared" si="38"/>
        <v>0</v>
      </c>
      <c r="L284" s="122">
        <f t="shared" si="39"/>
        <v>27826760.004627623</v>
      </c>
    </row>
    <row r="285" spans="1:12">
      <c r="A285" s="114">
        <v>13</v>
      </c>
      <c r="B285" s="117" t="s">
        <v>491</v>
      </c>
      <c r="C285" s="116" t="s">
        <v>149</v>
      </c>
      <c r="D285" s="116">
        <v>0.39400000000000002</v>
      </c>
      <c r="E285" s="108">
        <v>0.39400000000000002</v>
      </c>
      <c r="F285" s="156"/>
      <c r="G285" s="156">
        <f t="shared" si="41"/>
        <v>0.39400000000000002</v>
      </c>
      <c r="H285" s="122">
        <v>5813935.4808997139</v>
      </c>
      <c r="I285" s="122"/>
      <c r="J285" s="122">
        <f t="shared" si="37"/>
        <v>2290690.5794744873</v>
      </c>
      <c r="K285" s="122">
        <f t="shared" si="38"/>
        <v>0</v>
      </c>
      <c r="L285" s="122">
        <f t="shared" si="39"/>
        <v>2290690.5794744873</v>
      </c>
    </row>
    <row r="286" spans="1:12">
      <c r="A286" s="114">
        <v>14</v>
      </c>
      <c r="B286" s="117" t="s">
        <v>492</v>
      </c>
      <c r="C286" s="116" t="s">
        <v>149</v>
      </c>
      <c r="D286" s="116">
        <v>0.34799999999999998</v>
      </c>
      <c r="E286" s="108">
        <v>0.34799999999999998</v>
      </c>
      <c r="F286" s="156"/>
      <c r="G286" s="156">
        <f t="shared" si="41"/>
        <v>0.34799999999999998</v>
      </c>
      <c r="H286" s="122">
        <v>9502406.2439821959</v>
      </c>
      <c r="I286" s="122"/>
      <c r="J286" s="122">
        <f t="shared" si="37"/>
        <v>3306837.3729058038</v>
      </c>
      <c r="K286" s="122">
        <f t="shared" si="38"/>
        <v>0</v>
      </c>
      <c r="L286" s="122">
        <f t="shared" si="39"/>
        <v>3306837.3729058038</v>
      </c>
    </row>
    <row r="287" spans="1:12">
      <c r="A287" s="114">
        <v>15</v>
      </c>
      <c r="B287" s="117" t="s">
        <v>487</v>
      </c>
      <c r="C287" s="116" t="s">
        <v>146</v>
      </c>
      <c r="D287" s="116">
        <v>0.48</v>
      </c>
      <c r="E287" s="108">
        <v>0.48</v>
      </c>
      <c r="F287" s="156"/>
      <c r="G287" s="156">
        <f t="shared" si="41"/>
        <v>0.48</v>
      </c>
      <c r="H287" s="122">
        <v>23146185.931862913</v>
      </c>
      <c r="I287" s="122"/>
      <c r="J287" s="122">
        <f t="shared" si="37"/>
        <v>11110169.247294199</v>
      </c>
      <c r="K287" s="122">
        <f t="shared" si="38"/>
        <v>0</v>
      </c>
      <c r="L287" s="122">
        <f t="shared" si="39"/>
        <v>11110169.247294199</v>
      </c>
    </row>
    <row r="288" spans="1:12">
      <c r="A288" s="114">
        <v>16</v>
      </c>
      <c r="B288" s="117" t="s">
        <v>488</v>
      </c>
      <c r="C288" s="116" t="s">
        <v>146</v>
      </c>
      <c r="D288" s="116">
        <v>0.95</v>
      </c>
      <c r="E288" s="108">
        <v>0.95</v>
      </c>
      <c r="F288" s="156"/>
      <c r="G288" s="156">
        <f t="shared" si="41"/>
        <v>0.95</v>
      </c>
      <c r="H288" s="122">
        <v>22170915.161945313</v>
      </c>
      <c r="I288" s="122"/>
      <c r="J288" s="122">
        <f t="shared" si="37"/>
        <v>21062369.403848048</v>
      </c>
      <c r="K288" s="122">
        <f t="shared" si="38"/>
        <v>0</v>
      </c>
      <c r="L288" s="122">
        <f t="shared" si="39"/>
        <v>21062369.403848048</v>
      </c>
    </row>
    <row r="289" spans="1:12">
      <c r="A289" s="114">
        <v>17</v>
      </c>
      <c r="B289" s="117" t="s">
        <v>489</v>
      </c>
      <c r="C289" s="116" t="s">
        <v>146</v>
      </c>
      <c r="D289" s="116">
        <v>0.20899999999999999</v>
      </c>
      <c r="E289" s="108">
        <v>0.20899999999999999</v>
      </c>
      <c r="F289" s="156"/>
      <c r="G289" s="156">
        <f t="shared" si="41"/>
        <v>0.20899999999999999</v>
      </c>
      <c r="H289" s="122">
        <v>22100222.329982016</v>
      </c>
      <c r="I289" s="122"/>
      <c r="J289" s="122">
        <f t="shared" si="37"/>
        <v>4618946.4669662416</v>
      </c>
      <c r="K289" s="122">
        <f t="shared" si="38"/>
        <v>0</v>
      </c>
      <c r="L289" s="122">
        <f t="shared" si="39"/>
        <v>4618946.4669662416</v>
      </c>
    </row>
    <row r="290" spans="1:12">
      <c r="A290" s="114">
        <v>18</v>
      </c>
      <c r="B290" s="117" t="s">
        <v>439</v>
      </c>
      <c r="C290" s="116" t="s">
        <v>392</v>
      </c>
      <c r="D290" s="116">
        <v>48</v>
      </c>
      <c r="E290" s="108">
        <v>48</v>
      </c>
      <c r="F290" s="156"/>
      <c r="G290" s="156">
        <f t="shared" si="41"/>
        <v>48</v>
      </c>
      <c r="H290" s="122">
        <v>32899.991206105726</v>
      </c>
      <c r="I290" s="122"/>
      <c r="J290" s="122">
        <f t="shared" si="37"/>
        <v>1579199.5778930748</v>
      </c>
      <c r="K290" s="122">
        <f t="shared" si="38"/>
        <v>0</v>
      </c>
      <c r="L290" s="122">
        <f t="shared" si="39"/>
        <v>1579199.5778930748</v>
      </c>
    </row>
    <row r="291" spans="1:12">
      <c r="A291" s="114"/>
      <c r="B291" s="117" t="s">
        <v>493</v>
      </c>
      <c r="C291" s="116"/>
      <c r="D291" s="116"/>
      <c r="E291" s="108"/>
      <c r="F291" s="156"/>
      <c r="G291" s="156"/>
      <c r="H291" s="122"/>
      <c r="I291" s="122"/>
      <c r="J291" s="122">
        <f t="shared" si="37"/>
        <v>0</v>
      </c>
      <c r="K291" s="122">
        <f t="shared" si="38"/>
        <v>0</v>
      </c>
      <c r="L291" s="122">
        <f t="shared" si="39"/>
        <v>0</v>
      </c>
    </row>
    <row r="292" spans="1:12">
      <c r="A292" s="114">
        <v>19</v>
      </c>
      <c r="B292" s="117" t="s">
        <v>494</v>
      </c>
      <c r="C292" s="116" t="s">
        <v>144</v>
      </c>
      <c r="D292" s="116">
        <v>11.52</v>
      </c>
      <c r="E292" s="108">
        <v>11.52</v>
      </c>
      <c r="F292" s="156"/>
      <c r="G292" s="156">
        <f>+E292</f>
        <v>11.52</v>
      </c>
      <c r="H292" s="122">
        <v>1480229.5812225512</v>
      </c>
      <c r="I292" s="122"/>
      <c r="J292" s="122">
        <f t="shared" si="37"/>
        <v>17052244.77568379</v>
      </c>
      <c r="K292" s="122">
        <f t="shared" si="38"/>
        <v>0</v>
      </c>
      <c r="L292" s="122">
        <f t="shared" si="39"/>
        <v>17052244.77568379</v>
      </c>
    </row>
    <row r="293" spans="1:12">
      <c r="A293" s="114">
        <v>20</v>
      </c>
      <c r="B293" s="117" t="s">
        <v>495</v>
      </c>
      <c r="C293" s="116" t="s">
        <v>146</v>
      </c>
      <c r="D293" s="116">
        <v>1.0740000000000001</v>
      </c>
      <c r="E293" s="108">
        <v>1.0740000000000001</v>
      </c>
      <c r="F293" s="156"/>
      <c r="G293" s="156">
        <f t="shared" ref="G293:G298" si="42">+E293</f>
        <v>1.0740000000000001</v>
      </c>
      <c r="H293" s="122">
        <v>23780678.264275361</v>
      </c>
      <c r="I293" s="122"/>
      <c r="J293" s="122">
        <f t="shared" si="37"/>
        <v>25540448.45583174</v>
      </c>
      <c r="K293" s="122">
        <f t="shared" si="38"/>
        <v>0</v>
      </c>
      <c r="L293" s="122">
        <f t="shared" si="39"/>
        <v>25540448.45583174</v>
      </c>
    </row>
    <row r="294" spans="1:12">
      <c r="A294" s="114">
        <v>21</v>
      </c>
      <c r="B294" s="117" t="s">
        <v>496</v>
      </c>
      <c r="C294" s="116" t="s">
        <v>149</v>
      </c>
      <c r="D294" s="116">
        <v>1.6479999999999999</v>
      </c>
      <c r="E294" s="108">
        <v>1.6479999999999999</v>
      </c>
      <c r="F294" s="156"/>
      <c r="G294" s="156">
        <f t="shared" si="42"/>
        <v>1.6479999999999999</v>
      </c>
      <c r="H294" s="122">
        <v>10812427.835730689</v>
      </c>
      <c r="I294" s="122"/>
      <c r="J294" s="122">
        <f t="shared" si="37"/>
        <v>17818881.073284175</v>
      </c>
      <c r="K294" s="122">
        <f t="shared" si="38"/>
        <v>0</v>
      </c>
      <c r="L294" s="122">
        <f t="shared" si="39"/>
        <v>17818881.073284175</v>
      </c>
    </row>
    <row r="295" spans="1:12">
      <c r="A295" s="114">
        <v>22</v>
      </c>
      <c r="B295" s="117" t="s">
        <v>497</v>
      </c>
      <c r="C295" s="116" t="s">
        <v>148</v>
      </c>
      <c r="D295" s="116">
        <v>15.2</v>
      </c>
      <c r="E295" s="108">
        <v>15.2</v>
      </c>
      <c r="F295" s="156"/>
      <c r="G295" s="156">
        <f t="shared" si="42"/>
        <v>15.2</v>
      </c>
      <c r="H295" s="122">
        <v>46581.295435842832</v>
      </c>
      <c r="I295" s="122"/>
      <c r="J295" s="122">
        <f t="shared" si="37"/>
        <v>708035.69062481099</v>
      </c>
      <c r="K295" s="122">
        <f t="shared" si="38"/>
        <v>0</v>
      </c>
      <c r="L295" s="122">
        <f t="shared" si="39"/>
        <v>708035.69062481099</v>
      </c>
    </row>
    <row r="296" spans="1:12">
      <c r="A296" s="114">
        <v>23</v>
      </c>
      <c r="B296" s="117" t="s">
        <v>498</v>
      </c>
      <c r="C296" s="116" t="s">
        <v>148</v>
      </c>
      <c r="D296" s="116">
        <v>53.6</v>
      </c>
      <c r="E296" s="108">
        <v>53.6</v>
      </c>
      <c r="F296" s="156"/>
      <c r="G296" s="156">
        <f t="shared" si="42"/>
        <v>53.6</v>
      </c>
      <c r="H296" s="122">
        <v>60109.669240062889</v>
      </c>
      <c r="I296" s="122"/>
      <c r="J296" s="122">
        <f t="shared" si="37"/>
        <v>3221878.2712673708</v>
      </c>
      <c r="K296" s="122">
        <f t="shared" si="38"/>
        <v>0</v>
      </c>
      <c r="L296" s="122">
        <f t="shared" si="39"/>
        <v>3221878.2712673708</v>
      </c>
    </row>
    <row r="297" spans="1:12">
      <c r="A297" s="114">
        <v>24</v>
      </c>
      <c r="B297" s="117" t="s">
        <v>531</v>
      </c>
      <c r="C297" s="116" t="s">
        <v>148</v>
      </c>
      <c r="D297" s="116">
        <v>17.920000000000002</v>
      </c>
      <c r="E297" s="108">
        <v>17.920000000000002</v>
      </c>
      <c r="F297" s="156"/>
      <c r="G297" s="156">
        <f t="shared" si="42"/>
        <v>17.920000000000002</v>
      </c>
      <c r="H297" s="122">
        <v>119048.85787375645</v>
      </c>
      <c r="I297" s="122"/>
      <c r="J297" s="122">
        <f t="shared" si="37"/>
        <v>2133355.533097716</v>
      </c>
      <c r="K297" s="122">
        <f t="shared" si="38"/>
        <v>0</v>
      </c>
      <c r="L297" s="122">
        <f t="shared" si="39"/>
        <v>2133355.533097716</v>
      </c>
    </row>
    <row r="298" spans="1:12">
      <c r="A298" s="114">
        <v>25</v>
      </c>
      <c r="B298" s="117" t="s">
        <v>500</v>
      </c>
      <c r="C298" s="116" t="s">
        <v>392</v>
      </c>
      <c r="D298" s="116">
        <v>16</v>
      </c>
      <c r="E298" s="108">
        <v>16</v>
      </c>
      <c r="F298" s="156"/>
      <c r="G298" s="156">
        <f t="shared" si="42"/>
        <v>16</v>
      </c>
      <c r="H298" s="122">
        <v>32899.991206105726</v>
      </c>
      <c r="I298" s="122"/>
      <c r="J298" s="122">
        <f t="shared" si="37"/>
        <v>526399.85929769161</v>
      </c>
      <c r="K298" s="122">
        <f t="shared" si="38"/>
        <v>0</v>
      </c>
      <c r="L298" s="122">
        <f t="shared" si="39"/>
        <v>526399.85929769161</v>
      </c>
    </row>
    <row r="299" spans="1:12">
      <c r="A299" s="114"/>
      <c r="B299" s="115" t="s">
        <v>501</v>
      </c>
      <c r="C299" s="116"/>
      <c r="D299" s="116"/>
      <c r="E299" s="108"/>
      <c r="F299" s="156"/>
      <c r="G299" s="156"/>
      <c r="H299" s="122"/>
      <c r="I299" s="122"/>
      <c r="J299" s="122">
        <f t="shared" si="37"/>
        <v>0</v>
      </c>
      <c r="K299" s="122">
        <f t="shared" si="38"/>
        <v>0</v>
      </c>
      <c r="L299" s="122">
        <f t="shared" si="39"/>
        <v>0</v>
      </c>
    </row>
    <row r="300" spans="1:12" s="129" customFormat="1">
      <c r="A300" s="132">
        <v>26</v>
      </c>
      <c r="B300" s="133" t="s">
        <v>325</v>
      </c>
      <c r="C300" s="134" t="s">
        <v>145</v>
      </c>
      <c r="D300" s="134">
        <v>0.36499999999999999</v>
      </c>
      <c r="E300" s="78">
        <v>0.36499999999999999</v>
      </c>
      <c r="F300" s="157"/>
      <c r="G300" s="157">
        <f>+E300</f>
        <v>0.36499999999999999</v>
      </c>
      <c r="H300" s="128">
        <v>3387145.2779199071</v>
      </c>
      <c r="I300" s="128"/>
      <c r="J300" s="128">
        <f t="shared" si="37"/>
        <v>1236308.0264407662</v>
      </c>
      <c r="K300" s="128">
        <f t="shared" si="38"/>
        <v>0</v>
      </c>
      <c r="L300" s="128">
        <f t="shared" si="39"/>
        <v>1236308.0264407662</v>
      </c>
    </row>
    <row r="301" spans="1:12" s="129" customFormat="1">
      <c r="A301" s="132">
        <v>27</v>
      </c>
      <c r="B301" s="133" t="s">
        <v>399</v>
      </c>
      <c r="C301" s="134" t="s">
        <v>145</v>
      </c>
      <c r="D301" s="134">
        <v>2.1520000000000001</v>
      </c>
      <c r="E301" s="78">
        <v>2.1520000000000001</v>
      </c>
      <c r="F301" s="157"/>
      <c r="G301" s="157">
        <f>+E301</f>
        <v>2.1520000000000001</v>
      </c>
      <c r="H301" s="128">
        <v>1164771.501309423</v>
      </c>
      <c r="I301" s="128"/>
      <c r="J301" s="128">
        <f t="shared" si="37"/>
        <v>2506588.2708178787</v>
      </c>
      <c r="K301" s="128">
        <f t="shared" si="38"/>
        <v>0</v>
      </c>
      <c r="L301" s="128">
        <f t="shared" si="39"/>
        <v>2506588.2708178787</v>
      </c>
    </row>
    <row r="302" spans="1:12" s="129" customFormat="1" ht="31.2">
      <c r="A302" s="132">
        <v>28</v>
      </c>
      <c r="B302" s="133" t="s">
        <v>413</v>
      </c>
      <c r="C302" s="134" t="s">
        <v>149</v>
      </c>
      <c r="D302" s="134">
        <v>0.06</v>
      </c>
      <c r="E302" s="78">
        <v>0</v>
      </c>
      <c r="F302" s="157"/>
      <c r="G302" s="157"/>
      <c r="H302" s="128">
        <v>1164681.0166441561</v>
      </c>
      <c r="I302" s="128"/>
      <c r="J302" s="128">
        <f t="shared" si="37"/>
        <v>0</v>
      </c>
      <c r="K302" s="128">
        <f t="shared" si="38"/>
        <v>0</v>
      </c>
      <c r="L302" s="128">
        <f t="shared" si="39"/>
        <v>0</v>
      </c>
    </row>
    <row r="303" spans="1:12" s="129" customFormat="1" ht="31.2">
      <c r="A303" s="132">
        <v>29</v>
      </c>
      <c r="B303" s="133" t="s">
        <v>414</v>
      </c>
      <c r="C303" s="134" t="s">
        <v>415</v>
      </c>
      <c r="D303" s="134">
        <v>0.01</v>
      </c>
      <c r="E303" s="78">
        <v>0</v>
      </c>
      <c r="F303" s="157"/>
      <c r="G303" s="157"/>
      <c r="H303" s="128">
        <v>114207703.6275613</v>
      </c>
      <c r="I303" s="128"/>
      <c r="J303" s="128">
        <f t="shared" si="37"/>
        <v>0</v>
      </c>
      <c r="K303" s="128">
        <f t="shared" si="38"/>
        <v>0</v>
      </c>
      <c r="L303" s="128">
        <f t="shared" si="39"/>
        <v>0</v>
      </c>
    </row>
    <row r="304" spans="1:12" s="129" customFormat="1" ht="31.2">
      <c r="A304" s="132" t="s">
        <v>859</v>
      </c>
      <c r="B304" s="133" t="s">
        <v>795</v>
      </c>
      <c r="C304" s="134" t="s">
        <v>149</v>
      </c>
      <c r="D304" s="134"/>
      <c r="E304" s="78">
        <v>0.06</v>
      </c>
      <c r="F304" s="157">
        <f>+E304</f>
        <v>0.06</v>
      </c>
      <c r="G304" s="157"/>
      <c r="H304" s="128">
        <v>0</v>
      </c>
      <c r="I304" s="128">
        <v>1450470.8478000001</v>
      </c>
      <c r="J304" s="128">
        <f t="shared" si="37"/>
        <v>87028.250868000003</v>
      </c>
      <c r="K304" s="128">
        <f t="shared" si="38"/>
        <v>87028.250868000003</v>
      </c>
      <c r="L304" s="128">
        <f t="shared" si="39"/>
        <v>0</v>
      </c>
    </row>
    <row r="305" spans="1:12" s="129" customFormat="1">
      <c r="A305" s="132" t="s">
        <v>860</v>
      </c>
      <c r="B305" s="133" t="s">
        <v>804</v>
      </c>
      <c r="C305" s="134" t="s">
        <v>415</v>
      </c>
      <c r="D305" s="134"/>
      <c r="E305" s="78">
        <v>1.03518E-2</v>
      </c>
      <c r="F305" s="157">
        <f t="shared" ref="F305:F311" si="43">+E305</f>
        <v>1.03518E-2</v>
      </c>
      <c r="G305" s="157"/>
      <c r="H305" s="128">
        <v>0</v>
      </c>
      <c r="I305" s="128">
        <v>150219973.99520001</v>
      </c>
      <c r="J305" s="128">
        <f t="shared" si="37"/>
        <v>1555047.1268035113</v>
      </c>
      <c r="K305" s="128">
        <f t="shared" si="38"/>
        <v>1555047.1268035113</v>
      </c>
      <c r="L305" s="128">
        <f t="shared" si="39"/>
        <v>0</v>
      </c>
    </row>
    <row r="306" spans="1:12" s="129" customFormat="1">
      <c r="A306" s="132">
        <v>30</v>
      </c>
      <c r="B306" s="133" t="s">
        <v>502</v>
      </c>
      <c r="C306" s="134" t="s">
        <v>415</v>
      </c>
      <c r="D306" s="134">
        <v>0.01</v>
      </c>
      <c r="E306" s="78">
        <v>0.01</v>
      </c>
      <c r="F306" s="157">
        <f t="shared" si="43"/>
        <v>0.01</v>
      </c>
      <c r="G306" s="157"/>
      <c r="H306" s="128">
        <v>4705361.9552235175</v>
      </c>
      <c r="I306" s="128"/>
      <c r="J306" s="128">
        <f t="shared" si="37"/>
        <v>47053.619552235177</v>
      </c>
      <c r="K306" s="128">
        <f t="shared" si="38"/>
        <v>47053.619552235177</v>
      </c>
      <c r="L306" s="128">
        <f t="shared" si="39"/>
        <v>0</v>
      </c>
    </row>
    <row r="307" spans="1:12" s="129" customFormat="1">
      <c r="A307" s="132">
        <v>31</v>
      </c>
      <c r="B307" s="133" t="s">
        <v>511</v>
      </c>
      <c r="C307" s="134" t="s">
        <v>415</v>
      </c>
      <c r="D307" s="134">
        <v>0.01</v>
      </c>
      <c r="E307" s="78">
        <v>0</v>
      </c>
      <c r="F307" s="157">
        <f t="shared" si="43"/>
        <v>0</v>
      </c>
      <c r="G307" s="157"/>
      <c r="H307" s="128">
        <v>13145138.160624428</v>
      </c>
      <c r="I307" s="128"/>
      <c r="J307" s="128">
        <f t="shared" si="37"/>
        <v>0</v>
      </c>
      <c r="K307" s="128">
        <f t="shared" si="38"/>
        <v>0</v>
      </c>
      <c r="L307" s="128">
        <f t="shared" si="39"/>
        <v>0</v>
      </c>
    </row>
    <row r="308" spans="1:12" s="129" customFormat="1">
      <c r="A308" s="132" t="s">
        <v>861</v>
      </c>
      <c r="B308" s="133" t="s">
        <v>799</v>
      </c>
      <c r="C308" s="134" t="s">
        <v>415</v>
      </c>
      <c r="D308" s="134"/>
      <c r="E308" s="78">
        <v>1.03518E-2</v>
      </c>
      <c r="F308" s="157">
        <f t="shared" si="43"/>
        <v>1.03518E-2</v>
      </c>
      <c r="G308" s="157"/>
      <c r="H308" s="128"/>
      <c r="I308" s="128">
        <v>14726563.098200001</v>
      </c>
      <c r="J308" s="128">
        <f t="shared" si="37"/>
        <v>152446.43587994677</v>
      </c>
      <c r="K308" s="128">
        <f t="shared" si="38"/>
        <v>152446.43587994677</v>
      </c>
      <c r="L308" s="128">
        <f t="shared" si="39"/>
        <v>0</v>
      </c>
    </row>
    <row r="309" spans="1:12" s="129" customFormat="1">
      <c r="A309" s="132">
        <v>32</v>
      </c>
      <c r="B309" s="133" t="s">
        <v>503</v>
      </c>
      <c r="C309" s="134" t="s">
        <v>149</v>
      </c>
      <c r="D309" s="134">
        <v>0.06</v>
      </c>
      <c r="E309" s="78">
        <v>0.06</v>
      </c>
      <c r="F309" s="157">
        <f t="shared" si="43"/>
        <v>0.06</v>
      </c>
      <c r="G309" s="157"/>
      <c r="H309" s="128">
        <v>1783035.3754178607</v>
      </c>
      <c r="I309" s="128"/>
      <c r="J309" s="128">
        <f t="shared" si="37"/>
        <v>106982.12252507164</v>
      </c>
      <c r="K309" s="128">
        <f t="shared" si="38"/>
        <v>106982.12252507164</v>
      </c>
      <c r="L309" s="128">
        <f t="shared" si="39"/>
        <v>0</v>
      </c>
    </row>
    <row r="310" spans="1:12" s="129" customFormat="1">
      <c r="A310" s="132">
        <v>33</v>
      </c>
      <c r="B310" s="133" t="s">
        <v>418</v>
      </c>
      <c r="C310" s="134" t="s">
        <v>145</v>
      </c>
      <c r="D310" s="134">
        <v>8.9999999999999993E-3</v>
      </c>
      <c r="E310" s="78">
        <v>8.9999999999999993E-3</v>
      </c>
      <c r="F310" s="157">
        <f t="shared" si="43"/>
        <v>8.9999999999999993E-3</v>
      </c>
      <c r="G310" s="157"/>
      <c r="H310" s="128">
        <v>30928790.531593096</v>
      </c>
      <c r="I310" s="128"/>
      <c r="J310" s="128">
        <f t="shared" si="37"/>
        <v>278359.11478433781</v>
      </c>
      <c r="K310" s="128">
        <f t="shared" si="38"/>
        <v>278359.11478433781</v>
      </c>
      <c r="L310" s="128">
        <f t="shared" si="39"/>
        <v>0</v>
      </c>
    </row>
    <row r="311" spans="1:12" s="129" customFormat="1">
      <c r="A311" s="132">
        <v>34</v>
      </c>
      <c r="B311" s="133" t="s">
        <v>419</v>
      </c>
      <c r="C311" s="134" t="s">
        <v>145</v>
      </c>
      <c r="D311" s="134">
        <v>1.9E-2</v>
      </c>
      <c r="E311" s="78">
        <v>1.9E-2</v>
      </c>
      <c r="F311" s="157">
        <f t="shared" si="43"/>
        <v>1.9E-2</v>
      </c>
      <c r="G311" s="157"/>
      <c r="H311" s="128">
        <v>30775729.176017962</v>
      </c>
      <c r="I311" s="128"/>
      <c r="J311" s="128">
        <f t="shared" si="37"/>
        <v>584738.85434434132</v>
      </c>
      <c r="K311" s="128">
        <f t="shared" si="38"/>
        <v>584738.85434434132</v>
      </c>
      <c r="L311" s="128">
        <f t="shared" si="39"/>
        <v>0</v>
      </c>
    </row>
    <row r="312" spans="1:12">
      <c r="A312" s="113"/>
      <c r="B312" s="112" t="s">
        <v>532</v>
      </c>
      <c r="C312" s="111"/>
      <c r="D312" s="111"/>
      <c r="E312" s="108"/>
      <c r="F312" s="156"/>
      <c r="G312" s="156"/>
      <c r="H312" s="122"/>
      <c r="I312" s="122"/>
      <c r="J312" s="122">
        <f t="shared" si="37"/>
        <v>0</v>
      </c>
      <c r="K312" s="122">
        <f t="shared" si="38"/>
        <v>0</v>
      </c>
      <c r="L312" s="122">
        <f t="shared" si="39"/>
        <v>0</v>
      </c>
    </row>
    <row r="313" spans="1:12">
      <c r="A313" s="114">
        <v>1</v>
      </c>
      <c r="B313" s="117" t="s">
        <v>425</v>
      </c>
      <c r="C313" s="116" t="s">
        <v>144</v>
      </c>
      <c r="D313" s="116">
        <v>8.84</v>
      </c>
      <c r="E313" s="108">
        <v>8.84</v>
      </c>
      <c r="F313" s="156"/>
      <c r="G313" s="156">
        <f>+E313</f>
        <v>8.84</v>
      </c>
      <c r="H313" s="122">
        <v>842210.9705639804</v>
      </c>
      <c r="I313" s="122"/>
      <c r="J313" s="122">
        <f t="shared" si="37"/>
        <v>7445144.9797855867</v>
      </c>
      <c r="K313" s="122">
        <f t="shared" si="38"/>
        <v>0</v>
      </c>
      <c r="L313" s="122">
        <f t="shared" si="39"/>
        <v>7445144.9797855867</v>
      </c>
    </row>
    <row r="314" spans="1:12">
      <c r="A314" s="114">
        <v>2</v>
      </c>
      <c r="B314" s="117" t="s">
        <v>482</v>
      </c>
      <c r="C314" s="116" t="s">
        <v>144</v>
      </c>
      <c r="D314" s="116">
        <v>26</v>
      </c>
      <c r="E314" s="108">
        <v>26</v>
      </c>
      <c r="F314" s="156"/>
      <c r="G314" s="156">
        <f t="shared" ref="G314:G319" si="44">+E314</f>
        <v>26</v>
      </c>
      <c r="H314" s="122">
        <v>1293675.19750221</v>
      </c>
      <c r="I314" s="122"/>
      <c r="J314" s="122">
        <f t="shared" si="37"/>
        <v>33635555.135057464</v>
      </c>
      <c r="K314" s="122">
        <f t="shared" si="38"/>
        <v>0</v>
      </c>
      <c r="L314" s="122">
        <f t="shared" si="39"/>
        <v>33635555.135057464</v>
      </c>
    </row>
    <row r="315" spans="1:12">
      <c r="A315" s="114">
        <v>3</v>
      </c>
      <c r="B315" s="117" t="s">
        <v>485</v>
      </c>
      <c r="C315" s="116" t="s">
        <v>144</v>
      </c>
      <c r="D315" s="116">
        <v>39.478000000000002</v>
      </c>
      <c r="E315" s="108">
        <v>39.478000000000002</v>
      </c>
      <c r="F315" s="156"/>
      <c r="G315" s="156">
        <f t="shared" si="44"/>
        <v>39.478000000000002</v>
      </c>
      <c r="H315" s="122">
        <v>1561077.2166396636</v>
      </c>
      <c r="I315" s="122"/>
      <c r="J315" s="122">
        <f t="shared" si="37"/>
        <v>61628206.358500637</v>
      </c>
      <c r="K315" s="122">
        <f t="shared" si="38"/>
        <v>0</v>
      </c>
      <c r="L315" s="122">
        <f t="shared" si="39"/>
        <v>61628206.358500637</v>
      </c>
    </row>
    <row r="316" spans="1:12">
      <c r="A316" s="114">
        <v>4</v>
      </c>
      <c r="B316" s="117" t="s">
        <v>481</v>
      </c>
      <c r="C316" s="116" t="s">
        <v>144</v>
      </c>
      <c r="D316" s="116">
        <v>16.559999999999999</v>
      </c>
      <c r="E316" s="108">
        <v>16.559999999999999</v>
      </c>
      <c r="F316" s="156"/>
      <c r="G316" s="156">
        <f t="shared" si="44"/>
        <v>16.559999999999999</v>
      </c>
      <c r="H316" s="122">
        <v>1282781.8846939367</v>
      </c>
      <c r="I316" s="122"/>
      <c r="J316" s="122">
        <f t="shared" si="37"/>
        <v>21242868.010531589</v>
      </c>
      <c r="K316" s="122">
        <f t="shared" si="38"/>
        <v>0</v>
      </c>
      <c r="L316" s="122">
        <f t="shared" si="39"/>
        <v>21242868.010531589</v>
      </c>
    </row>
    <row r="317" spans="1:12">
      <c r="A317" s="114">
        <v>5</v>
      </c>
      <c r="B317" s="117" t="s">
        <v>533</v>
      </c>
      <c r="C317" s="116" t="s">
        <v>144</v>
      </c>
      <c r="D317" s="116">
        <v>6</v>
      </c>
      <c r="E317" s="108">
        <v>6</v>
      </c>
      <c r="F317" s="156"/>
      <c r="G317" s="156">
        <f t="shared" si="44"/>
        <v>6</v>
      </c>
      <c r="H317" s="122">
        <v>1697666.4550724602</v>
      </c>
      <c r="I317" s="122"/>
      <c r="J317" s="122">
        <f t="shared" si="37"/>
        <v>10185998.73043476</v>
      </c>
      <c r="K317" s="122">
        <f t="shared" si="38"/>
        <v>0</v>
      </c>
      <c r="L317" s="122">
        <f t="shared" si="39"/>
        <v>10185998.73043476</v>
      </c>
    </row>
    <row r="318" spans="1:12">
      <c r="A318" s="114">
        <v>6</v>
      </c>
      <c r="B318" s="117" t="s">
        <v>534</v>
      </c>
      <c r="C318" s="116" t="s">
        <v>149</v>
      </c>
      <c r="D318" s="116">
        <v>0.56000000000000005</v>
      </c>
      <c r="E318" s="108">
        <v>0.56000000000000005</v>
      </c>
      <c r="F318" s="156"/>
      <c r="G318" s="156">
        <f t="shared" si="44"/>
        <v>0.56000000000000005</v>
      </c>
      <c r="H318" s="122">
        <v>5813935.4808997139</v>
      </c>
      <c r="I318" s="122"/>
      <c r="J318" s="122">
        <f t="shared" si="37"/>
        <v>3255803.8693038402</v>
      </c>
      <c r="K318" s="122">
        <f t="shared" si="38"/>
        <v>0</v>
      </c>
      <c r="L318" s="122">
        <f t="shared" si="39"/>
        <v>3255803.8693038402</v>
      </c>
    </row>
    <row r="319" spans="1:12">
      <c r="A319" s="114">
        <v>7</v>
      </c>
      <c r="B319" s="117" t="s">
        <v>535</v>
      </c>
      <c r="C319" s="116" t="s">
        <v>149</v>
      </c>
      <c r="D319" s="116">
        <v>1.887</v>
      </c>
      <c r="E319" s="108">
        <v>1.887</v>
      </c>
      <c r="F319" s="156"/>
      <c r="G319" s="156">
        <f t="shared" si="44"/>
        <v>1.887</v>
      </c>
      <c r="H319" s="122">
        <v>15289428.573971221</v>
      </c>
      <c r="I319" s="122"/>
      <c r="J319" s="122">
        <f t="shared" si="37"/>
        <v>28851151.719083693</v>
      </c>
      <c r="K319" s="122">
        <f t="shared" si="38"/>
        <v>0</v>
      </c>
      <c r="L319" s="122">
        <f t="shared" si="39"/>
        <v>28851151.719083693</v>
      </c>
    </row>
    <row r="320" spans="1:12">
      <c r="A320" s="114"/>
      <c r="B320" s="117" t="s">
        <v>536</v>
      </c>
      <c r="C320" s="116"/>
      <c r="D320" s="116"/>
      <c r="E320" s="108"/>
      <c r="F320" s="156"/>
      <c r="G320" s="156"/>
      <c r="H320" s="122"/>
      <c r="I320" s="122"/>
      <c r="J320" s="122">
        <f t="shared" si="37"/>
        <v>0</v>
      </c>
      <c r="K320" s="122">
        <f t="shared" si="38"/>
        <v>0</v>
      </c>
      <c r="L320" s="122">
        <f t="shared" si="39"/>
        <v>0</v>
      </c>
    </row>
    <row r="321" spans="1:12">
      <c r="A321" s="114">
        <v>8</v>
      </c>
      <c r="B321" s="117" t="s">
        <v>486</v>
      </c>
      <c r="C321" s="116" t="s">
        <v>144</v>
      </c>
      <c r="D321" s="116">
        <v>4.0599999999999996</v>
      </c>
      <c r="E321" s="108">
        <v>4.0599999999999996</v>
      </c>
      <c r="F321" s="156"/>
      <c r="G321" s="156">
        <f>+E321</f>
        <v>4.0599999999999996</v>
      </c>
      <c r="H321" s="122">
        <v>1874320.6727456823</v>
      </c>
      <c r="I321" s="122"/>
      <c r="J321" s="122">
        <f t="shared" si="37"/>
        <v>7609741.9313474698</v>
      </c>
      <c r="K321" s="122">
        <f t="shared" si="38"/>
        <v>0</v>
      </c>
      <c r="L321" s="122">
        <f t="shared" si="39"/>
        <v>7609741.9313474698</v>
      </c>
    </row>
    <row r="322" spans="1:12">
      <c r="A322" s="114">
        <v>9</v>
      </c>
      <c r="B322" s="117" t="s">
        <v>489</v>
      </c>
      <c r="C322" s="116" t="s">
        <v>146</v>
      </c>
      <c r="D322" s="116">
        <v>0.31900000000000001</v>
      </c>
      <c r="E322" s="108">
        <v>0.31900000000000001</v>
      </c>
      <c r="F322" s="156"/>
      <c r="G322" s="156">
        <f t="shared" ref="G322:G324" si="45">+E322</f>
        <v>0.31900000000000001</v>
      </c>
      <c r="H322" s="122">
        <v>22100222.329982016</v>
      </c>
      <c r="I322" s="122"/>
      <c r="J322" s="122">
        <f t="shared" si="37"/>
        <v>7049970.9232642632</v>
      </c>
      <c r="K322" s="122">
        <f t="shared" si="38"/>
        <v>0</v>
      </c>
      <c r="L322" s="122">
        <f t="shared" si="39"/>
        <v>7049970.9232642632</v>
      </c>
    </row>
    <row r="323" spans="1:12">
      <c r="A323" s="114">
        <v>10</v>
      </c>
      <c r="B323" s="117" t="s">
        <v>490</v>
      </c>
      <c r="C323" s="116" t="s">
        <v>146</v>
      </c>
      <c r="D323" s="116">
        <v>2.4E-2</v>
      </c>
      <c r="E323" s="108">
        <v>2.4E-2</v>
      </c>
      <c r="F323" s="156"/>
      <c r="G323" s="156">
        <f t="shared" si="45"/>
        <v>2.4E-2</v>
      </c>
      <c r="H323" s="122">
        <v>21791927.029349908</v>
      </c>
      <c r="I323" s="122"/>
      <c r="J323" s="122">
        <f t="shared" si="37"/>
        <v>523006.24870439782</v>
      </c>
      <c r="K323" s="122">
        <f t="shared" si="38"/>
        <v>0</v>
      </c>
      <c r="L323" s="122">
        <f t="shared" si="39"/>
        <v>523006.24870439782</v>
      </c>
    </row>
    <row r="324" spans="1:12">
      <c r="A324" s="114">
        <v>11</v>
      </c>
      <c r="B324" s="117" t="s">
        <v>491</v>
      </c>
      <c r="C324" s="116" t="s">
        <v>149</v>
      </c>
      <c r="D324" s="116">
        <v>0.24</v>
      </c>
      <c r="E324" s="108">
        <v>0.24</v>
      </c>
      <c r="F324" s="156"/>
      <c r="G324" s="156">
        <f t="shared" si="45"/>
        <v>0.24</v>
      </c>
      <c r="H324" s="122">
        <v>5813935.4808997139</v>
      </c>
      <c r="I324" s="122"/>
      <c r="J324" s="122">
        <f t="shared" si="37"/>
        <v>1395344.5154159314</v>
      </c>
      <c r="K324" s="122">
        <f t="shared" si="38"/>
        <v>0</v>
      </c>
      <c r="L324" s="122">
        <f t="shared" si="39"/>
        <v>1395344.5154159314</v>
      </c>
    </row>
    <row r="325" spans="1:12">
      <c r="A325" s="114"/>
      <c r="B325" s="117" t="s">
        <v>537</v>
      </c>
      <c r="C325" s="116"/>
      <c r="D325" s="116"/>
      <c r="E325" s="108"/>
      <c r="F325" s="156"/>
      <c r="G325" s="156"/>
      <c r="H325" s="122"/>
      <c r="I325" s="122"/>
      <c r="J325" s="122">
        <f t="shared" si="37"/>
        <v>0</v>
      </c>
      <c r="K325" s="122">
        <f t="shared" si="38"/>
        <v>0</v>
      </c>
      <c r="L325" s="122">
        <f t="shared" si="39"/>
        <v>0</v>
      </c>
    </row>
    <row r="326" spans="1:12">
      <c r="A326" s="114">
        <v>12</v>
      </c>
      <c r="B326" s="117" t="s">
        <v>482</v>
      </c>
      <c r="C326" s="116" t="s">
        <v>144</v>
      </c>
      <c r="D326" s="116">
        <v>22.763999999999999</v>
      </c>
      <c r="E326" s="108">
        <v>22.763999999999999</v>
      </c>
      <c r="F326" s="156"/>
      <c r="G326" s="156">
        <f>+E326</f>
        <v>22.763999999999999</v>
      </c>
      <c r="H326" s="122">
        <v>1293675.19750221</v>
      </c>
      <c r="I326" s="122"/>
      <c r="J326" s="122">
        <f t="shared" si="37"/>
        <v>29449222.195940308</v>
      </c>
      <c r="K326" s="122">
        <f t="shared" si="38"/>
        <v>0</v>
      </c>
      <c r="L326" s="122">
        <f t="shared" si="39"/>
        <v>29449222.195940308</v>
      </c>
    </row>
    <row r="327" spans="1:12">
      <c r="A327" s="114">
        <v>13</v>
      </c>
      <c r="B327" s="117" t="s">
        <v>485</v>
      </c>
      <c r="C327" s="116" t="s">
        <v>144</v>
      </c>
      <c r="D327" s="116">
        <v>23.736000000000001</v>
      </c>
      <c r="E327" s="108">
        <v>23.736000000000001</v>
      </c>
      <c r="F327" s="156"/>
      <c r="G327" s="156">
        <f t="shared" ref="G327:G331" si="46">+E327</f>
        <v>23.736000000000001</v>
      </c>
      <c r="H327" s="122">
        <v>1693173.9091724234</v>
      </c>
      <c r="I327" s="122"/>
      <c r="J327" s="122">
        <f t="shared" si="37"/>
        <v>40189175.908116646</v>
      </c>
      <c r="K327" s="122">
        <f t="shared" si="38"/>
        <v>0</v>
      </c>
      <c r="L327" s="122">
        <f t="shared" si="39"/>
        <v>40189175.908116646</v>
      </c>
    </row>
    <row r="328" spans="1:12">
      <c r="A328" s="114">
        <v>14</v>
      </c>
      <c r="B328" s="117" t="s">
        <v>538</v>
      </c>
      <c r="C328" s="116" t="s">
        <v>144</v>
      </c>
      <c r="D328" s="116">
        <v>11.696</v>
      </c>
      <c r="E328" s="108">
        <v>11.696</v>
      </c>
      <c r="F328" s="156"/>
      <c r="G328" s="156">
        <f t="shared" si="46"/>
        <v>11.696</v>
      </c>
      <c r="H328" s="122">
        <v>1282781.8846939367</v>
      </c>
      <c r="I328" s="122"/>
      <c r="J328" s="122">
        <f t="shared" si="37"/>
        <v>15003416.923380284</v>
      </c>
      <c r="K328" s="122">
        <f t="shared" si="38"/>
        <v>0</v>
      </c>
      <c r="L328" s="122">
        <f t="shared" si="39"/>
        <v>15003416.923380284</v>
      </c>
    </row>
    <row r="329" spans="1:12">
      <c r="A329" s="114">
        <v>15</v>
      </c>
      <c r="B329" s="117" t="s">
        <v>425</v>
      </c>
      <c r="C329" s="116" t="s">
        <v>144</v>
      </c>
      <c r="D329" s="116">
        <v>6.7679999999999998</v>
      </c>
      <c r="E329" s="108">
        <v>6.7679999999999998</v>
      </c>
      <c r="F329" s="156"/>
      <c r="G329" s="156">
        <f t="shared" si="46"/>
        <v>6.7679999999999998</v>
      </c>
      <c r="H329" s="122">
        <v>842210.9705639804</v>
      </c>
      <c r="I329" s="122"/>
      <c r="J329" s="122">
        <f t="shared" si="37"/>
        <v>5700083.8487770194</v>
      </c>
      <c r="K329" s="122">
        <f t="shared" si="38"/>
        <v>0</v>
      </c>
      <c r="L329" s="122">
        <f t="shared" si="39"/>
        <v>5700083.8487770194</v>
      </c>
    </row>
    <row r="330" spans="1:12">
      <c r="A330" s="114">
        <v>16</v>
      </c>
      <c r="B330" s="117" t="s">
        <v>530</v>
      </c>
      <c r="C330" s="116" t="s">
        <v>149</v>
      </c>
      <c r="D330" s="116">
        <v>0.61199999999999999</v>
      </c>
      <c r="E330" s="108">
        <v>0.61199999999999999</v>
      </c>
      <c r="F330" s="156"/>
      <c r="G330" s="156">
        <f t="shared" si="46"/>
        <v>0.61199999999999999</v>
      </c>
      <c r="H330" s="122">
        <v>5813935.4808997139</v>
      </c>
      <c r="I330" s="122"/>
      <c r="J330" s="122">
        <f t="shared" si="37"/>
        <v>3558128.5143106249</v>
      </c>
      <c r="K330" s="122">
        <f t="shared" si="38"/>
        <v>0</v>
      </c>
      <c r="L330" s="122">
        <f t="shared" si="39"/>
        <v>3558128.5143106249</v>
      </c>
    </row>
    <row r="331" spans="1:12">
      <c r="A331" s="114">
        <v>17</v>
      </c>
      <c r="B331" s="117" t="s">
        <v>539</v>
      </c>
      <c r="C331" s="116" t="s">
        <v>149</v>
      </c>
      <c r="D331" s="116">
        <v>0.74099999999999999</v>
      </c>
      <c r="E331" s="108">
        <v>0.74099999999999999</v>
      </c>
      <c r="F331" s="156"/>
      <c r="G331" s="156">
        <f t="shared" si="46"/>
        <v>0.74099999999999999</v>
      </c>
      <c r="H331" s="122">
        <v>15289428.573971221</v>
      </c>
      <c r="I331" s="122"/>
      <c r="J331" s="122">
        <f t="shared" si="37"/>
        <v>11329466.573312676</v>
      </c>
      <c r="K331" s="122">
        <f t="shared" si="38"/>
        <v>0</v>
      </c>
      <c r="L331" s="122">
        <f t="shared" si="39"/>
        <v>11329466.573312676</v>
      </c>
    </row>
    <row r="332" spans="1:12">
      <c r="A332" s="114"/>
      <c r="B332" s="117" t="s">
        <v>540</v>
      </c>
      <c r="C332" s="116"/>
      <c r="D332" s="116"/>
      <c r="E332" s="108"/>
      <c r="F332" s="156"/>
      <c r="G332" s="156"/>
      <c r="H332" s="122"/>
      <c r="I332" s="122"/>
      <c r="J332" s="122">
        <f t="shared" ref="J332:J395" si="47">+E332*MAX(H332:I332)</f>
        <v>0</v>
      </c>
      <c r="K332" s="122">
        <f t="shared" ref="K332:K395" si="48">+F332*MAX(H332:I332)</f>
        <v>0</v>
      </c>
      <c r="L332" s="122">
        <f t="shared" ref="L332:L395" si="49">+G332*MAX(H332:I332)</f>
        <v>0</v>
      </c>
    </row>
    <row r="333" spans="1:12">
      <c r="A333" s="114">
        <v>18</v>
      </c>
      <c r="B333" s="117" t="s">
        <v>541</v>
      </c>
      <c r="C333" s="116" t="s">
        <v>144</v>
      </c>
      <c r="D333" s="116">
        <v>38.74</v>
      </c>
      <c r="E333" s="108">
        <v>38.74</v>
      </c>
      <c r="F333" s="156"/>
      <c r="G333" s="156">
        <f>+E333</f>
        <v>38.74</v>
      </c>
      <c r="H333" s="122">
        <v>1849818.6579168823</v>
      </c>
      <c r="I333" s="122"/>
      <c r="J333" s="122">
        <f t="shared" si="47"/>
        <v>71661974.807700023</v>
      </c>
      <c r="K333" s="122">
        <f t="shared" si="48"/>
        <v>0</v>
      </c>
      <c r="L333" s="122">
        <f t="shared" si="49"/>
        <v>71661974.807700023</v>
      </c>
    </row>
    <row r="334" spans="1:12">
      <c r="A334" s="114">
        <v>19</v>
      </c>
      <c r="B334" s="117" t="s">
        <v>542</v>
      </c>
      <c r="C334" s="116" t="s">
        <v>146</v>
      </c>
      <c r="D334" s="116">
        <v>0.53800000000000003</v>
      </c>
      <c r="E334" s="108">
        <v>0.53800000000000003</v>
      </c>
      <c r="F334" s="156"/>
      <c r="G334" s="156">
        <f t="shared" ref="G334:G338" si="50">+E334</f>
        <v>0.53800000000000003</v>
      </c>
      <c r="H334" s="122">
        <v>22594679.698709495</v>
      </c>
      <c r="I334" s="122"/>
      <c r="J334" s="122">
        <f t="shared" si="47"/>
        <v>12155937.677905709</v>
      </c>
      <c r="K334" s="122">
        <f t="shared" si="48"/>
        <v>0</v>
      </c>
      <c r="L334" s="122">
        <f t="shared" si="49"/>
        <v>12155937.677905709</v>
      </c>
    </row>
    <row r="335" spans="1:12">
      <c r="A335" s="114">
        <v>20</v>
      </c>
      <c r="B335" s="117" t="s">
        <v>543</v>
      </c>
      <c r="C335" s="116" t="s">
        <v>146</v>
      </c>
      <c r="D335" s="116">
        <v>1.4370000000000001</v>
      </c>
      <c r="E335" s="108">
        <v>1.4370000000000001</v>
      </c>
      <c r="F335" s="156"/>
      <c r="G335" s="156">
        <f t="shared" si="50"/>
        <v>1.4370000000000001</v>
      </c>
      <c r="H335" s="122">
        <v>22769766.263162456</v>
      </c>
      <c r="I335" s="122"/>
      <c r="J335" s="122">
        <f t="shared" si="47"/>
        <v>32720154.12016445</v>
      </c>
      <c r="K335" s="122">
        <f t="shared" si="48"/>
        <v>0</v>
      </c>
      <c r="L335" s="122">
        <f t="shared" si="49"/>
        <v>32720154.12016445</v>
      </c>
    </row>
    <row r="336" spans="1:12">
      <c r="A336" s="114">
        <v>21</v>
      </c>
      <c r="B336" s="117" t="s">
        <v>544</v>
      </c>
      <c r="C336" s="116" t="s">
        <v>146</v>
      </c>
      <c r="D336" s="116">
        <v>2.4E-2</v>
      </c>
      <c r="E336" s="108">
        <v>2.4E-2</v>
      </c>
      <c r="F336" s="156"/>
      <c r="G336" s="156">
        <f t="shared" si="50"/>
        <v>2.4E-2</v>
      </c>
      <c r="H336" s="122">
        <v>22769766.263162456</v>
      </c>
      <c r="I336" s="122"/>
      <c r="J336" s="122">
        <f t="shared" si="47"/>
        <v>546474.39031589893</v>
      </c>
      <c r="K336" s="122">
        <f t="shared" si="48"/>
        <v>0</v>
      </c>
      <c r="L336" s="122">
        <f t="shared" si="49"/>
        <v>546474.39031589893</v>
      </c>
    </row>
    <row r="337" spans="1:12">
      <c r="A337" s="114">
        <v>22</v>
      </c>
      <c r="B337" s="117" t="s">
        <v>419</v>
      </c>
      <c r="C337" s="116" t="s">
        <v>145</v>
      </c>
      <c r="D337" s="116">
        <v>0.39</v>
      </c>
      <c r="E337" s="108">
        <v>0.39</v>
      </c>
      <c r="F337" s="156"/>
      <c r="G337" s="156">
        <f t="shared" si="50"/>
        <v>0.39</v>
      </c>
      <c r="H337" s="122">
        <v>30775729.176017962</v>
      </c>
      <c r="I337" s="122"/>
      <c r="J337" s="122">
        <f t="shared" si="47"/>
        <v>12002534.378647005</v>
      </c>
      <c r="K337" s="122">
        <f t="shared" si="48"/>
        <v>0</v>
      </c>
      <c r="L337" s="122">
        <f t="shared" si="49"/>
        <v>12002534.378647005</v>
      </c>
    </row>
    <row r="338" spans="1:12">
      <c r="A338" s="114">
        <v>23</v>
      </c>
      <c r="B338" s="117" t="s">
        <v>545</v>
      </c>
      <c r="C338" s="116" t="s">
        <v>149</v>
      </c>
      <c r="D338" s="116">
        <v>0.93600000000000005</v>
      </c>
      <c r="E338" s="108">
        <v>0.93600000000000005</v>
      </c>
      <c r="F338" s="156"/>
      <c r="G338" s="156">
        <f t="shared" si="50"/>
        <v>0.93600000000000005</v>
      </c>
      <c r="H338" s="122">
        <v>16576033.636680132</v>
      </c>
      <c r="I338" s="122"/>
      <c r="J338" s="122">
        <f t="shared" si="47"/>
        <v>15515167.483932605</v>
      </c>
      <c r="K338" s="122">
        <f t="shared" si="48"/>
        <v>0</v>
      </c>
      <c r="L338" s="122">
        <f t="shared" si="49"/>
        <v>15515167.483932605</v>
      </c>
    </row>
    <row r="339" spans="1:12">
      <c r="A339" s="114"/>
      <c r="B339" s="117" t="s">
        <v>546</v>
      </c>
      <c r="C339" s="116"/>
      <c r="D339" s="116"/>
      <c r="E339" s="108"/>
      <c r="F339" s="156"/>
      <c r="G339" s="156"/>
      <c r="H339" s="122"/>
      <c r="I339" s="122"/>
      <c r="J339" s="122">
        <f t="shared" si="47"/>
        <v>0</v>
      </c>
      <c r="K339" s="122">
        <f t="shared" si="48"/>
        <v>0</v>
      </c>
      <c r="L339" s="122">
        <f t="shared" si="49"/>
        <v>0</v>
      </c>
    </row>
    <row r="340" spans="1:12">
      <c r="A340" s="114">
        <v>24</v>
      </c>
      <c r="B340" s="117" t="s">
        <v>518</v>
      </c>
      <c r="C340" s="116" t="s">
        <v>144</v>
      </c>
      <c r="D340" s="116">
        <v>23.053999999999998</v>
      </c>
      <c r="E340" s="108">
        <v>23.053999999999998</v>
      </c>
      <c r="F340" s="156"/>
      <c r="G340" s="156">
        <f>+E340</f>
        <v>23.053999999999998</v>
      </c>
      <c r="H340" s="122">
        <v>1728209.6788338162</v>
      </c>
      <c r="I340" s="122"/>
      <c r="J340" s="122">
        <f t="shared" si="47"/>
        <v>39842145.935834795</v>
      </c>
      <c r="K340" s="122">
        <f t="shared" si="48"/>
        <v>0</v>
      </c>
      <c r="L340" s="122">
        <f t="shared" si="49"/>
        <v>39842145.935834795</v>
      </c>
    </row>
    <row r="341" spans="1:12">
      <c r="A341" s="114">
        <v>25</v>
      </c>
      <c r="B341" s="117" t="s">
        <v>547</v>
      </c>
      <c r="C341" s="116" t="s">
        <v>148</v>
      </c>
      <c r="D341" s="116">
        <v>0.32400000000000001</v>
      </c>
      <c r="E341" s="108">
        <v>0.32400000000000001</v>
      </c>
      <c r="F341" s="156"/>
      <c r="G341" s="156">
        <f t="shared" ref="G341:G344" si="51">+E341</f>
        <v>0.32400000000000001</v>
      </c>
      <c r="H341" s="122">
        <v>186706.4824971958</v>
      </c>
      <c r="I341" s="122"/>
      <c r="J341" s="122">
        <f t="shared" si="47"/>
        <v>60492.900329091441</v>
      </c>
      <c r="K341" s="122">
        <f t="shared" si="48"/>
        <v>0</v>
      </c>
      <c r="L341" s="122">
        <f t="shared" si="49"/>
        <v>60492.900329091441</v>
      </c>
    </row>
    <row r="342" spans="1:12">
      <c r="A342" s="114">
        <v>26</v>
      </c>
      <c r="B342" s="117" t="s">
        <v>548</v>
      </c>
      <c r="C342" s="116" t="s">
        <v>146</v>
      </c>
      <c r="D342" s="116">
        <v>1.127</v>
      </c>
      <c r="E342" s="108">
        <v>1.127</v>
      </c>
      <c r="F342" s="156"/>
      <c r="G342" s="156">
        <f t="shared" si="51"/>
        <v>1.127</v>
      </c>
      <c r="H342" s="122">
        <v>20385971.434105869</v>
      </c>
      <c r="I342" s="122"/>
      <c r="J342" s="122">
        <f t="shared" si="47"/>
        <v>22974989.806237314</v>
      </c>
      <c r="K342" s="122">
        <f t="shared" si="48"/>
        <v>0</v>
      </c>
      <c r="L342" s="122">
        <f t="shared" si="49"/>
        <v>22974989.806237314</v>
      </c>
    </row>
    <row r="343" spans="1:12">
      <c r="A343" s="114">
        <v>27</v>
      </c>
      <c r="B343" s="117" t="s">
        <v>549</v>
      </c>
      <c r="C343" s="116" t="s">
        <v>146</v>
      </c>
      <c r="D343" s="116">
        <v>2.871</v>
      </c>
      <c r="E343" s="108">
        <v>2.871</v>
      </c>
      <c r="F343" s="156"/>
      <c r="G343" s="156">
        <f t="shared" si="51"/>
        <v>2.871</v>
      </c>
      <c r="H343" s="122">
        <v>19512849.071334727</v>
      </c>
      <c r="I343" s="122"/>
      <c r="J343" s="122">
        <f t="shared" si="47"/>
        <v>56021389.683802001</v>
      </c>
      <c r="K343" s="122">
        <f t="shared" si="48"/>
        <v>0</v>
      </c>
      <c r="L343" s="122">
        <f t="shared" si="49"/>
        <v>56021389.683802001</v>
      </c>
    </row>
    <row r="344" spans="1:12">
      <c r="A344" s="114">
        <v>28</v>
      </c>
      <c r="B344" s="117" t="s">
        <v>550</v>
      </c>
      <c r="C344" s="116" t="s">
        <v>392</v>
      </c>
      <c r="D344" s="116">
        <v>26</v>
      </c>
      <c r="E344" s="108">
        <v>26</v>
      </c>
      <c r="F344" s="156"/>
      <c r="G344" s="156">
        <f t="shared" si="51"/>
        <v>26</v>
      </c>
      <c r="H344" s="122">
        <v>36169.582371179516</v>
      </c>
      <c r="I344" s="122"/>
      <c r="J344" s="122">
        <f t="shared" si="47"/>
        <v>940409.14165066741</v>
      </c>
      <c r="K344" s="122">
        <f t="shared" si="48"/>
        <v>0</v>
      </c>
      <c r="L344" s="122">
        <f t="shared" si="49"/>
        <v>940409.14165066741</v>
      </c>
    </row>
    <row r="345" spans="1:12">
      <c r="A345" s="114"/>
      <c r="B345" s="117" t="s">
        <v>551</v>
      </c>
      <c r="C345" s="116"/>
      <c r="D345" s="116"/>
      <c r="E345" s="108"/>
      <c r="F345" s="156"/>
      <c r="G345" s="156"/>
      <c r="H345" s="122"/>
      <c r="I345" s="122"/>
      <c r="J345" s="122">
        <f t="shared" si="47"/>
        <v>0</v>
      </c>
      <c r="K345" s="122">
        <f t="shared" si="48"/>
        <v>0</v>
      </c>
      <c r="L345" s="122">
        <f t="shared" si="49"/>
        <v>0</v>
      </c>
    </row>
    <row r="346" spans="1:12" ht="31.2">
      <c r="A346" s="114">
        <v>29</v>
      </c>
      <c r="B346" s="117" t="s">
        <v>413</v>
      </c>
      <c r="C346" s="116" t="s">
        <v>149</v>
      </c>
      <c r="D346" s="116">
        <v>1.254</v>
      </c>
      <c r="E346" s="108">
        <v>0</v>
      </c>
      <c r="F346" s="156"/>
      <c r="G346" s="156">
        <f>+E346</f>
        <v>0</v>
      </c>
      <c r="H346" s="122">
        <v>1164681.0166441561</v>
      </c>
      <c r="I346" s="122"/>
      <c r="J346" s="122">
        <f t="shared" si="47"/>
        <v>0</v>
      </c>
      <c r="K346" s="122">
        <f t="shared" si="48"/>
        <v>0</v>
      </c>
      <c r="L346" s="122">
        <f t="shared" si="49"/>
        <v>0</v>
      </c>
    </row>
    <row r="347" spans="1:12" ht="31.2">
      <c r="A347" s="114">
        <v>30</v>
      </c>
      <c r="B347" s="117" t="s">
        <v>414</v>
      </c>
      <c r="C347" s="116" t="s">
        <v>415</v>
      </c>
      <c r="D347" s="116">
        <v>0.20799999999999999</v>
      </c>
      <c r="E347" s="108">
        <v>0</v>
      </c>
      <c r="F347" s="156"/>
      <c r="G347" s="156">
        <f t="shared" ref="G347:G355" si="52">+E347</f>
        <v>0</v>
      </c>
      <c r="H347" s="122">
        <v>114207703.6275613</v>
      </c>
      <c r="I347" s="122"/>
      <c r="J347" s="122">
        <f t="shared" si="47"/>
        <v>0</v>
      </c>
      <c r="K347" s="122">
        <f t="shared" si="48"/>
        <v>0</v>
      </c>
      <c r="L347" s="122">
        <f t="shared" si="49"/>
        <v>0</v>
      </c>
    </row>
    <row r="348" spans="1:12" ht="31.2">
      <c r="A348" s="114" t="s">
        <v>862</v>
      </c>
      <c r="B348" s="117" t="s">
        <v>795</v>
      </c>
      <c r="C348" s="116" t="s">
        <v>149</v>
      </c>
      <c r="D348" s="116"/>
      <c r="E348" s="108">
        <v>1.254</v>
      </c>
      <c r="F348" s="156"/>
      <c r="G348" s="156">
        <f t="shared" si="52"/>
        <v>1.254</v>
      </c>
      <c r="H348" s="122">
        <v>0</v>
      </c>
      <c r="I348" s="122">
        <v>1450470.8478000001</v>
      </c>
      <c r="J348" s="122">
        <f t="shared" si="47"/>
        <v>1818890.4431412001</v>
      </c>
      <c r="K348" s="122">
        <f t="shared" si="48"/>
        <v>0</v>
      </c>
      <c r="L348" s="122">
        <f t="shared" si="49"/>
        <v>1818890.4431412001</v>
      </c>
    </row>
    <row r="349" spans="1:12">
      <c r="A349" s="114" t="s">
        <v>863</v>
      </c>
      <c r="B349" s="117" t="s">
        <v>797</v>
      </c>
      <c r="C349" s="116" t="s">
        <v>415</v>
      </c>
      <c r="D349" s="116"/>
      <c r="E349" s="108">
        <v>0.21635262</v>
      </c>
      <c r="F349" s="156"/>
      <c r="G349" s="156">
        <f t="shared" si="52"/>
        <v>0.21635262</v>
      </c>
      <c r="H349" s="122">
        <v>0</v>
      </c>
      <c r="I349" s="122">
        <v>150219973.99520001</v>
      </c>
      <c r="J349" s="122">
        <f t="shared" si="47"/>
        <v>32500484.95019339</v>
      </c>
      <c r="K349" s="122">
        <f t="shared" si="48"/>
        <v>0</v>
      </c>
      <c r="L349" s="122">
        <f t="shared" si="49"/>
        <v>32500484.95019339</v>
      </c>
    </row>
    <row r="350" spans="1:12">
      <c r="A350" s="114">
        <v>31</v>
      </c>
      <c r="B350" s="117" t="s">
        <v>502</v>
      </c>
      <c r="C350" s="116" t="s">
        <v>415</v>
      </c>
      <c r="D350" s="116">
        <v>0.20799999999999999</v>
      </c>
      <c r="E350" s="108">
        <v>0.21635262</v>
      </c>
      <c r="F350" s="156"/>
      <c r="G350" s="156">
        <f t="shared" si="52"/>
        <v>0.21635262</v>
      </c>
      <c r="H350" s="122">
        <v>4705361.9552235175</v>
      </c>
      <c r="I350" s="122"/>
      <c r="J350" s="122">
        <f t="shared" si="47"/>
        <v>1018017.3870609307</v>
      </c>
      <c r="K350" s="122">
        <f t="shared" si="48"/>
        <v>0</v>
      </c>
      <c r="L350" s="122">
        <f t="shared" si="49"/>
        <v>1018017.3870609307</v>
      </c>
    </row>
    <row r="351" spans="1:12">
      <c r="A351" s="114">
        <v>32</v>
      </c>
      <c r="B351" s="117" t="s">
        <v>511</v>
      </c>
      <c r="C351" s="116" t="s">
        <v>415</v>
      </c>
      <c r="D351" s="116">
        <v>0.20799999999999999</v>
      </c>
      <c r="E351" s="108">
        <v>0</v>
      </c>
      <c r="F351" s="156"/>
      <c r="G351" s="156">
        <f t="shared" si="52"/>
        <v>0</v>
      </c>
      <c r="H351" s="122">
        <v>13145138.160624428</v>
      </c>
      <c r="I351" s="122"/>
      <c r="J351" s="122">
        <f t="shared" si="47"/>
        <v>0</v>
      </c>
      <c r="K351" s="122">
        <f t="shared" si="48"/>
        <v>0</v>
      </c>
      <c r="L351" s="122">
        <f t="shared" si="49"/>
        <v>0</v>
      </c>
    </row>
    <row r="352" spans="1:12">
      <c r="A352" s="114" t="s">
        <v>864</v>
      </c>
      <c r="B352" s="117" t="s">
        <v>799</v>
      </c>
      <c r="C352" s="116" t="s">
        <v>415</v>
      </c>
      <c r="D352" s="116"/>
      <c r="E352" s="108">
        <v>0.21635262</v>
      </c>
      <c r="F352" s="156"/>
      <c r="G352" s="156">
        <f t="shared" si="52"/>
        <v>0.21635262</v>
      </c>
      <c r="H352" s="122"/>
      <c r="I352" s="122">
        <v>14726563.098200001</v>
      </c>
      <c r="J352" s="122">
        <f t="shared" si="47"/>
        <v>3186130.5098908874</v>
      </c>
      <c r="K352" s="122">
        <f t="shared" si="48"/>
        <v>0</v>
      </c>
      <c r="L352" s="122">
        <f t="shared" si="49"/>
        <v>3186130.5098908874</v>
      </c>
    </row>
    <row r="353" spans="1:12">
      <c r="A353" s="114">
        <v>33</v>
      </c>
      <c r="B353" s="117" t="s">
        <v>503</v>
      </c>
      <c r="C353" s="116" t="s">
        <v>149</v>
      </c>
      <c r="D353" s="116">
        <v>1.254</v>
      </c>
      <c r="E353" s="108">
        <v>1.254</v>
      </c>
      <c r="F353" s="156"/>
      <c r="G353" s="156">
        <f t="shared" si="52"/>
        <v>1.254</v>
      </c>
      <c r="H353" s="122">
        <v>1783035.3754178607</v>
      </c>
      <c r="I353" s="122"/>
      <c r="J353" s="122">
        <f t="shared" si="47"/>
        <v>2235926.3607739974</v>
      </c>
      <c r="K353" s="122">
        <f t="shared" si="48"/>
        <v>0</v>
      </c>
      <c r="L353" s="122">
        <f t="shared" si="49"/>
        <v>2235926.3607739974</v>
      </c>
    </row>
    <row r="354" spans="1:12">
      <c r="A354" s="114">
        <v>34</v>
      </c>
      <c r="B354" s="117" t="s">
        <v>418</v>
      </c>
      <c r="C354" s="116" t="s">
        <v>145</v>
      </c>
      <c r="D354" s="116">
        <v>0.188</v>
      </c>
      <c r="E354" s="108">
        <v>0.188</v>
      </c>
      <c r="F354" s="156"/>
      <c r="G354" s="156">
        <f t="shared" si="52"/>
        <v>0.188</v>
      </c>
      <c r="H354" s="122">
        <v>30928790.531593096</v>
      </c>
      <c r="I354" s="122"/>
      <c r="J354" s="122">
        <f t="shared" si="47"/>
        <v>5814612.6199395023</v>
      </c>
      <c r="K354" s="122">
        <f t="shared" si="48"/>
        <v>0</v>
      </c>
      <c r="L354" s="122">
        <f t="shared" si="49"/>
        <v>5814612.6199395023</v>
      </c>
    </row>
    <row r="355" spans="1:12">
      <c r="A355" s="114">
        <v>35</v>
      </c>
      <c r="B355" s="117" t="s">
        <v>419</v>
      </c>
      <c r="C355" s="116" t="s">
        <v>145</v>
      </c>
      <c r="D355" s="116">
        <v>0.40100000000000002</v>
      </c>
      <c r="E355" s="108">
        <v>0.40100000000000002</v>
      </c>
      <c r="F355" s="156"/>
      <c r="G355" s="156">
        <f t="shared" si="52"/>
        <v>0.40100000000000002</v>
      </c>
      <c r="H355" s="122">
        <v>30775729.176017962</v>
      </c>
      <c r="I355" s="122"/>
      <c r="J355" s="122">
        <f t="shared" si="47"/>
        <v>12341067.399583204</v>
      </c>
      <c r="K355" s="122">
        <f t="shared" si="48"/>
        <v>0</v>
      </c>
      <c r="L355" s="122">
        <f t="shared" si="49"/>
        <v>12341067.399583204</v>
      </c>
    </row>
    <row r="356" spans="1:12">
      <c r="A356" s="114">
        <v>36</v>
      </c>
      <c r="B356" s="117" t="s">
        <v>552</v>
      </c>
      <c r="C356" s="116" t="s">
        <v>144</v>
      </c>
      <c r="D356" s="116">
        <v>5.88</v>
      </c>
      <c r="E356" s="108">
        <v>5.88</v>
      </c>
      <c r="F356" s="156"/>
      <c r="G356" s="156">
        <f>+E356</f>
        <v>5.88</v>
      </c>
      <c r="H356" s="122">
        <v>1575565.5577879534</v>
      </c>
      <c r="I356" s="122"/>
      <c r="J356" s="122">
        <f t="shared" si="47"/>
        <v>9264325.4797931667</v>
      </c>
      <c r="K356" s="122">
        <f t="shared" si="48"/>
        <v>0</v>
      </c>
      <c r="L356" s="122">
        <f t="shared" si="49"/>
        <v>9264325.4797931667</v>
      </c>
    </row>
    <row r="357" spans="1:12">
      <c r="A357" s="114">
        <v>37</v>
      </c>
      <c r="B357" s="117" t="s">
        <v>553</v>
      </c>
      <c r="C357" s="116" t="s">
        <v>146</v>
      </c>
      <c r="D357" s="116">
        <v>0.377</v>
      </c>
      <c r="E357" s="108">
        <v>0.377</v>
      </c>
      <c r="F357" s="156"/>
      <c r="G357" s="156">
        <f t="shared" ref="G357:G359" si="53">+E357</f>
        <v>0.377</v>
      </c>
      <c r="H357" s="122">
        <v>20822861.018433131</v>
      </c>
      <c r="I357" s="122"/>
      <c r="J357" s="122">
        <f t="shared" si="47"/>
        <v>7850218.6039492907</v>
      </c>
      <c r="K357" s="122">
        <f t="shared" si="48"/>
        <v>0</v>
      </c>
      <c r="L357" s="122">
        <f t="shared" si="49"/>
        <v>7850218.6039492907</v>
      </c>
    </row>
    <row r="358" spans="1:12">
      <c r="A358" s="114">
        <v>38</v>
      </c>
      <c r="B358" s="117" t="s">
        <v>554</v>
      </c>
      <c r="C358" s="116" t="s">
        <v>146</v>
      </c>
      <c r="D358" s="116">
        <v>0.14799999999999999</v>
      </c>
      <c r="E358" s="108">
        <v>0.14799999999999999</v>
      </c>
      <c r="F358" s="156"/>
      <c r="G358" s="156">
        <f t="shared" si="53"/>
        <v>0.14799999999999999</v>
      </c>
      <c r="H358" s="122">
        <v>21218438.285948053</v>
      </c>
      <c r="I358" s="122"/>
      <c r="J358" s="122">
        <f t="shared" si="47"/>
        <v>3140328.8663203116</v>
      </c>
      <c r="K358" s="122">
        <f t="shared" si="48"/>
        <v>0</v>
      </c>
      <c r="L358" s="122">
        <f t="shared" si="49"/>
        <v>3140328.8663203116</v>
      </c>
    </row>
    <row r="359" spans="1:12">
      <c r="A359" s="114">
        <v>39</v>
      </c>
      <c r="B359" s="117" t="s">
        <v>555</v>
      </c>
      <c r="C359" s="116" t="s">
        <v>149</v>
      </c>
      <c r="D359" s="116">
        <v>0.16700000000000001</v>
      </c>
      <c r="E359" s="108">
        <v>0.16700000000000001</v>
      </c>
      <c r="F359" s="156"/>
      <c r="G359" s="156">
        <f t="shared" si="53"/>
        <v>0.16700000000000001</v>
      </c>
      <c r="H359" s="122">
        <v>5813935.4808997139</v>
      </c>
      <c r="I359" s="122"/>
      <c r="J359" s="122">
        <f t="shared" si="47"/>
        <v>970927.22531025228</v>
      </c>
      <c r="K359" s="122">
        <f t="shared" si="48"/>
        <v>0</v>
      </c>
      <c r="L359" s="122">
        <f t="shared" si="49"/>
        <v>970927.22531025228</v>
      </c>
    </row>
    <row r="360" spans="1:12">
      <c r="A360" s="114"/>
      <c r="B360" s="115" t="s">
        <v>556</v>
      </c>
      <c r="C360" s="116"/>
      <c r="D360" s="116"/>
      <c r="E360" s="108"/>
      <c r="F360" s="156"/>
      <c r="G360" s="156"/>
      <c r="H360" s="122"/>
      <c r="I360" s="122"/>
      <c r="J360" s="122">
        <f t="shared" si="47"/>
        <v>0</v>
      </c>
      <c r="K360" s="122">
        <f t="shared" si="48"/>
        <v>0</v>
      </c>
      <c r="L360" s="122">
        <f t="shared" si="49"/>
        <v>0</v>
      </c>
    </row>
    <row r="361" spans="1:12">
      <c r="A361" s="114">
        <v>40</v>
      </c>
      <c r="B361" s="117" t="s">
        <v>557</v>
      </c>
      <c r="C361" s="116" t="s">
        <v>144</v>
      </c>
      <c r="D361" s="116">
        <v>8.32</v>
      </c>
      <c r="E361" s="108">
        <v>8.32</v>
      </c>
      <c r="F361" s="156"/>
      <c r="G361" s="156">
        <f>+E361</f>
        <v>8.32</v>
      </c>
      <c r="H361" s="122">
        <v>1293675.19750221</v>
      </c>
      <c r="I361" s="122"/>
      <c r="J361" s="122">
        <f t="shared" si="47"/>
        <v>10763377.643218389</v>
      </c>
      <c r="K361" s="122">
        <f t="shared" si="48"/>
        <v>0</v>
      </c>
      <c r="L361" s="122">
        <f t="shared" si="49"/>
        <v>10763377.643218389</v>
      </c>
    </row>
    <row r="362" spans="1:12">
      <c r="A362" s="114">
        <v>41</v>
      </c>
      <c r="B362" s="117" t="s">
        <v>558</v>
      </c>
      <c r="C362" s="116" t="s">
        <v>144</v>
      </c>
      <c r="D362" s="116">
        <v>6.1440000000000001</v>
      </c>
      <c r="E362" s="108">
        <v>6.1440000000000001</v>
      </c>
      <c r="F362" s="156"/>
      <c r="G362" s="156">
        <f t="shared" ref="G362:G364" si="54">+E362</f>
        <v>6.1440000000000001</v>
      </c>
      <c r="H362" s="122">
        <v>1282781.8846939367</v>
      </c>
      <c r="I362" s="122"/>
      <c r="J362" s="122">
        <f t="shared" si="47"/>
        <v>7881411.8995595472</v>
      </c>
      <c r="K362" s="122">
        <f t="shared" si="48"/>
        <v>0</v>
      </c>
      <c r="L362" s="122">
        <f t="shared" si="49"/>
        <v>7881411.8995595472</v>
      </c>
    </row>
    <row r="363" spans="1:12">
      <c r="A363" s="114">
        <v>42</v>
      </c>
      <c r="B363" s="117" t="s">
        <v>530</v>
      </c>
      <c r="C363" s="116" t="s">
        <v>149</v>
      </c>
      <c r="D363" s="116">
        <v>0.26900000000000002</v>
      </c>
      <c r="E363" s="108">
        <v>0.26900000000000002</v>
      </c>
      <c r="F363" s="156"/>
      <c r="G363" s="156">
        <f t="shared" si="54"/>
        <v>0.26900000000000002</v>
      </c>
      <c r="H363" s="122">
        <v>5813935.4808997139</v>
      </c>
      <c r="I363" s="122"/>
      <c r="J363" s="122">
        <f t="shared" si="47"/>
        <v>1563948.6443620231</v>
      </c>
      <c r="K363" s="122">
        <f t="shared" si="48"/>
        <v>0</v>
      </c>
      <c r="L363" s="122">
        <f t="shared" si="49"/>
        <v>1563948.6443620231</v>
      </c>
    </row>
    <row r="364" spans="1:12">
      <c r="A364" s="114">
        <v>43</v>
      </c>
      <c r="B364" s="117" t="s">
        <v>425</v>
      </c>
      <c r="C364" s="116" t="s">
        <v>144</v>
      </c>
      <c r="D364" s="116">
        <v>2.88</v>
      </c>
      <c r="E364" s="108">
        <v>2.88</v>
      </c>
      <c r="F364" s="156"/>
      <c r="G364" s="156">
        <f t="shared" si="54"/>
        <v>2.88</v>
      </c>
      <c r="H364" s="122">
        <v>842210.9705639804</v>
      </c>
      <c r="I364" s="122"/>
      <c r="J364" s="122">
        <f t="shared" si="47"/>
        <v>2425567.5952242636</v>
      </c>
      <c r="K364" s="122">
        <f t="shared" si="48"/>
        <v>0</v>
      </c>
      <c r="L364" s="122">
        <f t="shared" si="49"/>
        <v>2425567.5952242636</v>
      </c>
    </row>
    <row r="365" spans="1:12">
      <c r="A365" s="114"/>
      <c r="B365" s="115" t="s">
        <v>559</v>
      </c>
      <c r="C365" s="116"/>
      <c r="D365" s="116"/>
      <c r="E365" s="108"/>
      <c r="F365" s="156"/>
      <c r="G365" s="156"/>
      <c r="H365" s="122"/>
      <c r="I365" s="122"/>
      <c r="J365" s="122">
        <f t="shared" si="47"/>
        <v>0</v>
      </c>
      <c r="K365" s="122">
        <f t="shared" si="48"/>
        <v>0</v>
      </c>
      <c r="L365" s="122">
        <f t="shared" si="49"/>
        <v>0</v>
      </c>
    </row>
    <row r="366" spans="1:12">
      <c r="A366" s="114">
        <v>44</v>
      </c>
      <c r="B366" s="117" t="s">
        <v>529</v>
      </c>
      <c r="C366" s="116" t="s">
        <v>152</v>
      </c>
      <c r="D366" s="116">
        <v>14.718999999999999</v>
      </c>
      <c r="E366" s="108">
        <v>14.718999999999999</v>
      </c>
      <c r="F366" s="156"/>
      <c r="G366" s="156">
        <f>+E366</f>
        <v>14.718999999999999</v>
      </c>
      <c r="H366" s="122">
        <v>248494.77608793168</v>
      </c>
      <c r="I366" s="122"/>
      <c r="J366" s="122">
        <f t="shared" si="47"/>
        <v>3657594.609238266</v>
      </c>
      <c r="K366" s="122">
        <f t="shared" si="48"/>
        <v>0</v>
      </c>
      <c r="L366" s="122">
        <f t="shared" si="49"/>
        <v>3657594.609238266</v>
      </c>
    </row>
    <row r="367" spans="1:12">
      <c r="A367" s="114">
        <v>45</v>
      </c>
      <c r="B367" s="117" t="s">
        <v>480</v>
      </c>
      <c r="C367" s="116" t="s">
        <v>145</v>
      </c>
      <c r="D367" s="116">
        <v>2.7040000000000002</v>
      </c>
      <c r="E367" s="108">
        <v>2.7040000000000002</v>
      </c>
      <c r="F367" s="156"/>
      <c r="G367" s="156">
        <f t="shared" ref="G367:G369" si="55">+E367</f>
        <v>2.7040000000000002</v>
      </c>
      <c r="H367" s="122">
        <v>2214350.953738424</v>
      </c>
      <c r="I367" s="122"/>
      <c r="J367" s="122">
        <f t="shared" si="47"/>
        <v>5987604.978908699</v>
      </c>
      <c r="K367" s="122">
        <f t="shared" si="48"/>
        <v>0</v>
      </c>
      <c r="L367" s="122">
        <f t="shared" si="49"/>
        <v>5987604.978908699</v>
      </c>
    </row>
    <row r="368" spans="1:12">
      <c r="A368" s="114">
        <v>46</v>
      </c>
      <c r="B368" s="117" t="s">
        <v>325</v>
      </c>
      <c r="C368" s="116" t="s">
        <v>145</v>
      </c>
      <c r="D368" s="116">
        <v>0.54500000000000004</v>
      </c>
      <c r="E368" s="108">
        <v>0.54500000000000004</v>
      </c>
      <c r="F368" s="156"/>
      <c r="G368" s="156">
        <f t="shared" si="55"/>
        <v>0.54500000000000004</v>
      </c>
      <c r="H368" s="122">
        <v>3387145.2779199071</v>
      </c>
      <c r="I368" s="122"/>
      <c r="J368" s="122">
        <f t="shared" si="47"/>
        <v>1845994.1764663495</v>
      </c>
      <c r="K368" s="122">
        <f t="shared" si="48"/>
        <v>0</v>
      </c>
      <c r="L368" s="122">
        <f t="shared" si="49"/>
        <v>1845994.1764663495</v>
      </c>
    </row>
    <row r="369" spans="1:13">
      <c r="A369" s="114">
        <v>47</v>
      </c>
      <c r="B369" s="117" t="s">
        <v>399</v>
      </c>
      <c r="C369" s="116" t="s">
        <v>145</v>
      </c>
      <c r="D369" s="116">
        <v>0.50700000000000001</v>
      </c>
      <c r="E369" s="108">
        <v>0.50700000000000001</v>
      </c>
      <c r="F369" s="156"/>
      <c r="G369" s="156">
        <f t="shared" si="55"/>
        <v>0.50700000000000001</v>
      </c>
      <c r="H369" s="122">
        <v>1164771.501309423</v>
      </c>
      <c r="I369" s="122"/>
      <c r="J369" s="122">
        <f t="shared" si="47"/>
        <v>590539.15116387745</v>
      </c>
      <c r="K369" s="122">
        <f t="shared" si="48"/>
        <v>0</v>
      </c>
      <c r="L369" s="122">
        <f t="shared" si="49"/>
        <v>590539.15116387745</v>
      </c>
    </row>
    <row r="370" spans="1:13" s="138" customFormat="1">
      <c r="A370" s="113"/>
      <c r="B370" s="112" t="s">
        <v>560</v>
      </c>
      <c r="C370" s="111"/>
      <c r="D370" s="111"/>
      <c r="E370" s="136"/>
      <c r="F370" s="158"/>
      <c r="G370" s="158"/>
      <c r="H370" s="135"/>
      <c r="I370" s="135"/>
      <c r="J370" s="135">
        <f>+SUM(J372:J582)</f>
        <v>11776797729.559671</v>
      </c>
      <c r="K370" s="135">
        <f>+SUM(K372:K582)</f>
        <v>0</v>
      </c>
      <c r="L370" s="135">
        <f>+SUM(L372:L582)</f>
        <v>11776797729.559671</v>
      </c>
      <c r="M370" s="137">
        <f>+L370+K370</f>
        <v>11776797729.559671</v>
      </c>
    </row>
    <row r="371" spans="1:13">
      <c r="A371" s="114"/>
      <c r="B371" s="115" t="s">
        <v>507</v>
      </c>
      <c r="C371" s="116"/>
      <c r="D371" s="116"/>
      <c r="E371" s="108"/>
      <c r="F371" s="156"/>
      <c r="G371" s="156"/>
      <c r="H371" s="122"/>
      <c r="I371" s="122"/>
      <c r="J371" s="122"/>
      <c r="K371" s="122"/>
      <c r="L371" s="122"/>
    </row>
    <row r="372" spans="1:13">
      <c r="A372" s="114"/>
      <c r="B372" s="115" t="s">
        <v>349</v>
      </c>
      <c r="C372" s="116"/>
      <c r="D372" s="116"/>
      <c r="E372" s="108"/>
      <c r="F372" s="156"/>
      <c r="G372" s="156"/>
      <c r="H372" s="122"/>
      <c r="I372" s="122"/>
      <c r="J372" s="122"/>
      <c r="K372" s="122"/>
      <c r="L372" s="122"/>
    </row>
    <row r="373" spans="1:13">
      <c r="A373" s="114">
        <v>1</v>
      </c>
      <c r="B373" s="117" t="s">
        <v>508</v>
      </c>
      <c r="C373" s="116" t="s">
        <v>145</v>
      </c>
      <c r="D373" s="116">
        <v>5.6340000000000003</v>
      </c>
      <c r="E373" s="108">
        <v>5.6340000000000003</v>
      </c>
      <c r="F373" s="156"/>
      <c r="G373" s="156">
        <f>+E373</f>
        <v>5.6340000000000003</v>
      </c>
      <c r="H373" s="122">
        <v>1545733.4104878029</v>
      </c>
      <c r="I373" s="122"/>
      <c r="J373" s="122">
        <f t="shared" si="47"/>
        <v>8708662.0346882828</v>
      </c>
      <c r="K373" s="122">
        <f t="shared" si="48"/>
        <v>0</v>
      </c>
      <c r="L373" s="122">
        <f t="shared" si="49"/>
        <v>8708662.0346882828</v>
      </c>
    </row>
    <row r="374" spans="1:13">
      <c r="A374" s="114">
        <v>2</v>
      </c>
      <c r="B374" s="117" t="s">
        <v>393</v>
      </c>
      <c r="C374" s="116" t="s">
        <v>145</v>
      </c>
      <c r="D374" s="116">
        <v>13.172000000000001</v>
      </c>
      <c r="E374" s="108">
        <v>13.172000000000001</v>
      </c>
      <c r="F374" s="156"/>
      <c r="G374" s="156">
        <f t="shared" ref="G374:G437" si="56">+E374</f>
        <v>13.172000000000001</v>
      </c>
      <c r="H374" s="122">
        <v>1826396.1566618159</v>
      </c>
      <c r="I374" s="122"/>
      <c r="J374" s="122">
        <f t="shared" si="47"/>
        <v>24057290.17554944</v>
      </c>
      <c r="K374" s="122">
        <f t="shared" si="48"/>
        <v>0</v>
      </c>
      <c r="L374" s="122">
        <f t="shared" si="49"/>
        <v>24057290.17554944</v>
      </c>
    </row>
    <row r="375" spans="1:13">
      <c r="A375" s="114">
        <v>3</v>
      </c>
      <c r="B375" s="117" t="s">
        <v>394</v>
      </c>
      <c r="C375" s="116" t="s">
        <v>145</v>
      </c>
      <c r="D375" s="116">
        <v>122.99</v>
      </c>
      <c r="E375" s="108">
        <v>188.951842</v>
      </c>
      <c r="F375" s="156"/>
      <c r="G375" s="156">
        <f t="shared" si="56"/>
        <v>188.951842</v>
      </c>
      <c r="H375" s="122">
        <v>2175908.7549432274</v>
      </c>
      <c r="I375" s="122"/>
      <c r="J375" s="122">
        <f t="shared" si="47"/>
        <v>411141967.2704494</v>
      </c>
      <c r="K375" s="122">
        <f t="shared" si="48"/>
        <v>0</v>
      </c>
      <c r="L375" s="122">
        <f t="shared" si="49"/>
        <v>411141967.2704494</v>
      </c>
    </row>
    <row r="376" spans="1:13">
      <c r="A376" s="114">
        <v>4</v>
      </c>
      <c r="B376" s="117" t="s">
        <v>395</v>
      </c>
      <c r="C376" s="116" t="s">
        <v>152</v>
      </c>
      <c r="D376" s="116">
        <v>104.744</v>
      </c>
      <c r="E376" s="108">
        <v>69.913082500000002</v>
      </c>
      <c r="F376" s="156"/>
      <c r="G376" s="156">
        <f t="shared" si="56"/>
        <v>69.913082500000002</v>
      </c>
      <c r="H376" s="122">
        <v>672459.11042583955</v>
      </c>
      <c r="I376" s="122"/>
      <c r="J376" s="122">
        <f t="shared" si="47"/>
        <v>47013689.265078329</v>
      </c>
      <c r="K376" s="122">
        <f t="shared" si="48"/>
        <v>0</v>
      </c>
      <c r="L376" s="122">
        <f t="shared" si="49"/>
        <v>47013689.265078329</v>
      </c>
    </row>
    <row r="377" spans="1:13" s="147" customFormat="1" ht="31.2">
      <c r="A377" s="145">
        <v>5</v>
      </c>
      <c r="B377" s="146" t="s">
        <v>561</v>
      </c>
      <c r="C377" s="116" t="s">
        <v>145</v>
      </c>
      <c r="D377" s="116">
        <v>225.387</v>
      </c>
      <c r="E377" s="141">
        <v>107.607619675</v>
      </c>
      <c r="F377" s="159"/>
      <c r="G377" s="159">
        <f t="shared" si="56"/>
        <v>107.607619675</v>
      </c>
      <c r="H377" s="142">
        <v>16126255.706833707</v>
      </c>
      <c r="I377" s="142">
        <v>15879730.453868492</v>
      </c>
      <c r="J377" s="142">
        <f>+D377*H377-M377</f>
        <v>1708779995.2213957</v>
      </c>
      <c r="K377" s="142">
        <f t="shared" si="48"/>
        <v>0</v>
      </c>
      <c r="L377" s="142">
        <f>+J377-K377</f>
        <v>1708779995.2213957</v>
      </c>
      <c r="M377" s="142">
        <f>+D377*H377-E377*I377</f>
        <v>1925868399.7747328</v>
      </c>
    </row>
    <row r="378" spans="1:13" ht="31.2">
      <c r="A378" s="114" t="s">
        <v>865</v>
      </c>
      <c r="B378" s="117" t="s">
        <v>866</v>
      </c>
      <c r="C378" s="116" t="s">
        <v>145</v>
      </c>
      <c r="D378" s="116"/>
      <c r="E378" s="108">
        <v>30.9194</v>
      </c>
      <c r="F378" s="156"/>
      <c r="G378" s="156">
        <f t="shared" si="56"/>
        <v>30.9194</v>
      </c>
      <c r="H378" s="122">
        <v>0</v>
      </c>
      <c r="I378" s="122">
        <v>20750727.142848082</v>
      </c>
      <c r="J378" s="122">
        <f t="shared" si="47"/>
        <v>641600032.82057703</v>
      </c>
      <c r="K378" s="122">
        <f t="shared" si="48"/>
        <v>0</v>
      </c>
      <c r="L378" s="122">
        <f t="shared" si="49"/>
        <v>641600032.82057703</v>
      </c>
    </row>
    <row r="379" spans="1:13">
      <c r="A379" s="114" t="s">
        <v>867</v>
      </c>
      <c r="B379" s="117" t="s">
        <v>868</v>
      </c>
      <c r="C379" s="116" t="s">
        <v>144</v>
      </c>
      <c r="D379" s="116"/>
      <c r="E379" s="108">
        <v>795.60000000000014</v>
      </c>
      <c r="F379" s="156"/>
      <c r="G379" s="156">
        <f t="shared" si="56"/>
        <v>795.60000000000014</v>
      </c>
      <c r="H379" s="122">
        <v>0</v>
      </c>
      <c r="I379" s="122">
        <v>852310.44821280963</v>
      </c>
      <c r="J379" s="122">
        <f t="shared" si="47"/>
        <v>678098192.59811151</v>
      </c>
      <c r="K379" s="122">
        <f t="shared" si="48"/>
        <v>0</v>
      </c>
      <c r="L379" s="122">
        <f t="shared" si="49"/>
        <v>678098192.59811151</v>
      </c>
    </row>
    <row r="380" spans="1:13">
      <c r="A380" s="114">
        <v>6</v>
      </c>
      <c r="B380" s="117" t="s">
        <v>396</v>
      </c>
      <c r="C380" s="116" t="s">
        <v>145</v>
      </c>
      <c r="D380" s="116">
        <v>225.387</v>
      </c>
      <c r="E380" s="108">
        <v>138.17871049999999</v>
      </c>
      <c r="F380" s="156"/>
      <c r="G380" s="156">
        <f t="shared" si="56"/>
        <v>138.17871049999999</v>
      </c>
      <c r="H380" s="122">
        <v>2002282.7137891578</v>
      </c>
      <c r="I380" s="122"/>
      <c r="J380" s="122">
        <f t="shared" si="47"/>
        <v>276672843.44782639</v>
      </c>
      <c r="K380" s="122">
        <f t="shared" si="48"/>
        <v>0</v>
      </c>
      <c r="L380" s="122">
        <f t="shared" si="49"/>
        <v>276672843.44782639</v>
      </c>
    </row>
    <row r="381" spans="1:13">
      <c r="A381" s="114">
        <v>7</v>
      </c>
      <c r="B381" s="117" t="s">
        <v>397</v>
      </c>
      <c r="C381" s="116" t="s">
        <v>145</v>
      </c>
      <c r="D381" s="116">
        <v>70.180999999999997</v>
      </c>
      <c r="E381" s="108">
        <v>72.496377999999993</v>
      </c>
      <c r="F381" s="156"/>
      <c r="G381" s="156">
        <f t="shared" si="56"/>
        <v>72.496377999999993</v>
      </c>
      <c r="H381" s="122">
        <v>2214350.953738424</v>
      </c>
      <c r="I381" s="122"/>
      <c r="J381" s="122">
        <f t="shared" si="47"/>
        <v>160532423.76688129</v>
      </c>
      <c r="K381" s="122">
        <f t="shared" si="48"/>
        <v>0</v>
      </c>
      <c r="L381" s="122">
        <f t="shared" si="49"/>
        <v>160532423.76688129</v>
      </c>
    </row>
    <row r="382" spans="1:13">
      <c r="A382" s="114">
        <v>8</v>
      </c>
      <c r="B382" s="117" t="s">
        <v>398</v>
      </c>
      <c r="C382" s="116" t="s">
        <v>145</v>
      </c>
      <c r="D382" s="116">
        <v>6.2009999999999996</v>
      </c>
      <c r="E382" s="108">
        <v>6.4150849999999995</v>
      </c>
      <c r="F382" s="156"/>
      <c r="G382" s="156">
        <f t="shared" si="56"/>
        <v>6.4150849999999995</v>
      </c>
      <c r="H382" s="122">
        <v>2610425.2873970545</v>
      </c>
      <c r="I382" s="122"/>
      <c r="J382" s="122">
        <f t="shared" si="47"/>
        <v>16746100.104801532</v>
      </c>
      <c r="K382" s="122">
        <f t="shared" si="48"/>
        <v>0</v>
      </c>
      <c r="L382" s="122">
        <f t="shared" si="49"/>
        <v>16746100.104801532</v>
      </c>
    </row>
    <row r="383" spans="1:13">
      <c r="A383" s="114">
        <v>9</v>
      </c>
      <c r="B383" s="117" t="s">
        <v>399</v>
      </c>
      <c r="C383" s="116" t="s">
        <v>145</v>
      </c>
      <c r="D383" s="116">
        <v>59.506</v>
      </c>
      <c r="E383" s="108">
        <v>81.382632000000001</v>
      </c>
      <c r="F383" s="156"/>
      <c r="G383" s="156">
        <f t="shared" si="56"/>
        <v>81.382632000000001</v>
      </c>
      <c r="H383" s="122">
        <v>1164771.501309423</v>
      </c>
      <c r="I383" s="122"/>
      <c r="J383" s="122">
        <f t="shared" si="47"/>
        <v>94792170.455152288</v>
      </c>
      <c r="K383" s="122">
        <f t="shared" si="48"/>
        <v>0</v>
      </c>
      <c r="L383" s="122">
        <f t="shared" si="49"/>
        <v>94792170.455152288</v>
      </c>
    </row>
    <row r="384" spans="1:13">
      <c r="A384" s="114">
        <v>10</v>
      </c>
      <c r="B384" s="117" t="s">
        <v>400</v>
      </c>
      <c r="C384" s="116" t="s">
        <v>145</v>
      </c>
      <c r="D384" s="116">
        <v>53.807000000000002</v>
      </c>
      <c r="E384" s="108">
        <v>54.920162500000004</v>
      </c>
      <c r="F384" s="156"/>
      <c r="G384" s="156">
        <f t="shared" si="56"/>
        <v>54.920162500000004</v>
      </c>
      <c r="H384" s="122">
        <v>1417530.6953819983</v>
      </c>
      <c r="I384" s="122"/>
      <c r="J384" s="122">
        <f t="shared" si="47"/>
        <v>77851016.139117345</v>
      </c>
      <c r="K384" s="122">
        <f t="shared" si="48"/>
        <v>0</v>
      </c>
      <c r="L384" s="122">
        <f t="shared" si="49"/>
        <v>77851016.139117345</v>
      </c>
    </row>
    <row r="385" spans="1:12">
      <c r="A385" s="114" t="s">
        <v>869</v>
      </c>
      <c r="B385" s="117" t="s">
        <v>401</v>
      </c>
      <c r="C385" s="116" t="s">
        <v>144</v>
      </c>
      <c r="D385" s="116">
        <v>0</v>
      </c>
      <c r="E385" s="108">
        <v>0</v>
      </c>
      <c r="F385" s="156"/>
      <c r="G385" s="156">
        <f t="shared" si="56"/>
        <v>0</v>
      </c>
      <c r="H385" s="122">
        <v>56510.720570152102</v>
      </c>
      <c r="I385" s="122"/>
      <c r="J385" s="122">
        <f t="shared" si="47"/>
        <v>0</v>
      </c>
      <c r="K385" s="122">
        <f t="shared" si="48"/>
        <v>0</v>
      </c>
      <c r="L385" s="122">
        <f t="shared" si="49"/>
        <v>0</v>
      </c>
    </row>
    <row r="386" spans="1:12" ht="31.2">
      <c r="A386" s="114"/>
      <c r="B386" s="117" t="s">
        <v>524</v>
      </c>
      <c r="C386" s="116"/>
      <c r="D386" s="116"/>
      <c r="E386" s="108"/>
      <c r="F386" s="156"/>
      <c r="G386" s="156">
        <f t="shared" si="56"/>
        <v>0</v>
      </c>
      <c r="H386" s="122"/>
      <c r="I386" s="122"/>
      <c r="J386" s="122">
        <f t="shared" si="47"/>
        <v>0</v>
      </c>
      <c r="K386" s="122">
        <f t="shared" si="48"/>
        <v>0</v>
      </c>
      <c r="L386" s="122">
        <f t="shared" si="49"/>
        <v>0</v>
      </c>
    </row>
    <row r="387" spans="1:12">
      <c r="A387" s="114"/>
      <c r="B387" s="117" t="s">
        <v>791</v>
      </c>
      <c r="C387" s="116"/>
      <c r="D387" s="116"/>
      <c r="E387" s="108">
        <v>27375.175799999997</v>
      </c>
      <c r="F387" s="156"/>
      <c r="G387" s="156">
        <f t="shared" si="56"/>
        <v>27375.175799999997</v>
      </c>
      <c r="H387" s="122"/>
      <c r="I387" s="122"/>
      <c r="J387" s="122">
        <f t="shared" si="47"/>
        <v>0</v>
      </c>
      <c r="K387" s="122">
        <f t="shared" si="48"/>
        <v>0</v>
      </c>
      <c r="L387" s="122">
        <f t="shared" si="49"/>
        <v>0</v>
      </c>
    </row>
    <row r="388" spans="1:12">
      <c r="A388" s="114"/>
      <c r="B388" s="117" t="s">
        <v>792</v>
      </c>
      <c r="C388" s="116"/>
      <c r="D388" s="116"/>
      <c r="E388" s="108">
        <v>9196.2374159999999</v>
      </c>
      <c r="F388" s="156"/>
      <c r="G388" s="156">
        <f t="shared" si="56"/>
        <v>9196.2374159999999</v>
      </c>
      <c r="H388" s="122"/>
      <c r="I388" s="122"/>
      <c r="J388" s="122">
        <f t="shared" si="47"/>
        <v>0</v>
      </c>
      <c r="K388" s="122">
        <f t="shared" si="48"/>
        <v>0</v>
      </c>
      <c r="L388" s="122">
        <f t="shared" si="49"/>
        <v>0</v>
      </c>
    </row>
    <row r="389" spans="1:12">
      <c r="A389" s="114"/>
      <c r="B389" s="117" t="s">
        <v>793</v>
      </c>
      <c r="C389" s="116"/>
      <c r="D389" s="116"/>
      <c r="E389" s="108">
        <v>6370.7388500000006</v>
      </c>
      <c r="F389" s="156"/>
      <c r="G389" s="156">
        <f t="shared" si="56"/>
        <v>6370.7388500000006</v>
      </c>
      <c r="H389" s="122"/>
      <c r="I389" s="122"/>
      <c r="J389" s="122">
        <f t="shared" si="47"/>
        <v>0</v>
      </c>
      <c r="K389" s="122">
        <f t="shared" si="48"/>
        <v>0</v>
      </c>
      <c r="L389" s="122">
        <f t="shared" si="49"/>
        <v>0</v>
      </c>
    </row>
    <row r="390" spans="1:12">
      <c r="A390" s="114"/>
      <c r="B390" s="117" t="s">
        <v>870</v>
      </c>
      <c r="C390" s="116"/>
      <c r="D390" s="116"/>
      <c r="E390" s="108">
        <v>9070.681953999996</v>
      </c>
      <c r="F390" s="156"/>
      <c r="G390" s="156">
        <f t="shared" si="56"/>
        <v>9070.681953999996</v>
      </c>
      <c r="H390" s="122"/>
      <c r="I390" s="122"/>
      <c r="J390" s="122">
        <f t="shared" si="47"/>
        <v>0</v>
      </c>
      <c r="K390" s="122">
        <f t="shared" si="48"/>
        <v>0</v>
      </c>
      <c r="L390" s="122">
        <f t="shared" si="49"/>
        <v>0</v>
      </c>
    </row>
    <row r="391" spans="1:12">
      <c r="A391" s="114"/>
      <c r="B391" s="117"/>
      <c r="C391" s="116"/>
      <c r="D391" s="116"/>
      <c r="E391" s="108"/>
      <c r="F391" s="156"/>
      <c r="G391" s="156">
        <f t="shared" si="56"/>
        <v>0</v>
      </c>
      <c r="H391" s="122"/>
      <c r="I391" s="122"/>
      <c r="J391" s="122">
        <f t="shared" si="47"/>
        <v>0</v>
      </c>
      <c r="K391" s="122">
        <f t="shared" si="48"/>
        <v>0</v>
      </c>
      <c r="L391" s="122">
        <f t="shared" si="49"/>
        <v>0</v>
      </c>
    </row>
    <row r="392" spans="1:12">
      <c r="A392" s="114"/>
      <c r="B392" s="117" t="s">
        <v>562</v>
      </c>
      <c r="C392" s="116"/>
      <c r="D392" s="116"/>
      <c r="E392" s="108"/>
      <c r="F392" s="156"/>
      <c r="G392" s="156">
        <f t="shared" si="56"/>
        <v>0</v>
      </c>
      <c r="H392" s="122">
        <v>0</v>
      </c>
      <c r="I392" s="122"/>
      <c r="J392" s="122">
        <f t="shared" si="47"/>
        <v>0</v>
      </c>
      <c r="K392" s="122">
        <f t="shared" si="48"/>
        <v>0</v>
      </c>
      <c r="L392" s="122">
        <f t="shared" si="49"/>
        <v>0</v>
      </c>
    </row>
    <row r="393" spans="1:12">
      <c r="A393" s="114">
        <v>11</v>
      </c>
      <c r="B393" s="117" t="s">
        <v>563</v>
      </c>
      <c r="C393" s="116" t="s">
        <v>145</v>
      </c>
      <c r="D393" s="116">
        <v>4.5979999999999999</v>
      </c>
      <c r="E393" s="108">
        <v>4.5979999999999999</v>
      </c>
      <c r="F393" s="156"/>
      <c r="G393" s="156">
        <f t="shared" si="56"/>
        <v>4.5979999999999999</v>
      </c>
      <c r="H393" s="122">
        <v>1722569.7390627477</v>
      </c>
      <c r="I393" s="122"/>
      <c r="J393" s="122">
        <f t="shared" si="47"/>
        <v>7920375.6602105135</v>
      </c>
      <c r="K393" s="122">
        <f t="shared" si="48"/>
        <v>0</v>
      </c>
      <c r="L393" s="122">
        <f t="shared" si="49"/>
        <v>7920375.6602105135</v>
      </c>
    </row>
    <row r="394" spans="1:12">
      <c r="A394" s="114">
        <v>12</v>
      </c>
      <c r="B394" s="117" t="s">
        <v>564</v>
      </c>
      <c r="C394" s="116" t="s">
        <v>28</v>
      </c>
      <c r="D394" s="116">
        <v>4.5979999999999999</v>
      </c>
      <c r="E394" s="108">
        <v>4.5979999999999999</v>
      </c>
      <c r="F394" s="156"/>
      <c r="G394" s="156">
        <f t="shared" si="56"/>
        <v>4.5979999999999999</v>
      </c>
      <c r="H394" s="122">
        <v>533436.61594330647</v>
      </c>
      <c r="I394" s="122"/>
      <c r="J394" s="122">
        <f t="shared" si="47"/>
        <v>2452741.5601073229</v>
      </c>
      <c r="K394" s="122">
        <f t="shared" si="48"/>
        <v>0</v>
      </c>
      <c r="L394" s="122">
        <f t="shared" si="49"/>
        <v>2452741.5601073229</v>
      </c>
    </row>
    <row r="395" spans="1:12">
      <c r="A395" s="114"/>
      <c r="B395" s="117" t="s">
        <v>565</v>
      </c>
      <c r="C395" s="116"/>
      <c r="D395" s="116"/>
      <c r="E395" s="108">
        <v>0</v>
      </c>
      <c r="F395" s="156"/>
      <c r="G395" s="156">
        <f t="shared" si="56"/>
        <v>0</v>
      </c>
      <c r="H395" s="122">
        <v>0</v>
      </c>
      <c r="I395" s="122"/>
      <c r="J395" s="122">
        <f t="shared" si="47"/>
        <v>0</v>
      </c>
      <c r="K395" s="122">
        <f t="shared" si="48"/>
        <v>0</v>
      </c>
      <c r="L395" s="122">
        <f t="shared" si="49"/>
        <v>0</v>
      </c>
    </row>
    <row r="396" spans="1:12">
      <c r="A396" s="114">
        <v>13</v>
      </c>
      <c r="B396" s="117" t="s">
        <v>405</v>
      </c>
      <c r="C396" s="116" t="s">
        <v>145</v>
      </c>
      <c r="D396" s="116">
        <v>18.806000000000001</v>
      </c>
      <c r="E396" s="108">
        <v>18.806000000000001</v>
      </c>
      <c r="F396" s="156"/>
      <c r="G396" s="156">
        <f t="shared" si="56"/>
        <v>18.806000000000001</v>
      </c>
      <c r="H396" s="122">
        <v>1520968.5992504628</v>
      </c>
      <c r="I396" s="122"/>
      <c r="J396" s="122">
        <f t="shared" ref="J396:J459" si="57">+E396*MAX(H396:I396)</f>
        <v>28603335.477504205</v>
      </c>
      <c r="K396" s="122">
        <f t="shared" ref="K396:K459" si="58">+F396*MAX(H396:I396)</f>
        <v>0</v>
      </c>
      <c r="L396" s="122">
        <f t="shared" ref="L396:L459" si="59">+G396*MAX(H396:I396)</f>
        <v>28603335.477504205</v>
      </c>
    </row>
    <row r="397" spans="1:12">
      <c r="A397" s="114">
        <v>14</v>
      </c>
      <c r="B397" s="117" t="s">
        <v>510</v>
      </c>
      <c r="C397" s="116" t="s">
        <v>28</v>
      </c>
      <c r="D397" s="116">
        <v>18.806000000000001</v>
      </c>
      <c r="E397" s="108">
        <v>18.806000000000001</v>
      </c>
      <c r="F397" s="156"/>
      <c r="G397" s="156">
        <f t="shared" si="56"/>
        <v>18.806000000000001</v>
      </c>
      <c r="H397" s="122">
        <v>464489.026127505</v>
      </c>
      <c r="I397" s="122"/>
      <c r="J397" s="122">
        <f t="shared" si="57"/>
        <v>8735180.6253538597</v>
      </c>
      <c r="K397" s="122">
        <f t="shared" si="58"/>
        <v>0</v>
      </c>
      <c r="L397" s="122">
        <f t="shared" si="59"/>
        <v>8735180.6253538597</v>
      </c>
    </row>
    <row r="398" spans="1:12">
      <c r="A398" s="114"/>
      <c r="B398" s="117" t="s">
        <v>566</v>
      </c>
      <c r="C398" s="116"/>
      <c r="D398" s="116"/>
      <c r="E398" s="108"/>
      <c r="F398" s="156"/>
      <c r="G398" s="156">
        <f t="shared" si="56"/>
        <v>0</v>
      </c>
      <c r="H398" s="122">
        <v>0</v>
      </c>
      <c r="I398" s="122"/>
      <c r="J398" s="122">
        <f t="shared" si="57"/>
        <v>0</v>
      </c>
      <c r="K398" s="122">
        <f t="shared" si="58"/>
        <v>0</v>
      </c>
      <c r="L398" s="122">
        <f t="shared" si="59"/>
        <v>0</v>
      </c>
    </row>
    <row r="399" spans="1:12">
      <c r="A399" s="114">
        <v>15</v>
      </c>
      <c r="B399" s="117" t="s">
        <v>567</v>
      </c>
      <c r="C399" s="116" t="s">
        <v>145</v>
      </c>
      <c r="D399" s="116">
        <v>226.434</v>
      </c>
      <c r="E399" s="108">
        <v>139.22571049999999</v>
      </c>
      <c r="F399" s="156"/>
      <c r="G399" s="156">
        <f t="shared" si="56"/>
        <v>139.22571049999999</v>
      </c>
      <c r="H399" s="122">
        <v>2204172.4619476511</v>
      </c>
      <c r="I399" s="122"/>
      <c r="J399" s="122">
        <f t="shared" si="57"/>
        <v>306877477.07919592</v>
      </c>
      <c r="K399" s="122">
        <f t="shared" si="58"/>
        <v>0</v>
      </c>
      <c r="L399" s="122">
        <f t="shared" si="59"/>
        <v>306877477.07919592</v>
      </c>
    </row>
    <row r="400" spans="1:12">
      <c r="A400" s="114">
        <v>16</v>
      </c>
      <c r="B400" s="117" t="s">
        <v>568</v>
      </c>
      <c r="C400" s="116" t="s">
        <v>28</v>
      </c>
      <c r="D400" s="116">
        <v>226.434</v>
      </c>
      <c r="E400" s="108">
        <v>139.22571049999999</v>
      </c>
      <c r="F400" s="156"/>
      <c r="G400" s="156">
        <f t="shared" si="56"/>
        <v>139.22571049999999</v>
      </c>
      <c r="H400" s="122">
        <v>658630.92376673559</v>
      </c>
      <c r="I400" s="122"/>
      <c r="J400" s="122">
        <f t="shared" si="57"/>
        <v>91698358.318695098</v>
      </c>
      <c r="K400" s="122">
        <f t="shared" si="58"/>
        <v>0</v>
      </c>
      <c r="L400" s="122">
        <f t="shared" si="59"/>
        <v>91698358.318695098</v>
      </c>
    </row>
    <row r="401" spans="1:12">
      <c r="A401" s="114"/>
      <c r="B401" s="117" t="s">
        <v>569</v>
      </c>
      <c r="C401" s="116"/>
      <c r="D401" s="116"/>
      <c r="E401" s="108"/>
      <c r="F401" s="156"/>
      <c r="G401" s="156">
        <f t="shared" si="56"/>
        <v>0</v>
      </c>
      <c r="H401" s="122">
        <v>0</v>
      </c>
      <c r="I401" s="122"/>
      <c r="J401" s="122">
        <f t="shared" si="57"/>
        <v>0</v>
      </c>
      <c r="K401" s="122">
        <f t="shared" si="58"/>
        <v>0</v>
      </c>
      <c r="L401" s="122">
        <f t="shared" si="59"/>
        <v>0</v>
      </c>
    </row>
    <row r="402" spans="1:12">
      <c r="A402" s="114">
        <v>17</v>
      </c>
      <c r="B402" s="117" t="s">
        <v>407</v>
      </c>
      <c r="C402" s="116" t="s">
        <v>145</v>
      </c>
      <c r="D402" s="116">
        <v>133.01300000000001</v>
      </c>
      <c r="E402" s="108">
        <v>155.66976266</v>
      </c>
      <c r="F402" s="156"/>
      <c r="G402" s="156">
        <f t="shared" si="56"/>
        <v>155.66976266</v>
      </c>
      <c r="H402" s="122">
        <v>1326087.4974319201</v>
      </c>
      <c r="I402" s="122"/>
      <c r="J402" s="122">
        <f t="shared" si="57"/>
        <v>206431725.99162036</v>
      </c>
      <c r="K402" s="122">
        <f t="shared" si="58"/>
        <v>0</v>
      </c>
      <c r="L402" s="122">
        <f t="shared" si="59"/>
        <v>206431725.99162036</v>
      </c>
    </row>
    <row r="403" spans="1:12" ht="31.2">
      <c r="A403" s="114" t="s">
        <v>798</v>
      </c>
      <c r="B403" s="117" t="s">
        <v>853</v>
      </c>
      <c r="C403" s="116" t="s">
        <v>854</v>
      </c>
      <c r="D403" s="116">
        <v>0</v>
      </c>
      <c r="E403" s="108">
        <v>0</v>
      </c>
      <c r="F403" s="156"/>
      <c r="G403" s="156">
        <f t="shared" si="56"/>
        <v>0</v>
      </c>
      <c r="H403" s="122">
        <v>0</v>
      </c>
      <c r="I403" s="122">
        <v>2124941.8093873938</v>
      </c>
      <c r="J403" s="122">
        <f t="shared" si="57"/>
        <v>0</v>
      </c>
      <c r="K403" s="122">
        <f t="shared" si="58"/>
        <v>0</v>
      </c>
      <c r="L403" s="122">
        <f t="shared" si="59"/>
        <v>0</v>
      </c>
    </row>
    <row r="404" spans="1:12">
      <c r="A404" s="114"/>
      <c r="B404" s="117" t="s">
        <v>408</v>
      </c>
      <c r="C404" s="116"/>
      <c r="D404" s="116"/>
      <c r="E404" s="108"/>
      <c r="F404" s="156"/>
      <c r="G404" s="156">
        <f t="shared" si="56"/>
        <v>0</v>
      </c>
      <c r="H404" s="122">
        <v>0</v>
      </c>
      <c r="I404" s="122"/>
      <c r="J404" s="122">
        <f t="shared" si="57"/>
        <v>0</v>
      </c>
      <c r="K404" s="122">
        <f t="shared" si="58"/>
        <v>0</v>
      </c>
      <c r="L404" s="122">
        <f t="shared" si="59"/>
        <v>0</v>
      </c>
    </row>
    <row r="405" spans="1:12">
      <c r="A405" s="114">
        <v>18</v>
      </c>
      <c r="B405" s="117" t="s">
        <v>409</v>
      </c>
      <c r="C405" s="116" t="s">
        <v>145</v>
      </c>
      <c r="D405" s="116">
        <v>7.0209999999999999</v>
      </c>
      <c r="E405" s="108">
        <v>7.0209999999999999</v>
      </c>
      <c r="F405" s="156"/>
      <c r="G405" s="156">
        <f t="shared" si="56"/>
        <v>7.0209999999999999</v>
      </c>
      <c r="H405" s="122">
        <v>189379.47582066723</v>
      </c>
      <c r="I405" s="122"/>
      <c r="J405" s="122">
        <f t="shared" si="57"/>
        <v>1329633.2997369047</v>
      </c>
      <c r="K405" s="122">
        <f t="shared" si="58"/>
        <v>0</v>
      </c>
      <c r="L405" s="122">
        <f t="shared" si="59"/>
        <v>1329633.2997369047</v>
      </c>
    </row>
    <row r="406" spans="1:12">
      <c r="A406" s="114">
        <v>19</v>
      </c>
      <c r="B406" s="117" t="s">
        <v>410</v>
      </c>
      <c r="C406" s="116" t="s">
        <v>145</v>
      </c>
      <c r="D406" s="116">
        <v>67.930000000000007</v>
      </c>
      <c r="E406" s="108">
        <v>41.767513150000006</v>
      </c>
      <c r="F406" s="156"/>
      <c r="G406" s="156">
        <f t="shared" si="56"/>
        <v>41.767513150000006</v>
      </c>
      <c r="H406" s="122">
        <v>265542.96066158783</v>
      </c>
      <c r="I406" s="122"/>
      <c r="J406" s="122">
        <f t="shared" si="57"/>
        <v>11091069.101322804</v>
      </c>
      <c r="K406" s="122">
        <f t="shared" si="58"/>
        <v>0</v>
      </c>
      <c r="L406" s="122">
        <f t="shared" si="59"/>
        <v>11091069.101322804</v>
      </c>
    </row>
    <row r="407" spans="1:12">
      <c r="A407" s="114">
        <v>20</v>
      </c>
      <c r="B407" s="117" t="s">
        <v>411</v>
      </c>
      <c r="C407" s="116" t="s">
        <v>149</v>
      </c>
      <c r="D407" s="116">
        <v>14.065</v>
      </c>
      <c r="E407" s="108">
        <v>14.065</v>
      </c>
      <c r="F407" s="156"/>
      <c r="G407" s="156">
        <f t="shared" si="56"/>
        <v>14.065</v>
      </c>
      <c r="H407" s="122">
        <v>1534820.675837225</v>
      </c>
      <c r="I407" s="122"/>
      <c r="J407" s="122">
        <f t="shared" si="57"/>
        <v>21587252.805650569</v>
      </c>
      <c r="K407" s="122">
        <f t="shared" si="58"/>
        <v>0</v>
      </c>
      <c r="L407" s="122">
        <f t="shared" si="59"/>
        <v>21587252.805650569</v>
      </c>
    </row>
    <row r="408" spans="1:12">
      <c r="A408" s="114">
        <v>21</v>
      </c>
      <c r="B408" s="117" t="s">
        <v>412</v>
      </c>
      <c r="C408" s="116" t="s">
        <v>149</v>
      </c>
      <c r="D408" s="116">
        <v>14.065</v>
      </c>
      <c r="E408" s="108">
        <v>14.065</v>
      </c>
      <c r="F408" s="156"/>
      <c r="G408" s="156">
        <f t="shared" si="56"/>
        <v>14.065</v>
      </c>
      <c r="H408" s="122">
        <v>24362.23294979722</v>
      </c>
      <c r="I408" s="122"/>
      <c r="J408" s="122">
        <f t="shared" si="57"/>
        <v>342654.80643889791</v>
      </c>
      <c r="K408" s="122">
        <f t="shared" si="58"/>
        <v>0</v>
      </c>
      <c r="L408" s="122">
        <f t="shared" si="59"/>
        <v>342654.80643889791</v>
      </c>
    </row>
    <row r="409" spans="1:12">
      <c r="A409" s="114"/>
      <c r="B409" s="115" t="s">
        <v>350</v>
      </c>
      <c r="C409" s="116"/>
      <c r="D409" s="116"/>
      <c r="E409" s="108"/>
      <c r="F409" s="156"/>
      <c r="G409" s="156">
        <f t="shared" si="56"/>
        <v>0</v>
      </c>
      <c r="H409" s="122">
        <v>0</v>
      </c>
      <c r="I409" s="122"/>
      <c r="J409" s="122">
        <f t="shared" si="57"/>
        <v>0</v>
      </c>
      <c r="K409" s="122">
        <f t="shared" si="58"/>
        <v>0</v>
      </c>
      <c r="L409" s="122">
        <f t="shared" si="59"/>
        <v>0</v>
      </c>
    </row>
    <row r="410" spans="1:12" ht="31.2">
      <c r="A410" s="114">
        <v>22</v>
      </c>
      <c r="B410" s="117" t="s">
        <v>413</v>
      </c>
      <c r="C410" s="116" t="s">
        <v>149</v>
      </c>
      <c r="D410" s="116">
        <v>141.09200000000001</v>
      </c>
      <c r="E410" s="108">
        <v>0</v>
      </c>
      <c r="F410" s="156"/>
      <c r="G410" s="156">
        <f t="shared" si="56"/>
        <v>0</v>
      </c>
      <c r="H410" s="122">
        <v>1164681.0166441561</v>
      </c>
      <c r="I410" s="122"/>
      <c r="J410" s="122">
        <f t="shared" si="57"/>
        <v>0</v>
      </c>
      <c r="K410" s="122">
        <f t="shared" si="58"/>
        <v>0</v>
      </c>
      <c r="L410" s="122">
        <f t="shared" si="59"/>
        <v>0</v>
      </c>
    </row>
    <row r="411" spans="1:12" ht="31.2">
      <c r="A411" s="114">
        <v>23</v>
      </c>
      <c r="B411" s="117" t="s">
        <v>414</v>
      </c>
      <c r="C411" s="116" t="s">
        <v>415</v>
      </c>
      <c r="D411" s="116">
        <v>23.45</v>
      </c>
      <c r="E411" s="108">
        <v>0</v>
      </c>
      <c r="F411" s="156"/>
      <c r="G411" s="156">
        <f t="shared" si="56"/>
        <v>0</v>
      </c>
      <c r="H411" s="122">
        <v>114207703.6275613</v>
      </c>
      <c r="I411" s="122"/>
      <c r="J411" s="122">
        <f t="shared" si="57"/>
        <v>0</v>
      </c>
      <c r="K411" s="122">
        <f t="shared" si="58"/>
        <v>0</v>
      </c>
      <c r="L411" s="122">
        <f t="shared" si="59"/>
        <v>0</v>
      </c>
    </row>
    <row r="412" spans="1:12" ht="31.2">
      <c r="A412" s="114" t="s">
        <v>803</v>
      </c>
      <c r="B412" s="117" t="s">
        <v>795</v>
      </c>
      <c r="C412" s="116" t="s">
        <v>149</v>
      </c>
      <c r="D412" s="116"/>
      <c r="E412" s="108">
        <v>98.986450000000019</v>
      </c>
      <c r="F412" s="156"/>
      <c r="G412" s="156">
        <f t="shared" si="56"/>
        <v>98.986450000000019</v>
      </c>
      <c r="H412" s="122">
        <v>0</v>
      </c>
      <c r="I412" s="122">
        <v>1450470.8478000001</v>
      </c>
      <c r="J412" s="122">
        <f t="shared" si="57"/>
        <v>143576960.05221236</v>
      </c>
      <c r="K412" s="122">
        <f t="shared" si="58"/>
        <v>0</v>
      </c>
      <c r="L412" s="122">
        <f t="shared" si="59"/>
        <v>143576960.05221236</v>
      </c>
    </row>
    <row r="413" spans="1:12">
      <c r="A413" s="114" t="s">
        <v>871</v>
      </c>
      <c r="B413" s="117" t="s">
        <v>804</v>
      </c>
      <c r="C413" s="116" t="s">
        <v>415</v>
      </c>
      <c r="D413" s="116"/>
      <c r="E413" s="108">
        <v>17.078132218500006</v>
      </c>
      <c r="F413" s="156"/>
      <c r="G413" s="156">
        <f t="shared" si="56"/>
        <v>17.078132218500006</v>
      </c>
      <c r="H413" s="122">
        <v>0</v>
      </c>
      <c r="I413" s="122">
        <v>150219973.99520001</v>
      </c>
      <c r="J413" s="122">
        <f t="shared" si="57"/>
        <v>2565476577.7496581</v>
      </c>
      <c r="K413" s="122">
        <f t="shared" si="58"/>
        <v>0</v>
      </c>
      <c r="L413" s="122">
        <f t="shared" si="59"/>
        <v>2565476577.7496581</v>
      </c>
    </row>
    <row r="414" spans="1:12">
      <c r="A414" s="114">
        <v>24</v>
      </c>
      <c r="B414" s="117" t="s">
        <v>502</v>
      </c>
      <c r="C414" s="116" t="s">
        <v>415</v>
      </c>
      <c r="D414" s="116">
        <v>23.45</v>
      </c>
      <c r="E414" s="108">
        <v>17.078132218500006</v>
      </c>
      <c r="F414" s="156"/>
      <c r="G414" s="156">
        <f t="shared" si="56"/>
        <v>17.078132218500006</v>
      </c>
      <c r="H414" s="122">
        <v>4705361.9552235175</v>
      </c>
      <c r="I414" s="122"/>
      <c r="J414" s="122">
        <f t="shared" si="57"/>
        <v>80358793.607206941</v>
      </c>
      <c r="K414" s="122">
        <f t="shared" si="58"/>
        <v>0</v>
      </c>
      <c r="L414" s="122">
        <f t="shared" si="59"/>
        <v>80358793.607206941</v>
      </c>
    </row>
    <row r="415" spans="1:12">
      <c r="A415" s="114">
        <v>25</v>
      </c>
      <c r="B415" s="117" t="s">
        <v>511</v>
      </c>
      <c r="C415" s="116" t="s">
        <v>415</v>
      </c>
      <c r="D415" s="116">
        <v>23.45</v>
      </c>
      <c r="E415" s="108">
        <v>0</v>
      </c>
      <c r="F415" s="156"/>
      <c r="G415" s="156">
        <f t="shared" si="56"/>
        <v>0</v>
      </c>
      <c r="H415" s="122">
        <v>13145138.160624428</v>
      </c>
      <c r="I415" s="122"/>
      <c r="J415" s="122">
        <f t="shared" si="57"/>
        <v>0</v>
      </c>
      <c r="K415" s="122">
        <f t="shared" si="58"/>
        <v>0</v>
      </c>
      <c r="L415" s="122">
        <f t="shared" si="59"/>
        <v>0</v>
      </c>
    </row>
    <row r="416" spans="1:12">
      <c r="A416" s="114" t="s">
        <v>872</v>
      </c>
      <c r="B416" s="117" t="s">
        <v>799</v>
      </c>
      <c r="C416" s="116" t="s">
        <v>415</v>
      </c>
      <c r="D416" s="116"/>
      <c r="E416" s="108">
        <v>17.078132218500006</v>
      </c>
      <c r="F416" s="156"/>
      <c r="G416" s="156">
        <f t="shared" si="56"/>
        <v>17.078132218500006</v>
      </c>
      <c r="H416" s="122"/>
      <c r="I416" s="122">
        <v>14726563.098200001</v>
      </c>
      <c r="J416" s="122">
        <f t="shared" si="57"/>
        <v>251502191.7151427</v>
      </c>
      <c r="K416" s="122">
        <f t="shared" si="58"/>
        <v>0</v>
      </c>
      <c r="L416" s="122">
        <f t="shared" si="59"/>
        <v>251502191.7151427</v>
      </c>
    </row>
    <row r="417" spans="1:12">
      <c r="A417" s="114">
        <v>26</v>
      </c>
      <c r="B417" s="117" t="s">
        <v>503</v>
      </c>
      <c r="C417" s="116" t="s">
        <v>149</v>
      </c>
      <c r="D417" s="116">
        <v>14.109</v>
      </c>
      <c r="E417" s="108">
        <v>98.986450000000019</v>
      </c>
      <c r="F417" s="156"/>
      <c r="G417" s="156">
        <f t="shared" si="56"/>
        <v>98.986450000000019</v>
      </c>
      <c r="H417" s="122">
        <v>1783035.3754178607</v>
      </c>
      <c r="I417" s="122"/>
      <c r="J417" s="122">
        <f t="shared" si="57"/>
        <v>176496342.03703132</v>
      </c>
      <c r="K417" s="122">
        <f t="shared" si="58"/>
        <v>0</v>
      </c>
      <c r="L417" s="122">
        <f t="shared" si="59"/>
        <v>176496342.03703132</v>
      </c>
    </row>
    <row r="418" spans="1:12">
      <c r="A418" s="114">
        <v>27</v>
      </c>
      <c r="B418" s="117" t="s">
        <v>418</v>
      </c>
      <c r="C418" s="116" t="s">
        <v>145</v>
      </c>
      <c r="D418" s="116">
        <v>21.164000000000001</v>
      </c>
      <c r="E418" s="108">
        <v>14.6086475</v>
      </c>
      <c r="F418" s="156"/>
      <c r="G418" s="156">
        <f t="shared" si="56"/>
        <v>14.6086475</v>
      </c>
      <c r="H418" s="122">
        <v>30928790.531593096</v>
      </c>
      <c r="I418" s="122"/>
      <c r="J418" s="122">
        <f t="shared" si="57"/>
        <v>451827798.47738117</v>
      </c>
      <c r="K418" s="122">
        <f t="shared" si="58"/>
        <v>0</v>
      </c>
      <c r="L418" s="122">
        <f t="shared" si="59"/>
        <v>451827798.47738117</v>
      </c>
    </row>
    <row r="419" spans="1:12">
      <c r="A419" s="114">
        <v>28</v>
      </c>
      <c r="B419" s="117" t="s">
        <v>570</v>
      </c>
      <c r="C419" s="116" t="s">
        <v>145</v>
      </c>
      <c r="D419" s="116">
        <v>44.98</v>
      </c>
      <c r="E419" s="108">
        <v>30.995247999999997</v>
      </c>
      <c r="F419" s="156"/>
      <c r="G419" s="156">
        <f t="shared" si="56"/>
        <v>30.995247999999997</v>
      </c>
      <c r="H419" s="122">
        <v>30775729.176017962</v>
      </c>
      <c r="I419" s="122"/>
      <c r="J419" s="122">
        <f t="shared" si="57"/>
        <v>953901358.19151235</v>
      </c>
      <c r="K419" s="122">
        <f t="shared" si="58"/>
        <v>0</v>
      </c>
      <c r="L419" s="122">
        <f t="shared" si="59"/>
        <v>953901358.19151235</v>
      </c>
    </row>
    <row r="420" spans="1:12">
      <c r="A420" s="114"/>
      <c r="B420" s="115" t="s">
        <v>420</v>
      </c>
      <c r="C420" s="116"/>
      <c r="D420" s="116"/>
      <c r="E420" s="108"/>
      <c r="F420" s="156"/>
      <c r="G420" s="156">
        <f t="shared" si="56"/>
        <v>0</v>
      </c>
      <c r="H420" s="122">
        <v>0</v>
      </c>
      <c r="I420" s="122"/>
      <c r="J420" s="122">
        <f t="shared" si="57"/>
        <v>0</v>
      </c>
      <c r="K420" s="122">
        <f t="shared" si="58"/>
        <v>0</v>
      </c>
      <c r="L420" s="122">
        <f t="shared" si="59"/>
        <v>0</v>
      </c>
    </row>
    <row r="421" spans="1:12" ht="31.2">
      <c r="A421" s="114">
        <v>29</v>
      </c>
      <c r="B421" s="117" t="s">
        <v>413</v>
      </c>
      <c r="C421" s="116" t="s">
        <v>149</v>
      </c>
      <c r="D421" s="116">
        <v>4.1479999999999997</v>
      </c>
      <c r="E421" s="108">
        <v>0</v>
      </c>
      <c r="F421" s="156"/>
      <c r="G421" s="156">
        <f t="shared" si="56"/>
        <v>0</v>
      </c>
      <c r="H421" s="122">
        <v>1164681.0166441561</v>
      </c>
      <c r="I421" s="122"/>
      <c r="J421" s="122">
        <f t="shared" si="57"/>
        <v>0</v>
      </c>
      <c r="K421" s="122">
        <f t="shared" si="58"/>
        <v>0</v>
      </c>
      <c r="L421" s="122">
        <f t="shared" si="59"/>
        <v>0</v>
      </c>
    </row>
    <row r="422" spans="1:12" ht="31.2">
      <c r="A422" s="114">
        <v>30</v>
      </c>
      <c r="B422" s="117" t="s">
        <v>414</v>
      </c>
      <c r="C422" s="116" t="s">
        <v>415</v>
      </c>
      <c r="D422" s="116">
        <v>0.68899999999999995</v>
      </c>
      <c r="E422" s="108">
        <v>0</v>
      </c>
      <c r="F422" s="156"/>
      <c r="G422" s="156">
        <f t="shared" si="56"/>
        <v>0</v>
      </c>
      <c r="H422" s="122">
        <v>114207703.6275613</v>
      </c>
      <c r="I422" s="122"/>
      <c r="J422" s="122">
        <f t="shared" si="57"/>
        <v>0</v>
      </c>
      <c r="K422" s="122">
        <f t="shared" si="58"/>
        <v>0</v>
      </c>
      <c r="L422" s="122">
        <f t="shared" si="59"/>
        <v>0</v>
      </c>
    </row>
    <row r="423" spans="1:12" ht="31.2">
      <c r="A423" s="114" t="s">
        <v>862</v>
      </c>
      <c r="B423" s="117" t="s">
        <v>795</v>
      </c>
      <c r="C423" s="116" t="s">
        <v>149</v>
      </c>
      <c r="D423" s="116"/>
      <c r="E423" s="108">
        <v>4.1479999999999997</v>
      </c>
      <c r="F423" s="156"/>
      <c r="G423" s="156">
        <f t="shared" si="56"/>
        <v>4.1479999999999997</v>
      </c>
      <c r="H423" s="122">
        <v>0</v>
      </c>
      <c r="I423" s="122">
        <v>1450470.8478000001</v>
      </c>
      <c r="J423" s="122">
        <f t="shared" si="57"/>
        <v>6016553.0766743999</v>
      </c>
      <c r="K423" s="122">
        <f t="shared" si="58"/>
        <v>0</v>
      </c>
      <c r="L423" s="122">
        <f t="shared" si="59"/>
        <v>6016553.0766743999</v>
      </c>
    </row>
    <row r="424" spans="1:12">
      <c r="A424" s="114" t="s">
        <v>863</v>
      </c>
      <c r="B424" s="117" t="s">
        <v>804</v>
      </c>
      <c r="C424" s="116" t="s">
        <v>415</v>
      </c>
      <c r="D424" s="116"/>
      <c r="E424" s="108">
        <v>0.71565444</v>
      </c>
      <c r="F424" s="156"/>
      <c r="G424" s="156">
        <f t="shared" si="56"/>
        <v>0.71565444</v>
      </c>
      <c r="H424" s="122">
        <v>0</v>
      </c>
      <c r="I424" s="122">
        <v>150219973.99520001</v>
      </c>
      <c r="J424" s="122">
        <f t="shared" si="57"/>
        <v>107505591.36634943</v>
      </c>
      <c r="K424" s="122">
        <f t="shared" si="58"/>
        <v>0</v>
      </c>
      <c r="L424" s="122">
        <f t="shared" si="59"/>
        <v>107505591.36634943</v>
      </c>
    </row>
    <row r="425" spans="1:12">
      <c r="A425" s="114">
        <v>31</v>
      </c>
      <c r="B425" s="117" t="s">
        <v>502</v>
      </c>
      <c r="C425" s="116" t="s">
        <v>415</v>
      </c>
      <c r="D425" s="116">
        <v>0.68899999999999995</v>
      </c>
      <c r="E425" s="108">
        <v>0.71565444</v>
      </c>
      <c r="F425" s="156"/>
      <c r="G425" s="156">
        <f t="shared" si="56"/>
        <v>0.71565444</v>
      </c>
      <c r="H425" s="122">
        <v>4705361.9552235175</v>
      </c>
      <c r="I425" s="122"/>
      <c r="J425" s="122">
        <f t="shared" si="57"/>
        <v>3367413.1750627914</v>
      </c>
      <c r="K425" s="122">
        <f t="shared" si="58"/>
        <v>0</v>
      </c>
      <c r="L425" s="122">
        <f t="shared" si="59"/>
        <v>3367413.1750627914</v>
      </c>
    </row>
    <row r="426" spans="1:12">
      <c r="A426" s="114">
        <v>32</v>
      </c>
      <c r="B426" s="117" t="s">
        <v>511</v>
      </c>
      <c r="C426" s="116" t="s">
        <v>415</v>
      </c>
      <c r="D426" s="116">
        <v>0.68899999999999995</v>
      </c>
      <c r="E426" s="108">
        <v>0</v>
      </c>
      <c r="F426" s="156"/>
      <c r="G426" s="156">
        <f t="shared" si="56"/>
        <v>0</v>
      </c>
      <c r="H426" s="122">
        <v>13145138.160624428</v>
      </c>
      <c r="I426" s="122"/>
      <c r="J426" s="122">
        <f t="shared" si="57"/>
        <v>0</v>
      </c>
      <c r="K426" s="122">
        <f t="shared" si="58"/>
        <v>0</v>
      </c>
      <c r="L426" s="122">
        <f t="shared" si="59"/>
        <v>0</v>
      </c>
    </row>
    <row r="427" spans="1:12">
      <c r="A427" s="114" t="s">
        <v>864</v>
      </c>
      <c r="B427" s="117" t="s">
        <v>799</v>
      </c>
      <c r="C427" s="116" t="s">
        <v>415</v>
      </c>
      <c r="D427" s="116"/>
      <c r="E427" s="108">
        <v>0.71565444</v>
      </c>
      <c r="F427" s="156"/>
      <c r="G427" s="156">
        <f t="shared" si="56"/>
        <v>0.71565444</v>
      </c>
      <c r="H427" s="122"/>
      <c r="I427" s="122">
        <v>14726563.098200001</v>
      </c>
      <c r="J427" s="122">
        <f t="shared" si="57"/>
        <v>10539130.267166987</v>
      </c>
      <c r="K427" s="122">
        <f t="shared" si="58"/>
        <v>0</v>
      </c>
      <c r="L427" s="122">
        <f t="shared" si="59"/>
        <v>10539130.267166987</v>
      </c>
    </row>
    <row r="428" spans="1:12">
      <c r="A428" s="114">
        <v>33</v>
      </c>
      <c r="B428" s="117" t="s">
        <v>503</v>
      </c>
      <c r="C428" s="116" t="s">
        <v>149</v>
      </c>
      <c r="D428" s="116">
        <v>2.69</v>
      </c>
      <c r="E428" s="108">
        <v>2.69</v>
      </c>
      <c r="F428" s="156"/>
      <c r="G428" s="156">
        <f t="shared" si="56"/>
        <v>2.69</v>
      </c>
      <c r="H428" s="122">
        <v>1783035.3754178607</v>
      </c>
      <c r="I428" s="122"/>
      <c r="J428" s="122">
        <f t="shared" si="57"/>
        <v>4796365.1598740453</v>
      </c>
      <c r="K428" s="122">
        <f t="shared" si="58"/>
        <v>0</v>
      </c>
      <c r="L428" s="122">
        <f t="shared" si="59"/>
        <v>4796365.1598740453</v>
      </c>
    </row>
    <row r="429" spans="1:12">
      <c r="A429" s="114">
        <v>34</v>
      </c>
      <c r="B429" s="117" t="s">
        <v>418</v>
      </c>
      <c r="C429" s="116" t="s">
        <v>145</v>
      </c>
      <c r="D429" s="116">
        <v>0.622</v>
      </c>
      <c r="E429" s="108">
        <v>0.622</v>
      </c>
      <c r="F429" s="156"/>
      <c r="G429" s="156">
        <f t="shared" si="56"/>
        <v>0.622</v>
      </c>
      <c r="H429" s="122">
        <v>30928790.531593096</v>
      </c>
      <c r="I429" s="122"/>
      <c r="J429" s="122">
        <f t="shared" si="57"/>
        <v>19237707.710650906</v>
      </c>
      <c r="K429" s="122">
        <f t="shared" si="58"/>
        <v>0</v>
      </c>
      <c r="L429" s="122">
        <f t="shared" si="59"/>
        <v>19237707.710650906</v>
      </c>
    </row>
    <row r="430" spans="1:12">
      <c r="A430" s="114"/>
      <c r="B430" s="117" t="s">
        <v>571</v>
      </c>
      <c r="C430" s="116"/>
      <c r="D430" s="116"/>
      <c r="E430" s="108"/>
      <c r="F430" s="156"/>
      <c r="G430" s="156">
        <f t="shared" si="56"/>
        <v>0</v>
      </c>
      <c r="H430" s="122">
        <v>0</v>
      </c>
      <c r="I430" s="122"/>
      <c r="J430" s="122">
        <f t="shared" si="57"/>
        <v>0</v>
      </c>
      <c r="K430" s="122">
        <f t="shared" si="58"/>
        <v>0</v>
      </c>
      <c r="L430" s="122">
        <f t="shared" si="59"/>
        <v>0</v>
      </c>
    </row>
    <row r="431" spans="1:12">
      <c r="A431" s="114">
        <v>35</v>
      </c>
      <c r="B431" s="117" t="s">
        <v>572</v>
      </c>
      <c r="C431" s="116" t="s">
        <v>145</v>
      </c>
      <c r="D431" s="116">
        <v>1.72</v>
      </c>
      <c r="E431" s="108">
        <v>1.72</v>
      </c>
      <c r="F431" s="156"/>
      <c r="G431" s="156">
        <f t="shared" si="56"/>
        <v>1.72</v>
      </c>
      <c r="H431" s="122">
        <v>742138.23240767152</v>
      </c>
      <c r="I431" s="122"/>
      <c r="J431" s="122">
        <f t="shared" si="57"/>
        <v>1276477.759741195</v>
      </c>
      <c r="K431" s="122">
        <f t="shared" si="58"/>
        <v>0</v>
      </c>
      <c r="L431" s="122">
        <f t="shared" si="59"/>
        <v>1276477.759741195</v>
      </c>
    </row>
    <row r="432" spans="1:12">
      <c r="A432" s="114">
        <v>36</v>
      </c>
      <c r="B432" s="117" t="s">
        <v>504</v>
      </c>
      <c r="C432" s="116" t="s">
        <v>145</v>
      </c>
      <c r="D432" s="116">
        <v>1.72</v>
      </c>
      <c r="E432" s="108">
        <v>1.72</v>
      </c>
      <c r="F432" s="156"/>
      <c r="G432" s="156">
        <f t="shared" si="56"/>
        <v>1.72</v>
      </c>
      <c r="H432" s="122">
        <v>1545733.4104878029</v>
      </c>
      <c r="I432" s="122"/>
      <c r="J432" s="122">
        <f t="shared" si="57"/>
        <v>2658661.466039021</v>
      </c>
      <c r="K432" s="122">
        <f t="shared" si="58"/>
        <v>0</v>
      </c>
      <c r="L432" s="122">
        <f t="shared" si="59"/>
        <v>2658661.466039021</v>
      </c>
    </row>
    <row r="433" spans="1:12" ht="31.2">
      <c r="A433" s="114">
        <v>37</v>
      </c>
      <c r="B433" s="117" t="s">
        <v>573</v>
      </c>
      <c r="C433" s="116" t="s">
        <v>147</v>
      </c>
      <c r="D433" s="116">
        <v>101.43</v>
      </c>
      <c r="E433" s="108">
        <v>101.43</v>
      </c>
      <c r="F433" s="156"/>
      <c r="G433" s="156">
        <f t="shared" si="56"/>
        <v>101.43</v>
      </c>
      <c r="H433" s="122">
        <v>829228.27324521227</v>
      </c>
      <c r="I433" s="122"/>
      <c r="J433" s="122">
        <f t="shared" si="57"/>
        <v>84108623.755261883</v>
      </c>
      <c r="K433" s="122">
        <f t="shared" si="58"/>
        <v>0</v>
      </c>
      <c r="L433" s="122">
        <f t="shared" si="59"/>
        <v>84108623.755261883</v>
      </c>
    </row>
    <row r="434" spans="1:12">
      <c r="A434" s="114">
        <v>38</v>
      </c>
      <c r="B434" s="117" t="s">
        <v>574</v>
      </c>
      <c r="C434" s="116" t="s">
        <v>148</v>
      </c>
      <c r="D434" s="116">
        <v>816</v>
      </c>
      <c r="E434" s="108">
        <v>816</v>
      </c>
      <c r="F434" s="156"/>
      <c r="G434" s="156">
        <f t="shared" si="56"/>
        <v>816</v>
      </c>
      <c r="H434" s="122">
        <v>17299.20017453636</v>
      </c>
      <c r="I434" s="122"/>
      <c r="J434" s="122">
        <f t="shared" si="57"/>
        <v>14116147.34242167</v>
      </c>
      <c r="K434" s="122">
        <f t="shared" si="58"/>
        <v>0</v>
      </c>
      <c r="L434" s="122">
        <f t="shared" si="59"/>
        <v>14116147.34242167</v>
      </c>
    </row>
    <row r="435" spans="1:12">
      <c r="A435" s="114">
        <v>39</v>
      </c>
      <c r="B435" s="117" t="s">
        <v>575</v>
      </c>
      <c r="C435" s="116" t="s">
        <v>150</v>
      </c>
      <c r="D435" s="116">
        <v>120.768</v>
      </c>
      <c r="E435" s="108">
        <v>120.768</v>
      </c>
      <c r="F435" s="156"/>
      <c r="G435" s="156">
        <f t="shared" si="56"/>
        <v>120.768</v>
      </c>
      <c r="H435" s="122">
        <v>24218.880244350901</v>
      </c>
      <c r="I435" s="122"/>
      <c r="J435" s="122">
        <f t="shared" si="57"/>
        <v>2924865.7293497697</v>
      </c>
      <c r="K435" s="122">
        <f t="shared" si="58"/>
        <v>0</v>
      </c>
      <c r="L435" s="122">
        <f t="shared" si="59"/>
        <v>2924865.7293497697</v>
      </c>
    </row>
    <row r="436" spans="1:12">
      <c r="A436" s="114"/>
      <c r="B436" s="117" t="s">
        <v>428</v>
      </c>
      <c r="C436" s="116"/>
      <c r="D436" s="116"/>
      <c r="E436" s="108"/>
      <c r="F436" s="156"/>
      <c r="G436" s="156">
        <f t="shared" si="56"/>
        <v>0</v>
      </c>
      <c r="H436" s="122">
        <v>0</v>
      </c>
      <c r="I436" s="122"/>
      <c r="J436" s="122">
        <f t="shared" si="57"/>
        <v>0</v>
      </c>
      <c r="K436" s="122">
        <f t="shared" si="58"/>
        <v>0</v>
      </c>
      <c r="L436" s="122">
        <f t="shared" si="59"/>
        <v>0</v>
      </c>
    </row>
    <row r="437" spans="1:12">
      <c r="A437" s="114">
        <v>40</v>
      </c>
      <c r="B437" s="117" t="s">
        <v>429</v>
      </c>
      <c r="C437" s="116" t="s">
        <v>144</v>
      </c>
      <c r="D437" s="116">
        <v>355.86</v>
      </c>
      <c r="E437" s="108">
        <v>310.5</v>
      </c>
      <c r="F437" s="156"/>
      <c r="G437" s="156">
        <f t="shared" si="56"/>
        <v>310.5</v>
      </c>
      <c r="H437" s="122">
        <v>1447365.9972352386</v>
      </c>
      <c r="I437" s="122"/>
      <c r="J437" s="122">
        <f t="shared" si="57"/>
        <v>449407142.1415416</v>
      </c>
      <c r="K437" s="122">
        <f t="shared" si="58"/>
        <v>0</v>
      </c>
      <c r="L437" s="122">
        <f t="shared" si="59"/>
        <v>449407142.1415416</v>
      </c>
    </row>
    <row r="438" spans="1:12">
      <c r="A438" s="114">
        <v>41</v>
      </c>
      <c r="B438" s="117" t="s">
        <v>430</v>
      </c>
      <c r="C438" s="116" t="s">
        <v>149</v>
      </c>
      <c r="D438" s="116">
        <v>14.734999999999999</v>
      </c>
      <c r="E438" s="108">
        <v>12.85676</v>
      </c>
      <c r="F438" s="156"/>
      <c r="G438" s="156">
        <f t="shared" ref="G438:G501" si="60">+E438</f>
        <v>12.85676</v>
      </c>
      <c r="H438" s="122">
        <v>5813935.4808997139</v>
      </c>
      <c r="I438" s="122"/>
      <c r="J438" s="122">
        <f t="shared" si="57"/>
        <v>74748373.133412197</v>
      </c>
      <c r="K438" s="122">
        <f t="shared" si="58"/>
        <v>0</v>
      </c>
      <c r="L438" s="122">
        <f t="shared" si="59"/>
        <v>74748373.133412197</v>
      </c>
    </row>
    <row r="439" spans="1:12">
      <c r="A439" s="114">
        <v>42</v>
      </c>
      <c r="B439" s="117" t="s">
        <v>452</v>
      </c>
      <c r="C439" s="116" t="s">
        <v>149</v>
      </c>
      <c r="D439" s="116">
        <v>26.754999999999999</v>
      </c>
      <c r="E439" s="108">
        <v>23.3446</v>
      </c>
      <c r="F439" s="156"/>
      <c r="G439" s="156">
        <f t="shared" si="60"/>
        <v>23.3446</v>
      </c>
      <c r="H439" s="122">
        <v>691968.00698145432</v>
      </c>
      <c r="I439" s="122"/>
      <c r="J439" s="122">
        <f t="shared" si="57"/>
        <v>16153716.335779259</v>
      </c>
      <c r="K439" s="122">
        <f t="shared" si="58"/>
        <v>0</v>
      </c>
      <c r="L439" s="122">
        <f t="shared" si="59"/>
        <v>16153716.335779259</v>
      </c>
    </row>
    <row r="440" spans="1:12">
      <c r="A440" s="114"/>
      <c r="B440" s="115" t="s">
        <v>513</v>
      </c>
      <c r="C440" s="116"/>
      <c r="D440" s="116"/>
      <c r="E440" s="108"/>
      <c r="F440" s="156"/>
      <c r="G440" s="156">
        <f t="shared" si="60"/>
        <v>0</v>
      </c>
      <c r="H440" s="122"/>
      <c r="I440" s="122"/>
      <c r="J440" s="122">
        <f t="shared" si="57"/>
        <v>0</v>
      </c>
      <c r="K440" s="122">
        <f t="shared" si="58"/>
        <v>0</v>
      </c>
      <c r="L440" s="122">
        <f t="shared" si="59"/>
        <v>0</v>
      </c>
    </row>
    <row r="441" spans="1:12">
      <c r="A441" s="114">
        <v>43</v>
      </c>
      <c r="B441" s="117" t="s">
        <v>425</v>
      </c>
      <c r="C441" s="116" t="s">
        <v>144</v>
      </c>
      <c r="D441" s="116">
        <v>8</v>
      </c>
      <c r="E441" s="108">
        <v>8</v>
      </c>
      <c r="F441" s="156"/>
      <c r="G441" s="156">
        <f t="shared" si="60"/>
        <v>8</v>
      </c>
      <c r="H441" s="122">
        <v>842210.9705639804</v>
      </c>
      <c r="I441" s="122"/>
      <c r="J441" s="122">
        <f t="shared" si="57"/>
        <v>6737687.7645118432</v>
      </c>
      <c r="K441" s="122">
        <f t="shared" si="58"/>
        <v>0</v>
      </c>
      <c r="L441" s="122">
        <f t="shared" si="59"/>
        <v>6737687.7645118432</v>
      </c>
    </row>
    <row r="442" spans="1:12">
      <c r="A442" s="114">
        <v>44</v>
      </c>
      <c r="B442" s="117" t="s">
        <v>514</v>
      </c>
      <c r="C442" s="116" t="s">
        <v>144</v>
      </c>
      <c r="D442" s="116">
        <v>31.45</v>
      </c>
      <c r="E442" s="108">
        <v>31.45</v>
      </c>
      <c r="F442" s="156"/>
      <c r="G442" s="156">
        <f t="shared" si="60"/>
        <v>31.45</v>
      </c>
      <c r="H442" s="122">
        <v>1514127.1457146388</v>
      </c>
      <c r="I442" s="122"/>
      <c r="J442" s="122">
        <f t="shared" si="57"/>
        <v>47619298.732725389</v>
      </c>
      <c r="K442" s="122">
        <f t="shared" si="58"/>
        <v>0</v>
      </c>
      <c r="L442" s="122">
        <f t="shared" si="59"/>
        <v>47619298.732725389</v>
      </c>
    </row>
    <row r="443" spans="1:12">
      <c r="A443" s="114">
        <v>45</v>
      </c>
      <c r="B443" s="117" t="s">
        <v>431</v>
      </c>
      <c r="C443" s="116" t="s">
        <v>144</v>
      </c>
      <c r="D443" s="116">
        <v>3.2</v>
      </c>
      <c r="E443" s="108">
        <v>3.2</v>
      </c>
      <c r="F443" s="156"/>
      <c r="G443" s="156">
        <f t="shared" si="60"/>
        <v>3.2</v>
      </c>
      <c r="H443" s="122">
        <v>1136557.5401075627</v>
      </c>
      <c r="I443" s="122"/>
      <c r="J443" s="122">
        <f t="shared" si="57"/>
        <v>3636984.1283442006</v>
      </c>
      <c r="K443" s="122">
        <f t="shared" si="58"/>
        <v>0</v>
      </c>
      <c r="L443" s="122">
        <f t="shared" si="59"/>
        <v>3636984.1283442006</v>
      </c>
    </row>
    <row r="444" spans="1:12">
      <c r="A444" s="114">
        <v>46</v>
      </c>
      <c r="B444" s="117" t="s">
        <v>432</v>
      </c>
      <c r="C444" s="116" t="s">
        <v>146</v>
      </c>
      <c r="D444" s="116">
        <v>0.85799999999999998</v>
      </c>
      <c r="E444" s="108">
        <v>0.85799999999999998</v>
      </c>
      <c r="F444" s="156"/>
      <c r="G444" s="156">
        <f t="shared" si="60"/>
        <v>0.85799999999999998</v>
      </c>
      <c r="H444" s="122">
        <v>20380624.265171286</v>
      </c>
      <c r="I444" s="122"/>
      <c r="J444" s="122">
        <f t="shared" si="57"/>
        <v>17486575.619516961</v>
      </c>
      <c r="K444" s="122">
        <f t="shared" si="58"/>
        <v>0</v>
      </c>
      <c r="L444" s="122">
        <f t="shared" si="59"/>
        <v>17486575.619516961</v>
      </c>
    </row>
    <row r="445" spans="1:12">
      <c r="A445" s="114">
        <v>47</v>
      </c>
      <c r="B445" s="117" t="s">
        <v>433</v>
      </c>
      <c r="C445" s="116" t="s">
        <v>146</v>
      </c>
      <c r="D445" s="116">
        <v>1.3049999999999999</v>
      </c>
      <c r="E445" s="108">
        <v>1.3049999999999999</v>
      </c>
      <c r="F445" s="156"/>
      <c r="G445" s="156">
        <f t="shared" si="60"/>
        <v>1.3049999999999999</v>
      </c>
      <c r="H445" s="122">
        <v>20468933.139186095</v>
      </c>
      <c r="I445" s="122"/>
      <c r="J445" s="122">
        <f t="shared" si="57"/>
        <v>26711957.746637855</v>
      </c>
      <c r="K445" s="122">
        <f t="shared" si="58"/>
        <v>0</v>
      </c>
      <c r="L445" s="122">
        <f t="shared" si="59"/>
        <v>26711957.746637855</v>
      </c>
    </row>
    <row r="446" spans="1:12">
      <c r="A446" s="114">
        <v>48</v>
      </c>
      <c r="B446" s="117" t="s">
        <v>434</v>
      </c>
      <c r="C446" s="116" t="s">
        <v>149</v>
      </c>
      <c r="D446" s="116">
        <v>2.86</v>
      </c>
      <c r="E446" s="108">
        <v>2.86</v>
      </c>
      <c r="F446" s="156"/>
      <c r="G446" s="156">
        <f t="shared" si="60"/>
        <v>2.86</v>
      </c>
      <c r="H446" s="122">
        <v>5813935.4808997139</v>
      </c>
      <c r="I446" s="122"/>
      <c r="J446" s="122">
        <f t="shared" si="57"/>
        <v>16627855.475373181</v>
      </c>
      <c r="K446" s="122">
        <f t="shared" si="58"/>
        <v>0</v>
      </c>
      <c r="L446" s="122">
        <f t="shared" si="59"/>
        <v>16627855.475373181</v>
      </c>
    </row>
    <row r="447" spans="1:12">
      <c r="A447" s="114"/>
      <c r="B447" s="115" t="s">
        <v>435</v>
      </c>
      <c r="C447" s="116"/>
      <c r="D447" s="116"/>
      <c r="E447" s="108"/>
      <c r="F447" s="156"/>
      <c r="G447" s="156">
        <f t="shared" si="60"/>
        <v>0</v>
      </c>
      <c r="H447" s="122"/>
      <c r="I447" s="122"/>
      <c r="J447" s="122">
        <f t="shared" si="57"/>
        <v>0</v>
      </c>
      <c r="K447" s="122">
        <f t="shared" si="58"/>
        <v>0</v>
      </c>
      <c r="L447" s="122">
        <f t="shared" si="59"/>
        <v>0</v>
      </c>
    </row>
    <row r="448" spans="1:12">
      <c r="A448" s="114">
        <v>49</v>
      </c>
      <c r="B448" s="117" t="s">
        <v>436</v>
      </c>
      <c r="C448" s="116" t="s">
        <v>144</v>
      </c>
      <c r="D448" s="116">
        <v>13.1</v>
      </c>
      <c r="E448" s="108">
        <v>13.1</v>
      </c>
      <c r="F448" s="156"/>
      <c r="G448" s="156">
        <f t="shared" si="60"/>
        <v>13.1</v>
      </c>
      <c r="H448" s="122">
        <v>1566516.638610963</v>
      </c>
      <c r="I448" s="122"/>
      <c r="J448" s="122">
        <f t="shared" si="57"/>
        <v>20521367.965803616</v>
      </c>
      <c r="K448" s="122">
        <f t="shared" si="58"/>
        <v>0</v>
      </c>
      <c r="L448" s="122">
        <f t="shared" si="59"/>
        <v>20521367.965803616</v>
      </c>
    </row>
    <row r="449" spans="1:12">
      <c r="A449" s="114">
        <v>50</v>
      </c>
      <c r="B449" s="117" t="s">
        <v>437</v>
      </c>
      <c r="C449" s="116" t="s">
        <v>146</v>
      </c>
      <c r="D449" s="116">
        <v>0.78800000000000003</v>
      </c>
      <c r="E449" s="108">
        <v>0.78800000000000003</v>
      </c>
      <c r="F449" s="156"/>
      <c r="G449" s="156">
        <f t="shared" si="60"/>
        <v>0.78800000000000003</v>
      </c>
      <c r="H449" s="122">
        <v>23146185.931862913</v>
      </c>
      <c r="I449" s="122"/>
      <c r="J449" s="122">
        <f t="shared" si="57"/>
        <v>18239194.514307976</v>
      </c>
      <c r="K449" s="122">
        <f t="shared" si="58"/>
        <v>0</v>
      </c>
      <c r="L449" s="122">
        <f t="shared" si="59"/>
        <v>18239194.514307976</v>
      </c>
    </row>
    <row r="450" spans="1:12">
      <c r="A450" s="114">
        <v>51</v>
      </c>
      <c r="B450" s="117" t="s">
        <v>438</v>
      </c>
      <c r="C450" s="116" t="s">
        <v>146</v>
      </c>
      <c r="D450" s="116">
        <v>0.64300000000000002</v>
      </c>
      <c r="E450" s="108">
        <v>0.64300000000000002</v>
      </c>
      <c r="F450" s="156"/>
      <c r="G450" s="156">
        <f t="shared" si="60"/>
        <v>0.64300000000000002</v>
      </c>
      <c r="H450" s="122">
        <v>22170915.161945313</v>
      </c>
      <c r="I450" s="122"/>
      <c r="J450" s="122">
        <f t="shared" si="57"/>
        <v>14255898.449130837</v>
      </c>
      <c r="K450" s="122">
        <f t="shared" si="58"/>
        <v>0</v>
      </c>
      <c r="L450" s="122">
        <f t="shared" si="59"/>
        <v>14255898.449130837</v>
      </c>
    </row>
    <row r="451" spans="1:12">
      <c r="A451" s="114">
        <v>52</v>
      </c>
      <c r="B451" s="117" t="s">
        <v>337</v>
      </c>
      <c r="C451" s="116" t="s">
        <v>149</v>
      </c>
      <c r="D451" s="116">
        <v>2.641</v>
      </c>
      <c r="E451" s="108">
        <v>2.641</v>
      </c>
      <c r="F451" s="156"/>
      <c r="G451" s="156">
        <f t="shared" si="60"/>
        <v>2.641</v>
      </c>
      <c r="H451" s="122">
        <v>8046781.7858471721</v>
      </c>
      <c r="I451" s="122"/>
      <c r="J451" s="122">
        <f t="shared" si="57"/>
        <v>21251550.696422383</v>
      </c>
      <c r="K451" s="122">
        <f t="shared" si="58"/>
        <v>0</v>
      </c>
      <c r="L451" s="122">
        <f t="shared" si="59"/>
        <v>21251550.696422383</v>
      </c>
    </row>
    <row r="452" spans="1:12">
      <c r="A452" s="114">
        <v>53</v>
      </c>
      <c r="B452" s="117" t="s">
        <v>439</v>
      </c>
      <c r="C452" s="116" t="s">
        <v>392</v>
      </c>
      <c r="D452" s="116">
        <v>100</v>
      </c>
      <c r="E452" s="108">
        <v>100</v>
      </c>
      <c r="F452" s="156"/>
      <c r="G452" s="156">
        <f t="shared" si="60"/>
        <v>100</v>
      </c>
      <c r="H452" s="122">
        <v>32899.991206105726</v>
      </c>
      <c r="I452" s="122"/>
      <c r="J452" s="122">
        <f t="shared" si="57"/>
        <v>3289999.1206105724</v>
      </c>
      <c r="K452" s="122">
        <f t="shared" si="58"/>
        <v>0</v>
      </c>
      <c r="L452" s="122">
        <f t="shared" si="59"/>
        <v>3289999.1206105724</v>
      </c>
    </row>
    <row r="453" spans="1:12">
      <c r="A453" s="114"/>
      <c r="B453" s="115" t="s">
        <v>440</v>
      </c>
      <c r="C453" s="116"/>
      <c r="D453" s="116"/>
      <c r="E453" s="108"/>
      <c r="F453" s="156"/>
      <c r="G453" s="156">
        <f t="shared" si="60"/>
        <v>0</v>
      </c>
      <c r="H453" s="122"/>
      <c r="I453" s="122"/>
      <c r="J453" s="122">
        <f t="shared" si="57"/>
        <v>0</v>
      </c>
      <c r="K453" s="122">
        <f t="shared" si="58"/>
        <v>0</v>
      </c>
      <c r="L453" s="122">
        <f t="shared" si="59"/>
        <v>0</v>
      </c>
    </row>
    <row r="454" spans="1:12">
      <c r="A454" s="114">
        <v>54</v>
      </c>
      <c r="B454" s="117" t="s">
        <v>425</v>
      </c>
      <c r="C454" s="116" t="s">
        <v>144</v>
      </c>
      <c r="D454" s="116">
        <v>0.41599999999999998</v>
      </c>
      <c r="E454" s="108">
        <v>0.41599999999999998</v>
      </c>
      <c r="F454" s="156"/>
      <c r="G454" s="156">
        <f t="shared" si="60"/>
        <v>0.41599999999999998</v>
      </c>
      <c r="H454" s="122">
        <v>842210.9705639804</v>
      </c>
      <c r="I454" s="122"/>
      <c r="J454" s="122">
        <f t="shared" si="57"/>
        <v>350359.76375461585</v>
      </c>
      <c r="K454" s="122">
        <f t="shared" si="58"/>
        <v>0</v>
      </c>
      <c r="L454" s="122">
        <f t="shared" si="59"/>
        <v>350359.76375461585</v>
      </c>
    </row>
    <row r="455" spans="1:12">
      <c r="A455" s="114">
        <v>55</v>
      </c>
      <c r="B455" s="117" t="s">
        <v>441</v>
      </c>
      <c r="C455" s="116" t="s">
        <v>144</v>
      </c>
      <c r="D455" s="116">
        <v>1.8959999999999999</v>
      </c>
      <c r="E455" s="108">
        <v>1.8959999999999999</v>
      </c>
      <c r="F455" s="156"/>
      <c r="G455" s="156">
        <f t="shared" si="60"/>
        <v>1.8959999999999999</v>
      </c>
      <c r="H455" s="122">
        <v>1360436.3459816109</v>
      </c>
      <c r="I455" s="122"/>
      <c r="J455" s="122">
        <f t="shared" si="57"/>
        <v>2579387.3119811341</v>
      </c>
      <c r="K455" s="122">
        <f t="shared" si="58"/>
        <v>0</v>
      </c>
      <c r="L455" s="122">
        <f t="shared" si="59"/>
        <v>2579387.3119811341</v>
      </c>
    </row>
    <row r="456" spans="1:12">
      <c r="A456" s="114">
        <v>56</v>
      </c>
      <c r="B456" s="117" t="s">
        <v>442</v>
      </c>
      <c r="C456" s="116" t="s">
        <v>146</v>
      </c>
      <c r="D456" s="116">
        <v>4.2000000000000003E-2</v>
      </c>
      <c r="E456" s="108">
        <v>4.2000000000000003E-2</v>
      </c>
      <c r="F456" s="156"/>
      <c r="G456" s="156">
        <f t="shared" si="60"/>
        <v>4.2000000000000003E-2</v>
      </c>
      <c r="H456" s="122">
        <v>20380624.265171286</v>
      </c>
      <c r="I456" s="122"/>
      <c r="J456" s="122">
        <f t="shared" si="57"/>
        <v>855986.2191371941</v>
      </c>
      <c r="K456" s="122">
        <f t="shared" si="58"/>
        <v>0</v>
      </c>
      <c r="L456" s="122">
        <f t="shared" si="59"/>
        <v>855986.2191371941</v>
      </c>
    </row>
    <row r="457" spans="1:12">
      <c r="A457" s="114">
        <v>57</v>
      </c>
      <c r="B457" s="117" t="s">
        <v>443</v>
      </c>
      <c r="C457" s="116" t="s">
        <v>146</v>
      </c>
      <c r="D457" s="116">
        <v>7.6999999999999999E-2</v>
      </c>
      <c r="E457" s="108">
        <v>7.6999999999999999E-2</v>
      </c>
      <c r="F457" s="156"/>
      <c r="G457" s="156">
        <f t="shared" si="60"/>
        <v>7.6999999999999999E-2</v>
      </c>
      <c r="H457" s="122">
        <v>20468933.139186095</v>
      </c>
      <c r="I457" s="122"/>
      <c r="J457" s="122">
        <f t="shared" si="57"/>
        <v>1576107.8517173294</v>
      </c>
      <c r="K457" s="122">
        <f t="shared" si="58"/>
        <v>0</v>
      </c>
      <c r="L457" s="122">
        <f t="shared" si="59"/>
        <v>1576107.8517173294</v>
      </c>
    </row>
    <row r="458" spans="1:12">
      <c r="A458" s="114">
        <v>58</v>
      </c>
      <c r="B458" s="117" t="s">
        <v>444</v>
      </c>
      <c r="C458" s="116" t="s">
        <v>149</v>
      </c>
      <c r="D458" s="116">
        <v>0.17</v>
      </c>
      <c r="E458" s="108">
        <v>0.17</v>
      </c>
      <c r="F458" s="156"/>
      <c r="G458" s="156">
        <f t="shared" si="60"/>
        <v>0.17</v>
      </c>
      <c r="H458" s="122">
        <v>5813935.4808997139</v>
      </c>
      <c r="I458" s="122"/>
      <c r="J458" s="122">
        <f t="shared" si="57"/>
        <v>988369.03175295144</v>
      </c>
      <c r="K458" s="122">
        <f t="shared" si="58"/>
        <v>0</v>
      </c>
      <c r="L458" s="122">
        <f t="shared" si="59"/>
        <v>988369.03175295144</v>
      </c>
    </row>
    <row r="459" spans="1:12">
      <c r="A459" s="114"/>
      <c r="B459" s="115" t="s">
        <v>435</v>
      </c>
      <c r="C459" s="116"/>
      <c r="D459" s="116"/>
      <c r="E459" s="108"/>
      <c r="F459" s="156"/>
      <c r="G459" s="156">
        <f t="shared" si="60"/>
        <v>0</v>
      </c>
      <c r="H459" s="122"/>
      <c r="I459" s="122"/>
      <c r="J459" s="122">
        <f t="shared" si="57"/>
        <v>0</v>
      </c>
      <c r="K459" s="122">
        <f t="shared" si="58"/>
        <v>0</v>
      </c>
      <c r="L459" s="122">
        <f t="shared" si="59"/>
        <v>0</v>
      </c>
    </row>
    <row r="460" spans="1:12">
      <c r="A460" s="114">
        <v>59</v>
      </c>
      <c r="B460" s="117" t="s">
        <v>436</v>
      </c>
      <c r="C460" s="116" t="s">
        <v>144</v>
      </c>
      <c r="D460" s="116">
        <v>0.49199999999999999</v>
      </c>
      <c r="E460" s="108">
        <v>0.49199999999999999</v>
      </c>
      <c r="F460" s="156"/>
      <c r="G460" s="156">
        <f t="shared" si="60"/>
        <v>0.49199999999999999</v>
      </c>
      <c r="H460" s="122">
        <v>1566516.638610963</v>
      </c>
      <c r="I460" s="122"/>
      <c r="J460" s="122">
        <f t="shared" ref="J460:J523" si="61">+E460*MAX(H460:I460)</f>
        <v>770726.1861965938</v>
      </c>
      <c r="K460" s="122">
        <f t="shared" ref="K460:K523" si="62">+F460*MAX(H460:I460)</f>
        <v>0</v>
      </c>
      <c r="L460" s="122">
        <f t="shared" ref="L460:L523" si="63">+G460*MAX(H460:I460)</f>
        <v>770726.1861965938</v>
      </c>
    </row>
    <row r="461" spans="1:12">
      <c r="A461" s="114">
        <v>60</v>
      </c>
      <c r="B461" s="117" t="s">
        <v>437</v>
      </c>
      <c r="C461" s="116" t="s">
        <v>146</v>
      </c>
      <c r="D461" s="116">
        <v>2.9000000000000001E-2</v>
      </c>
      <c r="E461" s="108">
        <v>2.9000000000000001E-2</v>
      </c>
      <c r="F461" s="156"/>
      <c r="G461" s="156">
        <f t="shared" si="60"/>
        <v>2.9000000000000001E-2</v>
      </c>
      <c r="H461" s="122">
        <v>23146185.931862913</v>
      </c>
      <c r="I461" s="122"/>
      <c r="J461" s="122">
        <f t="shared" si="61"/>
        <v>671239.39202402451</v>
      </c>
      <c r="K461" s="122">
        <f t="shared" si="62"/>
        <v>0</v>
      </c>
      <c r="L461" s="122">
        <f t="shared" si="63"/>
        <v>671239.39202402451</v>
      </c>
    </row>
    <row r="462" spans="1:12">
      <c r="A462" s="114">
        <v>61</v>
      </c>
      <c r="B462" s="117" t="s">
        <v>438</v>
      </c>
      <c r="C462" s="116" t="s">
        <v>146</v>
      </c>
      <c r="D462" s="116">
        <v>2.5999999999999999E-2</v>
      </c>
      <c r="E462" s="108">
        <v>2.5999999999999999E-2</v>
      </c>
      <c r="F462" s="156"/>
      <c r="G462" s="156">
        <f t="shared" si="60"/>
        <v>2.5999999999999999E-2</v>
      </c>
      <c r="H462" s="122">
        <v>22170915.161945313</v>
      </c>
      <c r="I462" s="122"/>
      <c r="J462" s="122">
        <f t="shared" si="61"/>
        <v>576443.79421057808</v>
      </c>
      <c r="K462" s="122">
        <f t="shared" si="62"/>
        <v>0</v>
      </c>
      <c r="L462" s="122">
        <f t="shared" si="63"/>
        <v>576443.79421057808</v>
      </c>
    </row>
    <row r="463" spans="1:12">
      <c r="A463" s="114">
        <v>62</v>
      </c>
      <c r="B463" s="117" t="s">
        <v>337</v>
      </c>
      <c r="C463" s="116" t="s">
        <v>149</v>
      </c>
      <c r="D463" s="116">
        <v>0.106</v>
      </c>
      <c r="E463" s="108">
        <v>0.106</v>
      </c>
      <c r="F463" s="156"/>
      <c r="G463" s="156">
        <f t="shared" si="60"/>
        <v>0.106</v>
      </c>
      <c r="H463" s="122">
        <v>8046781.7858471721</v>
      </c>
      <c r="I463" s="122"/>
      <c r="J463" s="122">
        <f t="shared" si="61"/>
        <v>852958.86929980025</v>
      </c>
      <c r="K463" s="122">
        <f t="shared" si="62"/>
        <v>0</v>
      </c>
      <c r="L463" s="122">
        <f t="shared" si="63"/>
        <v>852958.86929980025</v>
      </c>
    </row>
    <row r="464" spans="1:12">
      <c r="A464" s="114">
        <v>63</v>
      </c>
      <c r="B464" s="117" t="s">
        <v>439</v>
      </c>
      <c r="C464" s="116" t="s">
        <v>392</v>
      </c>
      <c r="D464" s="116">
        <v>4</v>
      </c>
      <c r="E464" s="108">
        <v>4</v>
      </c>
      <c r="F464" s="156"/>
      <c r="G464" s="156">
        <f t="shared" si="60"/>
        <v>4</v>
      </c>
      <c r="H464" s="122">
        <v>32899.991206105726</v>
      </c>
      <c r="I464" s="122"/>
      <c r="J464" s="122">
        <f t="shared" si="61"/>
        <v>131599.9648244229</v>
      </c>
      <c r="K464" s="122">
        <f t="shared" si="62"/>
        <v>0</v>
      </c>
      <c r="L464" s="122">
        <f t="shared" si="63"/>
        <v>131599.9648244229</v>
      </c>
    </row>
    <row r="465" spans="1:12">
      <c r="A465" s="114"/>
      <c r="B465" s="115" t="s">
        <v>448</v>
      </c>
      <c r="C465" s="116"/>
      <c r="D465" s="116"/>
      <c r="E465" s="108"/>
      <c r="F465" s="156"/>
      <c r="G465" s="156">
        <f t="shared" si="60"/>
        <v>0</v>
      </c>
      <c r="H465" s="122">
        <v>0</v>
      </c>
      <c r="I465" s="122"/>
      <c r="J465" s="122">
        <f t="shared" si="61"/>
        <v>0</v>
      </c>
      <c r="K465" s="122">
        <f t="shared" si="62"/>
        <v>0</v>
      </c>
      <c r="L465" s="122">
        <f t="shared" si="63"/>
        <v>0</v>
      </c>
    </row>
    <row r="466" spans="1:12">
      <c r="A466" s="114">
        <v>64</v>
      </c>
      <c r="B466" s="117" t="s">
        <v>449</v>
      </c>
      <c r="C466" s="116" t="s">
        <v>25</v>
      </c>
      <c r="D466" s="116">
        <v>132</v>
      </c>
      <c r="E466" s="108">
        <v>132</v>
      </c>
      <c r="F466" s="156"/>
      <c r="G466" s="156">
        <f t="shared" si="60"/>
        <v>132</v>
      </c>
      <c r="H466" s="122">
        <v>92848.809690623995</v>
      </c>
      <c r="I466" s="122"/>
      <c r="J466" s="122">
        <f t="shared" si="61"/>
        <v>12256042.879162367</v>
      </c>
      <c r="K466" s="122">
        <f t="shared" si="62"/>
        <v>0</v>
      </c>
      <c r="L466" s="122">
        <f t="shared" si="63"/>
        <v>12256042.879162367</v>
      </c>
    </row>
    <row r="467" spans="1:12">
      <c r="A467" s="114">
        <v>65</v>
      </c>
      <c r="B467" s="117" t="s">
        <v>450</v>
      </c>
      <c r="C467" s="116" t="s">
        <v>25</v>
      </c>
      <c r="D467" s="116">
        <v>1</v>
      </c>
      <c r="E467" s="108">
        <v>1</v>
      </c>
      <c r="F467" s="156"/>
      <c r="G467" s="156">
        <f t="shared" si="60"/>
        <v>1</v>
      </c>
      <c r="H467" s="122">
        <v>655989.93173367123</v>
      </c>
      <c r="I467" s="122"/>
      <c r="J467" s="122">
        <f t="shared" si="61"/>
        <v>655989.93173367123</v>
      </c>
      <c r="K467" s="122">
        <f t="shared" si="62"/>
        <v>0</v>
      </c>
      <c r="L467" s="122">
        <f t="shared" si="63"/>
        <v>655989.93173367123</v>
      </c>
    </row>
    <row r="468" spans="1:12">
      <c r="A468" s="114">
        <v>66</v>
      </c>
      <c r="B468" s="117" t="s">
        <v>451</v>
      </c>
      <c r="C468" s="116" t="s">
        <v>25</v>
      </c>
      <c r="D468" s="116">
        <v>11</v>
      </c>
      <c r="E468" s="108">
        <v>11</v>
      </c>
      <c r="F468" s="156"/>
      <c r="G468" s="156">
        <f t="shared" si="60"/>
        <v>11</v>
      </c>
      <c r="H468" s="122">
        <v>92848.809690623995</v>
      </c>
      <c r="I468" s="122"/>
      <c r="J468" s="122">
        <f t="shared" si="61"/>
        <v>1021336.906596864</v>
      </c>
      <c r="K468" s="122">
        <f t="shared" si="62"/>
        <v>0</v>
      </c>
      <c r="L468" s="122">
        <f t="shared" si="63"/>
        <v>1021336.906596864</v>
      </c>
    </row>
    <row r="469" spans="1:12">
      <c r="A469" s="114">
        <v>67</v>
      </c>
      <c r="B469" s="117" t="s">
        <v>452</v>
      </c>
      <c r="C469" s="116" t="s">
        <v>149</v>
      </c>
      <c r="D469" s="116">
        <v>5.0000000000000001E-3</v>
      </c>
      <c r="E469" s="108">
        <v>5.0000000000000001E-3</v>
      </c>
      <c r="F469" s="156"/>
      <c r="G469" s="156">
        <f t="shared" si="60"/>
        <v>5.0000000000000001E-3</v>
      </c>
      <c r="H469" s="122">
        <v>691968.00698145432</v>
      </c>
      <c r="I469" s="122"/>
      <c r="J469" s="122">
        <f t="shared" si="61"/>
        <v>3459.8400349072717</v>
      </c>
      <c r="K469" s="122">
        <f t="shared" si="62"/>
        <v>0</v>
      </c>
      <c r="L469" s="122">
        <f t="shared" si="63"/>
        <v>3459.8400349072717</v>
      </c>
    </row>
    <row r="470" spans="1:12">
      <c r="A470" s="114">
        <v>68</v>
      </c>
      <c r="B470" s="117" t="s">
        <v>453</v>
      </c>
      <c r="C470" s="116" t="s">
        <v>25</v>
      </c>
      <c r="D470" s="116">
        <v>286</v>
      </c>
      <c r="E470" s="108">
        <v>286</v>
      </c>
      <c r="F470" s="156"/>
      <c r="G470" s="156">
        <f t="shared" si="60"/>
        <v>286</v>
      </c>
      <c r="H470" s="122">
        <v>14416.000145446964</v>
      </c>
      <c r="I470" s="122"/>
      <c r="J470" s="122">
        <f t="shared" si="61"/>
        <v>4122976.0415978315</v>
      </c>
      <c r="K470" s="122">
        <f t="shared" si="62"/>
        <v>0</v>
      </c>
      <c r="L470" s="122">
        <f t="shared" si="63"/>
        <v>4122976.0415978315</v>
      </c>
    </row>
    <row r="471" spans="1:12">
      <c r="A471" s="114"/>
      <c r="B471" s="115" t="s">
        <v>454</v>
      </c>
      <c r="C471" s="116"/>
      <c r="D471" s="116"/>
      <c r="E471" s="108"/>
      <c r="F471" s="156"/>
      <c r="G471" s="156">
        <f t="shared" si="60"/>
        <v>0</v>
      </c>
      <c r="H471" s="122">
        <v>0</v>
      </c>
      <c r="I471" s="122"/>
      <c r="J471" s="122">
        <f t="shared" si="61"/>
        <v>0</v>
      </c>
      <c r="K471" s="122">
        <f t="shared" si="62"/>
        <v>0</v>
      </c>
      <c r="L471" s="122">
        <f t="shared" si="63"/>
        <v>0</v>
      </c>
    </row>
    <row r="472" spans="1:12">
      <c r="A472" s="114">
        <v>69</v>
      </c>
      <c r="B472" s="117" t="s">
        <v>455</v>
      </c>
      <c r="C472" s="116" t="s">
        <v>145</v>
      </c>
      <c r="D472" s="116">
        <v>3.3000000000000002E-2</v>
      </c>
      <c r="E472" s="108">
        <v>3.3000000000000002E-2</v>
      </c>
      <c r="F472" s="156"/>
      <c r="G472" s="156">
        <f t="shared" si="60"/>
        <v>3.3000000000000002E-2</v>
      </c>
      <c r="H472" s="122">
        <v>2674801.7921658657</v>
      </c>
      <c r="I472" s="122"/>
      <c r="J472" s="122">
        <f t="shared" si="61"/>
        <v>88268.459141473577</v>
      </c>
      <c r="K472" s="122">
        <f t="shared" si="62"/>
        <v>0</v>
      </c>
      <c r="L472" s="122">
        <f t="shared" si="63"/>
        <v>88268.459141473577</v>
      </c>
    </row>
    <row r="473" spans="1:12">
      <c r="A473" s="114">
        <v>70</v>
      </c>
      <c r="B473" s="117" t="s">
        <v>456</v>
      </c>
      <c r="C473" s="116" t="s">
        <v>144</v>
      </c>
      <c r="D473" s="116">
        <v>7.6740000000000004</v>
      </c>
      <c r="E473" s="108">
        <v>7.6740000000000004</v>
      </c>
      <c r="F473" s="156"/>
      <c r="G473" s="156">
        <f t="shared" si="60"/>
        <v>7.6740000000000004</v>
      </c>
      <c r="H473" s="122">
        <v>1227680.8124220343</v>
      </c>
      <c r="I473" s="122"/>
      <c r="J473" s="122">
        <f t="shared" si="61"/>
        <v>9421222.5545266923</v>
      </c>
      <c r="K473" s="122">
        <f t="shared" si="62"/>
        <v>0</v>
      </c>
      <c r="L473" s="122">
        <f t="shared" si="63"/>
        <v>9421222.5545266923</v>
      </c>
    </row>
    <row r="474" spans="1:12">
      <c r="A474" s="114">
        <v>71</v>
      </c>
      <c r="B474" s="117" t="s">
        <v>457</v>
      </c>
      <c r="C474" s="116" t="s">
        <v>25</v>
      </c>
      <c r="D474" s="116">
        <v>3</v>
      </c>
      <c r="E474" s="108">
        <v>3</v>
      </c>
      <c r="F474" s="156"/>
      <c r="G474" s="156">
        <f t="shared" si="60"/>
        <v>3</v>
      </c>
      <c r="H474" s="122">
        <v>205128.20112955564</v>
      </c>
      <c r="I474" s="122"/>
      <c r="J474" s="122">
        <f t="shared" si="61"/>
        <v>615384.60338866687</v>
      </c>
      <c r="K474" s="122">
        <f t="shared" si="62"/>
        <v>0</v>
      </c>
      <c r="L474" s="122">
        <f t="shared" si="63"/>
        <v>615384.60338866687</v>
      </c>
    </row>
    <row r="475" spans="1:12">
      <c r="A475" s="114">
        <v>72</v>
      </c>
      <c r="B475" s="117" t="s">
        <v>458</v>
      </c>
      <c r="C475" s="116" t="s">
        <v>25</v>
      </c>
      <c r="D475" s="116">
        <v>6</v>
      </c>
      <c r="E475" s="108">
        <v>6</v>
      </c>
      <c r="F475" s="156"/>
      <c r="G475" s="156">
        <f t="shared" si="60"/>
        <v>6</v>
      </c>
      <c r="H475" s="122">
        <v>182154.86329777134</v>
      </c>
      <c r="I475" s="122"/>
      <c r="J475" s="122">
        <f t="shared" si="61"/>
        <v>1092929.1797866281</v>
      </c>
      <c r="K475" s="122">
        <f t="shared" si="62"/>
        <v>0</v>
      </c>
      <c r="L475" s="122">
        <f t="shared" si="63"/>
        <v>1092929.1797866281</v>
      </c>
    </row>
    <row r="476" spans="1:12">
      <c r="A476" s="114">
        <v>73</v>
      </c>
      <c r="B476" s="117" t="s">
        <v>459</v>
      </c>
      <c r="C476" s="116" t="s">
        <v>5</v>
      </c>
      <c r="D476" s="116">
        <v>30.6</v>
      </c>
      <c r="E476" s="108">
        <v>30.6</v>
      </c>
      <c r="F476" s="156"/>
      <c r="G476" s="156">
        <f t="shared" si="60"/>
        <v>30.6</v>
      </c>
      <c r="H476" s="122">
        <v>232962.56235042296</v>
      </c>
      <c r="I476" s="122"/>
      <c r="J476" s="122">
        <f t="shared" si="61"/>
        <v>7128654.4079229431</v>
      </c>
      <c r="K476" s="122">
        <f t="shared" si="62"/>
        <v>0</v>
      </c>
      <c r="L476" s="122">
        <f t="shared" si="63"/>
        <v>7128654.4079229431</v>
      </c>
    </row>
    <row r="477" spans="1:12">
      <c r="A477" s="114">
        <v>74</v>
      </c>
      <c r="B477" s="117" t="s">
        <v>460</v>
      </c>
      <c r="C477" s="116" t="s">
        <v>25</v>
      </c>
      <c r="D477" s="116">
        <v>3</v>
      </c>
      <c r="E477" s="108">
        <v>3</v>
      </c>
      <c r="F477" s="156"/>
      <c r="G477" s="156">
        <f t="shared" si="60"/>
        <v>3</v>
      </c>
      <c r="H477" s="122">
        <v>449779.20453794528</v>
      </c>
      <c r="I477" s="122"/>
      <c r="J477" s="122">
        <f t="shared" si="61"/>
        <v>1349337.6136138358</v>
      </c>
      <c r="K477" s="122">
        <f t="shared" si="62"/>
        <v>0</v>
      </c>
      <c r="L477" s="122">
        <f t="shared" si="63"/>
        <v>1349337.6136138358</v>
      </c>
    </row>
    <row r="478" spans="1:12">
      <c r="A478" s="114">
        <v>75</v>
      </c>
      <c r="B478" s="117" t="s">
        <v>461</v>
      </c>
      <c r="C478" s="116" t="s">
        <v>25</v>
      </c>
      <c r="D478" s="116">
        <v>3</v>
      </c>
      <c r="E478" s="108">
        <v>3</v>
      </c>
      <c r="F478" s="156"/>
      <c r="G478" s="156">
        <f t="shared" si="60"/>
        <v>3</v>
      </c>
      <c r="H478" s="122">
        <v>2047072.020653469</v>
      </c>
      <c r="I478" s="122"/>
      <c r="J478" s="122">
        <f t="shared" si="61"/>
        <v>6141216.0619604066</v>
      </c>
      <c r="K478" s="122">
        <f t="shared" si="62"/>
        <v>0</v>
      </c>
      <c r="L478" s="122">
        <f t="shared" si="63"/>
        <v>6141216.0619604066</v>
      </c>
    </row>
    <row r="479" spans="1:12">
      <c r="A479" s="114"/>
      <c r="B479" s="115" t="s">
        <v>462</v>
      </c>
      <c r="C479" s="116"/>
      <c r="D479" s="116"/>
      <c r="E479" s="108"/>
      <c r="F479" s="156"/>
      <c r="G479" s="156">
        <f t="shared" si="60"/>
        <v>0</v>
      </c>
      <c r="H479" s="122"/>
      <c r="I479" s="122"/>
      <c r="J479" s="122">
        <f t="shared" si="61"/>
        <v>0</v>
      </c>
      <c r="K479" s="122">
        <f t="shared" si="62"/>
        <v>0</v>
      </c>
      <c r="L479" s="122">
        <f t="shared" si="63"/>
        <v>0</v>
      </c>
    </row>
    <row r="480" spans="1:12">
      <c r="A480" s="114">
        <v>76</v>
      </c>
      <c r="B480" s="117" t="s">
        <v>352</v>
      </c>
      <c r="C480" s="116" t="s">
        <v>148</v>
      </c>
      <c r="D480" s="116">
        <v>657.64300000000003</v>
      </c>
      <c r="E480" s="108">
        <v>657.64300000000003</v>
      </c>
      <c r="F480" s="156"/>
      <c r="G480" s="156">
        <f t="shared" si="60"/>
        <v>657.64300000000003</v>
      </c>
      <c r="H480" s="122">
        <v>327419.57196561596</v>
      </c>
      <c r="I480" s="122"/>
      <c r="J480" s="122">
        <f t="shared" si="61"/>
        <v>215325189.5661836</v>
      </c>
      <c r="K480" s="122">
        <f t="shared" si="62"/>
        <v>0</v>
      </c>
      <c r="L480" s="122">
        <f t="shared" si="63"/>
        <v>215325189.5661836</v>
      </c>
    </row>
    <row r="481" spans="1:12">
      <c r="A481" s="114">
        <v>77</v>
      </c>
      <c r="B481" s="117" t="s">
        <v>463</v>
      </c>
      <c r="C481" s="116" t="s">
        <v>148</v>
      </c>
      <c r="D481" s="116">
        <v>37.799999999999997</v>
      </c>
      <c r="E481" s="108">
        <v>37.799999999999997</v>
      </c>
      <c r="F481" s="156"/>
      <c r="G481" s="156">
        <f t="shared" si="60"/>
        <v>37.799999999999997</v>
      </c>
      <c r="H481" s="122">
        <v>654839.14393123193</v>
      </c>
      <c r="I481" s="122"/>
      <c r="J481" s="122">
        <f t="shared" si="61"/>
        <v>24752919.640600566</v>
      </c>
      <c r="K481" s="122">
        <f t="shared" si="62"/>
        <v>0</v>
      </c>
      <c r="L481" s="122">
        <f t="shared" si="63"/>
        <v>24752919.640600566</v>
      </c>
    </row>
    <row r="482" spans="1:12">
      <c r="A482" s="114"/>
      <c r="B482" s="115" t="s">
        <v>464</v>
      </c>
      <c r="C482" s="116"/>
      <c r="D482" s="116"/>
      <c r="E482" s="108"/>
      <c r="F482" s="156"/>
      <c r="G482" s="156">
        <f t="shared" si="60"/>
        <v>0</v>
      </c>
      <c r="H482" s="122"/>
      <c r="I482" s="122"/>
      <c r="J482" s="122">
        <f t="shared" si="61"/>
        <v>0</v>
      </c>
      <c r="K482" s="122">
        <f t="shared" si="62"/>
        <v>0</v>
      </c>
      <c r="L482" s="122">
        <f t="shared" si="63"/>
        <v>0</v>
      </c>
    </row>
    <row r="483" spans="1:12">
      <c r="A483" s="114">
        <v>78</v>
      </c>
      <c r="B483" s="117" t="s">
        <v>515</v>
      </c>
      <c r="C483" s="116" t="s">
        <v>145</v>
      </c>
      <c r="D483" s="116">
        <v>4.3999999999999997E-2</v>
      </c>
      <c r="E483" s="108">
        <v>4.3999999999999997E-2</v>
      </c>
      <c r="F483" s="156"/>
      <c r="G483" s="156">
        <f t="shared" si="60"/>
        <v>4.3999999999999997E-2</v>
      </c>
      <c r="H483" s="122">
        <v>2674801.7921658657</v>
      </c>
      <c r="I483" s="122"/>
      <c r="J483" s="122">
        <f t="shared" si="61"/>
        <v>117691.27885529808</v>
      </c>
      <c r="K483" s="122">
        <f t="shared" si="62"/>
        <v>0</v>
      </c>
      <c r="L483" s="122">
        <f t="shared" si="63"/>
        <v>117691.27885529808</v>
      </c>
    </row>
    <row r="484" spans="1:12">
      <c r="A484" s="114">
        <v>79</v>
      </c>
      <c r="B484" s="117" t="s">
        <v>516</v>
      </c>
      <c r="C484" s="116" t="s">
        <v>145</v>
      </c>
      <c r="D484" s="116">
        <v>3.6999999999999998E-2</v>
      </c>
      <c r="E484" s="108">
        <v>3.6999999999999998E-2</v>
      </c>
      <c r="F484" s="156"/>
      <c r="G484" s="156">
        <f t="shared" si="60"/>
        <v>3.6999999999999998E-2</v>
      </c>
      <c r="H484" s="122">
        <v>3387145.2779199071</v>
      </c>
      <c r="I484" s="122"/>
      <c r="J484" s="122">
        <f t="shared" si="61"/>
        <v>125324.37528303656</v>
      </c>
      <c r="K484" s="122">
        <f t="shared" si="62"/>
        <v>0</v>
      </c>
      <c r="L484" s="122">
        <f t="shared" si="63"/>
        <v>125324.37528303656</v>
      </c>
    </row>
    <row r="485" spans="1:12">
      <c r="A485" s="114">
        <v>80</v>
      </c>
      <c r="B485" s="117" t="s">
        <v>465</v>
      </c>
      <c r="C485" s="116" t="s">
        <v>144</v>
      </c>
      <c r="D485" s="116">
        <v>0.78300000000000003</v>
      </c>
      <c r="E485" s="108">
        <v>0.78300000000000003</v>
      </c>
      <c r="F485" s="156"/>
      <c r="G485" s="156">
        <f t="shared" si="60"/>
        <v>0.78300000000000003</v>
      </c>
      <c r="H485" s="122">
        <v>1136557.5401075627</v>
      </c>
      <c r="I485" s="122"/>
      <c r="J485" s="122">
        <f t="shared" si="61"/>
        <v>889924.55390422163</v>
      </c>
      <c r="K485" s="122">
        <f t="shared" si="62"/>
        <v>0</v>
      </c>
      <c r="L485" s="122">
        <f t="shared" si="63"/>
        <v>889924.55390422163</v>
      </c>
    </row>
    <row r="486" spans="1:12">
      <c r="A486" s="114">
        <v>81</v>
      </c>
      <c r="B486" s="117" t="s">
        <v>466</v>
      </c>
      <c r="C486" s="116" t="s">
        <v>144</v>
      </c>
      <c r="D486" s="116">
        <v>0.78300000000000003</v>
      </c>
      <c r="E486" s="108">
        <v>0.78300000000000003</v>
      </c>
      <c r="F486" s="156"/>
      <c r="G486" s="156">
        <f t="shared" si="60"/>
        <v>0.78300000000000003</v>
      </c>
      <c r="H486" s="122">
        <v>1293675.19750221</v>
      </c>
      <c r="I486" s="122"/>
      <c r="J486" s="122">
        <f t="shared" si="61"/>
        <v>1012947.6796442305</v>
      </c>
      <c r="K486" s="122">
        <f t="shared" si="62"/>
        <v>0</v>
      </c>
      <c r="L486" s="122">
        <f t="shared" si="63"/>
        <v>1012947.6796442305</v>
      </c>
    </row>
    <row r="487" spans="1:12">
      <c r="A487" s="114">
        <v>82</v>
      </c>
      <c r="B487" s="117" t="s">
        <v>467</v>
      </c>
      <c r="C487" s="116" t="s">
        <v>146</v>
      </c>
      <c r="D487" s="116">
        <v>2E-3</v>
      </c>
      <c r="E487" s="108">
        <v>2E-3</v>
      </c>
      <c r="F487" s="156"/>
      <c r="G487" s="156">
        <f t="shared" si="60"/>
        <v>2E-3</v>
      </c>
      <c r="H487" s="122">
        <v>20380624.265171286</v>
      </c>
      <c r="I487" s="122"/>
      <c r="J487" s="122">
        <f t="shared" si="61"/>
        <v>40761.248530342571</v>
      </c>
      <c r="K487" s="122">
        <f t="shared" si="62"/>
        <v>0</v>
      </c>
      <c r="L487" s="122">
        <f t="shared" si="63"/>
        <v>40761.248530342571</v>
      </c>
    </row>
    <row r="488" spans="1:12">
      <c r="A488" s="114">
        <v>83</v>
      </c>
      <c r="B488" s="117" t="s">
        <v>468</v>
      </c>
      <c r="C488" s="116" t="s">
        <v>149</v>
      </c>
      <c r="D488" s="116">
        <v>0.05</v>
      </c>
      <c r="E488" s="108">
        <v>0.05</v>
      </c>
      <c r="F488" s="156"/>
      <c r="G488" s="156">
        <f t="shared" si="60"/>
        <v>0.05</v>
      </c>
      <c r="H488" s="122">
        <v>5813935.4808997139</v>
      </c>
      <c r="I488" s="122"/>
      <c r="J488" s="122">
        <f t="shared" si="61"/>
        <v>290696.77404498571</v>
      </c>
      <c r="K488" s="122">
        <f t="shared" si="62"/>
        <v>0</v>
      </c>
      <c r="L488" s="122">
        <f t="shared" si="63"/>
        <v>290696.77404498571</v>
      </c>
    </row>
    <row r="489" spans="1:12">
      <c r="A489" s="114">
        <v>84</v>
      </c>
      <c r="B489" s="117" t="s">
        <v>469</v>
      </c>
      <c r="C489" s="116" t="s">
        <v>24</v>
      </c>
      <c r="D489" s="116">
        <v>3</v>
      </c>
      <c r="E489" s="108">
        <v>3</v>
      </c>
      <c r="F489" s="156"/>
      <c r="G489" s="156">
        <f t="shared" si="60"/>
        <v>3</v>
      </c>
      <c r="H489" s="122">
        <v>2018240.0203625748</v>
      </c>
      <c r="I489" s="122"/>
      <c r="J489" s="122">
        <f t="shared" si="61"/>
        <v>6054720.0610877248</v>
      </c>
      <c r="K489" s="122">
        <f t="shared" si="62"/>
        <v>0</v>
      </c>
      <c r="L489" s="122">
        <f t="shared" si="63"/>
        <v>6054720.0610877248</v>
      </c>
    </row>
    <row r="490" spans="1:12">
      <c r="A490" s="114">
        <v>85</v>
      </c>
      <c r="B490" s="117" t="s">
        <v>470</v>
      </c>
      <c r="C490" s="116" t="s">
        <v>24</v>
      </c>
      <c r="D490" s="116">
        <v>3</v>
      </c>
      <c r="E490" s="108">
        <v>3</v>
      </c>
      <c r="F490" s="156"/>
      <c r="G490" s="156">
        <f t="shared" si="60"/>
        <v>3</v>
      </c>
      <c r="H490" s="122">
        <v>1291673.6130320481</v>
      </c>
      <c r="I490" s="122"/>
      <c r="J490" s="122">
        <f t="shared" si="61"/>
        <v>3875020.8390961443</v>
      </c>
      <c r="K490" s="122">
        <f t="shared" si="62"/>
        <v>0</v>
      </c>
      <c r="L490" s="122">
        <f t="shared" si="63"/>
        <v>3875020.8390961443</v>
      </c>
    </row>
    <row r="491" spans="1:12" ht="46.8">
      <c r="A491" s="114">
        <v>86</v>
      </c>
      <c r="B491" s="117" t="s">
        <v>471</v>
      </c>
      <c r="C491" s="116" t="s">
        <v>24</v>
      </c>
      <c r="D491" s="116">
        <v>3</v>
      </c>
      <c r="E491" s="108">
        <v>3</v>
      </c>
      <c r="F491" s="156"/>
      <c r="G491" s="156">
        <f t="shared" si="60"/>
        <v>3</v>
      </c>
      <c r="H491" s="122">
        <v>9802880.0989039354</v>
      </c>
      <c r="I491" s="122"/>
      <c r="J491" s="122">
        <f t="shared" si="61"/>
        <v>29408640.296711806</v>
      </c>
      <c r="K491" s="122">
        <f t="shared" si="62"/>
        <v>0</v>
      </c>
      <c r="L491" s="122">
        <f t="shared" si="63"/>
        <v>29408640.296711806</v>
      </c>
    </row>
    <row r="492" spans="1:12">
      <c r="A492" s="114">
        <v>87</v>
      </c>
      <c r="B492" s="117" t="s">
        <v>472</v>
      </c>
      <c r="C492" s="116" t="s">
        <v>24</v>
      </c>
      <c r="D492" s="116">
        <v>3</v>
      </c>
      <c r="E492" s="108">
        <v>3</v>
      </c>
      <c r="F492" s="156"/>
      <c r="G492" s="156">
        <f t="shared" si="60"/>
        <v>3</v>
      </c>
      <c r="H492" s="122">
        <v>1210944.0122175447</v>
      </c>
      <c r="I492" s="122"/>
      <c r="J492" s="122">
        <f t="shared" si="61"/>
        <v>3632832.0366526339</v>
      </c>
      <c r="K492" s="122">
        <f t="shared" si="62"/>
        <v>0</v>
      </c>
      <c r="L492" s="122">
        <f t="shared" si="63"/>
        <v>3632832.0366526339</v>
      </c>
    </row>
    <row r="493" spans="1:12">
      <c r="A493" s="114">
        <v>88</v>
      </c>
      <c r="B493" s="117" t="s">
        <v>473</v>
      </c>
      <c r="C493" s="116" t="s">
        <v>24</v>
      </c>
      <c r="D493" s="116">
        <v>3</v>
      </c>
      <c r="E493" s="108">
        <v>3</v>
      </c>
      <c r="F493" s="156"/>
      <c r="G493" s="156">
        <f t="shared" si="60"/>
        <v>3</v>
      </c>
      <c r="H493" s="122">
        <v>253721.60255986656</v>
      </c>
      <c r="I493" s="122"/>
      <c r="J493" s="122">
        <f t="shared" si="61"/>
        <v>761164.80767959962</v>
      </c>
      <c r="K493" s="122">
        <f t="shared" si="62"/>
        <v>0</v>
      </c>
      <c r="L493" s="122">
        <f t="shared" si="63"/>
        <v>761164.80767959962</v>
      </c>
    </row>
    <row r="494" spans="1:12">
      <c r="A494" s="114"/>
      <c r="B494" s="115" t="s">
        <v>474</v>
      </c>
      <c r="C494" s="116"/>
      <c r="D494" s="116"/>
      <c r="E494" s="108"/>
      <c r="F494" s="156"/>
      <c r="G494" s="156">
        <f t="shared" si="60"/>
        <v>0</v>
      </c>
      <c r="H494" s="122">
        <v>0</v>
      </c>
      <c r="I494" s="122"/>
      <c r="J494" s="122">
        <f t="shared" si="61"/>
        <v>0</v>
      </c>
      <c r="K494" s="122">
        <f t="shared" si="62"/>
        <v>0</v>
      </c>
      <c r="L494" s="122">
        <f t="shared" si="63"/>
        <v>0</v>
      </c>
    </row>
    <row r="495" spans="1:12">
      <c r="A495" s="114">
        <v>89</v>
      </c>
      <c r="B495" s="117" t="s">
        <v>475</v>
      </c>
      <c r="C495" s="116" t="s">
        <v>5</v>
      </c>
      <c r="D495" s="116">
        <v>92</v>
      </c>
      <c r="E495" s="108">
        <v>92</v>
      </c>
      <c r="F495" s="156"/>
      <c r="G495" s="156">
        <f t="shared" si="60"/>
        <v>92</v>
      </c>
      <c r="H495" s="122">
        <v>912244.4892038838</v>
      </c>
      <c r="I495" s="122"/>
      <c r="J495" s="122">
        <f t="shared" si="61"/>
        <v>83926493.006757304</v>
      </c>
      <c r="K495" s="122">
        <f t="shared" si="62"/>
        <v>0</v>
      </c>
      <c r="L495" s="122">
        <f t="shared" si="63"/>
        <v>83926493.006757304</v>
      </c>
    </row>
    <row r="496" spans="1:12">
      <c r="A496" s="114">
        <v>90</v>
      </c>
      <c r="B496" s="117" t="s">
        <v>476</v>
      </c>
      <c r="C496" s="116" t="s">
        <v>5</v>
      </c>
      <c r="D496" s="116">
        <v>92</v>
      </c>
      <c r="E496" s="108">
        <v>92</v>
      </c>
      <c r="F496" s="156"/>
      <c r="G496" s="156">
        <f t="shared" si="60"/>
        <v>92</v>
      </c>
      <c r="H496" s="122">
        <v>63430.40063996664</v>
      </c>
      <c r="I496" s="122"/>
      <c r="J496" s="122">
        <f t="shared" si="61"/>
        <v>5835596.8588769305</v>
      </c>
      <c r="K496" s="122">
        <f t="shared" si="62"/>
        <v>0</v>
      </c>
      <c r="L496" s="122">
        <f t="shared" si="63"/>
        <v>5835596.8588769305</v>
      </c>
    </row>
    <row r="497" spans="1:12">
      <c r="A497" s="113"/>
      <c r="B497" s="112" t="s">
        <v>477</v>
      </c>
      <c r="C497" s="111"/>
      <c r="D497" s="111"/>
      <c r="E497" s="108"/>
      <c r="F497" s="156"/>
      <c r="G497" s="156">
        <f t="shared" si="60"/>
        <v>0</v>
      </c>
      <c r="H497" s="122"/>
      <c r="I497" s="122"/>
      <c r="J497" s="122">
        <f t="shared" si="61"/>
        <v>0</v>
      </c>
      <c r="K497" s="122">
        <f t="shared" si="62"/>
        <v>0</v>
      </c>
      <c r="L497" s="122">
        <f t="shared" si="63"/>
        <v>0</v>
      </c>
    </row>
    <row r="498" spans="1:12">
      <c r="A498" s="114"/>
      <c r="B498" s="117" t="s">
        <v>478</v>
      </c>
      <c r="C498" s="116"/>
      <c r="D498" s="116"/>
      <c r="E498" s="108"/>
      <c r="F498" s="156"/>
      <c r="G498" s="156">
        <f t="shared" si="60"/>
        <v>0</v>
      </c>
      <c r="H498" s="122"/>
      <c r="I498" s="122"/>
      <c r="J498" s="122">
        <f t="shared" si="61"/>
        <v>0</v>
      </c>
      <c r="K498" s="122">
        <f t="shared" si="62"/>
        <v>0</v>
      </c>
      <c r="L498" s="122">
        <f t="shared" si="63"/>
        <v>0</v>
      </c>
    </row>
    <row r="499" spans="1:12">
      <c r="A499" s="114">
        <v>1</v>
      </c>
      <c r="B499" s="117" t="s">
        <v>529</v>
      </c>
      <c r="C499" s="116" t="s">
        <v>152</v>
      </c>
      <c r="D499" s="116">
        <v>12.005000000000001</v>
      </c>
      <c r="E499" s="108">
        <v>12.005000000000001</v>
      </c>
      <c r="F499" s="156"/>
      <c r="G499" s="156">
        <f t="shared" si="60"/>
        <v>12.005000000000001</v>
      </c>
      <c r="H499" s="122">
        <v>248494.77608793168</v>
      </c>
      <c r="I499" s="122"/>
      <c r="J499" s="122">
        <f t="shared" si="61"/>
        <v>2983179.78693562</v>
      </c>
      <c r="K499" s="122">
        <f t="shared" si="62"/>
        <v>0</v>
      </c>
      <c r="L499" s="122">
        <f t="shared" si="63"/>
        <v>2983179.78693562</v>
      </c>
    </row>
    <row r="500" spans="1:12">
      <c r="A500" s="114">
        <v>2</v>
      </c>
      <c r="B500" s="117" t="s">
        <v>480</v>
      </c>
      <c r="C500" s="116" t="s">
        <v>145</v>
      </c>
      <c r="D500" s="116">
        <v>6.7290000000000001</v>
      </c>
      <c r="E500" s="108">
        <v>6.7290000000000001</v>
      </c>
      <c r="F500" s="156"/>
      <c r="G500" s="156">
        <f t="shared" si="60"/>
        <v>6.7290000000000001</v>
      </c>
      <c r="H500" s="122">
        <v>2214350.953738424</v>
      </c>
      <c r="I500" s="122"/>
      <c r="J500" s="122">
        <f t="shared" si="61"/>
        <v>14900367.567705855</v>
      </c>
      <c r="K500" s="122">
        <f t="shared" si="62"/>
        <v>0</v>
      </c>
      <c r="L500" s="122">
        <f t="shared" si="63"/>
        <v>14900367.567705855</v>
      </c>
    </row>
    <row r="501" spans="1:12">
      <c r="A501" s="114">
        <v>3</v>
      </c>
      <c r="B501" s="117" t="s">
        <v>425</v>
      </c>
      <c r="C501" s="116" t="s">
        <v>144</v>
      </c>
      <c r="D501" s="116">
        <v>13.867000000000001</v>
      </c>
      <c r="E501" s="108">
        <v>13.867000000000001</v>
      </c>
      <c r="F501" s="156"/>
      <c r="G501" s="156">
        <f t="shared" si="60"/>
        <v>13.867000000000001</v>
      </c>
      <c r="H501" s="122">
        <v>842210.9705639804</v>
      </c>
      <c r="I501" s="122"/>
      <c r="J501" s="122">
        <f t="shared" si="61"/>
        <v>11678939.528810717</v>
      </c>
      <c r="K501" s="122">
        <f t="shared" si="62"/>
        <v>0</v>
      </c>
      <c r="L501" s="122">
        <f t="shared" si="63"/>
        <v>11678939.528810717</v>
      </c>
    </row>
    <row r="502" spans="1:12">
      <c r="A502" s="114">
        <v>4</v>
      </c>
      <c r="B502" s="117" t="s">
        <v>481</v>
      </c>
      <c r="C502" s="116" t="s">
        <v>144</v>
      </c>
      <c r="D502" s="116">
        <v>2.774</v>
      </c>
      <c r="E502" s="108">
        <v>2.774</v>
      </c>
      <c r="F502" s="156"/>
      <c r="G502" s="156">
        <f t="shared" ref="G502:G565" si="64">+E502</f>
        <v>2.774</v>
      </c>
      <c r="H502" s="122">
        <v>1282781.8846939367</v>
      </c>
      <c r="I502" s="122"/>
      <c r="J502" s="122">
        <f t="shared" si="61"/>
        <v>3558436.9481409802</v>
      </c>
      <c r="K502" s="122">
        <f t="shared" si="62"/>
        <v>0</v>
      </c>
      <c r="L502" s="122">
        <f t="shared" si="63"/>
        <v>3558436.9481409802</v>
      </c>
    </row>
    <row r="503" spans="1:12">
      <c r="A503" s="114">
        <v>5</v>
      </c>
      <c r="B503" s="117" t="s">
        <v>482</v>
      </c>
      <c r="C503" s="116" t="s">
        <v>144</v>
      </c>
      <c r="D503" s="116">
        <v>37.119999999999997</v>
      </c>
      <c r="E503" s="108">
        <v>37.119999999999997</v>
      </c>
      <c r="F503" s="156"/>
      <c r="G503" s="156">
        <f t="shared" si="64"/>
        <v>37.119999999999997</v>
      </c>
      <c r="H503" s="122">
        <v>1293675.19750221</v>
      </c>
      <c r="I503" s="122"/>
      <c r="J503" s="122">
        <f t="shared" si="61"/>
        <v>48021223.331282035</v>
      </c>
      <c r="K503" s="122">
        <f t="shared" si="62"/>
        <v>0</v>
      </c>
      <c r="L503" s="122">
        <f t="shared" si="63"/>
        <v>48021223.331282035</v>
      </c>
    </row>
    <row r="504" spans="1:12" ht="31.2">
      <c r="A504" s="114">
        <v>6</v>
      </c>
      <c r="B504" s="117" t="s">
        <v>483</v>
      </c>
      <c r="C504" s="116" t="s">
        <v>144</v>
      </c>
      <c r="D504" s="116">
        <v>14.618</v>
      </c>
      <c r="E504" s="108">
        <v>14.618</v>
      </c>
      <c r="F504" s="156"/>
      <c r="G504" s="156">
        <f t="shared" si="64"/>
        <v>14.618</v>
      </c>
      <c r="H504" s="122">
        <v>1395510.0865053392</v>
      </c>
      <c r="I504" s="122"/>
      <c r="J504" s="122">
        <f t="shared" si="61"/>
        <v>20399566.444535051</v>
      </c>
      <c r="K504" s="122">
        <f t="shared" si="62"/>
        <v>0</v>
      </c>
      <c r="L504" s="122">
        <f t="shared" si="63"/>
        <v>20399566.444535051</v>
      </c>
    </row>
    <row r="505" spans="1:12">
      <c r="A505" s="114">
        <v>7</v>
      </c>
      <c r="B505" s="117" t="s">
        <v>530</v>
      </c>
      <c r="C505" s="116" t="s">
        <v>149</v>
      </c>
      <c r="D505" s="116">
        <v>0.67200000000000004</v>
      </c>
      <c r="E505" s="108">
        <v>0.67200000000000004</v>
      </c>
      <c r="F505" s="156"/>
      <c r="G505" s="156">
        <f t="shared" si="64"/>
        <v>0.67200000000000004</v>
      </c>
      <c r="H505" s="122">
        <v>5813935.4808997139</v>
      </c>
      <c r="I505" s="122"/>
      <c r="J505" s="122">
        <f t="shared" si="61"/>
        <v>3906964.6431646082</v>
      </c>
      <c r="K505" s="122">
        <f t="shared" si="62"/>
        <v>0</v>
      </c>
      <c r="L505" s="122">
        <f t="shared" si="63"/>
        <v>3906964.6431646082</v>
      </c>
    </row>
    <row r="506" spans="1:12">
      <c r="A506" s="114"/>
      <c r="B506" s="117" t="s">
        <v>484</v>
      </c>
      <c r="C506" s="116"/>
      <c r="D506" s="116"/>
      <c r="E506" s="108"/>
      <c r="F506" s="156"/>
      <c r="G506" s="156">
        <f t="shared" si="64"/>
        <v>0</v>
      </c>
      <c r="H506" s="122">
        <v>0</v>
      </c>
      <c r="I506" s="122"/>
      <c r="J506" s="122">
        <f t="shared" si="61"/>
        <v>0</v>
      </c>
      <c r="K506" s="122">
        <f t="shared" si="62"/>
        <v>0</v>
      </c>
      <c r="L506" s="122">
        <f t="shared" si="63"/>
        <v>0</v>
      </c>
    </row>
    <row r="507" spans="1:12" ht="31.2">
      <c r="A507" s="114">
        <v>8</v>
      </c>
      <c r="B507" s="117" t="s">
        <v>517</v>
      </c>
      <c r="C507" s="116" t="s">
        <v>144</v>
      </c>
      <c r="D507" s="116">
        <v>55.192999999999998</v>
      </c>
      <c r="E507" s="108">
        <v>66.612199999999987</v>
      </c>
      <c r="F507" s="156"/>
      <c r="G507" s="156">
        <f t="shared" si="64"/>
        <v>66.612199999999987</v>
      </c>
      <c r="H507" s="122">
        <v>1676231.0725214824</v>
      </c>
      <c r="I507" s="122"/>
      <c r="J507" s="122">
        <f t="shared" si="61"/>
        <v>111657439.44901547</v>
      </c>
      <c r="K507" s="122">
        <f t="shared" si="62"/>
        <v>0</v>
      </c>
      <c r="L507" s="122">
        <f t="shared" si="63"/>
        <v>111657439.44901547</v>
      </c>
    </row>
    <row r="508" spans="1:12">
      <c r="A508" s="114">
        <v>9</v>
      </c>
      <c r="B508" s="117" t="s">
        <v>486</v>
      </c>
      <c r="C508" s="116" t="s">
        <v>144</v>
      </c>
      <c r="D508" s="116">
        <v>7.68</v>
      </c>
      <c r="E508" s="108">
        <v>7.68</v>
      </c>
      <c r="F508" s="156"/>
      <c r="G508" s="156">
        <f t="shared" si="64"/>
        <v>7.68</v>
      </c>
      <c r="H508" s="122">
        <v>1874320.6727456823</v>
      </c>
      <c r="I508" s="122"/>
      <c r="J508" s="122">
        <f t="shared" si="61"/>
        <v>14394782.76668684</v>
      </c>
      <c r="K508" s="122">
        <f t="shared" si="62"/>
        <v>0</v>
      </c>
      <c r="L508" s="122">
        <f t="shared" si="63"/>
        <v>14394782.76668684</v>
      </c>
    </row>
    <row r="509" spans="1:12">
      <c r="A509" s="114">
        <v>10</v>
      </c>
      <c r="B509" s="117" t="s">
        <v>518</v>
      </c>
      <c r="C509" s="116" t="s">
        <v>144</v>
      </c>
      <c r="D509" s="116">
        <v>11.23</v>
      </c>
      <c r="E509" s="108">
        <v>11.23</v>
      </c>
      <c r="F509" s="156"/>
      <c r="G509" s="156">
        <f t="shared" si="64"/>
        <v>11.23</v>
      </c>
      <c r="H509" s="122">
        <v>1728209.6788338162</v>
      </c>
      <c r="I509" s="122"/>
      <c r="J509" s="122">
        <f t="shared" si="61"/>
        <v>19407794.693303756</v>
      </c>
      <c r="K509" s="122">
        <f t="shared" si="62"/>
        <v>0</v>
      </c>
      <c r="L509" s="122">
        <f t="shared" si="63"/>
        <v>19407794.693303756</v>
      </c>
    </row>
    <row r="510" spans="1:12">
      <c r="A510" s="114">
        <v>11</v>
      </c>
      <c r="B510" s="117" t="s">
        <v>576</v>
      </c>
      <c r="C510" s="116" t="s">
        <v>149</v>
      </c>
      <c r="D510" s="116">
        <v>2.2679999999999998</v>
      </c>
      <c r="E510" s="108">
        <v>2.2679999999999998</v>
      </c>
      <c r="F510" s="156"/>
      <c r="G510" s="156">
        <f t="shared" si="64"/>
        <v>2.2679999999999998</v>
      </c>
      <c r="H510" s="122">
        <v>15289428.573971221</v>
      </c>
      <c r="I510" s="122"/>
      <c r="J510" s="122">
        <f t="shared" si="61"/>
        <v>34676424.005766727</v>
      </c>
      <c r="K510" s="122">
        <f t="shared" si="62"/>
        <v>0</v>
      </c>
      <c r="L510" s="122">
        <f t="shared" si="63"/>
        <v>34676424.005766727</v>
      </c>
    </row>
    <row r="511" spans="1:12">
      <c r="A511" s="114">
        <v>12</v>
      </c>
      <c r="B511" s="117" t="s">
        <v>491</v>
      </c>
      <c r="C511" s="116" t="s">
        <v>149</v>
      </c>
      <c r="D511" s="116">
        <v>0.50600000000000001</v>
      </c>
      <c r="E511" s="108">
        <v>0.50600000000000001</v>
      </c>
      <c r="F511" s="156"/>
      <c r="G511" s="156">
        <f t="shared" si="64"/>
        <v>0.50600000000000001</v>
      </c>
      <c r="H511" s="122">
        <v>5813935.4808997139</v>
      </c>
      <c r="I511" s="122"/>
      <c r="J511" s="122">
        <f t="shared" si="61"/>
        <v>2941851.3533352553</v>
      </c>
      <c r="K511" s="122">
        <f t="shared" si="62"/>
        <v>0</v>
      </c>
      <c r="L511" s="122">
        <f t="shared" si="63"/>
        <v>2941851.3533352553</v>
      </c>
    </row>
    <row r="512" spans="1:12">
      <c r="A512" s="114">
        <v>13</v>
      </c>
      <c r="B512" s="117" t="s">
        <v>492</v>
      </c>
      <c r="C512" s="116" t="s">
        <v>149</v>
      </c>
      <c r="D512" s="116">
        <v>0.443</v>
      </c>
      <c r="E512" s="108">
        <v>0.443</v>
      </c>
      <c r="F512" s="156"/>
      <c r="G512" s="156">
        <f t="shared" si="64"/>
        <v>0.443</v>
      </c>
      <c r="H512" s="122">
        <v>9502406.2439821959</v>
      </c>
      <c r="I512" s="122"/>
      <c r="J512" s="122">
        <f t="shared" si="61"/>
        <v>4209565.9660841124</v>
      </c>
      <c r="K512" s="122">
        <f t="shared" si="62"/>
        <v>0</v>
      </c>
      <c r="L512" s="122">
        <f t="shared" si="63"/>
        <v>4209565.9660841124</v>
      </c>
    </row>
    <row r="513" spans="1:12">
      <c r="A513" s="114">
        <v>14</v>
      </c>
      <c r="B513" s="117" t="s">
        <v>487</v>
      </c>
      <c r="C513" s="116" t="s">
        <v>146</v>
      </c>
      <c r="D513" s="116">
        <v>0.60799999999999998</v>
      </c>
      <c r="E513" s="108">
        <v>0.60799999999999998</v>
      </c>
      <c r="F513" s="156"/>
      <c r="G513" s="156">
        <f t="shared" si="64"/>
        <v>0.60799999999999998</v>
      </c>
      <c r="H513" s="122">
        <v>23146185.931862913</v>
      </c>
      <c r="I513" s="122"/>
      <c r="J513" s="122">
        <f t="shared" si="61"/>
        <v>14072881.046572652</v>
      </c>
      <c r="K513" s="122">
        <f t="shared" si="62"/>
        <v>0</v>
      </c>
      <c r="L513" s="122">
        <f t="shared" si="63"/>
        <v>14072881.046572652</v>
      </c>
    </row>
    <row r="514" spans="1:12">
      <c r="A514" s="114">
        <v>15</v>
      </c>
      <c r="B514" s="117" t="s">
        <v>488</v>
      </c>
      <c r="C514" s="116" t="s">
        <v>146</v>
      </c>
      <c r="D514" s="116">
        <v>1.234</v>
      </c>
      <c r="E514" s="108">
        <v>3.7466399999999993</v>
      </c>
      <c r="F514" s="156"/>
      <c r="G514" s="156">
        <f t="shared" si="64"/>
        <v>3.7466399999999993</v>
      </c>
      <c r="H514" s="122">
        <v>22170915.161945313</v>
      </c>
      <c r="I514" s="122"/>
      <c r="J514" s="122">
        <f t="shared" si="61"/>
        <v>83066437.582350776</v>
      </c>
      <c r="K514" s="122">
        <f t="shared" si="62"/>
        <v>0</v>
      </c>
      <c r="L514" s="122">
        <f t="shared" si="63"/>
        <v>83066437.582350776</v>
      </c>
    </row>
    <row r="515" spans="1:12">
      <c r="A515" s="114">
        <v>16</v>
      </c>
      <c r="B515" s="117" t="s">
        <v>489</v>
      </c>
      <c r="C515" s="116" t="s">
        <v>146</v>
      </c>
      <c r="D515" s="116">
        <v>0.27900000000000003</v>
      </c>
      <c r="E515" s="108">
        <v>0.27900000000000003</v>
      </c>
      <c r="F515" s="156"/>
      <c r="G515" s="156">
        <f t="shared" si="64"/>
        <v>0.27900000000000003</v>
      </c>
      <c r="H515" s="122">
        <v>22100222.329982016</v>
      </c>
      <c r="I515" s="122"/>
      <c r="J515" s="122">
        <f t="shared" si="61"/>
        <v>6165962.0300649833</v>
      </c>
      <c r="K515" s="122">
        <f t="shared" si="62"/>
        <v>0</v>
      </c>
      <c r="L515" s="122">
        <f t="shared" si="63"/>
        <v>6165962.0300649833</v>
      </c>
    </row>
    <row r="516" spans="1:12">
      <c r="A516" s="114">
        <v>17</v>
      </c>
      <c r="B516" s="117" t="s">
        <v>490</v>
      </c>
      <c r="C516" s="116" t="s">
        <v>146</v>
      </c>
      <c r="D516" s="116"/>
      <c r="E516" s="108"/>
      <c r="F516" s="156"/>
      <c r="G516" s="156">
        <f t="shared" si="64"/>
        <v>0</v>
      </c>
      <c r="H516" s="122">
        <v>0</v>
      </c>
      <c r="I516" s="122"/>
      <c r="J516" s="122">
        <f t="shared" si="61"/>
        <v>0</v>
      </c>
      <c r="K516" s="122">
        <f t="shared" si="62"/>
        <v>0</v>
      </c>
      <c r="L516" s="122">
        <f t="shared" si="63"/>
        <v>0</v>
      </c>
    </row>
    <row r="517" spans="1:12">
      <c r="A517" s="114">
        <v>18</v>
      </c>
      <c r="B517" s="117" t="s">
        <v>520</v>
      </c>
      <c r="C517" s="116" t="s">
        <v>392</v>
      </c>
      <c r="D517" s="116">
        <v>48</v>
      </c>
      <c r="E517" s="108">
        <v>48</v>
      </c>
      <c r="F517" s="156"/>
      <c r="G517" s="156">
        <f t="shared" si="64"/>
        <v>48</v>
      </c>
      <c r="H517" s="122">
        <v>32899.991206105726</v>
      </c>
      <c r="I517" s="122"/>
      <c r="J517" s="122">
        <f t="shared" si="61"/>
        <v>1579199.5778930748</v>
      </c>
      <c r="K517" s="122">
        <f t="shared" si="62"/>
        <v>0</v>
      </c>
      <c r="L517" s="122">
        <f t="shared" si="63"/>
        <v>1579199.5778930748</v>
      </c>
    </row>
    <row r="518" spans="1:12">
      <c r="A518" s="114"/>
      <c r="B518" s="117" t="s">
        <v>501</v>
      </c>
      <c r="C518" s="116"/>
      <c r="D518" s="116"/>
      <c r="E518" s="108"/>
      <c r="F518" s="156"/>
      <c r="G518" s="156">
        <f t="shared" si="64"/>
        <v>0</v>
      </c>
      <c r="H518" s="122">
        <v>0</v>
      </c>
      <c r="I518" s="122"/>
      <c r="J518" s="122">
        <f t="shared" si="61"/>
        <v>0</v>
      </c>
      <c r="K518" s="122">
        <f t="shared" si="62"/>
        <v>0</v>
      </c>
      <c r="L518" s="122">
        <f t="shared" si="63"/>
        <v>0</v>
      </c>
    </row>
    <row r="519" spans="1:12">
      <c r="A519" s="114">
        <v>19</v>
      </c>
      <c r="B519" s="117" t="s">
        <v>325</v>
      </c>
      <c r="C519" s="116" t="s">
        <v>145</v>
      </c>
      <c r="D519" s="116">
        <v>0.33700000000000002</v>
      </c>
      <c r="E519" s="108">
        <v>0.33700000000000002</v>
      </c>
      <c r="F519" s="156"/>
      <c r="G519" s="156">
        <f t="shared" si="64"/>
        <v>0.33700000000000002</v>
      </c>
      <c r="H519" s="122">
        <v>3387145.2779199071</v>
      </c>
      <c r="I519" s="122"/>
      <c r="J519" s="122">
        <f t="shared" si="61"/>
        <v>1141467.9586590088</v>
      </c>
      <c r="K519" s="122">
        <f t="shared" si="62"/>
        <v>0</v>
      </c>
      <c r="L519" s="122">
        <f t="shared" si="63"/>
        <v>1141467.9586590088</v>
      </c>
    </row>
    <row r="520" spans="1:12">
      <c r="A520" s="114">
        <v>20</v>
      </c>
      <c r="B520" s="117" t="s">
        <v>399</v>
      </c>
      <c r="C520" s="116" t="s">
        <v>145</v>
      </c>
      <c r="D520" s="116">
        <v>1.08</v>
      </c>
      <c r="E520" s="108">
        <v>1.08</v>
      </c>
      <c r="F520" s="156"/>
      <c r="G520" s="156">
        <f t="shared" si="64"/>
        <v>1.08</v>
      </c>
      <c r="H520" s="122">
        <v>1164771.501309423</v>
      </c>
      <c r="I520" s="122"/>
      <c r="J520" s="122">
        <f t="shared" si="61"/>
        <v>1257953.221414177</v>
      </c>
      <c r="K520" s="122">
        <f t="shared" si="62"/>
        <v>0</v>
      </c>
      <c r="L520" s="122">
        <f t="shared" si="63"/>
        <v>1257953.221414177</v>
      </c>
    </row>
    <row r="521" spans="1:12">
      <c r="A521" s="113"/>
      <c r="B521" s="112" t="s">
        <v>577</v>
      </c>
      <c r="C521" s="111"/>
      <c r="D521" s="111"/>
      <c r="E521" s="108"/>
      <c r="F521" s="156"/>
      <c r="G521" s="156">
        <f t="shared" si="64"/>
        <v>0</v>
      </c>
      <c r="H521" s="122"/>
      <c r="I521" s="122"/>
      <c r="J521" s="122">
        <f t="shared" si="61"/>
        <v>0</v>
      </c>
      <c r="K521" s="122">
        <f t="shared" si="62"/>
        <v>0</v>
      </c>
      <c r="L521" s="122">
        <f t="shared" si="63"/>
        <v>0</v>
      </c>
    </row>
    <row r="522" spans="1:12">
      <c r="A522" s="114"/>
      <c r="B522" s="117" t="s">
        <v>578</v>
      </c>
      <c r="C522" s="116"/>
      <c r="D522" s="116"/>
      <c r="E522" s="108"/>
      <c r="F522" s="156"/>
      <c r="G522" s="156">
        <f t="shared" si="64"/>
        <v>0</v>
      </c>
      <c r="H522" s="122"/>
      <c r="I522" s="122"/>
      <c r="J522" s="122">
        <f t="shared" si="61"/>
        <v>0</v>
      </c>
      <c r="K522" s="122">
        <f t="shared" si="62"/>
        <v>0</v>
      </c>
      <c r="L522" s="122">
        <f t="shared" si="63"/>
        <v>0</v>
      </c>
    </row>
    <row r="523" spans="1:12">
      <c r="A523" s="114">
        <v>1</v>
      </c>
      <c r="B523" s="117" t="s">
        <v>425</v>
      </c>
      <c r="C523" s="116" t="s">
        <v>144</v>
      </c>
      <c r="D523" s="116">
        <v>4.9400000000000004</v>
      </c>
      <c r="E523" s="108">
        <v>4.9400000000000004</v>
      </c>
      <c r="F523" s="156"/>
      <c r="G523" s="156">
        <f t="shared" si="64"/>
        <v>4.9400000000000004</v>
      </c>
      <c r="H523" s="122">
        <v>842210.9705639804</v>
      </c>
      <c r="I523" s="122"/>
      <c r="J523" s="122">
        <f t="shared" si="61"/>
        <v>4160522.1945860637</v>
      </c>
      <c r="K523" s="122">
        <f t="shared" si="62"/>
        <v>0</v>
      </c>
      <c r="L523" s="122">
        <f t="shared" si="63"/>
        <v>4160522.1945860637</v>
      </c>
    </row>
    <row r="524" spans="1:12">
      <c r="A524" s="114">
        <v>2</v>
      </c>
      <c r="B524" s="117" t="s">
        <v>482</v>
      </c>
      <c r="C524" s="116" t="s">
        <v>144</v>
      </c>
      <c r="D524" s="116">
        <v>26</v>
      </c>
      <c r="E524" s="108">
        <v>26</v>
      </c>
      <c r="F524" s="156"/>
      <c r="G524" s="156">
        <f t="shared" si="64"/>
        <v>26</v>
      </c>
      <c r="H524" s="122">
        <v>1293675.19750221</v>
      </c>
      <c r="I524" s="122"/>
      <c r="J524" s="122">
        <f t="shared" ref="J524:J587" si="65">+E524*MAX(H524:I524)</f>
        <v>33635555.135057464</v>
      </c>
      <c r="K524" s="122">
        <f t="shared" ref="K524:K587" si="66">+F524*MAX(H524:I524)</f>
        <v>0</v>
      </c>
      <c r="L524" s="122">
        <f t="shared" ref="L524:L587" si="67">+G524*MAX(H524:I524)</f>
        <v>33635555.135057464</v>
      </c>
    </row>
    <row r="525" spans="1:12" ht="31.2">
      <c r="A525" s="114">
        <v>3</v>
      </c>
      <c r="B525" s="117" t="s">
        <v>579</v>
      </c>
      <c r="C525" s="116" t="s">
        <v>144</v>
      </c>
      <c r="D525" s="116">
        <v>43.618000000000002</v>
      </c>
      <c r="E525" s="108">
        <v>43.618000000000002</v>
      </c>
      <c r="F525" s="156"/>
      <c r="G525" s="156">
        <f t="shared" si="64"/>
        <v>43.618000000000002</v>
      </c>
      <c r="H525" s="122">
        <v>1627125.5629060434</v>
      </c>
      <c r="I525" s="122"/>
      <c r="J525" s="122">
        <f t="shared" si="65"/>
        <v>70971962.802835807</v>
      </c>
      <c r="K525" s="122">
        <f t="shared" si="66"/>
        <v>0</v>
      </c>
      <c r="L525" s="122">
        <f t="shared" si="67"/>
        <v>70971962.802835807</v>
      </c>
    </row>
    <row r="526" spans="1:12">
      <c r="A526" s="114">
        <v>4</v>
      </c>
      <c r="B526" s="117" t="s">
        <v>481</v>
      </c>
      <c r="C526" s="116" t="s">
        <v>144</v>
      </c>
      <c r="D526" s="116">
        <v>6.21</v>
      </c>
      <c r="E526" s="108">
        <v>6.21</v>
      </c>
      <c r="F526" s="156"/>
      <c r="G526" s="156">
        <f t="shared" si="64"/>
        <v>6.21</v>
      </c>
      <c r="H526" s="122">
        <v>1282781.8846939367</v>
      </c>
      <c r="I526" s="122"/>
      <c r="J526" s="122">
        <f t="shared" si="65"/>
        <v>7966075.503949347</v>
      </c>
      <c r="K526" s="122">
        <f t="shared" si="66"/>
        <v>0</v>
      </c>
      <c r="L526" s="122">
        <f t="shared" si="67"/>
        <v>7966075.503949347</v>
      </c>
    </row>
    <row r="527" spans="1:12">
      <c r="A527" s="114">
        <v>5</v>
      </c>
      <c r="B527" s="117" t="s">
        <v>533</v>
      </c>
      <c r="C527" s="116" t="s">
        <v>144</v>
      </c>
      <c r="D527" s="116">
        <v>2.25</v>
      </c>
      <c r="E527" s="108">
        <v>2.25</v>
      </c>
      <c r="F527" s="156"/>
      <c r="G527" s="156">
        <f t="shared" si="64"/>
        <v>2.25</v>
      </c>
      <c r="H527" s="122">
        <v>1697666.4550724602</v>
      </c>
      <c r="I527" s="122"/>
      <c r="J527" s="122">
        <f t="shared" si="65"/>
        <v>3819749.5239130356</v>
      </c>
      <c r="K527" s="122">
        <f t="shared" si="66"/>
        <v>0</v>
      </c>
      <c r="L527" s="122">
        <f t="shared" si="67"/>
        <v>3819749.5239130356</v>
      </c>
    </row>
    <row r="528" spans="1:12">
      <c r="A528" s="114">
        <v>6</v>
      </c>
      <c r="B528" s="117" t="s">
        <v>530</v>
      </c>
      <c r="C528" s="116" t="s">
        <v>149</v>
      </c>
      <c r="D528" s="116">
        <v>0.56000000000000005</v>
      </c>
      <c r="E528" s="108">
        <v>0.56000000000000005</v>
      </c>
      <c r="F528" s="156"/>
      <c r="G528" s="156">
        <f t="shared" si="64"/>
        <v>0.56000000000000005</v>
      </c>
      <c r="H528" s="122">
        <v>5813935.4808997139</v>
      </c>
      <c r="I528" s="122"/>
      <c r="J528" s="122">
        <f t="shared" si="65"/>
        <v>3255803.8693038402</v>
      </c>
      <c r="K528" s="122">
        <f t="shared" si="66"/>
        <v>0</v>
      </c>
      <c r="L528" s="122">
        <f t="shared" si="67"/>
        <v>3255803.8693038402</v>
      </c>
    </row>
    <row r="529" spans="1:12">
      <c r="A529" s="114">
        <v>7</v>
      </c>
      <c r="B529" s="117" t="s">
        <v>539</v>
      </c>
      <c r="C529" s="116" t="s">
        <v>149</v>
      </c>
      <c r="D529" s="116">
        <v>1.488</v>
      </c>
      <c r="E529" s="108">
        <v>1.488</v>
      </c>
      <c r="F529" s="156"/>
      <c r="G529" s="156">
        <f t="shared" si="64"/>
        <v>1.488</v>
      </c>
      <c r="H529" s="122">
        <v>15289428.573971221</v>
      </c>
      <c r="I529" s="122"/>
      <c r="J529" s="122">
        <f t="shared" si="65"/>
        <v>22750669.718069177</v>
      </c>
      <c r="K529" s="122">
        <f t="shared" si="66"/>
        <v>0</v>
      </c>
      <c r="L529" s="122">
        <f t="shared" si="67"/>
        <v>22750669.718069177</v>
      </c>
    </row>
    <row r="530" spans="1:12">
      <c r="A530" s="114"/>
      <c r="B530" s="117" t="s">
        <v>536</v>
      </c>
      <c r="C530" s="116"/>
      <c r="D530" s="116"/>
      <c r="E530" s="108"/>
      <c r="F530" s="156"/>
      <c r="G530" s="156">
        <f t="shared" si="64"/>
        <v>0</v>
      </c>
      <c r="H530" s="122"/>
      <c r="I530" s="122"/>
      <c r="J530" s="122">
        <f t="shared" si="65"/>
        <v>0</v>
      </c>
      <c r="K530" s="122">
        <f t="shared" si="66"/>
        <v>0</v>
      </c>
      <c r="L530" s="122">
        <f t="shared" si="67"/>
        <v>0</v>
      </c>
    </row>
    <row r="531" spans="1:12">
      <c r="A531" s="114">
        <v>8</v>
      </c>
      <c r="B531" s="117" t="s">
        <v>486</v>
      </c>
      <c r="C531" s="116" t="s">
        <v>144</v>
      </c>
      <c r="D531" s="116">
        <v>4.0599999999999996</v>
      </c>
      <c r="E531" s="108">
        <v>4.0599999999999996</v>
      </c>
      <c r="F531" s="156"/>
      <c r="G531" s="156">
        <f t="shared" si="64"/>
        <v>4.0599999999999996</v>
      </c>
      <c r="H531" s="122">
        <v>1874320.6727456823</v>
      </c>
      <c r="I531" s="122"/>
      <c r="J531" s="122">
        <f t="shared" si="65"/>
        <v>7609741.9313474698</v>
      </c>
      <c r="K531" s="122">
        <f t="shared" si="66"/>
        <v>0</v>
      </c>
      <c r="L531" s="122">
        <f t="shared" si="67"/>
        <v>7609741.9313474698</v>
      </c>
    </row>
    <row r="532" spans="1:12">
      <c r="A532" s="114">
        <v>9</v>
      </c>
      <c r="B532" s="117" t="s">
        <v>489</v>
      </c>
      <c r="C532" s="116" t="s">
        <v>146</v>
      </c>
      <c r="D532" s="116">
        <v>0.31900000000000001</v>
      </c>
      <c r="E532" s="108">
        <v>0.31900000000000001</v>
      </c>
      <c r="F532" s="156"/>
      <c r="G532" s="156">
        <f t="shared" si="64"/>
        <v>0.31900000000000001</v>
      </c>
      <c r="H532" s="122">
        <v>22100222.329982016</v>
      </c>
      <c r="I532" s="122"/>
      <c r="J532" s="122">
        <f t="shared" si="65"/>
        <v>7049970.9232642632</v>
      </c>
      <c r="K532" s="122">
        <f t="shared" si="66"/>
        <v>0</v>
      </c>
      <c r="L532" s="122">
        <f t="shared" si="67"/>
        <v>7049970.9232642632</v>
      </c>
    </row>
    <row r="533" spans="1:12">
      <c r="A533" s="114">
        <v>10</v>
      </c>
      <c r="B533" s="117" t="s">
        <v>490</v>
      </c>
      <c r="C533" s="116" t="s">
        <v>146</v>
      </c>
      <c r="D533" s="116">
        <v>2.4E-2</v>
      </c>
      <c r="E533" s="108">
        <v>2.4E-2</v>
      </c>
      <c r="F533" s="156"/>
      <c r="G533" s="156">
        <f t="shared" si="64"/>
        <v>2.4E-2</v>
      </c>
      <c r="H533" s="122">
        <v>21791927.029349908</v>
      </c>
      <c r="I533" s="122"/>
      <c r="J533" s="122">
        <f t="shared" si="65"/>
        <v>523006.24870439782</v>
      </c>
      <c r="K533" s="122">
        <f t="shared" si="66"/>
        <v>0</v>
      </c>
      <c r="L533" s="122">
        <f t="shared" si="67"/>
        <v>523006.24870439782</v>
      </c>
    </row>
    <row r="534" spans="1:12">
      <c r="A534" s="114">
        <v>11</v>
      </c>
      <c r="B534" s="117" t="s">
        <v>491</v>
      </c>
      <c r="C534" s="116" t="s">
        <v>149</v>
      </c>
      <c r="D534" s="116">
        <v>0.24</v>
      </c>
      <c r="E534" s="108">
        <v>0.24</v>
      </c>
      <c r="F534" s="156"/>
      <c r="G534" s="156">
        <f t="shared" si="64"/>
        <v>0.24</v>
      </c>
      <c r="H534" s="122">
        <v>5813935.4808997139</v>
      </c>
      <c r="I534" s="122"/>
      <c r="J534" s="122">
        <f t="shared" si="65"/>
        <v>1395344.5154159314</v>
      </c>
      <c r="K534" s="122">
        <f t="shared" si="66"/>
        <v>0</v>
      </c>
      <c r="L534" s="122">
        <f t="shared" si="67"/>
        <v>1395344.5154159314</v>
      </c>
    </row>
    <row r="535" spans="1:12">
      <c r="A535" s="114"/>
      <c r="B535" s="117" t="s">
        <v>537</v>
      </c>
      <c r="C535" s="116"/>
      <c r="D535" s="116"/>
      <c r="E535" s="108"/>
      <c r="F535" s="156"/>
      <c r="G535" s="156">
        <f t="shared" si="64"/>
        <v>0</v>
      </c>
      <c r="H535" s="122"/>
      <c r="I535" s="122"/>
      <c r="J535" s="122">
        <f t="shared" si="65"/>
        <v>0</v>
      </c>
      <c r="K535" s="122">
        <f t="shared" si="66"/>
        <v>0</v>
      </c>
      <c r="L535" s="122">
        <f t="shared" si="67"/>
        <v>0</v>
      </c>
    </row>
    <row r="536" spans="1:12">
      <c r="A536" s="114">
        <v>12</v>
      </c>
      <c r="B536" s="117" t="s">
        <v>482</v>
      </c>
      <c r="C536" s="116" t="s">
        <v>144</v>
      </c>
      <c r="D536" s="116">
        <v>18.564</v>
      </c>
      <c r="E536" s="108">
        <v>18.564</v>
      </c>
      <c r="F536" s="156"/>
      <c r="G536" s="156">
        <f t="shared" si="64"/>
        <v>18.564</v>
      </c>
      <c r="H536" s="122">
        <v>1293675.19750221</v>
      </c>
      <c r="I536" s="122"/>
      <c r="J536" s="122">
        <f t="shared" si="65"/>
        <v>24015786.366431028</v>
      </c>
      <c r="K536" s="122">
        <f t="shared" si="66"/>
        <v>0</v>
      </c>
      <c r="L536" s="122">
        <f t="shared" si="67"/>
        <v>24015786.366431028</v>
      </c>
    </row>
    <row r="537" spans="1:12" ht="31.2">
      <c r="A537" s="114">
        <v>13</v>
      </c>
      <c r="B537" s="117" t="s">
        <v>579</v>
      </c>
      <c r="C537" s="116" t="s">
        <v>144</v>
      </c>
      <c r="D537" s="116">
        <v>14.8</v>
      </c>
      <c r="E537" s="108">
        <v>14.8</v>
      </c>
      <c r="F537" s="156"/>
      <c r="G537" s="156">
        <f t="shared" si="64"/>
        <v>14.8</v>
      </c>
      <c r="H537" s="122">
        <v>1693173.9091724234</v>
      </c>
      <c r="I537" s="122"/>
      <c r="J537" s="122">
        <f t="shared" si="65"/>
        <v>25058973.855751868</v>
      </c>
      <c r="K537" s="122">
        <f t="shared" si="66"/>
        <v>0</v>
      </c>
      <c r="L537" s="122">
        <f t="shared" si="67"/>
        <v>25058973.855751868</v>
      </c>
    </row>
    <row r="538" spans="1:12">
      <c r="A538" s="114">
        <v>14</v>
      </c>
      <c r="B538" s="117" t="s">
        <v>538</v>
      </c>
      <c r="C538" s="116" t="s">
        <v>144</v>
      </c>
      <c r="D538" s="116">
        <v>4.09</v>
      </c>
      <c r="E538" s="108">
        <v>4.09</v>
      </c>
      <c r="F538" s="156"/>
      <c r="G538" s="156">
        <f t="shared" si="64"/>
        <v>4.09</v>
      </c>
      <c r="H538" s="122">
        <v>1282781.8846939367</v>
      </c>
      <c r="I538" s="122"/>
      <c r="J538" s="122">
        <f t="shared" si="65"/>
        <v>5246577.9083982008</v>
      </c>
      <c r="K538" s="122">
        <f t="shared" si="66"/>
        <v>0</v>
      </c>
      <c r="L538" s="122">
        <f t="shared" si="67"/>
        <v>5246577.9083982008</v>
      </c>
    </row>
    <row r="539" spans="1:12">
      <c r="A539" s="114">
        <v>15</v>
      </c>
      <c r="B539" s="117" t="s">
        <v>425</v>
      </c>
      <c r="C539" s="116" t="s">
        <v>144</v>
      </c>
      <c r="D539" s="116">
        <v>3.4209999999999998</v>
      </c>
      <c r="E539" s="108">
        <v>3.4209999999999998</v>
      </c>
      <c r="F539" s="156"/>
      <c r="G539" s="156">
        <f t="shared" si="64"/>
        <v>3.4209999999999998</v>
      </c>
      <c r="H539" s="122">
        <v>842210.9705639804</v>
      </c>
      <c r="I539" s="122"/>
      <c r="J539" s="122">
        <f t="shared" si="65"/>
        <v>2881203.7302993769</v>
      </c>
      <c r="K539" s="122">
        <f t="shared" si="66"/>
        <v>0</v>
      </c>
      <c r="L539" s="122">
        <f t="shared" si="67"/>
        <v>2881203.7302993769</v>
      </c>
    </row>
    <row r="540" spans="1:12">
      <c r="A540" s="114">
        <v>16</v>
      </c>
      <c r="B540" s="117" t="s">
        <v>530</v>
      </c>
      <c r="C540" s="116" t="s">
        <v>149</v>
      </c>
      <c r="D540" s="116">
        <v>0.44400000000000001</v>
      </c>
      <c r="E540" s="108">
        <v>0.44400000000000001</v>
      </c>
      <c r="F540" s="156"/>
      <c r="G540" s="156">
        <f t="shared" si="64"/>
        <v>0.44400000000000001</v>
      </c>
      <c r="H540" s="122">
        <v>5813935.4808997139</v>
      </c>
      <c r="I540" s="122"/>
      <c r="J540" s="122">
        <f t="shared" si="65"/>
        <v>2581387.3535194732</v>
      </c>
      <c r="K540" s="122">
        <f t="shared" si="66"/>
        <v>0</v>
      </c>
      <c r="L540" s="122">
        <f t="shared" si="67"/>
        <v>2581387.3535194732</v>
      </c>
    </row>
    <row r="541" spans="1:12">
      <c r="A541" s="114">
        <v>17</v>
      </c>
      <c r="B541" s="117" t="s">
        <v>539</v>
      </c>
      <c r="C541" s="116" t="s">
        <v>149</v>
      </c>
      <c r="D541" s="116">
        <v>0.56799999999999995</v>
      </c>
      <c r="E541" s="108">
        <v>0.56799999999999995</v>
      </c>
      <c r="F541" s="156"/>
      <c r="G541" s="156">
        <f t="shared" si="64"/>
        <v>0.56799999999999995</v>
      </c>
      <c r="H541" s="122">
        <v>15289428.573971221</v>
      </c>
      <c r="I541" s="122"/>
      <c r="J541" s="122">
        <f t="shared" si="65"/>
        <v>8684395.4300156534</v>
      </c>
      <c r="K541" s="122">
        <f t="shared" si="66"/>
        <v>0</v>
      </c>
      <c r="L541" s="122">
        <f t="shared" si="67"/>
        <v>8684395.4300156534</v>
      </c>
    </row>
    <row r="542" spans="1:12">
      <c r="A542" s="114"/>
      <c r="B542" s="117" t="s">
        <v>540</v>
      </c>
      <c r="C542" s="116"/>
      <c r="D542" s="116"/>
      <c r="E542" s="108"/>
      <c r="F542" s="156"/>
      <c r="G542" s="156">
        <f t="shared" si="64"/>
        <v>0</v>
      </c>
      <c r="H542" s="122"/>
      <c r="I542" s="122"/>
      <c r="J542" s="122">
        <f t="shared" si="65"/>
        <v>0</v>
      </c>
      <c r="K542" s="122">
        <f t="shared" si="66"/>
        <v>0</v>
      </c>
      <c r="L542" s="122">
        <f t="shared" si="67"/>
        <v>0</v>
      </c>
    </row>
    <row r="543" spans="1:12">
      <c r="A543" s="114">
        <v>18</v>
      </c>
      <c r="B543" s="117" t="s">
        <v>580</v>
      </c>
      <c r="C543" s="116" t="s">
        <v>144</v>
      </c>
      <c r="D543" s="116">
        <v>38.74</v>
      </c>
      <c r="E543" s="108">
        <v>38.74</v>
      </c>
      <c r="F543" s="156"/>
      <c r="G543" s="156">
        <f t="shared" si="64"/>
        <v>38.74</v>
      </c>
      <c r="H543" s="122">
        <v>1759863.4195155448</v>
      </c>
      <c r="I543" s="122"/>
      <c r="J543" s="122">
        <f t="shared" si="65"/>
        <v>68177108.87203221</v>
      </c>
      <c r="K543" s="122">
        <f t="shared" si="66"/>
        <v>0</v>
      </c>
      <c r="L543" s="122">
        <f t="shared" si="67"/>
        <v>68177108.87203221</v>
      </c>
    </row>
    <row r="544" spans="1:12">
      <c r="A544" s="114">
        <v>19</v>
      </c>
      <c r="B544" s="117" t="s">
        <v>542</v>
      </c>
      <c r="C544" s="116" t="s">
        <v>146</v>
      </c>
      <c r="D544" s="116">
        <v>0.53800000000000003</v>
      </c>
      <c r="E544" s="108">
        <v>0.53800000000000003</v>
      </c>
      <c r="F544" s="156"/>
      <c r="G544" s="156">
        <f t="shared" si="64"/>
        <v>0.53800000000000003</v>
      </c>
      <c r="H544" s="122">
        <v>22594679.698709495</v>
      </c>
      <c r="I544" s="122"/>
      <c r="J544" s="122">
        <f t="shared" si="65"/>
        <v>12155937.677905709</v>
      </c>
      <c r="K544" s="122">
        <f t="shared" si="66"/>
        <v>0</v>
      </c>
      <c r="L544" s="122">
        <f t="shared" si="67"/>
        <v>12155937.677905709</v>
      </c>
    </row>
    <row r="545" spans="1:12">
      <c r="A545" s="114">
        <v>20</v>
      </c>
      <c r="B545" s="117" t="s">
        <v>543</v>
      </c>
      <c r="C545" s="116" t="s">
        <v>146</v>
      </c>
      <c r="D545" s="116">
        <v>1.4370000000000001</v>
      </c>
      <c r="E545" s="108">
        <v>1.4370000000000001</v>
      </c>
      <c r="F545" s="156"/>
      <c r="G545" s="156">
        <f t="shared" si="64"/>
        <v>1.4370000000000001</v>
      </c>
      <c r="H545" s="122">
        <v>22769766.263162456</v>
      </c>
      <c r="I545" s="122"/>
      <c r="J545" s="122">
        <f t="shared" si="65"/>
        <v>32720154.12016445</v>
      </c>
      <c r="K545" s="122">
        <f t="shared" si="66"/>
        <v>0</v>
      </c>
      <c r="L545" s="122">
        <f t="shared" si="67"/>
        <v>32720154.12016445</v>
      </c>
    </row>
    <row r="546" spans="1:12">
      <c r="A546" s="114">
        <v>21</v>
      </c>
      <c r="B546" s="117" t="s">
        <v>544</v>
      </c>
      <c r="C546" s="116" t="s">
        <v>146</v>
      </c>
      <c r="D546" s="116">
        <v>2.4E-2</v>
      </c>
      <c r="E546" s="108">
        <v>2.4E-2</v>
      </c>
      <c r="F546" s="156"/>
      <c r="G546" s="156">
        <f t="shared" si="64"/>
        <v>2.4E-2</v>
      </c>
      <c r="H546" s="122">
        <v>22769766.263162456</v>
      </c>
      <c r="I546" s="122"/>
      <c r="J546" s="122">
        <f t="shared" si="65"/>
        <v>546474.39031589893</v>
      </c>
      <c r="K546" s="122">
        <f t="shared" si="66"/>
        <v>0</v>
      </c>
      <c r="L546" s="122">
        <f t="shared" si="67"/>
        <v>546474.39031589893</v>
      </c>
    </row>
    <row r="547" spans="1:12">
      <c r="A547" s="114">
        <v>22</v>
      </c>
      <c r="B547" s="117" t="s">
        <v>419</v>
      </c>
      <c r="C547" s="116" t="s">
        <v>145</v>
      </c>
      <c r="D547" s="116">
        <v>0.39</v>
      </c>
      <c r="E547" s="108">
        <v>0.39</v>
      </c>
      <c r="F547" s="156"/>
      <c r="G547" s="156">
        <f t="shared" si="64"/>
        <v>0.39</v>
      </c>
      <c r="H547" s="122">
        <v>30775729.176017962</v>
      </c>
      <c r="I547" s="122"/>
      <c r="J547" s="122">
        <f t="shared" si="65"/>
        <v>12002534.378647005</v>
      </c>
      <c r="K547" s="122">
        <f t="shared" si="66"/>
        <v>0</v>
      </c>
      <c r="L547" s="122">
        <f t="shared" si="67"/>
        <v>12002534.378647005</v>
      </c>
    </row>
    <row r="548" spans="1:12">
      <c r="A548" s="114">
        <v>23</v>
      </c>
      <c r="B548" s="117" t="s">
        <v>545</v>
      </c>
      <c r="C548" s="116" t="s">
        <v>149</v>
      </c>
      <c r="D548" s="116">
        <v>0.93600000000000005</v>
      </c>
      <c r="E548" s="108">
        <v>0.93600000000000005</v>
      </c>
      <c r="F548" s="156"/>
      <c r="G548" s="156">
        <f t="shared" si="64"/>
        <v>0.93600000000000005</v>
      </c>
      <c r="H548" s="122">
        <v>16576033.636680132</v>
      </c>
      <c r="I548" s="122"/>
      <c r="J548" s="122">
        <f t="shared" si="65"/>
        <v>15515167.483932605</v>
      </c>
      <c r="K548" s="122">
        <f t="shared" si="66"/>
        <v>0</v>
      </c>
      <c r="L548" s="122">
        <f t="shared" si="67"/>
        <v>15515167.483932605</v>
      </c>
    </row>
    <row r="549" spans="1:12">
      <c r="A549" s="114"/>
      <c r="B549" s="117" t="s">
        <v>546</v>
      </c>
      <c r="C549" s="116"/>
      <c r="D549" s="116"/>
      <c r="E549" s="108"/>
      <c r="F549" s="156"/>
      <c r="G549" s="156">
        <f t="shared" si="64"/>
        <v>0</v>
      </c>
      <c r="H549" s="122"/>
      <c r="I549" s="122"/>
      <c r="J549" s="122">
        <f t="shared" si="65"/>
        <v>0</v>
      </c>
      <c r="K549" s="122">
        <f t="shared" si="66"/>
        <v>0</v>
      </c>
      <c r="L549" s="122">
        <f t="shared" si="67"/>
        <v>0</v>
      </c>
    </row>
    <row r="550" spans="1:12">
      <c r="A550" s="114">
        <v>24</v>
      </c>
      <c r="B550" s="117" t="s">
        <v>518</v>
      </c>
      <c r="C550" s="116" t="s">
        <v>144</v>
      </c>
      <c r="D550" s="116">
        <v>9.9239999999999995</v>
      </c>
      <c r="E550" s="108">
        <v>9.9239999999999995</v>
      </c>
      <c r="F550" s="156"/>
      <c r="G550" s="156">
        <f t="shared" si="64"/>
        <v>9.9239999999999995</v>
      </c>
      <c r="H550" s="122">
        <v>1728209.6788338162</v>
      </c>
      <c r="I550" s="122"/>
      <c r="J550" s="122">
        <f t="shared" si="65"/>
        <v>17150752.852746792</v>
      </c>
      <c r="K550" s="122">
        <f t="shared" si="66"/>
        <v>0</v>
      </c>
      <c r="L550" s="122">
        <f t="shared" si="67"/>
        <v>17150752.852746792</v>
      </c>
    </row>
    <row r="551" spans="1:12">
      <c r="A551" s="114">
        <v>25</v>
      </c>
      <c r="B551" s="117" t="s">
        <v>547</v>
      </c>
      <c r="C551" s="116" t="s">
        <v>148</v>
      </c>
      <c r="D551" s="116">
        <v>32.369999999999997</v>
      </c>
      <c r="E551" s="108">
        <v>32.369999999999997</v>
      </c>
      <c r="F551" s="156"/>
      <c r="G551" s="156">
        <f t="shared" si="64"/>
        <v>32.369999999999997</v>
      </c>
      <c r="H551" s="122">
        <v>186706.4824971958</v>
      </c>
      <c r="I551" s="122"/>
      <c r="J551" s="122">
        <f t="shared" si="65"/>
        <v>6043688.8384342277</v>
      </c>
      <c r="K551" s="122">
        <f t="shared" si="66"/>
        <v>0</v>
      </c>
      <c r="L551" s="122">
        <f t="shared" si="67"/>
        <v>6043688.8384342277</v>
      </c>
    </row>
    <row r="552" spans="1:12">
      <c r="A552" s="114">
        <v>26</v>
      </c>
      <c r="B552" s="117" t="s">
        <v>548</v>
      </c>
      <c r="C552" s="116" t="s">
        <v>146</v>
      </c>
      <c r="D552" s="116">
        <v>0.51500000000000001</v>
      </c>
      <c r="E552" s="108">
        <v>0.51500000000000001</v>
      </c>
      <c r="F552" s="156"/>
      <c r="G552" s="156">
        <f t="shared" si="64"/>
        <v>0.51500000000000001</v>
      </c>
      <c r="H552" s="122">
        <v>23146185.931862913</v>
      </c>
      <c r="I552" s="122"/>
      <c r="J552" s="122">
        <f t="shared" si="65"/>
        <v>11920285.7549094</v>
      </c>
      <c r="K552" s="122">
        <f t="shared" si="66"/>
        <v>0</v>
      </c>
      <c r="L552" s="122">
        <f t="shared" si="67"/>
        <v>11920285.7549094</v>
      </c>
    </row>
    <row r="553" spans="1:12">
      <c r="A553" s="114">
        <v>27</v>
      </c>
      <c r="B553" s="117" t="s">
        <v>581</v>
      </c>
      <c r="C553" s="116" t="s">
        <v>146</v>
      </c>
      <c r="D553" s="116">
        <v>0.76800000000000002</v>
      </c>
      <c r="E553" s="108">
        <v>0.76800000000000002</v>
      </c>
      <c r="F553" s="156"/>
      <c r="G553" s="156">
        <f t="shared" si="64"/>
        <v>0.76800000000000002</v>
      </c>
      <c r="H553" s="122">
        <v>22170915.161945313</v>
      </c>
      <c r="I553" s="122"/>
      <c r="J553" s="122">
        <f t="shared" si="65"/>
        <v>17027262.844374001</v>
      </c>
      <c r="K553" s="122">
        <f t="shared" si="66"/>
        <v>0</v>
      </c>
      <c r="L553" s="122">
        <f t="shared" si="67"/>
        <v>17027262.844374001</v>
      </c>
    </row>
    <row r="554" spans="1:12">
      <c r="A554" s="114">
        <v>28</v>
      </c>
      <c r="B554" s="117" t="s">
        <v>582</v>
      </c>
      <c r="C554" s="116" t="s">
        <v>25</v>
      </c>
      <c r="D554" s="116">
        <v>26</v>
      </c>
      <c r="E554" s="108">
        <v>26</v>
      </c>
      <c r="F554" s="156"/>
      <c r="G554" s="156">
        <f t="shared" si="64"/>
        <v>26</v>
      </c>
      <c r="H554" s="122">
        <v>650165.30940124334</v>
      </c>
      <c r="I554" s="122"/>
      <c r="J554" s="122">
        <f t="shared" si="65"/>
        <v>16904298.044432327</v>
      </c>
      <c r="K554" s="122">
        <f t="shared" si="66"/>
        <v>0</v>
      </c>
      <c r="L554" s="122">
        <f t="shared" si="67"/>
        <v>16904298.044432327</v>
      </c>
    </row>
    <row r="555" spans="1:12">
      <c r="A555" s="114"/>
      <c r="B555" s="117" t="s">
        <v>551</v>
      </c>
      <c r="C555" s="116"/>
      <c r="D555" s="116"/>
      <c r="E555" s="108"/>
      <c r="F555" s="156"/>
      <c r="G555" s="156">
        <f t="shared" si="64"/>
        <v>0</v>
      </c>
      <c r="H555" s="122"/>
      <c r="I555" s="122"/>
      <c r="J555" s="122">
        <f t="shared" si="65"/>
        <v>0</v>
      </c>
      <c r="K555" s="122">
        <f t="shared" si="66"/>
        <v>0</v>
      </c>
      <c r="L555" s="122">
        <f t="shared" si="67"/>
        <v>0</v>
      </c>
    </row>
    <row r="556" spans="1:12">
      <c r="A556" s="114">
        <v>29</v>
      </c>
      <c r="B556" s="117" t="s">
        <v>583</v>
      </c>
      <c r="C556" s="116" t="s">
        <v>149</v>
      </c>
      <c r="D556" s="116">
        <v>0.49</v>
      </c>
      <c r="E556" s="108">
        <v>0</v>
      </c>
      <c r="F556" s="156"/>
      <c r="G556" s="156">
        <f t="shared" si="64"/>
        <v>0</v>
      </c>
      <c r="H556" s="122">
        <v>1164681.0166441561</v>
      </c>
      <c r="I556" s="122"/>
      <c r="J556" s="122">
        <f t="shared" si="65"/>
        <v>0</v>
      </c>
      <c r="K556" s="122">
        <f t="shared" si="66"/>
        <v>0</v>
      </c>
      <c r="L556" s="122">
        <f t="shared" si="67"/>
        <v>0</v>
      </c>
    </row>
    <row r="557" spans="1:12" ht="31.2">
      <c r="A557" s="114">
        <v>30</v>
      </c>
      <c r="B557" s="117" t="s">
        <v>414</v>
      </c>
      <c r="C557" s="116" t="s">
        <v>415</v>
      </c>
      <c r="D557" s="116">
        <v>8.1000000000000003E-2</v>
      </c>
      <c r="E557" s="108">
        <v>0</v>
      </c>
      <c r="F557" s="156"/>
      <c r="G557" s="156">
        <f t="shared" si="64"/>
        <v>0</v>
      </c>
      <c r="H557" s="122">
        <v>114207703.6275613</v>
      </c>
      <c r="I557" s="122"/>
      <c r="J557" s="122">
        <f t="shared" si="65"/>
        <v>0</v>
      </c>
      <c r="K557" s="122">
        <f t="shared" si="66"/>
        <v>0</v>
      </c>
      <c r="L557" s="122">
        <f t="shared" si="67"/>
        <v>0</v>
      </c>
    </row>
    <row r="558" spans="1:12">
      <c r="A558" s="114" t="s">
        <v>862</v>
      </c>
      <c r="B558" s="117" t="s">
        <v>873</v>
      </c>
      <c r="C558" s="116" t="s">
        <v>149</v>
      </c>
      <c r="D558" s="116"/>
      <c r="E558" s="108">
        <v>0.49</v>
      </c>
      <c r="F558" s="156"/>
      <c r="G558" s="156">
        <f t="shared" si="64"/>
        <v>0.49</v>
      </c>
      <c r="H558" s="122">
        <v>0</v>
      </c>
      <c r="I558" s="122">
        <v>1450470.8478000001</v>
      </c>
      <c r="J558" s="122">
        <f t="shared" si="65"/>
        <v>710730.71542200004</v>
      </c>
      <c r="K558" s="122">
        <f t="shared" si="66"/>
        <v>0</v>
      </c>
      <c r="L558" s="122">
        <f t="shared" si="67"/>
        <v>710730.71542200004</v>
      </c>
    </row>
    <row r="559" spans="1:12">
      <c r="A559" s="114" t="s">
        <v>863</v>
      </c>
      <c r="B559" s="117" t="s">
        <v>797</v>
      </c>
      <c r="C559" s="116" t="s">
        <v>415</v>
      </c>
      <c r="D559" s="116"/>
      <c r="E559" s="108">
        <v>8.4539699999999995E-2</v>
      </c>
      <c r="F559" s="156"/>
      <c r="G559" s="156">
        <f t="shared" si="64"/>
        <v>8.4539699999999995E-2</v>
      </c>
      <c r="H559" s="122">
        <v>0</v>
      </c>
      <c r="I559" s="122">
        <v>150219973.99520001</v>
      </c>
      <c r="J559" s="122">
        <f t="shared" si="65"/>
        <v>12699551.535562009</v>
      </c>
      <c r="K559" s="122">
        <f t="shared" si="66"/>
        <v>0</v>
      </c>
      <c r="L559" s="122">
        <f t="shared" si="67"/>
        <v>12699551.535562009</v>
      </c>
    </row>
    <row r="560" spans="1:12">
      <c r="A560" s="114">
        <v>31</v>
      </c>
      <c r="B560" s="117" t="s">
        <v>502</v>
      </c>
      <c r="C560" s="116" t="s">
        <v>415</v>
      </c>
      <c r="D560" s="116">
        <v>8.1000000000000003E-2</v>
      </c>
      <c r="E560" s="108">
        <v>8.4539699999999995E-2</v>
      </c>
      <c r="F560" s="156"/>
      <c r="G560" s="156">
        <f t="shared" si="64"/>
        <v>8.4539699999999995E-2</v>
      </c>
      <c r="H560" s="122">
        <v>4705361.9552235175</v>
      </c>
      <c r="I560" s="122"/>
      <c r="J560" s="122">
        <f t="shared" si="65"/>
        <v>397789.8880860096</v>
      </c>
      <c r="K560" s="122">
        <f t="shared" si="66"/>
        <v>0</v>
      </c>
      <c r="L560" s="122">
        <f t="shared" si="67"/>
        <v>397789.8880860096</v>
      </c>
    </row>
    <row r="561" spans="1:12">
      <c r="A561" s="114">
        <v>32</v>
      </c>
      <c r="B561" s="117" t="s">
        <v>511</v>
      </c>
      <c r="C561" s="116" t="s">
        <v>415</v>
      </c>
      <c r="D561" s="116">
        <v>8.1000000000000003E-2</v>
      </c>
      <c r="E561" s="108">
        <v>0</v>
      </c>
      <c r="F561" s="156"/>
      <c r="G561" s="156">
        <f t="shared" si="64"/>
        <v>0</v>
      </c>
      <c r="H561" s="122">
        <v>13145138.160624428</v>
      </c>
      <c r="I561" s="122"/>
      <c r="J561" s="122">
        <f t="shared" si="65"/>
        <v>0</v>
      </c>
      <c r="K561" s="122">
        <f t="shared" si="66"/>
        <v>0</v>
      </c>
      <c r="L561" s="122">
        <f t="shared" si="67"/>
        <v>0</v>
      </c>
    </row>
    <row r="562" spans="1:12">
      <c r="A562" s="114" t="s">
        <v>864</v>
      </c>
      <c r="B562" s="117" t="s">
        <v>799</v>
      </c>
      <c r="C562" s="116" t="s">
        <v>415</v>
      </c>
      <c r="D562" s="116"/>
      <c r="E562" s="108">
        <v>8.4539699999999995E-2</v>
      </c>
      <c r="F562" s="156"/>
      <c r="G562" s="156">
        <f t="shared" si="64"/>
        <v>8.4539699999999995E-2</v>
      </c>
      <c r="H562" s="122"/>
      <c r="I562" s="122">
        <v>14726563.098200001</v>
      </c>
      <c r="J562" s="122">
        <f t="shared" si="65"/>
        <v>1244979.2263528986</v>
      </c>
      <c r="K562" s="122">
        <f t="shared" si="66"/>
        <v>0</v>
      </c>
      <c r="L562" s="122">
        <f t="shared" si="67"/>
        <v>1244979.2263528986</v>
      </c>
    </row>
    <row r="563" spans="1:12">
      <c r="A563" s="114">
        <v>33</v>
      </c>
      <c r="B563" s="117" t="s">
        <v>503</v>
      </c>
      <c r="C563" s="116" t="s">
        <v>149</v>
      </c>
      <c r="D563" s="116">
        <v>0.49</v>
      </c>
      <c r="E563" s="108">
        <v>0.49</v>
      </c>
      <c r="F563" s="156"/>
      <c r="G563" s="156">
        <f t="shared" si="64"/>
        <v>0.49</v>
      </c>
      <c r="H563" s="122">
        <v>1783035.3754178607</v>
      </c>
      <c r="I563" s="122"/>
      <c r="J563" s="122">
        <f t="shared" si="65"/>
        <v>873687.33395475172</v>
      </c>
      <c r="K563" s="122">
        <f t="shared" si="66"/>
        <v>0</v>
      </c>
      <c r="L563" s="122">
        <f t="shared" si="67"/>
        <v>873687.33395475172</v>
      </c>
    </row>
    <row r="564" spans="1:12">
      <c r="A564" s="114">
        <v>34</v>
      </c>
      <c r="B564" s="117" t="s">
        <v>418</v>
      </c>
      <c r="C564" s="116" t="s">
        <v>145</v>
      </c>
      <c r="D564" s="116">
        <v>7.2999999999999995E-2</v>
      </c>
      <c r="E564" s="108">
        <v>7.2999999999999995E-2</v>
      </c>
      <c r="F564" s="156"/>
      <c r="G564" s="156">
        <f t="shared" si="64"/>
        <v>7.2999999999999995E-2</v>
      </c>
      <c r="H564" s="122">
        <v>30928790.531593096</v>
      </c>
      <c r="I564" s="122"/>
      <c r="J564" s="122">
        <f t="shared" si="65"/>
        <v>2257801.7088062959</v>
      </c>
      <c r="K564" s="122">
        <f t="shared" si="66"/>
        <v>0</v>
      </c>
      <c r="L564" s="122">
        <f t="shared" si="67"/>
        <v>2257801.7088062959</v>
      </c>
    </row>
    <row r="565" spans="1:12">
      <c r="A565" s="114">
        <v>35</v>
      </c>
      <c r="B565" s="117" t="s">
        <v>419</v>
      </c>
      <c r="C565" s="116" t="s">
        <v>145</v>
      </c>
      <c r="D565" s="116">
        <v>0.157</v>
      </c>
      <c r="E565" s="108">
        <v>0.157</v>
      </c>
      <c r="F565" s="156"/>
      <c r="G565" s="156">
        <f t="shared" si="64"/>
        <v>0.157</v>
      </c>
      <c r="H565" s="122">
        <v>30775729.176017962</v>
      </c>
      <c r="I565" s="122"/>
      <c r="J565" s="122">
        <f t="shared" si="65"/>
        <v>4831789.4806348197</v>
      </c>
      <c r="K565" s="122">
        <f t="shared" si="66"/>
        <v>0</v>
      </c>
      <c r="L565" s="122">
        <f t="shared" si="67"/>
        <v>4831789.4806348197</v>
      </c>
    </row>
    <row r="566" spans="1:12">
      <c r="A566" s="114">
        <v>36</v>
      </c>
      <c r="B566" s="117" t="s">
        <v>552</v>
      </c>
      <c r="C566" s="116" t="s">
        <v>144</v>
      </c>
      <c r="D566" s="116">
        <v>1.47</v>
      </c>
      <c r="E566" s="108">
        <v>1.47</v>
      </c>
      <c r="F566" s="156"/>
      <c r="G566" s="156">
        <f t="shared" ref="G566:G582" si="68">+E566</f>
        <v>1.47</v>
      </c>
      <c r="H566" s="122">
        <v>1575565.5577879534</v>
      </c>
      <c r="I566" s="122"/>
      <c r="J566" s="122">
        <f t="shared" si="65"/>
        <v>2316081.3699482917</v>
      </c>
      <c r="K566" s="122">
        <f t="shared" si="66"/>
        <v>0</v>
      </c>
      <c r="L566" s="122">
        <f t="shared" si="67"/>
        <v>2316081.3699482917</v>
      </c>
    </row>
    <row r="567" spans="1:12">
      <c r="A567" s="114">
        <v>37</v>
      </c>
      <c r="B567" s="117" t="s">
        <v>553</v>
      </c>
      <c r="C567" s="116" t="s">
        <v>146</v>
      </c>
      <c r="D567" s="116">
        <v>0.189</v>
      </c>
      <c r="E567" s="108">
        <v>0.189</v>
      </c>
      <c r="F567" s="156"/>
      <c r="G567" s="156">
        <f t="shared" si="68"/>
        <v>0.189</v>
      </c>
      <c r="H567" s="122">
        <v>20822861.018433131</v>
      </c>
      <c r="I567" s="122"/>
      <c r="J567" s="122">
        <f t="shared" si="65"/>
        <v>3935520.732483862</v>
      </c>
      <c r="K567" s="122">
        <f t="shared" si="66"/>
        <v>0</v>
      </c>
      <c r="L567" s="122">
        <f t="shared" si="67"/>
        <v>3935520.732483862</v>
      </c>
    </row>
    <row r="568" spans="1:12">
      <c r="A568" s="114">
        <v>38</v>
      </c>
      <c r="B568" s="117" t="s">
        <v>554</v>
      </c>
      <c r="C568" s="116" t="s">
        <v>146</v>
      </c>
      <c r="D568" s="116">
        <v>7.2999999999999995E-2</v>
      </c>
      <c r="E568" s="108">
        <v>7.2999999999999995E-2</v>
      </c>
      <c r="F568" s="156"/>
      <c r="G568" s="156">
        <f t="shared" si="68"/>
        <v>7.2999999999999995E-2</v>
      </c>
      <c r="H568" s="122">
        <v>20950800.450216107</v>
      </c>
      <c r="I568" s="122"/>
      <c r="J568" s="122">
        <f t="shared" si="65"/>
        <v>1529408.4328657757</v>
      </c>
      <c r="K568" s="122">
        <f t="shared" si="66"/>
        <v>0</v>
      </c>
      <c r="L568" s="122">
        <f t="shared" si="67"/>
        <v>1529408.4328657757</v>
      </c>
    </row>
    <row r="569" spans="1:12">
      <c r="A569" s="114">
        <v>39</v>
      </c>
      <c r="B569" s="117" t="s">
        <v>555</v>
      </c>
      <c r="C569" s="116" t="s">
        <v>149</v>
      </c>
      <c r="D569" s="116">
        <v>8.7999999999999995E-2</v>
      </c>
      <c r="E569" s="108">
        <v>8.7999999999999995E-2</v>
      </c>
      <c r="F569" s="156"/>
      <c r="G569" s="156">
        <f t="shared" si="68"/>
        <v>8.7999999999999995E-2</v>
      </c>
      <c r="H569" s="122">
        <v>5813935.4808997139</v>
      </c>
      <c r="I569" s="122"/>
      <c r="J569" s="122">
        <f t="shared" si="65"/>
        <v>511626.32231917477</v>
      </c>
      <c r="K569" s="122">
        <f t="shared" si="66"/>
        <v>0</v>
      </c>
      <c r="L569" s="122">
        <f t="shared" si="67"/>
        <v>511626.32231917477</v>
      </c>
    </row>
    <row r="570" spans="1:12">
      <c r="A570" s="114"/>
      <c r="B570" s="117" t="s">
        <v>556</v>
      </c>
      <c r="C570" s="116"/>
      <c r="D570" s="116"/>
      <c r="E570" s="108"/>
      <c r="F570" s="156"/>
      <c r="G570" s="156">
        <f t="shared" si="68"/>
        <v>0</v>
      </c>
      <c r="H570" s="122"/>
      <c r="I570" s="122"/>
      <c r="J570" s="122">
        <f t="shared" si="65"/>
        <v>0</v>
      </c>
      <c r="K570" s="122">
        <f t="shared" si="66"/>
        <v>0</v>
      </c>
      <c r="L570" s="122">
        <f t="shared" si="67"/>
        <v>0</v>
      </c>
    </row>
    <row r="571" spans="1:12">
      <c r="A571" s="114">
        <v>40</v>
      </c>
      <c r="B571" s="117" t="s">
        <v>557</v>
      </c>
      <c r="C571" s="116" t="s">
        <v>144</v>
      </c>
      <c r="D571" s="116">
        <v>4.6399999999999997</v>
      </c>
      <c r="E571" s="108">
        <v>4.6399999999999997</v>
      </c>
      <c r="F571" s="156"/>
      <c r="G571" s="156">
        <f t="shared" si="68"/>
        <v>4.6399999999999997</v>
      </c>
      <c r="H571" s="122">
        <v>1293675.19750221</v>
      </c>
      <c r="I571" s="122"/>
      <c r="J571" s="122">
        <f t="shared" si="65"/>
        <v>6002652.9164102543</v>
      </c>
      <c r="K571" s="122">
        <f t="shared" si="66"/>
        <v>0</v>
      </c>
      <c r="L571" s="122">
        <f t="shared" si="67"/>
        <v>6002652.9164102543</v>
      </c>
    </row>
    <row r="572" spans="1:12">
      <c r="A572" s="114">
        <v>41</v>
      </c>
      <c r="B572" s="117" t="s">
        <v>558</v>
      </c>
      <c r="C572" s="116" t="s">
        <v>144</v>
      </c>
      <c r="D572" s="116">
        <v>3.2639999999999998</v>
      </c>
      <c r="E572" s="108">
        <v>3.2639999999999998</v>
      </c>
      <c r="F572" s="156"/>
      <c r="G572" s="156">
        <f t="shared" si="68"/>
        <v>3.2639999999999998</v>
      </c>
      <c r="H572" s="122">
        <v>1282781.8846939367</v>
      </c>
      <c r="I572" s="122"/>
      <c r="J572" s="122">
        <f t="shared" si="65"/>
        <v>4187000.0716410088</v>
      </c>
      <c r="K572" s="122">
        <f t="shared" si="66"/>
        <v>0</v>
      </c>
      <c r="L572" s="122">
        <f t="shared" si="67"/>
        <v>4187000.0716410088</v>
      </c>
    </row>
    <row r="573" spans="1:12">
      <c r="A573" s="114">
        <v>42</v>
      </c>
      <c r="B573" s="117" t="s">
        <v>530</v>
      </c>
      <c r="C573" s="116" t="s">
        <v>149</v>
      </c>
      <c r="D573" s="116">
        <v>0.151</v>
      </c>
      <c r="E573" s="108">
        <v>0.151</v>
      </c>
      <c r="F573" s="156"/>
      <c r="G573" s="156">
        <f t="shared" si="68"/>
        <v>0.151</v>
      </c>
      <c r="H573" s="122">
        <v>5813935.4808997139</v>
      </c>
      <c r="I573" s="122"/>
      <c r="J573" s="122">
        <f t="shared" si="65"/>
        <v>877904.25761585683</v>
      </c>
      <c r="K573" s="122">
        <f t="shared" si="66"/>
        <v>0</v>
      </c>
      <c r="L573" s="122">
        <f t="shared" si="67"/>
        <v>877904.25761585683</v>
      </c>
    </row>
    <row r="574" spans="1:12">
      <c r="A574" s="114">
        <v>43</v>
      </c>
      <c r="B574" s="117" t="s">
        <v>425</v>
      </c>
      <c r="C574" s="116" t="s">
        <v>144</v>
      </c>
      <c r="D574" s="116">
        <v>1.68</v>
      </c>
      <c r="E574" s="108">
        <v>1.68</v>
      </c>
      <c r="F574" s="156"/>
      <c r="G574" s="156">
        <f t="shared" si="68"/>
        <v>1.68</v>
      </c>
      <c r="H574" s="122">
        <v>842210.9705639804</v>
      </c>
      <c r="I574" s="122"/>
      <c r="J574" s="122">
        <f t="shared" si="65"/>
        <v>1414914.430547487</v>
      </c>
      <c r="K574" s="122">
        <f t="shared" si="66"/>
        <v>0</v>
      </c>
      <c r="L574" s="122">
        <f t="shared" si="67"/>
        <v>1414914.430547487</v>
      </c>
    </row>
    <row r="575" spans="1:12">
      <c r="A575" s="114"/>
      <c r="B575" s="117" t="s">
        <v>559</v>
      </c>
      <c r="C575" s="116"/>
      <c r="D575" s="116"/>
      <c r="E575" s="108">
        <v>0</v>
      </c>
      <c r="F575" s="156"/>
      <c r="G575" s="156">
        <f t="shared" si="68"/>
        <v>0</v>
      </c>
      <c r="H575" s="122"/>
      <c r="I575" s="122"/>
      <c r="J575" s="122">
        <f t="shared" si="65"/>
        <v>0</v>
      </c>
      <c r="K575" s="122">
        <f t="shared" si="66"/>
        <v>0</v>
      </c>
      <c r="L575" s="122">
        <f t="shared" si="67"/>
        <v>0</v>
      </c>
    </row>
    <row r="576" spans="1:12">
      <c r="A576" s="114">
        <v>44</v>
      </c>
      <c r="B576" s="117" t="s">
        <v>529</v>
      </c>
      <c r="C576" s="116" t="s">
        <v>152</v>
      </c>
      <c r="D576" s="116">
        <v>8.7720000000000002</v>
      </c>
      <c r="E576" s="108">
        <v>8.7720000000000002</v>
      </c>
      <c r="F576" s="156"/>
      <c r="G576" s="156">
        <f t="shared" si="68"/>
        <v>8.7720000000000002</v>
      </c>
      <c r="H576" s="122">
        <v>248494.77608793168</v>
      </c>
      <c r="I576" s="122"/>
      <c r="J576" s="122">
        <f t="shared" si="65"/>
        <v>2179796.1758433366</v>
      </c>
      <c r="K576" s="122">
        <f t="shared" si="66"/>
        <v>0</v>
      </c>
      <c r="L576" s="122">
        <f t="shared" si="67"/>
        <v>2179796.1758433366</v>
      </c>
    </row>
    <row r="577" spans="1:17">
      <c r="A577" s="114">
        <v>45</v>
      </c>
      <c r="B577" s="117" t="s">
        <v>480</v>
      </c>
      <c r="C577" s="116" t="s">
        <v>145</v>
      </c>
      <c r="D577" s="116">
        <v>3.3450000000000002</v>
      </c>
      <c r="E577" s="108">
        <v>3.3450000000000002</v>
      </c>
      <c r="F577" s="156"/>
      <c r="G577" s="156">
        <f t="shared" si="68"/>
        <v>3.3450000000000002</v>
      </c>
      <c r="H577" s="122">
        <v>2214350.953738424</v>
      </c>
      <c r="I577" s="122"/>
      <c r="J577" s="122">
        <f t="shared" si="65"/>
        <v>7407003.9402550291</v>
      </c>
      <c r="K577" s="122">
        <f t="shared" si="66"/>
        <v>0</v>
      </c>
      <c r="L577" s="122">
        <f t="shared" si="67"/>
        <v>7407003.9402550291</v>
      </c>
    </row>
    <row r="578" spans="1:17">
      <c r="A578" s="114">
        <v>46</v>
      </c>
      <c r="B578" s="117" t="s">
        <v>325</v>
      </c>
      <c r="C578" s="116" t="s">
        <v>145</v>
      </c>
      <c r="D578" s="116">
        <v>0.48199999999999998</v>
      </c>
      <c r="E578" s="108">
        <v>0.48199999999999998</v>
      </c>
      <c r="F578" s="156"/>
      <c r="G578" s="156">
        <f t="shared" si="68"/>
        <v>0.48199999999999998</v>
      </c>
      <c r="H578" s="122">
        <v>3387145.2779199071</v>
      </c>
      <c r="I578" s="122"/>
      <c r="J578" s="122">
        <f t="shared" si="65"/>
        <v>1632604.0239573952</v>
      </c>
      <c r="K578" s="122">
        <f t="shared" si="66"/>
        <v>0</v>
      </c>
      <c r="L578" s="122">
        <f t="shared" si="67"/>
        <v>1632604.0239573952</v>
      </c>
    </row>
    <row r="579" spans="1:17">
      <c r="A579" s="114">
        <v>47</v>
      </c>
      <c r="B579" s="117" t="s">
        <v>399</v>
      </c>
      <c r="C579" s="116" t="s">
        <v>145</v>
      </c>
      <c r="D579" s="116">
        <v>1.079</v>
      </c>
      <c r="E579" s="108">
        <v>1.079</v>
      </c>
      <c r="F579" s="156"/>
      <c r="G579" s="156">
        <f t="shared" si="68"/>
        <v>1.079</v>
      </c>
      <c r="H579" s="122">
        <v>1164771.501309423</v>
      </c>
      <c r="I579" s="122"/>
      <c r="J579" s="122">
        <f t="shared" si="65"/>
        <v>1256788.4499128673</v>
      </c>
      <c r="K579" s="122">
        <f t="shared" si="66"/>
        <v>0</v>
      </c>
      <c r="L579" s="122">
        <f t="shared" si="67"/>
        <v>1256788.4499128673</v>
      </c>
    </row>
    <row r="580" spans="1:17" hidden="1">
      <c r="A580" s="114"/>
      <c r="B580" s="117" t="s">
        <v>874</v>
      </c>
      <c r="C580" s="116"/>
      <c r="D580" s="116"/>
      <c r="E580" s="108">
        <v>588.84530000000018</v>
      </c>
      <c r="F580" s="156"/>
      <c r="G580" s="156">
        <f t="shared" si="68"/>
        <v>588.84530000000018</v>
      </c>
      <c r="H580" s="122"/>
      <c r="I580" s="122"/>
      <c r="J580" s="122">
        <f t="shared" si="65"/>
        <v>0</v>
      </c>
      <c r="K580" s="122">
        <f t="shared" si="66"/>
        <v>0</v>
      </c>
      <c r="L580" s="122">
        <f t="shared" si="67"/>
        <v>0</v>
      </c>
    </row>
    <row r="581" spans="1:17" hidden="1">
      <c r="A581" s="114"/>
      <c r="B581" s="117" t="s">
        <v>875</v>
      </c>
      <c r="C581" s="116"/>
      <c r="D581" s="116"/>
      <c r="E581" s="108">
        <v>1028.1770000000001</v>
      </c>
      <c r="F581" s="156"/>
      <c r="G581" s="156">
        <f t="shared" si="68"/>
        <v>1028.1770000000001</v>
      </c>
      <c r="H581" s="122"/>
      <c r="I581" s="122"/>
      <c r="J581" s="122">
        <f t="shared" si="65"/>
        <v>0</v>
      </c>
      <c r="K581" s="122">
        <f t="shared" si="66"/>
        <v>0</v>
      </c>
      <c r="L581" s="122">
        <f t="shared" si="67"/>
        <v>0</v>
      </c>
    </row>
    <row r="582" spans="1:17" hidden="1">
      <c r="A582" s="114"/>
      <c r="B582" s="117" t="s">
        <v>876</v>
      </c>
      <c r="C582" s="116"/>
      <c r="D582" s="116"/>
      <c r="E582" s="108">
        <v>336.51399999999995</v>
      </c>
      <c r="F582" s="156"/>
      <c r="G582" s="156">
        <f t="shared" si="68"/>
        <v>336.51399999999995</v>
      </c>
      <c r="H582" s="122"/>
      <c r="I582" s="122"/>
      <c r="J582" s="122">
        <f t="shared" si="65"/>
        <v>0</v>
      </c>
      <c r="K582" s="122">
        <f t="shared" si="66"/>
        <v>0</v>
      </c>
      <c r="L582" s="122">
        <f t="shared" si="67"/>
        <v>0</v>
      </c>
    </row>
    <row r="583" spans="1:17" s="154" customFormat="1">
      <c r="A583" s="149" t="s">
        <v>3</v>
      </c>
      <c r="B583" s="150" t="s">
        <v>877</v>
      </c>
      <c r="C583" s="151"/>
      <c r="D583" s="151"/>
      <c r="E583" s="152"/>
      <c r="F583" s="163"/>
      <c r="G583" s="163"/>
      <c r="H583" s="153"/>
      <c r="I583" s="153"/>
      <c r="J583" s="174">
        <f>+SUM(J586:J835)</f>
        <v>27624376683.095127</v>
      </c>
      <c r="K583" s="174" t="e">
        <f t="shared" ref="K583:L583" si="69">+SUM(K586:K835)</f>
        <v>#REF!</v>
      </c>
      <c r="L583" s="174" t="e">
        <f t="shared" si="69"/>
        <v>#REF!</v>
      </c>
      <c r="M583" s="175">
        <v>27624376683.095104</v>
      </c>
    </row>
    <row r="584" spans="1:17" s="154" customFormat="1">
      <c r="A584" s="149" t="s">
        <v>23</v>
      </c>
      <c r="B584" s="150" t="s">
        <v>507</v>
      </c>
      <c r="C584" s="151"/>
      <c r="D584" s="151"/>
      <c r="E584" s="152"/>
      <c r="F584" s="163"/>
      <c r="G584" s="163"/>
      <c r="H584" s="153"/>
      <c r="I584" s="153"/>
      <c r="J584" s="153"/>
      <c r="K584" s="153"/>
      <c r="L584" s="153"/>
      <c r="M584" s="175" t="e">
        <f>+L583+K583</f>
        <v>#REF!</v>
      </c>
    </row>
    <row r="585" spans="1:17">
      <c r="A585" s="114"/>
      <c r="B585" s="115" t="s">
        <v>349</v>
      </c>
      <c r="C585" s="116"/>
      <c r="D585" s="116"/>
      <c r="E585" s="108"/>
      <c r="F585" s="156"/>
      <c r="G585" s="156"/>
      <c r="H585" s="122"/>
      <c r="I585" s="122"/>
      <c r="J585" s="122"/>
      <c r="K585" s="122"/>
      <c r="L585" s="122"/>
      <c r="M585" s="121" t="e">
        <f>+M583-M584</f>
        <v>#REF!</v>
      </c>
    </row>
    <row r="586" spans="1:17">
      <c r="A586" s="114">
        <v>1</v>
      </c>
      <c r="B586" s="117" t="s">
        <v>584</v>
      </c>
      <c r="C586" s="116" t="s">
        <v>145</v>
      </c>
      <c r="D586" s="116">
        <v>39.005000000000003</v>
      </c>
      <c r="E586" s="108">
        <v>36.466987500000002</v>
      </c>
      <c r="F586" s="156" t="e">
        <f>+E586-G586</f>
        <v>#REF!</v>
      </c>
      <c r="G586" s="156" t="e">
        <f>+#REF!+#REF!+#REF!</f>
        <v>#REF!</v>
      </c>
      <c r="H586" s="122">
        <v>813558.68289020867</v>
      </c>
      <c r="I586" s="122"/>
      <c r="J586" s="122">
        <f t="shared" si="65"/>
        <v>29668034.319473706</v>
      </c>
      <c r="K586" s="122" t="e">
        <f t="shared" si="66"/>
        <v>#REF!</v>
      </c>
      <c r="L586" s="122" t="e">
        <f t="shared" si="67"/>
        <v>#REF!</v>
      </c>
      <c r="N586" s="121"/>
      <c r="O586" s="121"/>
      <c r="Q586" s="121"/>
    </row>
    <row r="587" spans="1:17">
      <c r="A587" s="114">
        <v>2</v>
      </c>
      <c r="B587" s="117" t="s">
        <v>393</v>
      </c>
      <c r="C587" s="116" t="s">
        <v>145</v>
      </c>
      <c r="D587" s="116">
        <v>18.158999999999999</v>
      </c>
      <c r="E587" s="108">
        <v>18.1312</v>
      </c>
      <c r="F587" s="156" t="e">
        <f t="shared" ref="F587:F592" si="70">+E587-G587</f>
        <v>#REF!</v>
      </c>
      <c r="G587" s="156" t="e">
        <f>+#REF!+#REF!+#REF!</f>
        <v>#REF!</v>
      </c>
      <c r="H587" s="122">
        <v>1826396.1566618159</v>
      </c>
      <c r="I587" s="122"/>
      <c r="J587" s="122">
        <f t="shared" si="65"/>
        <v>33114753.995666716</v>
      </c>
      <c r="K587" s="122" t="e">
        <f t="shared" si="66"/>
        <v>#REF!</v>
      </c>
      <c r="L587" s="122" t="e">
        <f t="shared" si="67"/>
        <v>#REF!</v>
      </c>
      <c r="N587" s="121"/>
      <c r="O587" s="121"/>
      <c r="Q587" s="121"/>
    </row>
    <row r="588" spans="1:17">
      <c r="A588" s="114">
        <v>3</v>
      </c>
      <c r="B588" s="117" t="s">
        <v>394</v>
      </c>
      <c r="C588" s="116" t="s">
        <v>145</v>
      </c>
      <c r="D588" s="116">
        <v>79.519000000000005</v>
      </c>
      <c r="E588" s="108">
        <v>233.95019149999999</v>
      </c>
      <c r="F588" s="156" t="e">
        <f t="shared" si="70"/>
        <v>#REF!</v>
      </c>
      <c r="G588" s="156" t="e">
        <f>+#REF!+#REF!+#REF!+#REF!+#REF!+#REF!</f>
        <v>#REF!</v>
      </c>
      <c r="H588" s="122">
        <v>2175908.7549432274</v>
      </c>
      <c r="I588" s="122"/>
      <c r="J588" s="122">
        <f t="shared" ref="J588:J641" si="71">+E588*MAX(H588:I588)</f>
        <v>509054269.90549457</v>
      </c>
      <c r="K588" s="122" t="e">
        <f t="shared" ref="K588:K641" si="72">+F588*MAX(H588:I588)</f>
        <v>#REF!</v>
      </c>
      <c r="L588" s="122" t="e">
        <f t="shared" ref="L588:L641" si="73">+G588*MAX(H588:I588)</f>
        <v>#REF!</v>
      </c>
      <c r="N588" s="121"/>
      <c r="O588" s="121"/>
      <c r="Q588" s="121"/>
    </row>
    <row r="589" spans="1:17">
      <c r="A589" s="114">
        <v>4</v>
      </c>
      <c r="B589" s="117" t="s">
        <v>585</v>
      </c>
      <c r="C589" s="116" t="s">
        <v>145</v>
      </c>
      <c r="D589" s="116">
        <v>22</v>
      </c>
      <c r="E589" s="108">
        <v>22</v>
      </c>
      <c r="F589" s="156">
        <f t="shared" si="70"/>
        <v>22</v>
      </c>
      <c r="G589" s="156">
        <v>0</v>
      </c>
      <c r="H589" s="122">
        <v>15951456.685418917</v>
      </c>
      <c r="I589" s="122"/>
      <c r="J589" s="122">
        <f t="shared" si="71"/>
        <v>350932047.07921618</v>
      </c>
      <c r="K589" s="122">
        <f t="shared" si="72"/>
        <v>350932047.07921618</v>
      </c>
      <c r="L589" s="122">
        <f t="shared" si="73"/>
        <v>0</v>
      </c>
      <c r="N589" s="121"/>
      <c r="O589" s="121"/>
      <c r="Q589" s="121"/>
    </row>
    <row r="590" spans="1:17">
      <c r="A590" s="114">
        <v>5</v>
      </c>
      <c r="B590" s="117" t="s">
        <v>396</v>
      </c>
      <c r="C590" s="116" t="s">
        <v>145</v>
      </c>
      <c r="D590" s="116">
        <v>22</v>
      </c>
      <c r="E590" s="108">
        <v>22</v>
      </c>
      <c r="F590" s="156">
        <f t="shared" si="70"/>
        <v>22</v>
      </c>
      <c r="G590" s="156">
        <v>0</v>
      </c>
      <c r="H590" s="122">
        <v>1380667.513354857</v>
      </c>
      <c r="I590" s="122"/>
      <c r="J590" s="122">
        <f t="shared" si="71"/>
        <v>30374685.293806855</v>
      </c>
      <c r="K590" s="122">
        <f t="shared" si="72"/>
        <v>30374685.293806855</v>
      </c>
      <c r="L590" s="122">
        <f t="shared" si="73"/>
        <v>0</v>
      </c>
      <c r="N590" s="121"/>
      <c r="O590" s="121"/>
      <c r="Q590" s="121"/>
    </row>
    <row r="591" spans="1:17">
      <c r="A591" s="114">
        <v>6</v>
      </c>
      <c r="B591" s="117" t="s">
        <v>397</v>
      </c>
      <c r="C591" s="116" t="s">
        <v>145</v>
      </c>
      <c r="D591" s="116">
        <v>121.889</v>
      </c>
      <c r="E591" s="108">
        <v>142.0284685</v>
      </c>
      <c r="F591" s="156" t="e">
        <f t="shared" si="70"/>
        <v>#REF!</v>
      </c>
      <c r="G591" s="156" t="e">
        <f>+#REF!+#REF!+#REF!</f>
        <v>#REF!</v>
      </c>
      <c r="H591" s="122">
        <v>2214350.953738424</v>
      </c>
      <c r="I591" s="122"/>
      <c r="J591" s="122">
        <f t="shared" si="71"/>
        <v>314500874.68098271</v>
      </c>
      <c r="K591" s="122" t="e">
        <f t="shared" si="72"/>
        <v>#REF!</v>
      </c>
      <c r="L591" s="122" t="e">
        <f t="shared" si="73"/>
        <v>#REF!</v>
      </c>
      <c r="N591" s="121"/>
      <c r="O591" s="121"/>
      <c r="Q591" s="121"/>
    </row>
    <row r="592" spans="1:17">
      <c r="A592" s="114">
        <v>7</v>
      </c>
      <c r="B592" s="117" t="s">
        <v>398</v>
      </c>
      <c r="C592" s="116" t="s">
        <v>145</v>
      </c>
      <c r="D592" s="116">
        <v>21.744</v>
      </c>
      <c r="E592" s="108">
        <v>24.7135675</v>
      </c>
      <c r="F592" s="156" t="e">
        <f t="shared" si="70"/>
        <v>#REF!</v>
      </c>
      <c r="G592" s="156" t="e">
        <f>+#REF!+#REF!+#REF!</f>
        <v>#REF!</v>
      </c>
      <c r="H592" s="122">
        <v>2610425.2873970545</v>
      </c>
      <c r="I592" s="122"/>
      <c r="J592" s="122">
        <f t="shared" si="71"/>
        <v>64512921.543794006</v>
      </c>
      <c r="K592" s="122" t="e">
        <f t="shared" si="72"/>
        <v>#REF!</v>
      </c>
      <c r="L592" s="122" t="e">
        <f t="shared" si="73"/>
        <v>#REF!</v>
      </c>
      <c r="N592" s="121"/>
      <c r="O592" s="121"/>
      <c r="Q592" s="121"/>
    </row>
    <row r="593" spans="1:15" s="178" customFormat="1">
      <c r="A593" s="114">
        <v>8</v>
      </c>
      <c r="B593" s="117" t="s">
        <v>586</v>
      </c>
      <c r="C593" s="116" t="s">
        <v>145</v>
      </c>
      <c r="D593" s="116">
        <v>5.3280000000000003</v>
      </c>
      <c r="E593" s="108">
        <v>5.3280000000000003</v>
      </c>
      <c r="F593" s="176">
        <f>+G593</f>
        <v>2.6640000000000001</v>
      </c>
      <c r="G593" s="176">
        <f>+E593/2</f>
        <v>2.6640000000000001</v>
      </c>
      <c r="H593" s="177">
        <v>1400038.3480545897</v>
      </c>
      <c r="I593" s="177"/>
      <c r="J593" s="177">
        <f t="shared" si="71"/>
        <v>7459404.318434854</v>
      </c>
      <c r="K593" s="177">
        <f t="shared" si="72"/>
        <v>3729702.159217427</v>
      </c>
      <c r="L593" s="177">
        <f t="shared" si="73"/>
        <v>3729702.159217427</v>
      </c>
      <c r="N593" s="121"/>
      <c r="O593" s="121"/>
    </row>
    <row r="594" spans="1:15">
      <c r="A594" s="114">
        <v>9</v>
      </c>
      <c r="B594" s="117" t="s">
        <v>399</v>
      </c>
      <c r="C594" s="116" t="s">
        <v>145</v>
      </c>
      <c r="D594" s="116">
        <v>312.54599999999999</v>
      </c>
      <c r="E594" s="108">
        <v>282.58193199999999</v>
      </c>
      <c r="F594" s="156" t="e">
        <f>+E594-G594</f>
        <v>#REF!</v>
      </c>
      <c r="G594" s="156" t="e">
        <f>+#REF!+#REF!+#REF!</f>
        <v>#REF!</v>
      </c>
      <c r="H594" s="122">
        <v>1164771.501309423</v>
      </c>
      <c r="I594" s="122"/>
      <c r="J594" s="122">
        <f t="shared" si="71"/>
        <v>329143381.17855728</v>
      </c>
      <c r="K594" s="122" t="e">
        <f t="shared" si="72"/>
        <v>#REF!</v>
      </c>
      <c r="L594" s="122" t="e">
        <f t="shared" si="73"/>
        <v>#REF!</v>
      </c>
      <c r="M594" s="164"/>
      <c r="N594" s="121"/>
      <c r="O594" s="121"/>
    </row>
    <row r="595" spans="1:15">
      <c r="A595" s="114">
        <v>10</v>
      </c>
      <c r="B595" s="117" t="s">
        <v>400</v>
      </c>
      <c r="C595" s="116" t="s">
        <v>145</v>
      </c>
      <c r="D595" s="116">
        <v>129.989</v>
      </c>
      <c r="E595" s="108">
        <v>132.94088725</v>
      </c>
      <c r="F595" s="156" t="e">
        <f>+E595-G595</f>
        <v>#REF!</v>
      </c>
      <c r="G595" s="156" t="e">
        <f>+#REF!+#REF!+#REF!</f>
        <v>#REF!</v>
      </c>
      <c r="H595" s="122">
        <v>1417530.6953819983</v>
      </c>
      <c r="I595" s="122"/>
      <c r="J595" s="122">
        <f t="shared" si="71"/>
        <v>188447788.34819233</v>
      </c>
      <c r="K595" s="122" t="e">
        <f t="shared" si="72"/>
        <v>#REF!</v>
      </c>
      <c r="L595" s="122" t="e">
        <f t="shared" si="73"/>
        <v>#REF!</v>
      </c>
      <c r="M595" s="164"/>
      <c r="N595" s="121"/>
      <c r="O595" s="121"/>
    </row>
    <row r="596" spans="1:15">
      <c r="A596" s="114"/>
      <c r="B596" s="117" t="s">
        <v>523</v>
      </c>
      <c r="C596" s="116"/>
      <c r="D596" s="116"/>
      <c r="E596" s="108"/>
      <c r="F596" s="156"/>
      <c r="G596" s="156"/>
      <c r="H596" s="122"/>
      <c r="I596" s="122"/>
      <c r="J596" s="122">
        <f t="shared" si="71"/>
        <v>0</v>
      </c>
      <c r="K596" s="122">
        <f t="shared" si="72"/>
        <v>0</v>
      </c>
      <c r="L596" s="122">
        <f t="shared" si="73"/>
        <v>0</v>
      </c>
      <c r="N596" s="121"/>
      <c r="O596" s="121"/>
    </row>
    <row r="597" spans="1:15" s="170" customFormat="1">
      <c r="A597" s="165">
        <v>11</v>
      </c>
      <c r="B597" s="166" t="s">
        <v>401</v>
      </c>
      <c r="C597" s="167" t="s">
        <v>144</v>
      </c>
      <c r="D597" s="167">
        <v>20117.666000000001</v>
      </c>
      <c r="E597" s="143">
        <v>11473.242473150593</v>
      </c>
      <c r="F597" s="168">
        <f>+E597-G597</f>
        <v>3735.1575556505868</v>
      </c>
      <c r="G597" s="168">
        <f>+'phân chia trước điều chỉnh'!F516</f>
        <v>7738.0849175000058</v>
      </c>
      <c r="H597" s="169">
        <v>56510.720570152102</v>
      </c>
      <c r="I597" s="169"/>
      <c r="J597" s="169">
        <f t="shared" si="71"/>
        <v>648361199.43381393</v>
      </c>
      <c r="K597" s="169">
        <f t="shared" si="72"/>
        <v>211076444.91286266</v>
      </c>
      <c r="L597" s="169">
        <f t="shared" si="73"/>
        <v>437284754.52095133</v>
      </c>
      <c r="M597" s="209" t="s">
        <v>900</v>
      </c>
      <c r="N597" s="121"/>
      <c r="O597" s="121"/>
    </row>
    <row r="598" spans="1:15" s="170" customFormat="1">
      <c r="A598" s="165">
        <v>12</v>
      </c>
      <c r="B598" s="166" t="s">
        <v>402</v>
      </c>
      <c r="C598" s="167" t="s">
        <v>144</v>
      </c>
      <c r="D598" s="167">
        <v>17943.448</v>
      </c>
      <c r="E598" s="143">
        <v>10478.655688000003</v>
      </c>
      <c r="F598" s="168"/>
      <c r="G598" s="168">
        <f>+E598</f>
        <v>10478.655688000003</v>
      </c>
      <c r="H598" s="169">
        <v>56510.720570152102</v>
      </c>
      <c r="I598" s="169"/>
      <c r="J598" s="169">
        <f t="shared" si="71"/>
        <v>592156383.53540301</v>
      </c>
      <c r="K598" s="169">
        <f t="shared" si="72"/>
        <v>0</v>
      </c>
      <c r="L598" s="169">
        <f t="shared" si="73"/>
        <v>592156383.53540301</v>
      </c>
      <c r="M598" s="209"/>
      <c r="N598" s="121"/>
      <c r="O598" s="121"/>
    </row>
    <row r="599" spans="1:15" s="170" customFormat="1" ht="31.2">
      <c r="A599" s="165"/>
      <c r="B599" s="166" t="s">
        <v>587</v>
      </c>
      <c r="C599" s="167"/>
      <c r="D599" s="167"/>
      <c r="E599" s="143"/>
      <c r="F599" s="168"/>
      <c r="G599" s="168"/>
      <c r="H599" s="169"/>
      <c r="I599" s="169"/>
      <c r="J599" s="169">
        <f t="shared" si="71"/>
        <v>0</v>
      </c>
      <c r="K599" s="169">
        <f t="shared" si="72"/>
        <v>0</v>
      </c>
      <c r="L599" s="169">
        <f t="shared" si="73"/>
        <v>0</v>
      </c>
      <c r="M599" s="209"/>
      <c r="N599" s="121"/>
      <c r="O599" s="121"/>
    </row>
    <row r="600" spans="1:15" s="170" customFormat="1">
      <c r="A600" s="165">
        <v>13</v>
      </c>
      <c r="B600" s="166" t="s">
        <v>403</v>
      </c>
      <c r="C600" s="167" t="s">
        <v>252</v>
      </c>
      <c r="D600" s="167">
        <v>3806.1109999999999</v>
      </c>
      <c r="E600" s="143">
        <v>2195.1894161150594</v>
      </c>
      <c r="F600" s="168">
        <f>+E600-G600</f>
        <v>373.51535556505837</v>
      </c>
      <c r="G600" s="168">
        <f>+(G597+G598)/10</f>
        <v>1821.6740605500011</v>
      </c>
      <c r="H600" s="169">
        <v>81312.459724288317</v>
      </c>
      <c r="I600" s="169"/>
      <c r="J600" s="169">
        <f t="shared" si="71"/>
        <v>178496250.98503977</v>
      </c>
      <c r="K600" s="169">
        <f t="shared" si="72"/>
        <v>30371452.305787038</v>
      </c>
      <c r="L600" s="169">
        <f t="shared" si="73"/>
        <v>148124798.67925271</v>
      </c>
      <c r="M600" s="209"/>
      <c r="N600" s="121"/>
      <c r="O600" s="121"/>
    </row>
    <row r="601" spans="1:15" s="170" customFormat="1">
      <c r="A601" s="165">
        <v>14</v>
      </c>
      <c r="B601" s="166" t="s">
        <v>404</v>
      </c>
      <c r="C601" s="167" t="s">
        <v>252</v>
      </c>
      <c r="D601" s="167">
        <v>3806.1109999999999</v>
      </c>
      <c r="E601" s="143">
        <v>2195.1894161150594</v>
      </c>
      <c r="F601" s="168">
        <f t="shared" ref="F601:F602" si="74">+E601-G601</f>
        <v>373.51535556505837</v>
      </c>
      <c r="G601" s="168">
        <f>+G600</f>
        <v>1821.6740605500011</v>
      </c>
      <c r="H601" s="169">
        <v>483842.73554948432</v>
      </c>
      <c r="I601" s="169"/>
      <c r="J601" s="169">
        <f t="shared" si="71"/>
        <v>1062126452.1423856</v>
      </c>
      <c r="K601" s="169">
        <f t="shared" si="72"/>
        <v>180722691.40633616</v>
      </c>
      <c r="L601" s="169">
        <f t="shared" si="73"/>
        <v>881403760.73604941</v>
      </c>
      <c r="M601" s="209"/>
      <c r="N601" s="121"/>
      <c r="O601" s="121"/>
    </row>
    <row r="602" spans="1:15" s="170" customFormat="1">
      <c r="A602" s="165">
        <v>15</v>
      </c>
      <c r="B602" s="166" t="s">
        <v>588</v>
      </c>
      <c r="C602" s="167" t="s">
        <v>252</v>
      </c>
      <c r="D602" s="167">
        <v>3806.1109999999999</v>
      </c>
      <c r="E602" s="143">
        <v>2195.1894161150594</v>
      </c>
      <c r="F602" s="168">
        <f t="shared" si="74"/>
        <v>373.51535556505837</v>
      </c>
      <c r="G602" s="168">
        <f>+G601</f>
        <v>1821.6740605500011</v>
      </c>
      <c r="H602" s="169">
        <v>188497.06572448666</v>
      </c>
      <c r="I602" s="169"/>
      <c r="J602" s="169">
        <f t="shared" si="71"/>
        <v>413786763.64713788</v>
      </c>
      <c r="K602" s="169">
        <f t="shared" si="72"/>
        <v>70406548.527051806</v>
      </c>
      <c r="L602" s="169">
        <f t="shared" si="73"/>
        <v>343380215.12008601</v>
      </c>
      <c r="M602" s="209"/>
      <c r="N602" s="121"/>
      <c r="O602" s="121"/>
    </row>
    <row r="603" spans="1:15">
      <c r="A603" s="114"/>
      <c r="B603" s="117" t="s">
        <v>589</v>
      </c>
      <c r="C603" s="116"/>
      <c r="D603" s="116"/>
      <c r="E603" s="108"/>
      <c r="F603" s="156"/>
      <c r="G603" s="156"/>
      <c r="H603" s="122"/>
      <c r="I603" s="122"/>
      <c r="J603" s="122">
        <f t="shared" si="71"/>
        <v>0</v>
      </c>
      <c r="K603" s="122">
        <f t="shared" si="72"/>
        <v>0</v>
      </c>
      <c r="L603" s="122">
        <f t="shared" si="73"/>
        <v>0</v>
      </c>
      <c r="N603" s="121"/>
      <c r="O603" s="121"/>
    </row>
    <row r="604" spans="1:15" s="178" customFormat="1">
      <c r="A604" s="114">
        <v>16</v>
      </c>
      <c r="B604" s="117" t="s">
        <v>590</v>
      </c>
      <c r="C604" s="116" t="s">
        <v>145</v>
      </c>
      <c r="D604" s="116">
        <v>5.3280000000000003</v>
      </c>
      <c r="E604" s="108">
        <v>5.3280000000000003</v>
      </c>
      <c r="F604" s="176">
        <f>+F593</f>
        <v>2.6640000000000001</v>
      </c>
      <c r="G604" s="176">
        <f>+G593</f>
        <v>2.6640000000000001</v>
      </c>
      <c r="H604" s="177">
        <v>2204172.4619476511</v>
      </c>
      <c r="I604" s="177"/>
      <c r="J604" s="177">
        <f t="shared" si="71"/>
        <v>11743830.877257086</v>
      </c>
      <c r="K604" s="177">
        <f t="shared" si="72"/>
        <v>5871915.4386285432</v>
      </c>
      <c r="L604" s="177">
        <f t="shared" si="73"/>
        <v>5871915.4386285432</v>
      </c>
      <c r="N604" s="121"/>
      <c r="O604" s="121"/>
    </row>
    <row r="605" spans="1:15" s="178" customFormat="1">
      <c r="A605" s="114">
        <v>17</v>
      </c>
      <c r="B605" s="117" t="s">
        <v>591</v>
      </c>
      <c r="C605" s="116" t="s">
        <v>28</v>
      </c>
      <c r="D605" s="116">
        <v>5.3280000000000003</v>
      </c>
      <c r="E605" s="108">
        <v>5.3280000000000003</v>
      </c>
      <c r="F605" s="176">
        <f>+F593</f>
        <v>2.6640000000000001</v>
      </c>
      <c r="G605" s="176">
        <f>+G593</f>
        <v>2.6640000000000001</v>
      </c>
      <c r="H605" s="177">
        <v>178887.41139343439</v>
      </c>
      <c r="I605" s="177"/>
      <c r="J605" s="177">
        <f t="shared" si="71"/>
        <v>953112.12790421851</v>
      </c>
      <c r="K605" s="177">
        <f t="shared" si="72"/>
        <v>476556.06395210925</v>
      </c>
      <c r="L605" s="177">
        <f t="shared" si="73"/>
        <v>476556.06395210925</v>
      </c>
      <c r="N605" s="121"/>
      <c r="O605" s="121"/>
    </row>
    <row r="606" spans="1:15">
      <c r="A606" s="114"/>
      <c r="B606" s="117" t="s">
        <v>592</v>
      </c>
      <c r="C606" s="116"/>
      <c r="D606" s="116"/>
      <c r="E606" s="108">
        <v>0</v>
      </c>
      <c r="F606" s="156"/>
      <c r="G606" s="156"/>
      <c r="H606" s="122"/>
      <c r="I606" s="122"/>
      <c r="J606" s="122">
        <f t="shared" si="71"/>
        <v>0</v>
      </c>
      <c r="K606" s="122">
        <f t="shared" si="72"/>
        <v>0</v>
      </c>
      <c r="L606" s="122">
        <f t="shared" si="73"/>
        <v>0</v>
      </c>
      <c r="N606" s="121"/>
      <c r="O606" s="121"/>
    </row>
    <row r="607" spans="1:15">
      <c r="A607" s="114">
        <v>18</v>
      </c>
      <c r="B607" s="117" t="s">
        <v>563</v>
      </c>
      <c r="C607" s="116" t="s">
        <v>145</v>
      </c>
      <c r="D607" s="116">
        <v>17.297999999999998</v>
      </c>
      <c r="E607" s="108">
        <v>17.297999999999998</v>
      </c>
      <c r="F607" s="156">
        <f>+E607-G607</f>
        <v>7.3185800000000008</v>
      </c>
      <c r="G607" s="156">
        <f>+'phân chia trước điều chỉnh'!F526</f>
        <v>9.9794199999999975</v>
      </c>
      <c r="H607" s="122">
        <v>1722569.7390627477</v>
      </c>
      <c r="I607" s="122"/>
      <c r="J607" s="122">
        <f t="shared" si="71"/>
        <v>29797011.346307408</v>
      </c>
      <c r="K607" s="122">
        <f t="shared" si="72"/>
        <v>12606764.440909846</v>
      </c>
      <c r="L607" s="122">
        <f t="shared" si="73"/>
        <v>17190246.90539756</v>
      </c>
      <c r="N607" s="121"/>
      <c r="O607" s="121"/>
    </row>
    <row r="608" spans="1:15">
      <c r="A608" s="114">
        <v>19</v>
      </c>
      <c r="B608" s="117" t="s">
        <v>593</v>
      </c>
      <c r="C608" s="116" t="s">
        <v>28</v>
      </c>
      <c r="D608" s="116">
        <v>17.297999999999998</v>
      </c>
      <c r="E608" s="108">
        <v>17.297999999999998</v>
      </c>
      <c r="F608" s="156">
        <f>+E608-G608</f>
        <v>7.3185800000000008</v>
      </c>
      <c r="G608" s="156">
        <f>+'phân chia trước điều chỉnh'!F527</f>
        <v>9.9794199999999975</v>
      </c>
      <c r="H608" s="122">
        <v>144884.01914509558</v>
      </c>
      <c r="I608" s="122"/>
      <c r="J608" s="122">
        <f t="shared" si="71"/>
        <v>2506203.7631718628</v>
      </c>
      <c r="K608" s="122">
        <f t="shared" si="72"/>
        <v>1060345.2848349137</v>
      </c>
      <c r="L608" s="122">
        <f t="shared" si="73"/>
        <v>1445858.4783369494</v>
      </c>
      <c r="N608" s="121"/>
      <c r="O608" s="121"/>
    </row>
    <row r="609" spans="1:15">
      <c r="A609" s="114"/>
      <c r="B609" s="117" t="s">
        <v>594</v>
      </c>
      <c r="C609" s="116"/>
      <c r="D609" s="116"/>
      <c r="E609" s="108"/>
      <c r="F609" s="156"/>
      <c r="G609" s="156"/>
      <c r="H609" s="122"/>
      <c r="I609" s="122"/>
      <c r="J609" s="122">
        <f t="shared" si="71"/>
        <v>0</v>
      </c>
      <c r="K609" s="122">
        <f t="shared" si="72"/>
        <v>0</v>
      </c>
      <c r="L609" s="122">
        <f t="shared" si="73"/>
        <v>0</v>
      </c>
      <c r="N609" s="121"/>
      <c r="O609" s="121"/>
    </row>
    <row r="610" spans="1:15">
      <c r="A610" s="114">
        <v>20</v>
      </c>
      <c r="B610" s="117" t="s">
        <v>405</v>
      </c>
      <c r="C610" s="116" t="s">
        <v>145</v>
      </c>
      <c r="D610" s="116">
        <v>57.164000000000001</v>
      </c>
      <c r="E610" s="108">
        <v>54.598187500000002</v>
      </c>
      <c r="F610" s="156" t="e">
        <f>+E610-G610</f>
        <v>#REF!</v>
      </c>
      <c r="G610" s="156" t="e">
        <f>+G586+G587</f>
        <v>#REF!</v>
      </c>
      <c r="H610" s="122">
        <v>1520968.5992504628</v>
      </c>
      <c r="I610" s="122"/>
      <c r="J610" s="122">
        <f t="shared" si="71"/>
        <v>83042128.763489127</v>
      </c>
      <c r="K610" s="122" t="e">
        <f t="shared" si="72"/>
        <v>#REF!</v>
      </c>
      <c r="L610" s="122" t="e">
        <f t="shared" si="73"/>
        <v>#REF!</v>
      </c>
      <c r="N610" s="121"/>
      <c r="O610" s="121"/>
    </row>
    <row r="611" spans="1:15">
      <c r="A611" s="114">
        <v>21</v>
      </c>
      <c r="B611" s="117" t="s">
        <v>595</v>
      </c>
      <c r="C611" s="116" t="s">
        <v>28</v>
      </c>
      <c r="D611" s="116">
        <v>57.164000000000001</v>
      </c>
      <c r="E611" s="108">
        <v>54.598187500000002</v>
      </c>
      <c r="F611" s="156" t="e">
        <f>+F610</f>
        <v>#REF!</v>
      </c>
      <c r="G611" s="156" t="e">
        <f>+G610</f>
        <v>#REF!</v>
      </c>
      <c r="H611" s="122">
        <v>126157.5132691989</v>
      </c>
      <c r="I611" s="122"/>
      <c r="J611" s="122">
        <f t="shared" si="71"/>
        <v>6887971.5640054597</v>
      </c>
      <c r="K611" s="122" t="e">
        <f t="shared" si="72"/>
        <v>#REF!</v>
      </c>
      <c r="L611" s="122" t="e">
        <f t="shared" si="73"/>
        <v>#REF!</v>
      </c>
      <c r="N611" s="121"/>
      <c r="O611" s="121"/>
    </row>
    <row r="612" spans="1:15">
      <c r="A612" s="114"/>
      <c r="B612" s="117" t="s">
        <v>596</v>
      </c>
      <c r="C612" s="116"/>
      <c r="D612" s="116"/>
      <c r="E612" s="108"/>
      <c r="F612" s="156"/>
      <c r="G612" s="156"/>
      <c r="H612" s="122"/>
      <c r="I612" s="122"/>
      <c r="J612" s="122">
        <f t="shared" si="71"/>
        <v>0</v>
      </c>
      <c r="K612" s="122">
        <f t="shared" si="72"/>
        <v>0</v>
      </c>
      <c r="L612" s="122">
        <f t="shared" si="73"/>
        <v>0</v>
      </c>
      <c r="N612" s="121"/>
      <c r="O612" s="121"/>
    </row>
    <row r="613" spans="1:15">
      <c r="A613" s="114">
        <v>22</v>
      </c>
      <c r="B613" s="117" t="s">
        <v>406</v>
      </c>
      <c r="C613" s="116" t="s">
        <v>145</v>
      </c>
      <c r="D613" s="116">
        <v>22</v>
      </c>
      <c r="E613" s="108">
        <v>22</v>
      </c>
      <c r="F613" s="156">
        <f>+E613</f>
        <v>22</v>
      </c>
      <c r="G613" s="156">
        <v>0</v>
      </c>
      <c r="H613" s="122">
        <v>3218898.1990028191</v>
      </c>
      <c r="I613" s="122"/>
      <c r="J613" s="122">
        <f t="shared" si="71"/>
        <v>70815760.378062025</v>
      </c>
      <c r="K613" s="122">
        <f t="shared" si="72"/>
        <v>70815760.378062025</v>
      </c>
      <c r="L613" s="122">
        <f t="shared" si="73"/>
        <v>0</v>
      </c>
      <c r="N613" s="121"/>
      <c r="O613" s="121"/>
    </row>
    <row r="614" spans="1:15">
      <c r="A614" s="114">
        <v>23</v>
      </c>
      <c r="B614" s="117" t="s">
        <v>597</v>
      </c>
      <c r="C614" s="116" t="s">
        <v>28</v>
      </c>
      <c r="D614" s="116">
        <v>22</v>
      </c>
      <c r="E614" s="108">
        <v>22</v>
      </c>
      <c r="F614" s="156">
        <f>+E614</f>
        <v>22</v>
      </c>
      <c r="G614" s="156">
        <v>0</v>
      </c>
      <c r="H614" s="122">
        <v>286318.41878673644</v>
      </c>
      <c r="I614" s="122"/>
      <c r="J614" s="122">
        <f t="shared" si="71"/>
        <v>6299005.2133082021</v>
      </c>
      <c r="K614" s="122">
        <f t="shared" si="72"/>
        <v>6299005.2133082021</v>
      </c>
      <c r="L614" s="122">
        <f t="shared" si="73"/>
        <v>0</v>
      </c>
      <c r="N614" s="121"/>
      <c r="O614" s="121"/>
    </row>
    <row r="615" spans="1:15">
      <c r="A615" s="114"/>
      <c r="B615" s="117" t="s">
        <v>598</v>
      </c>
      <c r="C615" s="116"/>
      <c r="D615" s="116"/>
      <c r="E615" s="108"/>
      <c r="F615" s="156"/>
      <c r="G615" s="156"/>
      <c r="H615" s="122"/>
      <c r="I615" s="122"/>
      <c r="J615" s="122"/>
      <c r="K615" s="122"/>
      <c r="L615" s="122"/>
      <c r="N615" s="121"/>
      <c r="O615" s="121"/>
    </row>
    <row r="616" spans="1:15">
      <c r="A616" s="114"/>
      <c r="B616" s="117"/>
      <c r="C616" s="116"/>
      <c r="D616" s="116"/>
      <c r="E616" s="108"/>
      <c r="F616" s="156"/>
      <c r="G616" s="156"/>
      <c r="H616" s="122"/>
      <c r="I616" s="122"/>
      <c r="J616" s="122"/>
      <c r="K616" s="122"/>
      <c r="L616" s="122"/>
      <c r="N616" s="121"/>
      <c r="O616" s="121"/>
    </row>
    <row r="617" spans="1:15">
      <c r="A617" s="114">
        <v>24</v>
      </c>
      <c r="B617" s="117" t="s">
        <v>599</v>
      </c>
      <c r="C617" s="116" t="s">
        <v>145</v>
      </c>
      <c r="D617" s="116">
        <v>200.83699999999999</v>
      </c>
      <c r="E617" s="108">
        <v>292.55705720800006</v>
      </c>
      <c r="F617" s="156">
        <f>+E617-G617</f>
        <v>158.41537215800008</v>
      </c>
      <c r="G617" s="156">
        <f>+'phân chia trước điều chỉnh'!F535</f>
        <v>134.14168504999998</v>
      </c>
      <c r="H617" s="122">
        <v>1326087.4974319201</v>
      </c>
      <c r="I617" s="122"/>
      <c r="J617" s="122">
        <f t="shared" si="71"/>
        <v>387956255.84900391</v>
      </c>
      <c r="K617" s="122">
        <f t="shared" si="72"/>
        <v>210072644.4197486</v>
      </c>
      <c r="L617" s="122">
        <f t="shared" si="73"/>
        <v>177883611.42925528</v>
      </c>
      <c r="N617" s="121"/>
      <c r="O617" s="121"/>
    </row>
    <row r="618" spans="1:15">
      <c r="A618" s="114"/>
      <c r="B618" s="117" t="s">
        <v>408</v>
      </c>
      <c r="C618" s="116"/>
      <c r="D618" s="116"/>
      <c r="E618" s="108"/>
      <c r="F618" s="156"/>
      <c r="G618" s="156"/>
      <c r="H618" s="122"/>
      <c r="I618" s="122"/>
      <c r="J618" s="122">
        <f t="shared" si="71"/>
        <v>0</v>
      </c>
      <c r="K618" s="122">
        <f t="shared" si="72"/>
        <v>0</v>
      </c>
      <c r="L618" s="122">
        <f t="shared" si="73"/>
        <v>0</v>
      </c>
      <c r="N618" s="121"/>
      <c r="O618" s="121"/>
    </row>
    <row r="619" spans="1:15">
      <c r="A619" s="114">
        <v>25</v>
      </c>
      <c r="B619" s="117" t="s">
        <v>409</v>
      </c>
      <c r="C619" s="116" t="s">
        <v>145</v>
      </c>
      <c r="D619" s="116">
        <v>22.338999999999999</v>
      </c>
      <c r="E619" s="108">
        <v>21.964086250000001</v>
      </c>
      <c r="F619" s="156" t="e">
        <f>+E619-G619</f>
        <v>#REF!</v>
      </c>
      <c r="G619" s="156" t="e">
        <f>+(G607+G586+G587+G593)*30%</f>
        <v>#REF!</v>
      </c>
      <c r="H619" s="122">
        <v>189379.47582066723</v>
      </c>
      <c r="I619" s="122"/>
      <c r="J619" s="122">
        <f t="shared" si="71"/>
        <v>4159547.1409049248</v>
      </c>
      <c r="K619" s="122" t="e">
        <f t="shared" si="72"/>
        <v>#REF!</v>
      </c>
      <c r="L619" s="122" t="e">
        <f t="shared" si="73"/>
        <v>#REF!</v>
      </c>
      <c r="N619" s="121"/>
      <c r="O619" s="121"/>
    </row>
    <row r="620" spans="1:15">
      <c r="A620" s="114">
        <v>26</v>
      </c>
      <c r="B620" s="117" t="s">
        <v>410</v>
      </c>
      <c r="C620" s="116" t="s">
        <v>145</v>
      </c>
      <c r="D620" s="116">
        <v>8.1980000000000004</v>
      </c>
      <c r="E620" s="108">
        <v>8.1980000000000004</v>
      </c>
      <c r="F620" s="156">
        <f>+E620</f>
        <v>8.1980000000000004</v>
      </c>
      <c r="G620" s="156"/>
      <c r="H620" s="122">
        <v>265542.96066158783</v>
      </c>
      <c r="I620" s="122"/>
      <c r="J620" s="122">
        <f t="shared" si="71"/>
        <v>2176921.1915036971</v>
      </c>
      <c r="K620" s="122">
        <f t="shared" si="72"/>
        <v>2176921.1915036971</v>
      </c>
      <c r="L620" s="122">
        <f t="shared" si="73"/>
        <v>0</v>
      </c>
      <c r="N620" s="121"/>
      <c r="O620" s="121"/>
    </row>
    <row r="621" spans="1:15">
      <c r="A621" s="114">
        <v>27</v>
      </c>
      <c r="B621" s="117" t="s">
        <v>411</v>
      </c>
      <c r="C621" s="116" t="s">
        <v>149</v>
      </c>
      <c r="D621" s="116">
        <v>50.264000000000003</v>
      </c>
      <c r="E621" s="108">
        <v>44.918593999999999</v>
      </c>
      <c r="F621" s="156" t="e">
        <f>+E621-G621</f>
        <v>#REF!</v>
      </c>
      <c r="G621" s="156" t="e">
        <f>+#REF!+#REF!+#REF!</f>
        <v>#REF!</v>
      </c>
      <c r="H621" s="122">
        <v>1534820.675837225</v>
      </c>
      <c r="I621" s="122"/>
      <c r="J621" s="122">
        <f t="shared" si="71"/>
        <v>68941986.800737917</v>
      </c>
      <c r="K621" s="122" t="e">
        <f t="shared" si="72"/>
        <v>#REF!</v>
      </c>
      <c r="L621" s="122" t="e">
        <f t="shared" si="73"/>
        <v>#REF!</v>
      </c>
      <c r="N621" s="121"/>
      <c r="O621" s="121"/>
    </row>
    <row r="622" spans="1:15">
      <c r="A622" s="114">
        <v>28</v>
      </c>
      <c r="B622" s="117" t="s">
        <v>412</v>
      </c>
      <c r="C622" s="116" t="s">
        <v>149</v>
      </c>
      <c r="D622" s="116">
        <v>50.264000000000003</v>
      </c>
      <c r="E622" s="108">
        <v>44.918593999999999</v>
      </c>
      <c r="F622" s="156" t="e">
        <f>+F621</f>
        <v>#REF!</v>
      </c>
      <c r="G622" s="156" t="e">
        <f>+G621</f>
        <v>#REF!</v>
      </c>
      <c r="H622" s="122">
        <v>24362.23294979722</v>
      </c>
      <c r="I622" s="122"/>
      <c r="J622" s="122">
        <f t="shared" si="71"/>
        <v>1094317.2508053638</v>
      </c>
      <c r="K622" s="122" t="e">
        <f t="shared" si="72"/>
        <v>#REF!</v>
      </c>
      <c r="L622" s="122" t="e">
        <f t="shared" si="73"/>
        <v>#REF!</v>
      </c>
      <c r="N622" s="121"/>
      <c r="O622" s="121"/>
    </row>
    <row r="623" spans="1:15">
      <c r="A623" s="114"/>
      <c r="B623" s="115" t="s">
        <v>350</v>
      </c>
      <c r="C623" s="116"/>
      <c r="D623" s="116"/>
      <c r="E623" s="108"/>
      <c r="F623" s="156"/>
      <c r="G623" s="156"/>
      <c r="H623" s="122"/>
      <c r="I623" s="122"/>
      <c r="J623" s="122">
        <f t="shared" si="71"/>
        <v>0</v>
      </c>
      <c r="K623" s="122">
        <f t="shared" si="72"/>
        <v>0</v>
      </c>
      <c r="L623" s="122">
        <f t="shared" si="73"/>
        <v>0</v>
      </c>
      <c r="N623" s="121"/>
      <c r="O623" s="121"/>
    </row>
    <row r="624" spans="1:15" ht="31.2">
      <c r="A624" s="114">
        <v>29</v>
      </c>
      <c r="B624" s="117" t="s">
        <v>413</v>
      </c>
      <c r="C624" s="116" t="s">
        <v>149</v>
      </c>
      <c r="D624" s="116">
        <v>262.87400000000002</v>
      </c>
      <c r="E624" s="108">
        <v>0</v>
      </c>
      <c r="F624" s="156">
        <v>0</v>
      </c>
      <c r="G624" s="156">
        <v>0</v>
      </c>
      <c r="H624" s="122">
        <v>1164681.0166441561</v>
      </c>
      <c r="I624" s="122"/>
      <c r="J624" s="122">
        <f t="shared" si="71"/>
        <v>0</v>
      </c>
      <c r="K624" s="122">
        <f t="shared" si="72"/>
        <v>0</v>
      </c>
      <c r="L624" s="122">
        <f t="shared" si="73"/>
        <v>0</v>
      </c>
      <c r="N624" s="121"/>
      <c r="O624" s="121"/>
    </row>
    <row r="625" spans="1:15" ht="31.2">
      <c r="A625" s="114">
        <v>30</v>
      </c>
      <c r="B625" s="117" t="s">
        <v>414</v>
      </c>
      <c r="C625" s="116" t="s">
        <v>415</v>
      </c>
      <c r="D625" s="116">
        <v>43.69</v>
      </c>
      <c r="E625" s="108">
        <v>0</v>
      </c>
      <c r="F625" s="156">
        <v>0</v>
      </c>
      <c r="G625" s="156">
        <v>0</v>
      </c>
      <c r="H625" s="122">
        <v>114207703.6275613</v>
      </c>
      <c r="I625" s="122"/>
      <c r="J625" s="122">
        <f t="shared" si="71"/>
        <v>0</v>
      </c>
      <c r="K625" s="122">
        <f t="shared" si="72"/>
        <v>0</v>
      </c>
      <c r="L625" s="122">
        <f t="shared" si="73"/>
        <v>0</v>
      </c>
      <c r="N625" s="121"/>
      <c r="O625" s="121"/>
    </row>
    <row r="626" spans="1:15" ht="31.2">
      <c r="A626" s="114" t="s">
        <v>862</v>
      </c>
      <c r="B626" s="117" t="s">
        <v>795</v>
      </c>
      <c r="C626" s="116" t="s">
        <v>149</v>
      </c>
      <c r="D626" s="116"/>
      <c r="E626" s="108">
        <v>251.742874</v>
      </c>
      <c r="F626" s="171" t="e">
        <f>+E626-G626</f>
        <v>#REF!</v>
      </c>
      <c r="G626" s="171" t="e">
        <f>+#REF!+#REF!+#REF!</f>
        <v>#REF!</v>
      </c>
      <c r="H626" s="122">
        <v>0</v>
      </c>
      <c r="I626" s="122">
        <v>1450470.8478000001</v>
      </c>
      <c r="J626" s="122">
        <f t="shared" si="71"/>
        <v>365145699.87838858</v>
      </c>
      <c r="K626" s="122" t="e">
        <f t="shared" si="72"/>
        <v>#REF!</v>
      </c>
      <c r="L626" s="122" t="e">
        <f t="shared" si="73"/>
        <v>#REF!</v>
      </c>
      <c r="N626" s="121"/>
      <c r="O626" s="121"/>
    </row>
    <row r="627" spans="1:15">
      <c r="A627" s="114" t="s">
        <v>863</v>
      </c>
      <c r="B627" s="117" t="s">
        <v>797</v>
      </c>
      <c r="C627" s="116" t="s">
        <v>415</v>
      </c>
      <c r="D627" s="116"/>
      <c r="E627" s="108">
        <v>43.418619111720005</v>
      </c>
      <c r="F627" s="171" t="e">
        <f>+E627-G627</f>
        <v>#REF!</v>
      </c>
      <c r="G627" s="171" t="e">
        <f>17.253*G626/100</f>
        <v>#REF!</v>
      </c>
      <c r="H627" s="122">
        <v>0</v>
      </c>
      <c r="I627" s="122">
        <v>150219973.99520001</v>
      </c>
      <c r="J627" s="122">
        <f t="shared" si="71"/>
        <v>6522343833.8700733</v>
      </c>
      <c r="K627" s="122" t="e">
        <f t="shared" si="72"/>
        <v>#REF!</v>
      </c>
      <c r="L627" s="122" t="e">
        <f t="shared" si="73"/>
        <v>#REF!</v>
      </c>
      <c r="N627" s="121"/>
      <c r="O627" s="121"/>
    </row>
    <row r="628" spans="1:15">
      <c r="A628" s="114">
        <v>31</v>
      </c>
      <c r="B628" s="117" t="s">
        <v>502</v>
      </c>
      <c r="C628" s="116" t="s">
        <v>415</v>
      </c>
      <c r="D628" s="116">
        <v>43.69</v>
      </c>
      <c r="E628" s="108">
        <v>43.418619111720005</v>
      </c>
      <c r="F628" s="171" t="e">
        <f>+F627</f>
        <v>#REF!</v>
      </c>
      <c r="G628" s="171" t="e">
        <f>+G627</f>
        <v>#REF!</v>
      </c>
      <c r="H628" s="122">
        <v>7419036.3103524232</v>
      </c>
      <c r="I628" s="122"/>
      <c r="J628" s="122">
        <f t="shared" si="71"/>
        <v>322124311.73521239</v>
      </c>
      <c r="K628" s="122" t="e">
        <f t="shared" si="72"/>
        <v>#REF!</v>
      </c>
      <c r="L628" s="122" t="e">
        <f t="shared" si="73"/>
        <v>#REF!</v>
      </c>
      <c r="N628" s="121"/>
      <c r="O628" s="121"/>
    </row>
    <row r="629" spans="1:15">
      <c r="A629" s="114">
        <v>32</v>
      </c>
      <c r="B629" s="117" t="s">
        <v>600</v>
      </c>
      <c r="C629" s="116" t="s">
        <v>415</v>
      </c>
      <c r="D629" s="116">
        <v>43.69</v>
      </c>
      <c r="E629" s="108">
        <v>0</v>
      </c>
      <c r="F629" s="171"/>
      <c r="G629" s="171"/>
      <c r="H629" s="122">
        <v>15183024.116157416</v>
      </c>
      <c r="I629" s="122"/>
      <c r="J629" s="122">
        <f t="shared" si="71"/>
        <v>0</v>
      </c>
      <c r="K629" s="122">
        <f t="shared" si="72"/>
        <v>0</v>
      </c>
      <c r="L629" s="122">
        <f t="shared" si="73"/>
        <v>0</v>
      </c>
      <c r="N629" s="121"/>
      <c r="O629" s="121"/>
    </row>
    <row r="630" spans="1:15">
      <c r="A630" s="114" t="s">
        <v>864</v>
      </c>
      <c r="B630" s="117" t="s">
        <v>878</v>
      </c>
      <c r="C630" s="116" t="s">
        <v>415</v>
      </c>
      <c r="D630" s="116"/>
      <c r="E630" s="108">
        <v>43.418619111720005</v>
      </c>
      <c r="F630" s="171" t="e">
        <f>+F628</f>
        <v>#REF!</v>
      </c>
      <c r="G630" s="171" t="e">
        <f>+G628</f>
        <v>#REF!</v>
      </c>
      <c r="H630" s="122"/>
      <c r="I630" s="122">
        <v>16055764.2048</v>
      </c>
      <c r="J630" s="122">
        <f t="shared" si="71"/>
        <v>697119110.55579925</v>
      </c>
      <c r="K630" s="122" t="e">
        <f t="shared" si="72"/>
        <v>#REF!</v>
      </c>
      <c r="L630" s="122" t="e">
        <f t="shared" si="73"/>
        <v>#REF!</v>
      </c>
      <c r="N630" s="121"/>
      <c r="O630" s="121"/>
    </row>
    <row r="631" spans="1:15">
      <c r="A631" s="114">
        <v>33</v>
      </c>
      <c r="B631" s="117" t="s">
        <v>503</v>
      </c>
      <c r="C631" s="116" t="s">
        <v>149</v>
      </c>
      <c r="D631" s="116">
        <v>26.286999999999999</v>
      </c>
      <c r="E631" s="108">
        <v>221.0639535</v>
      </c>
      <c r="F631" s="156" t="e">
        <f>+E631-G631</f>
        <v>#REF!</v>
      </c>
      <c r="G631" s="156" t="e">
        <f>+E631/E626*G626</f>
        <v>#REF!</v>
      </c>
      <c r="H631" s="122">
        <v>1783035.3754178607</v>
      </c>
      <c r="I631" s="122"/>
      <c r="J631" s="122">
        <f t="shared" si="71"/>
        <v>394164849.32022899</v>
      </c>
      <c r="K631" s="122" t="e">
        <f t="shared" si="72"/>
        <v>#REF!</v>
      </c>
      <c r="L631" s="122" t="e">
        <f t="shared" si="73"/>
        <v>#REF!</v>
      </c>
      <c r="N631" s="121"/>
      <c r="O631" s="121"/>
    </row>
    <row r="632" spans="1:15" ht="31.2">
      <c r="A632" s="114" t="s">
        <v>879</v>
      </c>
      <c r="B632" s="117" t="s">
        <v>801</v>
      </c>
      <c r="C632" s="116" t="s">
        <v>149</v>
      </c>
      <c r="D632" s="116"/>
      <c r="E632" s="108">
        <v>30.678920500000004</v>
      </c>
      <c r="F632" s="156" t="e">
        <f>+E632-G632</f>
        <v>#REF!</v>
      </c>
      <c r="G632" s="156" t="e">
        <f>+E632/E626*G626</f>
        <v>#REF!</v>
      </c>
      <c r="H632" s="122">
        <v>1066161.2774651225</v>
      </c>
      <c r="I632" s="122"/>
      <c r="J632" s="122">
        <f t="shared" si="71"/>
        <v>32708677.071530938</v>
      </c>
      <c r="K632" s="122" t="e">
        <f t="shared" si="72"/>
        <v>#REF!</v>
      </c>
      <c r="L632" s="122" t="e">
        <f t="shared" si="73"/>
        <v>#REF!</v>
      </c>
      <c r="N632" s="121"/>
      <c r="O632" s="121"/>
    </row>
    <row r="633" spans="1:15">
      <c r="A633" s="114">
        <v>34</v>
      </c>
      <c r="B633" s="117" t="s">
        <v>418</v>
      </c>
      <c r="C633" s="116" t="s">
        <v>145</v>
      </c>
      <c r="D633" s="116">
        <v>39.430999999999997</v>
      </c>
      <c r="E633" s="108">
        <v>33.159023024999996</v>
      </c>
      <c r="F633" s="156" t="e">
        <f>+E633-G633</f>
        <v>#REF!</v>
      </c>
      <c r="G633" s="156" t="e">
        <f>+G626*0.15</f>
        <v>#REF!</v>
      </c>
      <c r="H633" s="122">
        <v>31545250.11715313</v>
      </c>
      <c r="I633" s="122"/>
      <c r="J633" s="122">
        <f t="shared" si="71"/>
        <v>1046009674.9640645</v>
      </c>
      <c r="K633" s="122" t="e">
        <f t="shared" si="72"/>
        <v>#REF!</v>
      </c>
      <c r="L633" s="122" t="e">
        <f t="shared" si="73"/>
        <v>#REF!</v>
      </c>
      <c r="N633" s="121"/>
      <c r="O633" s="121"/>
    </row>
    <row r="634" spans="1:15">
      <c r="A634" s="114">
        <v>35</v>
      </c>
      <c r="B634" s="117" t="s">
        <v>570</v>
      </c>
      <c r="C634" s="116" t="s">
        <v>145</v>
      </c>
      <c r="D634" s="116">
        <v>83.424000000000007</v>
      </c>
      <c r="E634" s="108">
        <v>70.048349120000012</v>
      </c>
      <c r="F634" s="156" t="e">
        <f>+E634-G634</f>
        <v>#REF!</v>
      </c>
      <c r="G634" s="156" t="e">
        <f>+G626*0.32</f>
        <v>#REF!</v>
      </c>
      <c r="H634" s="122">
        <v>31392188.761577997</v>
      </c>
      <c r="I634" s="122"/>
      <c r="J634" s="122">
        <f t="shared" si="71"/>
        <v>2198970998.0119562</v>
      </c>
      <c r="K634" s="122" t="e">
        <f t="shared" si="72"/>
        <v>#REF!</v>
      </c>
      <c r="L634" s="122" t="e">
        <f t="shared" si="73"/>
        <v>#REF!</v>
      </c>
      <c r="N634" s="121"/>
      <c r="O634" s="121"/>
    </row>
    <row r="635" spans="1:15">
      <c r="A635" s="114"/>
      <c r="B635" s="115" t="s">
        <v>420</v>
      </c>
      <c r="C635" s="116"/>
      <c r="D635" s="116"/>
      <c r="E635" s="108"/>
      <c r="F635" s="156"/>
      <c r="G635" s="156"/>
      <c r="H635" s="122"/>
      <c r="I635" s="122"/>
      <c r="J635" s="122">
        <f t="shared" si="71"/>
        <v>0</v>
      </c>
      <c r="K635" s="122">
        <f t="shared" si="72"/>
        <v>0</v>
      </c>
      <c r="L635" s="122">
        <f t="shared" si="73"/>
        <v>0</v>
      </c>
      <c r="N635" s="121"/>
      <c r="O635" s="121"/>
    </row>
    <row r="636" spans="1:15" ht="31.2">
      <c r="A636" s="114">
        <v>36</v>
      </c>
      <c r="B636" s="117" t="s">
        <v>413</v>
      </c>
      <c r="C636" s="116" t="s">
        <v>149</v>
      </c>
      <c r="D636" s="116">
        <v>8.7850000000000001</v>
      </c>
      <c r="E636" s="108">
        <v>0</v>
      </c>
      <c r="F636" s="156">
        <v>0</v>
      </c>
      <c r="G636" s="156">
        <v>0</v>
      </c>
      <c r="H636" s="122">
        <v>1164681.0166441561</v>
      </c>
      <c r="I636" s="122"/>
      <c r="J636" s="122">
        <f t="shared" si="71"/>
        <v>0</v>
      </c>
      <c r="K636" s="122">
        <f t="shared" si="72"/>
        <v>0</v>
      </c>
      <c r="L636" s="122">
        <f t="shared" si="73"/>
        <v>0</v>
      </c>
      <c r="N636" s="121"/>
      <c r="O636" s="121"/>
    </row>
    <row r="637" spans="1:15" ht="31.2">
      <c r="A637" s="114">
        <v>37</v>
      </c>
      <c r="B637" s="117" t="s">
        <v>414</v>
      </c>
      <c r="C637" s="116" t="s">
        <v>415</v>
      </c>
      <c r="D637" s="116">
        <v>1.46</v>
      </c>
      <c r="E637" s="108">
        <v>0</v>
      </c>
      <c r="F637" s="156">
        <v>0</v>
      </c>
      <c r="G637" s="156">
        <v>0</v>
      </c>
      <c r="H637" s="122">
        <v>114207703.6275613</v>
      </c>
      <c r="I637" s="122"/>
      <c r="J637" s="122">
        <f t="shared" si="71"/>
        <v>0</v>
      </c>
      <c r="K637" s="122">
        <f t="shared" si="72"/>
        <v>0</v>
      </c>
      <c r="L637" s="122">
        <f t="shared" si="73"/>
        <v>0</v>
      </c>
      <c r="N637" s="121"/>
      <c r="O637" s="121"/>
    </row>
    <row r="638" spans="1:15" ht="31.2">
      <c r="A638" s="114" t="s">
        <v>880</v>
      </c>
      <c r="B638" s="117" t="s">
        <v>795</v>
      </c>
      <c r="C638" s="116" t="s">
        <v>149</v>
      </c>
      <c r="D638" s="116"/>
      <c r="E638" s="108">
        <v>8.7850000000000001</v>
      </c>
      <c r="F638" s="156">
        <f>+E638-G638</f>
        <v>4.45</v>
      </c>
      <c r="G638" s="156">
        <f>+(90+90+84+41+42+45+41.5)/100</f>
        <v>4.335</v>
      </c>
      <c r="H638" s="122">
        <v>0</v>
      </c>
      <c r="I638" s="122">
        <v>1450470.8478000001</v>
      </c>
      <c r="J638" s="122">
        <f t="shared" si="71"/>
        <v>12742386.397923002</v>
      </c>
      <c r="K638" s="122">
        <f t="shared" si="72"/>
        <v>6454595.2727100011</v>
      </c>
      <c r="L638" s="122">
        <f t="shared" si="73"/>
        <v>6287791.125213</v>
      </c>
      <c r="N638" s="121"/>
      <c r="O638" s="121"/>
    </row>
    <row r="639" spans="1:15">
      <c r="A639" s="114" t="s">
        <v>881</v>
      </c>
      <c r="B639" s="117" t="s">
        <v>797</v>
      </c>
      <c r="C639" s="116" t="s">
        <v>415</v>
      </c>
      <c r="D639" s="116"/>
      <c r="E639" s="108">
        <v>1.5156760500000002</v>
      </c>
      <c r="F639" s="156">
        <f>+E639-G639</f>
        <v>0.76775850000000023</v>
      </c>
      <c r="G639" s="156">
        <f>17.253*G638/100</f>
        <v>0.74791754999999993</v>
      </c>
      <c r="H639" s="122">
        <v>0</v>
      </c>
      <c r="I639" s="122">
        <v>150219973.99520001</v>
      </c>
      <c r="J639" s="122">
        <f t="shared" si="71"/>
        <v>227684816.81614751</v>
      </c>
      <c r="K639" s="122">
        <f t="shared" si="72"/>
        <v>115332661.9045938</v>
      </c>
      <c r="L639" s="122">
        <f t="shared" si="73"/>
        <v>112352154.9115537</v>
      </c>
      <c r="N639" s="121"/>
      <c r="O639" s="121"/>
    </row>
    <row r="640" spans="1:15">
      <c r="A640" s="114">
        <v>38</v>
      </c>
      <c r="B640" s="117" t="s">
        <v>502</v>
      </c>
      <c r="C640" s="116" t="s">
        <v>415</v>
      </c>
      <c r="D640" s="116">
        <v>1.46</v>
      </c>
      <c r="E640" s="108">
        <v>1.5156760500000002</v>
      </c>
      <c r="F640" s="156">
        <f>+F639</f>
        <v>0.76775850000000023</v>
      </c>
      <c r="G640" s="156">
        <f>+G639</f>
        <v>0.74791754999999993</v>
      </c>
      <c r="H640" s="122">
        <v>4705361.9552235175</v>
      </c>
      <c r="I640" s="122"/>
      <c r="J640" s="122">
        <f t="shared" si="71"/>
        <v>7131804.4221134586</v>
      </c>
      <c r="K640" s="122">
        <f t="shared" si="72"/>
        <v>3612581.6366994763</v>
      </c>
      <c r="L640" s="122">
        <f t="shared" si="73"/>
        <v>3519222.7854139828</v>
      </c>
      <c r="N640" s="121"/>
      <c r="O640" s="121"/>
    </row>
    <row r="641" spans="1:15">
      <c r="A641" s="114">
        <v>39</v>
      </c>
      <c r="B641" s="117" t="s">
        <v>600</v>
      </c>
      <c r="C641" s="116" t="s">
        <v>415</v>
      </c>
      <c r="D641" s="116">
        <v>1.46</v>
      </c>
      <c r="E641" s="108">
        <v>0</v>
      </c>
      <c r="F641" s="156"/>
      <c r="G641" s="156"/>
      <c r="H641" s="122">
        <v>13927871.38746161</v>
      </c>
      <c r="I641" s="122"/>
      <c r="J641" s="122">
        <f t="shared" si="71"/>
        <v>0</v>
      </c>
      <c r="K641" s="122">
        <f t="shared" si="72"/>
        <v>0</v>
      </c>
      <c r="L641" s="122">
        <f t="shared" si="73"/>
        <v>0</v>
      </c>
      <c r="N641" s="121"/>
      <c r="O641" s="121"/>
    </row>
    <row r="642" spans="1:15">
      <c r="A642" s="114" t="s">
        <v>882</v>
      </c>
      <c r="B642" s="117" t="s">
        <v>878</v>
      </c>
      <c r="C642" s="116" t="s">
        <v>415</v>
      </c>
      <c r="D642" s="116"/>
      <c r="E642" s="108">
        <v>1.5156760500000002</v>
      </c>
      <c r="F642" s="156">
        <f>+F640</f>
        <v>0.76775850000000023</v>
      </c>
      <c r="G642" s="156">
        <f>+G640</f>
        <v>0.74791754999999993</v>
      </c>
      <c r="H642" s="122"/>
      <c r="I642" s="122">
        <v>16055764.2048</v>
      </c>
      <c r="J642" s="122">
        <f t="shared" ref="J642:J705" si="75">+E642*MAX(H642:I642)</f>
        <v>24335337.26966266</v>
      </c>
      <c r="K642" s="122">
        <f t="shared" ref="K642:K705" si="76">+F642*MAX(H642:I642)</f>
        <v>12326949.442230945</v>
      </c>
      <c r="L642" s="122">
        <f t="shared" ref="L642:L705" si="77">+G642*MAX(H642:I642)</f>
        <v>12008387.827431714</v>
      </c>
      <c r="N642" s="121"/>
      <c r="O642" s="121"/>
    </row>
    <row r="643" spans="1:15">
      <c r="A643" s="114">
        <v>40</v>
      </c>
      <c r="B643" s="117" t="s">
        <v>503</v>
      </c>
      <c r="C643" s="116" t="s">
        <v>149</v>
      </c>
      <c r="D643" s="116">
        <v>8.7850000000000001</v>
      </c>
      <c r="E643" s="108">
        <v>8.7850000000000001</v>
      </c>
      <c r="F643" s="156">
        <f>+F638</f>
        <v>4.45</v>
      </c>
      <c r="G643" s="156">
        <f>+G638</f>
        <v>4.335</v>
      </c>
      <c r="H643" s="122">
        <v>1783035.3754178607</v>
      </c>
      <c r="I643" s="122"/>
      <c r="J643" s="122">
        <f t="shared" si="75"/>
        <v>15663965.773045907</v>
      </c>
      <c r="K643" s="122">
        <f t="shared" si="76"/>
        <v>7934507.4206094807</v>
      </c>
      <c r="L643" s="122">
        <f t="shared" si="77"/>
        <v>7729458.3524364261</v>
      </c>
      <c r="N643" s="121"/>
      <c r="O643" s="121"/>
    </row>
    <row r="644" spans="1:15">
      <c r="A644" s="114">
        <v>41</v>
      </c>
      <c r="B644" s="117" t="s">
        <v>418</v>
      </c>
      <c r="C644" s="116" t="s">
        <v>145</v>
      </c>
      <c r="D644" s="116">
        <v>1.3180000000000001</v>
      </c>
      <c r="E644" s="108">
        <v>1.3180000000000001</v>
      </c>
      <c r="F644" s="156">
        <f>+E644-G644</f>
        <v>0.66770000000000007</v>
      </c>
      <c r="G644" s="156">
        <f>+(13.5+13.5+12.6+6.15+6.3+6.75+6.23)/100</f>
        <v>0.65029999999999999</v>
      </c>
      <c r="H644" s="122">
        <v>31545250.11715313</v>
      </c>
      <c r="I644" s="122"/>
      <c r="J644" s="122">
        <f t="shared" si="75"/>
        <v>41576639.654407829</v>
      </c>
      <c r="K644" s="122">
        <f t="shared" si="76"/>
        <v>21062763.503223147</v>
      </c>
      <c r="L644" s="122">
        <f t="shared" si="77"/>
        <v>20513876.151184682</v>
      </c>
      <c r="N644" s="121"/>
      <c r="O644" s="121"/>
    </row>
    <row r="645" spans="1:15">
      <c r="A645" s="114"/>
      <c r="B645" s="115" t="s">
        <v>421</v>
      </c>
      <c r="C645" s="116"/>
      <c r="D645" s="116"/>
      <c r="E645" s="108"/>
      <c r="F645" s="156"/>
      <c r="G645" s="156"/>
      <c r="H645" s="122"/>
      <c r="I645" s="122"/>
      <c r="J645" s="122">
        <f t="shared" si="75"/>
        <v>0</v>
      </c>
      <c r="K645" s="122">
        <f t="shared" si="76"/>
        <v>0</v>
      </c>
      <c r="L645" s="122">
        <f t="shared" si="77"/>
        <v>0</v>
      </c>
      <c r="N645" s="121"/>
      <c r="O645" s="121"/>
    </row>
    <row r="646" spans="1:15">
      <c r="A646" s="114">
        <v>42</v>
      </c>
      <c r="B646" s="117" t="s">
        <v>422</v>
      </c>
      <c r="C646" s="116" t="s">
        <v>145</v>
      </c>
      <c r="D646" s="116">
        <v>15.38</v>
      </c>
      <c r="E646" s="108">
        <v>15.38</v>
      </c>
      <c r="F646" s="156">
        <f>+E646-G646</f>
        <v>9.5713000000000008</v>
      </c>
      <c r="G646" s="156">
        <f>580.87/100</f>
        <v>5.8087</v>
      </c>
      <c r="H646" s="122">
        <v>1893750.4292624211</v>
      </c>
      <c r="I646" s="122"/>
      <c r="J646" s="122">
        <f t="shared" si="75"/>
        <v>29125881.602056038</v>
      </c>
      <c r="K646" s="122">
        <f t="shared" si="76"/>
        <v>18125653.483599413</v>
      </c>
      <c r="L646" s="122">
        <f t="shared" si="77"/>
        <v>11000228.118456624</v>
      </c>
      <c r="N646" s="121"/>
      <c r="O646" s="121"/>
    </row>
    <row r="647" spans="1:15">
      <c r="A647" s="114">
        <v>43</v>
      </c>
      <c r="B647" s="117" t="s">
        <v>399</v>
      </c>
      <c r="C647" s="116" t="s">
        <v>145</v>
      </c>
      <c r="D647" s="116">
        <v>10.113</v>
      </c>
      <c r="E647" s="108">
        <v>11.349088999999999</v>
      </c>
      <c r="F647" s="156">
        <f t="shared" ref="F647:F653" si="78">+E647-G647</f>
        <v>7.3215889999999995</v>
      </c>
      <c r="G647" s="156">
        <v>4.0274999999999999</v>
      </c>
      <c r="H647" s="122">
        <v>1164771.501309423</v>
      </c>
      <c r="I647" s="122"/>
      <c r="J647" s="122">
        <f t="shared" si="75"/>
        <v>13219095.433024257</v>
      </c>
      <c r="K647" s="122">
        <f t="shared" si="76"/>
        <v>8527978.2115005571</v>
      </c>
      <c r="L647" s="122">
        <f t="shared" si="77"/>
        <v>4691117.2215237012</v>
      </c>
      <c r="N647" s="121"/>
      <c r="O647" s="121"/>
    </row>
    <row r="648" spans="1:15">
      <c r="A648" s="114">
        <v>44</v>
      </c>
      <c r="B648" s="117" t="s">
        <v>423</v>
      </c>
      <c r="C648" s="116" t="s">
        <v>144</v>
      </c>
      <c r="D648" s="116">
        <v>824.12900000000002</v>
      </c>
      <c r="E648" s="108">
        <v>824.12900000000002</v>
      </c>
      <c r="F648" s="156">
        <f t="shared" si="78"/>
        <v>677.66899999999998</v>
      </c>
      <c r="G648" s="156">
        <v>146.46</v>
      </c>
      <c r="H648" s="122">
        <v>1665449.4797359922</v>
      </c>
      <c r="I648" s="122"/>
      <c r="J648" s="122">
        <f t="shared" si="75"/>
        <v>1372545214.2853434</v>
      </c>
      <c r="K648" s="122">
        <f t="shared" si="76"/>
        <v>1128623483.4832101</v>
      </c>
      <c r="L648" s="122">
        <f t="shared" si="77"/>
        <v>243921730.80213341</v>
      </c>
      <c r="N648" s="121"/>
      <c r="O648" s="121"/>
    </row>
    <row r="649" spans="1:15">
      <c r="A649" s="114">
        <v>45</v>
      </c>
      <c r="B649" s="117" t="s">
        <v>424</v>
      </c>
      <c r="C649" s="116" t="s">
        <v>144</v>
      </c>
      <c r="D649" s="116">
        <v>430.68599999999998</v>
      </c>
      <c r="E649" s="108">
        <v>430.68599999999998</v>
      </c>
      <c r="F649" s="156">
        <f t="shared" si="78"/>
        <v>273.38599999999997</v>
      </c>
      <c r="G649" s="156">
        <v>157.30000000000001</v>
      </c>
      <c r="H649" s="122">
        <v>1233374.166515925</v>
      </c>
      <c r="I649" s="122"/>
      <c r="J649" s="122">
        <f t="shared" si="75"/>
        <v>531196986.28007764</v>
      </c>
      <c r="K649" s="122">
        <f t="shared" si="76"/>
        <v>337187229.88712263</v>
      </c>
      <c r="L649" s="122">
        <f t="shared" si="77"/>
        <v>194009756.39295501</v>
      </c>
      <c r="N649" s="121"/>
      <c r="O649" s="121"/>
    </row>
    <row r="650" spans="1:15">
      <c r="A650" s="114">
        <v>46</v>
      </c>
      <c r="B650" s="117" t="s">
        <v>425</v>
      </c>
      <c r="C650" s="116" t="s">
        <v>144</v>
      </c>
      <c r="D650" s="116">
        <v>40.767000000000003</v>
      </c>
      <c r="E650" s="108">
        <v>40.767000000000003</v>
      </c>
      <c r="F650" s="156">
        <f t="shared" si="78"/>
        <v>27.337000000000003</v>
      </c>
      <c r="G650" s="156">
        <v>13.43</v>
      </c>
      <c r="H650" s="122">
        <v>848521.24576699978</v>
      </c>
      <c r="I650" s="122"/>
      <c r="J650" s="122">
        <f t="shared" si="75"/>
        <v>34591665.626183286</v>
      </c>
      <c r="K650" s="122">
        <f t="shared" si="76"/>
        <v>23196025.295532476</v>
      </c>
      <c r="L650" s="122">
        <f t="shared" si="77"/>
        <v>11395640.330650806</v>
      </c>
      <c r="N650" s="121"/>
      <c r="O650" s="121"/>
    </row>
    <row r="651" spans="1:15">
      <c r="A651" s="114">
        <v>47</v>
      </c>
      <c r="B651" s="117" t="s">
        <v>426</v>
      </c>
      <c r="C651" s="116" t="s">
        <v>5</v>
      </c>
      <c r="D651" s="116">
        <v>57</v>
      </c>
      <c r="E651" s="108">
        <v>57</v>
      </c>
      <c r="F651" s="156">
        <f t="shared" si="78"/>
        <v>41</v>
      </c>
      <c r="G651" s="156">
        <v>16</v>
      </c>
      <c r="H651" s="122">
        <v>12895.977090111035</v>
      </c>
      <c r="I651" s="122"/>
      <c r="J651" s="122">
        <f t="shared" si="75"/>
        <v>735070.694136329</v>
      </c>
      <c r="K651" s="122">
        <f t="shared" si="76"/>
        <v>528735.06069455249</v>
      </c>
      <c r="L651" s="122">
        <f t="shared" si="77"/>
        <v>206335.63344177656</v>
      </c>
      <c r="N651" s="121"/>
      <c r="O651" s="121"/>
    </row>
    <row r="652" spans="1:15">
      <c r="A652" s="114">
        <v>48</v>
      </c>
      <c r="B652" s="117" t="s">
        <v>452</v>
      </c>
      <c r="C652" s="116" t="s">
        <v>149</v>
      </c>
      <c r="D652" s="116">
        <v>54.942</v>
      </c>
      <c r="E652" s="108">
        <v>54.942</v>
      </c>
      <c r="F652" s="156">
        <f t="shared" si="78"/>
        <v>45.177999999999997</v>
      </c>
      <c r="G652" s="156">
        <f>+G648/0.15/100</f>
        <v>9.7640000000000011</v>
      </c>
      <c r="H652" s="122">
        <v>691968.00698145432</v>
      </c>
      <c r="I652" s="122"/>
      <c r="J652" s="122">
        <f t="shared" si="75"/>
        <v>38018106.239575066</v>
      </c>
      <c r="K652" s="122">
        <f t="shared" si="76"/>
        <v>31261730.619408142</v>
      </c>
      <c r="L652" s="122">
        <f t="shared" si="77"/>
        <v>6756375.6201669211</v>
      </c>
      <c r="N652" s="121"/>
      <c r="O652" s="121"/>
    </row>
    <row r="653" spans="1:15">
      <c r="A653" s="114">
        <v>49</v>
      </c>
      <c r="B653" s="117" t="s">
        <v>427</v>
      </c>
      <c r="C653" s="116" t="s">
        <v>149</v>
      </c>
      <c r="D653" s="116">
        <v>16.690000000000001</v>
      </c>
      <c r="E653" s="108">
        <v>16.690000000000001</v>
      </c>
      <c r="F653" s="156">
        <f t="shared" si="78"/>
        <v>10.935100000000002</v>
      </c>
      <c r="G653" s="156">
        <f>575.49/100</f>
        <v>5.7549000000000001</v>
      </c>
      <c r="H653" s="122">
        <v>5813935.4808997139</v>
      </c>
      <c r="I653" s="122"/>
      <c r="J653" s="122">
        <f t="shared" si="75"/>
        <v>97034583.17621623</v>
      </c>
      <c r="K653" s="122">
        <f t="shared" si="76"/>
        <v>63575965.877186477</v>
      </c>
      <c r="L653" s="122">
        <f t="shared" si="77"/>
        <v>33458617.299029764</v>
      </c>
      <c r="N653" s="121"/>
      <c r="O653" s="121"/>
    </row>
    <row r="654" spans="1:15">
      <c r="A654" s="114"/>
      <c r="B654" s="115" t="s">
        <v>571</v>
      </c>
      <c r="C654" s="116"/>
      <c r="D654" s="116"/>
      <c r="E654" s="108"/>
      <c r="F654" s="156"/>
      <c r="G654" s="156"/>
      <c r="H654" s="122"/>
      <c r="I654" s="122"/>
      <c r="J654" s="122">
        <f t="shared" si="75"/>
        <v>0</v>
      </c>
      <c r="K654" s="122">
        <f t="shared" si="76"/>
        <v>0</v>
      </c>
      <c r="L654" s="122">
        <f t="shared" si="77"/>
        <v>0</v>
      </c>
      <c r="N654" s="121"/>
      <c r="O654" s="121"/>
    </row>
    <row r="655" spans="1:15">
      <c r="A655" s="114">
        <v>50</v>
      </c>
      <c r="B655" s="117" t="s">
        <v>572</v>
      </c>
      <c r="C655" s="116" t="s">
        <v>145</v>
      </c>
      <c r="D655" s="116">
        <v>1.9179999999999999</v>
      </c>
      <c r="E655" s="108">
        <v>1.9179999999999999</v>
      </c>
      <c r="F655" s="156"/>
      <c r="G655" s="156">
        <f>+E655</f>
        <v>1.9179999999999999</v>
      </c>
      <c r="H655" s="122">
        <v>742138.23240767152</v>
      </c>
      <c r="I655" s="122"/>
      <c r="J655" s="122">
        <f t="shared" si="75"/>
        <v>1423421.129757914</v>
      </c>
      <c r="K655" s="122">
        <f t="shared" si="76"/>
        <v>0</v>
      </c>
      <c r="L655" s="122">
        <f t="shared" si="77"/>
        <v>1423421.129757914</v>
      </c>
      <c r="N655" s="121"/>
      <c r="O655" s="121"/>
    </row>
    <row r="656" spans="1:15">
      <c r="A656" s="114">
        <v>51</v>
      </c>
      <c r="B656" s="117" t="s">
        <v>601</v>
      </c>
      <c r="C656" s="116" t="s">
        <v>145</v>
      </c>
      <c r="D656" s="116">
        <v>1.9179999999999999</v>
      </c>
      <c r="E656" s="108">
        <v>1.9179999999999999</v>
      </c>
      <c r="F656" s="156"/>
      <c r="G656" s="156">
        <f t="shared" ref="G656:G659" si="79">+E656</f>
        <v>1.9179999999999999</v>
      </c>
      <c r="H656" s="122">
        <v>1545733.4104878029</v>
      </c>
      <c r="I656" s="122"/>
      <c r="J656" s="122">
        <f t="shared" si="75"/>
        <v>2964716.681315606</v>
      </c>
      <c r="K656" s="122">
        <f t="shared" si="76"/>
        <v>0</v>
      </c>
      <c r="L656" s="122">
        <f t="shared" si="77"/>
        <v>2964716.681315606</v>
      </c>
      <c r="N656" s="121"/>
      <c r="O656" s="121"/>
    </row>
    <row r="657" spans="1:15" ht="31.2">
      <c r="A657" s="114">
        <v>52</v>
      </c>
      <c r="B657" s="117" t="s">
        <v>573</v>
      </c>
      <c r="C657" s="116" t="s">
        <v>147</v>
      </c>
      <c r="D657" s="116">
        <v>11.51</v>
      </c>
      <c r="E657" s="108">
        <v>11.51</v>
      </c>
      <c r="F657" s="156"/>
      <c r="G657" s="156">
        <f t="shared" si="79"/>
        <v>11.51</v>
      </c>
      <c r="H657" s="122">
        <v>829228.27324521227</v>
      </c>
      <c r="I657" s="122"/>
      <c r="J657" s="122">
        <f t="shared" si="75"/>
        <v>9544417.4250523932</v>
      </c>
      <c r="K657" s="122">
        <f t="shared" si="76"/>
        <v>0</v>
      </c>
      <c r="L657" s="122">
        <f t="shared" si="77"/>
        <v>9544417.4250523932</v>
      </c>
      <c r="N657" s="121"/>
      <c r="O657" s="121"/>
    </row>
    <row r="658" spans="1:15">
      <c r="A658" s="114">
        <v>53</v>
      </c>
      <c r="B658" s="117" t="s">
        <v>574</v>
      </c>
      <c r="C658" s="116" t="s">
        <v>148</v>
      </c>
      <c r="D658" s="116">
        <v>767.32</v>
      </c>
      <c r="E658" s="108">
        <v>767.32</v>
      </c>
      <c r="F658" s="156"/>
      <c r="G658" s="156">
        <f t="shared" si="79"/>
        <v>767.32</v>
      </c>
      <c r="H658" s="122">
        <v>17299.20017453636</v>
      </c>
      <c r="I658" s="122"/>
      <c r="J658" s="122">
        <f t="shared" si="75"/>
        <v>13274022.27792524</v>
      </c>
      <c r="K658" s="122">
        <f t="shared" si="76"/>
        <v>0</v>
      </c>
      <c r="L658" s="122">
        <f t="shared" si="77"/>
        <v>13274022.27792524</v>
      </c>
      <c r="N658" s="121"/>
      <c r="O658" s="121"/>
    </row>
    <row r="659" spans="1:15">
      <c r="A659" s="114">
        <v>54</v>
      </c>
      <c r="B659" s="117" t="s">
        <v>575</v>
      </c>
      <c r="C659" s="116" t="s">
        <v>150</v>
      </c>
      <c r="D659" s="116">
        <v>136.583</v>
      </c>
      <c r="E659" s="108">
        <v>136.583</v>
      </c>
      <c r="F659" s="156"/>
      <c r="G659" s="156">
        <f t="shared" si="79"/>
        <v>136.583</v>
      </c>
      <c r="H659" s="122">
        <v>24218.880244350901</v>
      </c>
      <c r="I659" s="122"/>
      <c r="J659" s="122">
        <f t="shared" si="75"/>
        <v>3307887.320414179</v>
      </c>
      <c r="K659" s="122">
        <f t="shared" si="76"/>
        <v>0</v>
      </c>
      <c r="L659" s="122">
        <f t="shared" si="77"/>
        <v>3307887.320414179</v>
      </c>
      <c r="N659" s="121"/>
      <c r="O659" s="121"/>
    </row>
    <row r="660" spans="1:15">
      <c r="A660" s="114"/>
      <c r="B660" s="115" t="s">
        <v>428</v>
      </c>
      <c r="C660" s="116"/>
      <c r="D660" s="116"/>
      <c r="E660" s="108"/>
      <c r="F660" s="156"/>
      <c r="G660" s="156"/>
      <c r="H660" s="122"/>
      <c r="I660" s="122"/>
      <c r="J660" s="122">
        <f t="shared" si="75"/>
        <v>0</v>
      </c>
      <c r="K660" s="122">
        <f t="shared" si="76"/>
        <v>0</v>
      </c>
      <c r="L660" s="122">
        <f t="shared" si="77"/>
        <v>0</v>
      </c>
      <c r="N660" s="121"/>
      <c r="O660" s="121"/>
    </row>
    <row r="661" spans="1:15">
      <c r="A661" s="114">
        <v>55</v>
      </c>
      <c r="B661" s="117" t="s">
        <v>429</v>
      </c>
      <c r="C661" s="116" t="s">
        <v>144</v>
      </c>
      <c r="D661" s="116">
        <v>89.61</v>
      </c>
      <c r="E661" s="108">
        <v>133.92814799999999</v>
      </c>
      <c r="F661" s="156">
        <f>+E661</f>
        <v>133.92814799999999</v>
      </c>
      <c r="G661" s="156"/>
      <c r="H661" s="122">
        <v>1452953.171630587</v>
      </c>
      <c r="I661" s="122"/>
      <c r="J661" s="122">
        <f t="shared" si="75"/>
        <v>194591327.40721065</v>
      </c>
      <c r="K661" s="122">
        <f t="shared" si="76"/>
        <v>194591327.40721065</v>
      </c>
      <c r="L661" s="122">
        <f t="shared" si="77"/>
        <v>0</v>
      </c>
      <c r="N661" s="121"/>
      <c r="O661" s="121"/>
    </row>
    <row r="662" spans="1:15">
      <c r="A662" s="114">
        <v>56</v>
      </c>
      <c r="B662" s="117" t="s">
        <v>430</v>
      </c>
      <c r="C662" s="116" t="s">
        <v>149</v>
      </c>
      <c r="D662" s="116">
        <v>3.7549999999999999</v>
      </c>
      <c r="E662" s="108">
        <v>5.6121097999999998</v>
      </c>
      <c r="F662" s="156">
        <f t="shared" ref="F662:F663" si="80">+E662</f>
        <v>5.6121097999999998</v>
      </c>
      <c r="G662" s="156"/>
      <c r="H662" s="122">
        <v>5813935.4808997139</v>
      </c>
      <c r="I662" s="122"/>
      <c r="J662" s="122">
        <f t="shared" si="75"/>
        <v>32628444.288924996</v>
      </c>
      <c r="K662" s="122">
        <f t="shared" si="76"/>
        <v>32628444.288924996</v>
      </c>
      <c r="L662" s="122">
        <f t="shared" si="77"/>
        <v>0</v>
      </c>
      <c r="N662" s="121"/>
      <c r="O662" s="121"/>
    </row>
    <row r="663" spans="1:15">
      <c r="A663" s="114">
        <v>57</v>
      </c>
      <c r="B663" s="117" t="s">
        <v>452</v>
      </c>
      <c r="C663" s="116" t="s">
        <v>149</v>
      </c>
      <c r="D663" s="116">
        <v>6.8179999999999996</v>
      </c>
      <c r="E663" s="108">
        <v>10.190033</v>
      </c>
      <c r="F663" s="156">
        <f t="shared" si="80"/>
        <v>10.190033</v>
      </c>
      <c r="G663" s="156"/>
      <c r="H663" s="122">
        <v>691968.00698145432</v>
      </c>
      <c r="I663" s="122"/>
      <c r="J663" s="122">
        <f t="shared" si="75"/>
        <v>7051176.8260852499</v>
      </c>
      <c r="K663" s="122">
        <f t="shared" si="76"/>
        <v>7051176.8260852499</v>
      </c>
      <c r="L663" s="122">
        <f t="shared" si="77"/>
        <v>0</v>
      </c>
      <c r="N663" s="121"/>
      <c r="O663" s="121"/>
    </row>
    <row r="664" spans="1:15">
      <c r="A664" s="114"/>
      <c r="B664" s="115" t="s">
        <v>513</v>
      </c>
      <c r="C664" s="116"/>
      <c r="D664" s="116"/>
      <c r="E664" s="108"/>
      <c r="F664" s="156"/>
      <c r="G664" s="156"/>
      <c r="H664" s="122"/>
      <c r="I664" s="122"/>
      <c r="J664" s="122">
        <f t="shared" si="75"/>
        <v>0</v>
      </c>
      <c r="K664" s="122">
        <f t="shared" si="76"/>
        <v>0</v>
      </c>
      <c r="L664" s="122">
        <f t="shared" si="77"/>
        <v>0</v>
      </c>
      <c r="N664" s="121"/>
      <c r="O664" s="121"/>
    </row>
    <row r="665" spans="1:15">
      <c r="A665" s="114">
        <v>58</v>
      </c>
      <c r="B665" s="117" t="s">
        <v>425</v>
      </c>
      <c r="C665" s="116" t="s">
        <v>144</v>
      </c>
      <c r="D665" s="116">
        <v>138.24</v>
      </c>
      <c r="E665" s="108">
        <v>138.24</v>
      </c>
      <c r="F665" s="156">
        <f>+E665-G665</f>
        <v>65.600000000000009</v>
      </c>
      <c r="G665" s="156">
        <v>72.64</v>
      </c>
      <c r="H665" s="122">
        <v>848521.24576699978</v>
      </c>
      <c r="I665" s="122"/>
      <c r="J665" s="122">
        <f t="shared" si="75"/>
        <v>117299577.01483005</v>
      </c>
      <c r="K665" s="122">
        <f t="shared" si="76"/>
        <v>55662993.722315192</v>
      </c>
      <c r="L665" s="122">
        <f t="shared" si="77"/>
        <v>61636583.292514868</v>
      </c>
      <c r="N665" s="121"/>
      <c r="O665" s="121"/>
    </row>
    <row r="666" spans="1:15">
      <c r="A666" s="114">
        <v>59</v>
      </c>
      <c r="B666" s="117" t="s">
        <v>602</v>
      </c>
      <c r="C666" s="116" t="s">
        <v>144</v>
      </c>
      <c r="D666" s="116">
        <v>543.45600000000002</v>
      </c>
      <c r="E666" s="108">
        <v>543.45600000000002</v>
      </c>
      <c r="F666" s="156">
        <f t="shared" ref="F666:F670" si="81">+E666-G666</f>
        <v>257.88600000000002</v>
      </c>
      <c r="G666" s="156">
        <v>285.57</v>
      </c>
      <c r="H666" s="122">
        <v>1519613.5909447288</v>
      </c>
      <c r="I666" s="122"/>
      <c r="J666" s="122">
        <f t="shared" si="75"/>
        <v>825843123.68045855</v>
      </c>
      <c r="K666" s="122">
        <f t="shared" si="76"/>
        <v>391887070.51437235</v>
      </c>
      <c r="L666" s="122">
        <f t="shared" si="77"/>
        <v>433956053.1660862</v>
      </c>
      <c r="N666" s="121"/>
      <c r="O666" s="121"/>
    </row>
    <row r="667" spans="1:15">
      <c r="A667" s="114">
        <v>60</v>
      </c>
      <c r="B667" s="117" t="s">
        <v>431</v>
      </c>
      <c r="C667" s="116" t="s">
        <v>144</v>
      </c>
      <c r="D667" s="116">
        <v>55.295999999999999</v>
      </c>
      <c r="E667" s="108">
        <v>55.295999999999999</v>
      </c>
      <c r="F667" s="156">
        <f t="shared" si="81"/>
        <v>26.236000000000001</v>
      </c>
      <c r="G667" s="156">
        <v>29.06</v>
      </c>
      <c r="H667" s="122">
        <v>1142338.0836949232</v>
      </c>
      <c r="I667" s="122"/>
      <c r="J667" s="122">
        <f t="shared" si="75"/>
        <v>63166726.675994471</v>
      </c>
      <c r="K667" s="122">
        <f t="shared" si="76"/>
        <v>29970381.963820007</v>
      </c>
      <c r="L667" s="122">
        <f t="shared" si="77"/>
        <v>33196344.712174468</v>
      </c>
      <c r="N667" s="121"/>
      <c r="O667" s="121"/>
    </row>
    <row r="668" spans="1:15">
      <c r="A668" s="114">
        <v>61</v>
      </c>
      <c r="B668" s="117" t="s">
        <v>603</v>
      </c>
      <c r="C668" s="116" t="s">
        <v>146</v>
      </c>
      <c r="D668" s="116">
        <v>14.819000000000001</v>
      </c>
      <c r="E668" s="108">
        <v>14.819000000000001</v>
      </c>
      <c r="F668" s="156">
        <f t="shared" si="81"/>
        <v>7.0319600000000007</v>
      </c>
      <c r="G668" s="156">
        <f>7787.04/1000</f>
        <v>7.7870400000000002</v>
      </c>
      <c r="H668" s="122">
        <v>20380624.265171286</v>
      </c>
      <c r="I668" s="122"/>
      <c r="J668" s="122">
        <f t="shared" si="75"/>
        <v>302020470.98557329</v>
      </c>
      <c r="K668" s="122">
        <f t="shared" si="76"/>
        <v>143315734.60771388</v>
      </c>
      <c r="L668" s="122">
        <f t="shared" si="77"/>
        <v>158704736.37785941</v>
      </c>
      <c r="N668" s="121"/>
      <c r="O668" s="121"/>
    </row>
    <row r="669" spans="1:15">
      <c r="A669" s="114">
        <v>62</v>
      </c>
      <c r="B669" s="117" t="s">
        <v>604</v>
      </c>
      <c r="C669" s="116" t="s">
        <v>146</v>
      </c>
      <c r="D669" s="116">
        <v>22.552</v>
      </c>
      <c r="E669" s="108">
        <v>22.552</v>
      </c>
      <c r="F669" s="156">
        <f t="shared" si="81"/>
        <v>10.701809999999998</v>
      </c>
      <c r="G669" s="156">
        <f>11850.19/1000</f>
        <v>11.850190000000001</v>
      </c>
      <c r="H669" s="122">
        <v>20468933.139186095</v>
      </c>
      <c r="I669" s="122"/>
      <c r="J669" s="122">
        <f t="shared" si="75"/>
        <v>461615380.15492481</v>
      </c>
      <c r="K669" s="122">
        <f t="shared" si="76"/>
        <v>219054633.35827312</v>
      </c>
      <c r="L669" s="122">
        <f t="shared" si="77"/>
        <v>242560746.79665169</v>
      </c>
      <c r="N669" s="121"/>
      <c r="O669" s="121"/>
    </row>
    <row r="670" spans="1:15">
      <c r="A670" s="114">
        <v>63</v>
      </c>
      <c r="B670" s="117" t="s">
        <v>430</v>
      </c>
      <c r="C670" s="116" t="s">
        <v>149</v>
      </c>
      <c r="D670" s="116">
        <v>49.420999999999999</v>
      </c>
      <c r="E670" s="108">
        <v>49.420999999999999</v>
      </c>
      <c r="F670" s="156">
        <f t="shared" si="81"/>
        <v>23.452199999999998</v>
      </c>
      <c r="G670" s="156">
        <f>2596.88/100</f>
        <v>25.968800000000002</v>
      </c>
      <c r="H670" s="122">
        <v>5813935.4808997139</v>
      </c>
      <c r="I670" s="122"/>
      <c r="J670" s="122">
        <f t="shared" si="75"/>
        <v>287330505.40154475</v>
      </c>
      <c r="K670" s="122">
        <f t="shared" si="76"/>
        <v>136349577.68515626</v>
      </c>
      <c r="L670" s="122">
        <f t="shared" si="77"/>
        <v>150980927.71638849</v>
      </c>
      <c r="N670" s="121"/>
      <c r="O670" s="121"/>
    </row>
    <row r="671" spans="1:15">
      <c r="A671" s="114"/>
      <c r="B671" s="115" t="s">
        <v>435</v>
      </c>
      <c r="C671" s="116"/>
      <c r="D671" s="116"/>
      <c r="E671" s="108"/>
      <c r="F671" s="156"/>
      <c r="G671" s="156"/>
      <c r="H671" s="122"/>
      <c r="I671" s="122"/>
      <c r="J671" s="122">
        <f t="shared" si="75"/>
        <v>0</v>
      </c>
      <c r="K671" s="122">
        <f t="shared" si="76"/>
        <v>0</v>
      </c>
      <c r="L671" s="122">
        <f t="shared" si="77"/>
        <v>0</v>
      </c>
      <c r="N671" s="121"/>
      <c r="O671" s="121"/>
    </row>
    <row r="672" spans="1:15">
      <c r="A672" s="114">
        <v>64</v>
      </c>
      <c r="B672" s="117" t="s">
        <v>436</v>
      </c>
      <c r="C672" s="116" t="s">
        <v>144</v>
      </c>
      <c r="D672" s="116">
        <v>232.74799999999999</v>
      </c>
      <c r="E672" s="108">
        <v>232.74799999999999</v>
      </c>
      <c r="F672" s="156">
        <f>+E672-G672</f>
        <v>112.69799999999999</v>
      </c>
      <c r="G672" s="156">
        <f>118.95+1.1</f>
        <v>120.05</v>
      </c>
      <c r="H672" s="122">
        <v>1597162.2484672805</v>
      </c>
      <c r="I672" s="122"/>
      <c r="J672" s="122">
        <f t="shared" si="75"/>
        <v>371736319.0062626</v>
      </c>
      <c r="K672" s="122">
        <f t="shared" si="76"/>
        <v>179996991.07776558</v>
      </c>
      <c r="L672" s="122">
        <f t="shared" si="77"/>
        <v>191739327.92849702</v>
      </c>
      <c r="N672" s="121"/>
      <c r="O672" s="121"/>
    </row>
    <row r="673" spans="1:15">
      <c r="A673" s="114">
        <v>65</v>
      </c>
      <c r="B673" s="117" t="s">
        <v>437</v>
      </c>
      <c r="C673" s="116" t="s">
        <v>146</v>
      </c>
      <c r="D673" s="116">
        <v>14.279</v>
      </c>
      <c r="E673" s="108">
        <v>14.279</v>
      </c>
      <c r="F673" s="156">
        <f t="shared" ref="F673:F676" si="82">+E673-G673</f>
        <v>7.0073800000000004</v>
      </c>
      <c r="G673" s="156">
        <f>+(7158.53+113.09)/1000</f>
        <v>7.2716199999999995</v>
      </c>
      <c r="H673" s="122">
        <v>23146185.931862913</v>
      </c>
      <c r="I673" s="122"/>
      <c r="J673" s="122">
        <f t="shared" si="75"/>
        <v>330504388.92107052</v>
      </c>
      <c r="K673" s="122">
        <f t="shared" si="76"/>
        <v>162194120.37521756</v>
      </c>
      <c r="L673" s="122">
        <f t="shared" si="77"/>
        <v>168310268.54585299</v>
      </c>
      <c r="N673" s="121"/>
      <c r="O673" s="121"/>
    </row>
    <row r="674" spans="1:15">
      <c r="A674" s="114">
        <v>66</v>
      </c>
      <c r="B674" s="117" t="s">
        <v>438</v>
      </c>
      <c r="C674" s="116" t="s">
        <v>146</v>
      </c>
      <c r="D674" s="116">
        <v>11.478</v>
      </c>
      <c r="E674" s="108">
        <v>11.478</v>
      </c>
      <c r="F674" s="156">
        <f t="shared" si="82"/>
        <v>5.5777599999999996</v>
      </c>
      <c r="G674" s="156">
        <f>+(5835.32+64.92)/1000</f>
        <v>5.9002400000000002</v>
      </c>
      <c r="H674" s="122">
        <v>22170915.161945313</v>
      </c>
      <c r="I674" s="122"/>
      <c r="J674" s="122">
        <f t="shared" si="75"/>
        <v>254477764.22880831</v>
      </c>
      <c r="K674" s="122">
        <f t="shared" si="76"/>
        <v>123664043.75369208</v>
      </c>
      <c r="L674" s="122">
        <f t="shared" si="77"/>
        <v>130813720.47511622</v>
      </c>
      <c r="N674" s="121"/>
      <c r="O674" s="121"/>
    </row>
    <row r="675" spans="1:15">
      <c r="A675" s="114">
        <v>67</v>
      </c>
      <c r="B675" s="117" t="s">
        <v>337</v>
      </c>
      <c r="C675" s="116" t="s">
        <v>149</v>
      </c>
      <c r="D675" s="116">
        <v>46.124000000000002</v>
      </c>
      <c r="E675" s="108">
        <v>46.124000000000002</v>
      </c>
      <c r="F675" s="156">
        <f t="shared" si="82"/>
        <v>22.059600000000003</v>
      </c>
      <c r="G675" s="156">
        <f>+(2398.03+8.41)/100</f>
        <v>24.064399999999999</v>
      </c>
      <c r="H675" s="122">
        <v>8046781.7858471721</v>
      </c>
      <c r="I675" s="122"/>
      <c r="J675" s="122">
        <f t="shared" si="75"/>
        <v>371149763.090415</v>
      </c>
      <c r="K675" s="122">
        <f t="shared" si="76"/>
        <v>177508787.48307431</v>
      </c>
      <c r="L675" s="122">
        <f t="shared" si="77"/>
        <v>193640975.60734069</v>
      </c>
      <c r="N675" s="121"/>
      <c r="O675" s="121"/>
    </row>
    <row r="676" spans="1:15">
      <c r="A676" s="114">
        <v>68</v>
      </c>
      <c r="B676" s="117" t="s">
        <v>439</v>
      </c>
      <c r="C676" s="116" t="s">
        <v>392</v>
      </c>
      <c r="D676" s="116">
        <v>3514</v>
      </c>
      <c r="E676" s="108">
        <v>3514</v>
      </c>
      <c r="F676" s="156">
        <f t="shared" si="82"/>
        <v>1688</v>
      </c>
      <c r="G676" s="156">
        <f>908*2+10</f>
        <v>1826</v>
      </c>
      <c r="H676" s="122">
        <v>32899.991206105726</v>
      </c>
      <c r="I676" s="122"/>
      <c r="J676" s="122">
        <f t="shared" si="75"/>
        <v>115610569.09825552</v>
      </c>
      <c r="K676" s="122">
        <f t="shared" si="76"/>
        <v>55535185.155906469</v>
      </c>
      <c r="L676" s="122">
        <f t="shared" si="77"/>
        <v>60075383.942349054</v>
      </c>
      <c r="N676" s="121"/>
      <c r="O676" s="121"/>
    </row>
    <row r="677" spans="1:15">
      <c r="A677" s="114"/>
      <c r="B677" s="115" t="s">
        <v>440</v>
      </c>
      <c r="C677" s="116"/>
      <c r="D677" s="116"/>
      <c r="E677" s="108"/>
      <c r="F677" s="156"/>
      <c r="G677" s="156"/>
      <c r="H677" s="122"/>
      <c r="I677" s="122"/>
      <c r="J677" s="122">
        <f t="shared" si="75"/>
        <v>0</v>
      </c>
      <c r="K677" s="122">
        <f t="shared" si="76"/>
        <v>0</v>
      </c>
      <c r="L677" s="122">
        <f t="shared" si="77"/>
        <v>0</v>
      </c>
      <c r="N677" s="121"/>
      <c r="O677" s="121"/>
    </row>
    <row r="678" spans="1:15">
      <c r="A678" s="114">
        <v>69</v>
      </c>
      <c r="B678" s="117" t="s">
        <v>425</v>
      </c>
      <c r="C678" s="116" t="s">
        <v>144</v>
      </c>
      <c r="D678" s="116">
        <v>5.4080000000000004</v>
      </c>
      <c r="E678" s="108">
        <v>5.4080000000000004</v>
      </c>
      <c r="F678" s="156">
        <f>+E678-G678</f>
        <v>2.2880000000000003</v>
      </c>
      <c r="G678" s="156">
        <v>3.12</v>
      </c>
      <c r="H678" s="122">
        <v>848521.24576699978</v>
      </c>
      <c r="I678" s="122"/>
      <c r="J678" s="122">
        <f t="shared" si="75"/>
        <v>4588802.8971079355</v>
      </c>
      <c r="K678" s="122">
        <f t="shared" si="76"/>
        <v>1941416.6103148956</v>
      </c>
      <c r="L678" s="122">
        <f t="shared" si="77"/>
        <v>2647386.2867930392</v>
      </c>
      <c r="N678" s="121"/>
      <c r="O678" s="121"/>
    </row>
    <row r="679" spans="1:15">
      <c r="A679" s="114">
        <v>70</v>
      </c>
      <c r="B679" s="117" t="s">
        <v>605</v>
      </c>
      <c r="C679" s="116" t="s">
        <v>144</v>
      </c>
      <c r="D679" s="116">
        <v>24.648</v>
      </c>
      <c r="E679" s="108">
        <v>24.648</v>
      </c>
      <c r="F679" s="156">
        <f t="shared" ref="F679:F682" si="83">+E679-G679</f>
        <v>10.427999999999999</v>
      </c>
      <c r="G679" s="156">
        <v>14.22</v>
      </c>
      <c r="H679" s="122">
        <v>1365922.7912116998</v>
      </c>
      <c r="I679" s="122"/>
      <c r="J679" s="122">
        <f t="shared" si="75"/>
        <v>33667264.957785979</v>
      </c>
      <c r="K679" s="122">
        <f t="shared" si="76"/>
        <v>14243842.866755605</v>
      </c>
      <c r="L679" s="122">
        <f t="shared" si="77"/>
        <v>19423422.091030374</v>
      </c>
      <c r="N679" s="121"/>
      <c r="O679" s="121"/>
    </row>
    <row r="680" spans="1:15">
      <c r="A680" s="114">
        <v>71</v>
      </c>
      <c r="B680" s="117" t="s">
        <v>606</v>
      </c>
      <c r="C680" s="116" t="s">
        <v>146</v>
      </c>
      <c r="D680" s="116">
        <v>0.54</v>
      </c>
      <c r="E680" s="108">
        <v>0.54</v>
      </c>
      <c r="F680" s="156">
        <f t="shared" si="83"/>
        <v>0.22833999999999999</v>
      </c>
      <c r="G680" s="156">
        <f>311.66/1000</f>
        <v>0.31166000000000005</v>
      </c>
      <c r="H680" s="122">
        <v>20380624.265171286</v>
      </c>
      <c r="I680" s="122"/>
      <c r="J680" s="122">
        <f t="shared" si="75"/>
        <v>11005537.103192495</v>
      </c>
      <c r="K680" s="122">
        <f t="shared" si="76"/>
        <v>4653711.7447092114</v>
      </c>
      <c r="L680" s="122">
        <f t="shared" si="77"/>
        <v>6351825.3584832838</v>
      </c>
      <c r="N680" s="121"/>
      <c r="O680" s="121"/>
    </row>
    <row r="681" spans="1:15">
      <c r="A681" s="114">
        <v>72</v>
      </c>
      <c r="B681" s="117" t="s">
        <v>607</v>
      </c>
      <c r="C681" s="116" t="s">
        <v>146</v>
      </c>
      <c r="D681" s="116">
        <v>0.997</v>
      </c>
      <c r="E681" s="108">
        <v>0.997</v>
      </c>
      <c r="F681" s="156">
        <f t="shared" si="83"/>
        <v>0.42170000000000007</v>
      </c>
      <c r="G681" s="156">
        <f>575.3/1000</f>
        <v>0.57529999999999992</v>
      </c>
      <c r="H681" s="122">
        <v>20468933.139186095</v>
      </c>
      <c r="I681" s="122"/>
      <c r="J681" s="122">
        <f t="shared" si="75"/>
        <v>20407526.339768536</v>
      </c>
      <c r="K681" s="122">
        <f t="shared" si="76"/>
        <v>8631749.1047947779</v>
      </c>
      <c r="L681" s="122">
        <f t="shared" si="77"/>
        <v>11775777.234973758</v>
      </c>
      <c r="N681" s="121"/>
      <c r="O681" s="121"/>
    </row>
    <row r="682" spans="1:15">
      <c r="A682" s="114">
        <v>73</v>
      </c>
      <c r="B682" s="117" t="s">
        <v>444</v>
      </c>
      <c r="C682" s="116" t="s">
        <v>149</v>
      </c>
      <c r="D682" s="116">
        <v>2.2050000000000001</v>
      </c>
      <c r="E682" s="108">
        <v>2.2050000000000001</v>
      </c>
      <c r="F682" s="156">
        <f t="shared" si="83"/>
        <v>0.93300000000000005</v>
      </c>
      <c r="G682" s="156">
        <f>127.2/100</f>
        <v>1.272</v>
      </c>
      <c r="H682" s="122">
        <v>5813935.4808997139</v>
      </c>
      <c r="I682" s="122"/>
      <c r="J682" s="122">
        <f t="shared" si="75"/>
        <v>12819727.73538387</v>
      </c>
      <c r="K682" s="122">
        <f t="shared" si="76"/>
        <v>5424401.8036794337</v>
      </c>
      <c r="L682" s="122">
        <f t="shared" si="77"/>
        <v>7395325.9317044364</v>
      </c>
      <c r="N682" s="121"/>
      <c r="O682" s="121"/>
    </row>
    <row r="683" spans="1:15">
      <c r="A683" s="114"/>
      <c r="B683" s="115" t="s">
        <v>435</v>
      </c>
      <c r="C683" s="116"/>
      <c r="D683" s="116"/>
      <c r="E683" s="108"/>
      <c r="F683" s="156"/>
      <c r="G683" s="156"/>
      <c r="H683" s="122"/>
      <c r="I683" s="122"/>
      <c r="J683" s="122">
        <f t="shared" si="75"/>
        <v>0</v>
      </c>
      <c r="K683" s="122">
        <f t="shared" si="76"/>
        <v>0</v>
      </c>
      <c r="L683" s="122">
        <f t="shared" si="77"/>
        <v>0</v>
      </c>
      <c r="N683" s="121"/>
      <c r="O683" s="121"/>
    </row>
    <row r="684" spans="1:15">
      <c r="A684" s="114">
        <v>74</v>
      </c>
      <c r="B684" s="117" t="s">
        <v>436</v>
      </c>
      <c r="C684" s="116" t="s">
        <v>144</v>
      </c>
      <c r="D684" s="116">
        <v>6.3959999999999999</v>
      </c>
      <c r="E684" s="108">
        <v>6.3959999999999999</v>
      </c>
      <c r="F684" s="156">
        <f>+E684-G684</f>
        <v>2.706</v>
      </c>
      <c r="G684" s="156">
        <v>3.69</v>
      </c>
      <c r="H684" s="122">
        <v>1571820.7239415227</v>
      </c>
      <c r="I684" s="122"/>
      <c r="J684" s="122">
        <f t="shared" si="75"/>
        <v>10053365.350329978</v>
      </c>
      <c r="K684" s="122">
        <f t="shared" si="76"/>
        <v>4253346.8789857598</v>
      </c>
      <c r="L684" s="122">
        <f t="shared" si="77"/>
        <v>5800018.4713442186</v>
      </c>
      <c r="N684" s="121"/>
      <c r="O684" s="121"/>
    </row>
    <row r="685" spans="1:15">
      <c r="A685" s="114">
        <v>75</v>
      </c>
      <c r="B685" s="117" t="s">
        <v>437</v>
      </c>
      <c r="C685" s="116" t="s">
        <v>146</v>
      </c>
      <c r="D685" s="116">
        <v>0.373</v>
      </c>
      <c r="E685" s="108">
        <v>0.373</v>
      </c>
      <c r="F685" s="156">
        <f t="shared" ref="F685:F688" si="84">+E685-G685</f>
        <v>0.15774000000000002</v>
      </c>
      <c r="G685" s="156">
        <f>215.26/1000</f>
        <v>0.21525999999999998</v>
      </c>
      <c r="H685" s="122">
        <v>23146185.931862913</v>
      </c>
      <c r="I685" s="122"/>
      <c r="J685" s="122">
        <f t="shared" si="75"/>
        <v>8633527.3525848668</v>
      </c>
      <c r="K685" s="122">
        <f t="shared" si="76"/>
        <v>3651079.3688920564</v>
      </c>
      <c r="L685" s="122">
        <f t="shared" si="77"/>
        <v>4982447.9836928099</v>
      </c>
      <c r="N685" s="121"/>
      <c r="O685" s="121"/>
    </row>
    <row r="686" spans="1:15">
      <c r="A686" s="114">
        <v>76</v>
      </c>
      <c r="B686" s="117" t="s">
        <v>438</v>
      </c>
      <c r="C686" s="116" t="s">
        <v>146</v>
      </c>
      <c r="D686" s="116">
        <v>0.33400000000000002</v>
      </c>
      <c r="E686" s="108">
        <v>0.33400000000000002</v>
      </c>
      <c r="F686" s="156">
        <f t="shared" si="84"/>
        <v>0.14120000000000002</v>
      </c>
      <c r="G686" s="156">
        <f>192.8/1000</f>
        <v>0.1928</v>
      </c>
      <c r="H686" s="122">
        <v>22170915.161945313</v>
      </c>
      <c r="I686" s="122"/>
      <c r="J686" s="122">
        <f t="shared" si="75"/>
        <v>7405085.6640897347</v>
      </c>
      <c r="K686" s="122">
        <f t="shared" si="76"/>
        <v>3130533.2208666787</v>
      </c>
      <c r="L686" s="122">
        <f t="shared" si="77"/>
        <v>4274552.4432230564</v>
      </c>
      <c r="N686" s="121"/>
      <c r="O686" s="121"/>
    </row>
    <row r="687" spans="1:15">
      <c r="A687" s="114">
        <v>77</v>
      </c>
      <c r="B687" s="117" t="s">
        <v>337</v>
      </c>
      <c r="C687" s="116" t="s">
        <v>149</v>
      </c>
      <c r="D687" s="116">
        <v>1.373</v>
      </c>
      <c r="E687" s="108">
        <v>1.373</v>
      </c>
      <c r="F687" s="156">
        <f t="shared" si="84"/>
        <v>0.58069999999999999</v>
      </c>
      <c r="G687" s="156">
        <f>79.23/100</f>
        <v>0.7923</v>
      </c>
      <c r="H687" s="122">
        <v>8046781.7858471721</v>
      </c>
      <c r="I687" s="122"/>
      <c r="J687" s="122">
        <f t="shared" si="75"/>
        <v>11048231.391968166</v>
      </c>
      <c r="K687" s="122">
        <f t="shared" si="76"/>
        <v>4672766.1830414524</v>
      </c>
      <c r="L687" s="122">
        <f t="shared" si="77"/>
        <v>6375465.208926715</v>
      </c>
      <c r="N687" s="121"/>
      <c r="O687" s="121"/>
    </row>
    <row r="688" spans="1:15">
      <c r="A688" s="114">
        <v>78</v>
      </c>
      <c r="B688" s="117" t="s">
        <v>439</v>
      </c>
      <c r="C688" s="116" t="s">
        <v>392</v>
      </c>
      <c r="D688" s="116">
        <v>104</v>
      </c>
      <c r="E688" s="108">
        <v>104</v>
      </c>
      <c r="F688" s="156">
        <f t="shared" si="84"/>
        <v>44</v>
      </c>
      <c r="G688" s="156">
        <f>30*2</f>
        <v>60</v>
      </c>
      <c r="H688" s="122">
        <v>32899.991206105726</v>
      </c>
      <c r="I688" s="122"/>
      <c r="J688" s="122">
        <f t="shared" si="75"/>
        <v>3421599.0854349956</v>
      </c>
      <c r="K688" s="122">
        <f t="shared" si="76"/>
        <v>1447599.6130686519</v>
      </c>
      <c r="L688" s="122">
        <f t="shared" si="77"/>
        <v>1973999.4723663435</v>
      </c>
      <c r="N688" s="121"/>
      <c r="O688" s="121"/>
    </row>
    <row r="689" spans="1:15">
      <c r="A689" s="114"/>
      <c r="B689" s="115" t="s">
        <v>445</v>
      </c>
      <c r="C689" s="116"/>
      <c r="D689" s="116"/>
      <c r="E689" s="108">
        <v>0</v>
      </c>
      <c r="F689" s="156"/>
      <c r="G689" s="156"/>
      <c r="H689" s="122"/>
      <c r="I689" s="122"/>
      <c r="J689" s="122">
        <f t="shared" si="75"/>
        <v>0</v>
      </c>
      <c r="K689" s="122">
        <f t="shared" si="76"/>
        <v>0</v>
      </c>
      <c r="L689" s="122">
        <f t="shared" si="77"/>
        <v>0</v>
      </c>
      <c r="N689" s="121"/>
      <c r="O689" s="121"/>
    </row>
    <row r="690" spans="1:15">
      <c r="A690" s="114">
        <v>79</v>
      </c>
      <c r="B690" s="117" t="s">
        <v>446</v>
      </c>
      <c r="C690" s="116" t="s">
        <v>148</v>
      </c>
      <c r="D690" s="116">
        <v>500</v>
      </c>
      <c r="E690" s="108">
        <v>500</v>
      </c>
      <c r="F690" s="156"/>
      <c r="G690" s="156">
        <f>+E690</f>
        <v>500</v>
      </c>
      <c r="H690" s="122">
        <v>68503.862675518641</v>
      </c>
      <c r="I690" s="122"/>
      <c r="J690" s="122">
        <f t="shared" si="75"/>
        <v>34251931.337759323</v>
      </c>
      <c r="K690" s="122">
        <f t="shared" si="76"/>
        <v>0</v>
      </c>
      <c r="L690" s="122">
        <f t="shared" si="77"/>
        <v>34251931.337759323</v>
      </c>
      <c r="N690" s="121"/>
      <c r="O690" s="121"/>
    </row>
    <row r="691" spans="1:15">
      <c r="A691" s="114">
        <v>80</v>
      </c>
      <c r="B691" s="117" t="s">
        <v>447</v>
      </c>
      <c r="C691" s="116" t="s">
        <v>145</v>
      </c>
      <c r="D691" s="116">
        <v>0.15</v>
      </c>
      <c r="E691" s="108">
        <v>0.15</v>
      </c>
      <c r="F691" s="156"/>
      <c r="G691" s="156">
        <f t="shared" ref="G691:G692" si="85">+E691</f>
        <v>0.15</v>
      </c>
      <c r="H691" s="122">
        <v>461348.88518694637</v>
      </c>
      <c r="I691" s="122"/>
      <c r="J691" s="122">
        <f t="shared" si="75"/>
        <v>69202.332778041949</v>
      </c>
      <c r="K691" s="122">
        <f t="shared" si="76"/>
        <v>0</v>
      </c>
      <c r="L691" s="122">
        <f t="shared" si="77"/>
        <v>69202.332778041949</v>
      </c>
      <c r="N691" s="121"/>
      <c r="O691" s="121"/>
    </row>
    <row r="692" spans="1:15">
      <c r="A692" s="114">
        <v>81</v>
      </c>
      <c r="B692" s="117" t="s">
        <v>399</v>
      </c>
      <c r="C692" s="116" t="s">
        <v>145</v>
      </c>
      <c r="D692" s="116">
        <v>2</v>
      </c>
      <c r="E692" s="108">
        <v>2</v>
      </c>
      <c r="F692" s="156"/>
      <c r="G692" s="156">
        <f t="shared" si="85"/>
        <v>2</v>
      </c>
      <c r="H692" s="122">
        <v>1164771.501309423</v>
      </c>
      <c r="I692" s="122"/>
      <c r="J692" s="122">
        <f t="shared" si="75"/>
        <v>2329543.002618846</v>
      </c>
      <c r="K692" s="122">
        <f t="shared" si="76"/>
        <v>0</v>
      </c>
      <c r="L692" s="122">
        <f t="shared" si="77"/>
        <v>2329543.002618846</v>
      </c>
      <c r="N692" s="121"/>
      <c r="O692" s="121"/>
    </row>
    <row r="693" spans="1:15">
      <c r="A693" s="114"/>
      <c r="B693" s="115" t="s">
        <v>448</v>
      </c>
      <c r="C693" s="116"/>
      <c r="D693" s="116"/>
      <c r="E693" s="108"/>
      <c r="F693" s="156"/>
      <c r="G693" s="156"/>
      <c r="H693" s="122"/>
      <c r="I693" s="122"/>
      <c r="J693" s="122">
        <f t="shared" si="75"/>
        <v>0</v>
      </c>
      <c r="K693" s="122">
        <f t="shared" si="76"/>
        <v>0</v>
      </c>
      <c r="L693" s="122">
        <f t="shared" si="77"/>
        <v>0</v>
      </c>
      <c r="N693" s="121"/>
      <c r="O693" s="121"/>
    </row>
    <row r="694" spans="1:15">
      <c r="A694" s="114">
        <v>82</v>
      </c>
      <c r="B694" s="117" t="s">
        <v>449</v>
      </c>
      <c r="C694" s="116" t="s">
        <v>25</v>
      </c>
      <c r="D694" s="116">
        <v>312</v>
      </c>
      <c r="E694" s="108">
        <v>312</v>
      </c>
      <c r="F694" s="156">
        <v>3</v>
      </c>
      <c r="G694" s="156">
        <v>309</v>
      </c>
      <c r="H694" s="122">
        <v>92867.421267687314</v>
      </c>
      <c r="I694" s="122"/>
      <c r="J694" s="122">
        <f t="shared" si="75"/>
        <v>28974635.435518444</v>
      </c>
      <c r="K694" s="122">
        <f t="shared" si="76"/>
        <v>278602.26380306191</v>
      </c>
      <c r="L694" s="122">
        <f t="shared" si="77"/>
        <v>28696033.171715379</v>
      </c>
      <c r="N694" s="121"/>
      <c r="O694" s="121"/>
    </row>
    <row r="695" spans="1:15">
      <c r="A695" s="114">
        <v>83</v>
      </c>
      <c r="B695" s="117" t="s">
        <v>450</v>
      </c>
      <c r="C695" s="116" t="s">
        <v>25</v>
      </c>
      <c r="D695" s="116">
        <v>2</v>
      </c>
      <c r="E695" s="108">
        <v>2</v>
      </c>
      <c r="F695" s="156"/>
      <c r="G695" s="156">
        <v>2</v>
      </c>
      <c r="H695" s="122">
        <v>656215.92945515423</v>
      </c>
      <c r="I695" s="122"/>
      <c r="J695" s="122">
        <f t="shared" si="75"/>
        <v>1312431.8589103085</v>
      </c>
      <c r="K695" s="122">
        <f t="shared" si="76"/>
        <v>0</v>
      </c>
      <c r="L695" s="122">
        <f t="shared" si="77"/>
        <v>1312431.8589103085</v>
      </c>
      <c r="N695" s="121"/>
      <c r="O695" s="121"/>
    </row>
    <row r="696" spans="1:15">
      <c r="A696" s="114">
        <v>84</v>
      </c>
      <c r="B696" s="117" t="s">
        <v>451</v>
      </c>
      <c r="C696" s="116" t="s">
        <v>25</v>
      </c>
      <c r="D696" s="116">
        <v>26</v>
      </c>
      <c r="E696" s="108">
        <v>26</v>
      </c>
      <c r="F696" s="156">
        <f>+E696-G696</f>
        <v>13</v>
      </c>
      <c r="G696" s="156">
        <v>13</v>
      </c>
      <c r="H696" s="122">
        <v>92867.421267687314</v>
      </c>
      <c r="I696" s="122"/>
      <c r="J696" s="122">
        <f t="shared" si="75"/>
        <v>2414552.95295987</v>
      </c>
      <c r="K696" s="122">
        <f t="shared" si="76"/>
        <v>1207276.476479935</v>
      </c>
      <c r="L696" s="122">
        <f t="shared" si="77"/>
        <v>1207276.476479935</v>
      </c>
      <c r="N696" s="121"/>
      <c r="O696" s="121"/>
    </row>
    <row r="697" spans="1:15">
      <c r="A697" s="114">
        <v>85</v>
      </c>
      <c r="B697" s="117" t="s">
        <v>452</v>
      </c>
      <c r="C697" s="116" t="s">
        <v>149</v>
      </c>
      <c r="D697" s="116">
        <v>0.01</v>
      </c>
      <c r="E697" s="108">
        <v>0.01</v>
      </c>
      <c r="F697" s="156">
        <f>+E697-G697</f>
        <v>5.0000000000000001E-3</v>
      </c>
      <c r="G697" s="156">
        <v>5.0000000000000001E-3</v>
      </c>
      <c r="H697" s="122">
        <v>691968.00698145432</v>
      </c>
      <c r="I697" s="122"/>
      <c r="J697" s="122">
        <f t="shared" si="75"/>
        <v>6919.6800698145435</v>
      </c>
      <c r="K697" s="122">
        <f t="shared" si="76"/>
        <v>3459.8400349072717</v>
      </c>
      <c r="L697" s="122">
        <f t="shared" si="77"/>
        <v>3459.8400349072717</v>
      </c>
      <c r="N697" s="121"/>
      <c r="O697" s="121"/>
    </row>
    <row r="698" spans="1:15">
      <c r="A698" s="114">
        <v>86</v>
      </c>
      <c r="B698" s="117" t="s">
        <v>453</v>
      </c>
      <c r="C698" s="116" t="s">
        <v>25</v>
      </c>
      <c r="D698" s="116">
        <v>676</v>
      </c>
      <c r="E698" s="108">
        <v>676</v>
      </c>
      <c r="F698" s="156">
        <f>+E698-G698</f>
        <v>32</v>
      </c>
      <c r="G698" s="156">
        <f>+(G694+G696)*2</f>
        <v>644</v>
      </c>
      <c r="H698" s="122">
        <v>14416.000145446964</v>
      </c>
      <c r="I698" s="122"/>
      <c r="J698" s="122">
        <f t="shared" si="75"/>
        <v>9745216.0983221475</v>
      </c>
      <c r="K698" s="122">
        <f t="shared" si="76"/>
        <v>461312.00465430284</v>
      </c>
      <c r="L698" s="122">
        <f t="shared" si="77"/>
        <v>9283904.0936678443</v>
      </c>
      <c r="N698" s="121"/>
      <c r="O698" s="121"/>
    </row>
    <row r="699" spans="1:15">
      <c r="A699" s="114"/>
      <c r="B699" s="115" t="s">
        <v>454</v>
      </c>
      <c r="C699" s="116"/>
      <c r="D699" s="116"/>
      <c r="E699" s="108"/>
      <c r="F699" s="156"/>
      <c r="G699" s="156"/>
      <c r="H699" s="122"/>
      <c r="I699" s="122"/>
      <c r="J699" s="122">
        <f t="shared" si="75"/>
        <v>0</v>
      </c>
      <c r="K699" s="122">
        <f t="shared" si="76"/>
        <v>0</v>
      </c>
      <c r="L699" s="122">
        <f t="shared" si="77"/>
        <v>0</v>
      </c>
      <c r="N699" s="121"/>
      <c r="O699" s="121"/>
    </row>
    <row r="700" spans="1:15">
      <c r="A700" s="114">
        <v>87</v>
      </c>
      <c r="B700" s="117" t="s">
        <v>455</v>
      </c>
      <c r="C700" s="116" t="s">
        <v>145</v>
      </c>
      <c r="D700" s="116">
        <v>3.4000000000000002E-2</v>
      </c>
      <c r="E700" s="108">
        <v>3.15E-2</v>
      </c>
      <c r="F700" s="156">
        <f>+E700/E705*F705</f>
        <v>1.6380000000000002E-2</v>
      </c>
      <c r="G700" s="156">
        <f>+E700-F700</f>
        <v>1.5119999999999998E-2</v>
      </c>
      <c r="H700" s="122">
        <v>2674801.7921658657</v>
      </c>
      <c r="I700" s="122"/>
      <c r="J700" s="122">
        <f t="shared" si="75"/>
        <v>84256.256453224763</v>
      </c>
      <c r="K700" s="122">
        <f t="shared" si="76"/>
        <v>43813.253355676883</v>
      </c>
      <c r="L700" s="122">
        <f t="shared" si="77"/>
        <v>40443.00309754788</v>
      </c>
      <c r="N700" s="121"/>
      <c r="O700" s="121"/>
    </row>
    <row r="701" spans="1:15">
      <c r="A701" s="114">
        <v>88</v>
      </c>
      <c r="B701" s="117" t="s">
        <v>608</v>
      </c>
      <c r="C701" s="116" t="s">
        <v>144</v>
      </c>
      <c r="D701" s="116">
        <v>3.726</v>
      </c>
      <c r="E701" s="108">
        <v>3.45</v>
      </c>
      <c r="F701" s="156">
        <f>+E701/E705*F705</f>
        <v>1.794</v>
      </c>
      <c r="G701" s="156">
        <f>+E701-F701</f>
        <v>1.6560000000000001</v>
      </c>
      <c r="H701" s="122">
        <v>1233374.166515925</v>
      </c>
      <c r="I701" s="122"/>
      <c r="J701" s="122">
        <f t="shared" si="75"/>
        <v>4255140.8744799411</v>
      </c>
      <c r="K701" s="122">
        <f t="shared" si="76"/>
        <v>2212673.2547295694</v>
      </c>
      <c r="L701" s="122">
        <f t="shared" si="77"/>
        <v>2042467.6197503719</v>
      </c>
      <c r="N701" s="121"/>
      <c r="O701" s="121"/>
    </row>
    <row r="702" spans="1:15">
      <c r="A702" s="114">
        <v>89</v>
      </c>
      <c r="B702" s="117" t="s">
        <v>457</v>
      </c>
      <c r="C702" s="116" t="s">
        <v>25</v>
      </c>
      <c r="D702" s="116">
        <v>21</v>
      </c>
      <c r="E702" s="108">
        <v>25</v>
      </c>
      <c r="F702" s="156">
        <f>+F705</f>
        <v>13</v>
      </c>
      <c r="G702" s="156">
        <f>+G705</f>
        <v>12</v>
      </c>
      <c r="H702" s="122">
        <v>205128.20112955564</v>
      </c>
      <c r="I702" s="122"/>
      <c r="J702" s="122">
        <f t="shared" si="75"/>
        <v>5128205.0282388907</v>
      </c>
      <c r="K702" s="122">
        <f t="shared" si="76"/>
        <v>2666666.6146842232</v>
      </c>
      <c r="L702" s="122">
        <f t="shared" si="77"/>
        <v>2461538.4135546675</v>
      </c>
      <c r="N702" s="121"/>
      <c r="O702" s="121"/>
    </row>
    <row r="703" spans="1:15">
      <c r="A703" s="114">
        <v>90</v>
      </c>
      <c r="B703" s="117" t="s">
        <v>458</v>
      </c>
      <c r="C703" s="116" t="s">
        <v>25</v>
      </c>
      <c r="D703" s="116">
        <v>6</v>
      </c>
      <c r="E703" s="108">
        <v>3</v>
      </c>
      <c r="F703" s="156">
        <f>+E703</f>
        <v>3</v>
      </c>
      <c r="G703" s="156"/>
      <c r="H703" s="122">
        <v>182154.86329777134</v>
      </c>
      <c r="I703" s="122"/>
      <c r="J703" s="122">
        <f t="shared" si="75"/>
        <v>546464.58989331406</v>
      </c>
      <c r="K703" s="122">
        <f t="shared" si="76"/>
        <v>546464.58989331406</v>
      </c>
      <c r="L703" s="122">
        <f t="shared" si="77"/>
        <v>0</v>
      </c>
      <c r="N703" s="121"/>
      <c r="O703" s="121"/>
    </row>
    <row r="704" spans="1:15">
      <c r="A704" s="114">
        <v>91</v>
      </c>
      <c r="B704" s="117" t="s">
        <v>459</v>
      </c>
      <c r="C704" s="116" t="s">
        <v>5</v>
      </c>
      <c r="D704" s="116">
        <v>81.599999999999994</v>
      </c>
      <c r="E704" s="108">
        <v>74.8</v>
      </c>
      <c r="F704" s="156">
        <f>+E704/E705*F705</f>
        <v>38.896000000000001</v>
      </c>
      <c r="G704" s="156">
        <f>+E704-F704</f>
        <v>35.903999999999996</v>
      </c>
      <c r="H704" s="122">
        <v>232962.56235042296</v>
      </c>
      <c r="I704" s="122"/>
      <c r="J704" s="122">
        <f t="shared" si="75"/>
        <v>17425599.663811635</v>
      </c>
      <c r="K704" s="122">
        <f t="shared" si="76"/>
        <v>9061311.8251820523</v>
      </c>
      <c r="L704" s="122">
        <f t="shared" si="77"/>
        <v>8364287.8386295848</v>
      </c>
      <c r="N704" s="121"/>
      <c r="O704" s="121"/>
    </row>
    <row r="705" spans="1:15">
      <c r="A705" s="114">
        <v>92</v>
      </c>
      <c r="B705" s="117" t="s">
        <v>460</v>
      </c>
      <c r="C705" s="116" t="s">
        <v>25</v>
      </c>
      <c r="D705" s="116">
        <v>21</v>
      </c>
      <c r="E705" s="108">
        <v>25</v>
      </c>
      <c r="F705" s="156">
        <f>+E705-G705</f>
        <v>13</v>
      </c>
      <c r="G705" s="156">
        <v>12</v>
      </c>
      <c r="H705" s="122">
        <v>449779.20453794528</v>
      </c>
      <c r="I705" s="122"/>
      <c r="J705" s="122">
        <f t="shared" si="75"/>
        <v>11244480.113448631</v>
      </c>
      <c r="K705" s="122">
        <f t="shared" si="76"/>
        <v>5847129.6589932889</v>
      </c>
      <c r="L705" s="122">
        <f t="shared" si="77"/>
        <v>5397350.4544553431</v>
      </c>
      <c r="N705" s="121"/>
      <c r="O705" s="121"/>
    </row>
    <row r="706" spans="1:15">
      <c r="A706" s="114">
        <v>93</v>
      </c>
      <c r="B706" s="117" t="s">
        <v>461</v>
      </c>
      <c r="C706" s="116" t="s">
        <v>25</v>
      </c>
      <c r="D706" s="116">
        <v>3</v>
      </c>
      <c r="E706" s="108">
        <v>0</v>
      </c>
      <c r="F706" s="156"/>
      <c r="G706" s="156"/>
      <c r="H706" s="122">
        <v>2047072.020653469</v>
      </c>
      <c r="I706" s="122"/>
      <c r="J706" s="122">
        <f t="shared" ref="J706:J765" si="86">+E706*MAX(H706:I706)</f>
        <v>0</v>
      </c>
      <c r="K706" s="122">
        <f t="shared" ref="K706:K765" si="87">+F706*MAX(H706:I706)</f>
        <v>0</v>
      </c>
      <c r="L706" s="122">
        <f t="shared" ref="L706:L765" si="88">+G706*MAX(H706:I706)</f>
        <v>0</v>
      </c>
      <c r="N706" s="121"/>
      <c r="O706" s="121"/>
    </row>
    <row r="707" spans="1:15">
      <c r="A707" s="114"/>
      <c r="B707" s="115" t="s">
        <v>462</v>
      </c>
      <c r="C707" s="116"/>
      <c r="D707" s="116"/>
      <c r="E707" s="108"/>
      <c r="F707" s="156"/>
      <c r="G707" s="156"/>
      <c r="H707" s="122"/>
      <c r="I707" s="122"/>
      <c r="J707" s="122">
        <f t="shared" si="86"/>
        <v>0</v>
      </c>
      <c r="K707" s="122">
        <f t="shared" si="87"/>
        <v>0</v>
      </c>
      <c r="L707" s="122">
        <f t="shared" si="88"/>
        <v>0</v>
      </c>
    </row>
    <row r="708" spans="1:15">
      <c r="A708" s="114">
        <v>94</v>
      </c>
      <c r="B708" s="117" t="s">
        <v>352</v>
      </c>
      <c r="C708" s="116" t="s">
        <v>148</v>
      </c>
      <c r="D708" s="116">
        <v>701.245</v>
      </c>
      <c r="E708" s="108">
        <v>957.54500000000007</v>
      </c>
      <c r="F708" s="156">
        <f>+E708-G708</f>
        <v>458.80880249412189</v>
      </c>
      <c r="G708" s="156">
        <f>+E708/N708*N709</f>
        <v>498.73619750587818</v>
      </c>
      <c r="H708" s="122">
        <v>327419.57196561596</v>
      </c>
      <c r="I708" s="122"/>
      <c r="J708" s="122">
        <f t="shared" si="86"/>
        <v>313518974.03781575</v>
      </c>
      <c r="K708" s="122">
        <f t="shared" si="87"/>
        <v>150222981.72668222</v>
      </c>
      <c r="L708" s="122">
        <f t="shared" si="88"/>
        <v>163295992.31113353</v>
      </c>
      <c r="N708" s="109">
        <v>2687.92</v>
      </c>
    </row>
    <row r="709" spans="1:15">
      <c r="A709" s="114">
        <v>95</v>
      </c>
      <c r="B709" s="117" t="s">
        <v>463</v>
      </c>
      <c r="C709" s="116" t="s">
        <v>148</v>
      </c>
      <c r="D709" s="116">
        <v>53.55</v>
      </c>
      <c r="E709" s="108">
        <v>67.650000000000006</v>
      </c>
      <c r="F709" s="156">
        <f>+E709-G709</f>
        <v>32.414576326676389</v>
      </c>
      <c r="G709" s="156">
        <f>+E709/N708*N709</f>
        <v>35.235423673323616</v>
      </c>
      <c r="H709" s="122">
        <v>654839.14393123193</v>
      </c>
      <c r="I709" s="122"/>
      <c r="J709" s="122">
        <f t="shared" si="86"/>
        <v>44299868.086947843</v>
      </c>
      <c r="K709" s="122">
        <f>+F709*MAX(H709:I709)</f>
        <v>21226333.412654344</v>
      </c>
      <c r="L709" s="122">
        <f t="shared" si="88"/>
        <v>23073534.674293499</v>
      </c>
      <c r="N709" s="109">
        <v>1400</v>
      </c>
    </row>
    <row r="710" spans="1:15">
      <c r="A710" s="114" t="s">
        <v>883</v>
      </c>
      <c r="B710" s="117" t="s">
        <v>807</v>
      </c>
      <c r="C710" s="116" t="s">
        <v>25</v>
      </c>
      <c r="D710" s="116"/>
      <c r="E710" s="108">
        <v>93</v>
      </c>
      <c r="F710" s="156">
        <f>+E710</f>
        <v>93</v>
      </c>
      <c r="G710" s="156"/>
      <c r="H710" s="122">
        <v>0</v>
      </c>
      <c r="I710" s="122">
        <v>187378.51680000001</v>
      </c>
      <c r="J710" s="122">
        <f t="shared" si="86"/>
        <v>17426202.062400002</v>
      </c>
      <c r="K710" s="122">
        <f>+F710*MAX(H710:I710)</f>
        <v>17426202.062400002</v>
      </c>
      <c r="L710" s="122">
        <f t="shared" si="88"/>
        <v>0</v>
      </c>
    </row>
    <row r="711" spans="1:15">
      <c r="A711" s="114"/>
      <c r="B711" s="115" t="s">
        <v>464</v>
      </c>
      <c r="C711" s="116"/>
      <c r="D711" s="116"/>
      <c r="E711" s="108"/>
      <c r="F711" s="156"/>
      <c r="G711" s="156"/>
      <c r="H711" s="122"/>
      <c r="I711" s="122"/>
      <c r="J711" s="122">
        <f t="shared" si="86"/>
        <v>0</v>
      </c>
      <c r="K711" s="122">
        <f t="shared" si="87"/>
        <v>0</v>
      </c>
      <c r="L711" s="122">
        <f t="shared" si="88"/>
        <v>0</v>
      </c>
    </row>
    <row r="712" spans="1:15">
      <c r="A712" s="114">
        <v>96</v>
      </c>
      <c r="B712" s="117" t="s">
        <v>515</v>
      </c>
      <c r="C712" s="116" t="s">
        <v>145</v>
      </c>
      <c r="D712" s="116">
        <v>4.3999999999999997E-2</v>
      </c>
      <c r="E712" s="108">
        <v>9.2799999999999994E-2</v>
      </c>
      <c r="F712" s="156">
        <f>+E712-G712</f>
        <v>5.5679999999999993E-2</v>
      </c>
      <c r="G712" s="156">
        <f>+E712/5*2</f>
        <v>3.712E-2</v>
      </c>
      <c r="H712" s="122">
        <v>2674801.7921658657</v>
      </c>
      <c r="I712" s="122"/>
      <c r="J712" s="122">
        <f t="shared" si="86"/>
        <v>248221.60631299231</v>
      </c>
      <c r="K712" s="122">
        <f t="shared" si="87"/>
        <v>148932.96378779539</v>
      </c>
      <c r="L712" s="122">
        <f t="shared" si="88"/>
        <v>99288.642525196934</v>
      </c>
    </row>
    <row r="713" spans="1:15">
      <c r="A713" s="114">
        <v>97</v>
      </c>
      <c r="B713" s="117" t="s">
        <v>516</v>
      </c>
      <c r="C713" s="116" t="s">
        <v>145</v>
      </c>
      <c r="D713" s="116">
        <v>3.6999999999999998E-2</v>
      </c>
      <c r="E713" s="108">
        <v>9.9759999999999988E-2</v>
      </c>
      <c r="F713" s="156">
        <f t="shared" ref="F713:F722" si="89">+E713-G713</f>
        <v>5.9855999999999993E-2</v>
      </c>
      <c r="G713" s="156">
        <f t="shared" ref="G713:G717" si="90">+E713/5*2</f>
        <v>3.9903999999999995E-2</v>
      </c>
      <c r="H713" s="122">
        <v>3387145.2779199071</v>
      </c>
      <c r="I713" s="122"/>
      <c r="J713" s="122">
        <f t="shared" si="86"/>
        <v>337901.6129252899</v>
      </c>
      <c r="K713" s="122">
        <f t="shared" si="87"/>
        <v>202740.96775517394</v>
      </c>
      <c r="L713" s="122">
        <f t="shared" si="88"/>
        <v>135160.64517011595</v>
      </c>
    </row>
    <row r="714" spans="1:15">
      <c r="A714" s="114">
        <v>98</v>
      </c>
      <c r="B714" s="117" t="s">
        <v>465</v>
      </c>
      <c r="C714" s="116" t="s">
        <v>144</v>
      </c>
      <c r="D714" s="116">
        <v>0.192</v>
      </c>
      <c r="E714" s="108">
        <v>0</v>
      </c>
      <c r="F714" s="156">
        <f t="shared" si="89"/>
        <v>0</v>
      </c>
      <c r="G714" s="156">
        <f t="shared" si="90"/>
        <v>0</v>
      </c>
      <c r="H714" s="122">
        <v>1142338.0836949232</v>
      </c>
      <c r="I714" s="122"/>
      <c r="J714" s="122">
        <f t="shared" si="86"/>
        <v>0</v>
      </c>
      <c r="K714" s="122">
        <f t="shared" si="87"/>
        <v>0</v>
      </c>
      <c r="L714" s="122">
        <f t="shared" si="88"/>
        <v>0</v>
      </c>
    </row>
    <row r="715" spans="1:15" s="178" customFormat="1">
      <c r="A715" s="114">
        <v>99</v>
      </c>
      <c r="B715" s="117" t="s">
        <v>466</v>
      </c>
      <c r="C715" s="116" t="s">
        <v>144</v>
      </c>
      <c r="D715" s="116">
        <v>0.78300000000000003</v>
      </c>
      <c r="E715" s="108">
        <v>0.34900000000000009</v>
      </c>
      <c r="F715" s="156">
        <f t="shared" si="89"/>
        <v>0.20940000000000006</v>
      </c>
      <c r="G715" s="156">
        <f t="shared" si="90"/>
        <v>0.13960000000000003</v>
      </c>
      <c r="H715" s="177">
        <v>1299262.3718975582</v>
      </c>
      <c r="I715" s="177"/>
      <c r="J715" s="177">
        <f t="shared" si="86"/>
        <v>453442.56779224792</v>
      </c>
      <c r="K715" s="177">
        <f t="shared" si="87"/>
        <v>272065.54067534878</v>
      </c>
      <c r="L715" s="177">
        <f t="shared" si="88"/>
        <v>181377.02711689917</v>
      </c>
    </row>
    <row r="716" spans="1:15">
      <c r="A716" s="114">
        <v>100</v>
      </c>
      <c r="B716" s="117" t="s">
        <v>467</v>
      </c>
      <c r="C716" s="116" t="s">
        <v>146</v>
      </c>
      <c r="D716" s="116">
        <v>2E-3</v>
      </c>
      <c r="E716" s="108">
        <v>1.000000000000008E-3</v>
      </c>
      <c r="F716" s="156">
        <f t="shared" si="89"/>
        <v>6.0000000000000483E-4</v>
      </c>
      <c r="G716" s="156">
        <f t="shared" si="90"/>
        <v>4.0000000000000322E-4</v>
      </c>
      <c r="H716" s="122">
        <v>20380624.265171286</v>
      </c>
      <c r="I716" s="122"/>
      <c r="J716" s="122">
        <f t="shared" si="86"/>
        <v>20380.624265171449</v>
      </c>
      <c r="K716" s="122">
        <f t="shared" si="87"/>
        <v>12228.374559102869</v>
      </c>
      <c r="L716" s="122">
        <f t="shared" si="88"/>
        <v>8152.2497060685801</v>
      </c>
    </row>
    <row r="717" spans="1:15">
      <c r="A717" s="114">
        <v>101</v>
      </c>
      <c r="B717" s="117" t="s">
        <v>468</v>
      </c>
      <c r="C717" s="116" t="s">
        <v>149</v>
      </c>
      <c r="D717" s="116">
        <v>0.05</v>
      </c>
      <c r="E717" s="108">
        <v>0.11080000000000001</v>
      </c>
      <c r="F717" s="156">
        <f t="shared" si="89"/>
        <v>6.6480000000000011E-2</v>
      </c>
      <c r="G717" s="156">
        <f t="shared" si="90"/>
        <v>4.4320000000000005E-2</v>
      </c>
      <c r="H717" s="122">
        <v>5813935.4808997139</v>
      </c>
      <c r="I717" s="122"/>
      <c r="J717" s="122">
        <f t="shared" si="86"/>
        <v>644184.0512836884</v>
      </c>
      <c r="K717" s="122">
        <f t="shared" si="87"/>
        <v>386510.43077021308</v>
      </c>
      <c r="L717" s="122">
        <f t="shared" si="88"/>
        <v>257673.62051347535</v>
      </c>
    </row>
    <row r="718" spans="1:15">
      <c r="A718" s="114">
        <v>102</v>
      </c>
      <c r="B718" s="117" t="s">
        <v>469</v>
      </c>
      <c r="C718" s="116" t="s">
        <v>24</v>
      </c>
      <c r="D718" s="116">
        <v>3</v>
      </c>
      <c r="E718" s="108">
        <v>5</v>
      </c>
      <c r="F718" s="156">
        <f t="shared" si="89"/>
        <v>3</v>
      </c>
      <c r="G718" s="156">
        <v>2</v>
      </c>
      <c r="H718" s="122">
        <v>2018240.0203625748</v>
      </c>
      <c r="I718" s="122"/>
      <c r="J718" s="122">
        <f t="shared" si="86"/>
        <v>10091200.101812875</v>
      </c>
      <c r="K718" s="122">
        <f t="shared" si="87"/>
        <v>6054720.0610877248</v>
      </c>
      <c r="L718" s="122">
        <f t="shared" si="88"/>
        <v>4036480.0407251497</v>
      </c>
    </row>
    <row r="719" spans="1:15">
      <c r="A719" s="114">
        <v>103</v>
      </c>
      <c r="B719" s="117" t="s">
        <v>470</v>
      </c>
      <c r="C719" s="116" t="s">
        <v>24</v>
      </c>
      <c r="D719" s="116">
        <v>3</v>
      </c>
      <c r="E719" s="108">
        <v>0</v>
      </c>
      <c r="F719" s="156">
        <f t="shared" si="89"/>
        <v>0</v>
      </c>
      <c r="G719" s="156"/>
      <c r="H719" s="122">
        <v>1291673.6130320481</v>
      </c>
      <c r="I719" s="122"/>
      <c r="J719" s="122">
        <f t="shared" si="86"/>
        <v>0</v>
      </c>
      <c r="K719" s="122">
        <f t="shared" si="87"/>
        <v>0</v>
      </c>
      <c r="L719" s="122">
        <f t="shared" si="88"/>
        <v>0</v>
      </c>
    </row>
    <row r="720" spans="1:15" ht="46.8">
      <c r="A720" s="114">
        <v>104</v>
      </c>
      <c r="B720" s="117" t="s">
        <v>471</v>
      </c>
      <c r="C720" s="116" t="s">
        <v>24</v>
      </c>
      <c r="D720" s="116">
        <v>3</v>
      </c>
      <c r="E720" s="108">
        <v>7</v>
      </c>
      <c r="F720" s="156">
        <f t="shared" si="89"/>
        <v>5</v>
      </c>
      <c r="G720" s="156">
        <v>2</v>
      </c>
      <c r="H720" s="122">
        <v>9802880.0989039354</v>
      </c>
      <c r="I720" s="122"/>
      <c r="J720" s="122">
        <f t="shared" si="86"/>
        <v>68620160.692327544</v>
      </c>
      <c r="K720" s="122">
        <f t="shared" si="87"/>
        <v>49014400.494519681</v>
      </c>
      <c r="L720" s="122">
        <f t="shared" si="88"/>
        <v>19605760.197807871</v>
      </c>
    </row>
    <row r="721" spans="1:12">
      <c r="A721" s="114">
        <v>105</v>
      </c>
      <c r="B721" s="117" t="s">
        <v>472</v>
      </c>
      <c r="C721" s="116" t="s">
        <v>24</v>
      </c>
      <c r="D721" s="116">
        <v>3</v>
      </c>
      <c r="E721" s="108">
        <v>8.5846153846153843</v>
      </c>
      <c r="F721" s="156">
        <f t="shared" si="89"/>
        <v>6.5846153846153843</v>
      </c>
      <c r="G721" s="156">
        <v>2</v>
      </c>
      <c r="H721" s="122">
        <v>1522670.9862426438</v>
      </c>
      <c r="I721" s="122"/>
      <c r="J721" s="122">
        <f t="shared" si="86"/>
        <v>13071544.77420608</v>
      </c>
      <c r="K721" s="122">
        <f t="shared" si="87"/>
        <v>10026202.801720792</v>
      </c>
      <c r="L721" s="122">
        <f t="shared" si="88"/>
        <v>3045341.9724852876</v>
      </c>
    </row>
    <row r="722" spans="1:12">
      <c r="A722" s="114">
        <v>106</v>
      </c>
      <c r="B722" s="117" t="s">
        <v>473</v>
      </c>
      <c r="C722" s="116" t="s">
        <v>318</v>
      </c>
      <c r="D722" s="116">
        <v>3</v>
      </c>
      <c r="E722" s="108">
        <v>7</v>
      </c>
      <c r="F722" s="156">
        <f t="shared" si="89"/>
        <v>5</v>
      </c>
      <c r="G722" s="156">
        <v>2</v>
      </c>
      <c r="H722" s="122">
        <v>281400.32283912471</v>
      </c>
      <c r="I722" s="122"/>
      <c r="J722" s="122">
        <f t="shared" si="86"/>
        <v>1969802.2598738731</v>
      </c>
      <c r="K722" s="122">
        <f t="shared" si="87"/>
        <v>1407001.6141956234</v>
      </c>
      <c r="L722" s="122">
        <f t="shared" si="88"/>
        <v>562800.64567824942</v>
      </c>
    </row>
    <row r="723" spans="1:12">
      <c r="A723" s="114"/>
      <c r="B723" s="112" t="s">
        <v>808</v>
      </c>
      <c r="C723" s="116"/>
      <c r="D723" s="116"/>
      <c r="E723" s="108">
        <v>0</v>
      </c>
      <c r="F723" s="156"/>
      <c r="G723" s="156"/>
      <c r="H723" s="122">
        <v>0</v>
      </c>
      <c r="I723" s="122"/>
      <c r="J723" s="122">
        <f t="shared" si="86"/>
        <v>0</v>
      </c>
      <c r="K723" s="122">
        <f t="shared" si="87"/>
        <v>0</v>
      </c>
      <c r="L723" s="122">
        <f t="shared" si="88"/>
        <v>0</v>
      </c>
    </row>
    <row r="724" spans="1:12">
      <c r="A724" s="114"/>
      <c r="B724" s="117" t="s">
        <v>419</v>
      </c>
      <c r="C724" s="116" t="s">
        <v>145</v>
      </c>
      <c r="D724" s="116"/>
      <c r="E724" s="108">
        <v>6.2307692307692307E-3</v>
      </c>
      <c r="F724" s="156">
        <f>+E724</f>
        <v>6.2307692307692307E-3</v>
      </c>
      <c r="G724" s="156"/>
      <c r="H724" s="122">
        <v>31392188.761577997</v>
      </c>
      <c r="I724" s="122"/>
      <c r="J724" s="122">
        <f t="shared" si="86"/>
        <v>195597.48382213982</v>
      </c>
      <c r="K724" s="122">
        <f t="shared" si="87"/>
        <v>195597.48382213982</v>
      </c>
      <c r="L724" s="122">
        <f t="shared" si="88"/>
        <v>0</v>
      </c>
    </row>
    <row r="725" spans="1:12">
      <c r="A725" s="114"/>
      <c r="B725" s="117" t="s">
        <v>809</v>
      </c>
      <c r="C725" s="116" t="s">
        <v>810</v>
      </c>
      <c r="D725" s="116"/>
      <c r="E725" s="108">
        <v>3</v>
      </c>
      <c r="F725" s="156">
        <f t="shared" ref="F725:F727" si="91">+E725</f>
        <v>3</v>
      </c>
      <c r="G725" s="156"/>
      <c r="H725" s="122">
        <v>0</v>
      </c>
      <c r="I725" s="122">
        <v>39569000.616800003</v>
      </c>
      <c r="J725" s="122">
        <f t="shared" si="86"/>
        <v>118707001.8504</v>
      </c>
      <c r="K725" s="122">
        <f t="shared" si="87"/>
        <v>118707001.8504</v>
      </c>
      <c r="L725" s="122">
        <f t="shared" si="88"/>
        <v>0</v>
      </c>
    </row>
    <row r="726" spans="1:12">
      <c r="A726" s="114"/>
      <c r="B726" s="117" t="s">
        <v>811</v>
      </c>
      <c r="C726" s="116" t="s">
        <v>25</v>
      </c>
      <c r="D726" s="116"/>
      <c r="E726" s="108">
        <v>6</v>
      </c>
      <c r="F726" s="156">
        <f t="shared" si="91"/>
        <v>6</v>
      </c>
      <c r="G726" s="156"/>
      <c r="H726" s="122">
        <v>0</v>
      </c>
      <c r="I726" s="122">
        <v>1313964.1546</v>
      </c>
      <c r="J726" s="122">
        <f t="shared" si="86"/>
        <v>7883784.9276000001</v>
      </c>
      <c r="K726" s="122">
        <f t="shared" si="87"/>
        <v>7883784.9276000001</v>
      </c>
      <c r="L726" s="122">
        <f t="shared" si="88"/>
        <v>0</v>
      </c>
    </row>
    <row r="727" spans="1:12">
      <c r="A727" s="114"/>
      <c r="B727" s="117" t="s">
        <v>812</v>
      </c>
      <c r="C727" s="116" t="s">
        <v>25</v>
      </c>
      <c r="D727" s="116"/>
      <c r="E727" s="108">
        <v>3</v>
      </c>
      <c r="F727" s="156">
        <f t="shared" si="91"/>
        <v>3</v>
      </c>
      <c r="G727" s="156"/>
      <c r="H727" s="122">
        <v>0</v>
      </c>
      <c r="I727" s="122">
        <v>10166787.2358</v>
      </c>
      <c r="J727" s="122">
        <f t="shared" si="86"/>
        <v>30500361.707400002</v>
      </c>
      <c r="K727" s="122">
        <f t="shared" si="87"/>
        <v>30500361.707400002</v>
      </c>
      <c r="L727" s="122">
        <f t="shared" si="88"/>
        <v>0</v>
      </c>
    </row>
    <row r="728" spans="1:12">
      <c r="A728" s="114"/>
      <c r="B728" s="117" t="s">
        <v>474</v>
      </c>
      <c r="C728" s="116"/>
      <c r="D728" s="116"/>
      <c r="E728" s="108"/>
      <c r="F728" s="156"/>
      <c r="G728" s="156"/>
      <c r="H728" s="122"/>
      <c r="I728" s="122"/>
      <c r="J728" s="122">
        <f t="shared" si="86"/>
        <v>0</v>
      </c>
      <c r="K728" s="122">
        <f t="shared" si="87"/>
        <v>0</v>
      </c>
      <c r="L728" s="122">
        <f t="shared" si="88"/>
        <v>0</v>
      </c>
    </row>
    <row r="729" spans="1:12">
      <c r="A729" s="114">
        <v>107</v>
      </c>
      <c r="B729" s="117" t="s">
        <v>475</v>
      </c>
      <c r="C729" s="116" t="s">
        <v>5</v>
      </c>
      <c r="D729" s="116">
        <v>912</v>
      </c>
      <c r="E729" s="108">
        <v>912</v>
      </c>
      <c r="F729" s="156">
        <f>+E729-G729</f>
        <v>720</v>
      </c>
      <c r="G729" s="156">
        <v>192</v>
      </c>
      <c r="H729" s="122">
        <v>912244.4892038838</v>
      </c>
      <c r="I729" s="122"/>
      <c r="J729" s="122">
        <f t="shared" si="86"/>
        <v>831966974.15394199</v>
      </c>
      <c r="K729" s="122">
        <f>+F729*MAX(H729:I729)</f>
        <v>656816032.22679639</v>
      </c>
      <c r="L729" s="122">
        <f t="shared" si="88"/>
        <v>175150941.92714569</v>
      </c>
    </row>
    <row r="730" spans="1:12">
      <c r="A730" s="114">
        <v>108</v>
      </c>
      <c r="B730" s="117" t="s">
        <v>476</v>
      </c>
      <c r="C730" s="116" t="s">
        <v>5</v>
      </c>
      <c r="D730" s="116">
        <v>912</v>
      </c>
      <c r="E730" s="108">
        <v>912</v>
      </c>
      <c r="F730" s="156">
        <f>+E730-G730</f>
        <v>720</v>
      </c>
      <c r="G730" s="156">
        <v>192</v>
      </c>
      <c r="H730" s="122">
        <v>63430.40063996664</v>
      </c>
      <c r="I730" s="122"/>
      <c r="J730" s="122">
        <f t="shared" si="86"/>
        <v>57848525.383649573</v>
      </c>
      <c r="K730" s="122">
        <f>+F730*MAX(H730:I730)</f>
        <v>45669888.460775979</v>
      </c>
      <c r="L730" s="122">
        <f t="shared" si="88"/>
        <v>12178636.922873594</v>
      </c>
    </row>
    <row r="731" spans="1:12">
      <c r="A731" s="113"/>
      <c r="B731" s="112" t="s">
        <v>477</v>
      </c>
      <c r="C731" s="111"/>
      <c r="D731" s="111"/>
      <c r="E731" s="108"/>
      <c r="F731" s="156"/>
      <c r="G731" s="156"/>
      <c r="H731" s="122"/>
      <c r="I731" s="122"/>
      <c r="J731" s="122">
        <f t="shared" si="86"/>
        <v>0</v>
      </c>
      <c r="K731" s="122">
        <f t="shared" si="87"/>
        <v>0</v>
      </c>
      <c r="L731" s="122">
        <f t="shared" si="88"/>
        <v>0</v>
      </c>
    </row>
    <row r="732" spans="1:12">
      <c r="A732" s="114"/>
      <c r="B732" s="117" t="s">
        <v>478</v>
      </c>
      <c r="C732" s="116"/>
      <c r="D732" s="116"/>
      <c r="E732" s="108"/>
      <c r="F732" s="156"/>
      <c r="G732" s="156"/>
      <c r="H732" s="122"/>
      <c r="I732" s="122"/>
      <c r="J732" s="122">
        <f t="shared" si="86"/>
        <v>0</v>
      </c>
      <c r="K732" s="122">
        <f t="shared" si="87"/>
        <v>0</v>
      </c>
      <c r="L732" s="122">
        <f t="shared" si="88"/>
        <v>0</v>
      </c>
    </row>
    <row r="733" spans="1:12" ht="31.2">
      <c r="A733" s="114">
        <v>1</v>
      </c>
      <c r="B733" s="117" t="s">
        <v>335</v>
      </c>
      <c r="C733" s="116" t="s">
        <v>144</v>
      </c>
      <c r="D733" s="116">
        <v>59.18</v>
      </c>
      <c r="E733" s="108">
        <v>59.18</v>
      </c>
      <c r="F733" s="156"/>
      <c r="G733" s="156">
        <f>+E733</f>
        <v>59.18</v>
      </c>
      <c r="H733" s="122">
        <v>292504.29464845749</v>
      </c>
      <c r="I733" s="122"/>
      <c r="J733" s="122">
        <f t="shared" si="86"/>
        <v>17310404.157295715</v>
      </c>
      <c r="K733" s="122">
        <f t="shared" si="87"/>
        <v>0</v>
      </c>
      <c r="L733" s="122">
        <f t="shared" si="88"/>
        <v>17310404.157295715</v>
      </c>
    </row>
    <row r="734" spans="1:12">
      <c r="A734" s="114">
        <v>2</v>
      </c>
      <c r="B734" s="117" t="s">
        <v>529</v>
      </c>
      <c r="C734" s="116" t="s">
        <v>152</v>
      </c>
      <c r="D734" s="116">
        <v>83.495000000000005</v>
      </c>
      <c r="E734" s="108">
        <v>81.744762000000009</v>
      </c>
      <c r="F734" s="156"/>
      <c r="G734" s="156">
        <f t="shared" ref="G734:G739" si="92">+E734</f>
        <v>81.744762000000009</v>
      </c>
      <c r="H734" s="122">
        <v>248494.77608793168</v>
      </c>
      <c r="I734" s="122"/>
      <c r="J734" s="122">
        <f t="shared" si="86"/>
        <v>20313146.329551268</v>
      </c>
      <c r="K734" s="122">
        <f t="shared" si="87"/>
        <v>0</v>
      </c>
      <c r="L734" s="122">
        <f t="shared" si="88"/>
        <v>20313146.329551268</v>
      </c>
    </row>
    <row r="735" spans="1:12">
      <c r="A735" s="114">
        <v>3</v>
      </c>
      <c r="B735" s="117" t="s">
        <v>480</v>
      </c>
      <c r="C735" s="116" t="s">
        <v>145</v>
      </c>
      <c r="D735" s="116">
        <v>20.875</v>
      </c>
      <c r="E735" s="108">
        <v>20.400984000000001</v>
      </c>
      <c r="F735" s="156"/>
      <c r="G735" s="156">
        <f t="shared" si="92"/>
        <v>20.400984000000001</v>
      </c>
      <c r="H735" s="122">
        <v>2214350.953738424</v>
      </c>
      <c r="I735" s="122"/>
      <c r="J735" s="122">
        <f t="shared" si="86"/>
        <v>45174938.377602331</v>
      </c>
      <c r="K735" s="122">
        <f t="shared" si="87"/>
        <v>0</v>
      </c>
      <c r="L735" s="122">
        <f t="shared" si="88"/>
        <v>45174938.377602331</v>
      </c>
    </row>
    <row r="736" spans="1:12">
      <c r="A736" s="114">
        <v>4</v>
      </c>
      <c r="B736" s="117" t="s">
        <v>425</v>
      </c>
      <c r="C736" s="116" t="s">
        <v>144</v>
      </c>
      <c r="D736" s="116">
        <v>72.838999999999999</v>
      </c>
      <c r="E736" s="108">
        <v>69.217339999999993</v>
      </c>
      <c r="F736" s="156"/>
      <c r="G736" s="156">
        <f t="shared" si="92"/>
        <v>69.217339999999993</v>
      </c>
      <c r="H736" s="122">
        <v>848521.24576699978</v>
      </c>
      <c r="I736" s="122"/>
      <c r="J736" s="122">
        <f t="shared" si="86"/>
        <v>58732383.565477982</v>
      </c>
      <c r="K736" s="122">
        <f t="shared" si="87"/>
        <v>0</v>
      </c>
      <c r="L736" s="122">
        <f t="shared" si="88"/>
        <v>58732383.565477982</v>
      </c>
    </row>
    <row r="737" spans="1:12">
      <c r="A737" s="114">
        <v>5</v>
      </c>
      <c r="B737" s="117" t="s">
        <v>481</v>
      </c>
      <c r="C737" s="116" t="s">
        <v>144</v>
      </c>
      <c r="D737" s="116">
        <v>40.658000000000001</v>
      </c>
      <c r="E737" s="108">
        <v>29.774000000000001</v>
      </c>
      <c r="F737" s="156"/>
      <c r="G737" s="156">
        <f t="shared" si="92"/>
        <v>29.774000000000001</v>
      </c>
      <c r="H737" s="122">
        <v>1288369.0590892851</v>
      </c>
      <c r="I737" s="122"/>
      <c r="J737" s="122">
        <f t="shared" si="86"/>
        <v>38359900.365324378</v>
      </c>
      <c r="K737" s="122">
        <f t="shared" si="87"/>
        <v>0</v>
      </c>
      <c r="L737" s="122">
        <f t="shared" si="88"/>
        <v>38359900.365324378</v>
      </c>
    </row>
    <row r="738" spans="1:12">
      <c r="A738" s="114">
        <v>6</v>
      </c>
      <c r="B738" s="117" t="s">
        <v>482</v>
      </c>
      <c r="C738" s="116" t="s">
        <v>144</v>
      </c>
      <c r="D738" s="116">
        <v>170.25</v>
      </c>
      <c r="E738" s="108">
        <v>170.25</v>
      </c>
      <c r="F738" s="156"/>
      <c r="G738" s="156">
        <f t="shared" si="92"/>
        <v>170.25</v>
      </c>
      <c r="H738" s="122">
        <v>1299262.3718975582</v>
      </c>
      <c r="I738" s="122"/>
      <c r="J738" s="122">
        <f t="shared" si="86"/>
        <v>221199418.8155593</v>
      </c>
      <c r="K738" s="122">
        <f t="shared" si="87"/>
        <v>0</v>
      </c>
      <c r="L738" s="122">
        <f t="shared" si="88"/>
        <v>221199418.8155593</v>
      </c>
    </row>
    <row r="739" spans="1:12" ht="31.2">
      <c r="A739" s="114">
        <v>7</v>
      </c>
      <c r="B739" s="117" t="s">
        <v>483</v>
      </c>
      <c r="C739" s="116" t="s">
        <v>144</v>
      </c>
      <c r="D739" s="116">
        <v>145.578</v>
      </c>
      <c r="E739" s="108">
        <v>138.68440000000001</v>
      </c>
      <c r="F739" s="156"/>
      <c r="G739" s="156">
        <f t="shared" si="92"/>
        <v>138.68440000000001</v>
      </c>
      <c r="H739" s="122">
        <v>1401318.5351341674</v>
      </c>
      <c r="I739" s="122"/>
      <c r="J739" s="122">
        <f t="shared" si="86"/>
        <v>194341020.25396094</v>
      </c>
      <c r="K739" s="122">
        <f t="shared" si="87"/>
        <v>0</v>
      </c>
      <c r="L739" s="122">
        <f t="shared" si="88"/>
        <v>194341020.25396094</v>
      </c>
    </row>
    <row r="740" spans="1:12">
      <c r="A740" s="114">
        <v>8</v>
      </c>
      <c r="B740" s="117" t="s">
        <v>468</v>
      </c>
      <c r="C740" s="116" t="s">
        <v>149</v>
      </c>
      <c r="D740" s="116">
        <v>5.6260000000000003</v>
      </c>
      <c r="E740" s="108">
        <v>5.1167000000000007</v>
      </c>
      <c r="F740" s="156"/>
      <c r="G740" s="156">
        <f>+E740</f>
        <v>5.1167000000000007</v>
      </c>
      <c r="H740" s="122">
        <v>5813935.4808997139</v>
      </c>
      <c r="I740" s="122"/>
      <c r="J740" s="122">
        <f t="shared" si="86"/>
        <v>29748163.675119571</v>
      </c>
      <c r="K740" s="122">
        <f t="shared" si="87"/>
        <v>0</v>
      </c>
      <c r="L740" s="122">
        <f t="shared" si="88"/>
        <v>29748163.675119571</v>
      </c>
    </row>
    <row r="741" spans="1:12">
      <c r="A741" s="114"/>
      <c r="B741" s="117" t="s">
        <v>484</v>
      </c>
      <c r="C741" s="116"/>
      <c r="D741" s="116"/>
      <c r="E741" s="108"/>
      <c r="F741" s="156"/>
      <c r="G741" s="156"/>
      <c r="H741" s="122"/>
      <c r="I741" s="122"/>
      <c r="J741" s="122">
        <f t="shared" si="86"/>
        <v>0</v>
      </c>
      <c r="K741" s="122">
        <f t="shared" si="87"/>
        <v>0</v>
      </c>
      <c r="L741" s="122">
        <f t="shared" si="88"/>
        <v>0</v>
      </c>
    </row>
    <row r="742" spans="1:12">
      <c r="A742" s="114">
        <v>9</v>
      </c>
      <c r="B742" s="117" t="s">
        <v>609</v>
      </c>
      <c r="C742" s="116" t="s">
        <v>144</v>
      </c>
      <c r="D742" s="116">
        <v>192.709</v>
      </c>
      <c r="E742" s="108">
        <v>192.709</v>
      </c>
      <c r="F742" s="156"/>
      <c r="G742" s="156">
        <f>+E742</f>
        <v>192.709</v>
      </c>
      <c r="H742" s="122">
        <v>1682039.5211503096</v>
      </c>
      <c r="I742" s="122"/>
      <c r="J742" s="122">
        <f t="shared" si="86"/>
        <v>324144154.08135504</v>
      </c>
      <c r="K742" s="122">
        <f t="shared" si="87"/>
        <v>0</v>
      </c>
      <c r="L742" s="122">
        <f t="shared" si="88"/>
        <v>324144154.08135504</v>
      </c>
    </row>
    <row r="743" spans="1:12">
      <c r="A743" s="114">
        <v>10</v>
      </c>
      <c r="B743" s="117" t="s">
        <v>518</v>
      </c>
      <c r="C743" s="116" t="s">
        <v>144</v>
      </c>
      <c r="D743" s="116">
        <v>47.1</v>
      </c>
      <c r="E743" s="108">
        <v>47.1</v>
      </c>
      <c r="F743" s="156"/>
      <c r="G743" s="156">
        <f t="shared" ref="G743:G751" si="93">+E743</f>
        <v>47.1</v>
      </c>
      <c r="H743" s="122">
        <v>1733513.7641643758</v>
      </c>
      <c r="I743" s="122"/>
      <c r="J743" s="122">
        <f t="shared" si="86"/>
        <v>81648498.292142108</v>
      </c>
      <c r="K743" s="122">
        <f t="shared" si="87"/>
        <v>0</v>
      </c>
      <c r="L743" s="122">
        <f t="shared" si="88"/>
        <v>81648498.292142108</v>
      </c>
    </row>
    <row r="744" spans="1:12">
      <c r="A744" s="114">
        <v>11</v>
      </c>
      <c r="B744" s="117" t="s">
        <v>486</v>
      </c>
      <c r="C744" s="116" t="s">
        <v>144</v>
      </c>
      <c r="D744" s="116">
        <v>29.436</v>
      </c>
      <c r="E744" s="108">
        <v>29.436</v>
      </c>
      <c r="F744" s="156"/>
      <c r="G744" s="156">
        <f t="shared" si="93"/>
        <v>29.436</v>
      </c>
      <c r="H744" s="122">
        <v>1879861.4392156734</v>
      </c>
      <c r="I744" s="122"/>
      <c r="J744" s="122">
        <f t="shared" si="86"/>
        <v>55335601.324752562</v>
      </c>
      <c r="K744" s="122">
        <f t="shared" si="87"/>
        <v>0</v>
      </c>
      <c r="L744" s="122">
        <f t="shared" si="88"/>
        <v>55335601.324752562</v>
      </c>
    </row>
    <row r="745" spans="1:12">
      <c r="A745" s="114">
        <v>12</v>
      </c>
      <c r="B745" s="117" t="s">
        <v>487</v>
      </c>
      <c r="C745" s="116" t="s">
        <v>146</v>
      </c>
      <c r="D745" s="116">
        <v>2.3980000000000001</v>
      </c>
      <c r="E745" s="108">
        <v>2.3980000000000001</v>
      </c>
      <c r="F745" s="156"/>
      <c r="G745" s="156">
        <f t="shared" si="93"/>
        <v>2.3980000000000001</v>
      </c>
      <c r="H745" s="122">
        <v>23146185.931862913</v>
      </c>
      <c r="I745" s="122"/>
      <c r="J745" s="122">
        <f t="shared" si="86"/>
        <v>55504553.864607267</v>
      </c>
      <c r="K745" s="122">
        <f t="shared" si="87"/>
        <v>0</v>
      </c>
      <c r="L745" s="122">
        <f t="shared" si="88"/>
        <v>55504553.864607267</v>
      </c>
    </row>
    <row r="746" spans="1:12">
      <c r="A746" s="114">
        <v>13</v>
      </c>
      <c r="B746" s="117" t="s">
        <v>488</v>
      </c>
      <c r="C746" s="116" t="s">
        <v>146</v>
      </c>
      <c r="D746" s="116">
        <v>4.7830000000000004</v>
      </c>
      <c r="E746" s="108">
        <v>4.7830000000000004</v>
      </c>
      <c r="F746" s="156"/>
      <c r="G746" s="156">
        <f t="shared" si="93"/>
        <v>4.7830000000000004</v>
      </c>
      <c r="H746" s="122">
        <v>22170915.161945313</v>
      </c>
      <c r="I746" s="122"/>
      <c r="J746" s="122">
        <f t="shared" si="86"/>
        <v>106043487.21958444</v>
      </c>
      <c r="K746" s="122">
        <f t="shared" si="87"/>
        <v>0</v>
      </c>
      <c r="L746" s="122">
        <f t="shared" si="88"/>
        <v>106043487.21958444</v>
      </c>
    </row>
    <row r="747" spans="1:12">
      <c r="A747" s="114">
        <v>14</v>
      </c>
      <c r="B747" s="117" t="s">
        <v>489</v>
      </c>
      <c r="C747" s="116" t="s">
        <v>146</v>
      </c>
      <c r="D747" s="116">
        <v>1.0469999999999999</v>
      </c>
      <c r="E747" s="108">
        <v>1.0469999999999999</v>
      </c>
      <c r="F747" s="156"/>
      <c r="G747" s="156">
        <f t="shared" si="93"/>
        <v>1.0469999999999999</v>
      </c>
      <c r="H747" s="122">
        <v>22100222.329982016</v>
      </c>
      <c r="I747" s="122"/>
      <c r="J747" s="122">
        <f t="shared" si="86"/>
        <v>23138932.779491171</v>
      </c>
      <c r="K747" s="122">
        <f t="shared" si="87"/>
        <v>0</v>
      </c>
      <c r="L747" s="122">
        <f t="shared" si="88"/>
        <v>23138932.779491171</v>
      </c>
    </row>
    <row r="748" spans="1:12">
      <c r="A748" s="114">
        <v>15</v>
      </c>
      <c r="B748" s="117" t="s">
        <v>576</v>
      </c>
      <c r="C748" s="116" t="s">
        <v>149</v>
      </c>
      <c r="D748" s="116">
        <v>8.3640000000000008</v>
      </c>
      <c r="E748" s="108">
        <v>8.3640000000000008</v>
      </c>
      <c r="F748" s="156"/>
      <c r="G748" s="156">
        <f t="shared" si="93"/>
        <v>8.3640000000000008</v>
      </c>
      <c r="H748" s="122">
        <v>15289428.573971221</v>
      </c>
      <c r="I748" s="122"/>
      <c r="J748" s="122">
        <f t="shared" si="86"/>
        <v>127880780.59269531</v>
      </c>
      <c r="K748" s="122">
        <f t="shared" si="87"/>
        <v>0</v>
      </c>
      <c r="L748" s="122">
        <f t="shared" si="88"/>
        <v>127880780.59269531</v>
      </c>
    </row>
    <row r="749" spans="1:12">
      <c r="A749" s="114">
        <v>16</v>
      </c>
      <c r="B749" s="117" t="s">
        <v>491</v>
      </c>
      <c r="C749" s="116" t="s">
        <v>149</v>
      </c>
      <c r="D749" s="116">
        <v>2.0099999999999998</v>
      </c>
      <c r="E749" s="108">
        <v>2.0099999999999998</v>
      </c>
      <c r="F749" s="156"/>
      <c r="G749" s="156">
        <f t="shared" si="93"/>
        <v>2.0099999999999998</v>
      </c>
      <c r="H749" s="122">
        <v>5813935.4808997139</v>
      </c>
      <c r="I749" s="122"/>
      <c r="J749" s="122">
        <f t="shared" si="86"/>
        <v>11686010.316608423</v>
      </c>
      <c r="K749" s="122">
        <f t="shared" si="87"/>
        <v>0</v>
      </c>
      <c r="L749" s="122">
        <f t="shared" si="88"/>
        <v>11686010.316608423</v>
      </c>
    </row>
    <row r="750" spans="1:12">
      <c r="A750" s="114">
        <v>17</v>
      </c>
      <c r="B750" s="117" t="s">
        <v>492</v>
      </c>
      <c r="C750" s="116" t="s">
        <v>149</v>
      </c>
      <c r="D750" s="116">
        <v>1.8169999999999999</v>
      </c>
      <c r="E750" s="108">
        <v>1.8169999999999999</v>
      </c>
      <c r="F750" s="156"/>
      <c r="G750" s="156">
        <f t="shared" si="93"/>
        <v>1.8169999999999999</v>
      </c>
      <c r="H750" s="122">
        <v>9502406.2439821959</v>
      </c>
      <c r="I750" s="122"/>
      <c r="J750" s="122">
        <f t="shared" si="86"/>
        <v>17265872.145315651</v>
      </c>
      <c r="K750" s="122">
        <f t="shared" si="87"/>
        <v>0</v>
      </c>
      <c r="L750" s="122">
        <f t="shared" si="88"/>
        <v>17265872.145315651</v>
      </c>
    </row>
    <row r="751" spans="1:12">
      <c r="A751" s="114">
        <v>18</v>
      </c>
      <c r="B751" s="117" t="s">
        <v>439</v>
      </c>
      <c r="C751" s="116" t="s">
        <v>392</v>
      </c>
      <c r="D751" s="116">
        <v>252</v>
      </c>
      <c r="E751" s="108">
        <v>252</v>
      </c>
      <c r="F751" s="156"/>
      <c r="G751" s="156">
        <f t="shared" si="93"/>
        <v>252</v>
      </c>
      <c r="H751" s="122">
        <v>32899.991206105726</v>
      </c>
      <c r="I751" s="122"/>
      <c r="J751" s="122">
        <f t="shared" si="86"/>
        <v>8290797.7839386426</v>
      </c>
      <c r="K751" s="122">
        <f t="shared" si="87"/>
        <v>0</v>
      </c>
      <c r="L751" s="122">
        <f t="shared" si="88"/>
        <v>8290797.7839386426</v>
      </c>
    </row>
    <row r="752" spans="1:12">
      <c r="A752" s="114"/>
      <c r="B752" s="117" t="s">
        <v>493</v>
      </c>
      <c r="C752" s="116"/>
      <c r="D752" s="116"/>
      <c r="E752" s="108"/>
      <c r="F752" s="156"/>
      <c r="G752" s="156"/>
      <c r="H752" s="122"/>
      <c r="I752" s="122"/>
      <c r="J752" s="122">
        <f t="shared" si="86"/>
        <v>0</v>
      </c>
      <c r="K752" s="122">
        <f t="shared" si="87"/>
        <v>0</v>
      </c>
      <c r="L752" s="122">
        <f t="shared" si="88"/>
        <v>0</v>
      </c>
    </row>
    <row r="753" spans="1:12">
      <c r="A753" s="114">
        <v>19</v>
      </c>
      <c r="B753" s="117" t="s">
        <v>610</v>
      </c>
      <c r="C753" s="116" t="s">
        <v>144</v>
      </c>
      <c r="D753" s="116">
        <v>34.56</v>
      </c>
      <c r="E753" s="108">
        <v>34.56</v>
      </c>
      <c r="F753" s="156"/>
      <c r="G753" s="156">
        <f>+E753</f>
        <v>34.56</v>
      </c>
      <c r="H753" s="122">
        <v>1547430.3278938415</v>
      </c>
      <c r="I753" s="122"/>
      <c r="J753" s="122">
        <f t="shared" si="86"/>
        <v>53479192.132011168</v>
      </c>
      <c r="K753" s="122">
        <f t="shared" si="87"/>
        <v>0</v>
      </c>
      <c r="L753" s="122">
        <f t="shared" si="88"/>
        <v>53479192.132011168</v>
      </c>
    </row>
    <row r="754" spans="1:12">
      <c r="A754" s="114">
        <v>20</v>
      </c>
      <c r="B754" s="117" t="s">
        <v>495</v>
      </c>
      <c r="C754" s="116" t="s">
        <v>146</v>
      </c>
      <c r="D754" s="116">
        <v>3.2210000000000001</v>
      </c>
      <c r="E754" s="108">
        <v>3.2210000000000001</v>
      </c>
      <c r="F754" s="156"/>
      <c r="G754" s="156">
        <f t="shared" ref="G754:G759" si="94">+E754</f>
        <v>3.2210000000000001</v>
      </c>
      <c r="H754" s="122">
        <v>23780678.264275361</v>
      </c>
      <c r="I754" s="122"/>
      <c r="J754" s="122">
        <f t="shared" si="86"/>
        <v>76597564.689230934</v>
      </c>
      <c r="K754" s="122">
        <f t="shared" si="87"/>
        <v>0</v>
      </c>
      <c r="L754" s="122">
        <f t="shared" si="88"/>
        <v>76597564.689230934</v>
      </c>
    </row>
    <row r="755" spans="1:12">
      <c r="A755" s="114">
        <v>21</v>
      </c>
      <c r="B755" s="117" t="s">
        <v>496</v>
      </c>
      <c r="C755" s="116" t="s">
        <v>149</v>
      </c>
      <c r="D755" s="116">
        <v>4.944</v>
      </c>
      <c r="E755" s="108">
        <v>4.944</v>
      </c>
      <c r="F755" s="156"/>
      <c r="G755" s="156">
        <f t="shared" si="94"/>
        <v>4.944</v>
      </c>
      <c r="H755" s="122">
        <v>10812427.835730689</v>
      </c>
      <c r="I755" s="122"/>
      <c r="J755" s="122">
        <f t="shared" si="86"/>
        <v>53456643.219852522</v>
      </c>
      <c r="K755" s="122">
        <f t="shared" si="87"/>
        <v>0</v>
      </c>
      <c r="L755" s="122">
        <f t="shared" si="88"/>
        <v>53456643.219852522</v>
      </c>
    </row>
    <row r="756" spans="1:12">
      <c r="A756" s="114">
        <v>22</v>
      </c>
      <c r="B756" s="117" t="s">
        <v>497</v>
      </c>
      <c r="C756" s="116" t="s">
        <v>148</v>
      </c>
      <c r="D756" s="116">
        <v>45.6</v>
      </c>
      <c r="E756" s="108">
        <v>45.6</v>
      </c>
      <c r="F756" s="156"/>
      <c r="G756" s="156">
        <f t="shared" si="94"/>
        <v>45.6</v>
      </c>
      <c r="H756" s="122">
        <v>46657.176441337891</v>
      </c>
      <c r="I756" s="122"/>
      <c r="J756" s="122">
        <f t="shared" si="86"/>
        <v>2127567.2457250077</v>
      </c>
      <c r="K756" s="122">
        <f t="shared" si="87"/>
        <v>0</v>
      </c>
      <c r="L756" s="122">
        <f t="shared" si="88"/>
        <v>2127567.2457250077</v>
      </c>
    </row>
    <row r="757" spans="1:12">
      <c r="A757" s="114">
        <v>23</v>
      </c>
      <c r="B757" s="117" t="s">
        <v>498</v>
      </c>
      <c r="C757" s="116" t="s">
        <v>148</v>
      </c>
      <c r="D757" s="116">
        <v>160.80000000000001</v>
      </c>
      <c r="E757" s="108">
        <v>160.80000000000001</v>
      </c>
      <c r="F757" s="156"/>
      <c r="G757" s="156">
        <f t="shared" si="94"/>
        <v>160.80000000000001</v>
      </c>
      <c r="H757" s="122">
        <v>60109.669240062889</v>
      </c>
      <c r="I757" s="122"/>
      <c r="J757" s="122">
        <f t="shared" si="86"/>
        <v>9665634.8138021138</v>
      </c>
      <c r="K757" s="122">
        <f t="shared" si="87"/>
        <v>0</v>
      </c>
      <c r="L757" s="122">
        <f t="shared" si="88"/>
        <v>9665634.8138021138</v>
      </c>
    </row>
    <row r="758" spans="1:12">
      <c r="A758" s="114">
        <v>24</v>
      </c>
      <c r="B758" s="117" t="s">
        <v>499</v>
      </c>
      <c r="C758" s="116" t="s">
        <v>148</v>
      </c>
      <c r="D758" s="116">
        <v>53.76</v>
      </c>
      <c r="E758" s="108">
        <v>53.76</v>
      </c>
      <c r="F758" s="156"/>
      <c r="G758" s="156">
        <f t="shared" si="94"/>
        <v>53.76</v>
      </c>
      <c r="H758" s="122">
        <v>119048.85787375645</v>
      </c>
      <c r="I758" s="122"/>
      <c r="J758" s="122">
        <f t="shared" si="86"/>
        <v>6400066.5992931463</v>
      </c>
      <c r="K758" s="122">
        <f t="shared" si="87"/>
        <v>0</v>
      </c>
      <c r="L758" s="122">
        <f t="shared" si="88"/>
        <v>6400066.5992931463</v>
      </c>
    </row>
    <row r="759" spans="1:12">
      <c r="A759" s="114">
        <v>25</v>
      </c>
      <c r="B759" s="117" t="s">
        <v>500</v>
      </c>
      <c r="C759" s="116" t="s">
        <v>25</v>
      </c>
      <c r="D759" s="116">
        <v>48</v>
      </c>
      <c r="E759" s="108">
        <v>48</v>
      </c>
      <c r="F759" s="156"/>
      <c r="G759" s="156">
        <f t="shared" si="94"/>
        <v>48</v>
      </c>
      <c r="H759" s="122">
        <v>1494342.1380032457</v>
      </c>
      <c r="I759" s="122"/>
      <c r="J759" s="122">
        <f t="shared" si="86"/>
        <v>71728422.62415579</v>
      </c>
      <c r="K759" s="122">
        <f t="shared" si="87"/>
        <v>0</v>
      </c>
      <c r="L759" s="122">
        <f t="shared" si="88"/>
        <v>71728422.62415579</v>
      </c>
    </row>
    <row r="760" spans="1:12">
      <c r="A760" s="114"/>
      <c r="B760" s="117" t="s">
        <v>501</v>
      </c>
      <c r="C760" s="116"/>
      <c r="D760" s="116"/>
      <c r="E760" s="108"/>
      <c r="F760" s="156"/>
      <c r="G760" s="156"/>
      <c r="H760" s="122"/>
      <c r="I760" s="122"/>
      <c r="J760" s="122">
        <f t="shared" si="86"/>
        <v>0</v>
      </c>
      <c r="K760" s="122">
        <f t="shared" si="87"/>
        <v>0</v>
      </c>
      <c r="L760" s="122">
        <f t="shared" si="88"/>
        <v>0</v>
      </c>
    </row>
    <row r="761" spans="1:12">
      <c r="A761" s="114">
        <v>26</v>
      </c>
      <c r="B761" s="117" t="s">
        <v>325</v>
      </c>
      <c r="C761" s="116" t="s">
        <v>145</v>
      </c>
      <c r="D761" s="116">
        <v>6.6929999999999996</v>
      </c>
      <c r="E761" s="108">
        <v>6.6929999999999996</v>
      </c>
      <c r="F761" s="156"/>
      <c r="G761" s="156">
        <f>+E761</f>
        <v>6.6929999999999996</v>
      </c>
      <c r="H761" s="122">
        <v>3387145.2779199071</v>
      </c>
      <c r="I761" s="122"/>
      <c r="J761" s="122">
        <f t="shared" si="86"/>
        <v>22670163.345117938</v>
      </c>
      <c r="K761" s="122">
        <f t="shared" si="87"/>
        <v>0</v>
      </c>
      <c r="L761" s="122">
        <f t="shared" si="88"/>
        <v>22670163.345117938</v>
      </c>
    </row>
    <row r="762" spans="1:12">
      <c r="A762" s="114">
        <v>27</v>
      </c>
      <c r="B762" s="117" t="s">
        <v>399</v>
      </c>
      <c r="C762" s="116" t="s">
        <v>145</v>
      </c>
      <c r="D762" s="116">
        <v>3.3159999999999998</v>
      </c>
      <c r="E762" s="108">
        <v>3.3159999999999998</v>
      </c>
      <c r="F762" s="156"/>
      <c r="G762" s="156">
        <f>+E762</f>
        <v>3.3159999999999998</v>
      </c>
      <c r="H762" s="122">
        <v>1164771.501309423</v>
      </c>
      <c r="I762" s="122"/>
      <c r="J762" s="122">
        <f t="shared" si="86"/>
        <v>3862382.2983420463</v>
      </c>
      <c r="K762" s="122">
        <f t="shared" si="87"/>
        <v>0</v>
      </c>
      <c r="L762" s="122">
        <f t="shared" si="88"/>
        <v>3862382.2983420463</v>
      </c>
    </row>
    <row r="763" spans="1:12" ht="31.2">
      <c r="A763" s="114">
        <v>28</v>
      </c>
      <c r="B763" s="117" t="s">
        <v>413</v>
      </c>
      <c r="C763" s="116" t="s">
        <v>149</v>
      </c>
      <c r="D763" s="116">
        <v>0.17799999999999999</v>
      </c>
      <c r="E763" s="108">
        <v>0</v>
      </c>
      <c r="F763" s="156"/>
      <c r="G763" s="156"/>
      <c r="H763" s="122">
        <v>1164681.0166441561</v>
      </c>
      <c r="I763" s="122"/>
      <c r="J763" s="122">
        <f t="shared" si="86"/>
        <v>0</v>
      </c>
      <c r="K763" s="122">
        <f t="shared" si="87"/>
        <v>0</v>
      </c>
      <c r="L763" s="122">
        <f t="shared" si="88"/>
        <v>0</v>
      </c>
    </row>
    <row r="764" spans="1:12" ht="31.2">
      <c r="A764" s="114">
        <v>29</v>
      </c>
      <c r="B764" s="117" t="s">
        <v>414</v>
      </c>
      <c r="C764" s="116" t="s">
        <v>415</v>
      </c>
      <c r="D764" s="116">
        <v>0.03</v>
      </c>
      <c r="E764" s="108">
        <v>0</v>
      </c>
      <c r="F764" s="156"/>
      <c r="G764" s="156"/>
      <c r="H764" s="122">
        <v>114207703.6275613</v>
      </c>
      <c r="I764" s="122"/>
      <c r="J764" s="122">
        <f t="shared" si="86"/>
        <v>0</v>
      </c>
      <c r="K764" s="122">
        <f t="shared" si="87"/>
        <v>0</v>
      </c>
      <c r="L764" s="122">
        <f t="shared" si="88"/>
        <v>0</v>
      </c>
    </row>
    <row r="765" spans="1:12" ht="31.2">
      <c r="A765" s="114" t="s">
        <v>859</v>
      </c>
      <c r="B765" s="117" t="s">
        <v>795</v>
      </c>
      <c r="C765" s="116" t="s">
        <v>149</v>
      </c>
      <c r="D765" s="116"/>
      <c r="E765" s="108">
        <v>0.17799999999999999</v>
      </c>
      <c r="F765" s="171">
        <f>+E765/10*5</f>
        <v>8.8999999999999996E-2</v>
      </c>
      <c r="G765" s="171">
        <f>+E765-F765</f>
        <v>8.8999999999999996E-2</v>
      </c>
      <c r="H765" s="122">
        <v>0</v>
      </c>
      <c r="I765" s="122">
        <v>1450470.8478000001</v>
      </c>
      <c r="J765" s="122">
        <f t="shared" si="86"/>
        <v>258183.81090840002</v>
      </c>
      <c r="K765" s="122">
        <f t="shared" si="87"/>
        <v>129091.90545420001</v>
      </c>
      <c r="L765" s="122">
        <f t="shared" si="88"/>
        <v>129091.90545420001</v>
      </c>
    </row>
    <row r="766" spans="1:12">
      <c r="A766" s="114" t="s">
        <v>860</v>
      </c>
      <c r="B766" s="117" t="s">
        <v>797</v>
      </c>
      <c r="C766" s="116" t="s">
        <v>415</v>
      </c>
      <c r="D766" s="116"/>
      <c r="E766" s="108">
        <v>3.0710339999999999E-2</v>
      </c>
      <c r="F766" s="171">
        <f t="shared" ref="F766:F772" si="95">+E766/10*5</f>
        <v>1.535517E-2</v>
      </c>
      <c r="G766" s="171">
        <f t="shared" ref="G766:G772" si="96">+E766-F766</f>
        <v>1.535517E-2</v>
      </c>
      <c r="H766" s="122">
        <v>0</v>
      </c>
      <c r="I766" s="122">
        <v>150219973.99520001</v>
      </c>
      <c r="J766" s="122">
        <f t="shared" ref="J766:J829" si="97">+E766*MAX(H766:I766)</f>
        <v>4613306.4761837507</v>
      </c>
      <c r="K766" s="122">
        <f t="shared" ref="K766:K829" si="98">+F766*MAX(H766:I766)</f>
        <v>2306653.2380918753</v>
      </c>
      <c r="L766" s="122">
        <f t="shared" ref="L766:L829" si="99">+G766*MAX(H766:I766)</f>
        <v>2306653.2380918753</v>
      </c>
    </row>
    <row r="767" spans="1:12">
      <c r="A767" s="114">
        <v>30</v>
      </c>
      <c r="B767" s="117" t="s">
        <v>502</v>
      </c>
      <c r="C767" s="116" t="s">
        <v>415</v>
      </c>
      <c r="D767" s="116">
        <v>0.03</v>
      </c>
      <c r="E767" s="108">
        <v>3.0710339999999999E-2</v>
      </c>
      <c r="F767" s="171">
        <f t="shared" si="95"/>
        <v>1.535517E-2</v>
      </c>
      <c r="G767" s="171">
        <f t="shared" si="96"/>
        <v>1.535517E-2</v>
      </c>
      <c r="H767" s="122">
        <v>5391750.3057997404</v>
      </c>
      <c r="I767" s="122"/>
      <c r="J767" s="122">
        <f t="shared" si="97"/>
        <v>165582.485086214</v>
      </c>
      <c r="K767" s="122">
        <f t="shared" si="98"/>
        <v>82791.242543107001</v>
      </c>
      <c r="L767" s="122">
        <f t="shared" si="99"/>
        <v>82791.242543107001</v>
      </c>
    </row>
    <row r="768" spans="1:12">
      <c r="A768" s="114">
        <v>31</v>
      </c>
      <c r="B768" s="117" t="s">
        <v>600</v>
      </c>
      <c r="C768" s="116" t="s">
        <v>415</v>
      </c>
      <c r="D768" s="116">
        <v>0.03</v>
      </c>
      <c r="E768" s="108">
        <v>0</v>
      </c>
      <c r="F768" s="171">
        <f t="shared" si="95"/>
        <v>0</v>
      </c>
      <c r="G768" s="171">
        <f t="shared" si="96"/>
        <v>0</v>
      </c>
      <c r="H768" s="122">
        <v>15183024.116157416</v>
      </c>
      <c r="I768" s="122"/>
      <c r="J768" s="122">
        <f t="shared" si="97"/>
        <v>0</v>
      </c>
      <c r="K768" s="122">
        <f t="shared" si="98"/>
        <v>0</v>
      </c>
      <c r="L768" s="122">
        <f t="shared" si="99"/>
        <v>0</v>
      </c>
    </row>
    <row r="769" spans="1:12">
      <c r="A769" s="114" t="s">
        <v>861</v>
      </c>
      <c r="B769" s="117" t="s">
        <v>878</v>
      </c>
      <c r="C769" s="116" t="s">
        <v>415</v>
      </c>
      <c r="D769" s="116"/>
      <c r="E769" s="108">
        <v>3.0710339999999999E-2</v>
      </c>
      <c r="F769" s="171">
        <f t="shared" si="95"/>
        <v>1.535517E-2</v>
      </c>
      <c r="G769" s="171">
        <f t="shared" si="96"/>
        <v>1.535517E-2</v>
      </c>
      <c r="H769" s="122"/>
      <c r="I769" s="122">
        <v>16055764.2048</v>
      </c>
      <c r="J769" s="122">
        <f t="shared" si="97"/>
        <v>493077.97768923762</v>
      </c>
      <c r="K769" s="122">
        <f t="shared" si="98"/>
        <v>246538.98884461881</v>
      </c>
      <c r="L769" s="122">
        <f t="shared" si="99"/>
        <v>246538.98884461881</v>
      </c>
    </row>
    <row r="770" spans="1:12">
      <c r="A770" s="114">
        <v>32</v>
      </c>
      <c r="B770" s="117" t="s">
        <v>503</v>
      </c>
      <c r="C770" s="116" t="s">
        <v>149</v>
      </c>
      <c r="D770" s="116">
        <v>0.17799999999999999</v>
      </c>
      <c r="E770" s="108">
        <v>0.17799999999999999</v>
      </c>
      <c r="F770" s="171">
        <f t="shared" si="95"/>
        <v>8.8999999999999996E-2</v>
      </c>
      <c r="G770" s="171">
        <f t="shared" si="96"/>
        <v>8.8999999999999996E-2</v>
      </c>
      <c r="H770" s="122">
        <v>1783035.3754178607</v>
      </c>
      <c r="I770" s="122"/>
      <c r="J770" s="122">
        <f t="shared" si="97"/>
        <v>317380.29682437918</v>
      </c>
      <c r="K770" s="122">
        <f t="shared" si="98"/>
        <v>158690.14841218959</v>
      </c>
      <c r="L770" s="122">
        <f t="shared" si="99"/>
        <v>158690.14841218959</v>
      </c>
    </row>
    <row r="771" spans="1:12">
      <c r="A771" s="114">
        <v>33</v>
      </c>
      <c r="B771" s="117" t="s">
        <v>418</v>
      </c>
      <c r="C771" s="116" t="s">
        <v>145</v>
      </c>
      <c r="D771" s="116">
        <v>2.7E-2</v>
      </c>
      <c r="E771" s="108">
        <v>2.7E-2</v>
      </c>
      <c r="F771" s="171">
        <f t="shared" si="95"/>
        <v>1.3500000000000002E-2</v>
      </c>
      <c r="G771" s="171">
        <f t="shared" si="96"/>
        <v>1.3499999999999998E-2</v>
      </c>
      <c r="H771" s="122">
        <v>31545250.11715313</v>
      </c>
      <c r="I771" s="122"/>
      <c r="J771" s="122">
        <f t="shared" si="97"/>
        <v>851721.75316313456</v>
      </c>
      <c r="K771" s="122">
        <f t="shared" si="98"/>
        <v>425860.87658156734</v>
      </c>
      <c r="L771" s="122">
        <f t="shared" si="99"/>
        <v>425860.87658156722</v>
      </c>
    </row>
    <row r="772" spans="1:12">
      <c r="A772" s="114">
        <v>34</v>
      </c>
      <c r="B772" s="117" t="s">
        <v>419</v>
      </c>
      <c r="C772" s="116" t="s">
        <v>145</v>
      </c>
      <c r="D772" s="116">
        <v>5.7000000000000002E-2</v>
      </c>
      <c r="E772" s="108">
        <v>5.7000000000000002E-2</v>
      </c>
      <c r="F772" s="171">
        <f t="shared" si="95"/>
        <v>2.8500000000000001E-2</v>
      </c>
      <c r="G772" s="171">
        <f t="shared" si="96"/>
        <v>2.8500000000000001E-2</v>
      </c>
      <c r="H772" s="122">
        <v>31392188.761577997</v>
      </c>
      <c r="I772" s="122"/>
      <c r="J772" s="122">
        <f t="shared" si="97"/>
        <v>1789354.7594099459</v>
      </c>
      <c r="K772" s="122">
        <f t="shared" si="98"/>
        <v>894677.37970497296</v>
      </c>
      <c r="L772" s="122">
        <f t="shared" si="99"/>
        <v>894677.37970497296</v>
      </c>
    </row>
    <row r="773" spans="1:12">
      <c r="A773" s="114"/>
      <c r="B773" s="112" t="s">
        <v>884</v>
      </c>
      <c r="C773" s="116"/>
      <c r="D773" s="116"/>
      <c r="E773" s="108"/>
      <c r="F773" s="156"/>
      <c r="G773" s="156"/>
      <c r="H773" s="122"/>
      <c r="I773" s="122"/>
      <c r="J773" s="122">
        <f t="shared" si="97"/>
        <v>0</v>
      </c>
      <c r="K773" s="122">
        <f t="shared" si="98"/>
        <v>0</v>
      </c>
      <c r="L773" s="122">
        <f t="shared" si="99"/>
        <v>0</v>
      </c>
    </row>
    <row r="774" spans="1:12">
      <c r="A774" s="114"/>
      <c r="B774" s="117" t="s">
        <v>478</v>
      </c>
      <c r="C774" s="116"/>
      <c r="D774" s="116"/>
      <c r="E774" s="108"/>
      <c r="F774" s="156"/>
      <c r="G774" s="156"/>
      <c r="H774" s="122"/>
      <c r="I774" s="122"/>
      <c r="J774" s="122">
        <f t="shared" si="97"/>
        <v>0</v>
      </c>
      <c r="K774" s="122">
        <f t="shared" si="98"/>
        <v>0</v>
      </c>
      <c r="L774" s="122">
        <f t="shared" si="99"/>
        <v>0</v>
      </c>
    </row>
    <row r="775" spans="1:12" ht="31.2">
      <c r="A775" s="119">
        <v>1</v>
      </c>
      <c r="B775" s="117" t="s">
        <v>335</v>
      </c>
      <c r="C775" s="116" t="s">
        <v>144</v>
      </c>
      <c r="D775" s="116"/>
      <c r="E775" s="108">
        <v>71.260000000000005</v>
      </c>
      <c r="F775" s="156">
        <f>+E775</f>
        <v>71.260000000000005</v>
      </c>
      <c r="G775" s="156"/>
      <c r="H775" s="122">
        <v>292504.29464845749</v>
      </c>
      <c r="I775" s="122"/>
      <c r="J775" s="122">
        <f t="shared" si="97"/>
        <v>20843856.036649082</v>
      </c>
      <c r="K775" s="122">
        <f t="shared" si="98"/>
        <v>20843856.036649082</v>
      </c>
      <c r="L775" s="122">
        <f t="shared" si="99"/>
        <v>0</v>
      </c>
    </row>
    <row r="776" spans="1:12">
      <c r="A776" s="119">
        <v>2</v>
      </c>
      <c r="B776" s="117" t="s">
        <v>590</v>
      </c>
      <c r="C776" s="116" t="s">
        <v>145</v>
      </c>
      <c r="D776" s="116"/>
      <c r="E776" s="108">
        <v>0.71260000000000001</v>
      </c>
      <c r="F776" s="156">
        <f t="shared" ref="F776:F800" si="100">+E776</f>
        <v>0.71260000000000001</v>
      </c>
      <c r="G776" s="156"/>
      <c r="H776" s="122">
        <v>3218898.1990028191</v>
      </c>
      <c r="I776" s="122"/>
      <c r="J776" s="122">
        <f t="shared" si="97"/>
        <v>2293786.8566094087</v>
      </c>
      <c r="K776" s="122">
        <f t="shared" si="98"/>
        <v>2293786.8566094087</v>
      </c>
      <c r="L776" s="122">
        <f t="shared" si="99"/>
        <v>0</v>
      </c>
    </row>
    <row r="777" spans="1:12">
      <c r="A777" s="119">
        <v>3</v>
      </c>
      <c r="B777" s="117" t="s">
        <v>591</v>
      </c>
      <c r="C777" s="116" t="s">
        <v>28</v>
      </c>
      <c r="D777" s="116"/>
      <c r="E777" s="108">
        <v>0.71260000000000001</v>
      </c>
      <c r="F777" s="156">
        <f t="shared" si="100"/>
        <v>0.71260000000000001</v>
      </c>
      <c r="G777" s="156"/>
      <c r="H777" s="122">
        <v>286318.41878673644</v>
      </c>
      <c r="I777" s="122"/>
      <c r="J777" s="122">
        <f t="shared" si="97"/>
        <v>204030.5052274284</v>
      </c>
      <c r="K777" s="122">
        <f t="shared" si="98"/>
        <v>204030.5052274284</v>
      </c>
      <c r="L777" s="122">
        <f t="shared" si="99"/>
        <v>0</v>
      </c>
    </row>
    <row r="778" spans="1:12">
      <c r="A778" s="119">
        <v>4</v>
      </c>
      <c r="B778" s="117" t="s">
        <v>425</v>
      </c>
      <c r="C778" s="116" t="s">
        <v>144</v>
      </c>
      <c r="D778" s="116"/>
      <c r="E778" s="108">
        <v>7.0384999999999991</v>
      </c>
      <c r="F778" s="156">
        <f t="shared" si="100"/>
        <v>7.0384999999999991</v>
      </c>
      <c r="G778" s="156"/>
      <c r="H778" s="122">
        <v>848521.24576699978</v>
      </c>
      <c r="I778" s="122"/>
      <c r="J778" s="122">
        <f t="shared" si="97"/>
        <v>5972316.7883310271</v>
      </c>
      <c r="K778" s="122">
        <f t="shared" si="98"/>
        <v>5972316.7883310271</v>
      </c>
      <c r="L778" s="122">
        <f t="shared" si="99"/>
        <v>0</v>
      </c>
    </row>
    <row r="779" spans="1:12">
      <c r="A779" s="119">
        <v>5</v>
      </c>
      <c r="B779" s="117" t="s">
        <v>482</v>
      </c>
      <c r="C779" s="116" t="s">
        <v>144</v>
      </c>
      <c r="D779" s="116"/>
      <c r="E779" s="108">
        <v>20.891500000000001</v>
      </c>
      <c r="F779" s="156">
        <f t="shared" si="100"/>
        <v>20.891500000000001</v>
      </c>
      <c r="G779" s="156"/>
      <c r="H779" s="122">
        <v>1299262.3718975582</v>
      </c>
      <c r="I779" s="122"/>
      <c r="J779" s="122">
        <f t="shared" si="97"/>
        <v>27143539.842497837</v>
      </c>
      <c r="K779" s="122">
        <f t="shared" si="98"/>
        <v>27143539.842497837</v>
      </c>
      <c r="L779" s="122">
        <f t="shared" si="99"/>
        <v>0</v>
      </c>
    </row>
    <row r="780" spans="1:12" ht="31.2">
      <c r="A780" s="119">
        <v>6</v>
      </c>
      <c r="B780" s="117" t="s">
        <v>483</v>
      </c>
      <c r="C780" s="116" t="s">
        <v>144</v>
      </c>
      <c r="D780" s="116"/>
      <c r="E780" s="108">
        <v>8.3460000000000001</v>
      </c>
      <c r="F780" s="156">
        <f t="shared" si="100"/>
        <v>8.3460000000000001</v>
      </c>
      <c r="G780" s="156"/>
      <c r="H780" s="122">
        <v>1401318.5351341674</v>
      </c>
      <c r="I780" s="122"/>
      <c r="J780" s="122">
        <f t="shared" si="97"/>
        <v>11695404.494229762</v>
      </c>
      <c r="K780" s="122">
        <f t="shared" si="98"/>
        <v>11695404.494229762</v>
      </c>
      <c r="L780" s="122">
        <f t="shared" si="99"/>
        <v>0</v>
      </c>
    </row>
    <row r="781" spans="1:12">
      <c r="A781" s="119">
        <v>7</v>
      </c>
      <c r="B781" s="117" t="s">
        <v>468</v>
      </c>
      <c r="C781" s="116" t="s">
        <v>149</v>
      </c>
      <c r="D781" s="116"/>
      <c r="E781" s="108">
        <v>0.56120000000000003</v>
      </c>
      <c r="F781" s="156">
        <f t="shared" si="100"/>
        <v>0.56120000000000003</v>
      </c>
      <c r="G781" s="156"/>
      <c r="H781" s="122">
        <v>5813935.4808997139</v>
      </c>
      <c r="I781" s="122"/>
      <c r="J781" s="122">
        <f t="shared" si="97"/>
        <v>3262780.5918809199</v>
      </c>
      <c r="K781" s="122">
        <f t="shared" si="98"/>
        <v>3262780.5918809199</v>
      </c>
      <c r="L781" s="122">
        <f t="shared" si="99"/>
        <v>0</v>
      </c>
    </row>
    <row r="782" spans="1:12">
      <c r="A782" s="119"/>
      <c r="B782" s="117" t="s">
        <v>484</v>
      </c>
      <c r="C782" s="116"/>
      <c r="D782" s="116"/>
      <c r="E782" s="108"/>
      <c r="F782" s="156">
        <f t="shared" si="100"/>
        <v>0</v>
      </c>
      <c r="G782" s="156"/>
      <c r="H782" s="122"/>
      <c r="I782" s="122"/>
      <c r="J782" s="122">
        <f t="shared" si="97"/>
        <v>0</v>
      </c>
      <c r="K782" s="122">
        <f t="shared" si="98"/>
        <v>0</v>
      </c>
      <c r="L782" s="122">
        <f t="shared" si="99"/>
        <v>0</v>
      </c>
    </row>
    <row r="783" spans="1:12">
      <c r="A783" s="119">
        <v>8</v>
      </c>
      <c r="B783" s="117" t="s">
        <v>609</v>
      </c>
      <c r="C783" s="116" t="s">
        <v>144</v>
      </c>
      <c r="D783" s="116"/>
      <c r="E783" s="108">
        <v>6.3186</v>
      </c>
      <c r="F783" s="156">
        <f t="shared" si="100"/>
        <v>6.3186</v>
      </c>
      <c r="G783" s="156"/>
      <c r="H783" s="122">
        <v>1682039.5211503096</v>
      </c>
      <c r="I783" s="122"/>
      <c r="J783" s="122">
        <f t="shared" si="97"/>
        <v>10628134.918340346</v>
      </c>
      <c r="K783" s="122">
        <f t="shared" si="98"/>
        <v>10628134.918340346</v>
      </c>
      <c r="L783" s="122">
        <f t="shared" si="99"/>
        <v>0</v>
      </c>
    </row>
    <row r="784" spans="1:12">
      <c r="A784" s="119"/>
      <c r="B784" s="117" t="s">
        <v>493</v>
      </c>
      <c r="C784" s="116"/>
      <c r="D784" s="116"/>
      <c r="E784" s="108"/>
      <c r="F784" s="156">
        <f t="shared" si="100"/>
        <v>0</v>
      </c>
      <c r="G784" s="156"/>
      <c r="H784" s="122"/>
      <c r="I784" s="122"/>
      <c r="J784" s="122">
        <f t="shared" si="97"/>
        <v>0</v>
      </c>
      <c r="K784" s="122">
        <f t="shared" si="98"/>
        <v>0</v>
      </c>
      <c r="L784" s="122">
        <f t="shared" si="99"/>
        <v>0</v>
      </c>
    </row>
    <row r="785" spans="1:12">
      <c r="A785" s="119">
        <v>9</v>
      </c>
      <c r="B785" s="117" t="s">
        <v>610</v>
      </c>
      <c r="C785" s="116" t="s">
        <v>144</v>
      </c>
      <c r="D785" s="116"/>
      <c r="E785" s="108">
        <v>15.399999999999999</v>
      </c>
      <c r="F785" s="156">
        <f t="shared" si="100"/>
        <v>15.399999999999999</v>
      </c>
      <c r="G785" s="156"/>
      <c r="H785" s="122">
        <v>1733513.7641643758</v>
      </c>
      <c r="I785" s="122"/>
      <c r="J785" s="122">
        <f t="shared" si="97"/>
        <v>26696111.968131386</v>
      </c>
      <c r="K785" s="122">
        <f t="shared" si="98"/>
        <v>26696111.968131386</v>
      </c>
      <c r="L785" s="122">
        <f t="shared" si="99"/>
        <v>0</v>
      </c>
    </row>
    <row r="786" spans="1:12">
      <c r="A786" s="119">
        <v>10</v>
      </c>
      <c r="B786" s="117" t="s">
        <v>495</v>
      </c>
      <c r="C786" s="116" t="s">
        <v>146</v>
      </c>
      <c r="D786" s="116"/>
      <c r="E786" s="108">
        <v>1.6214000000000002</v>
      </c>
      <c r="F786" s="156">
        <f t="shared" si="100"/>
        <v>1.6214000000000002</v>
      </c>
      <c r="G786" s="156"/>
      <c r="H786" s="122">
        <v>23780678.264275361</v>
      </c>
      <c r="I786" s="122"/>
      <c r="J786" s="122">
        <f t="shared" si="97"/>
        <v>38557991.737696074</v>
      </c>
      <c r="K786" s="122">
        <f t="shared" si="98"/>
        <v>38557991.737696074</v>
      </c>
      <c r="L786" s="122">
        <f t="shared" si="99"/>
        <v>0</v>
      </c>
    </row>
    <row r="787" spans="1:12">
      <c r="A787" s="119">
        <v>11</v>
      </c>
      <c r="B787" s="117" t="s">
        <v>496</v>
      </c>
      <c r="C787" s="116" t="s">
        <v>885</v>
      </c>
      <c r="D787" s="116"/>
      <c r="E787" s="108">
        <v>3.0395200000000004</v>
      </c>
      <c r="F787" s="156">
        <f t="shared" si="100"/>
        <v>3.0395200000000004</v>
      </c>
      <c r="G787" s="156"/>
      <c r="H787" s="122">
        <v>10812427.835730689</v>
      </c>
      <c r="I787" s="122"/>
      <c r="J787" s="122">
        <f t="shared" si="97"/>
        <v>32864590.655260149</v>
      </c>
      <c r="K787" s="122">
        <f t="shared" si="98"/>
        <v>32864590.655260149</v>
      </c>
      <c r="L787" s="122">
        <f t="shared" si="99"/>
        <v>0</v>
      </c>
    </row>
    <row r="788" spans="1:12">
      <c r="A788" s="119">
        <v>12</v>
      </c>
      <c r="B788" s="117" t="s">
        <v>497</v>
      </c>
      <c r="C788" s="116" t="s">
        <v>148</v>
      </c>
      <c r="D788" s="116"/>
      <c r="E788" s="108">
        <v>75.25</v>
      </c>
      <c r="F788" s="156">
        <f t="shared" si="100"/>
        <v>75.25</v>
      </c>
      <c r="G788" s="156"/>
      <c r="H788" s="122">
        <v>46657.176441337891</v>
      </c>
      <c r="I788" s="122"/>
      <c r="J788" s="122">
        <f t="shared" si="97"/>
        <v>3510952.5272106761</v>
      </c>
      <c r="K788" s="122">
        <f t="shared" si="98"/>
        <v>3510952.5272106761</v>
      </c>
      <c r="L788" s="122">
        <f t="shared" si="99"/>
        <v>0</v>
      </c>
    </row>
    <row r="789" spans="1:12">
      <c r="A789" s="119">
        <v>13</v>
      </c>
      <c r="B789" s="117" t="s">
        <v>498</v>
      </c>
      <c r="C789" s="116" t="s">
        <v>148</v>
      </c>
      <c r="D789" s="116"/>
      <c r="E789" s="108">
        <v>165.88</v>
      </c>
      <c r="F789" s="156">
        <f t="shared" si="100"/>
        <v>165.88</v>
      </c>
      <c r="G789" s="156"/>
      <c r="H789" s="122">
        <v>60109.669240062889</v>
      </c>
      <c r="I789" s="122"/>
      <c r="J789" s="122">
        <f t="shared" si="97"/>
        <v>9970991.9335416313</v>
      </c>
      <c r="K789" s="122">
        <f t="shared" si="98"/>
        <v>9970991.9335416313</v>
      </c>
      <c r="L789" s="122">
        <f t="shared" si="99"/>
        <v>0</v>
      </c>
    </row>
    <row r="790" spans="1:12">
      <c r="A790" s="119">
        <v>14</v>
      </c>
      <c r="B790" s="117" t="s">
        <v>499</v>
      </c>
      <c r="C790" s="116" t="s">
        <v>148</v>
      </c>
      <c r="D790" s="116"/>
      <c r="E790" s="108">
        <v>40.419999999999995</v>
      </c>
      <c r="F790" s="156">
        <f t="shared" si="100"/>
        <v>40.419999999999995</v>
      </c>
      <c r="G790" s="156"/>
      <c r="H790" s="122">
        <v>119048.85787375645</v>
      </c>
      <c r="I790" s="122"/>
      <c r="J790" s="122">
        <f t="shared" si="97"/>
        <v>4811954.835257235</v>
      </c>
      <c r="K790" s="122">
        <f t="shared" si="98"/>
        <v>4811954.835257235</v>
      </c>
      <c r="L790" s="122">
        <f t="shared" si="99"/>
        <v>0</v>
      </c>
    </row>
    <row r="791" spans="1:12">
      <c r="A791" s="119">
        <v>15</v>
      </c>
      <c r="B791" s="117" t="s">
        <v>500</v>
      </c>
      <c r="C791" s="116" t="s">
        <v>25</v>
      </c>
      <c r="D791" s="116"/>
      <c r="E791" s="108">
        <v>44</v>
      </c>
      <c r="F791" s="156">
        <f t="shared" si="100"/>
        <v>44</v>
      </c>
      <c r="G791" s="156"/>
      <c r="H791" s="122">
        <v>1494342.1380032457</v>
      </c>
      <c r="I791" s="122"/>
      <c r="J791" s="122">
        <f t="shared" si="97"/>
        <v>65751054.07214281</v>
      </c>
      <c r="K791" s="122">
        <f t="shared" si="98"/>
        <v>65751054.07214281</v>
      </c>
      <c r="L791" s="122">
        <f t="shared" si="99"/>
        <v>0</v>
      </c>
    </row>
    <row r="792" spans="1:12">
      <c r="A792" s="119"/>
      <c r="B792" s="117" t="s">
        <v>501</v>
      </c>
      <c r="C792" s="116"/>
      <c r="D792" s="116"/>
      <c r="E792" s="108">
        <v>0</v>
      </c>
      <c r="F792" s="156">
        <f t="shared" si="100"/>
        <v>0</v>
      </c>
      <c r="G792" s="156"/>
      <c r="H792" s="122"/>
      <c r="I792" s="122"/>
      <c r="J792" s="122">
        <f t="shared" si="97"/>
        <v>0</v>
      </c>
      <c r="K792" s="122">
        <f t="shared" si="98"/>
        <v>0</v>
      </c>
      <c r="L792" s="122">
        <f t="shared" si="99"/>
        <v>0</v>
      </c>
    </row>
    <row r="793" spans="1:12">
      <c r="A793" s="119">
        <v>16</v>
      </c>
      <c r="B793" s="117" t="s">
        <v>325</v>
      </c>
      <c r="C793" s="116" t="s">
        <v>144</v>
      </c>
      <c r="D793" s="116"/>
      <c r="E793" s="108">
        <v>0.52800000000000002</v>
      </c>
      <c r="F793" s="156">
        <f t="shared" si="100"/>
        <v>0.52800000000000002</v>
      </c>
      <c r="G793" s="156"/>
      <c r="H793" s="122">
        <v>3387145.2779199071</v>
      </c>
      <c r="I793" s="122"/>
      <c r="J793" s="122">
        <f t="shared" si="97"/>
        <v>1788412.7067417111</v>
      </c>
      <c r="K793" s="122">
        <f t="shared" si="98"/>
        <v>1788412.7067417111</v>
      </c>
      <c r="L793" s="122">
        <f t="shared" si="99"/>
        <v>0</v>
      </c>
    </row>
    <row r="794" spans="1:12">
      <c r="A794" s="119">
        <v>17</v>
      </c>
      <c r="B794" s="117" t="s">
        <v>480</v>
      </c>
      <c r="C794" s="116" t="s">
        <v>147</v>
      </c>
      <c r="D794" s="116"/>
      <c r="E794" s="108">
        <v>0.10800000000000001</v>
      </c>
      <c r="F794" s="156">
        <f t="shared" si="100"/>
        <v>0.10800000000000001</v>
      </c>
      <c r="G794" s="156"/>
      <c r="H794" s="122">
        <v>2214350.953738424</v>
      </c>
      <c r="I794" s="122"/>
      <c r="J794" s="122">
        <f t="shared" si="97"/>
        <v>239149.90300374982</v>
      </c>
      <c r="K794" s="122">
        <f t="shared" si="98"/>
        <v>239149.90300374982</v>
      </c>
      <c r="L794" s="122">
        <f t="shared" si="99"/>
        <v>0</v>
      </c>
    </row>
    <row r="795" spans="1:12">
      <c r="A795" s="119">
        <v>18</v>
      </c>
      <c r="B795" s="117" t="s">
        <v>425</v>
      </c>
      <c r="C795" s="116" t="s">
        <v>144</v>
      </c>
      <c r="D795" s="116"/>
      <c r="E795" s="108">
        <v>0.52</v>
      </c>
      <c r="F795" s="156">
        <f t="shared" si="100"/>
        <v>0.52</v>
      </c>
      <c r="G795" s="156"/>
      <c r="H795" s="122">
        <v>848521.24576699978</v>
      </c>
      <c r="I795" s="122"/>
      <c r="J795" s="122">
        <f t="shared" si="97"/>
        <v>441231.04779883992</v>
      </c>
      <c r="K795" s="122">
        <f t="shared" si="98"/>
        <v>441231.04779883992</v>
      </c>
      <c r="L795" s="122">
        <f t="shared" si="99"/>
        <v>0</v>
      </c>
    </row>
    <row r="796" spans="1:12">
      <c r="A796" s="119">
        <v>19</v>
      </c>
      <c r="B796" s="117" t="s">
        <v>481</v>
      </c>
      <c r="C796" s="116" t="s">
        <v>144</v>
      </c>
      <c r="D796" s="116"/>
      <c r="E796" s="108">
        <v>3.8823999999999996</v>
      </c>
      <c r="F796" s="156">
        <f t="shared" si="100"/>
        <v>3.8823999999999996</v>
      </c>
      <c r="G796" s="156"/>
      <c r="H796" s="122">
        <v>1288369.0590892851</v>
      </c>
      <c r="I796" s="122"/>
      <c r="J796" s="122">
        <f t="shared" si="97"/>
        <v>5001964.0350082396</v>
      </c>
      <c r="K796" s="122">
        <f t="shared" si="98"/>
        <v>5001964.0350082396</v>
      </c>
      <c r="L796" s="122">
        <f t="shared" si="99"/>
        <v>0</v>
      </c>
    </row>
    <row r="797" spans="1:12">
      <c r="A797" s="119">
        <v>20</v>
      </c>
      <c r="B797" s="117" t="s">
        <v>468</v>
      </c>
      <c r="C797" s="116" t="s">
        <v>885</v>
      </c>
      <c r="D797" s="116"/>
      <c r="E797" s="108">
        <v>0.10128</v>
      </c>
      <c r="F797" s="156">
        <f t="shared" si="100"/>
        <v>0.10128</v>
      </c>
      <c r="G797" s="156"/>
      <c r="H797" s="122">
        <v>5813935.4808997139</v>
      </c>
      <c r="I797" s="122"/>
      <c r="J797" s="122">
        <f t="shared" si="97"/>
        <v>588835.38550552295</v>
      </c>
      <c r="K797" s="122">
        <f t="shared" si="98"/>
        <v>588835.38550552295</v>
      </c>
      <c r="L797" s="122">
        <f t="shared" si="99"/>
        <v>0</v>
      </c>
    </row>
    <row r="798" spans="1:12">
      <c r="A798" s="119">
        <v>21</v>
      </c>
      <c r="B798" s="117" t="s">
        <v>886</v>
      </c>
      <c r="C798" s="116" t="s">
        <v>5</v>
      </c>
      <c r="D798" s="116"/>
      <c r="E798" s="108">
        <v>5.6</v>
      </c>
      <c r="F798" s="156">
        <f t="shared" si="100"/>
        <v>5.6</v>
      </c>
      <c r="G798" s="156"/>
      <c r="H798" s="122">
        <v>0</v>
      </c>
      <c r="I798" s="122">
        <v>324447.09759999998</v>
      </c>
      <c r="J798" s="122">
        <f t="shared" si="97"/>
        <v>1816903.7465599999</v>
      </c>
      <c r="K798" s="122">
        <f t="shared" si="98"/>
        <v>1816903.7465599999</v>
      </c>
      <c r="L798" s="122">
        <f t="shared" si="99"/>
        <v>0</v>
      </c>
    </row>
    <row r="799" spans="1:12">
      <c r="A799" s="119">
        <v>22</v>
      </c>
      <c r="B799" s="117" t="s">
        <v>325</v>
      </c>
      <c r="C799" s="116" t="s">
        <v>887</v>
      </c>
      <c r="D799" s="116"/>
      <c r="E799" s="108">
        <v>2.7999999999999997E-2</v>
      </c>
      <c r="F799" s="156">
        <f t="shared" si="100"/>
        <v>2.7999999999999997E-2</v>
      </c>
      <c r="G799" s="156"/>
      <c r="H799" s="122">
        <v>3387145.2779199071</v>
      </c>
      <c r="I799" s="122"/>
      <c r="J799" s="122">
        <f t="shared" si="97"/>
        <v>94840.067781757389</v>
      </c>
      <c r="K799" s="122">
        <f t="shared" si="98"/>
        <v>94840.067781757389</v>
      </c>
      <c r="L799" s="122">
        <f t="shared" si="99"/>
        <v>0</v>
      </c>
    </row>
    <row r="800" spans="1:12">
      <c r="A800" s="119">
        <v>23</v>
      </c>
      <c r="B800" s="117" t="s">
        <v>888</v>
      </c>
      <c r="C800" s="116" t="s">
        <v>147</v>
      </c>
      <c r="D800" s="116"/>
      <c r="E800" s="108">
        <v>0.32</v>
      </c>
      <c r="F800" s="156">
        <f t="shared" si="100"/>
        <v>0.32</v>
      </c>
      <c r="G800" s="156"/>
      <c r="H800" s="122">
        <v>0</v>
      </c>
      <c r="I800" s="122">
        <v>452251430.62020004</v>
      </c>
      <c r="J800" s="122">
        <f t="shared" si="97"/>
        <v>144720457.79846403</v>
      </c>
      <c r="K800" s="122">
        <f t="shared" si="98"/>
        <v>144720457.79846403</v>
      </c>
      <c r="L800" s="122">
        <f t="shared" si="99"/>
        <v>0</v>
      </c>
    </row>
    <row r="801" spans="1:12">
      <c r="A801" s="114"/>
      <c r="B801" s="112" t="s">
        <v>828</v>
      </c>
      <c r="C801" s="116"/>
      <c r="D801" s="116"/>
      <c r="E801" s="108"/>
      <c r="F801" s="156"/>
      <c r="G801" s="156"/>
      <c r="H801" s="122"/>
      <c r="I801" s="122"/>
      <c r="J801" s="122">
        <f t="shared" si="97"/>
        <v>0</v>
      </c>
      <c r="K801" s="122">
        <f t="shared" si="98"/>
        <v>0</v>
      </c>
      <c r="L801" s="122">
        <f t="shared" si="99"/>
        <v>0</v>
      </c>
    </row>
    <row r="802" spans="1:12">
      <c r="A802" s="114">
        <v>1</v>
      </c>
      <c r="B802" s="117" t="s">
        <v>829</v>
      </c>
      <c r="C802" s="116" t="s">
        <v>144</v>
      </c>
      <c r="D802" s="116"/>
      <c r="E802" s="108">
        <v>0.98</v>
      </c>
      <c r="F802" s="156">
        <f>+E802</f>
        <v>0.98</v>
      </c>
      <c r="G802" s="156"/>
      <c r="H802" s="122">
        <v>0</v>
      </c>
      <c r="I802" s="122">
        <v>1333638.219</v>
      </c>
      <c r="J802" s="122">
        <f t="shared" si="97"/>
        <v>1306965.45462</v>
      </c>
      <c r="K802" s="122">
        <f t="shared" si="98"/>
        <v>1306965.45462</v>
      </c>
      <c r="L802" s="122">
        <f t="shared" si="99"/>
        <v>0</v>
      </c>
    </row>
    <row r="803" spans="1:12">
      <c r="A803" s="114">
        <v>2</v>
      </c>
      <c r="B803" s="117" t="s">
        <v>830</v>
      </c>
      <c r="C803" s="116" t="s">
        <v>148</v>
      </c>
      <c r="D803" s="116"/>
      <c r="E803" s="108">
        <v>69.22</v>
      </c>
      <c r="F803" s="156">
        <f t="shared" ref="F803:F814" si="101">+E803</f>
        <v>69.22</v>
      </c>
      <c r="G803" s="156"/>
      <c r="H803" s="122">
        <v>0</v>
      </c>
      <c r="I803" s="122">
        <v>28366.3256</v>
      </c>
      <c r="J803" s="122">
        <f t="shared" si="97"/>
        <v>1963517.058032</v>
      </c>
      <c r="K803" s="122">
        <f t="shared" si="98"/>
        <v>1963517.058032</v>
      </c>
      <c r="L803" s="122">
        <f t="shared" si="99"/>
        <v>0</v>
      </c>
    </row>
    <row r="804" spans="1:12">
      <c r="A804" s="114">
        <v>3</v>
      </c>
      <c r="B804" s="117" t="s">
        <v>831</v>
      </c>
      <c r="C804" s="116" t="s">
        <v>5</v>
      </c>
      <c r="D804" s="116"/>
      <c r="E804" s="108">
        <v>122.4</v>
      </c>
      <c r="F804" s="156">
        <f t="shared" si="101"/>
        <v>122.4</v>
      </c>
      <c r="G804" s="156"/>
      <c r="H804" s="122">
        <v>0</v>
      </c>
      <c r="I804" s="122">
        <v>26404.718000000001</v>
      </c>
      <c r="J804" s="122">
        <f t="shared" si="97"/>
        <v>3231937.4832000001</v>
      </c>
      <c r="K804" s="122">
        <f t="shared" si="98"/>
        <v>3231937.4832000001</v>
      </c>
      <c r="L804" s="122">
        <f t="shared" si="99"/>
        <v>0</v>
      </c>
    </row>
    <row r="805" spans="1:12">
      <c r="A805" s="114">
        <v>4</v>
      </c>
      <c r="B805" s="117" t="s">
        <v>832</v>
      </c>
      <c r="C805" s="116" t="s">
        <v>5</v>
      </c>
      <c r="D805" s="116"/>
      <c r="E805" s="108">
        <v>600</v>
      </c>
      <c r="F805" s="156">
        <f t="shared" si="101"/>
        <v>600</v>
      </c>
      <c r="G805" s="156"/>
      <c r="H805" s="122">
        <v>0</v>
      </c>
      <c r="I805" s="122">
        <v>1152.7694000000001</v>
      </c>
      <c r="J805" s="122">
        <f t="shared" si="97"/>
        <v>691661.64000000013</v>
      </c>
      <c r="K805" s="122">
        <f t="shared" si="98"/>
        <v>691661.64000000013</v>
      </c>
      <c r="L805" s="122">
        <f t="shared" si="99"/>
        <v>0</v>
      </c>
    </row>
    <row r="806" spans="1:12">
      <c r="A806" s="114">
        <v>5</v>
      </c>
      <c r="B806" s="117" t="s">
        <v>833</v>
      </c>
      <c r="C806" s="116" t="s">
        <v>318</v>
      </c>
      <c r="D806" s="116"/>
      <c r="E806" s="108">
        <v>90</v>
      </c>
      <c r="F806" s="156">
        <f t="shared" si="101"/>
        <v>90</v>
      </c>
      <c r="G806" s="156"/>
      <c r="H806" s="122">
        <v>0</v>
      </c>
      <c r="I806" s="122">
        <v>265716.84600000002</v>
      </c>
      <c r="J806" s="122">
        <f t="shared" si="97"/>
        <v>23914516.140000001</v>
      </c>
      <c r="K806" s="122">
        <f t="shared" si="98"/>
        <v>23914516.140000001</v>
      </c>
      <c r="L806" s="122">
        <f t="shared" si="99"/>
        <v>0</v>
      </c>
    </row>
    <row r="807" spans="1:12">
      <c r="A807" s="114">
        <v>6</v>
      </c>
      <c r="B807" s="117" t="s">
        <v>834</v>
      </c>
      <c r="C807" s="116" t="s">
        <v>25</v>
      </c>
      <c r="D807" s="116"/>
      <c r="E807" s="108">
        <v>6</v>
      </c>
      <c r="F807" s="156">
        <f t="shared" si="101"/>
        <v>6</v>
      </c>
      <c r="G807" s="156"/>
      <c r="H807" s="122">
        <v>0</v>
      </c>
      <c r="I807" s="122">
        <v>127988.39720000001</v>
      </c>
      <c r="J807" s="122">
        <f t="shared" si="97"/>
        <v>767930.38320000004</v>
      </c>
      <c r="K807" s="122">
        <f t="shared" si="98"/>
        <v>767930.38320000004</v>
      </c>
      <c r="L807" s="122">
        <f t="shared" si="99"/>
        <v>0</v>
      </c>
    </row>
    <row r="808" spans="1:12">
      <c r="A808" s="114">
        <v>7</v>
      </c>
      <c r="B808" s="117" t="s">
        <v>835</v>
      </c>
      <c r="C808" s="116" t="s">
        <v>25</v>
      </c>
      <c r="D808" s="116"/>
      <c r="E808" s="108">
        <v>2</v>
      </c>
      <c r="F808" s="156">
        <f t="shared" si="101"/>
        <v>2</v>
      </c>
      <c r="G808" s="156"/>
      <c r="H808" s="122">
        <v>0</v>
      </c>
      <c r="I808" s="122">
        <v>536167.745</v>
      </c>
      <c r="J808" s="122">
        <f t="shared" si="97"/>
        <v>1072335.49</v>
      </c>
      <c r="K808" s="122">
        <f t="shared" si="98"/>
        <v>1072335.49</v>
      </c>
      <c r="L808" s="122">
        <f t="shared" si="99"/>
        <v>0</v>
      </c>
    </row>
    <row r="809" spans="1:12" ht="31.2">
      <c r="A809" s="114">
        <v>8</v>
      </c>
      <c r="B809" s="117" t="s">
        <v>836</v>
      </c>
      <c r="C809" s="116" t="s">
        <v>25</v>
      </c>
      <c r="D809" s="116"/>
      <c r="E809" s="108">
        <v>2</v>
      </c>
      <c r="F809" s="156">
        <f t="shared" si="101"/>
        <v>2</v>
      </c>
      <c r="G809" s="156"/>
      <c r="H809" s="122">
        <v>0</v>
      </c>
      <c r="I809" s="122">
        <v>536167.745</v>
      </c>
      <c r="J809" s="122">
        <f t="shared" si="97"/>
        <v>1072335.49</v>
      </c>
      <c r="K809" s="122">
        <f t="shared" si="98"/>
        <v>1072335.49</v>
      </c>
      <c r="L809" s="122">
        <f t="shared" si="99"/>
        <v>0</v>
      </c>
    </row>
    <row r="810" spans="1:12" ht="31.2">
      <c r="A810" s="114">
        <v>9</v>
      </c>
      <c r="B810" s="117" t="s">
        <v>837</v>
      </c>
      <c r="C810" s="116" t="s">
        <v>25</v>
      </c>
      <c r="D810" s="116"/>
      <c r="E810" s="108">
        <v>4</v>
      </c>
      <c r="F810" s="156">
        <f t="shared" si="101"/>
        <v>4</v>
      </c>
      <c r="G810" s="156"/>
      <c r="H810" s="122">
        <v>0</v>
      </c>
      <c r="I810" s="122">
        <v>536167.745</v>
      </c>
      <c r="J810" s="122">
        <f t="shared" si="97"/>
        <v>2144670.98</v>
      </c>
      <c r="K810" s="122">
        <f t="shared" si="98"/>
        <v>2144670.98</v>
      </c>
      <c r="L810" s="122">
        <f t="shared" si="99"/>
        <v>0</v>
      </c>
    </row>
    <row r="811" spans="1:12">
      <c r="A811" s="114">
        <v>10</v>
      </c>
      <c r="B811" s="117" t="s">
        <v>838</v>
      </c>
      <c r="C811" s="116" t="s">
        <v>5</v>
      </c>
      <c r="D811" s="116"/>
      <c r="E811" s="108">
        <v>4.8</v>
      </c>
      <c r="F811" s="156">
        <f t="shared" si="101"/>
        <v>4.8</v>
      </c>
      <c r="G811" s="156"/>
      <c r="H811" s="122">
        <v>0</v>
      </c>
      <c r="I811" s="122">
        <v>57768.444000000003</v>
      </c>
      <c r="J811" s="122">
        <f t="shared" si="97"/>
        <v>277288.53120000003</v>
      </c>
      <c r="K811" s="122">
        <f t="shared" si="98"/>
        <v>277288.53120000003</v>
      </c>
      <c r="L811" s="122">
        <f t="shared" si="99"/>
        <v>0</v>
      </c>
    </row>
    <row r="812" spans="1:12">
      <c r="A812" s="114">
        <v>11</v>
      </c>
      <c r="B812" s="117" t="s">
        <v>839</v>
      </c>
      <c r="C812" s="116" t="s">
        <v>25</v>
      </c>
      <c r="D812" s="116"/>
      <c r="E812" s="108">
        <v>2</v>
      </c>
      <c r="F812" s="156">
        <f t="shared" si="101"/>
        <v>2</v>
      </c>
      <c r="G812" s="156"/>
      <c r="H812" s="122">
        <v>0</v>
      </c>
      <c r="I812" s="122">
        <v>536167.745</v>
      </c>
      <c r="J812" s="122">
        <f t="shared" si="97"/>
        <v>1072335.49</v>
      </c>
      <c r="K812" s="122">
        <f t="shared" si="98"/>
        <v>1072335.49</v>
      </c>
      <c r="L812" s="122">
        <f t="shared" si="99"/>
        <v>0</v>
      </c>
    </row>
    <row r="813" spans="1:12">
      <c r="A813" s="114">
        <v>12</v>
      </c>
      <c r="B813" s="117" t="s">
        <v>840</v>
      </c>
      <c r="C813" s="116" t="s">
        <v>25</v>
      </c>
      <c r="D813" s="116"/>
      <c r="E813" s="108">
        <v>2</v>
      </c>
      <c r="F813" s="156">
        <f t="shared" si="101"/>
        <v>2</v>
      </c>
      <c r="G813" s="156"/>
      <c r="H813" s="122">
        <v>0</v>
      </c>
      <c r="I813" s="122">
        <v>13836.2322</v>
      </c>
      <c r="J813" s="122">
        <f t="shared" si="97"/>
        <v>27672.464400000001</v>
      </c>
      <c r="K813" s="122">
        <f t="shared" si="98"/>
        <v>27672.464400000001</v>
      </c>
      <c r="L813" s="122">
        <f t="shared" si="99"/>
        <v>0</v>
      </c>
    </row>
    <row r="814" spans="1:12">
      <c r="A814" s="114">
        <v>13</v>
      </c>
      <c r="B814" s="117" t="s">
        <v>841</v>
      </c>
      <c r="C814" s="116" t="s">
        <v>25</v>
      </c>
      <c r="D814" s="116"/>
      <c r="E814" s="108">
        <v>2</v>
      </c>
      <c r="F814" s="156">
        <f t="shared" si="101"/>
        <v>2</v>
      </c>
      <c r="G814" s="156"/>
      <c r="H814" s="122">
        <v>0</v>
      </c>
      <c r="I814" s="122">
        <v>11530.6934</v>
      </c>
      <c r="J814" s="122">
        <f t="shared" si="97"/>
        <v>23061.3868</v>
      </c>
      <c r="K814" s="122">
        <f t="shared" si="98"/>
        <v>23061.3868</v>
      </c>
      <c r="L814" s="122">
        <f t="shared" si="99"/>
        <v>0</v>
      </c>
    </row>
    <row r="815" spans="1:12" ht="31.2">
      <c r="A815" s="114"/>
      <c r="B815" s="112" t="s">
        <v>889</v>
      </c>
      <c r="C815" s="116"/>
      <c r="D815" s="116"/>
      <c r="E815" s="108"/>
      <c r="F815" s="156"/>
      <c r="G815" s="156"/>
      <c r="H815" s="122"/>
      <c r="I815" s="122"/>
      <c r="J815" s="122">
        <f t="shared" si="97"/>
        <v>0</v>
      </c>
      <c r="K815" s="122">
        <f t="shared" si="98"/>
        <v>0</v>
      </c>
      <c r="L815" s="122">
        <f t="shared" si="99"/>
        <v>0</v>
      </c>
    </row>
    <row r="816" spans="1:12">
      <c r="A816" s="114"/>
      <c r="B816" s="115" t="s">
        <v>349</v>
      </c>
      <c r="C816" s="116"/>
      <c r="D816" s="116"/>
      <c r="E816" s="108"/>
      <c r="F816" s="156"/>
      <c r="G816" s="156"/>
      <c r="H816" s="122"/>
      <c r="I816" s="122"/>
      <c r="J816" s="122">
        <f t="shared" si="97"/>
        <v>0</v>
      </c>
      <c r="K816" s="122">
        <f t="shared" si="98"/>
        <v>0</v>
      </c>
      <c r="L816" s="122">
        <f t="shared" si="99"/>
        <v>0</v>
      </c>
    </row>
    <row r="817" spans="1:13">
      <c r="A817" s="114">
        <v>1</v>
      </c>
      <c r="B817" s="117" t="s">
        <v>393</v>
      </c>
      <c r="C817" s="116" t="s">
        <v>145</v>
      </c>
      <c r="D817" s="116"/>
      <c r="E817" s="108">
        <v>13.275499999999999</v>
      </c>
      <c r="F817" s="156">
        <f>+E817</f>
        <v>13.275499999999999</v>
      </c>
      <c r="G817" s="156"/>
      <c r="H817" s="122">
        <v>1826396.1566618159</v>
      </c>
      <c r="I817" s="122"/>
      <c r="J817" s="122">
        <f t="shared" si="97"/>
        <v>24246322.177763935</v>
      </c>
      <c r="K817" s="122">
        <f t="shared" si="98"/>
        <v>24246322.177763935</v>
      </c>
      <c r="L817" s="122">
        <f t="shared" si="99"/>
        <v>0</v>
      </c>
    </row>
    <row r="818" spans="1:13">
      <c r="A818" s="114">
        <v>2</v>
      </c>
      <c r="B818" s="117" t="s">
        <v>398</v>
      </c>
      <c r="C818" s="116" t="s">
        <v>145</v>
      </c>
      <c r="D818" s="116"/>
      <c r="E818" s="108">
        <v>3.7200000000000004E-2</v>
      </c>
      <c r="F818" s="156">
        <f t="shared" ref="F818:F835" si="102">+E818</f>
        <v>3.7200000000000004E-2</v>
      </c>
      <c r="G818" s="156"/>
      <c r="H818" s="122">
        <v>2610425.2873970545</v>
      </c>
      <c r="I818" s="122"/>
      <c r="J818" s="122">
        <f t="shared" si="97"/>
        <v>97107.820691170433</v>
      </c>
      <c r="K818" s="122">
        <f t="shared" si="98"/>
        <v>97107.820691170433</v>
      </c>
      <c r="L818" s="122">
        <f t="shared" si="99"/>
        <v>0</v>
      </c>
    </row>
    <row r="819" spans="1:13">
      <c r="A819" s="114">
        <v>3</v>
      </c>
      <c r="B819" s="117" t="s">
        <v>586</v>
      </c>
      <c r="C819" s="116" t="s">
        <v>145</v>
      </c>
      <c r="D819" s="116"/>
      <c r="E819" s="108"/>
      <c r="F819" s="156">
        <f t="shared" si="102"/>
        <v>0</v>
      </c>
      <c r="G819" s="156"/>
      <c r="H819" s="122">
        <v>0</v>
      </c>
      <c r="I819" s="122"/>
      <c r="J819" s="122">
        <f t="shared" si="97"/>
        <v>0</v>
      </c>
      <c r="K819" s="122">
        <f t="shared" si="98"/>
        <v>0</v>
      </c>
      <c r="L819" s="122">
        <f t="shared" si="99"/>
        <v>0</v>
      </c>
    </row>
    <row r="820" spans="1:13">
      <c r="A820" s="114">
        <v>4</v>
      </c>
      <c r="B820" s="117" t="s">
        <v>399</v>
      </c>
      <c r="C820" s="116" t="s">
        <v>145</v>
      </c>
      <c r="D820" s="116"/>
      <c r="E820" s="108">
        <v>22.8782</v>
      </c>
      <c r="F820" s="156">
        <f t="shared" si="102"/>
        <v>22.8782</v>
      </c>
      <c r="G820" s="156"/>
      <c r="H820" s="122">
        <v>1164771.501309423</v>
      </c>
      <c r="I820" s="122"/>
      <c r="J820" s="122">
        <f t="shared" si="97"/>
        <v>26647875.36125724</v>
      </c>
      <c r="K820" s="122">
        <f t="shared" si="98"/>
        <v>26647875.36125724</v>
      </c>
      <c r="L820" s="122">
        <f t="shared" si="99"/>
        <v>0</v>
      </c>
    </row>
    <row r="821" spans="1:13">
      <c r="A821" s="114">
        <v>5</v>
      </c>
      <c r="B821" s="117" t="s">
        <v>599</v>
      </c>
      <c r="C821" s="116" t="s">
        <v>145</v>
      </c>
      <c r="D821" s="116"/>
      <c r="E821" s="108">
        <v>25.852366</v>
      </c>
      <c r="F821" s="156">
        <f t="shared" si="102"/>
        <v>25.852366</v>
      </c>
      <c r="G821" s="156"/>
      <c r="H821" s="122">
        <v>1326087.4974319201</v>
      </c>
      <c r="I821" s="122"/>
      <c r="J821" s="122">
        <f t="shared" si="97"/>
        <v>34282499.33163406</v>
      </c>
      <c r="K821" s="122">
        <f t="shared" si="98"/>
        <v>34282499.33163406</v>
      </c>
      <c r="L821" s="122">
        <f t="shared" si="99"/>
        <v>0</v>
      </c>
    </row>
    <row r="822" spans="1:13">
      <c r="A822" s="114">
        <v>6</v>
      </c>
      <c r="B822" s="117" t="s">
        <v>594</v>
      </c>
      <c r="C822" s="116"/>
      <c r="D822" s="116"/>
      <c r="E822" s="108">
        <v>0</v>
      </c>
      <c r="F822" s="156">
        <f t="shared" si="102"/>
        <v>0</v>
      </c>
      <c r="G822" s="156"/>
      <c r="H822" s="122">
        <v>0</v>
      </c>
      <c r="I822" s="122"/>
      <c r="J822" s="122">
        <f t="shared" si="97"/>
        <v>0</v>
      </c>
      <c r="K822" s="122">
        <f t="shared" si="98"/>
        <v>0</v>
      </c>
      <c r="L822" s="122">
        <f t="shared" si="99"/>
        <v>0</v>
      </c>
    </row>
    <row r="823" spans="1:13">
      <c r="A823" s="114">
        <v>7</v>
      </c>
      <c r="B823" s="117" t="s">
        <v>405</v>
      </c>
      <c r="C823" s="116" t="s">
        <v>145</v>
      </c>
      <c r="D823" s="116"/>
      <c r="E823" s="108">
        <v>13.275499999999999</v>
      </c>
      <c r="F823" s="156">
        <f t="shared" si="102"/>
        <v>13.275499999999999</v>
      </c>
      <c r="G823" s="156"/>
      <c r="H823" s="122">
        <v>1520968.5992504628</v>
      </c>
      <c r="I823" s="122"/>
      <c r="J823" s="122">
        <f t="shared" si="97"/>
        <v>20191618.639349516</v>
      </c>
      <c r="K823" s="122">
        <f t="shared" si="98"/>
        <v>20191618.639349516</v>
      </c>
      <c r="L823" s="122">
        <f t="shared" si="99"/>
        <v>0</v>
      </c>
    </row>
    <row r="824" spans="1:13">
      <c r="A824" s="114">
        <v>8</v>
      </c>
      <c r="B824" s="117" t="s">
        <v>595</v>
      </c>
      <c r="C824" s="116" t="s">
        <v>28</v>
      </c>
      <c r="D824" s="116"/>
      <c r="E824" s="108">
        <v>13.275499999999999</v>
      </c>
      <c r="F824" s="156">
        <f t="shared" si="102"/>
        <v>13.275499999999999</v>
      </c>
      <c r="G824" s="156"/>
      <c r="H824" s="122">
        <v>126157.5132691989</v>
      </c>
      <c r="I824" s="122"/>
      <c r="J824" s="122">
        <f t="shared" si="97"/>
        <v>1674804.0674052499</v>
      </c>
      <c r="K824" s="122">
        <f t="shared" si="98"/>
        <v>1674804.0674052499</v>
      </c>
      <c r="L824" s="122">
        <f t="shared" si="99"/>
        <v>0</v>
      </c>
    </row>
    <row r="825" spans="1:13">
      <c r="A825" s="114">
        <v>9</v>
      </c>
      <c r="B825" s="117" t="s">
        <v>411</v>
      </c>
      <c r="C825" s="116" t="s">
        <v>149</v>
      </c>
      <c r="D825" s="116"/>
      <c r="E825" s="108">
        <v>4.8532999999999999</v>
      </c>
      <c r="F825" s="156">
        <f t="shared" si="102"/>
        <v>4.8532999999999999</v>
      </c>
      <c r="G825" s="156"/>
      <c r="H825" s="122">
        <v>1534820.675837225</v>
      </c>
      <c r="I825" s="122"/>
      <c r="J825" s="122">
        <f t="shared" si="97"/>
        <v>7448945.1860408038</v>
      </c>
      <c r="K825" s="122">
        <f t="shared" si="98"/>
        <v>7448945.1860408038</v>
      </c>
      <c r="L825" s="122">
        <f t="shared" si="99"/>
        <v>0</v>
      </c>
    </row>
    <row r="826" spans="1:13">
      <c r="A826" s="114">
        <v>10</v>
      </c>
      <c r="B826" s="117" t="s">
        <v>412</v>
      </c>
      <c r="C826" s="116" t="s">
        <v>149</v>
      </c>
      <c r="D826" s="116"/>
      <c r="E826" s="108">
        <v>4.8532999999999999</v>
      </c>
      <c r="F826" s="156">
        <f t="shared" si="102"/>
        <v>4.8532999999999999</v>
      </c>
      <c r="G826" s="156"/>
      <c r="H826" s="122">
        <v>24362.23294979722</v>
      </c>
      <c r="I826" s="122"/>
      <c r="J826" s="122">
        <f t="shared" si="97"/>
        <v>118237.22517525085</v>
      </c>
      <c r="K826" s="122">
        <f t="shared" si="98"/>
        <v>118237.22517525085</v>
      </c>
      <c r="L826" s="122">
        <f t="shared" si="99"/>
        <v>0</v>
      </c>
    </row>
    <row r="827" spans="1:13">
      <c r="A827" s="114"/>
      <c r="B827" s="115" t="s">
        <v>350</v>
      </c>
      <c r="C827" s="116"/>
      <c r="D827" s="116"/>
      <c r="E827" s="108"/>
      <c r="F827" s="156"/>
      <c r="G827" s="156"/>
      <c r="H827" s="122"/>
      <c r="I827" s="122"/>
      <c r="J827" s="122"/>
      <c r="K827" s="122"/>
      <c r="L827" s="122">
        <f t="shared" si="99"/>
        <v>0</v>
      </c>
    </row>
    <row r="828" spans="1:13" ht="31.2">
      <c r="A828" s="114">
        <v>11</v>
      </c>
      <c r="B828" s="117" t="s">
        <v>795</v>
      </c>
      <c r="C828" s="116" t="s">
        <v>149</v>
      </c>
      <c r="D828" s="116"/>
      <c r="E828" s="108">
        <v>6.8123999999999993</v>
      </c>
      <c r="F828" s="156">
        <f t="shared" si="102"/>
        <v>6.8123999999999993</v>
      </c>
      <c r="G828" s="171"/>
      <c r="H828" s="172">
        <v>0</v>
      </c>
      <c r="I828" s="122">
        <v>1450470.8478000001</v>
      </c>
      <c r="J828" s="122">
        <f t="shared" si="97"/>
        <v>9881187.6035527196</v>
      </c>
      <c r="K828" s="122">
        <f t="shared" si="98"/>
        <v>9881187.6035527196</v>
      </c>
      <c r="L828" s="122">
        <f t="shared" si="99"/>
        <v>0</v>
      </c>
    </row>
    <row r="829" spans="1:13">
      <c r="A829" s="114">
        <v>12</v>
      </c>
      <c r="B829" s="117" t="s">
        <v>797</v>
      </c>
      <c r="C829" s="116" t="s">
        <v>415</v>
      </c>
      <c r="D829" s="116"/>
      <c r="E829" s="108">
        <v>1.1753433719999999</v>
      </c>
      <c r="F829" s="156">
        <f t="shared" si="102"/>
        <v>1.1753433719999999</v>
      </c>
      <c r="G829" s="171"/>
      <c r="H829" s="172">
        <v>0</v>
      </c>
      <c r="I829" s="122">
        <v>150219973.99520001</v>
      </c>
      <c r="J829" s="122">
        <f t="shared" si="97"/>
        <v>176560050.77727067</v>
      </c>
      <c r="K829" s="122">
        <f t="shared" si="98"/>
        <v>176560050.77727067</v>
      </c>
      <c r="L829" s="122">
        <f t="shared" si="99"/>
        <v>0</v>
      </c>
      <c r="M829" s="164"/>
    </row>
    <row r="830" spans="1:13">
      <c r="A830" s="114">
        <v>13</v>
      </c>
      <c r="B830" s="117" t="s">
        <v>502</v>
      </c>
      <c r="C830" s="116" t="s">
        <v>415</v>
      </c>
      <c r="D830" s="116"/>
      <c r="E830" s="108">
        <v>1.1753433719999999</v>
      </c>
      <c r="F830" s="156">
        <f t="shared" si="102"/>
        <v>1.1753433719999999</v>
      </c>
      <c r="G830" s="171"/>
      <c r="H830" s="122">
        <v>5391750.3057997404</v>
      </c>
      <c r="I830" s="122"/>
      <c r="J830" s="122">
        <f t="shared" ref="J830:J835" si="103">+E830*MAX(H830:I830)</f>
        <v>6337157.9854006981</v>
      </c>
      <c r="K830" s="122">
        <f t="shared" ref="K830:K835" si="104">+F830*MAX(H830:I830)</f>
        <v>6337157.9854006981</v>
      </c>
      <c r="L830" s="122">
        <f t="shared" ref="L830:L835" si="105">+G830*MAX(H830:I830)</f>
        <v>0</v>
      </c>
    </row>
    <row r="831" spans="1:13">
      <c r="A831" s="114">
        <v>14</v>
      </c>
      <c r="B831" s="117" t="s">
        <v>878</v>
      </c>
      <c r="C831" s="116" t="s">
        <v>415</v>
      </c>
      <c r="D831" s="116"/>
      <c r="E831" s="108">
        <v>1.1753433719999999</v>
      </c>
      <c r="F831" s="156">
        <f t="shared" si="102"/>
        <v>1.1753433719999999</v>
      </c>
      <c r="G831" s="171"/>
      <c r="H831" s="122"/>
      <c r="I831" s="122">
        <v>16055764.2048</v>
      </c>
      <c r="J831" s="122">
        <f t="shared" si="103"/>
        <v>18871036.040506531</v>
      </c>
      <c r="K831" s="122">
        <f t="shared" si="104"/>
        <v>18871036.040506531</v>
      </c>
      <c r="L831" s="122">
        <f t="shared" si="105"/>
        <v>0</v>
      </c>
    </row>
    <row r="832" spans="1:13" ht="31.2">
      <c r="A832" s="114">
        <v>15</v>
      </c>
      <c r="B832" s="117" t="s">
        <v>801</v>
      </c>
      <c r="C832" s="116" t="s">
        <v>149</v>
      </c>
      <c r="D832" s="116"/>
      <c r="E832" s="108">
        <v>6.8123999999999993</v>
      </c>
      <c r="F832" s="156">
        <f t="shared" si="102"/>
        <v>6.8123999999999993</v>
      </c>
      <c r="G832" s="171"/>
      <c r="H832" s="122">
        <v>1066161.2774651225</v>
      </c>
      <c r="I832" s="122"/>
      <c r="J832" s="122">
        <f t="shared" si="103"/>
        <v>7263117.0866034003</v>
      </c>
      <c r="K832" s="122">
        <f t="shared" si="104"/>
        <v>7263117.0866034003</v>
      </c>
      <c r="L832" s="122">
        <f t="shared" si="105"/>
        <v>0</v>
      </c>
    </row>
    <row r="833" spans="1:12">
      <c r="A833" s="114">
        <v>16</v>
      </c>
      <c r="B833" s="117" t="s">
        <v>503</v>
      </c>
      <c r="C833" s="116" t="s">
        <v>149</v>
      </c>
      <c r="D833" s="116"/>
      <c r="E833" s="108">
        <v>6.8123999999999993</v>
      </c>
      <c r="F833" s="156">
        <f t="shared" si="102"/>
        <v>6.8123999999999993</v>
      </c>
      <c r="G833" s="171"/>
      <c r="H833" s="122">
        <v>1783035.3754178607</v>
      </c>
      <c r="I833" s="122"/>
      <c r="J833" s="122">
        <f t="shared" si="103"/>
        <v>12146750.191496633</v>
      </c>
      <c r="K833" s="122">
        <f t="shared" si="104"/>
        <v>12146750.191496633</v>
      </c>
      <c r="L833" s="122">
        <f t="shared" si="105"/>
        <v>0</v>
      </c>
    </row>
    <row r="834" spans="1:12">
      <c r="A834" s="114">
        <v>17</v>
      </c>
      <c r="B834" s="117" t="s">
        <v>418</v>
      </c>
      <c r="C834" s="116" t="s">
        <v>145</v>
      </c>
      <c r="D834" s="116"/>
      <c r="E834" s="108">
        <v>1.0218599999999998</v>
      </c>
      <c r="F834" s="156">
        <f t="shared" si="102"/>
        <v>1.0218599999999998</v>
      </c>
      <c r="G834" s="171"/>
      <c r="H834" s="122">
        <v>31545250.11715313</v>
      </c>
      <c r="I834" s="122"/>
      <c r="J834" s="122">
        <f t="shared" si="103"/>
        <v>32234829.284714092</v>
      </c>
      <c r="K834" s="122">
        <f t="shared" si="104"/>
        <v>32234829.284714092</v>
      </c>
      <c r="L834" s="122">
        <f t="shared" si="105"/>
        <v>0</v>
      </c>
    </row>
    <row r="835" spans="1:12">
      <c r="A835" s="114">
        <v>18</v>
      </c>
      <c r="B835" s="117" t="s">
        <v>570</v>
      </c>
      <c r="C835" s="116" t="s">
        <v>145</v>
      </c>
      <c r="D835" s="116"/>
      <c r="E835" s="108">
        <v>2.1799679999999997</v>
      </c>
      <c r="F835" s="156">
        <f t="shared" si="102"/>
        <v>2.1799679999999997</v>
      </c>
      <c r="G835" s="173"/>
      <c r="H835" s="123">
        <v>31392188.761577997</v>
      </c>
      <c r="I835" s="123"/>
      <c r="J835" s="122">
        <f t="shared" si="103"/>
        <v>68433966.950199649</v>
      </c>
      <c r="K835" s="122">
        <f t="shared" si="104"/>
        <v>68433966.950199649</v>
      </c>
      <c r="L835" s="122">
        <f t="shared" si="105"/>
        <v>0</v>
      </c>
    </row>
    <row r="836" spans="1:12">
      <c r="E836" s="108"/>
    </row>
    <row r="837" spans="1:12">
      <c r="E837" s="108"/>
    </row>
  </sheetData>
  <mergeCells count="17">
    <mergeCell ref="J2:L2"/>
    <mergeCell ref="J3:J4"/>
    <mergeCell ref="K3:K4"/>
    <mergeCell ref="L3:L4"/>
    <mergeCell ref="M597:M602"/>
    <mergeCell ref="A1:A4"/>
    <mergeCell ref="B1:B4"/>
    <mergeCell ref="C1:C4"/>
    <mergeCell ref="E2:E4"/>
    <mergeCell ref="F2:F4"/>
    <mergeCell ref="G2:G4"/>
    <mergeCell ref="D1:G1"/>
    <mergeCell ref="D2:D4"/>
    <mergeCell ref="H2:H4"/>
    <mergeCell ref="I2:I4"/>
    <mergeCell ref="H1:I1"/>
    <mergeCell ref="J1:L1"/>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phân chia trước điều chỉnh</vt:lpstr>
      <vt:lpstr>phân chia sau Điều chỉnh</vt:lpstr>
      <vt:lpstr>'phân chia trước điều chỉnh'!Print_Area</vt:lpstr>
      <vt:lpstr>'phân chia trước điều chỉnh'!Print_Titles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Admin</cp:lastModifiedBy>
  <cp:lastPrinted>2024-07-04T10:04:35Z</cp:lastPrinted>
  <dcterms:created xsi:type="dcterms:W3CDTF">2023-12-14T01:54:21Z</dcterms:created>
  <dcterms:modified xsi:type="dcterms:W3CDTF">2026-10-13T14:00:17Z</dcterms:modified>
</cp:coreProperties>
</file>